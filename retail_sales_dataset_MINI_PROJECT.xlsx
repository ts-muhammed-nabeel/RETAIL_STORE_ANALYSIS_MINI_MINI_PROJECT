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f7bea47cebbfb8/Desktop/DATA ANALYTICS/POWER BI/"/>
    </mc:Choice>
  </mc:AlternateContent>
  <xr:revisionPtr revIDLastSave="928" documentId="8_{66A56B12-D275-43FF-ABAD-3C945D9BDCC9}" xr6:coauthVersionLast="47" xr6:coauthVersionMax="47" xr10:uidLastSave="{A0F7C97F-0047-4A8C-B1CB-5C5A42666718}"/>
  <bookViews>
    <workbookView xWindow="-108" yWindow="-108" windowWidth="23256" windowHeight="12456" xr2:uid="{B6DA8100-2EBD-4253-85A2-25DE7F6FFB66}"/>
  </bookViews>
  <sheets>
    <sheet name="retail_sales_dataset_MINI_PROJE" sheetId="1" r:id="rId1"/>
    <sheet name="PIVOT TABLES" sheetId="3" r:id="rId2"/>
    <sheet name="REMARKS 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22" i="2"/>
  <c r="B17" i="2"/>
  <c r="B10" i="2"/>
  <c r="B7" i="2"/>
  <c r="B4" i="2" l="1"/>
</calcChain>
</file>

<file path=xl/sharedStrings.xml><?xml version="1.0" encoding="utf-8"?>
<sst xmlns="http://schemas.openxmlformats.org/spreadsheetml/2006/main" count="42087" uniqueCount="8864">
  <si>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</si>
  <si>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</si>
  <si>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</si>
  <si>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</si>
  <si>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</si>
  <si>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</si>
  <si>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</si>
  <si>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</si>
  <si>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</si>
  <si>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</si>
  <si>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</si>
  <si>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</si>
  <si>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</si>
  <si>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</si>
  <si>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</si>
  <si>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</si>
  <si>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</si>
  <si>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</si>
  <si>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</si>
  <si>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</si>
  <si>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</si>
  <si>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</si>
  <si>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</si>
  <si>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</si>
  <si>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</si>
  <si>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</si>
  <si>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</si>
  <si>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</si>
  <si>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</si>
  <si>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</si>
  <si>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</si>
  <si>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</si>
  <si>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</si>
  <si>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</si>
  <si>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</si>
  <si>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</si>
  <si>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</si>
  <si>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</si>
  <si>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</si>
  <si>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</si>
  <si>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</si>
  <si>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</si>
  <si>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</si>
  <si>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</si>
  <si>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</si>
  <si>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</si>
  <si>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</si>
  <si>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</si>
  <si>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</si>
  <si>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</si>
  <si>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</si>
  <si>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</si>
  <si>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</si>
  <si>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</si>
  <si>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</si>
  <si>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</si>
  <si>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</si>
  <si>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</si>
  <si>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</si>
  <si>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</si>
  <si>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</si>
  <si>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</si>
  <si>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</si>
  <si>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</si>
  <si>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</si>
  <si>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</si>
  <si>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</si>
  <si>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</si>
  <si>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</si>
  <si>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</si>
  <si>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</si>
  <si>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</si>
  <si>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</si>
  <si>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</si>
  <si>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</si>
  <si>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</si>
  <si>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</si>
  <si>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</si>
  <si>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</si>
  <si>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</si>
  <si>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</si>
  <si>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</si>
  <si>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</si>
  <si>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</si>
  <si>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</si>
  <si>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</si>
  <si>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</si>
  <si>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</si>
  <si>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FEMALE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</si>
  <si>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</si>
  <si>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</si>
  <si>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</si>
  <si>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</si>
  <si>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</si>
  <si>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</si>
  <si>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</si>
  <si>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</si>
  <si>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</si>
  <si>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</si>
  <si>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</si>
  <si>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</si>
  <si>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</si>
  <si>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</si>
  <si>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</si>
  <si>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</si>
  <si>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</si>
  <si>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</si>
  <si>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</si>
  <si>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</si>
  <si>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</si>
  <si>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</si>
  <si>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</si>
  <si>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</si>
  <si>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</si>
  <si>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</si>
  <si>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</si>
  <si>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</si>
  <si>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</si>
  <si>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</si>
  <si>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</si>
  <si>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</si>
  <si>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</si>
  <si>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</si>
  <si>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</si>
  <si>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</si>
  <si>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</si>
  <si>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</si>
  <si>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</si>
  <si>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</si>
  <si>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</si>
  <si>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</si>
  <si>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</si>
  <si>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</si>
  <si>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</si>
  <si>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</si>
  <si>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</si>
  <si>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</si>
  <si>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</si>
  <si>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</si>
  <si>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</si>
  <si>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</si>
  <si>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</si>
  <si>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</si>
  <si>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</si>
  <si>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</si>
  <si>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</si>
  <si>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</si>
  <si>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</si>
  <si>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</si>
  <si>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</si>
  <si>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</si>
  <si>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</si>
  <si>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</si>
  <si>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</si>
  <si>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</si>
  <si>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</si>
  <si>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</si>
  <si>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</si>
  <si>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</si>
  <si>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</si>
  <si>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</si>
  <si>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</si>
  <si>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</si>
  <si>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</si>
  <si>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</si>
  <si>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</si>
  <si>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</si>
  <si>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</si>
  <si>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</si>
  <si>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</si>
  <si>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</si>
  <si>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</si>
  <si>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</si>
  <si>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</si>
  <si>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</si>
  <si>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</si>
  <si>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</si>
  <si>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</si>
  <si>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</si>
  <si>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</si>
  <si>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</si>
  <si>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</si>
  <si>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</si>
  <si>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</si>
  <si>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</si>
  <si>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</si>
  <si>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</si>
  <si>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</si>
  <si>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</si>
  <si>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</si>
  <si>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</si>
  <si>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</si>
  <si>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</si>
  <si>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</si>
  <si>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</si>
  <si>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</si>
  <si>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</si>
  <si>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</si>
  <si>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</si>
  <si>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</si>
  <si>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</si>
  <si>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</si>
  <si>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</si>
  <si>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</si>
  <si>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</si>
  <si>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</si>
  <si>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</si>
  <si>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</si>
  <si>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</si>
  <si>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</si>
  <si>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</si>
  <si>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</si>
  <si>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</si>
  <si>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</si>
  <si>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</si>
  <si>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</si>
  <si>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</si>
  <si>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</si>
  <si>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</si>
  <si>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</si>
  <si>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</si>
  <si>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</si>
  <si>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</si>
  <si>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</si>
  <si>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</si>
  <si>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</si>
  <si>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</si>
  <si>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</si>
  <si>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</si>
  <si>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</si>
  <si>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</si>
  <si>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</si>
  <si>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</si>
  <si>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</si>
  <si>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</si>
  <si>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</si>
  <si>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</si>
  <si>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</si>
  <si>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</si>
  <si>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</si>
  <si>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</si>
  <si>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</si>
  <si>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</si>
  <si>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</si>
  <si>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</si>
  <si>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</si>
  <si>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</si>
  <si>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</si>
  <si>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</si>
  <si>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</si>
  <si>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</si>
  <si>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</si>
  <si>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</si>
  <si>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</si>
  <si>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</si>
  <si>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</si>
  <si>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</si>
  <si>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</si>
  <si>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</si>
  <si>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</si>
  <si>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</si>
  <si>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</si>
  <si>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</si>
  <si>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</si>
  <si>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</si>
  <si>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</si>
  <si>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</si>
  <si>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</si>
  <si>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</si>
  <si>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</si>
  <si>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</si>
  <si>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</si>
  <si>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</si>
  <si>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</si>
  <si>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</si>
  <si>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</si>
  <si>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</si>
  <si>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</si>
  <si>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</si>
  <si>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</si>
  <si>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</si>
  <si>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</si>
  <si>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</si>
  <si>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</si>
  <si>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</si>
  <si>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</si>
  <si>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</si>
  <si>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</si>
  <si>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</si>
  <si>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</si>
  <si>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</si>
  <si>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</si>
  <si>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</si>
  <si>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</si>
  <si>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</si>
  <si>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</si>
  <si>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</si>
  <si>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</si>
  <si>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</si>
  <si>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</si>
  <si>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</si>
  <si>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</si>
  <si>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</si>
  <si>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</si>
  <si>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</si>
  <si>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</si>
  <si>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</si>
  <si>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</si>
  <si>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</si>
  <si>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</si>
  <si>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</si>
  <si>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</si>
  <si>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</si>
  <si>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</si>
  <si>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</si>
  <si>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</si>
  <si>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</si>
  <si>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</si>
  <si>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</si>
  <si>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</si>
  <si>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</si>
  <si>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</si>
  <si>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</si>
  <si>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</si>
  <si>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</si>
  <si>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</si>
  <si>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</si>
  <si>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</si>
  <si>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</si>
  <si>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</si>
  <si>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</si>
  <si>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</si>
  <si>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</si>
  <si>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</si>
  <si>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</si>
  <si>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</si>
  <si>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</si>
  <si>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</si>
  <si>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</si>
  <si>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</si>
  <si>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</si>
  <si>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</si>
  <si>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</si>
  <si>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</si>
  <si>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</si>
  <si>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</si>
  <si>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</si>
  <si>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</si>
  <si>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</si>
  <si>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</si>
  <si>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</si>
  <si>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</si>
  <si>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</si>
  <si>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</si>
  <si>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</si>
  <si>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</si>
  <si>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</si>
  <si>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</si>
  <si>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</si>
  <si>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</si>
  <si>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</si>
  <si>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</si>
  <si>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</si>
  <si>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</si>
  <si>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</si>
  <si>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</si>
  <si>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</si>
  <si>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</si>
  <si>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</si>
  <si>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</si>
  <si>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</si>
  <si>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</si>
  <si>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</si>
  <si>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</si>
  <si>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</si>
  <si>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</si>
  <si>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</si>
  <si>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</si>
  <si>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</si>
  <si>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</si>
  <si>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</si>
  <si>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</si>
  <si>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</si>
  <si>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</si>
  <si>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</si>
  <si>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</si>
  <si>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</si>
  <si>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</si>
  <si>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</si>
  <si>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</si>
  <si>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</si>
  <si>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</si>
  <si>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</si>
  <si>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</si>
  <si>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</si>
  <si>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</si>
  <si>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</si>
  <si>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</si>
  <si>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</si>
  <si>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</si>
  <si>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</si>
  <si>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</si>
  <si>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</si>
  <si>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</si>
  <si>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</si>
  <si>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</si>
  <si>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</si>
  <si>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</si>
  <si>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</si>
  <si>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</si>
  <si>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</si>
  <si>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</si>
  <si>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</si>
  <si>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</si>
  <si>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</si>
  <si>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</si>
  <si>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</si>
  <si>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</si>
  <si>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</si>
  <si>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</si>
  <si>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</si>
  <si>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</si>
  <si>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</si>
  <si>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</si>
  <si>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</si>
  <si>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</si>
  <si>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</si>
  <si>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</si>
  <si>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</si>
  <si>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</si>
  <si>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</si>
  <si>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</si>
  <si>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</si>
  <si>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</si>
  <si>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</si>
  <si>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</si>
  <si>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</si>
  <si>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</si>
  <si>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</si>
  <si>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</si>
  <si>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</si>
  <si>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</si>
  <si>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</si>
  <si>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</si>
  <si>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</si>
  <si>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</si>
  <si>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</si>
  <si>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</si>
  <si>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</si>
  <si>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</si>
  <si>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</si>
  <si>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</si>
  <si>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</si>
  <si>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</si>
  <si>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</si>
  <si>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</si>
  <si>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</si>
  <si>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</si>
  <si>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</si>
  <si>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</si>
  <si>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</si>
  <si>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</si>
  <si>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</si>
  <si>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MALE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</si>
  <si>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</si>
  <si>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</si>
  <si>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</si>
  <si>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</si>
  <si>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</si>
  <si>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</si>
  <si>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</si>
  <si>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</si>
  <si>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</si>
  <si>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</si>
  <si>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</si>
  <si>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</si>
  <si>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</si>
  <si>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</si>
  <si>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</si>
  <si>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</si>
  <si>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</si>
  <si>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</si>
  <si>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</si>
  <si>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</si>
  <si>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</si>
  <si>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</si>
  <si>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</si>
  <si>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</si>
  <si>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</si>
  <si>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</si>
  <si>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</si>
  <si>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</si>
  <si>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</si>
  <si>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</si>
  <si>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</si>
  <si>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</si>
  <si>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</si>
  <si>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</si>
  <si>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</si>
  <si>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</si>
  <si>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</si>
  <si>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</si>
  <si>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</si>
  <si>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</si>
  <si>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</si>
  <si>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</si>
  <si>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</si>
  <si>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</si>
  <si>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</si>
  <si>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</si>
  <si>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</si>
  <si>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</si>
  <si>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</si>
  <si>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</si>
  <si>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</si>
  <si>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</si>
  <si>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</si>
  <si>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</si>
  <si>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</si>
  <si>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</si>
  <si>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</si>
  <si>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</si>
  <si>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</si>
  <si>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</si>
  <si>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</si>
  <si>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</si>
  <si>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</si>
  <si>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</si>
  <si>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</si>
  <si>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</si>
  <si>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</si>
  <si>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</si>
  <si>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</si>
  <si>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</si>
  <si>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</si>
  <si>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</si>
  <si>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</si>
  <si>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</si>
  <si>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</si>
  <si>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</si>
  <si>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</si>
  <si>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</si>
  <si>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</si>
  <si>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</si>
  <si>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</si>
  <si>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</si>
  <si>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</si>
  <si>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</si>
  <si>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</si>
  <si>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</si>
  <si>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</si>
  <si>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</si>
  <si>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</si>
  <si>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</si>
  <si>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</si>
  <si>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</si>
  <si>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</si>
  <si>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</si>
  <si>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</si>
  <si>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</si>
  <si>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</si>
  <si>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</si>
  <si>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</si>
  <si>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</si>
  <si>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</si>
  <si>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</si>
  <si>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</si>
  <si>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</si>
  <si>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</si>
  <si>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</si>
  <si>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</si>
  <si>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</si>
  <si>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</si>
  <si>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</si>
  <si>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</si>
  <si>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</si>
  <si>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</si>
  <si>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</si>
  <si>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</si>
  <si>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</si>
  <si>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</si>
  <si>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</si>
  <si>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</si>
  <si>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</si>
  <si>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</si>
  <si>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</si>
  <si>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</si>
  <si>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</si>
  <si>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</si>
  <si>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</si>
  <si>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</si>
  <si>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</si>
  <si>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</si>
  <si>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</si>
  <si>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</si>
  <si>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</si>
  <si>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</si>
  <si>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</si>
  <si>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</si>
  <si>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</si>
  <si>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</si>
  <si>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</si>
  <si>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</si>
  <si>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</si>
  <si>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</si>
  <si>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</si>
  <si>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</si>
  <si>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</si>
  <si>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</si>
  <si>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</si>
  <si>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</si>
  <si>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</si>
  <si>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</si>
  <si>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</si>
  <si>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</si>
  <si>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</si>
  <si>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</si>
  <si>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</si>
  <si>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</si>
  <si>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</si>
  <si>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</si>
  <si>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</si>
  <si>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</si>
  <si>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</si>
  <si>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</si>
  <si>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</si>
  <si>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</si>
  <si>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</si>
  <si>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</si>
  <si>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</si>
  <si>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</si>
  <si>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</si>
  <si>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</si>
  <si>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</si>
  <si>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</si>
  <si>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</si>
  <si>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</si>
  <si>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</si>
  <si>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</si>
  <si>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</si>
  <si>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</si>
  <si>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</si>
  <si>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</si>
  <si>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</si>
  <si>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</si>
  <si>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</si>
  <si>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</si>
  <si>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</si>
  <si>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</si>
  <si>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</si>
  <si>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</si>
  <si>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</si>
  <si>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</si>
  <si>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</si>
  <si>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</si>
  <si>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</si>
  <si>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</si>
  <si>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</si>
  <si>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</si>
  <si>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</si>
  <si>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</si>
  <si>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</si>
  <si>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</si>
  <si>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</si>
  <si>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</si>
  <si>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</si>
  <si>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</si>
  <si>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</si>
  <si>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</si>
  <si>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</si>
  <si>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</si>
  <si>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</si>
  <si>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</si>
  <si>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</si>
  <si>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</si>
  <si>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</si>
  <si>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</si>
  <si>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</si>
  <si>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</si>
  <si>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</si>
  <si>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</si>
  <si>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</si>
  <si>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</si>
  <si>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</si>
  <si>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</si>
  <si>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</si>
  <si>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</si>
  <si>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</si>
  <si>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</si>
  <si>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</si>
  <si>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</si>
  <si>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</si>
  <si>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</si>
  <si>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</si>
  <si>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</si>
  <si>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</si>
  <si>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</si>
  <si>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</si>
  <si>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</si>
  <si>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</si>
  <si>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</si>
  <si>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</si>
  <si>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</si>
  <si>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</si>
  <si>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</si>
  <si>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</si>
  <si>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</si>
  <si>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</si>
  <si>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</si>
  <si>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</si>
  <si>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</si>
  <si>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</si>
  <si>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</si>
  <si>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</si>
  <si>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</si>
  <si>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</si>
  <si>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</si>
  <si>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</si>
  <si>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</si>
  <si>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</si>
  <si>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</si>
  <si>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</si>
  <si>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</si>
  <si>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</si>
  <si>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</si>
  <si>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</si>
  <si>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</si>
  <si>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</si>
  <si>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</si>
  <si>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</si>
  <si>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</si>
  <si>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</si>
  <si>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</si>
  <si>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</si>
  <si>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</si>
  <si>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</si>
  <si>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</si>
  <si>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</si>
  <si>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</si>
  <si>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</si>
  <si>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</si>
  <si>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</si>
  <si>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</si>
  <si>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</si>
  <si>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</si>
  <si>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</si>
  <si>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</si>
  <si>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</si>
  <si>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</si>
  <si>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</si>
  <si>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</si>
  <si>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</si>
  <si>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</si>
  <si>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</si>
  <si>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</si>
  <si>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</si>
  <si>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</si>
  <si>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</si>
  <si>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</si>
  <si>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</si>
  <si>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</si>
  <si>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</si>
  <si>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</si>
  <si>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</si>
  <si>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</si>
  <si>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</si>
  <si>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</si>
  <si>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</si>
  <si>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</si>
  <si>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</si>
  <si>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</si>
  <si>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</si>
  <si>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</si>
  <si>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</si>
  <si>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</si>
  <si>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</si>
  <si>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</si>
  <si>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</si>
  <si>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</si>
  <si>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</si>
  <si>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</si>
  <si>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</si>
  <si>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</si>
  <si>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</si>
  <si>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</si>
  <si>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</si>
  <si>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</si>
  <si>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</si>
  <si>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</si>
  <si>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</si>
  <si>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</si>
  <si>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</si>
  <si>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</si>
  <si>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</si>
  <si>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</si>
  <si>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</si>
  <si>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</si>
  <si>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</si>
  <si>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</si>
  <si>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</si>
  <si>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</si>
  <si>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</si>
  <si>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</si>
  <si>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</si>
  <si>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</si>
  <si>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</si>
  <si>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</si>
  <si>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</si>
  <si>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</si>
  <si>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</si>
  <si>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</si>
  <si>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</si>
  <si>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</si>
  <si>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</si>
  <si>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</si>
  <si>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</si>
  <si>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</si>
  <si>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</si>
  <si>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</si>
  <si>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</si>
  <si>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</si>
  <si>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</si>
  <si>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</si>
  <si>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</si>
  <si>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</si>
  <si>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</si>
  <si>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</si>
  <si>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</si>
  <si>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</si>
  <si>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</si>
  <si>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</si>
  <si>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</si>
  <si>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</si>
  <si>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</si>
  <si>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</si>
  <si>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</si>
  <si>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</si>
  <si>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</si>
  <si>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</si>
  <si>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</si>
  <si>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</si>
  <si>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</si>
  <si>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</si>
  <si>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</si>
  <si>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</si>
  <si>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</si>
  <si>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</si>
  <si>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</si>
  <si>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</si>
  <si>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</si>
  <si>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</si>
  <si>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</si>
  <si>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</si>
  <si>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</si>
  <si>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</si>
  <si>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</si>
  <si>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</si>
  <si>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</si>
  <si>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</si>
  <si>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</si>
  <si>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</si>
  <si>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</si>
  <si>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</si>
  <si>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</si>
  <si>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</si>
  <si>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</si>
  <si>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</si>
  <si>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</si>
  <si>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</si>
  <si>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</si>
  <si>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</si>
  <si>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</si>
  <si>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</si>
  <si>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</si>
  <si>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</si>
  <si>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</si>
  <si>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</si>
  <si>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</si>
  <si>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</si>
  <si>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</si>
  <si>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</si>
  <si>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</si>
  <si>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</si>
  <si>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</si>
  <si>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</si>
  <si>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</si>
  <si>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</si>
  <si>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</si>
  <si>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</si>
  <si>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</si>
  <si>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</si>
  <si>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</si>
  <si>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</si>
  <si>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</si>
  <si>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</si>
  <si>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</si>
  <si>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</si>
  <si>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</si>
  <si>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</si>
  <si>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</si>
  <si>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</si>
  <si>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</si>
  <si>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</si>
  <si>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</si>
  <si>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</si>
  <si>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</si>
  <si>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</si>
  <si>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</si>
  <si>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</si>
  <si>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</si>
  <si>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</si>
  <si>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</si>
  <si>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</si>
  <si>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</si>
  <si>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</si>
  <si>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</si>
  <si>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</si>
  <si>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</si>
  <si>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</si>
  <si>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</si>
  <si>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</si>
  <si>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</si>
  <si>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</si>
  <si>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</si>
  <si>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</si>
  <si>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</si>
  <si>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</si>
  <si>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</si>
  <si>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</si>
  <si>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</si>
  <si>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</si>
  <si>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</si>
  <si>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</si>
  <si>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</si>
  <si>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</si>
  <si>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</si>
  <si>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</si>
  <si>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</si>
  <si>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</si>
  <si>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</si>
  <si>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</si>
  <si>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</si>
  <si>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</si>
  <si>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</si>
  <si>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</si>
  <si>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</si>
  <si>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</si>
  <si>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</si>
  <si>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</si>
  <si>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</si>
  <si>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</si>
  <si>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</si>
  <si>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</si>
  <si>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</si>
  <si>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</si>
  <si>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</si>
  <si>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</si>
  <si>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</si>
  <si>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</si>
  <si>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</si>
  <si>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</si>
  <si>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</si>
  <si>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</si>
  <si>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</si>
  <si>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</si>
  <si>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</si>
  <si>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</si>
  <si>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</si>
  <si>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</si>
  <si>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</si>
  <si>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</si>
  <si>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</si>
  <si>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</si>
  <si>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</si>
  <si>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</si>
  <si>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</si>
  <si>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</si>
  <si>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</si>
  <si>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</si>
  <si>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</si>
  <si>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</si>
  <si>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</si>
  <si>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</si>
  <si>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</si>
  <si>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</si>
  <si>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</si>
  <si>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</si>
  <si>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</si>
  <si>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</si>
  <si>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</si>
  <si>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</si>
  <si>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</si>
  <si>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</si>
  <si>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</si>
  <si>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</si>
  <si>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</si>
  <si>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</si>
  <si>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</si>
  <si>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</si>
  <si>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</si>
  <si>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</si>
  <si>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</si>
  <si>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</si>
  <si>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</si>
  <si>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</si>
  <si>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</si>
  <si>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</si>
  <si>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</si>
  <si>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</si>
  <si>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</si>
  <si>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</si>
  <si>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</si>
  <si>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</si>
  <si>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</si>
  <si>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</si>
  <si>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</si>
  <si>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</si>
  <si>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</si>
  <si>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</si>
  <si>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</si>
  <si>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</si>
  <si>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</si>
  <si>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</si>
  <si>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</si>
  <si>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</si>
  <si>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</si>
  <si>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</si>
  <si>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</si>
  <si>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</si>
  <si>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</si>
  <si>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</si>
  <si>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</si>
  <si>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</si>
  <si>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</si>
  <si>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</si>
  <si>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</si>
  <si>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</si>
  <si>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</si>
  <si>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</si>
  <si>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</si>
  <si>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</si>
  <si>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</si>
  <si>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</si>
  <si>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</si>
  <si>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</si>
  <si>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</si>
  <si>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</si>
  <si>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</si>
  <si>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</si>
  <si>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</si>
  <si>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</si>
  <si>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</si>
  <si>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</si>
  <si>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</si>
  <si>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</si>
  <si>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</si>
  <si>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</si>
  <si>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</si>
  <si>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</si>
  <si>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</si>
  <si>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</si>
  <si>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</si>
  <si>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</si>
  <si>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</si>
  <si>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</si>
  <si>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</si>
  <si>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</si>
  <si>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</si>
  <si>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</si>
  <si>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</si>
  <si>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</si>
  <si>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</si>
  <si>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</si>
  <si>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</si>
  <si>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</si>
  <si>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</si>
  <si>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</si>
  <si>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</si>
  <si>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</si>
  <si>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</si>
  <si>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</si>
  <si>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</si>
  <si>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</si>
  <si>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</si>
  <si>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</si>
  <si>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</si>
  <si>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</si>
  <si>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</si>
  <si>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</si>
  <si>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</si>
  <si>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</si>
  <si>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</si>
  <si>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</si>
  <si>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</si>
  <si>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</si>
  <si>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</si>
  <si>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</si>
  <si>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</si>
  <si>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</si>
  <si>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</si>
  <si>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</si>
  <si>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</si>
  <si>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</si>
  <si>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</si>
  <si>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</si>
  <si>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</si>
  <si>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</si>
  <si>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</si>
  <si>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</si>
  <si>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</si>
  <si>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</si>
  <si>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</si>
  <si>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</si>
  <si>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</si>
  <si>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</si>
  <si>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</si>
  <si>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</si>
  <si>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</si>
  <si>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</si>
  <si>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</si>
  <si>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</si>
  <si>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</si>
  <si>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</si>
  <si>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</si>
  <si>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</si>
  <si>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</si>
  <si>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</si>
  <si>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</si>
  <si>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</si>
  <si>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</si>
  <si>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</si>
  <si>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</si>
  <si>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</si>
  <si>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</si>
  <si>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</si>
  <si>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</si>
  <si>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</si>
  <si>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</si>
  <si>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</si>
  <si>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</si>
  <si>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</si>
  <si>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</si>
  <si>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</si>
  <si>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</si>
  <si>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</si>
  <si>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</si>
  <si>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</si>
  <si>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</si>
  <si>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</si>
  <si>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</si>
  <si>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</si>
  <si>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</si>
  <si>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</si>
  <si>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</si>
  <si>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</si>
  <si>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</si>
  <si>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</si>
  <si>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</si>
  <si>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</si>
  <si>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</si>
  <si>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</si>
  <si>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</si>
  <si>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</si>
  <si>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</si>
  <si>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</si>
  <si>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</si>
  <si>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</si>
  <si>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</si>
  <si>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</si>
  <si>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</si>
  <si>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</si>
  <si>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</si>
  <si>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</si>
  <si>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</si>
  <si>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</si>
  <si>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</si>
  <si>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</si>
  <si>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</si>
  <si>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</si>
  <si>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</si>
  <si>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</si>
  <si>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</si>
  <si>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</si>
  <si>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</si>
  <si>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</si>
  <si>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</si>
  <si>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</si>
  <si>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</si>
  <si>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</si>
  <si>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</si>
  <si>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</si>
  <si>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</si>
  <si>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</si>
  <si>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</si>
  <si>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</si>
  <si>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</si>
  <si>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</si>
  <si>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</si>
  <si>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</si>
  <si>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</si>
  <si>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</si>
  <si>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</si>
  <si>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</si>
  <si>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</si>
  <si>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</si>
  <si>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</si>
  <si>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</si>
  <si>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</si>
  <si>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</si>
  <si>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</si>
  <si>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</si>
  <si>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</si>
  <si>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</si>
  <si>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</si>
  <si>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</si>
  <si>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</si>
  <si>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</si>
  <si>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</si>
  <si>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</si>
  <si>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</si>
  <si>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</si>
  <si>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</si>
  <si>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</si>
  <si>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</si>
  <si>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</si>
  <si>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</si>
  <si>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</si>
  <si>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</si>
  <si>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</si>
  <si>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</si>
  <si>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</si>
  <si>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</si>
  <si>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</si>
  <si>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</si>
  <si>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</si>
  <si>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</si>
  <si>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</si>
  <si>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</si>
  <si>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</si>
  <si>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</si>
  <si>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</si>
  <si>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</si>
  <si>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</si>
  <si>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</si>
  <si>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</si>
  <si>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</si>
  <si>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</si>
  <si>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</si>
  <si>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</si>
  <si>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</si>
  <si>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</si>
  <si>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</si>
  <si>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</si>
  <si>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</si>
  <si>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</si>
  <si>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</si>
  <si>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</si>
  <si>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</si>
  <si>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</si>
  <si>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</si>
  <si>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</si>
  <si>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</si>
  <si>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</si>
  <si>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</si>
  <si>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</si>
  <si>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</si>
  <si>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</si>
  <si>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</si>
  <si>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</si>
  <si>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</si>
  <si>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</si>
  <si>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</si>
  <si>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</si>
  <si>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</si>
  <si>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</si>
  <si>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</si>
  <si>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</si>
  <si>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</si>
  <si>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</si>
  <si>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</si>
  <si>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</si>
  <si>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</si>
  <si>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</si>
  <si>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</si>
  <si>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</si>
  <si>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</si>
  <si>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</si>
  <si>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</si>
  <si>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</si>
  <si>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</si>
  <si>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</si>
  <si>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</si>
  <si>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</si>
  <si>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</si>
  <si>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</si>
  <si>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</si>
  <si>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</si>
  <si>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</si>
  <si>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</si>
  <si>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</si>
  <si>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</si>
  <si>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</si>
  <si>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</si>
  <si>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</si>
  <si>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</si>
  <si>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</si>
  <si>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</si>
  <si>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</si>
  <si>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</si>
  <si>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</si>
  <si>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</si>
  <si>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</si>
  <si>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</si>
  <si>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</si>
  <si>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</si>
  <si>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</si>
  <si>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</si>
  <si>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</si>
  <si>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</si>
  <si>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</si>
  <si>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</si>
  <si>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</si>
  <si>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</si>
  <si>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</si>
  <si>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</si>
  <si>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</si>
  <si>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</si>
  <si>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</si>
  <si>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</si>
  <si>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</si>
  <si>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</si>
  <si>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</si>
  <si>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</si>
  <si>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</si>
  <si>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</si>
  <si>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</si>
  <si>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</si>
  <si>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</si>
  <si>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</si>
  <si>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</si>
  <si>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</si>
  <si>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</si>
  <si>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</si>
  <si>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</si>
  <si>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</si>
  <si>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</si>
  <si>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</si>
  <si>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</si>
  <si>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</si>
  <si>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</si>
  <si>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</si>
  <si>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</si>
  <si>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</si>
  <si>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</si>
  <si>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</si>
  <si>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</si>
  <si>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</si>
  <si>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</si>
  <si>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</si>
  <si>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</si>
  <si>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</si>
  <si>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</si>
  <si>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</si>
  <si>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</si>
  <si>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</si>
  <si>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</si>
  <si>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</si>
  <si>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</si>
  <si>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</si>
  <si>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</si>
  <si>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</si>
  <si>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</si>
  <si>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</si>
  <si>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</si>
  <si>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</si>
  <si>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</si>
  <si>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</si>
  <si>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</si>
  <si>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</si>
  <si>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</si>
  <si>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</si>
  <si>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</si>
  <si>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</si>
  <si>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</si>
  <si>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</si>
  <si>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</si>
  <si>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</si>
  <si>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</si>
  <si>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</si>
  <si>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</si>
  <si>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</si>
  <si>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</si>
  <si>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</si>
  <si>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</si>
  <si>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</si>
  <si>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</si>
  <si>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</si>
  <si>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</si>
  <si>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</si>
  <si>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</si>
  <si>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</si>
  <si>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</si>
  <si>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</si>
  <si>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</si>
  <si>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</si>
  <si>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</si>
  <si>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</si>
  <si>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</si>
  <si>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</si>
  <si>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</si>
  <si>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</si>
  <si>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</si>
  <si>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</si>
  <si>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</si>
  <si>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</si>
  <si>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</si>
  <si>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</si>
  <si>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</si>
  <si>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</si>
  <si>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</si>
  <si>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</si>
  <si>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</si>
  <si>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</si>
  <si>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</si>
  <si>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</si>
  <si>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</si>
  <si>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</si>
  <si>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</si>
  <si>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</si>
  <si>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</si>
  <si>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</si>
  <si>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</si>
  <si>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</si>
  <si>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</si>
  <si>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</si>
  <si>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</si>
  <si>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</si>
  <si>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</si>
  <si>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</si>
  <si>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</si>
  <si>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</si>
  <si>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</si>
  <si>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</si>
  <si>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</si>
  <si>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</si>
  <si>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</si>
  <si>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</si>
  <si>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</si>
  <si>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</si>
  <si>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</si>
  <si>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</si>
  <si>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</si>
  <si>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</si>
  <si>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</si>
  <si>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</si>
  <si>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</si>
  <si>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</si>
  <si>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</si>
  <si>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</si>
  <si>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</si>
  <si>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</si>
  <si>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</si>
  <si>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</si>
  <si>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</si>
  <si>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</si>
  <si>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</si>
  <si>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</si>
  <si>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</si>
  <si>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</si>
  <si>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</si>
  <si>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</si>
  <si>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</si>
  <si>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</si>
  <si>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</si>
  <si>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</si>
  <si>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</si>
  <si>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</si>
  <si>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</si>
  <si>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</si>
  <si>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</si>
  <si>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</si>
  <si>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</si>
  <si>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</si>
  <si>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</si>
  <si>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</si>
  <si>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</si>
  <si>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</si>
  <si>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</si>
  <si>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</si>
  <si>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</si>
  <si>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</si>
  <si>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</si>
  <si>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</si>
  <si>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</si>
  <si>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</si>
  <si>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</si>
  <si>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</si>
  <si>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</si>
  <si>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</si>
  <si>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</si>
  <si>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</si>
  <si>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</si>
  <si>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</si>
  <si>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</si>
  <si>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</si>
  <si>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</si>
  <si>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</si>
  <si>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</si>
  <si>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</si>
  <si>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</si>
  <si>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</si>
  <si>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</si>
  <si>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</si>
  <si>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</si>
  <si>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</si>
  <si>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</si>
  <si>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</si>
  <si>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</si>
  <si>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</si>
  <si>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</si>
  <si>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</si>
  <si>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</si>
  <si>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</si>
  <si>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</si>
  <si>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</si>
  <si>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</si>
  <si>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</si>
  <si>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</si>
  <si>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</si>
  <si>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</si>
  <si>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</si>
  <si>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</si>
  <si>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</si>
  <si>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</si>
  <si>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</si>
  <si>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</si>
  <si>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</si>
  <si>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</si>
  <si>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</si>
  <si>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</si>
  <si>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</si>
  <si>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</si>
  <si>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</si>
  <si>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</si>
  <si>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</si>
  <si>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</si>
  <si>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</si>
  <si>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</si>
  <si>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</si>
  <si>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</si>
  <si>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</si>
  <si>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</si>
  <si>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</si>
  <si>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</si>
  <si>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</si>
  <si>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</si>
  <si>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</si>
  <si>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</si>
  <si>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</si>
  <si>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</si>
  <si>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</si>
  <si>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</si>
  <si>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</si>
  <si>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</si>
  <si>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</si>
  <si>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</si>
  <si>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</si>
  <si>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</si>
  <si>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</si>
  <si>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</si>
  <si>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</si>
  <si>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</si>
  <si>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</si>
  <si>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</si>
  <si>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</si>
  <si>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</si>
  <si>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</si>
  <si>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</si>
  <si>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</si>
  <si>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</si>
  <si>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</si>
  <si>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</si>
  <si>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</si>
  <si>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</si>
  <si>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</si>
  <si>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</si>
  <si>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</si>
  <si>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</si>
  <si>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</si>
  <si>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</si>
  <si>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</si>
  <si>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</si>
  <si>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</si>
  <si>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</si>
  <si>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</si>
  <si>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</si>
  <si>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</si>
  <si>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</si>
  <si>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</si>
  <si>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</si>
  <si>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</si>
  <si>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</si>
  <si>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</si>
  <si>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</si>
  <si>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</si>
  <si>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</si>
  <si>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</si>
  <si>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</si>
  <si>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</si>
  <si>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</si>
  <si>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</si>
  <si>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</si>
  <si>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</si>
  <si>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</si>
  <si>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</si>
  <si>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</si>
  <si>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</si>
  <si>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</si>
  <si>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</si>
  <si>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</si>
  <si>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</si>
  <si>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</si>
  <si>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</si>
  <si>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</si>
  <si>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</si>
  <si>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</si>
  <si>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</si>
  <si>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</si>
  <si>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</si>
  <si>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</si>
  <si>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</si>
  <si>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</si>
  <si>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</si>
  <si>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</si>
  <si>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</si>
  <si>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</si>
  <si>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</si>
  <si>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</si>
  <si>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</si>
  <si>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</si>
  <si>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</si>
  <si>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</si>
  <si>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</si>
  <si>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</si>
  <si>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</si>
  <si>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</si>
  <si>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</si>
  <si>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</si>
  <si>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</si>
  <si>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</si>
  <si>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</si>
  <si>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</si>
  <si>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</si>
  <si>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</si>
  <si>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</si>
  <si>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</si>
  <si>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</si>
  <si>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</si>
  <si>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</si>
  <si>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</si>
  <si>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</si>
  <si>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</si>
  <si>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</si>
  <si>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</si>
  <si>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</si>
  <si>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</si>
  <si>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</si>
  <si>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</si>
  <si>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</si>
  <si>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</si>
  <si>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</si>
  <si>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</si>
  <si>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</si>
  <si>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</si>
  <si>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</si>
  <si>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</si>
  <si>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</si>
  <si>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</si>
  <si>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</si>
  <si>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</si>
  <si>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</si>
  <si>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</si>
  <si>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</si>
  <si>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</si>
  <si>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</si>
  <si>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</si>
  <si>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</si>
  <si>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</si>
  <si>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</si>
  <si>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</si>
  <si>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</si>
  <si>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</si>
  <si>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</si>
  <si>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</si>
  <si>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</si>
  <si>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</si>
  <si>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</si>
  <si>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</si>
  <si>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</si>
  <si>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</si>
  <si>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</si>
  <si>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</si>
  <si>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</si>
  <si>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</si>
  <si>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</si>
  <si>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</si>
  <si>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</si>
  <si>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</si>
  <si>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</si>
  <si>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</si>
  <si>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</si>
  <si>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</si>
  <si>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</si>
  <si>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</si>
  <si>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</si>
  <si>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</si>
  <si>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</si>
  <si>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</si>
  <si>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</si>
  <si>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</si>
  <si>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</si>
  <si>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</si>
  <si>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</si>
  <si>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</si>
  <si>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</si>
  <si>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</si>
  <si>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</si>
  <si>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</si>
  <si>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</si>
  <si>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</si>
  <si>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</si>
  <si>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</si>
  <si>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</si>
  <si>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</si>
  <si>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</si>
  <si>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</si>
  <si>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</si>
  <si>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</si>
  <si>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</si>
  <si>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</si>
  <si>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</si>
  <si>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</si>
  <si>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</si>
  <si>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</si>
  <si>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</si>
  <si>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</si>
  <si>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</si>
  <si>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</si>
  <si>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</si>
  <si>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</si>
  <si>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</si>
  <si>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</si>
  <si>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</si>
  <si>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</si>
  <si>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</si>
  <si>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</si>
  <si>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</si>
  <si>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</si>
  <si>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</si>
  <si>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</si>
  <si>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</si>
  <si>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</si>
  <si>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</si>
  <si>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</si>
  <si>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</si>
  <si>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</si>
  <si>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</si>
  <si>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</si>
  <si>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</si>
  <si>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</si>
  <si>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</si>
  <si>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</si>
  <si>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</si>
  <si>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</si>
  <si>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</si>
  <si>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</si>
  <si>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</si>
  <si>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</si>
  <si>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</si>
  <si>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</si>
  <si>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</si>
  <si>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</si>
  <si>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</si>
  <si>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</si>
  <si>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</si>
  <si>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</si>
  <si>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</si>
  <si>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</si>
  <si>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</si>
  <si>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</si>
  <si>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</si>
  <si>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</si>
  <si>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</si>
  <si>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</si>
  <si>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</si>
  <si>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</si>
  <si>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</si>
  <si>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</si>
  <si>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</si>
  <si>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</si>
  <si>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</si>
  <si>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</si>
  <si>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</si>
  <si>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</si>
  <si>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</si>
  <si>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</si>
  <si>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</si>
  <si>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</si>
  <si>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</si>
  <si>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</si>
  <si>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</si>
  <si>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</si>
  <si>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</si>
  <si>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</si>
  <si>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</si>
  <si>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</si>
  <si>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</si>
  <si>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</si>
  <si>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</si>
  <si>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</si>
  <si>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</si>
  <si>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</si>
  <si>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</si>
  <si>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</si>
  <si>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</si>
  <si>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</si>
  <si>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</si>
  <si>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</si>
  <si>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</si>
  <si>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</si>
  <si>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</si>
  <si>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</si>
  <si>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</si>
  <si>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</si>
  <si>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</si>
  <si>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</si>
  <si>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</si>
  <si>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</si>
  <si>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</si>
  <si>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</si>
  <si>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</si>
  <si>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</si>
  <si>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</si>
  <si>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</si>
  <si>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</si>
  <si>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</si>
  <si>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</si>
  <si>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</si>
  <si>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</si>
  <si>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</si>
  <si>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</si>
  <si>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</si>
  <si>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</si>
  <si>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</si>
  <si>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</si>
  <si>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</si>
  <si>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</si>
  <si>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</si>
  <si>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</si>
  <si>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</si>
  <si>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</si>
  <si>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</si>
  <si>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</si>
  <si>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</si>
  <si>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</si>
  <si>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</si>
  <si>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</si>
  <si>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</si>
  <si>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</si>
  <si>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</si>
  <si>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</si>
  <si>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</si>
  <si>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</si>
  <si>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</si>
  <si>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</si>
  <si>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</si>
  <si>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</si>
  <si>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</si>
  <si>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</si>
  <si>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</si>
  <si>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</si>
  <si>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</si>
  <si>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</si>
  <si>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</si>
  <si>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</si>
  <si>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</si>
  <si>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</si>
  <si>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</si>
  <si>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</si>
  <si>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</si>
  <si>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</si>
  <si>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</si>
  <si>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</si>
  <si>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</si>
  <si>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</si>
  <si>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</si>
  <si>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</si>
  <si>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</si>
  <si>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</si>
  <si>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</si>
  <si>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</si>
  <si>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</si>
  <si>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</si>
  <si>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</si>
  <si>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</si>
  <si>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</si>
  <si>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</si>
  <si>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</si>
  <si>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</si>
  <si>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</si>
  <si>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</si>
  <si>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</si>
  <si>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</si>
  <si>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</si>
  <si>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</si>
  <si>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</si>
  <si>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</si>
  <si>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</si>
  <si>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</si>
  <si>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</si>
  <si>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</si>
  <si>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</si>
  <si>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</si>
  <si>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</si>
  <si>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</si>
  <si>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</si>
  <si>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</si>
  <si>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</si>
  <si>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</si>
  <si>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</si>
  <si>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</si>
  <si>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</si>
  <si>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</si>
  <si>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</si>
  <si>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</si>
  <si>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</si>
  <si>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</si>
  <si>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</si>
  <si>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</si>
  <si>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</si>
  <si>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</si>
  <si>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</si>
  <si>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</si>
  <si>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</si>
  <si>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</si>
  <si>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</si>
  <si>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</si>
  <si>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</si>
  <si>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</si>
  <si>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</si>
  <si>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</si>
  <si>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</si>
  <si>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</si>
  <si>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</si>
  <si>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</si>
  <si>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</si>
  <si>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</si>
  <si>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</si>
  <si>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</si>
  <si>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</si>
  <si>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</si>
  <si>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</si>
  <si>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</si>
  <si>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</si>
  <si>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</si>
  <si>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</si>
  <si>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</si>
  <si>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</si>
  <si>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</si>
  <si>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</si>
  <si>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</si>
  <si>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</si>
  <si>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</si>
  <si>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</si>
  <si>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</si>
  <si>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</si>
  <si>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</si>
  <si>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</si>
  <si>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</si>
  <si>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</si>
  <si>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</si>
  <si>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</si>
  <si>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</si>
  <si>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</si>
  <si>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</si>
  <si>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</si>
  <si>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</si>
  <si>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</si>
  <si>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</si>
  <si>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</si>
  <si>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</si>
  <si>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</si>
  <si>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</si>
  <si>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</si>
  <si>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</si>
  <si>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</si>
  <si>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</si>
  <si>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</si>
  <si>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</si>
  <si>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</si>
  <si>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</si>
  <si>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</si>
  <si>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</si>
  <si>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</si>
  <si>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</si>
  <si>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</si>
  <si>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</si>
  <si>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</si>
  <si>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</si>
  <si>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</si>
  <si>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</si>
  <si>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</si>
  <si>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</si>
  <si>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</si>
  <si>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</si>
  <si>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</si>
  <si>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</si>
  <si>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</si>
  <si>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</si>
  <si>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</si>
  <si>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</si>
  <si>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</si>
  <si>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</si>
  <si>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</si>
  <si>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</si>
  <si>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</si>
  <si>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</si>
  <si>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</si>
  <si>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</si>
  <si>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</si>
  <si>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</si>
  <si>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</si>
  <si>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</si>
  <si>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</si>
  <si>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</si>
  <si>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</si>
  <si>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</si>
  <si>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</si>
  <si>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</si>
  <si>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</si>
  <si>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</si>
  <si>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</si>
  <si>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</si>
  <si>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</si>
  <si>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</si>
  <si>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</si>
  <si>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</si>
  <si>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</si>
  <si>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</si>
  <si>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</si>
  <si>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</si>
  <si>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</si>
  <si>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</si>
  <si>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</si>
  <si>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</si>
  <si>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</si>
  <si>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</si>
  <si>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</si>
  <si>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</si>
  <si>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</si>
  <si>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</si>
  <si>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</si>
  <si>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</si>
  <si>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</si>
  <si>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</si>
  <si>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</si>
  <si>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</si>
  <si>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</si>
  <si>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</si>
  <si>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</si>
  <si>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</si>
  <si>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</si>
  <si>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</si>
  <si>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</si>
  <si>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</si>
  <si>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</si>
  <si>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</si>
  <si>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</si>
  <si>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</si>
  <si>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</si>
  <si>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</si>
  <si>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</si>
  <si>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</si>
  <si>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</si>
  <si>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</si>
  <si>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</si>
  <si>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</si>
  <si>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</si>
  <si>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</si>
  <si>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</si>
  <si>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</si>
  <si>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</si>
  <si>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</si>
  <si>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</si>
  <si>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</si>
  <si>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</si>
  <si>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</si>
  <si>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</si>
  <si>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</si>
  <si>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</si>
  <si>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</si>
  <si>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</si>
  <si>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</si>
  <si>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</si>
  <si>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</si>
  <si>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</si>
  <si>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</si>
  <si>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</si>
  <si>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</si>
  <si>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</si>
  <si>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</si>
  <si>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</si>
  <si>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</si>
  <si>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</si>
  <si>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</si>
  <si>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</si>
  <si>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</si>
  <si>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</si>
  <si>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</si>
  <si>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</si>
  <si>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</si>
  <si>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</si>
  <si>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</si>
  <si>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</si>
  <si>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</si>
  <si>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</si>
  <si>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</si>
  <si>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</si>
  <si>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</si>
  <si>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</si>
  <si>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</si>
  <si>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</si>
  <si>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</si>
  <si>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</si>
  <si>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</si>
  <si>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</si>
  <si>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</si>
  <si>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</si>
  <si>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</si>
  <si>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</si>
  <si>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</si>
  <si>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</si>
  <si>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</si>
  <si>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</si>
  <si>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</si>
  <si>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</si>
  <si>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</si>
  <si>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</si>
  <si>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</si>
  <si>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</si>
  <si>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</si>
  <si>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</si>
  <si>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</si>
  <si>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</si>
  <si>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</si>
  <si>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</si>
  <si>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</si>
  <si>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</si>
  <si>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</si>
  <si>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</si>
  <si>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</si>
  <si>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</si>
  <si>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</si>
  <si>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</si>
  <si>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</si>
  <si>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</si>
  <si>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</si>
  <si>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</si>
  <si>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</si>
  <si>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</si>
  <si>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</si>
  <si>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</si>
  <si>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</si>
  <si>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</si>
  <si>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</si>
  <si>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</si>
  <si>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</si>
  <si>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</si>
  <si>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</si>
  <si>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</si>
  <si>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</si>
  <si>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</si>
  <si>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</si>
  <si>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</si>
  <si>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</si>
  <si>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</si>
  <si>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</si>
  <si>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</si>
  <si>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</si>
  <si>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</si>
  <si>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</si>
  <si>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</si>
  <si>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</si>
  <si>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</si>
  <si>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</si>
  <si>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</si>
  <si>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</si>
  <si>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</si>
  <si>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</si>
  <si>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</si>
  <si>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</si>
  <si>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</si>
  <si>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</si>
  <si>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</si>
  <si>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</si>
  <si>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</si>
  <si>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</si>
  <si>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</si>
  <si>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</si>
  <si>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</si>
  <si>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</si>
  <si>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</si>
  <si>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</si>
  <si>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</si>
  <si>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</si>
  <si>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</si>
  <si>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</si>
  <si>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</si>
  <si>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</si>
  <si>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</si>
  <si>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</si>
  <si>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</si>
  <si>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</si>
  <si>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</si>
  <si>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</si>
  <si>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</si>
  <si>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</si>
  <si>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</si>
  <si>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</si>
  <si>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</si>
  <si>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</si>
  <si>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</si>
  <si>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</si>
  <si>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</si>
  <si>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</si>
  <si>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</si>
  <si>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</si>
  <si>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</si>
  <si>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</si>
  <si>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</si>
  <si>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</si>
  <si>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</si>
  <si>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</si>
  <si>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</si>
  <si>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</si>
  <si>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</si>
  <si>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</si>
  <si>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</si>
  <si>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</si>
  <si>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</si>
  <si>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</si>
  <si>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</si>
  <si>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</si>
  <si>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</si>
  <si>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</si>
  <si>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</si>
  <si>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</si>
  <si>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</si>
  <si>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</si>
  <si>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</si>
  <si>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</si>
  <si>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</si>
  <si>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</si>
  <si>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</si>
  <si>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</si>
  <si>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</si>
  <si>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</si>
  <si>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</si>
  <si>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</si>
  <si>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</si>
  <si>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</si>
  <si>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</si>
  <si>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</si>
  <si>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</si>
  <si>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</si>
  <si>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</si>
  <si>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</si>
  <si>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</si>
  <si>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</si>
  <si>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</si>
  <si>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</si>
  <si>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</si>
  <si>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</si>
  <si>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</si>
  <si>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</si>
  <si>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</si>
  <si>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</si>
  <si>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</si>
  <si>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</si>
  <si>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</si>
  <si>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</si>
  <si>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</si>
  <si>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</si>
  <si>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</si>
  <si>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</si>
  <si>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</si>
  <si>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</si>
  <si>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</si>
  <si>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</si>
  <si>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</si>
  <si>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</si>
  <si>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</si>
  <si>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</si>
  <si>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</si>
  <si>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</si>
  <si>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</si>
  <si>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</si>
  <si>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</si>
  <si>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</si>
  <si>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</si>
  <si>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</si>
  <si>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</si>
  <si>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</si>
  <si>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</si>
  <si>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</si>
  <si>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</si>
  <si>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</si>
  <si>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</si>
  <si>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</si>
  <si>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</si>
  <si>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</si>
  <si>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</si>
  <si>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</si>
  <si>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</si>
  <si>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</si>
  <si>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</si>
  <si>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</si>
  <si>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</si>
  <si>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</si>
  <si>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</si>
  <si>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</si>
  <si>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</si>
  <si>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</si>
  <si>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</si>
  <si>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</si>
  <si>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</si>
  <si>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</si>
  <si>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</si>
  <si>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</si>
  <si>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</si>
  <si>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</si>
  <si>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</si>
  <si>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</si>
  <si>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</si>
  <si>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</si>
  <si>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</si>
  <si>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</si>
  <si>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</si>
  <si>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</si>
  <si>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</si>
  <si>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</si>
  <si>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</si>
  <si>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</si>
  <si>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</si>
  <si>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</si>
  <si>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</si>
  <si>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</si>
  <si>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</si>
  <si>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</si>
  <si>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</si>
  <si>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</si>
  <si>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</si>
  <si>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</si>
  <si>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</si>
  <si>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</si>
  <si>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</si>
  <si>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</si>
  <si>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</si>
  <si>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</si>
  <si>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</si>
  <si>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</si>
  <si>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</si>
  <si>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</si>
  <si>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</si>
  <si>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</si>
  <si>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</si>
  <si>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</si>
  <si>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</si>
  <si>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</si>
  <si>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</si>
  <si>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</si>
  <si>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</si>
  <si>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</si>
  <si>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</si>
  <si>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</si>
  <si>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</si>
  <si>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</si>
  <si>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</si>
  <si>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</si>
  <si>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</si>
  <si>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</si>
  <si>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</si>
  <si>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</si>
  <si>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</si>
  <si>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</si>
  <si>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</si>
  <si>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</si>
  <si>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</si>
  <si>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</si>
  <si>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</si>
  <si>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</si>
  <si>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</si>
  <si>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</si>
  <si>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</si>
  <si>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</si>
  <si>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</si>
  <si>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</si>
  <si>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</si>
  <si>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</si>
  <si>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</si>
  <si>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</si>
  <si>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</si>
  <si>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</si>
  <si>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</si>
  <si>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</si>
  <si>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</si>
  <si>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</si>
  <si>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</si>
  <si>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</si>
  <si>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</si>
  <si>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</si>
  <si>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</si>
  <si>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</si>
  <si>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</si>
  <si>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</si>
  <si>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</si>
  <si>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</si>
  <si>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</si>
  <si>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</si>
  <si>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</si>
  <si>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</si>
  <si>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</si>
  <si>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</si>
  <si>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</si>
  <si>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</si>
  <si>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</si>
  <si>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</si>
  <si>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</si>
  <si>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</si>
  <si>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</si>
  <si>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</si>
  <si>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</si>
  <si>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</si>
  <si>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</si>
  <si>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</si>
  <si>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</si>
  <si>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</si>
  <si>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</si>
  <si>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</si>
  <si>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</si>
  <si>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</si>
  <si>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</si>
  <si>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</si>
  <si>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</si>
  <si>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</si>
  <si>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</si>
  <si>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</si>
  <si>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</si>
  <si>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</si>
  <si>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</si>
  <si>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</si>
  <si>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</si>
  <si>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</si>
  <si>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</si>
  <si>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</si>
  <si>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</si>
  <si>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</si>
  <si>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</si>
  <si>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</si>
  <si>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</si>
  <si>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</si>
  <si>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</si>
  <si>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</si>
  <si>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</si>
  <si>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</si>
  <si>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</si>
  <si>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</si>
  <si>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</si>
  <si>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</si>
  <si>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</si>
  <si>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</si>
  <si>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</si>
  <si>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</si>
  <si>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</si>
  <si>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</si>
  <si>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</si>
  <si>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</si>
  <si>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</si>
  <si>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</si>
  <si>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</si>
  <si>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</si>
  <si>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</si>
  <si>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</si>
  <si>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</si>
  <si>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</si>
  <si>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</si>
  <si>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</si>
  <si>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</si>
  <si>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</si>
  <si>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</si>
  <si>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</si>
  <si>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</si>
  <si>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</si>
  <si>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</si>
  <si>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</si>
  <si>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</si>
  <si>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</si>
  <si>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</si>
  <si>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</si>
  <si>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</si>
  <si>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</si>
  <si>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</si>
  <si>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</si>
  <si>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</si>
  <si>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</si>
  <si>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</si>
  <si>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</si>
  <si>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</si>
  <si>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</si>
  <si>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</si>
  <si>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</si>
  <si>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</si>
  <si>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</si>
  <si>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</si>
  <si>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</si>
  <si>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</si>
  <si>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</si>
  <si>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</si>
  <si>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</si>
  <si>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</si>
  <si>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</si>
  <si>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</si>
  <si>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</si>
  <si>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</si>
  <si>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</si>
  <si>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</si>
  <si>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</si>
  <si>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</si>
  <si>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</si>
  <si>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</si>
  <si>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</si>
  <si>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</si>
  <si>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</si>
  <si>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</si>
  <si>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</si>
  <si>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</si>
  <si>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</si>
  <si>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</si>
  <si>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</si>
  <si>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</si>
  <si>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</si>
  <si>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</si>
  <si>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</si>
  <si>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</si>
  <si>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</si>
  <si>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</si>
  <si>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</si>
  <si>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</si>
  <si>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</si>
  <si>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</si>
  <si>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</si>
  <si>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</si>
  <si>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</si>
  <si>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</si>
  <si>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</si>
  <si>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</si>
  <si>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</si>
  <si>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</si>
  <si>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</si>
  <si>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</si>
  <si>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</si>
  <si>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</si>
  <si>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</si>
  <si>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</si>
  <si>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</si>
  <si>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</si>
  <si>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</si>
  <si>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</si>
  <si>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</si>
  <si>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</si>
  <si>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</si>
  <si>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</si>
  <si>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</si>
  <si>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</si>
  <si>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</si>
  <si>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</si>
  <si>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</si>
  <si>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</si>
  <si>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</si>
  <si>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</si>
  <si>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</si>
  <si>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</si>
  <si>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</si>
  <si>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</si>
  <si>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</si>
  <si>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</si>
  <si>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</si>
  <si>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</si>
  <si>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</si>
  <si>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</si>
  <si>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</si>
  <si>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</si>
  <si>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</si>
  <si>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</si>
  <si>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</si>
  <si>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</si>
  <si>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</si>
  <si>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</si>
  <si>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</si>
  <si>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</si>
  <si>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</si>
  <si>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</si>
  <si>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</si>
  <si>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</si>
  <si>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</si>
  <si>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</si>
  <si>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</si>
  <si>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</si>
  <si>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</si>
  <si>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</si>
  <si>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</si>
  <si>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</si>
  <si>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</si>
  <si>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</si>
  <si>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</si>
  <si>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</si>
  <si>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</si>
  <si>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</si>
  <si>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</si>
  <si>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</si>
  <si>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</si>
  <si>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</si>
  <si>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</si>
  <si>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</si>
  <si>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</si>
  <si>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</si>
  <si>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</si>
  <si>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</si>
  <si>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</si>
  <si>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</si>
  <si>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</si>
  <si>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</si>
  <si>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</si>
  <si>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</si>
  <si>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</si>
  <si>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</si>
  <si>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</si>
  <si>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</si>
  <si>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</si>
  <si>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</si>
  <si>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</si>
  <si>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</si>
  <si>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</si>
  <si>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</si>
  <si>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</si>
  <si>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</si>
  <si>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</si>
  <si>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</si>
  <si>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</si>
  <si>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</si>
  <si>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</si>
  <si>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</si>
  <si>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</si>
  <si>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</si>
  <si>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</si>
  <si>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</si>
  <si>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</si>
  <si>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</si>
  <si>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</si>
  <si>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</si>
  <si>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</si>
  <si>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</si>
  <si>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</si>
  <si>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</si>
  <si>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</si>
  <si>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</si>
  <si>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</si>
  <si>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</si>
  <si>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</si>
  <si>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</si>
  <si>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</si>
  <si>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</si>
  <si>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</si>
  <si>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</si>
  <si>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</si>
  <si>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</si>
  <si>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</si>
  <si>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</si>
  <si>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</si>
  <si>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</si>
  <si>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</si>
  <si>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</si>
  <si>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</si>
  <si>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</si>
  <si>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</si>
  <si>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</si>
  <si>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</si>
  <si>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</si>
  <si>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</si>
  <si>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</si>
  <si>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</si>
  <si>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</si>
  <si>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</si>
  <si>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</si>
  <si>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</si>
  <si>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</si>
  <si>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</si>
  <si>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</si>
  <si>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</si>
  <si>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</si>
  <si>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</si>
  <si>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</si>
  <si>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</si>
  <si>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</si>
  <si>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</si>
  <si>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</si>
  <si>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</si>
  <si>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</si>
  <si>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</si>
  <si>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</si>
  <si>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</si>
  <si>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</si>
  <si>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</si>
  <si>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</si>
  <si>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</si>
  <si>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</si>
  <si>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</si>
  <si>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</si>
  <si>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</si>
  <si>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</si>
  <si>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</si>
  <si>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</si>
  <si>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</si>
  <si>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</si>
  <si>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</si>
  <si>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</si>
  <si>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</si>
  <si>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</si>
  <si>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</si>
  <si>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</si>
  <si>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</si>
  <si>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</si>
  <si>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</si>
  <si>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</si>
  <si>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</si>
  <si>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</si>
  <si>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</si>
  <si>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</si>
  <si>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</si>
  <si>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</si>
  <si>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</si>
  <si>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</si>
  <si>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</si>
  <si>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</si>
  <si>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</si>
  <si>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</si>
  <si>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</si>
  <si>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</si>
  <si>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</si>
  <si>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</si>
  <si>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</si>
  <si>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</si>
  <si>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</si>
  <si>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</si>
  <si>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</si>
  <si>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</si>
  <si>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</si>
  <si>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</si>
  <si>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</si>
  <si>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</si>
  <si>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</si>
  <si>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</si>
  <si>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</si>
  <si>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</si>
  <si>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</si>
  <si>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</si>
  <si>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</si>
  <si>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</si>
  <si>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</si>
  <si>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</si>
  <si>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</si>
  <si>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</si>
  <si>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</si>
  <si>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</si>
  <si>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</si>
  <si>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</si>
  <si>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</si>
  <si>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</si>
  <si>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</si>
  <si>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</si>
  <si>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</si>
  <si>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</si>
  <si>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</si>
  <si>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</si>
  <si>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</si>
  <si>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</si>
  <si>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</si>
  <si>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</si>
  <si>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</si>
  <si>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</si>
  <si>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</si>
  <si>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</si>
  <si>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</si>
  <si>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</si>
  <si>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</si>
  <si>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</si>
  <si>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</si>
  <si>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</si>
  <si>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</si>
  <si>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</si>
  <si>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</si>
  <si>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</si>
  <si>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</si>
  <si>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</si>
  <si>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</si>
  <si>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</si>
  <si>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</si>
  <si>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</si>
  <si>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</si>
  <si>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</si>
  <si>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</si>
  <si>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</si>
  <si>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</si>
  <si>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</si>
  <si>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</si>
  <si>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</si>
  <si>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</si>
  <si>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</si>
  <si>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</si>
  <si>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</si>
  <si>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</si>
  <si>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</si>
  <si>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</si>
  <si>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</si>
  <si>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</si>
  <si>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</si>
  <si>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</si>
  <si>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</si>
  <si>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</si>
  <si>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</si>
  <si>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</si>
  <si>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</si>
  <si>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</si>
  <si>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</si>
  <si>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</si>
  <si>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</si>
  <si>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</si>
  <si>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</si>
  <si>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</si>
  <si>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</si>
  <si>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</si>
  <si>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</si>
  <si>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</si>
  <si>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</si>
  <si>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</si>
  <si>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</si>
  <si>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</si>
  <si>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</si>
  <si>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</si>
  <si>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</si>
  <si>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</si>
  <si>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</si>
  <si>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</si>
  <si>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</si>
  <si>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</si>
  <si>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</si>
  <si>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</si>
  <si>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</si>
  <si>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</si>
  <si>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</si>
  <si>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</si>
  <si>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</si>
  <si>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</si>
  <si>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</si>
  <si>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</si>
  <si>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</si>
  <si>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</si>
  <si>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</si>
  <si>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</si>
  <si>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</si>
  <si>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</si>
  <si>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</si>
  <si>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</si>
  <si>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</si>
  <si>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</si>
  <si>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</si>
  <si>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</si>
  <si>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</si>
  <si>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</si>
  <si>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</si>
  <si>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</si>
  <si>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</si>
  <si>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</si>
  <si>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</si>
  <si>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</si>
  <si>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</si>
  <si>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</si>
  <si>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</si>
  <si>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</si>
  <si>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</si>
  <si>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</si>
  <si>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</si>
  <si>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</si>
  <si>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</si>
  <si>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</si>
  <si>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</si>
  <si>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</si>
  <si>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</si>
  <si>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</si>
  <si>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</si>
  <si>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</si>
  <si>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</si>
  <si>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</si>
  <si>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</si>
  <si>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</si>
  <si>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</si>
  <si>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</si>
  <si>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</si>
  <si>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</si>
  <si>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</si>
  <si>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</si>
  <si>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</si>
  <si>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</si>
  <si>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</si>
  <si>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</si>
  <si>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</si>
  <si>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</si>
  <si>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</si>
  <si>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</si>
  <si>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</si>
  <si>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</si>
  <si>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</si>
  <si>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</si>
  <si>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</si>
  <si>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</si>
  <si>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</si>
  <si>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</si>
  <si>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</si>
  <si>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</si>
  <si>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</si>
  <si>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</si>
  <si>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</si>
  <si>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</si>
  <si>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</si>
  <si>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</si>
  <si>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</si>
  <si>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</si>
  <si>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</si>
  <si>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</si>
  <si>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</si>
  <si>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</si>
  <si>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</si>
  <si>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</si>
  <si>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</si>
  <si>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</si>
  <si>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</si>
  <si>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</si>
  <si>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</si>
  <si>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</si>
  <si>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</si>
  <si>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</si>
  <si>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</si>
  <si>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</si>
  <si>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</si>
  <si>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</si>
  <si>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</si>
  <si>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</si>
  <si>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</si>
  <si>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</si>
  <si>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</si>
  <si>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</si>
  <si>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</si>
  <si>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</si>
  <si>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</si>
  <si>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</si>
  <si>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</si>
  <si>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</si>
  <si>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</si>
  <si>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</si>
  <si>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</si>
  <si>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</si>
  <si>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</si>
  <si>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</si>
  <si>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</si>
  <si>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</si>
  <si>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</si>
  <si>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</si>
  <si>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</si>
  <si>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</si>
  <si>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</si>
  <si>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</si>
  <si>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</si>
  <si>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</si>
  <si>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</si>
  <si>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</si>
  <si>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</si>
  <si>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</si>
  <si>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</si>
  <si>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</si>
  <si>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</si>
  <si>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</si>
  <si>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</si>
  <si>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</si>
  <si>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</si>
  <si>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</si>
  <si>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</si>
  <si>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</si>
  <si>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</si>
  <si>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</si>
  <si>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</si>
  <si>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</si>
  <si>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</si>
  <si>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</si>
  <si>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</si>
  <si>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</si>
  <si>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</si>
  <si>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</si>
  <si>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</si>
  <si>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</si>
  <si>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</si>
  <si>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</si>
  <si>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</si>
  <si>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</si>
  <si>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</si>
  <si>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</si>
  <si>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</si>
  <si>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</si>
  <si>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</si>
  <si>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</si>
  <si>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</si>
  <si>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</si>
  <si>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</si>
  <si>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</si>
  <si>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</si>
  <si>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</si>
  <si>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</si>
  <si>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</si>
  <si>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</si>
  <si>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</si>
  <si>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</si>
  <si>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</si>
  <si>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</si>
  <si>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</si>
  <si>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</si>
  <si>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</si>
  <si>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</si>
  <si>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</si>
  <si>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</si>
  <si>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</si>
  <si>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</si>
  <si>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</si>
  <si>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</si>
  <si>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</si>
  <si>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</si>
  <si>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</si>
  <si>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</si>
  <si>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</si>
  <si>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</si>
  <si>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</si>
  <si>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</si>
  <si>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</si>
  <si>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</si>
  <si>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</si>
  <si>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</si>
  <si>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</si>
  <si>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</si>
  <si>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</si>
  <si>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</si>
  <si>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</si>
  <si>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</si>
  <si>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</si>
  <si>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</si>
  <si>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</si>
  <si>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</si>
  <si>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</si>
  <si>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</si>
  <si>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</si>
  <si>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</si>
  <si>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</si>
  <si>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</si>
  <si>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</si>
  <si>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</si>
  <si>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</si>
  <si>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</si>
  <si>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</si>
  <si>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</si>
  <si>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</si>
  <si>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</si>
  <si>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</si>
  <si>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</si>
  <si>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</si>
  <si>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</si>
  <si>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</si>
  <si>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</si>
  <si>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</si>
  <si>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</si>
  <si>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</si>
  <si>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</si>
  <si>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</si>
  <si>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</si>
  <si>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</si>
  <si>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</si>
  <si>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</si>
  <si>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</si>
  <si>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</si>
  <si>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</si>
  <si>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</si>
  <si>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</si>
  <si>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</si>
  <si>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</si>
  <si>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</si>
  <si>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</si>
  <si>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</si>
  <si>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</si>
  <si>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</si>
  <si>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</si>
  <si>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</si>
  <si>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</si>
  <si>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</si>
  <si>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</si>
  <si>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</si>
  <si>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</si>
  <si>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</si>
  <si>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</si>
  <si>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</si>
  <si>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</si>
  <si>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</si>
  <si>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</si>
  <si>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</si>
  <si>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</si>
  <si>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</si>
  <si>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</si>
  <si>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</si>
  <si>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</si>
  <si>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</si>
  <si>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</si>
  <si>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</si>
  <si>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</si>
  <si>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</si>
  <si>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</si>
  <si>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</si>
  <si>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</si>
  <si>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</si>
  <si>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</si>
  <si>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</si>
  <si>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</si>
  <si>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</si>
  <si>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</si>
  <si>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</si>
  <si>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</si>
  <si>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</si>
  <si>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</si>
  <si>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</si>
  <si>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</si>
  <si>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</si>
  <si>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</si>
  <si>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</si>
  <si>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</si>
  <si>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</si>
  <si>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</si>
  <si>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</si>
  <si>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</si>
  <si>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</si>
  <si>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</si>
  <si>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</si>
  <si>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</si>
  <si>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</si>
  <si>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</si>
  <si>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</si>
  <si>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</si>
  <si>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</si>
  <si>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</si>
  <si>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</si>
  <si>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</si>
  <si>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</si>
  <si>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</si>
  <si>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</si>
  <si>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</si>
  <si>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</si>
  <si>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</si>
  <si>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</si>
  <si>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</si>
  <si>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</si>
  <si>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</si>
  <si>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</si>
  <si>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</si>
  <si>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</si>
  <si>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</si>
  <si>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</si>
  <si>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</si>
  <si>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</si>
  <si>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</si>
  <si>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</si>
  <si>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</si>
  <si>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</si>
  <si>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</si>
  <si>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</si>
  <si>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</si>
  <si>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</si>
  <si>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</si>
  <si>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</si>
  <si>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</si>
  <si>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</si>
  <si>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</si>
  <si>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</si>
  <si>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</si>
  <si>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</si>
  <si>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</si>
  <si>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</si>
  <si>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</si>
  <si>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</si>
  <si>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</si>
  <si>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</si>
  <si>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</si>
  <si>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</si>
  <si>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</si>
  <si>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</si>
  <si>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</si>
  <si>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</si>
  <si>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</si>
  <si>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</si>
  <si>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</si>
  <si>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</si>
  <si>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</si>
  <si>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</si>
  <si>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</si>
  <si>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</si>
  <si>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</si>
  <si>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</si>
  <si>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</si>
  <si>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</si>
  <si>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</si>
  <si>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</si>
  <si>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</si>
  <si>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</si>
  <si>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</si>
  <si>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</si>
  <si>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</si>
  <si>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</si>
  <si>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</si>
  <si>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</si>
  <si>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</si>
  <si>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</si>
  <si>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</si>
  <si>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</si>
  <si>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</si>
  <si>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</si>
  <si>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</si>
  <si>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</si>
  <si>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</si>
  <si>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</si>
  <si>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</si>
  <si>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</si>
  <si>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</si>
  <si>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</si>
  <si>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</si>
  <si>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</si>
  <si>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</si>
  <si>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</si>
  <si>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</si>
  <si>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</si>
  <si>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</si>
  <si>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</si>
  <si>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</si>
  <si>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</si>
  <si>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</si>
  <si>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</si>
  <si>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</si>
  <si>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</si>
  <si>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</si>
  <si>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</si>
  <si>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</si>
  <si>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</si>
  <si>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</si>
  <si>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</si>
  <si>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</si>
  <si>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</si>
  <si>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</si>
  <si>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</si>
  <si>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</si>
  <si>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</si>
  <si>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</si>
  <si>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</si>
  <si>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</si>
  <si>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</si>
  <si>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</si>
  <si>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</si>
  <si>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</si>
  <si>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</si>
  <si>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</si>
  <si>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</si>
  <si>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</si>
  <si>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</si>
  <si>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</si>
  <si>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</si>
  <si>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</si>
  <si>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</si>
  <si>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</si>
  <si>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</si>
  <si>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</si>
  <si>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</si>
  <si>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</si>
  <si>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</si>
  <si>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</si>
  <si>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</si>
  <si>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</si>
  <si>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</si>
  <si>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</si>
  <si>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</si>
  <si>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</si>
  <si>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</si>
  <si>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</si>
  <si>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</si>
  <si>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</si>
  <si>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</si>
  <si>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</si>
  <si>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</si>
  <si>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</si>
  <si>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</si>
  <si>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</si>
  <si>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</si>
  <si>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</si>
  <si>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</si>
  <si>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</si>
  <si>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</si>
  <si>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</si>
  <si>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</si>
  <si>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</si>
  <si>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</si>
  <si>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</si>
  <si>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</si>
  <si>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</si>
  <si>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</si>
  <si>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</si>
  <si>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</si>
  <si>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</si>
  <si>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</si>
  <si>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</si>
  <si>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</si>
  <si>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</si>
  <si>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</si>
  <si>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</si>
  <si>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</si>
  <si>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</si>
  <si>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</si>
  <si>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</si>
  <si>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</si>
  <si>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</si>
  <si>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</si>
  <si>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</si>
  <si>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</si>
  <si>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</si>
  <si>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</si>
  <si>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</si>
  <si>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</si>
  <si>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</si>
  <si>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</si>
  <si>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</si>
  <si>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</si>
  <si>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</si>
  <si>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</si>
  <si>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</si>
  <si>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</si>
  <si>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</si>
  <si>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</si>
  <si>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</si>
  <si>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</si>
  <si>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</si>
  <si>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</si>
  <si>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</si>
  <si>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</si>
  <si>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</si>
  <si>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</si>
  <si>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</si>
  <si>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</si>
  <si>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</si>
  <si>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</si>
  <si>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</si>
  <si>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</si>
  <si>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</si>
  <si>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</si>
  <si>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</si>
  <si>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</si>
  <si>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</si>
  <si>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</si>
  <si>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</si>
  <si>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</si>
  <si>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</si>
  <si>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</si>
  <si>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</si>
  <si>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</si>
  <si>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</si>
  <si>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</si>
  <si>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</si>
  <si>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</si>
  <si>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</si>
  <si>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</si>
  <si>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</si>
  <si>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</si>
  <si>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</si>
  <si>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</si>
  <si>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</si>
  <si>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</si>
  <si>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</si>
  <si>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</si>
  <si>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</si>
  <si>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</si>
  <si>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</si>
  <si>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</si>
  <si>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</si>
  <si>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</si>
  <si>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</si>
  <si>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</si>
  <si>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</si>
  <si>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</si>
  <si>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</si>
  <si>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</si>
  <si>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</si>
  <si>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</si>
  <si>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</si>
  <si>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</si>
  <si>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</si>
  <si>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</si>
  <si>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</si>
  <si>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</si>
  <si>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</si>
  <si>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</si>
  <si>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</si>
  <si>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</si>
  <si>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</si>
  <si>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</si>
  <si>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</si>
  <si>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</si>
  <si>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</si>
  <si>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</si>
  <si>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</si>
  <si>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</si>
  <si>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</si>
  <si>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</si>
  <si>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</si>
  <si>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</si>
  <si>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</si>
  <si>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</si>
  <si>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</si>
  <si>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</si>
  <si>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</si>
  <si>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</si>
  <si>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</si>
  <si>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</si>
  <si>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</si>
  <si>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</si>
  <si>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</si>
  <si>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</si>
  <si>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</si>
  <si>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</si>
  <si>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</si>
  <si>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</si>
  <si>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</si>
  <si>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</si>
  <si>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</si>
  <si>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</si>
  <si>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</si>
  <si>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</si>
  <si>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</si>
  <si>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</si>
  <si>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</si>
  <si>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</si>
  <si>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</si>
  <si>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</si>
  <si>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</si>
  <si>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</si>
  <si>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</si>
  <si>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</si>
  <si>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</si>
  <si>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</si>
  <si>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</si>
  <si>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</si>
  <si>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</si>
  <si>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</si>
  <si>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</si>
  <si>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</si>
  <si>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</si>
  <si>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</si>
  <si>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</si>
  <si>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</si>
  <si>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</si>
  <si>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</si>
  <si>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</si>
  <si>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</si>
  <si>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</si>
  <si>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</si>
  <si>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</si>
  <si>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</si>
  <si>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</si>
  <si>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</si>
  <si>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</si>
  <si>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</si>
  <si>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</si>
  <si>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</si>
  <si>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</si>
  <si>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</si>
  <si>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</si>
  <si>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</si>
  <si>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</si>
  <si>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</si>
  <si>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</si>
  <si>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</si>
  <si>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</si>
  <si>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</si>
  <si>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</si>
  <si>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</si>
  <si>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</si>
  <si>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</si>
  <si>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</si>
  <si>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</si>
  <si>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</si>
  <si>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</si>
  <si>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</si>
  <si>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</si>
  <si>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</si>
  <si>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</si>
  <si>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</si>
  <si>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</si>
  <si>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</si>
  <si>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</si>
  <si>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</si>
  <si>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</si>
  <si>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</si>
  <si>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</si>
  <si>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</si>
  <si>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</si>
  <si>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</si>
  <si>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</si>
  <si>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</si>
  <si>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</si>
  <si>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</si>
  <si>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</si>
  <si>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</si>
  <si>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</si>
  <si>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</si>
  <si>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</si>
  <si>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</si>
  <si>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</si>
  <si>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</si>
  <si>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</si>
  <si>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</si>
  <si>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</si>
  <si>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</si>
  <si>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</si>
  <si>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</si>
  <si>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</si>
  <si>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</si>
  <si>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</si>
  <si>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</si>
  <si>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</si>
  <si>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</si>
  <si>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</si>
  <si>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</si>
  <si>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</si>
  <si>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</si>
  <si>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</si>
  <si>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</si>
  <si>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</si>
  <si>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</si>
  <si>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</si>
  <si>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</si>
  <si>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</si>
  <si>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</si>
  <si>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</si>
  <si>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</si>
  <si>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</si>
  <si>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</si>
  <si>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</si>
  <si>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</si>
  <si>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</si>
  <si>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</si>
  <si>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</si>
  <si>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</si>
  <si>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</si>
  <si>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</si>
  <si>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</si>
  <si>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</si>
  <si>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</si>
  <si>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</si>
  <si>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</si>
  <si>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</si>
  <si>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</si>
  <si>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</si>
  <si>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</si>
  <si>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</si>
  <si>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</si>
  <si>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</si>
  <si>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</si>
  <si>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</si>
  <si>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</si>
  <si>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</si>
  <si>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</si>
  <si>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</si>
  <si>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</si>
  <si>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</si>
  <si>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</si>
  <si>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</si>
  <si>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</si>
  <si>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</si>
  <si>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</si>
  <si>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</si>
  <si>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</si>
  <si>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</si>
  <si>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</si>
  <si>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</si>
  <si>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</si>
  <si>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</si>
  <si>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</si>
  <si>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</si>
  <si>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</si>
  <si>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</si>
  <si>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</si>
  <si>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</si>
  <si>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</si>
  <si>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</si>
  <si>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</si>
  <si>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</si>
  <si>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</si>
  <si>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</si>
  <si>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</si>
  <si>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</si>
  <si>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</si>
  <si>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</si>
  <si>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</si>
  <si>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</si>
  <si>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</si>
  <si>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</si>
  <si>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</si>
  <si>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</si>
  <si>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</si>
  <si>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</si>
  <si>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</si>
  <si>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</si>
  <si>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</si>
  <si>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</si>
  <si>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</si>
  <si>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</si>
  <si>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</si>
  <si>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</si>
  <si>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</si>
  <si>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</si>
  <si>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</si>
  <si>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</si>
  <si>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</si>
  <si>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</si>
  <si>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</si>
  <si>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</si>
  <si>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</si>
  <si>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</si>
  <si>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</si>
  <si>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</si>
  <si>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</si>
  <si>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</si>
  <si>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</si>
  <si>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</si>
  <si>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</si>
  <si>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</si>
  <si>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</si>
  <si>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</si>
  <si>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</si>
  <si>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</si>
  <si>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</si>
  <si>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</si>
  <si>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</si>
  <si>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</si>
  <si>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</si>
  <si>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</si>
  <si>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</si>
  <si>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</si>
  <si>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</si>
  <si>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</si>
  <si>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</si>
  <si>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</si>
  <si>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</si>
  <si>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</si>
  <si>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</si>
  <si>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</si>
  <si>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</si>
  <si>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</si>
  <si>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</si>
  <si>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</si>
  <si>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</si>
  <si>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</si>
  <si>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</si>
  <si>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</si>
  <si>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</si>
  <si>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</si>
  <si>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</si>
  <si>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</si>
  <si>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</si>
  <si>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</si>
  <si>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</si>
  <si>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</si>
  <si>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</si>
  <si>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</si>
  <si>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</si>
  <si>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</si>
  <si>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</si>
  <si>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</si>
  <si>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</si>
  <si>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</si>
  <si>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</si>
  <si>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</si>
  <si>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</si>
  <si>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</si>
  <si>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</si>
  <si>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</si>
  <si>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</si>
  <si>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</si>
  <si>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</si>
  <si>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</si>
  <si>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</si>
  <si>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</si>
  <si>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</si>
  <si>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</si>
  <si>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</si>
  <si>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</si>
  <si>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</si>
  <si>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</si>
  <si>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</si>
  <si>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</si>
  <si>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</si>
  <si>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</si>
  <si>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</si>
  <si>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</si>
  <si>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</si>
  <si>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</si>
  <si>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</si>
  <si>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</si>
  <si>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</si>
  <si>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</si>
  <si>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</si>
  <si>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</si>
  <si>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</si>
  <si>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</si>
  <si>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</si>
  <si>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</si>
  <si>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</si>
  <si>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</si>
  <si>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</si>
  <si>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</si>
  <si>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</si>
  <si>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</si>
  <si>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</si>
  <si>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</si>
  <si>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</si>
  <si>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</si>
  <si>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</si>
  <si>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</si>
  <si>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</si>
  <si>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</si>
  <si>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</si>
  <si>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</si>
  <si>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</si>
  <si>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</si>
  <si>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</si>
  <si>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</si>
  <si>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</si>
  <si>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</si>
  <si>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</si>
  <si>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</si>
  <si>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</si>
  <si>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</si>
  <si>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</si>
  <si>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</si>
  <si>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</si>
  <si>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</si>
  <si>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</si>
  <si>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</si>
  <si>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</si>
  <si>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</si>
  <si>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</si>
  <si>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</si>
  <si>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</si>
  <si>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</si>
  <si>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</si>
  <si>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</si>
  <si>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</si>
  <si>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</si>
  <si>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</si>
  <si>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</si>
  <si>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</si>
  <si>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</si>
  <si>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</si>
  <si>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</si>
  <si>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</si>
  <si>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</si>
  <si>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</si>
  <si>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</si>
  <si>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</si>
  <si>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</si>
  <si>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</si>
  <si>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</si>
  <si>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</si>
  <si>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</si>
  <si>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</si>
  <si>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</si>
  <si>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</si>
  <si>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</si>
  <si>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</si>
  <si>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</si>
  <si>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</si>
  <si>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</si>
  <si>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</si>
  <si>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</si>
  <si>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</si>
  <si>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</si>
  <si>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</si>
  <si>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</si>
  <si>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</si>
  <si>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</si>
  <si>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</si>
  <si>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</si>
  <si>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</si>
  <si>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</si>
  <si>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</si>
  <si>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</si>
  <si>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</si>
  <si>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</si>
  <si>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</si>
  <si>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</si>
  <si>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</si>
  <si>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</si>
  <si>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</si>
  <si>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</si>
  <si>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</si>
  <si>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</si>
  <si>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</si>
  <si>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</si>
  <si>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</si>
  <si>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</si>
  <si>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</si>
  <si>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</si>
  <si>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</si>
  <si>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</si>
  <si>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</si>
  <si>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</si>
  <si>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</si>
  <si>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</si>
  <si>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</si>
  <si>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</si>
  <si>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</si>
  <si>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</si>
  <si>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</si>
  <si>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</si>
  <si>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</si>
  <si>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</si>
  <si>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</si>
  <si>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</si>
  <si>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</si>
  <si>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</si>
  <si>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</si>
  <si>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</si>
  <si>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</si>
  <si>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</si>
  <si>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</si>
  <si>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</si>
  <si>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</si>
  <si>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</si>
  <si>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</si>
  <si>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</si>
  <si>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</si>
  <si>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</si>
  <si>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</si>
  <si>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</si>
  <si>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</si>
  <si>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</si>
  <si>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</si>
  <si>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</si>
  <si>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</si>
  <si>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</si>
  <si>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</si>
  <si>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</si>
  <si>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</si>
  <si>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</si>
  <si>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</si>
  <si>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</si>
  <si>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</si>
  <si>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</si>
  <si>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</si>
  <si>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</si>
  <si>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</si>
  <si>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</si>
  <si>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</si>
  <si>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</si>
  <si>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</si>
  <si>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</si>
  <si>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</si>
  <si>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</si>
  <si>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</si>
  <si>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</si>
  <si>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</si>
  <si>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</si>
  <si>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</si>
  <si>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</si>
  <si>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</si>
  <si>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</si>
  <si>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</si>
  <si>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</si>
  <si>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</si>
  <si>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</si>
  <si>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</si>
  <si>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</si>
  <si>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</si>
  <si>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</si>
  <si>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</si>
  <si>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</si>
  <si>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</si>
  <si>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</si>
  <si>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</si>
  <si>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</si>
  <si>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</si>
  <si>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</si>
  <si>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</si>
  <si>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</si>
  <si>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</si>
  <si>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</si>
  <si>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</si>
  <si>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</si>
  <si>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</si>
  <si>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</si>
  <si>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</si>
  <si>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</si>
  <si>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</si>
  <si>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</si>
  <si>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</si>
  <si>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</si>
  <si>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</si>
  <si>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</si>
  <si>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</si>
  <si>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</si>
  <si>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</si>
  <si>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</si>
  <si>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</si>
  <si>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</si>
  <si>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</si>
  <si>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</si>
  <si>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</si>
  <si>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</si>
  <si>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</si>
  <si>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</si>
  <si>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</si>
  <si>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</si>
  <si>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</si>
  <si>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</si>
  <si>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</si>
  <si>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</si>
  <si>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</si>
  <si>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</si>
  <si>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</si>
  <si>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</si>
  <si>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</si>
  <si>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</si>
  <si>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</si>
  <si>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</si>
  <si>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</si>
  <si>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</si>
  <si>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</si>
  <si>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</si>
  <si>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</si>
  <si>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</si>
  <si>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</si>
  <si>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</si>
  <si>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</si>
  <si>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</si>
  <si>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</si>
  <si>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</si>
  <si>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</si>
  <si>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</si>
  <si>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</si>
  <si>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</si>
  <si>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</si>
  <si>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</si>
  <si>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</si>
  <si>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</si>
  <si>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</si>
  <si>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</si>
  <si>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</si>
  <si>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</si>
  <si>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</si>
  <si>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</si>
  <si>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</si>
  <si>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</si>
  <si>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</si>
  <si>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</si>
  <si>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</si>
  <si>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</si>
  <si>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</si>
  <si>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</si>
  <si>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</si>
  <si>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</si>
  <si>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</si>
  <si>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</si>
  <si>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</si>
  <si>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</si>
  <si>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</si>
  <si>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</si>
  <si>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</si>
  <si>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</si>
  <si>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</si>
  <si>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</si>
  <si>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</si>
  <si>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</si>
  <si>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</si>
  <si>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</si>
  <si>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</si>
  <si>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</si>
  <si>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</si>
  <si>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</si>
  <si>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</si>
  <si>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</si>
  <si>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</si>
  <si>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</si>
  <si>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</si>
  <si>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</si>
  <si>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</si>
  <si>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</si>
  <si>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</si>
  <si>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</si>
  <si>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</si>
  <si>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</si>
  <si>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</si>
  <si>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</si>
  <si>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</si>
  <si>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</si>
  <si>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</si>
  <si>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</si>
  <si>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</si>
  <si>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</si>
  <si>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</si>
  <si>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</si>
  <si>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</si>
  <si>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</si>
  <si>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</si>
  <si>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</si>
  <si>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</si>
  <si>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</si>
  <si>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</si>
  <si>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</si>
  <si>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</si>
  <si>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</si>
  <si>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</si>
  <si>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</si>
  <si>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</si>
  <si>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</si>
  <si>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</si>
  <si>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</si>
  <si>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</si>
  <si>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</si>
  <si>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</si>
  <si>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</si>
  <si>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</si>
  <si>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</si>
  <si>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</si>
  <si>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</si>
  <si>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</si>
  <si>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</si>
  <si>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</si>
  <si>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</si>
  <si>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</si>
  <si>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</si>
  <si>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</si>
  <si>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</si>
  <si>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</si>
  <si>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</si>
  <si>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</si>
  <si>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</si>
  <si>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</si>
  <si>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</si>
  <si>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</si>
  <si>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</si>
  <si>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</si>
  <si>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</si>
  <si>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</si>
  <si>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</si>
  <si>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</si>
  <si>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</si>
  <si>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</si>
  <si>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</si>
  <si>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</si>
  <si>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</si>
  <si>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</si>
  <si>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</si>
  <si>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</si>
  <si>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</si>
  <si>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</si>
  <si>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</si>
  <si>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</si>
  <si>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</si>
  <si>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</si>
  <si>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</si>
  <si>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</si>
  <si>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</si>
  <si>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</si>
  <si>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</si>
  <si>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</si>
  <si>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</si>
  <si>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</si>
  <si>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</si>
  <si>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</si>
  <si>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</si>
  <si>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</si>
  <si>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</si>
  <si>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</si>
  <si>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</si>
  <si>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</si>
  <si>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</si>
  <si>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</si>
  <si>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</si>
  <si>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</si>
  <si>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</si>
  <si>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</si>
  <si>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</si>
  <si>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</si>
  <si>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</si>
  <si>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</si>
  <si>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</si>
  <si>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</si>
  <si>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</si>
  <si>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</si>
  <si>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</si>
  <si>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</si>
  <si>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</si>
  <si>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</si>
  <si>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</si>
  <si>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</si>
  <si>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</si>
  <si>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</si>
  <si>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</si>
  <si>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</si>
  <si>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</si>
  <si>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</si>
  <si>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</si>
  <si>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</si>
  <si>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</si>
  <si>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</si>
  <si>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</si>
  <si>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</si>
  <si>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</si>
  <si>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</si>
  <si>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</si>
  <si>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</si>
  <si>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</si>
  <si>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</si>
  <si>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</si>
  <si>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</si>
  <si>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</si>
  <si>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</si>
  <si>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</si>
  <si>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</si>
  <si>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</si>
  <si>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</si>
  <si>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</si>
  <si>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</si>
  <si>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</si>
  <si>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</si>
  <si>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</si>
  <si>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</si>
  <si>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</si>
  <si>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</si>
  <si>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</si>
  <si>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</si>
  <si>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</si>
  <si>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</si>
  <si>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</si>
  <si>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</si>
  <si>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</si>
  <si>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</si>
  <si>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</si>
  <si>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</si>
  <si>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</si>
  <si>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</si>
  <si>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</si>
  <si>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</si>
  <si>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</si>
  <si>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</si>
  <si>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</si>
  <si>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</si>
  <si>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</si>
  <si>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</si>
  <si>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</si>
  <si>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</si>
  <si>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</si>
  <si>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</si>
  <si>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</si>
  <si>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</si>
  <si>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</si>
  <si>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</si>
  <si>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</si>
  <si>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</si>
  <si>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</si>
  <si>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</si>
  <si>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</si>
  <si>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</si>
  <si>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</si>
  <si>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</si>
  <si>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</si>
  <si>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</si>
  <si>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</si>
  <si>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</si>
  <si>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</si>
  <si>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</si>
  <si>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</si>
  <si>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</si>
  <si>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</si>
  <si>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</si>
  <si>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</si>
  <si>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</si>
  <si>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</si>
  <si>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</si>
  <si>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</si>
  <si>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</si>
  <si>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</si>
  <si>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</si>
  <si>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</si>
  <si>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</si>
  <si>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</si>
  <si>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</si>
  <si>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</si>
  <si>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</si>
  <si>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</si>
  <si>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</si>
  <si>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</si>
  <si>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</si>
  <si>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</si>
  <si>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</si>
  <si>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</si>
  <si>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</si>
  <si>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</si>
  <si>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</si>
  <si>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</si>
  <si>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</si>
  <si>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</si>
  <si>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</si>
  <si>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</si>
  <si>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</si>
  <si>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</si>
  <si>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</si>
  <si>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</si>
  <si>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</si>
  <si>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</si>
  <si>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</si>
  <si>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</si>
  <si>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</si>
  <si>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</si>
  <si>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</si>
  <si>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</si>
  <si>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</si>
  <si>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</si>
  <si>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</si>
  <si>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</si>
  <si>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</si>
  <si>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</si>
  <si>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</si>
  <si>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</si>
  <si>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</si>
  <si>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</si>
  <si>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</si>
  <si>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</si>
  <si>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</si>
  <si>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</si>
  <si>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</si>
  <si>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</si>
  <si>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</si>
  <si>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</si>
  <si>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</si>
  <si>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</si>
  <si>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</si>
  <si>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</si>
  <si>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</si>
  <si>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</si>
  <si>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</si>
  <si>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</si>
  <si>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</si>
  <si>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</si>
  <si>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</si>
  <si>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</si>
  <si>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</si>
  <si>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</si>
  <si>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</si>
  <si>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</si>
  <si>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</si>
  <si>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</si>
  <si>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</si>
  <si>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</si>
  <si>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</si>
  <si>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</si>
  <si>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</si>
  <si>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</si>
  <si>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</si>
  <si>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</si>
  <si>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</si>
  <si>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</si>
  <si>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</si>
  <si>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</si>
  <si>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</si>
  <si>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</si>
  <si>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</si>
  <si>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</si>
  <si>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</si>
  <si>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</si>
  <si>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</si>
  <si>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</si>
  <si>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</si>
  <si>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</si>
  <si>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</si>
  <si>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</si>
  <si>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</si>
  <si>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</si>
  <si>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</si>
  <si>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</si>
  <si>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</si>
  <si>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</si>
  <si>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</si>
  <si>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</si>
  <si>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</si>
  <si>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</si>
  <si>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</si>
  <si>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</si>
  <si>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</si>
  <si>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</si>
  <si>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</si>
  <si>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</si>
  <si>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</si>
  <si>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</si>
  <si>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</si>
  <si>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</si>
  <si>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</si>
  <si>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</si>
  <si>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</si>
  <si>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</si>
  <si>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</si>
  <si>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</si>
  <si>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</si>
  <si>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</si>
  <si>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</si>
  <si>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</si>
  <si>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</si>
  <si>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</si>
  <si>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</si>
  <si>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</si>
  <si>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</si>
  <si>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</si>
  <si>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</si>
  <si>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</si>
  <si>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</si>
  <si>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</si>
  <si>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</si>
  <si>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</si>
  <si>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</si>
  <si>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</si>
  <si>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</si>
  <si>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</si>
  <si>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</si>
  <si>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</si>
  <si>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</si>
  <si>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</si>
  <si>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</si>
  <si>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</si>
  <si>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</si>
  <si>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</si>
  <si>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</si>
  <si>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</si>
  <si>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</si>
  <si>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</si>
  <si>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</si>
  <si>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</si>
  <si>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</si>
  <si>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</si>
  <si>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</si>
  <si>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</si>
  <si>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</si>
  <si>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</si>
  <si>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</si>
  <si>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</si>
  <si>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</si>
  <si>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</si>
  <si>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</si>
  <si>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</si>
  <si>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</si>
  <si>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</si>
  <si>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</si>
  <si>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</si>
  <si>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</si>
  <si>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</si>
  <si>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</si>
  <si>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</si>
  <si>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</si>
  <si>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</si>
  <si>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</si>
  <si>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</si>
  <si>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</si>
  <si>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</si>
  <si>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</si>
  <si>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</si>
  <si>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</si>
  <si>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</si>
  <si>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</si>
  <si>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</si>
  <si>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</si>
  <si>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</si>
  <si>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</si>
  <si>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</si>
  <si>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</si>
  <si>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</si>
  <si>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</si>
  <si>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</si>
  <si>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</si>
  <si>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</si>
  <si>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</si>
  <si>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</si>
  <si>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</si>
  <si>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</si>
  <si>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</si>
  <si>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</si>
  <si>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</si>
  <si>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</si>
  <si>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</si>
  <si>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</si>
  <si>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</si>
  <si>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</si>
  <si>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</si>
  <si>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</si>
  <si>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</si>
  <si>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</si>
  <si>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</si>
  <si>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</si>
  <si>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</si>
  <si>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</si>
  <si>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</si>
  <si>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</si>
  <si>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</si>
  <si>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</si>
  <si>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</si>
  <si>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</si>
  <si>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</si>
  <si>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</si>
  <si>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</si>
  <si>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</si>
  <si>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</si>
  <si>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</si>
  <si>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</si>
  <si>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</si>
  <si>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</si>
  <si>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</si>
  <si>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</si>
  <si>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</si>
  <si>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</si>
  <si>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</si>
  <si>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</si>
  <si>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</si>
  <si>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</si>
  <si>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</si>
  <si>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</si>
  <si>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</si>
  <si>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</si>
  <si>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</si>
  <si>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</si>
  <si>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</si>
  <si>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</si>
  <si>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</si>
  <si>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</si>
  <si>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</si>
  <si>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</si>
  <si>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</si>
  <si>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</si>
  <si>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</si>
  <si>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</si>
  <si>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</si>
  <si>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</si>
  <si>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</si>
  <si>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</si>
  <si>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</si>
  <si>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</si>
  <si>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</si>
  <si>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</si>
  <si>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</si>
  <si>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</si>
  <si>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</si>
  <si>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</si>
  <si>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</si>
  <si>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</si>
  <si>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</si>
  <si>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</si>
  <si>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</si>
  <si>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</si>
  <si>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</si>
  <si>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</si>
  <si>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</si>
  <si>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</si>
  <si>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</si>
  <si>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</si>
  <si>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</si>
  <si>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</si>
  <si>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</si>
  <si>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</si>
  <si>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</si>
  <si>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</si>
  <si>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</si>
  <si>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</si>
  <si>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</si>
  <si>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</si>
  <si>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</si>
  <si>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</si>
  <si>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</si>
  <si>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</si>
  <si>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</si>
  <si>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</si>
  <si>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</si>
  <si>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</si>
  <si>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</si>
  <si>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</si>
  <si>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</si>
  <si>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</si>
  <si>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</si>
  <si>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</si>
  <si>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</si>
  <si>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</si>
  <si>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</si>
  <si>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</si>
  <si>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</si>
  <si>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</si>
  <si>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</si>
  <si>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</si>
  <si>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</si>
  <si>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</si>
  <si>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</si>
  <si>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</si>
  <si>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</si>
  <si>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</si>
  <si>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</si>
  <si>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</si>
  <si>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</si>
  <si>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</si>
  <si>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</si>
  <si>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</si>
  <si>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</si>
  <si>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</si>
  <si>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</si>
  <si>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</si>
  <si>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</si>
  <si>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</si>
  <si>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</si>
  <si>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</si>
  <si>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</si>
  <si>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</si>
  <si>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</si>
  <si>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</si>
  <si>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</si>
  <si>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</si>
  <si>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</si>
  <si>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</si>
  <si>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</si>
  <si>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</si>
  <si>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</si>
  <si>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</si>
  <si>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</si>
  <si>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</si>
  <si>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</si>
  <si>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</si>
  <si>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</si>
  <si>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</si>
  <si>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</si>
  <si>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</si>
  <si>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</si>
  <si>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</si>
  <si>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</si>
  <si>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</si>
  <si>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</si>
  <si>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</si>
  <si>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</si>
  <si>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</si>
  <si>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</si>
  <si>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</si>
  <si>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</si>
  <si>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</si>
  <si>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</si>
  <si>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</si>
  <si>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</si>
  <si>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</si>
  <si>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</si>
  <si>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</si>
  <si>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</si>
  <si>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</si>
  <si>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</si>
  <si>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</si>
  <si>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</si>
  <si>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</si>
  <si>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</si>
  <si>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</si>
  <si>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</si>
  <si>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</si>
  <si>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</si>
  <si>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</si>
  <si>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</si>
  <si>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</si>
  <si>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</si>
  <si>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</si>
  <si>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</si>
  <si>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</si>
  <si>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</si>
  <si>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</si>
  <si>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</si>
  <si>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</si>
  <si>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</si>
  <si>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</si>
  <si>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</si>
  <si>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</si>
  <si>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</si>
  <si>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</si>
  <si>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</si>
  <si>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</si>
  <si>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</si>
  <si>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</si>
  <si>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</si>
  <si>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</si>
  <si>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</si>
  <si>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</si>
  <si>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</si>
  <si>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</si>
  <si>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</si>
  <si>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</si>
  <si>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</si>
  <si>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</si>
  <si>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</si>
  <si>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</si>
  <si>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</si>
  <si>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</si>
  <si>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</si>
  <si>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</si>
  <si>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</si>
  <si>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</si>
  <si>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</si>
  <si>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</si>
  <si>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</si>
  <si>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</si>
  <si>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</si>
  <si>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</si>
  <si>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</si>
  <si>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</si>
  <si>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</si>
  <si>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</si>
  <si>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</si>
  <si>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</si>
  <si>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</si>
  <si>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</si>
  <si>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</si>
  <si>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</si>
  <si>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</si>
  <si>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</si>
  <si>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</si>
  <si>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</si>
  <si>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</si>
  <si>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</si>
  <si>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</si>
  <si>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</si>
  <si>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</si>
  <si>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</si>
  <si>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</si>
  <si>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</si>
  <si>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</si>
  <si>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</si>
  <si>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</si>
  <si>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</si>
  <si>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</si>
  <si>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</si>
  <si>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</si>
  <si>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</si>
  <si>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</si>
  <si>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</si>
  <si>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</si>
  <si>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</si>
  <si>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</si>
  <si>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</si>
  <si>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</si>
  <si>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</si>
  <si>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</si>
  <si>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</si>
  <si>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</si>
  <si>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</si>
  <si>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</si>
  <si>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</si>
  <si>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</si>
  <si>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</si>
  <si>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</si>
  <si>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</si>
  <si>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</si>
  <si>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</si>
  <si>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</si>
  <si>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</si>
  <si>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</si>
  <si>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</si>
  <si>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</si>
  <si>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</si>
  <si>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</si>
  <si>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</si>
  <si>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</si>
  <si>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</si>
  <si>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</si>
  <si>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</si>
  <si>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</si>
  <si>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</si>
  <si>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</si>
  <si>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</si>
  <si>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</si>
  <si>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</si>
  <si>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</si>
  <si>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</si>
  <si>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</si>
  <si>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</si>
  <si>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</si>
  <si>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</si>
  <si>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</si>
  <si>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</si>
  <si>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</si>
  <si>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</si>
  <si>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</si>
  <si>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</si>
  <si>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</si>
  <si>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</si>
  <si>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</si>
  <si>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</si>
  <si>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</si>
  <si>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</si>
  <si>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</si>
  <si>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</si>
  <si>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</si>
  <si>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</si>
  <si>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</si>
  <si>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</si>
  <si>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</si>
  <si>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</si>
  <si>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</si>
  <si>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</si>
  <si>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</si>
  <si>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</si>
  <si>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</si>
  <si>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</si>
  <si>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</si>
  <si>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</si>
  <si>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</si>
  <si>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</si>
  <si>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</si>
  <si>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</si>
  <si>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</si>
  <si>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</si>
  <si>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</si>
  <si>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</si>
  <si>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</si>
  <si>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</si>
  <si>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</si>
  <si>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</si>
  <si>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</si>
  <si>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</si>
  <si>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</si>
  <si>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</si>
  <si>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</si>
  <si>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</si>
  <si>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</si>
  <si>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</si>
  <si>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</si>
  <si>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</si>
  <si>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</si>
  <si>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</si>
  <si>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</si>
  <si>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</si>
  <si>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</si>
  <si>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</si>
  <si>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</si>
  <si>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</si>
  <si>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</si>
  <si>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</si>
  <si>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</si>
  <si>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</si>
  <si>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</si>
  <si>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</si>
  <si>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</si>
  <si>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</si>
  <si>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</si>
  <si>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</si>
  <si>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</si>
  <si>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</si>
  <si>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</si>
  <si>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</si>
  <si>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</si>
  <si>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</si>
  <si>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</si>
  <si>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</si>
  <si>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</si>
  <si>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</si>
  <si>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</si>
  <si>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</si>
  <si>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</si>
  <si>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</si>
  <si>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</si>
  <si>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</si>
  <si>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</si>
  <si>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</si>
  <si>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</si>
  <si>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</si>
  <si>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</si>
  <si>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</si>
  <si>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</si>
  <si>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</si>
  <si>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</si>
  <si>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</si>
  <si>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</si>
  <si>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</si>
  <si>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</si>
  <si>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</si>
  <si>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</si>
  <si>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</si>
  <si>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</si>
  <si>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</si>
  <si>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</si>
  <si>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</si>
  <si>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</si>
  <si>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</si>
  <si>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</si>
  <si>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</si>
  <si>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</si>
  <si>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</si>
  <si>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</si>
  <si>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</si>
  <si>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</si>
  <si>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</si>
  <si>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</si>
  <si>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</si>
  <si>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</si>
  <si>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</si>
  <si>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</si>
  <si>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</si>
  <si>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</si>
  <si>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</si>
  <si>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</si>
  <si>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</si>
  <si>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</si>
  <si>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</si>
  <si>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</si>
  <si>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</si>
  <si>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</si>
  <si>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</si>
  <si>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</si>
  <si>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</si>
  <si>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</si>
  <si>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</si>
  <si>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</si>
  <si>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</si>
  <si>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</si>
  <si>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</si>
  <si>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</si>
  <si>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</si>
  <si>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</si>
  <si>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</si>
  <si>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</si>
  <si>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</si>
  <si>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</si>
  <si>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</si>
  <si>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</si>
  <si>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</si>
  <si>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</si>
  <si>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</si>
  <si>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</si>
  <si>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</si>
  <si>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</si>
  <si>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</si>
  <si>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</si>
  <si>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</si>
  <si>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</si>
  <si>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</si>
  <si>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</si>
  <si>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</si>
  <si>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</si>
  <si>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</si>
  <si>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</si>
  <si>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</si>
  <si>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</si>
  <si>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</si>
  <si>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</si>
  <si>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</si>
  <si>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</si>
  <si>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</si>
  <si>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</si>
  <si>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</si>
  <si>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</si>
  <si>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</si>
  <si>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</si>
  <si>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</si>
  <si>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</si>
  <si>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</si>
  <si>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</si>
  <si>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</si>
  <si>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</si>
  <si>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</si>
  <si>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</si>
  <si>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</si>
  <si>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</si>
  <si>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</si>
  <si>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</si>
  <si>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</si>
  <si>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</si>
  <si>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</si>
  <si>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</si>
  <si>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</si>
  <si>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</si>
  <si>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</si>
  <si>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</si>
  <si>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</si>
  <si>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</si>
  <si>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</si>
  <si>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</si>
  <si>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</si>
  <si>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</si>
  <si>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</si>
  <si>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</si>
  <si>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</si>
  <si>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</si>
  <si>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</si>
  <si>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</si>
  <si>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</si>
  <si>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</si>
  <si>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</si>
  <si>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</si>
  <si>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</si>
  <si>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</si>
  <si>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</si>
  <si>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</si>
  <si>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</si>
  <si>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</si>
  <si>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</si>
  <si>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</si>
  <si>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</si>
  <si>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</si>
  <si>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</si>
  <si>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</si>
  <si>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</si>
  <si>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</si>
  <si>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</si>
  <si>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</si>
  <si>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</si>
  <si>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</si>
  <si>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</si>
  <si>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</si>
  <si>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</si>
  <si>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</si>
  <si>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</si>
  <si>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</si>
  <si>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</si>
  <si>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</si>
  <si>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</si>
  <si>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</si>
  <si>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</si>
  <si>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</si>
  <si>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</si>
  <si>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</si>
  <si>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</si>
  <si>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</si>
  <si>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</si>
  <si>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</si>
  <si>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</si>
  <si>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</si>
  <si>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</si>
  <si>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</si>
  <si>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</si>
  <si>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</si>
  <si>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</si>
  <si>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</si>
  <si>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</si>
  <si>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</si>
  <si>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</si>
  <si>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</si>
  <si>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</si>
  <si>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</si>
  <si>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</si>
  <si>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</si>
  <si>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</si>
  <si>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</si>
  <si>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</si>
  <si>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</si>
  <si>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</si>
  <si>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</si>
  <si>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</si>
  <si>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</si>
  <si>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</si>
  <si>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</si>
  <si>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</si>
  <si>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</si>
  <si>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</si>
  <si>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</si>
  <si>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</si>
  <si>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</si>
  <si>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</si>
  <si>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</si>
  <si>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</si>
  <si>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</si>
  <si>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</si>
  <si>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</si>
  <si>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</si>
  <si>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</si>
  <si>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</si>
  <si>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</si>
  <si>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</si>
  <si>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</si>
  <si>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</si>
  <si>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</si>
  <si>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</si>
  <si>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</si>
  <si>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</si>
  <si>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</si>
  <si>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</si>
  <si>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</si>
  <si>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</si>
  <si>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</si>
  <si>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</si>
  <si>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</si>
  <si>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</si>
  <si>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</si>
  <si>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</si>
  <si>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</si>
  <si>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</si>
  <si>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</si>
  <si>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</si>
  <si>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</si>
  <si>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</si>
  <si>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</si>
  <si>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</si>
  <si>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</si>
  <si>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</si>
  <si>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</si>
  <si>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</si>
  <si>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</si>
  <si>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</si>
  <si>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</si>
  <si>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</si>
  <si>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</si>
  <si>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</si>
  <si>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</si>
  <si>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</si>
  <si>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</si>
  <si>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</si>
  <si>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</si>
  <si>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</si>
  <si>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</si>
  <si>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</si>
  <si>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</si>
  <si>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</si>
  <si>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</si>
  <si>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</si>
  <si>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</si>
  <si>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</si>
  <si>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</si>
  <si>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</si>
  <si>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</si>
  <si>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</si>
  <si>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</si>
  <si>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</si>
  <si>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</si>
  <si>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</si>
  <si>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</si>
  <si>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</si>
  <si>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</si>
  <si>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</si>
  <si>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</si>
  <si>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</si>
  <si>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</si>
  <si>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</si>
  <si>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</si>
  <si>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</si>
  <si>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</si>
  <si>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</si>
  <si>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</si>
  <si>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</si>
  <si>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</si>
  <si>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</si>
  <si>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</si>
  <si>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</si>
  <si>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</si>
  <si>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</si>
  <si>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</si>
  <si>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</si>
  <si>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</si>
  <si>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</si>
  <si>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</si>
  <si>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</si>
  <si>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</si>
  <si>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</si>
  <si>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</si>
  <si>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</si>
  <si>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</si>
  <si>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</si>
  <si>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</si>
  <si>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</si>
  <si>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</si>
  <si>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</si>
  <si>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</si>
  <si>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</si>
  <si>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</si>
  <si>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</si>
  <si>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</si>
  <si>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</si>
  <si>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</si>
  <si>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</si>
  <si>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</si>
  <si>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</si>
  <si>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</si>
  <si>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</si>
  <si>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</si>
  <si>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</si>
  <si>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</si>
  <si>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</si>
  <si>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</si>
  <si>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</si>
  <si>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</si>
  <si>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</si>
  <si>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</si>
  <si>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</si>
  <si>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</si>
  <si>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</si>
  <si>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</si>
  <si>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</si>
  <si>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</si>
  <si>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</si>
  <si>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</si>
  <si>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</si>
  <si>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</si>
  <si>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</si>
  <si>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</si>
  <si>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</si>
  <si>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</si>
  <si>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</si>
  <si>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</si>
  <si>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</si>
  <si>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</si>
  <si>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</si>
  <si>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</si>
  <si>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</si>
  <si>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</si>
  <si>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</si>
  <si>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</si>
  <si>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</si>
  <si>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</si>
  <si>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</si>
  <si>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</si>
  <si>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</si>
  <si>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</si>
  <si>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</si>
  <si>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</si>
  <si>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</si>
  <si>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</si>
  <si>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</si>
  <si>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</si>
  <si>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</si>
  <si>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</si>
  <si>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</si>
  <si>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</si>
  <si>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</si>
  <si>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</si>
  <si>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</si>
  <si>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</si>
  <si>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</si>
  <si>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</si>
  <si>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</si>
  <si>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</si>
  <si>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</si>
  <si>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</si>
  <si>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</si>
  <si>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</si>
  <si>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</si>
  <si>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</si>
  <si>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</si>
  <si>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</si>
  <si>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</si>
  <si>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</si>
  <si>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</si>
  <si>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</si>
  <si>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</si>
  <si>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</si>
  <si>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</si>
  <si>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</si>
  <si>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</si>
  <si>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</si>
  <si>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</si>
  <si>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</si>
  <si>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</si>
  <si>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</si>
  <si>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</si>
  <si>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</si>
  <si>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</si>
  <si>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</si>
  <si>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</si>
  <si>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</si>
  <si>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</si>
  <si>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</si>
  <si>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</si>
  <si>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</si>
  <si>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</si>
  <si>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</si>
  <si>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</si>
  <si>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</si>
  <si>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</si>
  <si>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</si>
  <si>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</si>
  <si>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</si>
  <si>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</si>
  <si>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</si>
  <si>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</si>
  <si>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</si>
  <si>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</si>
  <si>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</si>
  <si>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</si>
  <si>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</si>
  <si>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</si>
  <si>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</si>
  <si>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</si>
  <si>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</si>
  <si>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</si>
  <si>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</si>
  <si>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</si>
  <si>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</si>
  <si>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</si>
  <si>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</si>
  <si>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</si>
  <si>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</si>
  <si>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</si>
  <si>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</si>
  <si>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</si>
  <si>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</si>
  <si>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</si>
  <si>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</si>
  <si>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</si>
  <si>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</si>
  <si>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</si>
  <si>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</si>
  <si>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</si>
  <si>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</si>
  <si>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</si>
  <si>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</si>
  <si>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</si>
  <si>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</si>
  <si>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</si>
  <si>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</si>
  <si>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</si>
  <si>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</si>
  <si>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</si>
  <si>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</si>
  <si>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</si>
  <si>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</si>
  <si>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</si>
  <si>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</si>
  <si>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</si>
  <si>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</si>
  <si>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</si>
  <si>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</si>
  <si>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</si>
  <si>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</si>
  <si>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</si>
  <si>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</si>
  <si>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</si>
  <si>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</si>
  <si>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</si>
  <si>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</si>
  <si>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</si>
  <si>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</si>
  <si>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</si>
  <si>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</si>
  <si>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</si>
  <si>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</si>
  <si>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</si>
  <si>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</si>
  <si>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</si>
  <si>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</si>
  <si>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</si>
  <si>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</si>
  <si>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</si>
  <si>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</si>
  <si>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</si>
  <si>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</si>
  <si>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</si>
  <si>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</si>
  <si>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</si>
  <si>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</si>
  <si>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</si>
  <si>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</si>
  <si>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</si>
  <si>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</si>
  <si>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</si>
  <si>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</si>
  <si>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</si>
  <si>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</si>
  <si>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</si>
  <si>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</si>
  <si>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</si>
  <si>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</si>
  <si>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</si>
  <si>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</si>
  <si>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</si>
  <si>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</si>
  <si>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</si>
  <si>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</si>
  <si>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</si>
  <si>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</si>
  <si>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</si>
  <si>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</si>
  <si>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</si>
  <si>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</si>
  <si>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</si>
  <si>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</si>
  <si>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</si>
  <si>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</si>
  <si>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</si>
  <si>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</si>
  <si>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</si>
  <si>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</si>
  <si>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</si>
  <si>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</si>
  <si>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</si>
  <si>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</si>
  <si>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</si>
  <si>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</si>
  <si>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</si>
  <si>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</si>
  <si>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</si>
  <si>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</si>
  <si>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</si>
  <si>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</si>
  <si>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</si>
  <si>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</si>
  <si>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</si>
  <si>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</si>
  <si>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</si>
  <si>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</si>
  <si>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</si>
  <si>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</si>
  <si>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</si>
  <si>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</si>
  <si>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</si>
  <si>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</si>
  <si>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</si>
  <si>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</si>
  <si>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</si>
  <si>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</si>
  <si>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</si>
  <si>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</si>
  <si>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</si>
  <si>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</si>
  <si>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</si>
  <si>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</si>
  <si>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</si>
  <si>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</si>
  <si>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</si>
  <si>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</si>
  <si>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</si>
  <si>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</si>
  <si>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</si>
  <si>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</si>
  <si>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</si>
  <si>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</si>
  <si>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</si>
  <si>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</si>
  <si>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</si>
  <si>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</si>
  <si>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</si>
  <si>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</si>
  <si>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</si>
  <si>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</si>
  <si>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</si>
  <si>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</si>
  <si>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</si>
  <si>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</si>
  <si>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</si>
  <si>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</si>
  <si>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</si>
  <si>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</si>
  <si>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</si>
  <si>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</si>
  <si>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</si>
  <si>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</si>
  <si>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</si>
  <si>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</si>
  <si>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</si>
  <si>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</si>
  <si>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</si>
  <si>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</si>
  <si>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</si>
  <si>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</si>
  <si>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</si>
  <si>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</si>
  <si>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</si>
  <si>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</si>
  <si>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</si>
  <si>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</si>
  <si>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</si>
  <si>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</si>
  <si>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</si>
  <si>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</si>
  <si>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</si>
  <si>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</si>
  <si>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</si>
  <si>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</si>
  <si>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</si>
  <si>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</si>
  <si>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</si>
  <si>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</si>
  <si>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</si>
  <si>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</si>
  <si>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</si>
  <si>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</si>
  <si>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</si>
  <si>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</si>
  <si>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</si>
  <si>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</si>
  <si>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</si>
  <si>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</si>
  <si>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</si>
  <si>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</si>
  <si>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</si>
  <si>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</si>
  <si>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</si>
  <si>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</si>
  <si>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</si>
  <si>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</si>
  <si>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</si>
  <si>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</si>
  <si>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</si>
  <si>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</si>
  <si>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</si>
  <si>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</si>
  <si>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</si>
  <si>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</si>
  <si>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</si>
  <si>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</si>
  <si>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</si>
  <si>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</si>
  <si>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</si>
  <si>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</si>
  <si>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</si>
  <si>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</si>
  <si>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</si>
  <si>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</si>
  <si>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</si>
  <si>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</si>
  <si>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</si>
  <si>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</si>
  <si>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</si>
  <si>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</si>
  <si>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</si>
  <si>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</si>
  <si>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</si>
  <si>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</si>
  <si>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</si>
  <si>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</si>
  <si>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</si>
  <si>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</si>
  <si>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</si>
  <si>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</si>
  <si>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</si>
  <si>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</si>
  <si>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</si>
  <si>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</si>
  <si>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</si>
  <si>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</si>
  <si>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</si>
  <si>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</si>
  <si>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</si>
  <si>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</si>
  <si>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</si>
  <si>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</si>
  <si>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</si>
  <si>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</si>
  <si>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</si>
  <si>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</si>
  <si>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</si>
  <si>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</si>
  <si>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</si>
  <si>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</si>
  <si>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</si>
  <si>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</si>
  <si>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</si>
  <si>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</si>
  <si>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</si>
  <si>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</si>
  <si>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</si>
  <si>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</si>
  <si>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</si>
  <si>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</si>
  <si>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</si>
  <si>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</si>
  <si>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</si>
  <si>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</si>
  <si>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</si>
  <si>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</si>
  <si>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</si>
  <si>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</si>
  <si>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</si>
  <si>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</si>
  <si>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</si>
  <si>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</si>
  <si>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</si>
  <si>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</si>
  <si>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</si>
  <si>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</si>
  <si>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</si>
  <si>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</si>
  <si>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</si>
  <si>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</si>
  <si>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</si>
  <si>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</si>
  <si>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</si>
  <si>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</si>
  <si>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</si>
  <si>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</si>
  <si>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</si>
  <si>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</si>
  <si>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</si>
  <si>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</si>
  <si>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</si>
  <si>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</si>
  <si>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</si>
  <si>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</si>
  <si>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</si>
  <si>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</si>
  <si>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</si>
  <si>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</si>
  <si>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</si>
  <si>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</si>
  <si>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</si>
  <si>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</si>
  <si>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</si>
  <si>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</si>
  <si>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</si>
  <si>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</si>
  <si>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</si>
  <si>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</si>
  <si>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</si>
  <si>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</si>
  <si>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</si>
  <si>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</si>
  <si>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</si>
  <si>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</si>
  <si>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</si>
  <si>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</si>
  <si>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</si>
  <si>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</si>
  <si>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</si>
  <si>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</si>
  <si>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</si>
  <si>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</si>
  <si>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</si>
  <si>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</si>
  <si>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</si>
  <si>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</si>
  <si>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</si>
  <si>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</si>
  <si>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</si>
  <si>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</si>
  <si>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</si>
  <si>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</si>
  <si>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</si>
  <si>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</si>
  <si>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</si>
  <si>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</si>
  <si>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</si>
  <si>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</si>
  <si>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</si>
  <si>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</si>
  <si>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</si>
  <si>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</si>
  <si>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</si>
  <si>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</si>
  <si>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</si>
  <si>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</si>
  <si>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</si>
  <si>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</si>
  <si>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</si>
  <si>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</si>
  <si>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</si>
  <si>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</si>
  <si>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</si>
  <si>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</si>
  <si>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</si>
  <si>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</si>
  <si>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</si>
  <si>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</si>
  <si>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</si>
  <si>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</si>
  <si>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</si>
  <si>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</si>
  <si>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</si>
  <si>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</si>
  <si>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</si>
  <si>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</si>
  <si>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</si>
  <si>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</si>
  <si>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</si>
  <si>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</si>
  <si>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</si>
  <si>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</si>
  <si>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</si>
  <si>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</si>
  <si>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</si>
  <si>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</si>
  <si>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</si>
  <si>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</si>
  <si>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</si>
  <si>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</si>
  <si>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</si>
  <si>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</si>
  <si>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</si>
  <si>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</si>
  <si>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</si>
  <si>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</si>
  <si>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</si>
  <si>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</si>
  <si>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</si>
  <si>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</si>
  <si>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</si>
  <si>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</si>
  <si>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</si>
  <si>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</si>
  <si>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</si>
  <si>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</si>
  <si>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</si>
  <si>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</si>
  <si>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</si>
  <si>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</si>
  <si>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</si>
  <si>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</si>
  <si>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</si>
  <si>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</si>
  <si>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</si>
  <si>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</si>
  <si>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</si>
  <si>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</si>
  <si>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</si>
  <si>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</si>
  <si>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</si>
  <si>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</si>
  <si>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</si>
  <si>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</si>
  <si>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</si>
  <si>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</si>
  <si>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</si>
  <si>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</si>
  <si>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</si>
  <si>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</si>
  <si>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</si>
  <si>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</si>
  <si>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</si>
  <si>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</si>
  <si>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</si>
  <si>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</si>
  <si>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</si>
  <si>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</si>
  <si>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</si>
  <si>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</si>
  <si>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</si>
  <si>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</si>
  <si>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</si>
  <si>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</si>
  <si>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</si>
  <si>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</si>
  <si>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</si>
  <si>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</si>
  <si>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</si>
  <si>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</si>
  <si>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</si>
  <si>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</si>
  <si>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</si>
  <si>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</si>
  <si>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</si>
  <si>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</si>
  <si>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</si>
  <si>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</si>
  <si>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</si>
  <si>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</si>
  <si>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</si>
  <si>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</si>
  <si>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</si>
  <si>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</si>
  <si>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</si>
  <si>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</si>
  <si>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</si>
  <si>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</si>
  <si>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</si>
  <si>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</si>
  <si>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</si>
  <si>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</si>
  <si>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</si>
  <si>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</si>
  <si>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</si>
  <si>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</si>
  <si>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</si>
  <si>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</si>
  <si>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</si>
  <si>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</si>
  <si>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</si>
  <si>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</si>
  <si>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</si>
  <si>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</si>
  <si>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</si>
  <si>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</si>
  <si>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</si>
  <si>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</si>
  <si>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</si>
  <si>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</si>
  <si>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</si>
  <si>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</si>
  <si>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</si>
  <si>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</si>
  <si>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</si>
  <si>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</si>
  <si>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</si>
  <si>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</si>
  <si>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</si>
  <si>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</si>
  <si>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</si>
  <si>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</si>
  <si>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</si>
  <si>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</si>
  <si>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</si>
  <si>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</si>
  <si>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</si>
  <si>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</si>
  <si>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</si>
  <si>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</si>
  <si>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</si>
  <si>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</si>
  <si>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</si>
  <si>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</si>
  <si>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</si>
  <si>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</si>
  <si>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</si>
  <si>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</si>
  <si>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</si>
  <si>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</si>
  <si>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</si>
  <si>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</si>
  <si>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</si>
  <si>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</si>
  <si>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</si>
  <si>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</si>
  <si>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</si>
  <si>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</si>
  <si>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</si>
  <si>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</si>
  <si>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</si>
  <si>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</si>
  <si>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</si>
  <si>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</si>
  <si>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</si>
  <si>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</si>
  <si>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</si>
  <si>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</si>
  <si>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</si>
  <si>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</si>
  <si>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</si>
  <si>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</si>
  <si>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</si>
  <si>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</si>
  <si>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</si>
  <si>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</si>
  <si>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</si>
  <si>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</si>
  <si>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</si>
  <si>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</si>
  <si>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</si>
  <si>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</si>
  <si>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</si>
  <si>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</si>
  <si>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</si>
  <si>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</si>
  <si>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</si>
  <si>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</si>
  <si>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</si>
  <si>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</si>
  <si>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</si>
  <si>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</si>
  <si>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</si>
  <si>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</si>
  <si>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</si>
  <si>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</si>
  <si>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</si>
  <si>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</si>
  <si>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</si>
  <si>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</si>
  <si>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</si>
  <si>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</si>
  <si>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</si>
  <si>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</si>
  <si>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</si>
  <si>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</si>
  <si>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</si>
  <si>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</si>
  <si>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</si>
  <si>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</si>
  <si>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</si>
  <si>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</si>
  <si>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</si>
  <si>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</si>
  <si>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</si>
  <si>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</si>
  <si>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</si>
  <si>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</si>
  <si>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</si>
  <si>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</si>
  <si>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</si>
  <si>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</si>
  <si>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</si>
  <si>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</si>
  <si>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</si>
  <si>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</si>
  <si>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</si>
  <si>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</si>
  <si>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</si>
  <si>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</si>
  <si>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</si>
  <si>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</si>
  <si>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</si>
  <si>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</si>
  <si>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</si>
  <si>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</si>
  <si>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</si>
  <si>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</si>
  <si>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</si>
  <si>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</si>
  <si>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</si>
  <si>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</si>
  <si>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</si>
  <si>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</si>
  <si>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</si>
  <si>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</si>
  <si>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</si>
  <si>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</si>
  <si>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</si>
  <si>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</si>
  <si>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</si>
  <si>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</si>
  <si>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</si>
  <si>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</si>
  <si>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</si>
  <si>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</si>
  <si>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</si>
  <si>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</si>
  <si>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</si>
  <si>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</si>
  <si>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</si>
  <si>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</si>
  <si>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</si>
  <si>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</si>
  <si>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</si>
  <si>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</si>
  <si>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</si>
  <si>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</si>
  <si>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</si>
  <si>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</si>
  <si>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</si>
  <si>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</si>
  <si>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</si>
  <si>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</si>
  <si>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</si>
  <si>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</si>
  <si>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</si>
  <si>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</si>
  <si>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</si>
  <si>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</si>
  <si>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</si>
  <si>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</si>
  <si>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</si>
  <si>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</si>
  <si>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</si>
  <si>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</si>
  <si>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</si>
  <si>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</si>
  <si>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</si>
  <si>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</si>
  <si>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</si>
  <si>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</si>
  <si>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</si>
  <si>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</si>
  <si>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</si>
  <si>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</si>
  <si>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</si>
  <si>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</si>
  <si>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</si>
  <si>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</si>
  <si>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</si>
  <si>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</si>
  <si>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</si>
  <si>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</si>
  <si>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</si>
  <si>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</si>
  <si>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</si>
  <si>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</si>
  <si>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</si>
  <si>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</si>
  <si>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</si>
  <si>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</si>
  <si>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</si>
  <si>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</si>
  <si>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</si>
  <si>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</si>
  <si>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</si>
  <si>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</si>
  <si>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</si>
  <si>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</si>
  <si>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</si>
  <si>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</si>
  <si>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</si>
  <si>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</si>
  <si>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</si>
  <si>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</si>
  <si>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</si>
  <si>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</si>
  <si>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</si>
  <si>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</si>
  <si>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</si>
  <si>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</si>
  <si>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</si>
  <si>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</si>
  <si>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</si>
  <si>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</si>
  <si>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</si>
  <si>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</si>
  <si>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</si>
  <si>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</si>
  <si>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</si>
  <si>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</si>
  <si>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</si>
  <si>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</si>
  <si>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</si>
  <si>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</si>
  <si>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</si>
  <si>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</si>
  <si>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</si>
  <si>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</si>
  <si>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</si>
  <si>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</si>
  <si>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</si>
  <si>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</si>
  <si>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</si>
  <si>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</si>
  <si>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</si>
  <si>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</si>
  <si>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</si>
  <si>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</si>
  <si>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</si>
  <si>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</si>
  <si>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</si>
  <si>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</si>
  <si>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</si>
  <si>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</si>
  <si>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</si>
  <si>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</si>
  <si>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</si>
  <si>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</si>
  <si>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</si>
  <si>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</si>
  <si>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</si>
  <si>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</si>
  <si>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</si>
  <si>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</si>
  <si>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</si>
  <si>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</si>
  <si>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</si>
  <si>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</si>
  <si>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</si>
  <si>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</si>
  <si>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</si>
  <si>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</si>
  <si>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</si>
  <si>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</si>
  <si>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</si>
  <si>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</si>
  <si>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</si>
  <si>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</si>
  <si>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</si>
  <si>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</si>
  <si>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</si>
  <si>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</si>
  <si>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</si>
  <si>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</si>
  <si>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</si>
  <si>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</si>
  <si>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</si>
  <si>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</si>
  <si>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</si>
  <si>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</si>
  <si>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</si>
  <si>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</si>
  <si>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</si>
  <si>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</si>
  <si>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</si>
  <si>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</si>
  <si>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</si>
  <si>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</si>
  <si>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</si>
  <si>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</si>
  <si>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</si>
  <si>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</si>
  <si>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</si>
  <si>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</si>
  <si>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</si>
  <si>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</si>
  <si>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</si>
  <si>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</si>
  <si>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</si>
  <si>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</si>
  <si>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</si>
  <si>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</si>
  <si>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</si>
  <si>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</si>
  <si>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</si>
  <si>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</si>
  <si>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</si>
  <si>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</si>
  <si>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</si>
  <si>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</si>
  <si>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</si>
  <si>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</si>
  <si>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</si>
  <si>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</si>
  <si>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</si>
  <si>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</si>
  <si>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</si>
  <si>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</si>
  <si>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</si>
  <si>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</si>
  <si>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</si>
  <si>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</si>
  <si>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</si>
  <si>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</si>
  <si>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</si>
  <si>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</si>
  <si>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</si>
  <si>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</si>
  <si>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</si>
  <si>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</si>
  <si>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</si>
  <si>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</si>
  <si>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</si>
  <si>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</si>
  <si>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</si>
  <si>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</si>
  <si>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</si>
  <si>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</si>
  <si>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</si>
  <si>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</si>
  <si>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</si>
  <si>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</si>
  <si>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</si>
  <si>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</si>
  <si>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</si>
  <si>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</si>
  <si>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</si>
  <si>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</si>
  <si>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</si>
  <si>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</si>
  <si>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</si>
  <si>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</si>
  <si>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</si>
  <si>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</si>
  <si>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</si>
  <si>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</si>
  <si>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</si>
  <si>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</si>
  <si>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</si>
  <si>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</si>
  <si>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</si>
  <si>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</si>
  <si>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</si>
  <si>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</si>
  <si>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</si>
  <si>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</si>
  <si>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</si>
  <si>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</si>
  <si>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</si>
  <si>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</si>
  <si>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</si>
  <si>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</si>
  <si>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</si>
  <si>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</si>
  <si>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</si>
  <si>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</si>
  <si>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</si>
  <si>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</si>
  <si>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</si>
  <si>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</si>
  <si>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</si>
  <si>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</si>
  <si>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</si>
  <si>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</si>
  <si>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</si>
  <si>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</si>
  <si>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</si>
  <si>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</si>
  <si>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</si>
  <si>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</si>
  <si>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</si>
  <si>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</si>
  <si>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</si>
  <si>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</si>
  <si>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</si>
  <si>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</si>
  <si>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</si>
  <si>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</si>
  <si>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</si>
  <si>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</si>
  <si>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</si>
  <si>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</si>
  <si>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</si>
  <si>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</si>
  <si>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</si>
  <si>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</si>
  <si>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</si>
  <si>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</si>
  <si>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</si>
  <si>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</si>
  <si>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</si>
  <si>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</si>
  <si>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</si>
  <si>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</si>
  <si>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</si>
  <si>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</si>
  <si>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</si>
  <si>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</si>
  <si>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</si>
  <si>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</si>
  <si>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</si>
  <si>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</si>
  <si>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</si>
  <si>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</si>
  <si>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</si>
  <si>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</si>
  <si>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</si>
  <si>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</si>
  <si>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</si>
  <si>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</si>
  <si>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</si>
  <si>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</si>
  <si>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</si>
  <si>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</si>
  <si>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</si>
  <si>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</si>
  <si>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</si>
  <si>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</si>
  <si>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</si>
  <si>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</si>
  <si>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</si>
  <si>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</si>
  <si>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</si>
  <si>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</si>
  <si>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</si>
  <si>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</si>
  <si>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</si>
  <si>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</si>
  <si>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</si>
  <si>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</si>
  <si>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</si>
  <si>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</si>
  <si>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</si>
  <si>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</si>
  <si>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</si>
  <si>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</si>
  <si>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</si>
  <si>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</si>
  <si>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</si>
  <si>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</si>
  <si>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</si>
  <si>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</si>
  <si>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</si>
  <si>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</si>
  <si>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</si>
  <si>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</si>
  <si>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</si>
  <si>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</si>
  <si>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</si>
  <si>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</si>
  <si>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</si>
  <si>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</si>
  <si>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</si>
  <si>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</si>
  <si>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</si>
  <si>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</si>
  <si>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</si>
  <si>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</si>
  <si>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</si>
  <si>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</si>
  <si>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</si>
  <si>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</si>
  <si>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</si>
  <si>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</si>
  <si>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</si>
  <si>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</si>
  <si>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</si>
  <si>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</si>
  <si>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</si>
  <si>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</si>
  <si>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</si>
  <si>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</si>
  <si>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</si>
  <si>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</si>
  <si>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</si>
  <si>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</si>
  <si>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</si>
  <si>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</si>
  <si>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</si>
  <si>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</si>
  <si>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</si>
  <si>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</si>
  <si>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</si>
  <si>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</si>
  <si>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</si>
  <si>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</si>
  <si>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</si>
  <si>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</si>
  <si>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</si>
  <si>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</si>
  <si>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</si>
  <si>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</si>
  <si>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</si>
  <si>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</si>
  <si>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</si>
  <si>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</si>
  <si>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</si>
  <si>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</si>
  <si>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</si>
  <si>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</si>
  <si>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</si>
  <si>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</si>
  <si>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</si>
  <si>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</si>
  <si>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</si>
  <si>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</si>
  <si>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</si>
  <si>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</si>
  <si>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</si>
  <si>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</si>
  <si>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</si>
  <si>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</si>
  <si>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</si>
  <si>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</si>
  <si>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</si>
  <si>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</si>
  <si>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</si>
  <si>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</si>
  <si>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</si>
  <si>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</si>
  <si>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</si>
  <si>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</si>
  <si>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</si>
  <si>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</si>
  <si>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</si>
  <si>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</si>
  <si>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</si>
  <si>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</si>
  <si>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</si>
  <si>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</si>
  <si>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</si>
  <si>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</si>
  <si>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</si>
  <si>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</si>
  <si>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</si>
  <si>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</si>
  <si>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</si>
  <si>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</si>
  <si>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</si>
  <si>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</si>
  <si>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</si>
  <si>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</si>
  <si>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</si>
  <si>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</si>
  <si>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</si>
  <si>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</si>
  <si>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</si>
  <si>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</si>
  <si>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</si>
  <si>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</si>
  <si>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</si>
  <si>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</si>
  <si>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</si>
  <si>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</si>
  <si>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</si>
  <si>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</si>
  <si>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</si>
  <si>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</si>
  <si>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</si>
  <si>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</si>
  <si>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</si>
  <si>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</si>
  <si>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</si>
  <si>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</si>
  <si>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</si>
  <si>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</si>
  <si>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</si>
  <si>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</si>
  <si>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</si>
  <si>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</si>
  <si>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</si>
  <si>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</si>
  <si>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</si>
  <si>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</si>
  <si>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</si>
  <si>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</si>
  <si>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</si>
  <si>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</si>
  <si>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</si>
  <si>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</si>
  <si>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</si>
  <si>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</si>
  <si>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</si>
  <si>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</si>
  <si>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</si>
  <si>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</si>
  <si>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</si>
  <si>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</si>
  <si>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</si>
  <si>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</si>
  <si>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</si>
  <si>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</si>
  <si>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</si>
  <si>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</si>
  <si>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</si>
  <si>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</si>
  <si>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</si>
  <si>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</si>
  <si>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</si>
  <si>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</si>
  <si>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</si>
  <si>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</si>
  <si>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</si>
  <si>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</si>
  <si>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</si>
  <si>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</si>
  <si>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</si>
  <si>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</si>
  <si>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</si>
  <si>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</si>
  <si>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</si>
  <si>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</si>
  <si>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</si>
  <si>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</si>
  <si>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</si>
  <si>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</si>
  <si>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</si>
  <si>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</si>
  <si>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</si>
  <si>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</si>
  <si>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</si>
  <si>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</si>
  <si>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</si>
  <si>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</si>
  <si>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</si>
  <si>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</si>
  <si>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</si>
  <si>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</si>
  <si>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</si>
  <si>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</si>
  <si>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</si>
  <si>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</si>
  <si>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</si>
  <si>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</si>
  <si>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</si>
  <si>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</si>
  <si>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</si>
  <si>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</si>
  <si>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</si>
  <si>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</si>
  <si>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</si>
  <si>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</si>
  <si>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</si>
  <si>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</si>
  <si>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</si>
  <si>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</si>
  <si>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</si>
  <si>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</si>
  <si>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</si>
  <si>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</si>
  <si>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</si>
  <si>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</si>
  <si>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</si>
  <si>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</si>
  <si>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</si>
  <si>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</si>
  <si>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</si>
  <si>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</si>
  <si>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</si>
  <si>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</si>
  <si>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</si>
  <si>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</si>
  <si>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</si>
  <si>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</si>
  <si>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</si>
  <si>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</si>
  <si>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</si>
  <si>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</si>
  <si>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</si>
  <si>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</si>
  <si>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</si>
  <si>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</si>
  <si>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</si>
  <si>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</si>
  <si>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</si>
  <si>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</si>
  <si>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</si>
  <si>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</si>
  <si>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</si>
  <si>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</si>
  <si>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</si>
  <si>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</si>
  <si>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</si>
  <si>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</si>
  <si>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</si>
  <si>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</si>
  <si>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</si>
  <si>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</si>
  <si>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</si>
  <si>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</si>
  <si>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</si>
  <si>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</si>
  <si>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</si>
  <si>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</si>
  <si>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</si>
  <si>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</si>
  <si>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</si>
  <si>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</si>
  <si>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</si>
  <si>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</si>
  <si>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</si>
  <si>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</si>
  <si>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</si>
  <si>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</si>
  <si>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</si>
  <si>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</si>
  <si>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</si>
  <si>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</si>
  <si>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</si>
  <si>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</si>
  <si>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</si>
  <si>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</si>
  <si>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</si>
  <si>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</si>
  <si>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</si>
  <si>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</si>
  <si>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</si>
  <si>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</si>
  <si>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</si>
  <si>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</si>
  <si>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</si>
  <si>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</si>
  <si>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</si>
  <si>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</si>
  <si>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</si>
  <si>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</si>
  <si>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</si>
  <si>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</si>
  <si>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</si>
  <si>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</si>
  <si>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</si>
  <si>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</si>
  <si>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</si>
  <si>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</si>
  <si>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</si>
  <si>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</si>
  <si>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</si>
  <si>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</si>
  <si>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</si>
  <si>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</si>
  <si>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</si>
  <si>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</si>
  <si>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</si>
  <si>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</si>
  <si>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</si>
  <si>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</si>
  <si>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</si>
  <si>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</si>
  <si>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</si>
  <si>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</si>
  <si>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</si>
  <si>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</si>
  <si>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</si>
  <si>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</si>
  <si>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</si>
  <si>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</si>
  <si>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</si>
  <si>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</si>
  <si>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</si>
  <si>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</si>
  <si>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</si>
  <si>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</si>
  <si>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</si>
  <si>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</si>
  <si>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</si>
  <si>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</si>
  <si>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</si>
  <si>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</si>
  <si>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</si>
  <si>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</si>
  <si>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</si>
  <si>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</si>
  <si>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</si>
  <si>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</si>
  <si>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</si>
  <si>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</si>
  <si>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</si>
  <si>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</si>
  <si>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</si>
  <si>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</si>
  <si>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</si>
  <si>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</si>
  <si>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</si>
  <si>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</si>
  <si>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</si>
  <si>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</si>
  <si>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</si>
  <si>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</si>
  <si>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</si>
  <si>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</si>
  <si>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</si>
  <si>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</si>
  <si>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</si>
  <si>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</si>
  <si>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</si>
  <si>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</si>
  <si>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</si>
  <si>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</si>
  <si>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</si>
  <si>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</si>
  <si>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</si>
  <si>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</si>
  <si>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</si>
  <si>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</si>
  <si>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</si>
  <si>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</si>
  <si>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</si>
  <si>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</si>
  <si>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</si>
  <si>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</si>
  <si>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</si>
  <si>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</si>
  <si>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</si>
  <si>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</si>
  <si>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</si>
  <si>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</si>
  <si>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</si>
  <si>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</si>
  <si>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</si>
  <si>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</si>
  <si>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</si>
  <si>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</si>
  <si>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</si>
  <si>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</si>
  <si>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</si>
  <si>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</si>
  <si>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</si>
  <si>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</si>
  <si>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</si>
  <si>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</si>
  <si>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</si>
  <si>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</si>
  <si>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</si>
  <si>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</si>
  <si>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</si>
  <si>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</si>
  <si>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</si>
  <si>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</si>
  <si>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</si>
  <si>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</si>
  <si>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</si>
  <si>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</si>
  <si>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</si>
  <si>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</si>
  <si>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</si>
  <si>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</si>
  <si>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</si>
  <si>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</si>
  <si>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</si>
  <si>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</si>
  <si>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</si>
  <si>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</si>
  <si>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</si>
  <si>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</si>
  <si>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</si>
  <si>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</si>
  <si>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</si>
  <si>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</si>
  <si>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</si>
  <si>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</si>
  <si>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</si>
  <si>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</si>
  <si>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</si>
  <si>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</si>
  <si>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</si>
  <si>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</si>
  <si>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</si>
  <si>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</si>
  <si>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</si>
  <si>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</si>
  <si>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</si>
  <si>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</si>
  <si>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</si>
  <si>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</si>
  <si>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</si>
  <si>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</si>
  <si>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</si>
  <si>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</si>
  <si>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</si>
  <si>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</si>
  <si>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</si>
  <si>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</si>
  <si>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</si>
  <si>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</si>
  <si>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</si>
  <si>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</si>
  <si>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</si>
  <si>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</si>
  <si>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</si>
  <si>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</si>
  <si>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</si>
  <si>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</si>
  <si>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</si>
  <si>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</si>
  <si>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</si>
  <si>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</si>
  <si>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</si>
  <si>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</si>
  <si>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</si>
  <si>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</si>
  <si>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</si>
  <si>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</si>
  <si>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</si>
  <si>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</si>
  <si>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</si>
  <si>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</si>
  <si>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</si>
  <si>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</si>
  <si>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</si>
  <si>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</si>
  <si>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</si>
  <si>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</si>
  <si>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</si>
  <si>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</si>
  <si>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</si>
  <si>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</si>
  <si>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</si>
  <si>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</si>
  <si>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</si>
  <si>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</si>
  <si>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</si>
  <si>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</si>
  <si>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</si>
  <si>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</si>
  <si>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</si>
  <si>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</si>
  <si>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</si>
  <si>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</si>
  <si>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</si>
  <si>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</si>
  <si>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</si>
  <si>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</si>
  <si>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</si>
  <si>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</si>
  <si>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</si>
  <si>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</si>
  <si>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</si>
  <si>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</si>
  <si>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</si>
  <si>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</si>
  <si>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</si>
  <si>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</si>
  <si>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</si>
  <si>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</si>
  <si>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</si>
  <si>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</si>
  <si>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</si>
  <si>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</si>
  <si>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</si>
  <si>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</si>
  <si>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</si>
  <si>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</si>
  <si>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</si>
  <si>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</si>
  <si>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</si>
  <si>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</si>
  <si>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</si>
  <si>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</si>
  <si>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</si>
  <si>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</si>
  <si>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</si>
  <si>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</si>
  <si>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</si>
  <si>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</si>
  <si>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</si>
  <si>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</si>
  <si>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</si>
  <si>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</si>
  <si>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</si>
  <si>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</si>
  <si>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</si>
  <si>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</si>
  <si>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</si>
  <si>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</si>
  <si>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</si>
  <si>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</si>
  <si>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</si>
  <si>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</si>
  <si>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</si>
  <si>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</si>
  <si>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</si>
  <si>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</si>
  <si>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</si>
  <si>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</si>
  <si>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</si>
  <si>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</si>
  <si>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</si>
  <si>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</si>
  <si>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</si>
  <si>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</si>
  <si>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</si>
  <si>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</si>
  <si>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</si>
  <si>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</si>
  <si>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</si>
  <si>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</si>
  <si>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</si>
  <si>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</si>
  <si>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</si>
  <si>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</si>
  <si>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</si>
  <si>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</si>
  <si>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</si>
  <si>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</si>
  <si>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</si>
  <si>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</si>
  <si>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</si>
  <si>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</si>
  <si>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</si>
  <si>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</si>
  <si>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</si>
  <si>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</si>
  <si>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</si>
  <si>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</si>
  <si>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</si>
  <si>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</si>
  <si>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</si>
  <si>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</si>
  <si>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</si>
  <si>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</si>
  <si>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</si>
  <si>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</si>
  <si>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</si>
  <si>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</si>
  <si>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</si>
  <si>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</si>
  <si>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</si>
  <si>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</si>
  <si>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</si>
  <si>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</si>
  <si>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</si>
  <si>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</si>
  <si>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</si>
  <si>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</si>
  <si>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</si>
  <si>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</si>
  <si>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</si>
  <si>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</si>
  <si>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</si>
  <si>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</si>
  <si>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</si>
  <si>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</si>
  <si>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</si>
  <si>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</si>
  <si>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</si>
  <si>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</si>
  <si>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</si>
  <si>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</si>
  <si>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</si>
  <si>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</si>
  <si>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</si>
  <si>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</si>
  <si>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</si>
  <si>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</si>
  <si>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</si>
  <si>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</si>
  <si>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</si>
  <si>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</si>
  <si>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</si>
  <si>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</si>
  <si>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</si>
  <si>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</si>
  <si>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</si>
  <si>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</si>
  <si>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</si>
  <si>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</si>
  <si>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</si>
  <si>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</si>
  <si>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</si>
  <si>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</si>
  <si>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</si>
  <si>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</si>
  <si>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</si>
  <si>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</si>
  <si>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</si>
  <si>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</si>
  <si>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</si>
  <si>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</si>
  <si>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</si>
  <si>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</si>
  <si>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</si>
  <si>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</si>
  <si>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</si>
  <si>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</si>
  <si>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</si>
  <si>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</si>
  <si>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</si>
  <si>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</si>
  <si>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</si>
  <si>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</si>
  <si>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</si>
  <si>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</si>
  <si>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</si>
  <si>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</si>
  <si>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</si>
  <si>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</si>
  <si>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</si>
  <si>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</si>
  <si>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</si>
  <si>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</si>
  <si>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</si>
  <si>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</si>
  <si>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</si>
  <si>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</si>
  <si>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</si>
  <si>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</si>
  <si>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</si>
  <si>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</si>
  <si>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</si>
  <si>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</si>
  <si>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</si>
  <si>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</si>
  <si>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</si>
  <si>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</si>
  <si>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</si>
  <si>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</si>
  <si>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</si>
  <si>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</si>
  <si>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</si>
  <si>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</si>
  <si>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</si>
  <si>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</si>
  <si>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</si>
  <si>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</si>
  <si>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</si>
  <si>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</si>
  <si>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</si>
  <si>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</si>
  <si>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</si>
  <si>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</si>
  <si>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</si>
  <si>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</si>
  <si>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</si>
  <si>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</si>
  <si>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</si>
  <si>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</si>
  <si>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</si>
  <si>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</si>
  <si>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</si>
  <si>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</si>
  <si>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</si>
  <si>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</si>
  <si>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</si>
  <si>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</si>
  <si>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</si>
  <si>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</si>
  <si>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</si>
  <si>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</si>
  <si>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</si>
  <si>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</si>
  <si>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</si>
  <si>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</si>
  <si>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</si>
  <si>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</si>
  <si>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</si>
  <si>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</si>
  <si>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</si>
  <si>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</si>
  <si>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</si>
  <si>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</si>
  <si>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</si>
  <si>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</si>
  <si>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</si>
  <si>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</si>
  <si>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</si>
  <si>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</si>
  <si>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</si>
  <si>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</si>
  <si>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</si>
  <si>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</si>
  <si>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</si>
  <si>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</si>
  <si>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</si>
  <si>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</si>
  <si>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</si>
  <si>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</si>
  <si>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</si>
  <si>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</si>
  <si>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</si>
  <si>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</si>
  <si>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</si>
  <si>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</si>
  <si>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</si>
  <si>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</si>
  <si>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</si>
  <si>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</si>
  <si>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</si>
  <si>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</si>
  <si>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</si>
  <si>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</si>
  <si>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</si>
  <si>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</si>
  <si>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</si>
  <si>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</si>
  <si>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</si>
  <si>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</si>
  <si>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</si>
  <si>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</si>
  <si>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</si>
  <si>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</si>
  <si>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</si>
  <si>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</si>
  <si>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</si>
  <si>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</si>
  <si>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</si>
  <si>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</si>
  <si>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</si>
  <si>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</si>
  <si>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</si>
  <si>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</si>
  <si>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</si>
  <si>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</si>
  <si>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</si>
  <si>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</si>
  <si>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</si>
  <si>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</si>
  <si>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</si>
  <si>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</si>
  <si>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</si>
  <si>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</si>
  <si>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</si>
  <si>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</si>
  <si>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</si>
  <si>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</si>
  <si>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</si>
  <si>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</si>
  <si>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</si>
  <si>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</si>
  <si>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</si>
  <si>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</si>
  <si>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</si>
  <si>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</si>
  <si>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</si>
  <si>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</si>
  <si>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</si>
  <si>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</si>
  <si>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</si>
  <si>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</si>
  <si>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</si>
  <si>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</si>
  <si>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</si>
  <si>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</si>
  <si>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</si>
  <si>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</si>
  <si>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</si>
  <si>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</si>
  <si>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</si>
  <si>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</si>
  <si>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</si>
  <si>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</si>
  <si>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</si>
  <si>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</si>
  <si>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</si>
  <si>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</si>
  <si>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</si>
  <si>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</si>
  <si>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</si>
  <si>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</si>
  <si>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</si>
  <si>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</si>
  <si>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</si>
  <si>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</si>
  <si>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</si>
  <si>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</si>
  <si>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</si>
  <si>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</si>
  <si>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</si>
  <si>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</si>
  <si>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</si>
  <si>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</si>
  <si>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</si>
  <si>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</si>
  <si>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</si>
  <si>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</si>
  <si>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</si>
  <si>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</si>
  <si>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</si>
  <si>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</si>
  <si>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</si>
  <si>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</si>
  <si>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</si>
  <si>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</si>
  <si>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</si>
  <si>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</si>
  <si>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</si>
  <si>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</si>
  <si>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</si>
  <si>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</si>
  <si>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</si>
  <si>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</si>
  <si>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</si>
  <si>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</si>
  <si>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</si>
  <si>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</si>
  <si>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</si>
  <si>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</si>
  <si>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</si>
  <si>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</si>
  <si>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</si>
  <si>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</si>
  <si>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</si>
  <si>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</si>
  <si>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</si>
  <si>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</si>
  <si>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</si>
  <si>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</si>
  <si>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</si>
  <si>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</si>
  <si>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</si>
  <si>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</si>
  <si>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</si>
  <si>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</si>
  <si>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</si>
  <si>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</si>
  <si>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</si>
  <si>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</si>
  <si>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</si>
  <si>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</si>
  <si>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</si>
  <si>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</si>
  <si>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</si>
  <si>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</si>
  <si>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</si>
  <si>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</si>
  <si>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</si>
  <si>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</si>
  <si>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</si>
  <si>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</si>
  <si>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</si>
  <si>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</si>
  <si>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</si>
  <si>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</si>
  <si>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</si>
  <si>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</si>
  <si>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</si>
  <si>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</si>
  <si>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</si>
  <si>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</si>
  <si>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</si>
  <si>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</si>
  <si>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</si>
  <si>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</si>
  <si>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</si>
  <si>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</si>
  <si>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</si>
  <si>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</si>
  <si>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</si>
  <si>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</si>
  <si>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</si>
  <si>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</si>
  <si>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</si>
  <si>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</si>
  <si>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</si>
  <si>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</si>
  <si>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</si>
  <si>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</si>
  <si>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</si>
  <si>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</si>
  <si>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</si>
  <si>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</si>
  <si>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</si>
  <si>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</si>
  <si>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</si>
  <si>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</si>
  <si>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</si>
  <si>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</si>
  <si>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</si>
  <si>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</si>
  <si>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</si>
  <si>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</si>
  <si>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</si>
  <si>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</si>
  <si>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</si>
  <si>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</si>
  <si>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</si>
  <si>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</si>
  <si>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</si>
  <si>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</si>
  <si>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</si>
  <si>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</si>
  <si>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</si>
  <si>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</si>
  <si>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</si>
  <si>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</si>
  <si>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</si>
  <si>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</si>
  <si>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</si>
  <si>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</si>
  <si>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</si>
  <si>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</si>
  <si>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</si>
  <si>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</si>
  <si>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</si>
  <si>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</si>
  <si>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</si>
  <si>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</si>
  <si>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</si>
  <si>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</si>
  <si>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</si>
  <si>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</si>
  <si>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</si>
  <si>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</si>
  <si>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</si>
  <si>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</si>
  <si>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</si>
  <si>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</si>
  <si>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</si>
  <si>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</si>
  <si>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</si>
  <si>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</si>
  <si>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</si>
  <si>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</si>
  <si>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</si>
  <si>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</si>
  <si>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</si>
  <si>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</si>
  <si>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</si>
  <si>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</si>
  <si>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</si>
  <si>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</si>
  <si>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</si>
  <si>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</si>
  <si>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</si>
  <si>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</si>
  <si>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</si>
  <si>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</si>
  <si>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</si>
  <si>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</si>
  <si>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</si>
  <si>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</si>
  <si>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</si>
  <si>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</si>
  <si>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</si>
  <si>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</si>
  <si>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</si>
  <si>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</si>
  <si>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</si>
  <si>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</si>
  <si>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</si>
  <si>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</si>
  <si>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</si>
  <si>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</si>
  <si>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</si>
  <si>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</si>
  <si>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</si>
  <si>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</si>
  <si>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</si>
  <si>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</si>
  <si>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</si>
  <si>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</si>
  <si>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</si>
  <si>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</si>
  <si>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</si>
  <si>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</si>
  <si>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</si>
  <si>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</si>
  <si>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</si>
  <si>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</si>
  <si>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</si>
  <si>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</si>
  <si>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</si>
  <si>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</si>
  <si>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</si>
  <si>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</si>
  <si>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</si>
  <si>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</si>
  <si>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</si>
  <si>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</si>
  <si>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</si>
  <si>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</si>
  <si>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</si>
  <si>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</si>
  <si>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</si>
  <si>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</si>
  <si>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</si>
  <si>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</si>
  <si>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</si>
  <si>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</si>
  <si>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</si>
  <si>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</si>
  <si>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</si>
  <si>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</si>
  <si>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</si>
  <si>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</si>
  <si>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</si>
  <si>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</si>
  <si>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</si>
  <si>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</si>
  <si>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</si>
  <si>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</si>
  <si>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</si>
  <si>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</si>
  <si>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</si>
  <si>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</si>
  <si>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</si>
  <si>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</si>
  <si>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</si>
  <si>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</si>
  <si>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</si>
  <si>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</si>
  <si>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</si>
  <si>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</si>
  <si>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</si>
  <si>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</si>
  <si>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</si>
  <si>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</si>
  <si>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</si>
  <si>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</si>
  <si>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</si>
  <si>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</si>
  <si>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</si>
  <si>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</si>
  <si>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</si>
  <si>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</si>
  <si>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</si>
  <si>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</si>
  <si>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</si>
  <si>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</si>
  <si>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</si>
  <si>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</si>
  <si>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</si>
  <si>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</si>
  <si>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</si>
  <si>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</si>
  <si>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</si>
  <si>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</si>
  <si>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</si>
  <si>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</si>
  <si>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</si>
  <si>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</si>
  <si>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</si>
  <si>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</si>
  <si>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</si>
  <si>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</si>
  <si>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</si>
  <si>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</si>
  <si>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</si>
  <si>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</si>
  <si>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</si>
  <si>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</si>
  <si>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</si>
  <si>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</si>
  <si>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</si>
  <si>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</si>
  <si>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</si>
  <si>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</si>
  <si>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</si>
  <si>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</si>
  <si>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</si>
  <si>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</si>
  <si>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</si>
  <si>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</si>
  <si>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</si>
  <si>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</si>
  <si>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</si>
  <si>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</si>
  <si>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</si>
  <si>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</si>
  <si>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</si>
  <si>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</si>
  <si>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</si>
  <si>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</si>
  <si>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</si>
  <si>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</si>
  <si>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</si>
  <si>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</si>
  <si>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</si>
  <si>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</si>
  <si>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</si>
  <si>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</si>
  <si>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</si>
  <si>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</si>
  <si>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</si>
  <si>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</si>
  <si>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</si>
  <si>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</si>
  <si>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</si>
  <si>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</si>
  <si>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</si>
  <si>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</si>
  <si>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</si>
  <si>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</si>
  <si>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</si>
  <si>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</si>
  <si>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</si>
  <si>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</si>
  <si>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</si>
  <si>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</si>
  <si>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</si>
  <si>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</si>
  <si>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</si>
  <si>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</si>
  <si>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</si>
  <si>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</si>
  <si>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</si>
  <si>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</si>
  <si>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</si>
  <si>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</si>
  <si>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</si>
  <si>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</si>
  <si>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</si>
  <si>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</si>
  <si>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</si>
  <si>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</si>
  <si>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</si>
  <si>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</si>
  <si>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</si>
  <si>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</si>
  <si>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</si>
  <si>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</si>
  <si>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</si>
  <si>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</si>
  <si>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</si>
  <si>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</si>
  <si>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</si>
  <si>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</si>
  <si>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</si>
  <si>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</si>
  <si>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</si>
  <si>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</si>
  <si>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</si>
  <si>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</si>
  <si>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</si>
  <si>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</si>
  <si>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</si>
  <si>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</si>
  <si>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</si>
  <si>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</si>
  <si>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</si>
  <si>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</si>
  <si>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</si>
  <si>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</si>
  <si>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</si>
  <si>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</si>
  <si>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</si>
  <si>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</si>
  <si>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</si>
  <si>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</si>
  <si>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</si>
  <si>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</si>
  <si>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</si>
  <si>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</si>
  <si>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</si>
  <si>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</si>
  <si>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</si>
  <si>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</si>
  <si>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</si>
  <si>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</si>
  <si>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</si>
  <si>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</si>
  <si>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</si>
  <si>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</si>
  <si>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</si>
  <si>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</si>
  <si>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</si>
  <si>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</si>
  <si>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</si>
  <si>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</si>
  <si>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</si>
  <si>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</si>
  <si>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</si>
  <si>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</si>
  <si>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</si>
  <si>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</si>
  <si>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</si>
  <si>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</si>
  <si>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</si>
  <si>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</si>
  <si>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</si>
  <si>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</si>
  <si>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</si>
  <si>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</si>
  <si>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</si>
  <si>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</si>
  <si>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</si>
  <si>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</si>
  <si>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</si>
  <si>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</si>
  <si>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</si>
  <si>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</si>
  <si>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</si>
  <si>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</si>
  <si>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</si>
  <si>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</si>
  <si>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</si>
  <si>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</si>
  <si>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</si>
  <si>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</si>
  <si>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</si>
  <si>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</si>
  <si>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</si>
  <si>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</si>
  <si>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</si>
  <si>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</si>
  <si>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</si>
  <si>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</si>
  <si>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</si>
  <si>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</si>
  <si>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</si>
  <si>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</si>
  <si>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</si>
  <si>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</si>
  <si>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</si>
  <si>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</si>
  <si>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</si>
  <si>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</si>
  <si>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</si>
  <si>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</si>
  <si>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</si>
  <si>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</si>
  <si>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</si>
  <si>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</si>
  <si>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</si>
  <si>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</si>
  <si>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</si>
  <si>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</si>
  <si>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</si>
  <si>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</si>
  <si>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</si>
  <si>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</si>
  <si>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</si>
  <si>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</si>
  <si>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</si>
  <si>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</si>
  <si>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</si>
  <si>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</si>
  <si>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</si>
  <si>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</si>
  <si>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</si>
  <si>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</si>
  <si>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</si>
  <si>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</si>
  <si>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</si>
  <si>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</si>
  <si>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</si>
  <si>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</si>
  <si>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</si>
  <si>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</si>
  <si>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</si>
  <si>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</si>
  <si>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</si>
  <si>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</si>
  <si>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</si>
  <si>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</si>
  <si>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</si>
  <si>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</si>
  <si>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</si>
  <si>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</si>
  <si>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</si>
  <si>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</si>
  <si>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</si>
  <si>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</si>
  <si>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</si>
  <si>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</si>
  <si>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</si>
  <si>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</si>
  <si>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</si>
  <si>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</si>
  <si>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</si>
  <si>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</si>
  <si>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</si>
  <si>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</si>
  <si>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</si>
  <si>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</si>
  <si>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</si>
  <si>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</si>
  <si>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</si>
  <si>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</si>
  <si>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</si>
  <si>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</si>
  <si>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</si>
  <si>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</si>
  <si>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</si>
  <si>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</si>
  <si>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</si>
  <si>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</si>
  <si>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</si>
  <si>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</si>
  <si>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</si>
  <si>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</si>
  <si>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</si>
  <si>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</si>
  <si>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</si>
  <si>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</si>
  <si>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</si>
  <si>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</si>
  <si>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</si>
  <si>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</si>
  <si>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</si>
  <si>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</si>
  <si>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</si>
  <si>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</si>
  <si>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</si>
  <si>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</si>
  <si>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</si>
  <si>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</si>
  <si>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</si>
  <si>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</si>
  <si>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</si>
  <si>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</si>
  <si>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</si>
  <si>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</si>
  <si>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</si>
  <si>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</si>
  <si>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</si>
  <si>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</si>
  <si>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</si>
  <si>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</si>
  <si>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</si>
  <si>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</si>
  <si>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</si>
  <si>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</si>
  <si>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</si>
  <si>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</si>
  <si>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</si>
  <si>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</si>
  <si>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</si>
  <si>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</si>
  <si>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</si>
  <si>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</si>
  <si>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</si>
  <si>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</si>
  <si>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</si>
  <si>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</si>
  <si>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</si>
  <si>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</si>
  <si>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</si>
  <si>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</si>
  <si>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</si>
  <si>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</si>
  <si>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</si>
  <si>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</si>
  <si>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</si>
  <si>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</si>
  <si>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</si>
  <si>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</si>
  <si>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</si>
  <si>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</si>
  <si>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</si>
  <si>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</si>
  <si>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</si>
  <si>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</si>
  <si>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</si>
  <si>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</si>
  <si>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</si>
  <si>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</si>
  <si>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</si>
  <si>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</si>
  <si>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</si>
  <si>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</si>
  <si>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</si>
  <si>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</si>
  <si>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</si>
  <si>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</si>
  <si>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</si>
  <si>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</si>
  <si>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</si>
  <si>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</si>
  <si>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</si>
  <si>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</si>
  <si>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</si>
  <si>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</si>
  <si>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</si>
  <si>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</si>
  <si>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</si>
  <si>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</si>
  <si>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</si>
  <si>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</si>
  <si>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</si>
  <si>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</si>
  <si>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</si>
  <si>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</si>
  <si>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</si>
  <si>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</si>
  <si>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</si>
  <si>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</si>
  <si>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</si>
  <si>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</si>
  <si>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</si>
  <si>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</si>
  <si>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</si>
  <si>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</si>
  <si>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</si>
  <si>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</si>
  <si>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</si>
  <si>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</si>
  <si>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</si>
  <si>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</si>
  <si>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</si>
  <si>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</si>
  <si>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</si>
  <si>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</si>
  <si>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</si>
  <si>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</si>
  <si>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</si>
  <si>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</si>
  <si>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</si>
  <si>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</si>
  <si>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</si>
  <si>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</si>
  <si>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</si>
  <si>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</si>
  <si>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</si>
  <si>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</si>
  <si>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</si>
  <si>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</si>
  <si>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</si>
  <si>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</si>
  <si>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</si>
  <si>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</si>
  <si>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</si>
  <si>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</si>
  <si>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</si>
  <si>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</si>
  <si>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</si>
  <si>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</si>
  <si>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</si>
  <si>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</si>
  <si>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</si>
  <si>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</si>
  <si>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</si>
  <si>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</si>
  <si>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</si>
  <si>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</si>
  <si>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</si>
  <si>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</si>
  <si>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</si>
  <si>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</si>
  <si>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</si>
  <si>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</si>
  <si>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</si>
  <si>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</si>
  <si>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</si>
  <si>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</si>
  <si>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</si>
  <si>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</si>
  <si>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</si>
  <si>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</si>
  <si>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</si>
  <si>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</si>
  <si>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</si>
  <si>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</si>
  <si>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</si>
  <si>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</si>
  <si>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</si>
  <si>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</si>
  <si>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</si>
  <si>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</si>
  <si>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</si>
  <si>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</si>
  <si>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</si>
  <si>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</si>
  <si>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</si>
  <si>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</si>
  <si>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</si>
  <si>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</si>
  <si>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</si>
  <si>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</si>
  <si>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</si>
  <si>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</si>
  <si>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</si>
  <si>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</si>
  <si>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</si>
  <si>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</si>
  <si>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</si>
  <si>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</si>
  <si>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</si>
  <si>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</si>
  <si>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</si>
  <si>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</si>
  <si>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</si>
  <si>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</si>
  <si>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</si>
  <si>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</si>
  <si>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</si>
  <si>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</si>
  <si>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</si>
  <si>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</si>
  <si>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</si>
  <si>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</si>
  <si>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</si>
  <si>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</si>
  <si>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</si>
  <si>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</si>
  <si>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</si>
  <si>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</si>
  <si>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</si>
  <si>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</si>
  <si>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</si>
  <si>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</si>
  <si>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</si>
  <si>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</si>
  <si>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</si>
  <si>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</si>
  <si>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</si>
  <si>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</si>
  <si>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</si>
  <si>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</si>
  <si>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</si>
  <si>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</si>
  <si>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</si>
  <si>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</si>
  <si>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</si>
  <si>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</si>
  <si>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</si>
  <si>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</si>
  <si>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</si>
  <si>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</si>
  <si>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</si>
  <si>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</si>
  <si>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</si>
  <si>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</si>
  <si>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</si>
  <si>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</si>
  <si>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</si>
  <si>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</si>
  <si>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</si>
  <si>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</si>
  <si>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</si>
  <si>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</si>
  <si>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</si>
  <si>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</si>
  <si>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</si>
  <si>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</si>
  <si>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</si>
  <si>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</si>
  <si>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</si>
  <si>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</si>
  <si>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</si>
  <si>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</si>
  <si>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</si>
  <si>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</si>
  <si>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</si>
  <si>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</si>
  <si>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</si>
  <si>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</si>
  <si>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</si>
  <si>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</si>
  <si>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</si>
  <si>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</si>
  <si>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</si>
  <si>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</si>
  <si>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</si>
  <si>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</si>
  <si>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</si>
  <si>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</si>
  <si>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</si>
  <si>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</si>
  <si>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</si>
  <si>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</si>
  <si>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</si>
  <si>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</si>
  <si>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</si>
  <si>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</si>
  <si>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</si>
  <si>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</si>
  <si>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</si>
  <si>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</si>
  <si>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</si>
  <si>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</si>
  <si>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</si>
  <si>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</si>
  <si>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</si>
  <si>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</si>
  <si>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</si>
  <si>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</si>
  <si>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</si>
  <si>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</si>
  <si>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</si>
  <si>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</si>
  <si>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</si>
  <si>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</si>
  <si>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</si>
  <si>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</si>
  <si>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</si>
  <si>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</si>
  <si>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</si>
  <si>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</si>
  <si>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</si>
  <si>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</si>
  <si>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</si>
  <si>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</si>
  <si>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</si>
  <si>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</si>
  <si>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</si>
  <si>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</si>
  <si>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</si>
  <si>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</si>
  <si>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</si>
  <si>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</si>
  <si>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</si>
  <si>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</si>
  <si>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</si>
  <si>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</si>
  <si>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</si>
  <si>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</si>
  <si>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</si>
  <si>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</si>
  <si>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</si>
  <si>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</si>
  <si>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</si>
  <si>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</si>
  <si>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</si>
  <si>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</si>
  <si>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</si>
  <si>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</si>
  <si>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</si>
  <si>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</si>
  <si>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</si>
  <si>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</si>
  <si>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</si>
  <si>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</si>
  <si>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</si>
  <si>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</si>
  <si>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</si>
  <si>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</si>
  <si>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</si>
  <si>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</si>
  <si>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</si>
  <si>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</si>
  <si>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</si>
  <si>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</si>
  <si>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</si>
  <si>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</si>
  <si>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</si>
  <si>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</si>
  <si>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</si>
  <si>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</si>
  <si>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</si>
  <si>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</si>
  <si>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</si>
  <si>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</si>
  <si>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</si>
  <si>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</si>
  <si>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</si>
  <si>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</si>
  <si>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</si>
  <si>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</si>
  <si>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</si>
  <si>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</si>
  <si>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</si>
  <si>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</si>
  <si>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</si>
  <si>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</si>
  <si>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</si>
  <si>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</si>
  <si>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</si>
  <si>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</si>
  <si>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</si>
  <si>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</si>
  <si>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</si>
  <si>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</si>
  <si>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</si>
  <si>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</si>
  <si>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</si>
  <si>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</si>
  <si>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</si>
  <si>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</si>
  <si>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</si>
  <si>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</si>
  <si>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</si>
  <si>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</si>
  <si>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</si>
  <si>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</si>
  <si>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</si>
  <si>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</si>
  <si>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</si>
  <si>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</si>
  <si>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</si>
  <si>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</si>
  <si>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</si>
  <si>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</si>
  <si>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</si>
  <si>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</si>
  <si>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</si>
  <si>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</si>
  <si>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</si>
  <si>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</si>
  <si>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</si>
  <si>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</si>
  <si>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</si>
  <si>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</si>
  <si>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</si>
  <si>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</si>
  <si>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</si>
  <si>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</si>
  <si>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</si>
  <si>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</si>
  <si>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</si>
  <si>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</si>
  <si>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</si>
  <si>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</si>
  <si>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</si>
  <si>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</si>
  <si>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</si>
  <si>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</si>
  <si>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</si>
  <si>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</si>
  <si>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</si>
  <si>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</si>
  <si>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</si>
  <si>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</si>
  <si>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</si>
  <si>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</si>
  <si>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</si>
  <si>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</si>
  <si>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</si>
  <si>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</si>
  <si>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</si>
  <si>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</si>
  <si>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</si>
  <si>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</si>
  <si>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</si>
  <si>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</si>
  <si>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</si>
  <si>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</si>
  <si>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</si>
  <si>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</si>
  <si>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</si>
  <si>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</si>
  <si>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</si>
  <si>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</si>
  <si>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</si>
  <si>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</si>
  <si>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</si>
  <si>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</si>
  <si>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</si>
  <si>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</si>
  <si>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</si>
  <si>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</si>
  <si>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</si>
  <si>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</si>
  <si>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</si>
  <si>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</si>
  <si>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</si>
  <si>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</si>
  <si>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</si>
  <si>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</si>
  <si>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</si>
  <si>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</si>
  <si>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</si>
  <si>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</si>
  <si>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</si>
  <si>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</si>
  <si>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</si>
  <si>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</si>
  <si>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</si>
  <si>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</si>
  <si>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</si>
  <si>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</si>
  <si>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</si>
  <si>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</si>
  <si>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</si>
  <si>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</si>
  <si>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</si>
  <si>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</si>
  <si>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</si>
  <si>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</si>
  <si>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</si>
  <si>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</si>
  <si>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</si>
  <si>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</si>
  <si>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</si>
  <si>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</si>
  <si>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</si>
  <si>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</si>
  <si>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</si>
  <si>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</si>
  <si>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</si>
  <si>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</si>
  <si>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</si>
  <si>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</si>
  <si>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</si>
  <si>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</si>
  <si>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</si>
  <si>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</si>
  <si>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</si>
  <si>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</si>
  <si>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</si>
  <si>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</si>
  <si>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</si>
  <si>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</si>
  <si>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</si>
  <si>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</si>
  <si>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</si>
  <si>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</si>
  <si>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</si>
  <si>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</si>
  <si>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</si>
  <si>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</si>
  <si>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</si>
  <si>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</si>
  <si>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</si>
  <si>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</si>
  <si>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</si>
  <si>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</si>
  <si>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</si>
  <si>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</si>
  <si>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</si>
  <si>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</si>
  <si>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</si>
  <si>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</si>
  <si>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</si>
  <si>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</si>
  <si>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</si>
  <si>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</si>
  <si>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</si>
  <si>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</si>
  <si>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</si>
  <si>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</si>
  <si>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</si>
  <si>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</si>
  <si>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</si>
  <si>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</si>
  <si>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</si>
  <si>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</si>
  <si>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</si>
  <si>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</si>
  <si>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</si>
  <si>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</si>
  <si>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</si>
  <si>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</si>
  <si>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</si>
  <si>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</si>
  <si>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</si>
  <si>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</si>
  <si>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</si>
  <si>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</si>
  <si>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</si>
  <si>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</si>
  <si>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</si>
  <si>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</si>
  <si>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</si>
  <si>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</si>
  <si>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</si>
  <si>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</si>
  <si>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</si>
  <si>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</si>
  <si>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</si>
  <si>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</si>
  <si>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</si>
  <si>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</si>
  <si>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</si>
  <si>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</si>
  <si>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</si>
  <si>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</si>
  <si>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</si>
  <si>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</si>
  <si>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</si>
  <si>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</si>
  <si>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</si>
  <si>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</si>
  <si>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</si>
  <si>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</si>
  <si>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</si>
  <si>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</si>
  <si>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</si>
  <si>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</si>
  <si>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</si>
  <si>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</si>
  <si>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</si>
  <si>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</si>
  <si>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</si>
  <si>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</si>
  <si>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</si>
  <si>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</si>
  <si>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</si>
  <si>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</si>
  <si>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</si>
  <si>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</si>
  <si>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</si>
  <si>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</si>
  <si>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</si>
  <si>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</si>
  <si>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</si>
  <si>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</si>
  <si>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</si>
  <si>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</si>
  <si>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</si>
  <si>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</si>
  <si>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</si>
  <si>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</si>
  <si>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</si>
  <si>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</si>
  <si>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</si>
  <si>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</si>
  <si>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</si>
  <si>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</si>
  <si>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</si>
  <si>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</si>
  <si>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</si>
  <si>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</si>
  <si>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</si>
  <si>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</si>
  <si>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</si>
  <si>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</si>
  <si>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</si>
  <si>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</si>
  <si>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</si>
  <si>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</si>
  <si>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</si>
  <si>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</si>
  <si>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</si>
  <si>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</si>
  <si>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</si>
  <si>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</si>
  <si>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</si>
  <si>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</si>
  <si>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</si>
  <si>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</si>
  <si>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</si>
  <si>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</si>
  <si>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</si>
  <si>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</si>
  <si>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</si>
  <si>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</si>
  <si>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</si>
  <si>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</si>
  <si>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</si>
  <si>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</si>
  <si>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</si>
  <si>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</si>
  <si>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</si>
  <si>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</si>
  <si>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</si>
  <si>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</si>
  <si>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</si>
  <si>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</si>
  <si>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</si>
  <si>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</si>
  <si>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</si>
  <si>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</si>
  <si>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</si>
  <si>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</si>
  <si>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</si>
  <si>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</si>
  <si>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</si>
  <si>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</si>
  <si>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</si>
  <si>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</si>
  <si>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</si>
  <si>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</si>
  <si>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</si>
  <si>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</si>
  <si>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</si>
  <si>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</si>
  <si>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</si>
  <si>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</si>
  <si>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</si>
  <si>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</si>
  <si>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</si>
  <si>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</si>
  <si>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</si>
  <si>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</si>
  <si>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</si>
  <si>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</si>
  <si>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</si>
  <si>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</si>
  <si>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</si>
  <si>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</si>
  <si>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</si>
  <si>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</si>
  <si>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</si>
  <si>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</si>
  <si>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</si>
  <si>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</si>
  <si>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</si>
  <si>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</si>
  <si>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</si>
  <si>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</si>
  <si>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</si>
  <si>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</si>
  <si>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</si>
  <si>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</si>
  <si>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</si>
  <si>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</si>
  <si>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</si>
  <si>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</si>
  <si>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</si>
  <si>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</si>
  <si>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</si>
  <si>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</si>
  <si>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</si>
  <si>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</si>
  <si>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</si>
  <si>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</si>
  <si>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</si>
  <si>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</si>
  <si>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</si>
  <si>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</si>
  <si>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</si>
  <si>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</si>
  <si>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</si>
  <si>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</si>
  <si>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</si>
  <si>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</si>
  <si>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</si>
  <si>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</si>
  <si>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</si>
  <si>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</si>
  <si>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</si>
  <si>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</si>
  <si>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</si>
  <si>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</si>
  <si>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</si>
  <si>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</si>
  <si>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</si>
  <si>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</si>
  <si>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</si>
  <si>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</si>
  <si>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</si>
  <si>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</si>
  <si>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</si>
  <si>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</si>
  <si>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</si>
  <si>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</si>
  <si>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</si>
  <si>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</si>
  <si>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</si>
  <si>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</si>
  <si>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</si>
  <si>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</si>
  <si>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</si>
  <si>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</si>
  <si>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</si>
  <si>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</si>
  <si>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</si>
  <si>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</si>
  <si>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</si>
  <si>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</si>
  <si>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</si>
  <si>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</si>
  <si>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</si>
  <si>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</si>
  <si>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</si>
  <si>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</si>
  <si>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</si>
  <si>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</si>
  <si>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</si>
  <si>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</si>
  <si>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</si>
  <si>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</si>
  <si>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</si>
  <si>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</si>
  <si>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</si>
  <si>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</si>
  <si>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</si>
  <si>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</si>
  <si>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</si>
  <si>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</si>
  <si>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</si>
  <si>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</si>
  <si>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</si>
  <si>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</si>
  <si>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</si>
  <si>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</si>
  <si>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</si>
  <si>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</si>
  <si>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</si>
  <si>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</si>
  <si>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</si>
  <si>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</si>
  <si>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</si>
  <si>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</si>
  <si>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</si>
  <si>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</si>
  <si>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</si>
  <si>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</si>
  <si>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</si>
  <si>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</si>
  <si>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</si>
  <si>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</si>
  <si>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</si>
  <si>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</si>
  <si>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</si>
  <si>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</si>
  <si>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</si>
  <si>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</si>
  <si>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</si>
  <si>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</si>
  <si>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</si>
  <si>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</si>
  <si>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</si>
  <si>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</si>
  <si>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</si>
  <si>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</si>
  <si>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</si>
  <si>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</si>
  <si>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</si>
  <si>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</si>
  <si>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</si>
  <si>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</si>
  <si>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</si>
  <si>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</si>
  <si>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</si>
  <si>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</si>
  <si>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</si>
  <si>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</si>
  <si>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</si>
  <si>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</si>
  <si>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</si>
  <si>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</si>
  <si>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</si>
  <si>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</si>
  <si>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</si>
  <si>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</si>
  <si>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</si>
  <si>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</si>
  <si>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</si>
  <si>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</si>
  <si>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</si>
  <si>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</si>
  <si>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</si>
  <si>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</si>
  <si>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</si>
  <si>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</si>
  <si>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</si>
  <si>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</si>
  <si>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</si>
  <si>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</si>
  <si>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</si>
  <si>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</si>
  <si>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</si>
  <si>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</si>
  <si>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</si>
  <si>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</si>
  <si>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</si>
  <si>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</si>
  <si>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</si>
  <si>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</si>
  <si>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</si>
  <si>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</si>
  <si>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</si>
  <si>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</si>
  <si>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</si>
  <si>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</si>
  <si>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</si>
  <si>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</si>
  <si>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</si>
  <si>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</si>
  <si>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</si>
  <si>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</si>
  <si>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</si>
  <si>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</si>
  <si>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</si>
  <si>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</si>
  <si>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</si>
  <si>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</si>
  <si>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</si>
  <si>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</si>
  <si>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</si>
  <si>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</si>
  <si>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</si>
  <si>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</si>
  <si>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</si>
  <si>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</si>
  <si>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</si>
  <si>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</si>
  <si>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</si>
  <si>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</si>
  <si>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</si>
  <si>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</si>
  <si>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</si>
  <si>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</si>
  <si>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</si>
  <si>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</si>
  <si>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</si>
  <si>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</si>
  <si>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</si>
  <si>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</si>
  <si>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</si>
  <si>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</si>
  <si>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</si>
  <si>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</si>
  <si>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</si>
  <si>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</si>
  <si>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</si>
  <si>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</si>
  <si>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</si>
  <si>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</si>
  <si>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</si>
  <si>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</si>
  <si>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</si>
  <si>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</si>
  <si>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</si>
  <si>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</si>
  <si>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</si>
  <si>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</si>
  <si>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</si>
  <si>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</si>
  <si>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</si>
  <si>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</si>
  <si>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</si>
  <si>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</si>
  <si>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</si>
  <si>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</si>
  <si>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</si>
  <si>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</si>
  <si>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</si>
  <si>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</si>
  <si>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</si>
  <si>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</si>
  <si>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</si>
  <si>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</si>
  <si>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</si>
  <si>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</si>
  <si>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</si>
  <si>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</si>
  <si>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</si>
  <si>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</si>
  <si>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</si>
  <si>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</si>
  <si>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</si>
  <si>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</si>
  <si>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</si>
  <si>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</si>
  <si>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</si>
  <si>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</si>
  <si>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</si>
  <si>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</si>
  <si>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</si>
  <si>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</si>
  <si>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</si>
  <si>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</si>
  <si>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</si>
  <si>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</si>
  <si>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</si>
  <si>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</si>
  <si>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</si>
  <si>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</si>
  <si>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</si>
  <si>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</si>
  <si>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</si>
  <si>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</si>
  <si>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</si>
  <si>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</si>
  <si>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</si>
  <si>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</si>
  <si>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</si>
  <si>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</si>
  <si>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</si>
  <si>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</si>
  <si>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</si>
  <si>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</si>
  <si>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</si>
  <si>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</si>
  <si>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</si>
  <si>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</si>
  <si>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</si>
  <si>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</si>
  <si>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</si>
  <si>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</si>
  <si>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</si>
  <si>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</si>
  <si>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</si>
  <si>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</si>
  <si>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</si>
  <si>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</si>
  <si>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</si>
  <si>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</si>
  <si>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</si>
  <si>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</si>
  <si>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</si>
  <si>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</si>
  <si>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</si>
  <si>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</si>
  <si>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</si>
  <si>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</si>
  <si>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</si>
  <si>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</si>
  <si>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</si>
  <si>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</si>
  <si>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</si>
  <si>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</si>
  <si>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</si>
  <si>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</si>
  <si>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</si>
  <si>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</si>
  <si>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</si>
  <si>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</si>
  <si>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</si>
  <si>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</si>
  <si>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</si>
  <si>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</si>
  <si>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</si>
  <si>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</si>
  <si>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</si>
  <si>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</si>
  <si>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</si>
  <si>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</si>
  <si>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</si>
  <si>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</si>
  <si>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</si>
  <si>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</si>
  <si>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</si>
  <si>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</si>
  <si>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</si>
  <si>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</si>
  <si>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</si>
  <si>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</si>
  <si>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</si>
  <si>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</si>
  <si>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</si>
  <si>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</si>
  <si>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</si>
  <si>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</si>
  <si>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</si>
  <si>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</si>
  <si>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</si>
  <si>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</si>
  <si>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</si>
  <si>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</si>
  <si>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</si>
  <si>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</si>
  <si>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</si>
  <si>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</si>
  <si>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</si>
  <si>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</si>
  <si>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</si>
  <si>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</si>
  <si>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</si>
  <si>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</si>
  <si>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</si>
  <si>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</si>
  <si>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</si>
  <si>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</si>
  <si>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</si>
  <si>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</si>
  <si>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</si>
  <si>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</si>
  <si>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</si>
  <si>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</si>
  <si>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</si>
  <si>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</si>
  <si>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</si>
  <si>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</si>
  <si>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</si>
  <si>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</si>
  <si>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</si>
  <si>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</si>
  <si>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</si>
  <si>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</si>
  <si>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</si>
  <si>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</si>
  <si>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</si>
  <si>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</si>
  <si>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</si>
  <si>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</si>
  <si>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</si>
  <si>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</si>
  <si>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</si>
  <si>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</si>
  <si>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</si>
  <si>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</si>
  <si>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</si>
  <si>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</si>
  <si>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</si>
  <si>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</si>
  <si>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</si>
  <si>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</si>
  <si>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</si>
  <si>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</si>
  <si>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</si>
  <si>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</si>
  <si>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</si>
  <si>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</si>
  <si>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</si>
  <si>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</si>
  <si>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</si>
  <si>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</si>
  <si>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</si>
  <si>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</si>
  <si>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</si>
  <si>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</si>
  <si>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</si>
  <si>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</si>
  <si>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</si>
  <si>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</si>
  <si>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</si>
  <si>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</si>
  <si>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</si>
  <si>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</si>
  <si>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</si>
  <si>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</si>
  <si>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</si>
  <si>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</si>
  <si>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</si>
  <si>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</si>
  <si>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</si>
  <si>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</si>
  <si>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</si>
  <si>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</si>
  <si>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</si>
  <si>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</si>
  <si>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</si>
  <si>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</si>
  <si>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</si>
  <si>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</si>
  <si>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</si>
  <si>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</si>
  <si>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</si>
  <si>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</si>
  <si>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</si>
  <si>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</si>
  <si>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</si>
  <si>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</si>
  <si>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</si>
  <si>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</si>
  <si>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</si>
  <si>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</si>
  <si>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</si>
  <si>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</si>
  <si>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</si>
  <si>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</si>
  <si>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</si>
  <si>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</si>
  <si>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</si>
  <si>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</si>
  <si>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</si>
  <si>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</si>
  <si>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</si>
  <si>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</si>
  <si>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</si>
  <si>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</si>
  <si>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</si>
  <si>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</si>
  <si>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</si>
  <si>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</si>
  <si>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</si>
  <si>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</si>
  <si>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</si>
  <si>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</si>
  <si>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</si>
  <si>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</si>
  <si>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</si>
  <si>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</si>
  <si>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</si>
  <si>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</si>
  <si>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</si>
  <si>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</si>
  <si>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</si>
  <si>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</si>
  <si>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</si>
  <si>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</si>
  <si>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</si>
  <si>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</si>
  <si>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</si>
  <si>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</si>
  <si>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</si>
  <si>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</si>
  <si>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</si>
  <si>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</si>
  <si>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</si>
  <si>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</si>
  <si>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</si>
  <si>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</si>
  <si>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</si>
  <si>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</si>
  <si>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</si>
  <si>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</si>
  <si>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</si>
  <si>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</si>
  <si>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</si>
  <si>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</si>
  <si>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</si>
  <si>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</si>
  <si>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</si>
  <si>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</si>
  <si>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</si>
  <si>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</si>
  <si>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</si>
  <si>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</si>
  <si>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</si>
  <si>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</si>
  <si>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</si>
  <si>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</si>
  <si>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</si>
  <si>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</si>
  <si>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</si>
  <si>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</si>
  <si>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</si>
  <si>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</si>
  <si>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</si>
  <si>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</si>
  <si>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</si>
  <si>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</si>
  <si>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</si>
  <si>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</si>
  <si>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</si>
  <si>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</si>
  <si>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</si>
  <si>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</si>
  <si>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</si>
  <si>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</si>
  <si>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</si>
  <si>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</si>
  <si>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</si>
  <si>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</si>
  <si>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</si>
  <si>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</si>
  <si>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</si>
  <si>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</si>
  <si>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</si>
  <si>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</si>
  <si>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</si>
  <si>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</si>
  <si>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</si>
  <si>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</si>
  <si>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</si>
  <si>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</si>
  <si>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</si>
  <si>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</si>
  <si>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</si>
  <si>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</si>
  <si>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</si>
  <si>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</si>
  <si>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</si>
  <si>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</si>
  <si>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</si>
  <si>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</si>
  <si>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</si>
  <si>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</si>
  <si>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</si>
  <si>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</si>
  <si>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</si>
  <si>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</si>
  <si>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</si>
  <si>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</si>
  <si>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</si>
  <si>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</si>
  <si>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</si>
  <si>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</si>
  <si>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</si>
  <si>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</si>
  <si>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</si>
  <si>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</si>
  <si>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</si>
  <si>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</si>
  <si>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</si>
  <si>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</si>
  <si>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</si>
  <si>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</si>
  <si>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</si>
  <si>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</si>
  <si>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</si>
  <si>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</si>
  <si>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</si>
  <si>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</si>
  <si>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</si>
  <si>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</si>
  <si>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</si>
  <si>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</si>
  <si>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</si>
  <si>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</si>
  <si>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</si>
  <si>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</si>
  <si>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</si>
  <si>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</si>
  <si>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</si>
  <si>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</si>
  <si>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</si>
  <si>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</si>
  <si>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</si>
  <si>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</si>
  <si>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</si>
  <si>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</si>
  <si>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</si>
  <si>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</si>
  <si>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</si>
  <si>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</si>
  <si>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</si>
  <si>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</si>
  <si>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</si>
  <si>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</si>
  <si>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</si>
  <si>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</si>
  <si>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</si>
  <si>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</si>
  <si>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</si>
  <si>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</si>
  <si>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</si>
  <si>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</si>
  <si>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</si>
  <si>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</si>
  <si>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</si>
  <si>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</si>
  <si>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</si>
  <si>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</si>
  <si>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</si>
  <si>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</si>
  <si>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</si>
  <si>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</si>
  <si>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</si>
  <si>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</si>
  <si>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</si>
  <si>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</si>
  <si>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</si>
  <si>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QUANTITY = MEDIAN</t>
  </si>
  <si>
    <t>Remarks</t>
  </si>
  <si>
    <t>AGE=MEDIAN</t>
  </si>
  <si>
    <t>BLANKS=COUNT BLANK()</t>
  </si>
  <si>
    <t>GENDER=FIND&amp;REPLACE</t>
  </si>
  <si>
    <t>M=Male</t>
  </si>
  <si>
    <t>F=Female</t>
  </si>
  <si>
    <t>DISCOUNT=MEDIAN</t>
  </si>
  <si>
    <t>CUSTOMER SATISFACTION=MEDIAN</t>
  </si>
  <si>
    <t>DAYS TO GO  = MEDIAN</t>
  </si>
  <si>
    <t>Row Labels</t>
  </si>
  <si>
    <t>Grand Total</t>
  </si>
  <si>
    <t>Sum of sales_amount</t>
  </si>
  <si>
    <t>Sum of profit</t>
  </si>
  <si>
    <t>DATE = I TRY TO CHANGE IT WITH CUSTOME DATE IT DIDN’T CHANGE THEN I TRY IT WITH TEXT TO CLUMN AND IT WORKED</t>
  </si>
  <si>
    <t>order_month</t>
  </si>
  <si>
    <t xml:space="preserve">added new colmn named order month to get all the month of the order date </t>
  </si>
  <si>
    <t>sales  by  product category</t>
  </si>
  <si>
    <t>sales&amp;profit by region</t>
  </si>
  <si>
    <t>customer satisfaction analysis</t>
  </si>
  <si>
    <t>Count of order_id</t>
  </si>
  <si>
    <t>order status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</si>
  <si>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</si>
  <si>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</si>
  <si>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</si>
  <si>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</si>
  <si>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</si>
  <si>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</si>
  <si>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</si>
  <si>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</si>
  <si>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</si>
  <si>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</si>
  <si>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</si>
  <si>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</si>
  <si>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&amp;profit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</si>
</sst>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4009]dd/mm/yyyy;@"/>
    <numFmt numFmtId="165" formatCode="mmm"/>
    <numFmt numFmtId="166" formatCode="mmm/yyyy"/>
    <numFmt numFmtId="167" formatCode="&quot;₹&quot;\ #,##0.00"/>
    <numFmt numFmtId="168" formatCode="mmm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26"/>
      <color theme="1"/>
      <name val="Arial Black"/>
      <family val="2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1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0" xfId="0" applyNumberFormat="1"/>
    <xf numFmtId="167" fontId="0" fillId="0" borderId="10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0" xfId="0" applyNumberFormat="1"/>
    <xf numFmtId="167" fontId="0" fillId="0" borderId="14" xfId="0" applyNumberFormat="1" applyBorder="1" applyAlignment="1">
      <alignment horizontal="center"/>
    </xf>
    <xf numFmtId="167" fontId="0" fillId="0" borderId="0" xfId="0" applyNumberFormat="1"/>
    <xf numFmtId="0" fontId="16" fillId="0" borderId="0" xfId="0" applyFont="1"/>
    <xf numFmtId="0" fontId="19" fillId="0" borderId="0" xfId="0" applyFont="1"/>
    <xf numFmtId="168" fontId="0" fillId="0" borderId="14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8" formatCode="m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[retail_sales_dataset_MINI_PROJECT.xlsx]PIVOT TABLES!PivotTable9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TABLES'!$B$4:$B$11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Sports</c:v>
                </c:pt>
              </c:strCache>
            </c:strRef>
          </c:cat>
          <c:val>
            <c:numRef>
              <c:f>'PIVOT TABLES'!$C$4:$C$11</c:f>
              <c:numCache>
                <c:formatCode>"₹"\ #,##0.00</c:formatCode>
                <c:ptCount val="7"/>
                <c:pt idx="0">
                  <c:v>3881088.8500000029</c:v>
                </c:pt>
                <c:pt idx="1">
                  <c:v>3777514.0299999984</c:v>
                </c:pt>
                <c:pt idx="2">
                  <c:v>11563735.750000011</c:v>
                </c:pt>
                <c:pt idx="3">
                  <c:v>155642577.5699999</c:v>
                </c:pt>
                <c:pt idx="4">
                  <c:v>56709203.029999994</c:v>
                </c:pt>
                <c:pt idx="5">
                  <c:v>1009019.8300000003</c:v>
                </c:pt>
                <c:pt idx="6">
                  <c:v>31686665.479999963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2-480C-AF99-BD29FCC3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30640"/>
        <c:axId val="622247856"/>
      </c:barChart>
      <c:catAx>
        <c:axId val="1690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glow rad="127000">
              <a:schemeClr val="tx1"/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47856"/>
        <c:crosses val="autoZero"/>
        <c:auto val="1"/>
        <c:lblAlgn val="ctr"/>
        <c:lblOffset val="100"/>
        <c:noMultiLvlLbl val="0"/>
      </c:catAx>
      <c:valAx>
        <c:axId val="6222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0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[retail_sales_dataset_MINI_PROJECT.xlsx]PIVOT TABLES!PivotTable10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TABLES'!$C$15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TABLES'!$B$16:$B$21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TABLES'!$C$16:$C$21</c:f>
              <c:numCache>
                <c:formatCode>"₹"\ #,##0.00</c:formatCode>
                <c:ptCount val="5"/>
                <c:pt idx="0">
                  <c:v>40673510.540000021</c:v>
                </c:pt>
                <c:pt idx="1">
                  <c:v>48501551.849999994</c:v>
                </c:pt>
                <c:pt idx="2">
                  <c:v>53613030.160000019</c:v>
                </c:pt>
                <c:pt idx="3">
                  <c:v>73519093.830000043</c:v>
                </c:pt>
                <c:pt idx="4">
                  <c:v>47962618.160000063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D-4F06-AD1D-D6570CB0B526}"/>
            </c:ext>
          </c:extLst>
        </c:ser>
        <c:ser>
          <c:idx val="1"/>
          <c:order val="1"/>
          <c:tx>
            <c:strRef>
              <c:f>'PIVOT TABLES'!$D$15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TABLES'!$B$16:$B$21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TABLES'!$D$16:$D$21</c:f>
              <c:numCache>
                <c:formatCode>General</c:formatCode>
                <c:ptCount val="5"/>
                <c:pt idx="0">
                  <c:v>8284151.1199999982</c:v>
                </c:pt>
                <c:pt idx="1">
                  <c:v>8733415.5600000061</c:v>
                </c:pt>
                <c:pt idx="2">
                  <c:v>10377562.059999991</c:v>
                </c:pt>
                <c:pt idx="3">
                  <c:v>13261974.239999996</c:v>
                </c:pt>
                <c:pt idx="4">
                  <c:v>8862052.0899999943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D-4F06-AD1D-D6570CB0B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9050592"/>
        <c:axId val="622232496"/>
        <c:axId val="0"/>
      </c:bar3DChart>
      <c:catAx>
        <c:axId val="1690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32496"/>
        <c:crosses val="autoZero"/>
        <c:auto val="1"/>
        <c:lblAlgn val="ctr"/>
        <c:lblOffset val="100"/>
        <c:noMultiLvlLbl val="0"/>
      </c:catAx>
      <c:valAx>
        <c:axId val="6222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0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[retail_sales_dataset_MINI_PROJECT.xlsx]PIVOT TABLES!PivotTable6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TABLES'!$B$29:$B$34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TABLES'!$C$29:$C$34</c:f>
              <c:numCache>
                <c:formatCode>General</c:formatCode>
                <c:ptCount val="5"/>
                <c:pt idx="0">
                  <c:v>761</c:v>
                </c:pt>
                <c:pt idx="1">
                  <c:v>763</c:v>
                </c:pt>
                <c:pt idx="2">
                  <c:v>1094</c:v>
                </c:pt>
                <c:pt idx="3">
                  <c:v>810</c:v>
                </c:pt>
                <c:pt idx="4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E-419A-A7CA-83495B5CD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915104"/>
        <c:axId val="622230096"/>
        <c:axId val="0"/>
      </c:bar3DChart>
      <c:catAx>
        <c:axId val="1689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30096"/>
        <c:crosses val="autoZero"/>
        <c:auto val="1"/>
        <c:lblAlgn val="ctr"/>
        <c:lblOffset val="100"/>
        <c:noMultiLvlLbl val="0"/>
      </c:catAx>
      <c:valAx>
        <c:axId val="6222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0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[retail_sales_dataset_MINI_PROJECT.xlsx]PIVOT TABLES!PivotTable11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TABLES'!$C$41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 TABLES'!$B$42:$B$47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TABLES'!$C$42:$C$47</c:f>
              <c:numCache>
                <c:formatCode>General</c:formatCode>
                <c:ptCount val="5"/>
                <c:pt idx="0">
                  <c:v>346</c:v>
                </c:pt>
                <c:pt idx="1">
                  <c:v>2731</c:v>
                </c:pt>
                <c:pt idx="2">
                  <c:v>184</c:v>
                </c:pt>
                <c:pt idx="3">
                  <c:v>612</c:v>
                </c:pt>
                <c:pt idx="4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A-4BEB-9FCE-B4E1CA1482AA}"/>
            </c:ext>
          </c:extLst>
        </c:ser>
        <c:ser>
          <c:idx val="1"/>
          <c:order val="1"/>
          <c:tx>
            <c:strRef>
              <c:f>'PIVOT TABLES'!$D$41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 TABLES'!$B$42:$B$47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TABLES'!$D$42:$D$47</c:f>
              <c:numCache>
                <c:formatCode>"₹"\ #,##0.00</c:formatCode>
                <c:ptCount val="5"/>
                <c:pt idx="0">
                  <c:v>15043706.009999992</c:v>
                </c:pt>
                <c:pt idx="1">
                  <c:v>182166883.45999992</c:v>
                </c:pt>
                <c:pt idx="2">
                  <c:v>12883947.469999999</c:v>
                </c:pt>
                <c:pt idx="3">
                  <c:v>35515248.149999984</c:v>
                </c:pt>
                <c:pt idx="4">
                  <c:v>18660019.449999992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A-4BEB-9FCE-B4E1CA1482AA}"/>
            </c:ext>
          </c:extLst>
        </c:ser>
        <c:ser>
          <c:idx val="2"/>
          <c:order val="2"/>
          <c:tx>
            <c:strRef>
              <c:f>'PIVOT TABLES'!$E$41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 TABLES'!$B$42:$B$47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TABLES'!$E$42:$E$47</c:f>
              <c:numCache>
                <c:formatCode>"₹"\ #,##0.00</c:formatCode>
                <c:ptCount val="5"/>
                <c:pt idx="0">
                  <c:v>3026034.1500000004</c:v>
                </c:pt>
                <c:pt idx="1">
                  <c:v>34143621.500000007</c:v>
                </c:pt>
                <c:pt idx="2">
                  <c:v>2191860.4300000016</c:v>
                </c:pt>
                <c:pt idx="3">
                  <c:v>7062676.2600000054</c:v>
                </c:pt>
                <c:pt idx="4">
                  <c:v>3094962.73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A-4BEB-9FCE-B4E1CA148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69077040"/>
        <c:axId val="622305936"/>
        <c:axId val="0"/>
      </c:bar3DChart>
      <c:valAx>
        <c:axId val="6223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77040"/>
        <c:crosses val="autoZero"/>
        <c:crossBetween val="between"/>
      </c:valAx>
      <c:catAx>
        <c:axId val="169077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0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0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[retail_sales_dataset_MINI_PROJECT.xlsx]PIVOT TABLES!PivotTable12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TABLES'!$C$58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TABLES'!$B$59:$B$71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TABLES'!$C$59:$C$71</c:f>
              <c:numCache>
                <c:formatCode>"₹"\ #,##0.00</c:formatCode>
                <c:ptCount val="12"/>
                <c:pt idx="0">
                  <c:v>33416811.690000009</c:v>
                </c:pt>
                <c:pt idx="1">
                  <c:v>16385623.17</c:v>
                </c:pt>
                <c:pt idx="2">
                  <c:v>18745405.409999982</c:v>
                </c:pt>
                <c:pt idx="3">
                  <c:v>27938506.959999997</c:v>
                </c:pt>
                <c:pt idx="4">
                  <c:v>24597605.759999998</c:v>
                </c:pt>
                <c:pt idx="5">
                  <c:v>25225945.630000003</c:v>
                </c:pt>
                <c:pt idx="6">
                  <c:v>27067916.54999999</c:v>
                </c:pt>
                <c:pt idx="7">
                  <c:v>27543503.359999988</c:v>
                </c:pt>
                <c:pt idx="8">
                  <c:v>19469257.140000008</c:v>
                </c:pt>
                <c:pt idx="9">
                  <c:v>15806700.780000012</c:v>
                </c:pt>
                <c:pt idx="10">
                  <c:v>14413200.910000002</c:v>
                </c:pt>
                <c:pt idx="11">
                  <c:v>13659327.180000003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E-496B-AF5D-0082B0C7CB6F}"/>
            </c:ext>
          </c:extLst>
        </c:ser>
        <c:ser>
          <c:idx val="1"/>
          <c:order val="1"/>
          <c:tx>
            <c:strRef>
              <c:f>'PIVOT TABLES'!$D$58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'PIVOT TABLES'!$B$59:$B$71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TABLES'!$D$59:$D$71</c:f>
              <c:numCache>
                <c:formatCode>"₹"\ #,##0.00</c:formatCode>
                <c:ptCount val="12"/>
                <c:pt idx="0">
                  <c:v>5813012.4800000004</c:v>
                </c:pt>
                <c:pt idx="1">
                  <c:v>3296148.850000002</c:v>
                </c:pt>
                <c:pt idx="2">
                  <c:v>3324938.339999998</c:v>
                </c:pt>
                <c:pt idx="3">
                  <c:v>5431644.310000008</c:v>
                </c:pt>
                <c:pt idx="4">
                  <c:v>4527041.9400000032</c:v>
                </c:pt>
                <c:pt idx="5">
                  <c:v>4580417.5700000012</c:v>
                </c:pt>
                <c:pt idx="6">
                  <c:v>4897846.0500000045</c:v>
                </c:pt>
                <c:pt idx="7">
                  <c:v>5729166.5799999982</c:v>
                </c:pt>
                <c:pt idx="8">
                  <c:v>3656000.0999999996</c:v>
                </c:pt>
                <c:pt idx="9">
                  <c:v>3100957.0900000008</c:v>
                </c:pt>
                <c:pt idx="10">
                  <c:v>2440570.3699999996</c:v>
                </c:pt>
                <c:pt idx="11">
                  <c:v>2721411.39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E-496B-AF5D-0082B0C7C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67568"/>
        <c:axId val="622177296"/>
        <c:axId val="112724112"/>
      </c:line3DChart>
      <c:catAx>
        <c:axId val="10726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77296"/>
        <c:crosses val="autoZero"/>
        <c:auto val="1"/>
        <c:lblAlgn val="ctr"/>
        <c:lblOffset val="100"/>
        <c:noMultiLvlLbl val="0"/>
      </c:catAx>
      <c:valAx>
        <c:axId val="6221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67568"/>
        <c:crosses val="autoZero"/>
        <c:crossBetween val="between"/>
      </c:valAx>
      <c:serAx>
        <c:axId val="1127241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772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0000">
          <a:schemeClr val="accent1">
            <a:lumMod val="45000"/>
            <a:lumOff val="55000"/>
          </a:schemeClr>
        </a:gs>
        <a:gs pos="27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15240</xdr:rowOff>
    </xdr:from>
    <xdr:to>
      <xdr:col>12</xdr:col>
      <xdr:colOff>450272</xdr:colOff>
      <xdr:row>11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E18236-2241-1DD2-C5B3-3AACBB860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1264920</xdr:colOff>
      <xdr:row>12</xdr:row>
      <xdr:rowOff>41909</xdr:rowOff>
    </xdr:from>
    <xdr:to>
      <xdr:col>12</xdr:col>
      <xdr:colOff>588818</xdr:colOff>
      <xdr:row>23</xdr:row>
      <xdr:rowOff>161636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344EF4-4188-BA00-3EBF-1323AC50D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346364</xdr:colOff>
      <xdr:row>24</xdr:row>
      <xdr:rowOff>176530</xdr:rowOff>
    </xdr:from>
    <xdr:to>
      <xdr:col>12</xdr:col>
      <xdr:colOff>738909</xdr:colOff>
      <xdr:row>40</xdr:row>
      <xdr:rowOff>21475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207922-AAE6-7D53-C319-7B26E137F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633641</xdr:colOff>
      <xdr:row>41</xdr:row>
      <xdr:rowOff>41428</xdr:rowOff>
    </xdr:from>
    <xdr:to>
      <xdr:col>12</xdr:col>
      <xdr:colOff>946727</xdr:colOff>
      <xdr:row>55</xdr:row>
      <xdr:rowOff>150091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F48A3-731C-01E9-DD71-5251DB38E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556490</xdr:colOff>
      <xdr:row>56</xdr:row>
      <xdr:rowOff>142891</xdr:rowOff>
    </xdr:from>
    <xdr:to>
      <xdr:col>13</xdr:col>
      <xdr:colOff>1080925</xdr:colOff>
      <xdr:row>79</xdr:row>
      <xdr:rowOff>102550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CBFD7E-8127-B244-8BCE-412B01C76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272.613435416664" createdVersion="8" refreshedVersion="8" minRefreshableVersion="3" recordCount="4200" xr:uid="{34F60BB1-C58E-46E9-BD35-57A35FF95BB4}">
  <cacheSource type="worksheet">
    <worksheetSource name="Table1"/>
  </cacheSource>
  <cacheFields count="26">
    <cacheField name="order_id" numFmtId="0">
      <sharedItems/>
    </cacheField>
    <cacheField name="order_date" numFmtId="164">
      <sharedItems containsSemiMixedTypes="0" containsNonDate="0" containsDate="1" containsString="0" minDate="2020-01-01T00:00:00" maxDate="2024-12-31T00:00:00" count="1592">
        <d v="2024-08-15T00:00:00"/>
        <d v="2022-08-16T00:00:00"/>
        <d v="2021-08-29T00:00:00"/>
        <d v="2022-07-05T00:00:00"/>
        <d v="2020-05-07T00:00:00"/>
        <d v="2024-09-02T00:00:00"/>
        <d v="2021-09-28T00:00:00"/>
        <d v="2023-06-10T00:00:00"/>
        <d v="2020-07-24T00:00:00"/>
        <d v="2020-02-09T00:00:00"/>
        <d v="2020-06-04T00:00:00"/>
        <d v="2022-01-28T00:00:00"/>
        <d v="2022-09-14T00:00:00"/>
        <d v="2024-01-21T00:00:00"/>
        <d v="2023-01-04T00:00:00"/>
        <d v="2024-03-10T00:00:00"/>
        <d v="2022-03-14T00:00:00"/>
        <d v="2023-11-06T00:00:00"/>
        <d v="2024-12-17T00:00:00"/>
        <d v="2020-01-19T00:00:00"/>
        <d v="2022-05-24T00:00:00"/>
        <d v="2021-03-17T00:00:00"/>
        <d v="2023-03-28T00:00:00"/>
        <d v="2023-07-17T00:00:00"/>
        <d v="2024-12-10T00:00:00"/>
        <d v="2024-08-17T00:00:00"/>
        <d v="2021-10-25T00:00:00"/>
        <d v="2024-07-07T00:00:00"/>
        <d v="2021-07-28T00:00:00"/>
        <d v="2020-07-01T00:00:00"/>
        <d v="2022-03-29T00:00:00"/>
        <d v="2023-03-10T00:00:00"/>
        <d v="2021-02-27T00:00:00"/>
        <d v="2024-01-23T00:00:00"/>
        <d v="2021-11-06T00:00:00"/>
        <d v="2024-10-22T00:00:00"/>
        <d v="2023-01-17T00:00:00"/>
        <d v="2022-06-14T00:00:00"/>
        <d v="2024-06-30T00:00:00"/>
        <d v="2020-01-10T00:00:00"/>
        <d v="2023-05-31T00:00:00"/>
        <d v="2022-05-30T00:00:00"/>
        <d v="2020-12-09T00:00:00"/>
        <d v="2023-12-23T00:00:00"/>
        <d v="2022-09-18T00:00:00"/>
        <d v="2024-11-22T00:00:00"/>
        <d v="2020-11-16T00:00:00"/>
        <d v="2022-04-05T00:00:00"/>
        <d v="2021-04-20T00:00:00"/>
        <d v="2022-05-20T00:00:00"/>
        <d v="2023-08-05T00:00:00"/>
        <d v="2023-05-17T00:00:00"/>
        <d v="2020-08-03T00:00:00"/>
        <d v="2023-08-22T00:00:00"/>
        <d v="2020-06-02T00:00:00"/>
        <d v="2024-06-22T00:00:00"/>
        <d v="2020-02-12T00:00:00"/>
        <d v="2020-08-04T00:00:00"/>
        <d v="2022-04-25T00:00:00"/>
        <d v="2022-09-07T00:00:00"/>
        <d v="2021-02-02T00:00:00"/>
        <d v="2021-08-24T00:00:00"/>
        <d v="2023-11-04T00:00:00"/>
        <d v="2020-02-08T00:00:00"/>
        <d v="2021-01-21T00:00:00"/>
        <d v="2023-05-26T00:00:00"/>
        <d v="2023-10-05T00:00:00"/>
        <d v="2022-06-27T00:00:00"/>
        <d v="2023-08-29T00:00:00"/>
        <d v="2022-09-04T00:00:00"/>
        <d v="2021-07-31T00:00:00"/>
        <d v="2023-11-17T00:00:00"/>
        <d v="2020-01-03T00:00:00"/>
        <d v="2020-01-22T00:00:00"/>
        <d v="2023-06-02T00:00:00"/>
        <d v="2022-08-21T00:00:00"/>
        <d v="2021-04-22T00:00:00"/>
        <d v="2023-06-07T00:00:00"/>
        <d v="2024-10-23T00:00:00"/>
        <d v="2020-06-21T00:00:00"/>
        <d v="2022-02-14T00:00:00"/>
        <d v="2020-09-22T00:00:00"/>
        <d v="2024-10-03T00:00:00"/>
        <d v="2023-07-04T00:00:00"/>
        <d v="2020-10-11T00:00:00"/>
        <d v="2023-08-25T00:00:00"/>
        <d v="2021-09-01T00:00:00"/>
        <d v="2022-11-01T00:00:00"/>
        <d v="2020-11-30T00:00:00"/>
        <d v="2024-05-22T00:00:00"/>
        <d v="2021-09-18T00:00:00"/>
        <d v="2022-11-20T00:00:00"/>
        <d v="2020-03-07T00:00:00"/>
        <d v="2021-01-25T00:00:00"/>
        <d v="2024-01-15T00:00:00"/>
        <d v="2023-05-24T00:00:00"/>
        <d v="2021-04-04T00:00:00"/>
        <d v="2023-07-19T00:00:00"/>
        <d v="2021-05-06T00:00:00"/>
        <d v="2021-03-02T00:00:00"/>
        <d v="2024-06-15T00:00:00"/>
        <d v="2022-12-14T00:00:00"/>
        <d v="2023-04-16T00:00:00"/>
        <d v="2021-05-08T00:00:00"/>
        <d v="2024-07-12T00:00:00"/>
        <d v="2023-06-01T00:00:00"/>
        <d v="2023-12-16T00:00:00"/>
        <d v="2024-12-21T00:00:00"/>
        <d v="2023-05-01T00:00:00"/>
        <d v="2021-02-17T00:00:00"/>
        <d v="2020-12-10T00:00:00"/>
        <d v="2020-02-03T00:00:00"/>
        <d v="2020-12-28T00:00:00"/>
        <d v="2022-04-16T00:00:00"/>
        <d v="2024-11-20T00:00:00"/>
        <d v="2023-07-07T00:00:00"/>
        <d v="2022-08-23T00:00:00"/>
        <d v="2023-05-19T00:00:00"/>
        <d v="2020-06-27T00:00:00"/>
        <d v="2020-08-21T00:00:00"/>
        <d v="2020-04-27T00:00:00"/>
        <d v="2023-04-17T00:00:00"/>
        <d v="2021-03-05T00:00:00"/>
        <d v="2024-05-16T00:00:00"/>
        <d v="2021-08-11T00:00:00"/>
        <d v="2020-10-31T00:00:00"/>
        <d v="2024-10-26T00:00:00"/>
        <d v="2022-06-01T00:00:00"/>
        <d v="2021-12-09T00:00:00"/>
        <d v="2021-04-09T00:00:00"/>
        <d v="2023-12-01T00:00:00"/>
        <d v="2022-05-22T00:00:00"/>
        <d v="2024-01-06T00:00:00"/>
        <d v="2020-08-26T00:00:00"/>
        <d v="2022-04-21T00:00:00"/>
        <d v="2020-07-06T00:00:00"/>
        <d v="2023-12-29T00:00:00"/>
        <d v="2022-07-02T00:00:00"/>
        <d v="2023-03-27T00:00:00"/>
        <d v="2020-01-28T00:00:00"/>
        <d v="2022-12-19T00:00:00"/>
        <d v="2023-10-01T00:00:00"/>
        <d v="2024-09-22T00:00:00"/>
        <d v="2021-11-19T00:00:00"/>
        <d v="2022-12-31T00:00:00"/>
        <d v="2022-10-16T00:00:00"/>
        <d v="2024-04-19T00:00:00"/>
        <d v="2022-04-04T00:00:00"/>
        <d v="2021-02-04T00:00:00"/>
        <d v="2021-06-29T00:00:00"/>
        <d v="2023-04-14T00:00:00"/>
        <d v="2020-09-21T00:00:00"/>
        <d v="2024-07-01T00:00:00"/>
        <d v="2024-02-08T00:00:00"/>
        <d v="2024-07-04T00:00:00"/>
        <d v="2021-04-11T00:00:00"/>
        <d v="2023-10-18T00:00:00"/>
        <d v="2023-12-11T00:00:00"/>
        <d v="2023-09-27T00:00:00"/>
        <d v="2020-10-20T00:00:00"/>
        <d v="2021-10-22T00:00:00"/>
        <d v="2024-07-02T00:00:00"/>
        <d v="2021-12-14T00:00:00"/>
        <d v="2021-02-23T00:00:00"/>
        <d v="2020-11-19T00:00:00"/>
        <d v="2024-09-23T00:00:00"/>
        <d v="2021-11-20T00:00:00"/>
        <d v="2023-12-31T00:00:00"/>
        <d v="2020-08-29T00:00:00"/>
        <d v="2020-05-01T00:00:00"/>
        <d v="2024-07-21T00:00:00"/>
        <d v="2022-06-03T00:00:00"/>
        <d v="2024-10-01T00:00:00"/>
        <d v="2023-08-30T00:00:00"/>
        <d v="2024-08-03T00:00:00"/>
        <d v="2022-04-01T00:00:00"/>
        <d v="2022-07-31T00:00:00"/>
        <d v="2024-05-02T00:00:00"/>
        <d v="2021-12-31T00:00:00"/>
        <d v="2023-03-06T00:00:00"/>
        <d v="2024-08-14T00:00:00"/>
        <d v="2023-12-02T00:00:00"/>
        <d v="2020-05-03T00:00:00"/>
        <d v="2021-06-18T00:00:00"/>
        <d v="2023-04-03T00:00:00"/>
        <d v="2023-11-26T00:00:00"/>
        <d v="2020-11-09T00:00:00"/>
        <d v="2023-06-30T00:00:00"/>
        <d v="2020-05-08T00:00:00"/>
        <d v="2023-06-23T00:00:00"/>
        <d v="2020-08-22T00:00:00"/>
        <d v="2022-04-29T00:00:00"/>
        <d v="2024-09-25T00:00:00"/>
        <d v="2023-05-29T00:00:00"/>
        <d v="2020-06-22T00:00:00"/>
        <d v="2024-06-19T00:00:00"/>
        <d v="2023-10-04T00:00:00"/>
        <d v="2020-12-06T00:00:00"/>
        <d v="2020-01-21T00:00:00"/>
        <d v="2021-10-01T00:00:00"/>
        <d v="2024-03-11T00:00:00"/>
        <d v="2022-10-28T00:00:00"/>
        <d v="2020-09-25T00:00:00"/>
        <d v="2020-05-27T00:00:00"/>
        <d v="2023-05-12T00:00:00"/>
        <d v="2021-08-06T00:00:00"/>
        <d v="2024-01-09T00:00:00"/>
        <d v="2024-02-24T00:00:00"/>
        <d v="2023-10-13T00:00:00"/>
        <d v="2020-03-22T00:00:00"/>
        <d v="2023-04-18T00:00:00"/>
        <d v="2021-07-06T00:00:00"/>
        <d v="2023-11-18T00:00:00"/>
        <d v="2023-11-08T00:00:00"/>
        <d v="2020-07-20T00:00:00"/>
        <d v="2022-10-04T00:00:00"/>
        <d v="2022-06-04T00:00:00"/>
        <d v="2022-11-04T00:00:00"/>
        <d v="2023-07-10T00:00:00"/>
        <d v="2024-04-24T00:00:00"/>
        <d v="2020-03-30T00:00:00"/>
        <d v="2024-10-25T00:00:00"/>
        <d v="2023-02-10T00:00:00"/>
        <d v="2023-04-01T00:00:00"/>
        <d v="2021-12-02T00:00:00"/>
        <d v="2023-04-08T00:00:00"/>
        <d v="2020-12-07T00:00:00"/>
        <d v="2022-03-04T00:00:00"/>
        <d v="2020-04-25T00:00:00"/>
        <d v="2024-11-07T00:00:00"/>
        <d v="2024-01-19T00:00:00"/>
        <d v="2022-01-24T00:00:00"/>
        <d v="2022-12-18T00:00:00"/>
        <d v="2022-12-24T00:00:00"/>
        <d v="2023-03-30T00:00:00"/>
        <d v="2022-04-06T00:00:00"/>
        <d v="2021-07-10T00:00:00"/>
        <d v="2020-01-14T00:00:00"/>
        <d v="2021-03-29T00:00:00"/>
        <d v="2020-07-10T00:00:00"/>
        <d v="2021-02-22T00:00:00"/>
        <d v="2024-07-26T00:00:00"/>
        <d v="2024-10-16T00:00:00"/>
        <d v="2024-11-09T00:00:00"/>
        <d v="2022-08-15T00:00:00"/>
        <d v="2023-11-16T00:00:00"/>
        <d v="2021-07-12T00:00:00"/>
        <d v="2024-01-13T00:00:00"/>
        <d v="2024-12-11T00:00:00"/>
        <d v="2021-06-20T00:00:00"/>
        <d v="2021-06-23T00:00:00"/>
        <d v="2021-07-01T00:00:00"/>
        <d v="2020-03-15T00:00:00"/>
        <d v="2024-11-25T00:00:00"/>
        <d v="2023-10-16T00:00:00"/>
        <d v="2020-11-22T00:00:00"/>
        <d v="2021-03-20T00:00:00"/>
        <d v="2021-09-20T00:00:00"/>
        <d v="2022-12-06T00:00:00"/>
        <d v="2021-05-16T00:00:00"/>
        <d v="2022-08-09T00:00:00"/>
        <d v="2022-03-16T00:00:00"/>
        <d v="2023-05-18T00:00:00"/>
        <d v="2023-01-12T00:00:00"/>
        <d v="2022-06-02T00:00:00"/>
        <d v="2023-08-09T00:00:00"/>
        <d v="2024-01-12T00:00:00"/>
        <d v="2020-05-21T00:00:00"/>
        <d v="2022-08-14T00:00:00"/>
        <d v="2024-05-27T00:00:00"/>
        <d v="2021-08-12T00:00:00"/>
        <d v="2020-12-29T00:00:00"/>
        <d v="2020-01-12T00:00:00"/>
        <d v="2023-02-27T00:00:00"/>
        <d v="2022-04-23T00:00:00"/>
        <d v="2020-12-13T00:00:00"/>
        <d v="2023-08-04T00:00:00"/>
        <d v="2023-04-29T00:00:00"/>
        <d v="2023-07-29T00:00:00"/>
        <d v="2021-08-15T00:00:00"/>
        <d v="2024-04-17T00:00:00"/>
        <d v="2021-07-05T00:00:00"/>
        <d v="2023-07-01T00:00:00"/>
        <d v="2023-02-15T00:00:00"/>
        <d v="2022-08-01T00:00:00"/>
        <d v="2022-03-17T00:00:00"/>
        <d v="2024-05-13T00:00:00"/>
        <d v="2024-09-20T00:00:00"/>
        <d v="2022-10-09T00:00:00"/>
        <d v="2023-07-30T00:00:00"/>
        <d v="2022-02-01T00:00:00"/>
        <d v="2020-05-26T00:00:00"/>
        <d v="2023-10-19T00:00:00"/>
        <d v="2020-06-01T00:00:00"/>
        <d v="2021-01-18T00:00:00"/>
        <d v="2023-02-06T00:00:00"/>
        <d v="2020-11-29T00:00:00"/>
        <d v="2023-01-03T00:00:00"/>
        <d v="2022-03-26T00:00:00"/>
        <d v="2023-05-28T00:00:00"/>
        <d v="2024-04-20T00:00:00"/>
        <d v="2020-09-05T00:00:00"/>
        <d v="2022-02-25T00:00:00"/>
        <d v="2020-02-20T00:00:00"/>
        <d v="2023-05-03T00:00:00"/>
        <d v="2021-06-25T00:00:00"/>
        <d v="2024-09-10T00:00:00"/>
        <d v="2024-05-15T00:00:00"/>
        <d v="2021-03-23T00:00:00"/>
        <d v="2020-08-02T00:00:00"/>
        <d v="2024-12-04T00:00:00"/>
        <d v="2022-05-08T00:00:00"/>
        <d v="2022-11-28T00:00:00"/>
        <d v="2020-10-09T00:00:00"/>
        <d v="2020-11-13T00:00:00"/>
        <d v="2020-07-12T00:00:00"/>
        <d v="2020-05-28T00:00:00"/>
        <d v="2022-10-18T00:00:00"/>
        <d v="2021-05-28T00:00:00"/>
        <d v="2024-02-22T00:00:00"/>
        <d v="2022-06-05T00:00:00"/>
        <d v="2023-10-22T00:00:00"/>
        <d v="2023-06-17T00:00:00"/>
        <d v="2021-08-10T00:00:00"/>
        <d v="2021-10-23T00:00:00"/>
        <d v="2022-11-08T00:00:00"/>
        <d v="2022-06-20T00:00:00"/>
        <d v="2020-03-28T00:00:00"/>
        <d v="2021-12-13T00:00:00"/>
        <d v="2024-08-20T00:00:00"/>
        <d v="2021-04-03T00:00:00"/>
        <d v="2022-09-23T00:00:00"/>
        <d v="2022-01-30T00:00:00"/>
        <d v="2022-01-05T00:00:00"/>
        <d v="2023-04-05T00:00:00"/>
        <d v="2020-09-14T00:00:00"/>
        <d v="2024-08-07T00:00:00"/>
        <d v="2022-11-06T00:00:00"/>
        <d v="2021-02-16T00:00:00"/>
        <d v="2023-03-17T00:00:00"/>
        <d v="2021-11-16T00:00:00"/>
        <d v="2020-09-24T00:00:00"/>
        <d v="2024-11-30T00:00:00"/>
        <d v="2021-08-03T00:00:00"/>
        <d v="2023-03-13T00:00:00"/>
        <d v="2022-08-13T00:00:00"/>
        <d v="2024-07-30T00:00:00"/>
        <d v="2020-10-14T00:00:00"/>
        <d v="2023-06-18T00:00:00"/>
        <d v="2021-09-29T00:00:00"/>
        <d v="2023-09-11T00:00:00"/>
        <d v="2020-04-20T00:00:00"/>
        <d v="2023-07-24T00:00:00"/>
        <d v="2021-09-25T00:00:00"/>
        <d v="2022-10-02T00:00:00"/>
        <d v="2021-12-25T00:00:00"/>
        <d v="2020-09-07T00:00:00"/>
        <d v="2022-05-06T00:00:00"/>
        <d v="2020-02-27T00:00:00"/>
        <d v="2024-11-11T00:00:00"/>
        <d v="2023-08-26T00:00:00"/>
        <d v="2020-05-05T00:00:00"/>
        <d v="2021-12-27T00:00:00"/>
        <d v="2022-09-15T00:00:00"/>
        <d v="2023-10-20T00:00:00"/>
        <d v="2023-07-11T00:00:00"/>
        <d v="2023-09-15T00:00:00"/>
        <d v="2021-06-08T00:00:00"/>
        <d v="2022-03-08T00:00:00"/>
        <d v="2022-09-10T00:00:00"/>
        <d v="2021-09-05T00:00:00"/>
        <d v="2022-03-02T00:00:00"/>
        <d v="2023-05-04T00:00:00"/>
        <d v="2024-12-16T00:00:00"/>
        <d v="2020-06-12T00:00:00"/>
        <d v="2024-08-26T00:00:00"/>
        <d v="2021-04-25T00:00:00"/>
        <d v="2024-09-21T00:00:00"/>
        <d v="2024-06-14T00:00:00"/>
        <d v="2023-09-09T00:00:00"/>
        <d v="2022-08-12T00:00:00"/>
        <d v="2021-05-03T00:00:00"/>
        <d v="2024-09-04T00:00:00"/>
        <d v="2023-03-14T00:00:00"/>
        <d v="2020-04-28T00:00:00"/>
        <d v="2022-12-28T00:00:00"/>
        <d v="2022-02-21T00:00:00"/>
        <d v="2023-03-18T00:00:00"/>
        <d v="2024-08-23T00:00:00"/>
        <d v="2024-10-09T00:00:00"/>
        <d v="2022-02-05T00:00:00"/>
        <d v="2023-08-14T00:00:00"/>
        <d v="2024-03-20T00:00:00"/>
        <d v="2023-04-30T00:00:00"/>
        <d v="2023-10-29T00:00:00"/>
        <d v="2023-03-01T00:00:00"/>
        <d v="2020-04-11T00:00:00"/>
        <d v="2020-09-09T00:00:00"/>
        <d v="2021-06-09T00:00:00"/>
        <d v="2020-08-19T00:00:00"/>
        <d v="2024-07-09T00:00:00"/>
        <d v="2023-12-10T00:00:00"/>
        <d v="2024-08-16T00:00:00"/>
        <d v="2023-02-09T00:00:00"/>
        <d v="2024-12-14T00:00:00"/>
        <d v="2021-04-27T00:00:00"/>
        <d v="2020-10-22T00:00:00"/>
        <d v="2023-01-30T00:00:00"/>
        <d v="2024-02-21T00:00:00"/>
        <d v="2023-07-26T00:00:00"/>
        <d v="2024-03-09T00:00:00"/>
        <d v="2022-02-08T00:00:00"/>
        <d v="2022-10-05T00:00:00"/>
        <d v="2022-01-09T00:00:00"/>
        <d v="2021-11-29T00:00:00"/>
        <d v="2020-12-30T00:00:00"/>
        <d v="2020-01-08T00:00:00"/>
        <d v="2024-10-17T00:00:00"/>
        <d v="2022-04-02T00:00:00"/>
        <d v="2024-10-27T00:00:00"/>
        <d v="2021-10-02T00:00:00"/>
        <d v="2023-12-30T00:00:00"/>
        <d v="2023-03-11T00:00:00"/>
        <d v="2023-02-14T00:00:00"/>
        <d v="2020-12-21T00:00:00"/>
        <d v="2023-05-20T00:00:00"/>
        <d v="2021-03-24T00:00:00"/>
        <d v="2023-05-08T00:00:00"/>
        <d v="2024-01-22T00:00:00"/>
        <d v="2022-10-29T00:00:00"/>
        <d v="2020-06-10T00:00:00"/>
        <d v="2020-12-01T00:00:00"/>
        <d v="2022-04-24T00:00:00"/>
        <d v="2023-02-18T00:00:00"/>
        <d v="2020-10-28T00:00:00"/>
        <d v="2024-01-29T00:00:00"/>
        <d v="2020-08-05T00:00:00"/>
        <d v="2021-04-01T00:00:00"/>
        <d v="2021-10-08T00:00:00"/>
        <d v="2024-06-07T00:00:00"/>
        <d v="2022-06-10T00:00:00"/>
        <d v="2020-04-05T00:00:00"/>
        <d v="2020-02-24T00:00:00"/>
        <d v="2022-11-02T00:00:00"/>
        <d v="2020-10-03T00:00:00"/>
        <d v="2024-12-28T00:00:00"/>
        <d v="2021-09-15T00:00:00"/>
        <d v="2023-03-25T00:00:00"/>
        <d v="2020-12-19T00:00:00"/>
        <d v="2023-06-19T00:00:00"/>
        <d v="2024-11-16T00:00:00"/>
        <d v="2024-06-21T00:00:00"/>
        <d v="2021-11-23T00:00:00"/>
        <d v="2021-04-17T00:00:00"/>
        <d v="2021-11-17T00:00:00"/>
        <d v="2020-03-12T00:00:00"/>
        <d v="2022-09-19T00:00:00"/>
        <d v="2023-11-25T00:00:00"/>
        <d v="2023-01-09T00:00:00"/>
        <d v="2021-04-15T00:00:00"/>
        <d v="2022-12-25T00:00:00"/>
        <d v="2023-12-20T00:00:00"/>
        <d v="2021-03-01T00:00:00"/>
        <d v="2020-10-29T00:00:00"/>
        <d v="2022-08-11T00:00:00"/>
        <d v="2020-12-02T00:00:00"/>
        <d v="2023-03-22T00:00:00"/>
        <d v="2020-02-06T00:00:00"/>
        <d v="2023-05-25T00:00:00"/>
        <d v="2024-06-18T00:00:00"/>
        <d v="2023-08-13T00:00:00"/>
        <d v="2024-08-27T00:00:00"/>
        <d v="2020-09-17T00:00:00"/>
        <d v="2020-09-10T00:00:00"/>
        <d v="2022-05-11T00:00:00"/>
        <d v="2021-11-14T00:00:00"/>
        <d v="2021-10-04T00:00:00"/>
        <d v="2020-10-04T00:00:00"/>
        <d v="2024-02-01T00:00:00"/>
        <d v="2022-01-23T00:00:00"/>
        <d v="2021-05-29T00:00:00"/>
        <d v="2022-08-28T00:00:00"/>
        <d v="2021-04-18T00:00:00"/>
        <d v="2020-07-18T00:00:00"/>
        <d v="2020-01-11T00:00:00"/>
        <d v="2024-02-20T00:00:00"/>
        <d v="2020-05-30T00:00:00"/>
        <d v="2022-06-23T00:00:00"/>
        <d v="2022-05-16T00:00:00"/>
        <d v="2020-12-03T00:00:00"/>
        <d v="2020-05-19T00:00:00"/>
        <d v="2023-07-15T00:00:00"/>
        <d v="2020-05-20T00:00:00"/>
        <d v="2022-09-21T00:00:00"/>
        <d v="2022-07-12T00:00:00"/>
        <d v="2020-02-19T00:00:00"/>
        <d v="2023-02-17T00:00:00"/>
        <d v="2024-04-30T00:00:00"/>
        <d v="2024-04-09T00:00:00"/>
        <d v="2024-07-11T00:00:00"/>
        <d v="2021-07-16T00:00:00"/>
        <d v="2020-07-08T00:00:00"/>
        <d v="2024-01-14T00:00:00"/>
        <d v="2024-04-23T00:00:00"/>
        <d v="2023-05-11T00:00:00"/>
        <d v="2020-01-20T00:00:00"/>
        <d v="2022-05-05T00:00:00"/>
        <d v="2022-03-30T00:00:00"/>
        <d v="2024-09-07T00:00:00"/>
        <d v="2023-06-13T00:00:00"/>
        <d v="2024-04-14T00:00:00"/>
        <d v="2023-07-06T00:00:00"/>
        <d v="2021-09-30T00:00:00"/>
        <d v="2023-08-18T00:00:00"/>
        <d v="2020-07-09T00:00:00"/>
        <d v="2023-08-20T00:00:00"/>
        <d v="2020-01-23T00:00:00"/>
        <d v="2024-09-08T00:00:00"/>
        <d v="2020-07-16T00:00:00"/>
        <d v="2020-03-16T00:00:00"/>
        <d v="2024-04-21T00:00:00"/>
        <d v="2024-07-23T00:00:00"/>
        <d v="2020-11-06T00:00:00"/>
        <d v="2024-11-15T00:00:00"/>
        <d v="2021-03-11T00:00:00"/>
        <d v="2023-11-02T00:00:00"/>
        <d v="2020-03-03T00:00:00"/>
        <d v="2021-09-26T00:00:00"/>
        <d v="2022-11-15T00:00:00"/>
        <d v="2021-12-16T00:00:00"/>
        <d v="2024-08-09T00:00:00"/>
        <d v="2020-08-13T00:00:00"/>
        <d v="2020-03-09T00:00:00"/>
        <d v="2023-04-28T00:00:00"/>
        <d v="2023-04-10T00:00:00"/>
        <d v="2024-08-05T00:00:00"/>
        <d v="2022-06-17T00:00:00"/>
        <d v="2020-11-27T00:00:00"/>
        <d v="2021-01-20T00:00:00"/>
        <d v="2022-08-03T00:00:00"/>
        <d v="2022-08-30T00:00:00"/>
        <d v="2023-11-09T00:00:00"/>
        <d v="2020-10-06T00:00:00"/>
        <d v="2022-08-17T00:00:00"/>
        <d v="2020-04-01T00:00:00"/>
        <d v="2023-04-26T00:00:00"/>
        <d v="2020-09-02T00:00:00"/>
        <d v="2022-10-23T00:00:00"/>
        <d v="2021-05-30T00:00:00"/>
        <d v="2024-07-03T00:00:00"/>
        <d v="2020-02-07T00:00:00"/>
        <d v="2023-09-03T00:00:00"/>
        <d v="2024-05-04T00:00:00"/>
        <d v="2022-10-13T00:00:00"/>
        <d v="2023-02-01T00:00:00"/>
        <d v="2022-03-22T00:00:00"/>
        <d v="2024-07-29T00:00:00"/>
        <d v="2020-06-08T00:00:00"/>
        <d v="2023-12-18T00:00:00"/>
        <d v="2022-09-03T00:00:00"/>
        <d v="2021-01-04T00:00:00"/>
        <d v="2024-08-10T00:00:00"/>
        <d v="2023-09-04T00:00:00"/>
        <d v="2023-07-27T00:00:00"/>
        <d v="2021-07-13T00:00:00"/>
        <d v="2021-05-17T00:00:00"/>
        <d v="2020-01-05T00:00:00"/>
        <d v="2024-08-25T00:00:00"/>
        <d v="2024-02-13T00:00:00"/>
        <d v="2020-11-02T00:00:00"/>
        <d v="2020-08-11T00:00:00"/>
        <d v="2022-11-30T00:00:00"/>
        <d v="2022-01-08T00:00:00"/>
        <d v="2023-12-28T00:00:00"/>
        <d v="2024-06-24T00:00:00"/>
        <d v="2021-10-27T00:00:00"/>
        <d v="2023-02-28T00:00:00"/>
        <d v="2022-01-17T00:00:00"/>
        <d v="2022-09-08T00:00:00"/>
        <d v="2021-11-15T00:00:00"/>
        <d v="2021-09-17T00:00:00"/>
        <d v="2023-06-21T00:00:00"/>
        <d v="2021-10-11T00:00:00"/>
        <d v="2021-12-29T00:00:00"/>
        <d v="2020-12-15T00:00:00"/>
        <d v="2022-04-17T00:00:00"/>
        <d v="2022-06-18T00:00:00"/>
        <d v="2020-01-29T00:00:00"/>
        <d v="2020-05-12T00:00:00"/>
        <d v="2023-10-15T00:00:00"/>
        <d v="2022-01-21T00:00:00"/>
        <d v="2023-02-16T00:00:00"/>
        <d v="2020-01-04T00:00:00"/>
        <d v="2023-03-26T00:00:00"/>
        <d v="2023-12-06T00:00:00"/>
        <d v="2022-10-03T00:00:00"/>
        <d v="2021-02-07T00:00:00"/>
        <d v="2020-01-01T00:00:00"/>
        <d v="2022-09-11T00:00:00"/>
        <d v="2024-12-07T00:00:00"/>
        <d v="2021-10-07T00:00:00"/>
        <d v="2023-06-03T00:00:00"/>
        <d v="2021-02-05T00:00:00"/>
        <d v="2024-04-28T00:00:00"/>
        <d v="2023-07-09T00:00:00"/>
        <d v="2021-11-03T00:00:00"/>
        <d v="2024-07-10T00:00:00"/>
        <d v="2022-11-29T00:00:00"/>
        <d v="2023-12-12T00:00:00"/>
        <d v="2022-03-11T00:00:00"/>
        <d v="2024-03-26T00:00:00"/>
        <d v="2022-05-13T00:00:00"/>
        <d v="2024-09-15T00:00:00"/>
        <d v="2020-12-18T00:00:00"/>
        <d v="2022-07-09T00:00:00"/>
        <d v="2021-08-26T00:00:00"/>
        <d v="2020-11-24T00:00:00"/>
        <d v="2023-11-10T00:00:00"/>
        <d v="2021-05-19T00:00:00"/>
        <d v="2021-11-28T00:00:00"/>
        <d v="2020-02-04T00:00:00"/>
        <d v="2021-04-24T00:00:00"/>
        <d v="2021-01-10T00:00:00"/>
        <d v="2024-04-04T00:00:00"/>
        <d v="2021-01-30T00:00:00"/>
        <d v="2023-03-02T00:00:00"/>
        <d v="2020-07-31T00:00:00"/>
        <d v="2023-10-07T00:00:00"/>
        <d v="2020-09-12T00:00:00"/>
        <d v="2020-06-13T00:00:00"/>
        <d v="2021-08-16T00:00:00"/>
        <d v="2024-01-26T00:00:00"/>
        <d v="2021-09-16T00:00:00"/>
        <d v="2021-12-18T00:00:00"/>
        <d v="2022-05-26T00:00:00"/>
        <d v="2020-12-26T00:00:00"/>
        <d v="2024-01-25T00:00:00"/>
        <d v="2023-07-18T00:00:00"/>
        <d v="2022-08-26T00:00:00"/>
        <d v="2024-08-06T00:00:00"/>
        <d v="2023-06-08T00:00:00"/>
        <d v="2022-06-30T00:00:00"/>
        <d v="2023-10-26T00:00:00"/>
        <d v="2023-02-07T00:00:00"/>
        <d v="2021-03-13T00:00:00"/>
        <d v="2021-02-11T00:00:00"/>
        <d v="2023-09-26T00:00:00"/>
        <d v="2022-07-13T00:00:00"/>
        <d v="2022-07-24T00:00:00"/>
        <d v="2022-07-06T00:00:00"/>
        <d v="2024-05-14T00:00:00"/>
        <d v="2021-01-26T00:00:00"/>
        <d v="2020-10-21T00:00:00"/>
        <d v="2024-09-12T00:00:00"/>
        <d v="2020-05-16T00:00:00"/>
        <d v="2021-11-08T00:00:00"/>
        <d v="2021-12-26T00:00:00"/>
        <d v="2020-04-24T00:00:00"/>
        <d v="2020-07-05T00:00:00"/>
        <d v="2023-04-13T00:00:00"/>
        <d v="2020-06-09T00:00:00"/>
        <d v="2023-10-30T00:00:00"/>
        <d v="2022-09-06T00:00:00"/>
        <d v="2021-06-15T00:00:00"/>
        <d v="2021-04-29T00:00:00"/>
        <d v="2020-12-08T00:00:00"/>
        <d v="2021-07-27T00:00:00"/>
        <d v="2024-02-09T00:00:00"/>
        <d v="2023-10-21T00:00:00"/>
        <d v="2021-12-24T00:00:00"/>
        <d v="2023-03-31T00:00:00"/>
        <d v="2023-01-06T00:00:00"/>
        <d v="2022-01-07T00:00:00"/>
        <d v="2021-05-04T00:00:00"/>
        <d v="2020-06-16T00:00:00"/>
        <d v="2021-02-06T00:00:00"/>
        <d v="2024-07-18T00:00:00"/>
        <d v="2024-02-26T00:00:00"/>
        <d v="2020-05-23T00:00:00"/>
        <d v="2022-07-04T00:00:00"/>
        <d v="2023-09-17T00:00:00"/>
        <d v="2024-06-10T00:00:00"/>
        <d v="2023-02-23T00:00:00"/>
        <d v="2023-03-12T00:00:00"/>
        <d v="2021-12-03T00:00:00"/>
        <d v="2020-02-05T00:00:00"/>
        <d v="2024-04-26T00:00:00"/>
        <d v="2020-11-07T00:00:00"/>
        <d v="2022-01-13T00:00:00"/>
        <d v="2020-04-26T00:00:00"/>
        <d v="2023-08-17T00:00:00"/>
        <d v="2024-12-02T00:00:00"/>
        <d v="2022-12-22T00:00:00"/>
        <d v="2024-12-06T00:00:00"/>
        <d v="2023-06-27T00:00:00"/>
        <d v="2024-02-04T00:00:00"/>
        <d v="2022-09-12T00:00:00"/>
        <d v="2024-11-01T00:00:00"/>
        <d v="2024-03-28T00:00:00"/>
        <d v="2024-08-28T00:00:00"/>
        <d v="2024-12-27T00:00:00"/>
        <d v="2021-11-30T00:00:00"/>
        <d v="2024-01-30T00:00:00"/>
        <d v="2020-08-20T00:00:00"/>
        <d v="2023-03-16T00:00:00"/>
        <d v="2024-11-06T00:00:00"/>
        <d v="2021-02-08T00:00:00"/>
        <d v="2020-10-12T00:00:00"/>
        <d v="2021-06-07T00:00:00"/>
        <d v="2023-11-29T00:00:00"/>
        <d v="2022-07-22T00:00:00"/>
        <d v="2020-12-12T00:00:00"/>
        <d v="2021-07-17T00:00:00"/>
        <d v="2021-11-27T00:00:00"/>
        <d v="2023-10-14T00:00:00"/>
        <d v="2021-09-03T00:00:00"/>
        <d v="2023-09-07T00:00:00"/>
        <d v="2021-03-07T00:00:00"/>
        <d v="2024-03-14T00:00:00"/>
        <d v="2020-08-14T00:00:00"/>
        <d v="2023-11-19T00:00:00"/>
        <d v="2022-08-06T00:00:00"/>
        <d v="2021-12-15T00:00:00"/>
        <d v="2022-09-30T00:00:00"/>
        <d v="2024-06-13T00:00:00"/>
        <d v="2020-04-14T00:00:00"/>
        <d v="2020-04-18T00:00:00"/>
        <d v="2020-01-26T00:00:00"/>
        <d v="2020-08-31T00:00:00"/>
        <d v="2024-11-29T00:00:00"/>
        <d v="2021-10-05T00:00:00"/>
        <d v="2024-05-19T00:00:00"/>
        <d v="2022-01-26T00:00:00"/>
        <d v="2021-04-14T00:00:00"/>
        <d v="2022-07-19T00:00:00"/>
        <d v="2021-10-10T00:00:00"/>
        <d v="2022-06-29T00:00:00"/>
        <d v="2022-09-29T00:00:00"/>
        <d v="2023-01-10T00:00:00"/>
        <d v="2022-07-18T00:00:00"/>
        <d v="2020-02-10T00:00:00"/>
        <d v="2021-09-14T00:00:00"/>
        <d v="2021-07-11T00:00:00"/>
        <d v="2020-08-30T00:00:00"/>
        <d v="2021-10-24T00:00:00"/>
        <d v="2021-08-09T00:00:00"/>
        <d v="2023-12-05T00:00:00"/>
        <d v="2024-05-23T00:00:00"/>
        <d v="2022-03-24T00:00:00"/>
        <d v="2022-03-12T00:00:00"/>
        <d v="2024-01-03T00:00:00"/>
        <d v="2022-07-08T00:00:00"/>
        <d v="2021-07-03T00:00:00"/>
        <d v="2024-01-04T00:00:00"/>
        <d v="2024-12-30T00:00:00"/>
        <d v="2020-02-29T00:00:00"/>
        <d v="2023-07-20T00:00:00"/>
        <d v="2024-06-16T00:00:00"/>
        <d v="2024-05-12T00:00:00"/>
        <d v="2023-08-19T00:00:00"/>
        <d v="2021-07-14T00:00:00"/>
        <d v="2021-01-22T00:00:00"/>
        <d v="2023-02-26T00:00:00"/>
        <d v="2023-09-29T00:00:00"/>
        <d v="2020-08-17T00:00:00"/>
        <d v="2023-03-05T00:00:00"/>
        <d v="2020-08-09T00:00:00"/>
        <d v="2021-05-24T00:00:00"/>
        <d v="2020-07-23T00:00:00"/>
        <d v="2020-10-13T00:00:00"/>
        <d v="2020-08-01T00:00:00"/>
        <d v="2024-03-04T00:00:00"/>
        <d v="2020-04-04T00:00:00"/>
        <d v="2020-02-23T00:00:00"/>
        <d v="2023-01-25T00:00:00"/>
        <d v="2024-05-01T00:00:00"/>
        <d v="2023-01-02T00:00:00"/>
        <d v="2024-08-04T00:00:00"/>
        <d v="2021-10-31T00:00:00"/>
        <d v="2024-07-13T00:00:00"/>
        <d v="2022-09-13T00:00:00"/>
        <d v="2022-04-26T00:00:00"/>
        <d v="2024-08-01T00:00:00"/>
        <d v="2022-11-25T00:00:00"/>
        <d v="2020-11-01T00:00:00"/>
        <d v="2020-03-06T00:00:00"/>
        <d v="2024-12-15T00:00:00"/>
        <d v="2023-10-12T00:00:00"/>
        <d v="2022-12-21T00:00:00"/>
        <d v="2022-10-11T00:00:00"/>
        <d v="2024-05-03T00:00:00"/>
        <d v="2024-03-30T00:00:00"/>
        <d v="2021-05-27T00:00:00"/>
        <d v="2022-03-25T00:00:00"/>
        <d v="2020-05-31T00:00:00"/>
        <d v="2023-08-10T00:00:00"/>
        <d v="2023-10-09T00:00:00"/>
        <d v="2021-09-02T00:00:00"/>
        <d v="2024-07-22T00:00:00"/>
        <d v="2020-12-14T00:00:00"/>
        <d v="2021-06-26T00:00:00"/>
        <d v="2021-11-25T00:00:00"/>
        <d v="2024-06-23T00:00:00"/>
        <d v="2020-01-09T00:00:00"/>
        <d v="2024-04-01T00:00:00"/>
        <d v="2023-05-09T00:00:00"/>
        <d v="2023-02-22T00:00:00"/>
        <d v="2020-09-26T00:00:00"/>
        <d v="2021-03-30T00:00:00"/>
        <d v="2024-08-12T00:00:00"/>
        <d v="2021-12-11T00:00:00"/>
        <d v="2020-08-07T00:00:00"/>
        <d v="2021-05-25T00:00:00"/>
        <d v="2023-06-06T00:00:00"/>
        <d v="2020-08-25T00:00:00"/>
        <d v="2022-05-02T00:00:00"/>
        <d v="2023-12-25T00:00:00"/>
        <d v="2022-03-03T00:00:00"/>
        <d v="2020-01-06T00:00:00"/>
        <d v="2021-03-31T00:00:00"/>
        <d v="2022-02-02T00:00:00"/>
        <d v="2024-10-13T00:00:00"/>
        <d v="2023-06-16T00:00:00"/>
        <d v="2023-11-05T00:00:00"/>
        <d v="2023-11-01T00:00:00"/>
        <d v="2024-06-28T00:00:00"/>
        <d v="2024-05-25T00:00:00"/>
        <d v="2021-12-17T00:00:00"/>
        <d v="2020-03-24T00:00:00"/>
        <d v="2024-02-02T00:00:00"/>
        <d v="2021-11-02T00:00:00"/>
        <d v="2020-10-15T00:00:00"/>
        <d v="2024-03-01T00:00:00"/>
        <d v="2023-03-09T00:00:00"/>
        <d v="2024-05-26T00:00:00"/>
        <d v="2024-10-18T00:00:00"/>
        <d v="2023-01-14T00:00:00"/>
        <d v="2023-09-05T00:00:00"/>
        <d v="2021-05-20T00:00:00"/>
        <d v="2024-05-06T00:00:00"/>
        <d v="2024-03-21T00:00:00"/>
        <d v="2021-05-14T00:00:00"/>
        <d v="2022-02-13T00:00:00"/>
        <d v="2022-06-09T00:00:00"/>
        <d v="2021-06-03T00:00:00"/>
        <d v="2023-09-01T00:00:00"/>
        <d v="2024-10-08T00:00:00"/>
        <d v="2021-05-02T00:00:00"/>
        <d v="2022-07-07T00:00:00"/>
        <d v="2022-02-15T00:00:00"/>
        <d v="2020-06-07T00:00:00"/>
        <d v="2022-05-25T00:00:00"/>
        <d v="2021-12-01T00:00:00"/>
        <d v="2021-01-24T00:00:00"/>
        <d v="2023-10-28T00:00:00"/>
        <d v="2023-09-30T00:00:00"/>
        <d v="2022-02-17T00:00:00"/>
        <d v="2024-10-24T00:00:00"/>
        <d v="2023-06-20T00:00:00"/>
        <d v="2022-08-05T00:00:00"/>
        <d v="2022-05-18T00:00:00"/>
        <d v="2020-06-30T00:00:00"/>
        <d v="2020-07-14T00:00:00"/>
        <d v="2020-06-03T00:00:00"/>
        <d v="2021-06-27T00:00:00"/>
        <d v="2023-04-09T00:00:00"/>
        <d v="2020-05-17T00:00:00"/>
        <d v="2022-06-06T00:00:00"/>
        <d v="2020-01-13T00:00:00"/>
        <d v="2023-01-16T00:00:00"/>
        <d v="2024-05-30T00:00:00"/>
        <d v="2024-08-13T00:00:00"/>
        <d v="2022-08-31T00:00:00"/>
        <d v="2022-08-04T00:00:00"/>
        <d v="2022-01-01T00:00:00"/>
        <d v="2020-06-25T00:00:00"/>
        <d v="2021-08-20T00:00:00"/>
        <d v="2021-07-04T00:00:00"/>
        <d v="2024-01-18T00:00:00"/>
        <d v="2024-02-05T00:00:00"/>
        <d v="2022-02-10T00:00:00"/>
        <d v="2023-06-11T00:00:00"/>
        <d v="2022-05-15T00:00:00"/>
        <d v="2023-01-27T00:00:00"/>
        <d v="2022-08-10T00:00:00"/>
        <d v="2023-12-03T00:00:00"/>
        <d v="2021-02-01T00:00:00"/>
        <d v="2021-12-19T00:00:00"/>
        <d v="2021-07-22T00:00:00"/>
        <d v="2020-09-18T00:00:00"/>
        <d v="2024-01-05T00:00:00"/>
        <d v="2024-11-18T00:00:00"/>
        <d v="2022-12-16T00:00:00"/>
        <d v="2022-01-15T00:00:00"/>
        <d v="2024-03-17T00:00:00"/>
        <d v="2020-02-11T00:00:00"/>
        <d v="2022-10-06T00:00:00"/>
        <d v="2024-08-19T00:00:00"/>
        <d v="2022-06-16T00:00:00"/>
        <d v="2024-05-07T00:00:00"/>
        <d v="2021-09-10T00:00:00"/>
        <d v="2022-05-04T00:00:00"/>
        <d v="2021-06-13T00:00:00"/>
        <d v="2021-08-05T00:00:00"/>
        <d v="2020-01-17T00:00:00"/>
        <d v="2021-04-19T00:00:00"/>
        <d v="2022-01-19T00:00:00"/>
        <d v="2021-08-17T00:00:00"/>
        <d v="2021-10-21T00:00:00"/>
        <d v="2022-09-02T00:00:00"/>
        <d v="2023-01-26T00:00:00"/>
        <d v="2022-08-20T00:00:00"/>
        <d v="2024-04-11T00:00:00"/>
        <d v="2020-02-16T00:00:00"/>
        <d v="2022-01-04T00:00:00"/>
        <d v="2022-06-15T00:00:00"/>
        <d v="2022-09-25T00:00:00"/>
        <d v="2024-12-03T00:00:00"/>
        <d v="2021-01-05T00:00:00"/>
        <d v="2022-08-29T00:00:00"/>
        <d v="2020-01-25T00:00:00"/>
        <d v="2022-09-16T00:00:00"/>
        <d v="2021-03-25T00:00:00"/>
        <d v="2024-12-01T00:00:00"/>
        <d v="2023-04-24T00:00:00"/>
        <d v="2022-12-15T00:00:00"/>
        <d v="2023-04-21T00:00:00"/>
        <d v="2022-10-01T00:00:00"/>
        <d v="2023-07-31T00:00:00"/>
        <d v="2023-03-29T00:00:00"/>
        <d v="2021-03-03T00:00:00"/>
        <d v="2023-08-16T00:00:00"/>
        <d v="2022-04-22T00:00:00"/>
        <d v="2021-07-23T00:00:00"/>
        <d v="2023-03-23T00:00:00"/>
        <d v="2024-12-29T00:00:00"/>
        <d v="2023-11-27T00:00:00"/>
        <d v="2023-08-03T00:00:00"/>
        <d v="2020-05-10T00:00:00"/>
        <d v="2021-05-23T00:00:00"/>
        <d v="2020-01-16T00:00:00"/>
        <d v="2021-11-21T00:00:00"/>
        <d v="2022-04-07T00:00:00"/>
        <d v="2022-02-04T00:00:00"/>
        <d v="2023-10-11T00:00:00"/>
        <d v="2024-02-14T00:00:00"/>
        <d v="2021-09-19T00:00:00"/>
        <d v="2021-09-09T00:00:00"/>
        <d v="2023-04-20T00:00:00"/>
        <d v="2022-10-17T00:00:00"/>
        <d v="2023-01-15T00:00:00"/>
        <d v="2024-10-06T00:00:00"/>
        <d v="2024-07-31T00:00:00"/>
        <d v="2021-12-20T00:00:00"/>
        <d v="2021-01-31T00:00:00"/>
        <d v="2020-05-25T00:00:00"/>
        <d v="2023-05-23T00:00:00"/>
        <d v="2020-10-01T00:00:00"/>
        <d v="2021-07-07T00:00:00"/>
        <d v="2021-08-18T00:00:00"/>
        <d v="2022-02-20T00:00:00"/>
        <d v="2024-09-30T00:00:00"/>
        <d v="2024-11-03T00:00:00"/>
        <d v="2021-03-16T00:00:00"/>
        <d v="2021-10-19T00:00:00"/>
        <d v="2024-06-01T00:00:00"/>
        <d v="2020-04-12T00:00:00"/>
        <d v="2020-04-23T00:00:00"/>
        <d v="2024-03-22T00:00:00"/>
        <d v="2021-01-16T00:00:00"/>
        <d v="2024-12-20T00:00:00"/>
        <d v="2020-03-05T00:00:00"/>
        <d v="2023-05-15T00:00:00"/>
        <d v="2024-08-31T00:00:00"/>
        <d v="2024-09-11T00:00:00"/>
        <d v="2022-11-26T00:00:00"/>
        <d v="2024-06-27T00:00:00"/>
        <d v="2021-09-21T00:00:00"/>
        <d v="2023-07-08T00:00:00"/>
        <d v="2024-08-22T00:00:00"/>
        <d v="2021-09-12T00:00:00"/>
        <d v="2024-04-05T00:00:00"/>
        <d v="2021-06-02T00:00:00"/>
        <d v="2023-06-04T00:00:00"/>
        <d v="2021-09-24T00:00:00"/>
        <d v="2020-03-18T00:00:00"/>
        <d v="2023-01-31T00:00:00"/>
        <d v="2023-09-08T00:00:00"/>
        <d v="2023-12-14T00:00:00"/>
        <d v="2022-06-21T00:00:00"/>
        <d v="2020-06-29T00:00:00"/>
        <d v="2020-12-31T00:00:00"/>
        <d v="2021-12-10T00:00:00"/>
        <d v="2022-12-10T00:00:00"/>
        <d v="2022-08-25T00:00:00"/>
        <d v="2020-08-23T00:00:00"/>
        <d v="2020-04-22T00:00:00"/>
        <d v="2022-10-10T00:00:00"/>
        <d v="2020-11-15T00:00:00"/>
        <d v="2022-02-19T00:00:00"/>
        <d v="2022-02-27T00:00:00"/>
        <d v="2021-02-24T00:00:00"/>
        <d v="2022-12-17T00:00:00"/>
        <d v="2020-01-27T00:00:00"/>
        <d v="2020-06-14T00:00:00"/>
        <d v="2024-09-29T00:00:00"/>
        <d v="2022-11-09T00:00:00"/>
        <d v="2022-04-12T00:00:00"/>
        <d v="2022-07-27T00:00:00"/>
        <d v="2024-04-16T00:00:00"/>
        <d v="2020-04-09T00:00:00"/>
        <d v="2021-06-21T00:00:00"/>
        <d v="2021-05-09T00:00:00"/>
        <d v="2021-09-06T00:00:00"/>
        <d v="2024-12-22T00:00:00"/>
        <d v="2020-03-26T00:00:00"/>
        <d v="2021-03-04T00:00:00"/>
        <d v="2021-04-21T00:00:00"/>
        <d v="2024-01-24T00:00:00"/>
        <d v="2023-02-13T00:00:00"/>
        <d v="2022-01-11T00:00:00"/>
        <d v="2021-04-26T00:00:00"/>
        <d v="2020-03-19T00:00:00"/>
        <d v="2022-02-06T00:00:00"/>
        <d v="2024-07-25T00:00:00"/>
        <d v="2023-04-11T00:00:00"/>
        <d v="2023-12-21T00:00:00"/>
        <d v="2021-01-29T00:00:00"/>
        <d v="2021-05-31T00:00:00"/>
        <d v="2020-12-25T00:00:00"/>
        <d v="2021-12-23T00:00:00"/>
        <d v="2024-11-17T00:00:00"/>
        <d v="2022-04-10T00:00:00"/>
        <d v="2022-02-16T00:00:00"/>
        <d v="2020-04-07T00:00:00"/>
        <d v="2022-04-15T00:00:00"/>
        <d v="2020-05-22T00:00:00"/>
        <d v="2023-12-04T00:00:00"/>
        <d v="2023-08-01T00:00:00"/>
        <d v="2024-09-05T00:00:00"/>
        <d v="2022-12-27T00:00:00"/>
        <d v="2021-01-02T00:00:00"/>
        <d v="2024-02-06T00:00:00"/>
        <d v="2023-03-15T00:00:00"/>
        <d v="2024-01-11T00:00:00"/>
        <d v="2022-10-14T00:00:00"/>
        <d v="2020-07-02T00:00:00"/>
        <d v="2020-02-17T00:00:00"/>
        <d v="2020-09-15T00:00:00"/>
        <d v="2022-07-17T00:00:00"/>
        <d v="2021-10-14T00:00:00"/>
        <d v="2020-04-29T00:00:00"/>
        <d v="2022-07-25T00:00:00"/>
        <d v="2020-11-04T00:00:00"/>
        <d v="2023-02-19T00:00:00"/>
        <d v="2021-01-08T00:00:00"/>
        <d v="2022-10-21T00:00:00"/>
        <d v="2020-09-19T00:00:00"/>
        <d v="2021-02-28T00:00:00"/>
        <d v="2024-06-03T00:00:00"/>
        <d v="2021-06-12T00:00:00"/>
        <d v="2022-10-08T00:00:00"/>
        <d v="2023-05-21T00:00:00"/>
        <d v="2021-11-12T00:00:00"/>
        <d v="2022-07-03T00:00:00"/>
        <d v="2022-09-09T00:00:00"/>
        <d v="2024-10-28T00:00:00"/>
        <d v="2023-11-12T00:00:00"/>
        <d v="2021-01-19T00:00:00"/>
        <d v="2022-04-28T00:00:00"/>
        <d v="2024-05-17T00:00:00"/>
        <d v="2022-11-24T00:00:00"/>
        <d v="2020-11-08T00:00:00"/>
        <d v="2023-12-26T00:00:00"/>
        <d v="2020-01-15T00:00:00"/>
        <d v="2021-06-05T00:00:00"/>
        <d v="2024-10-20T00:00:00"/>
        <d v="2023-09-28T00:00:00"/>
        <d v="2020-12-11T00:00:00"/>
        <d v="2021-01-12T00:00:00"/>
        <d v="2023-08-24T00:00:00"/>
        <d v="2023-12-19T00:00:00"/>
        <d v="2024-02-17T00:00:00"/>
        <d v="2022-07-14T00:00:00"/>
        <d v="2021-05-11T00:00:00"/>
        <d v="2020-05-09T00:00:00"/>
        <d v="2022-10-30T00:00:00"/>
        <d v="2020-01-18T00:00:00"/>
        <d v="2023-12-13T00:00:00"/>
        <d v="2024-05-05T00:00:00"/>
        <d v="2022-07-29T00:00:00"/>
        <d v="2020-01-07T00:00:00"/>
        <d v="2021-07-19T00:00:00"/>
        <d v="2021-08-27T00:00:00"/>
        <d v="2021-02-15T00:00:00"/>
        <d v="2024-05-24T00:00:00"/>
        <d v="2022-06-25T00:00:00"/>
        <d v="2024-03-08T00:00:00"/>
        <d v="2020-01-02T00:00:00"/>
        <d v="2023-08-08T00:00:00"/>
        <d v="2022-11-12T00:00:00"/>
        <d v="2021-01-15T00:00:00"/>
        <d v="2020-08-16T00:00:00"/>
        <d v="2024-07-14T00:00:00"/>
        <d v="2021-12-04T00:00:00"/>
        <d v="2024-04-10T00:00:00"/>
        <d v="2021-05-07T00:00:00"/>
        <d v="2023-01-23T00:00:00"/>
        <d v="2024-05-08T00:00:00"/>
        <d v="2020-07-19T00:00:00"/>
        <d v="2020-05-02T00:00:00"/>
        <d v="2020-02-01T00:00:00"/>
        <d v="2022-01-18T00:00:00"/>
        <d v="2023-02-21T00:00:00"/>
        <d v="2020-08-10T00:00:00"/>
        <d v="2022-10-27T00:00:00"/>
        <d v="2021-09-08T00:00:00"/>
        <d v="2024-09-09T00:00:00"/>
        <d v="2021-08-07T00:00:00"/>
        <d v="2021-06-04T00:00:00"/>
        <d v="2021-02-25T00:00:00"/>
        <d v="2022-03-05T00:00:00"/>
        <d v="2023-12-22T00:00:00"/>
        <d v="2022-07-23T00:00:00"/>
        <d v="2023-05-02T00:00:00"/>
        <d v="2020-07-28T00:00:00"/>
        <d v="2020-05-15T00:00:00"/>
        <d v="2021-11-26T00:00:00"/>
        <d v="2024-10-15T00:00:00"/>
        <d v="2023-11-21T00:00:00"/>
        <d v="2024-11-10T00:00:00"/>
        <d v="2020-05-13T00:00:00"/>
        <d v="2020-06-20T00:00:00"/>
        <d v="2021-03-10T00:00:00"/>
        <d v="2022-02-12T00:00:00"/>
        <d v="2020-10-07T00:00:00"/>
        <d v="2024-03-23T00:00:00"/>
        <d v="2022-12-05T00:00:00"/>
        <d v="2024-12-25T00:00:00"/>
        <d v="2024-01-17T00:00:00"/>
        <d v="2022-06-24T00:00:00"/>
        <d v="2020-03-01T00:00:00"/>
        <d v="2020-03-27T00:00:00"/>
        <d v="2020-11-26T00:00:00"/>
        <d v="2023-10-17T00:00:00"/>
        <d v="2021-09-04T00:00:00"/>
        <d v="2021-12-08T00:00:00"/>
        <d v="2022-09-20T00:00:00"/>
        <d v="2024-07-19T00:00:00"/>
        <d v="2022-12-13T00:00:00"/>
        <d v="2023-05-30T00:00:00"/>
        <d v="2022-10-19T00:00:00"/>
        <d v="2020-08-18T00:00:00"/>
        <d v="2022-09-27T00:00:00"/>
        <d v="2021-09-11T00:00:00"/>
        <d v="2022-12-08T00:00:00"/>
        <d v="2024-08-08T00:00:00"/>
        <d v="2022-11-22T00:00:00"/>
        <d v="2024-05-21T00:00:00"/>
        <d v="2024-07-24T00:00:00"/>
        <d v="2020-07-29T00:00:00"/>
        <d v="2022-03-19T00:00:00"/>
        <d v="2024-10-12T00:00:00"/>
        <d v="2024-10-30T00:00:00"/>
        <d v="2022-05-03T00:00:00"/>
        <d v="2022-12-07T00:00:00"/>
        <d v="2024-07-20T00:00:00"/>
        <d v="2023-10-24T00:00:00"/>
        <d v="2020-04-02T00:00:00"/>
        <d v="2024-06-20T00:00:00"/>
        <d v="2024-05-11T00:00:00"/>
        <d v="2024-03-29T00:00:00"/>
        <d v="2020-12-27T00:00:00"/>
        <d v="2022-02-18T00:00:00"/>
        <d v="2022-03-27T00:00:00"/>
        <d v="2021-06-24T00:00:00"/>
        <d v="2024-04-22T00:00:00"/>
        <d v="2022-03-10T00:00:00"/>
        <d v="2022-03-15T00:00:00"/>
        <d v="2021-01-13T00:00:00"/>
        <d v="2021-03-28T00:00:00"/>
        <d v="2022-12-03T00:00:00"/>
        <d v="2020-05-24T00:00:00"/>
        <d v="2023-01-28T00:00:00"/>
        <d v="2021-07-02T00:00:00"/>
        <d v="2024-10-29T00:00:00"/>
        <d v="2020-08-24T00:00:00"/>
        <d v="2022-06-28T00:00:00"/>
        <d v="2023-07-03T00:00:00"/>
        <d v="2021-07-24T00:00:00"/>
        <d v="2023-02-08T00:00:00"/>
        <d v="2024-11-13T00:00:00"/>
        <d v="2020-09-06T00:00:00"/>
        <d v="2022-12-26T00:00:00"/>
        <d v="2022-12-29T00:00:00"/>
        <d v="2021-10-13T00:00:00"/>
        <d v="2022-12-12T00:00:00"/>
        <d v="2023-09-14T00:00:00"/>
        <d v="2024-02-15T00:00:00"/>
        <d v="2024-11-26T00:00:00"/>
        <d v="2020-06-17T00:00:00"/>
        <d v="2021-10-06T00:00:00"/>
        <d v="2020-03-20T00:00:00"/>
        <d v="2021-12-28T00:00:00"/>
        <d v="2024-05-18T00:00:00"/>
        <d v="2020-09-03T00:00:00"/>
        <d v="2023-12-24T00:00:00"/>
        <d v="2023-02-04T00:00:00"/>
        <d v="2022-09-22T00:00:00"/>
        <d v="2020-11-25T00:00:00"/>
        <d v="2020-10-30T00:00:00"/>
        <d v="2023-02-03T00:00:00"/>
        <d v="2023-07-25T00:00:00"/>
        <d v="2024-02-27T00:00:00"/>
        <d v="2021-07-29T00:00:00"/>
        <d v="2021-06-10T00:00:00"/>
        <d v="2024-03-16T00:00:00"/>
        <d v="2023-10-08T00:00:00"/>
        <d v="2020-09-28T00:00:00"/>
        <d v="2022-02-09T00:00:00"/>
        <d v="2020-06-15T00:00:00"/>
        <d v="2022-05-28T00:00:00"/>
        <d v="2022-10-07T00:00:00"/>
        <d v="2021-01-07T00:00:00"/>
        <d v="2023-01-29T00:00:00"/>
        <d v="2021-01-23T00:00:00"/>
        <d v="2021-08-08T00:00:00"/>
        <d v="2024-06-17T00:00:00"/>
        <d v="2022-11-11T00:00:00"/>
        <d v="2024-12-19T00:00:00"/>
        <d v="2023-09-20T00:00:00"/>
        <d v="2023-08-21T00:00:00"/>
        <d v="2024-10-11T00:00:00"/>
        <d v="2024-09-03T00:00:00"/>
        <d v="2021-11-22T00:00:00"/>
        <d v="2022-07-30T00:00:00"/>
        <d v="2024-12-24T00:00:00"/>
        <d v="2021-01-11T00:00:00"/>
        <d v="2021-04-10T00:00:00"/>
        <d v="2022-10-22T00:00:00"/>
        <d v="2021-06-30T00:00:00"/>
        <d v="2020-05-11T00:00:00"/>
        <d v="2024-10-14T00:00:00"/>
        <d v="2021-02-03T00:00:00"/>
        <d v="2024-03-19T00:00:00"/>
        <d v="2021-03-22T00:00:00"/>
        <d v="2024-09-14T00:00:00"/>
        <d v="2022-04-27T00:00:00"/>
        <d v="2022-01-22T00:00:00"/>
        <d v="2021-11-18T00:00:00"/>
        <d v="2023-07-28T00:00:00"/>
        <d v="2024-03-27T00:00:00"/>
        <d v="2023-07-23T00:00:00"/>
        <d v="2024-09-27T00:00:00"/>
        <d v="2020-04-10T00:00:00"/>
        <d v="2023-08-28T00:00:00"/>
        <d v="2022-08-02T00:00:00"/>
        <d v="2021-10-26T00:00:00"/>
        <d v="2022-05-21T00:00:00"/>
        <d v="2021-10-03T00:00:00"/>
        <d v="2021-08-13T00:00:00"/>
        <d v="2022-11-05T00:00:00"/>
        <d v="2024-07-17T00:00:00"/>
        <d v="2022-09-24T00:00:00"/>
        <d v="2020-10-27T00:00:00"/>
        <d v="2020-03-23T00:00:00"/>
        <d v="2024-01-02T00:00:00"/>
        <d v="2023-04-06T00:00:00"/>
        <d v="2021-08-01T00:00:00"/>
        <d v="2022-02-22T00:00:00"/>
        <d v="2023-06-28T00:00:00"/>
        <d v="2021-01-14T00:00:00"/>
        <d v="2023-04-22T00:00:00"/>
        <d v="2020-07-26T00:00:00"/>
        <d v="2022-02-28T00:00:00"/>
        <d v="2020-02-18T00:00:00"/>
        <d v="2024-05-28T00:00:00"/>
        <d v="2020-10-19T00:00:00"/>
        <d v="2024-01-16T00:00:00"/>
        <d v="2020-03-29T00:00:00"/>
        <d v="2022-07-10T00:00:00"/>
        <d v="2020-11-10T00:00:00"/>
        <d v="2023-08-12T00:00:00"/>
        <d v="2021-10-17T00:00:00"/>
        <d v="2021-06-14T00:00:00"/>
        <d v="2021-10-18T00:00:00"/>
        <d v="2021-10-09T00:00:00"/>
        <d v="2023-02-12T00:00:00"/>
        <d v="2022-07-28T00:00:00"/>
        <d v="2022-02-07T00:00:00"/>
        <d v="2024-02-29T00:00:00"/>
        <d v="2023-03-20T00:00:00"/>
        <d v="2024-04-02T00:00:00"/>
        <d v="2022-08-19T00:00:00"/>
        <d v="2022-02-23T00:00:00"/>
        <d v="2020-05-14T00:00:00"/>
        <d v="2023-11-15T00:00:00"/>
        <d v="2024-02-03T00:00:00"/>
        <d v="2024-05-20T00:00:00"/>
        <d v="2021-02-21T00:00:00"/>
        <d v="2023-09-19T00:00:00"/>
        <d v="2020-12-22T00:00:00"/>
        <d v="2023-07-21T00:00:00"/>
        <d v="2021-12-07T00:00:00"/>
        <d v="2021-09-07T00:00:00"/>
        <d v="2022-08-27T00:00:00"/>
        <d v="2021-07-26T00:00:00"/>
        <d v="2022-08-08T00:00:00"/>
        <d v="2022-11-17T00:00:00"/>
        <d v="2020-11-23T00:00:00"/>
        <d v="2022-07-11T00:00:00"/>
        <d v="2022-01-02T00:00:00"/>
        <d v="2020-03-21T00:00:00"/>
        <d v="2022-01-20T00:00:00"/>
        <d v="2023-01-20T00:00:00"/>
        <d v="2021-08-31T00:00:00"/>
        <d v="2024-12-08T00:00:00"/>
        <d v="2023-01-08T00:00:00"/>
        <d v="2022-11-18T00:00:00"/>
        <d v="2022-04-20T00:00:00"/>
        <d v="2023-05-14T00:00:00"/>
        <d v="2024-02-23T00:00:00"/>
        <d v="2022-11-14T00:00:00"/>
        <d v="2023-06-05T00:00:00"/>
        <d v="2020-08-12T00:00:00"/>
        <d v="2022-01-10T00:00:00"/>
        <d v="2021-01-17T00:00:00"/>
        <d v="2020-09-30T00:00:00"/>
        <d v="2023-01-01T00:00:00"/>
        <d v="2023-06-12T00:00:00"/>
        <d v="2021-04-07T00:00:00"/>
        <d v="2024-03-03T00:00:00"/>
        <d v="2024-07-06T00:00:00"/>
        <d v="2022-07-16T00:00:00"/>
        <d v="2021-06-19T00:00:00"/>
        <d v="2023-11-14T00:00:00"/>
        <d v="2021-10-16T00:00:00"/>
        <d v="2020-02-25T00:00:00"/>
        <d v="2022-04-30T00:00:00"/>
        <d v="2023-09-16T00:00:00"/>
        <d v="2021-12-30T00:00:00"/>
        <d v="2022-07-01T00:00:00"/>
        <d v="2020-02-28T00:00:00"/>
        <d v="2020-06-06T00:00:00"/>
        <d v="2023-12-17T00:00:00"/>
        <d v="2023-10-02T00:00:00"/>
        <d v="2024-06-26T00:00:00"/>
        <d v="2024-02-10T00:00:00"/>
        <d v="2023-11-30T00:00:00"/>
        <d v="2021-10-20T00:00:00"/>
        <d v="2024-11-27T00:00:00"/>
        <d v="2021-11-04T00:00:00"/>
        <d v="2020-10-10T00:00:00"/>
        <d v="2024-12-26T00:00:00"/>
        <d v="2021-12-05T00:00:00"/>
        <d v="2021-05-13T00:00:00"/>
        <d v="2022-01-12T00:00:00"/>
        <d v="2023-09-18T00:00:00"/>
        <d v="2022-11-10T00:00:00"/>
        <d v="2021-12-21T00:00:00"/>
        <d v="2024-06-25T00:00:00"/>
        <d v="2022-03-07T00:00:00"/>
        <d v="2020-07-21T00:00:00"/>
        <d v="2022-05-17T00:00:00"/>
        <d v="2022-05-23T00:00:00"/>
        <d v="2020-11-12T00:00:00"/>
        <d v="2022-08-18T00:00:00"/>
        <d v="2024-02-18T00:00:00"/>
        <d v="2020-10-24T00:00:00"/>
        <d v="2023-07-14T00:00:00"/>
        <d v="2023-09-12T00:00:00"/>
        <d v="2024-05-10T00:00:00"/>
        <d v="2022-12-23T00:00:00"/>
        <d v="2023-01-07T00:00:00"/>
        <d v="2024-10-07T00:00:00"/>
        <d v="2021-06-16T00:00:00"/>
        <d v="2020-06-05T00:00:00"/>
        <d v="2021-08-02T00:00:00"/>
        <d v="2024-03-15T00:00:00"/>
        <d v="2021-08-14T00:00:00"/>
        <d v="2022-05-14T00:00:00"/>
        <d v="2021-02-09T00:00:00"/>
        <d v="2023-08-11T00:00:00"/>
        <d v="2020-10-17T00:00:00"/>
        <d v="2021-11-09T00:00:00"/>
        <d v="2022-04-19T00:00:00"/>
        <d v="2022-12-01T00:00:00"/>
        <d v="2022-03-31T00:00:00"/>
        <d v="2021-09-22T00:00:00"/>
        <d v="2020-09-29T00:00:00"/>
        <d v="2020-11-03T00:00:00"/>
        <d v="2021-06-01T00:00:00"/>
        <d v="2020-04-16T00:00:00"/>
        <d v="2022-08-24T00:00:00"/>
        <d v="2022-03-06T00:00:00"/>
        <d v="2023-03-04T00:00:00"/>
        <d v="2023-10-27T00:00:00"/>
        <d v="2021-02-26T00:00:00"/>
        <d v="2021-10-15T00:00:00"/>
        <d v="2021-03-06T00:00:00"/>
        <d v="2024-06-12T00:00:00"/>
        <d v="2024-09-24T00:00:00"/>
        <d v="2024-01-08T00:00:00"/>
        <d v="2024-09-19T00:00:00"/>
        <d v="2021-01-06T00:00:00"/>
        <d v="2021-11-10T00:00:00"/>
        <d v="2020-06-11T00:00:00"/>
        <d v="2024-06-02T00:00:00"/>
        <d v="2022-04-11T00:00:00"/>
        <d v="2024-04-15T00:00:00"/>
        <d v="2024-11-05T00:00:00"/>
        <d v="2023-11-24T00:00:00"/>
        <d v="2021-01-27T00:00:00"/>
        <d v="2022-01-31T00:00:00"/>
        <d v="2024-03-06T00:00:00"/>
        <d v="2024-09-01T00:00:00"/>
        <d v="2020-07-17T00:00:00"/>
        <d v="2024-09-17T00:00:00"/>
        <d v="2022-06-13T00:00:00"/>
        <d v="2020-04-15T00:00:00"/>
        <d v="2021-02-10T00:00:00"/>
        <d v="2021-03-19T00:00:00"/>
        <d v="2020-06-18T00:00:00"/>
        <d v="2024-09-26T00:00:00"/>
        <d v="2021-05-18T00:00:00"/>
        <d v="2023-07-02T00:00:00"/>
        <d v="2023-11-03T00:00:00"/>
        <d v="2020-04-08T00:00:00"/>
        <d v="2020-10-02T00:00:00"/>
        <d v="2021-04-30T00:00:00"/>
        <d v="2021-03-21T00:00:00"/>
        <d v="2024-04-03T00:00:00"/>
        <d v="2020-04-03T00:00:00"/>
        <d v="2021-04-12T00:00:00"/>
        <d v="2020-04-13T00:00:00"/>
        <d v="2023-12-08T00:00:00"/>
        <d v="2020-09-16T00:00:00"/>
        <d v="2021-05-26T00:00:00"/>
        <d v="2022-10-12T00:00:00"/>
        <d v="2020-12-04T00:00:00"/>
        <d v="2020-03-13T00:00:00"/>
        <d v="2024-03-05T00:00:00"/>
        <d v="2021-05-12T00:00:00"/>
        <d v="2023-04-12T00:00:00"/>
        <d v="2024-12-09T00:00:00"/>
        <d v="2021-06-06T00:00:00"/>
        <d v="2024-03-25T00:00:00"/>
        <d v="2020-05-06T00:00:00"/>
        <d v="2022-05-10T00:00:00"/>
        <d v="2020-07-25T00:00:00"/>
        <d v="2023-09-10T00:00:00"/>
        <d v="2023-06-25T00:00:00"/>
        <d v="2020-12-23T00:00:00"/>
        <d v="2022-01-27T00:00:00"/>
        <d v="2021-01-09T00:00:00"/>
        <d v="2021-03-27T00:00:00"/>
        <d v="2021-10-28T00:00:00"/>
        <d v="2020-03-25T00:00:00"/>
        <d v="2023-10-31T00:00:00"/>
        <d v="2024-10-21T00:00:00"/>
        <d v="2022-05-09T00:00:00"/>
        <d v="2023-02-24T00:00:00"/>
        <d v="2023-01-13T00:00:00"/>
        <d v="2022-03-01T00:00:00"/>
        <d v="2024-10-19T00:00:00"/>
        <d v="2020-01-24T00:00:00"/>
        <d v="2023-10-03T00:00:00"/>
        <d v="2022-10-25T00:00:00"/>
        <d v="2021-10-30T00:00:00"/>
        <d v="2024-06-09T00:00:00"/>
        <d v="2022-11-19T00:00:00"/>
        <d v="2020-09-04T00:00:00"/>
        <d v="2023-09-25T00:00:00"/>
        <d v="2024-02-25T00:00:00"/>
        <d v="2021-05-15T00:00:00"/>
        <d v="2021-07-18T00:00:00"/>
        <d v="2024-01-10T00:00:00"/>
        <d v="2024-09-06T00:00:00"/>
        <d v="2022-06-07T00:00:00"/>
        <d v="2023-03-03T00:00:00"/>
        <d v="2021-05-05T00:00:00"/>
        <d v="2024-04-29T00:00:00"/>
        <d v="2023-10-06T00:00:00"/>
        <d v="2021-07-20T00:00:00"/>
        <d v="2021-04-05T00:00:00"/>
        <d v="2020-09-20T00:00:00"/>
        <d v="2024-11-08T00:00:00"/>
        <d v="2024-05-09T00:00:00"/>
        <d v="2021-09-23T00:00:00"/>
        <d v="2022-06-12T00:00:00"/>
        <d v="2024-03-18T00:00:00"/>
        <d v="2024-06-05T00:00:00"/>
        <d v="2024-03-13T00:00:00"/>
        <d v="2021-12-22T00:00:00"/>
        <d v="2021-11-05T00:00:00"/>
        <d v="2023-06-14T00:00:00"/>
        <d v="2023-08-07T00:00:00"/>
        <d v="2021-07-30T00:00:00"/>
        <d v="2022-06-19T00:00:00"/>
        <d v="2022-05-27T00:00:00"/>
        <d v="2023-07-22T00:00:00"/>
        <d v="2024-10-31T00:00:00"/>
        <d v="2024-08-29T00:00:00"/>
        <d v="2020-03-31T00:00:00"/>
        <d v="2022-09-01T00:00:00"/>
        <d v="2021-04-13T00:00:00"/>
        <d v="2023-02-05T00:00:00"/>
        <d v="2021-10-29T00:00:00"/>
        <d v="2020-02-22T00:00:00"/>
        <d v="2020-04-21T00:00:00"/>
        <d v="2022-04-14T00:00:00"/>
        <d v="2023-09-22T00:00:00"/>
        <d v="2023-11-23T00:00:00"/>
        <d v="2022-04-08T00:00:00"/>
        <d v="2021-03-18T00:00:00"/>
        <d v="2020-03-08T00:00:00"/>
        <d v="2020-12-05T00:00:00"/>
        <d v="2020-03-02T00:00:00"/>
        <d v="2024-02-28T00:00:00"/>
        <d v="2023-04-04T00:00:00"/>
        <d v="2022-04-03T00:00:00"/>
        <d v="2023-11-11T00:00:00"/>
        <d v="2021-08-23T00:00:00"/>
        <d v="2024-02-07T00:00:00"/>
        <d v="2020-11-11T00:00:00"/>
        <d v="2020-08-06T00:00:00"/>
        <d v="2021-08-30T00:00:00"/>
        <d v="2023-03-21T00:00:00"/>
        <d v="2020-05-29T00:00:00"/>
        <d v="2020-08-15T00:00:00"/>
        <d v="2023-06-29T00:00:00"/>
        <d v="2023-04-23T00:00:00"/>
        <d v="2024-07-27T00:00:00"/>
        <d v="2021-06-17T00:00:00"/>
        <d v="2024-04-08T00:00:00"/>
        <d v="2023-07-05T00:00:00"/>
        <d v="2024-07-05T00:00:00"/>
        <d v="2022-06-11T00:00:00"/>
        <d v="2022-07-15T00:00:00"/>
        <d v="2023-12-09T00:00:00"/>
        <d v="2024-03-07T00:00:00"/>
        <d v="2021-04-08T00:00:00"/>
        <d v="2020-07-27T00:00:00"/>
        <d v="2021-04-28T00:00:00"/>
        <d v="2022-01-03T00:00:00"/>
        <d v="2022-10-20T00:00:00"/>
        <d v="2024-04-25T00:00:00"/>
        <d v="2024-12-23T00:00:00"/>
        <d v="2023-04-27T00:00:00"/>
        <d v="2020-11-21T00:00:00"/>
        <d v="2021-02-13T00:00:00"/>
        <d v="2024-09-18T00:00:00"/>
        <d v="2024-03-24T00:00:00"/>
        <d v="2024-06-08T00:00:00"/>
        <d v="2023-02-25T00:00:00"/>
        <d v="2022-12-02T00:00:00"/>
        <d v="2021-12-12T00:00:00"/>
        <d v="2021-11-13T00:00:00"/>
        <d v="2024-10-02T00:00:00"/>
        <d v="2020-10-05T00:00:00"/>
        <d v="2023-02-11T00:00:00"/>
        <d v="2024-06-29T00:00:00"/>
        <d v="2022-07-20T00:00:00"/>
        <d v="2023-03-08T00:00:00"/>
        <d v="2023-05-10T00:00:00"/>
        <d v="2024-08-02T00:00:00"/>
        <d v="2021-08-04T00:00:00"/>
        <d v="2022-11-16T00:00:00"/>
        <d v="2020-09-01T00:00:00"/>
        <d v="2024-12-05T00:00:00"/>
        <d v="2021-09-27T00:00:00"/>
        <d v="2023-01-05T00:00:00"/>
        <d v="2024-04-13T00:00:00"/>
        <d v="2024-02-16T00:00:00"/>
        <d v="2021-05-22T00:00:00"/>
        <d v="2024-11-28T00:00:00"/>
        <d v="2021-07-08T00:00:00"/>
        <d v="2021-07-25T00:00:00"/>
        <d v="2023-10-25T00:00:00"/>
        <d v="2020-04-17T00:00:00"/>
        <d v="2023-01-24T00:00:00"/>
        <d v="2023-09-21T00:00:00"/>
        <d v="2020-07-04T00:00:00"/>
        <d v="2023-07-13T00:00:00"/>
        <d v="2022-04-13T00:00:00"/>
        <d v="2022-11-03T00:00:00"/>
        <d v="2020-05-18T00:00:00"/>
        <d v="2024-07-16T00:00:00"/>
        <d v="2024-04-12T00:00:00"/>
        <d v="2020-10-08T00:00:00"/>
        <d v="2020-12-16T00:00:00"/>
        <d v="2022-02-11T00:00:00"/>
      </sharedItems>
      <fieldGroup par="22"/>
    </cacheField>
    <cacheField name="order_month" numFmtId="165">
      <sharedItems containsSemiMixedTypes="0" containsNonDate="0" containsDate="1" containsString="0" minDate="2020-01-01T00:00:00" maxDate="2024-12-31T00:00:00" count="1592">
        <d v="2024-08-15T00:00:00"/>
        <d v="2022-08-16T00:00:00"/>
        <d v="2021-08-29T00:00:00"/>
        <d v="2022-07-05T00:00:00"/>
        <d v="2020-05-07T00:00:00"/>
        <d v="2024-09-02T00:00:00"/>
        <d v="2021-09-28T00:00:00"/>
        <d v="2023-06-10T00:00:00"/>
        <d v="2020-07-24T00:00:00"/>
        <d v="2020-02-09T00:00:00"/>
        <d v="2020-06-04T00:00:00"/>
        <d v="2022-01-28T00:00:00"/>
        <d v="2022-09-14T00:00:00"/>
        <d v="2024-01-21T00:00:00"/>
        <d v="2023-01-04T00:00:00"/>
        <d v="2024-03-10T00:00:00"/>
        <d v="2022-03-14T00:00:00"/>
        <d v="2023-11-06T00:00:00"/>
        <d v="2024-12-17T00:00:00"/>
        <d v="2020-01-19T00:00:00"/>
        <d v="2022-05-24T00:00:00"/>
        <d v="2021-03-17T00:00:00"/>
        <d v="2023-03-28T00:00:00"/>
        <d v="2023-07-17T00:00:00"/>
        <d v="2024-12-10T00:00:00"/>
        <d v="2024-08-17T00:00:00"/>
        <d v="2021-10-25T00:00:00"/>
        <d v="2024-07-07T00:00:00"/>
        <d v="2021-07-28T00:00:00"/>
        <d v="2020-07-01T00:00:00"/>
        <d v="2022-03-29T00:00:00"/>
        <d v="2023-03-10T00:00:00"/>
        <d v="2021-02-27T00:00:00"/>
        <d v="2024-01-23T00:00:00"/>
        <d v="2021-11-06T00:00:00"/>
        <d v="2024-10-22T00:00:00"/>
        <d v="2023-01-17T00:00:00"/>
        <d v="2022-06-14T00:00:00"/>
        <d v="2024-06-30T00:00:00"/>
        <d v="2020-01-10T00:00:00"/>
        <d v="2023-05-31T00:00:00"/>
        <d v="2022-05-30T00:00:00"/>
        <d v="2020-12-09T00:00:00"/>
        <d v="2023-12-23T00:00:00"/>
        <d v="2022-09-18T00:00:00"/>
        <d v="2024-11-22T00:00:00"/>
        <d v="2020-11-16T00:00:00"/>
        <d v="2022-04-05T00:00:00"/>
        <d v="2021-04-20T00:00:00"/>
        <d v="2022-05-20T00:00:00"/>
        <d v="2023-08-05T00:00:00"/>
        <d v="2023-05-17T00:00:00"/>
        <d v="2020-08-03T00:00:00"/>
        <d v="2023-08-22T00:00:00"/>
        <d v="2020-06-02T00:00:00"/>
        <d v="2024-06-22T00:00:00"/>
        <d v="2020-02-12T00:00:00"/>
        <d v="2020-08-04T00:00:00"/>
        <d v="2022-04-25T00:00:00"/>
        <d v="2022-09-07T00:00:00"/>
        <d v="2021-02-02T00:00:00"/>
        <d v="2021-08-24T00:00:00"/>
        <d v="2023-11-04T00:00:00"/>
        <d v="2020-02-08T00:00:00"/>
        <d v="2021-01-21T00:00:00"/>
        <d v="2023-05-26T00:00:00"/>
        <d v="2023-10-05T00:00:00"/>
        <d v="2022-06-27T00:00:00"/>
        <d v="2023-08-29T00:00:00"/>
        <d v="2022-09-04T00:00:00"/>
        <d v="2021-07-31T00:00:00"/>
        <d v="2023-11-17T00:00:00"/>
        <d v="2020-01-03T00:00:00"/>
        <d v="2020-01-22T00:00:00"/>
        <d v="2023-06-02T00:00:00"/>
        <d v="2022-08-21T00:00:00"/>
        <d v="2021-04-22T00:00:00"/>
        <d v="2023-06-07T00:00:00"/>
        <d v="2024-10-23T00:00:00"/>
        <d v="2020-06-21T00:00:00"/>
        <d v="2022-02-14T00:00:00"/>
        <d v="2020-09-22T00:00:00"/>
        <d v="2024-10-03T00:00:00"/>
        <d v="2023-07-04T00:00:00"/>
        <d v="2020-10-11T00:00:00"/>
        <d v="2023-08-25T00:00:00"/>
        <d v="2021-09-01T00:00:00"/>
        <d v="2022-11-01T00:00:00"/>
        <d v="2020-11-30T00:00:00"/>
        <d v="2024-05-22T00:00:00"/>
        <d v="2021-09-18T00:00:00"/>
        <d v="2022-11-20T00:00:00"/>
        <d v="2020-03-07T00:00:00"/>
        <d v="2021-01-25T00:00:00"/>
        <d v="2024-01-15T00:00:00"/>
        <d v="2023-05-24T00:00:00"/>
        <d v="2021-04-04T00:00:00"/>
        <d v="2023-07-19T00:00:00"/>
        <d v="2021-05-06T00:00:00"/>
        <d v="2021-03-02T00:00:00"/>
        <d v="2024-06-15T00:00:00"/>
        <d v="2022-12-14T00:00:00"/>
        <d v="2023-04-16T00:00:00"/>
        <d v="2021-05-08T00:00:00"/>
        <d v="2024-07-12T00:00:00"/>
        <d v="2023-06-01T00:00:00"/>
        <d v="2023-12-16T00:00:00"/>
        <d v="2024-12-21T00:00:00"/>
        <d v="2023-05-01T00:00:00"/>
        <d v="2021-02-17T00:00:00"/>
        <d v="2020-12-10T00:00:00"/>
        <d v="2020-02-03T00:00:00"/>
        <d v="2020-12-28T00:00:00"/>
        <d v="2022-04-16T00:00:00"/>
        <d v="2024-11-20T00:00:00"/>
        <d v="2023-07-07T00:00:00"/>
        <d v="2022-08-23T00:00:00"/>
        <d v="2023-05-19T00:00:00"/>
        <d v="2020-06-27T00:00:00"/>
        <d v="2020-08-21T00:00:00"/>
        <d v="2020-04-27T00:00:00"/>
        <d v="2023-04-17T00:00:00"/>
        <d v="2021-03-05T00:00:00"/>
        <d v="2024-05-16T00:00:00"/>
        <d v="2021-08-11T00:00:00"/>
        <d v="2020-10-31T00:00:00"/>
        <d v="2024-10-26T00:00:00"/>
        <d v="2022-06-01T00:00:00"/>
        <d v="2021-12-09T00:00:00"/>
        <d v="2021-04-09T00:00:00"/>
        <d v="2023-12-01T00:00:00"/>
        <d v="2022-05-22T00:00:00"/>
        <d v="2024-01-06T00:00:00"/>
        <d v="2020-08-26T00:00:00"/>
        <d v="2022-04-21T00:00:00"/>
        <d v="2020-07-06T00:00:00"/>
        <d v="2023-12-29T00:00:00"/>
        <d v="2022-07-02T00:00:00"/>
        <d v="2023-03-27T00:00:00"/>
        <d v="2020-01-28T00:00:00"/>
        <d v="2022-12-19T00:00:00"/>
        <d v="2023-10-01T00:00:00"/>
        <d v="2024-09-22T00:00:00"/>
        <d v="2021-11-19T00:00:00"/>
        <d v="2022-12-31T00:00:00"/>
        <d v="2022-10-16T00:00:00"/>
        <d v="2024-04-19T00:00:00"/>
        <d v="2022-04-04T00:00:00"/>
        <d v="2021-02-04T00:00:00"/>
        <d v="2021-06-29T00:00:00"/>
        <d v="2023-04-14T00:00:00"/>
        <d v="2020-09-21T00:00:00"/>
        <d v="2024-07-01T00:00:00"/>
        <d v="2024-02-08T00:00:00"/>
        <d v="2024-07-04T00:00:00"/>
        <d v="2021-04-11T00:00:00"/>
        <d v="2023-10-18T00:00:00"/>
        <d v="2023-12-11T00:00:00"/>
        <d v="2023-09-27T00:00:00"/>
        <d v="2020-10-20T00:00:00"/>
        <d v="2021-10-22T00:00:00"/>
        <d v="2024-07-02T00:00:00"/>
        <d v="2021-12-14T00:00:00"/>
        <d v="2021-02-23T00:00:00"/>
        <d v="2020-11-19T00:00:00"/>
        <d v="2024-09-23T00:00:00"/>
        <d v="2021-11-20T00:00:00"/>
        <d v="2023-12-31T00:00:00"/>
        <d v="2020-08-29T00:00:00"/>
        <d v="2020-05-01T00:00:00"/>
        <d v="2024-07-21T00:00:00"/>
        <d v="2022-06-03T00:00:00"/>
        <d v="2024-10-01T00:00:00"/>
        <d v="2023-08-30T00:00:00"/>
        <d v="2024-08-03T00:00:00"/>
        <d v="2022-04-01T00:00:00"/>
        <d v="2022-07-31T00:00:00"/>
        <d v="2024-05-02T00:00:00"/>
        <d v="2021-12-31T00:00:00"/>
        <d v="2023-03-06T00:00:00"/>
        <d v="2024-08-14T00:00:00"/>
        <d v="2023-12-02T00:00:00"/>
        <d v="2020-05-03T00:00:00"/>
        <d v="2021-06-18T00:00:00"/>
        <d v="2023-04-03T00:00:00"/>
        <d v="2023-11-26T00:00:00"/>
        <d v="2020-11-09T00:00:00"/>
        <d v="2023-06-30T00:00:00"/>
        <d v="2020-05-08T00:00:00"/>
        <d v="2023-06-23T00:00:00"/>
        <d v="2020-08-22T00:00:00"/>
        <d v="2022-04-29T00:00:00"/>
        <d v="2024-09-25T00:00:00"/>
        <d v="2023-05-29T00:00:00"/>
        <d v="2020-06-22T00:00:00"/>
        <d v="2024-06-19T00:00:00"/>
        <d v="2023-10-04T00:00:00"/>
        <d v="2020-12-06T00:00:00"/>
        <d v="2020-01-21T00:00:00"/>
        <d v="2021-10-01T00:00:00"/>
        <d v="2024-03-11T00:00:00"/>
        <d v="2022-10-28T00:00:00"/>
        <d v="2020-09-25T00:00:00"/>
        <d v="2020-05-27T00:00:00"/>
        <d v="2023-05-12T00:00:00"/>
        <d v="2021-08-06T00:00:00"/>
        <d v="2024-01-09T00:00:00"/>
        <d v="2024-02-24T00:00:00"/>
        <d v="2023-10-13T00:00:00"/>
        <d v="2020-03-22T00:00:00"/>
        <d v="2023-04-18T00:00:00"/>
        <d v="2021-07-06T00:00:00"/>
        <d v="2023-11-18T00:00:00"/>
        <d v="2023-11-08T00:00:00"/>
        <d v="2020-07-20T00:00:00"/>
        <d v="2022-10-04T00:00:00"/>
        <d v="2022-06-04T00:00:00"/>
        <d v="2022-11-04T00:00:00"/>
        <d v="2023-07-10T00:00:00"/>
        <d v="2024-04-24T00:00:00"/>
        <d v="2020-03-30T00:00:00"/>
        <d v="2024-10-25T00:00:00"/>
        <d v="2023-02-10T00:00:00"/>
        <d v="2023-04-01T00:00:00"/>
        <d v="2021-12-02T00:00:00"/>
        <d v="2023-04-08T00:00:00"/>
        <d v="2020-12-07T00:00:00"/>
        <d v="2022-03-04T00:00:00"/>
        <d v="2020-04-25T00:00:00"/>
        <d v="2024-11-07T00:00:00"/>
        <d v="2024-01-19T00:00:00"/>
        <d v="2022-01-24T00:00:00"/>
        <d v="2022-12-18T00:00:00"/>
        <d v="2022-12-24T00:00:00"/>
        <d v="2023-03-30T00:00:00"/>
        <d v="2022-04-06T00:00:00"/>
        <d v="2021-07-10T00:00:00"/>
        <d v="2020-01-14T00:00:00"/>
        <d v="2021-03-29T00:00:00"/>
        <d v="2020-07-10T00:00:00"/>
        <d v="2021-02-22T00:00:00"/>
        <d v="2024-07-26T00:00:00"/>
        <d v="2024-10-16T00:00:00"/>
        <d v="2024-11-09T00:00:00"/>
        <d v="2022-08-15T00:00:00"/>
        <d v="2023-11-16T00:00:00"/>
        <d v="2021-07-12T00:00:00"/>
        <d v="2024-01-13T00:00:00"/>
        <d v="2024-12-11T00:00:00"/>
        <d v="2021-06-20T00:00:00"/>
        <d v="2021-06-23T00:00:00"/>
        <d v="2021-07-01T00:00:00"/>
        <d v="2020-03-15T00:00:00"/>
        <d v="2024-11-25T00:00:00"/>
        <d v="2023-10-16T00:00:00"/>
        <d v="2020-11-22T00:00:00"/>
        <d v="2021-03-20T00:00:00"/>
        <d v="2021-09-20T00:00:00"/>
        <d v="2022-12-06T00:00:00"/>
        <d v="2021-05-16T00:00:00"/>
        <d v="2022-08-09T00:00:00"/>
        <d v="2022-03-16T00:00:00"/>
        <d v="2023-05-18T00:00:00"/>
        <d v="2023-01-12T00:00:00"/>
        <d v="2022-06-02T00:00:00"/>
        <d v="2023-08-09T00:00:00"/>
        <d v="2024-01-12T00:00:00"/>
        <d v="2020-05-21T00:00:00"/>
        <d v="2022-08-14T00:00:00"/>
        <d v="2024-05-27T00:00:00"/>
        <d v="2021-08-12T00:00:00"/>
        <d v="2020-12-29T00:00:00"/>
        <d v="2020-01-12T00:00:00"/>
        <d v="2023-02-27T00:00:00"/>
        <d v="2022-04-23T00:00:00"/>
        <d v="2020-12-13T00:00:00"/>
        <d v="2023-08-04T00:00:00"/>
        <d v="2023-04-29T00:00:00"/>
        <d v="2023-07-29T00:00:00"/>
        <d v="2021-08-15T00:00:00"/>
        <d v="2024-04-17T00:00:00"/>
        <d v="2021-07-05T00:00:00"/>
        <d v="2023-07-01T00:00:00"/>
        <d v="2023-02-15T00:00:00"/>
        <d v="2022-08-01T00:00:00"/>
        <d v="2022-03-17T00:00:00"/>
        <d v="2024-05-13T00:00:00"/>
        <d v="2024-09-20T00:00:00"/>
        <d v="2022-10-09T00:00:00"/>
        <d v="2023-07-30T00:00:00"/>
        <d v="2022-02-01T00:00:00"/>
        <d v="2020-05-26T00:00:00"/>
        <d v="2023-10-19T00:00:00"/>
        <d v="2020-06-01T00:00:00"/>
        <d v="2021-01-18T00:00:00"/>
        <d v="2023-02-06T00:00:00"/>
        <d v="2020-11-29T00:00:00"/>
        <d v="2023-01-03T00:00:00"/>
        <d v="2022-03-26T00:00:00"/>
        <d v="2023-05-28T00:00:00"/>
        <d v="2024-04-20T00:00:00"/>
        <d v="2020-09-05T00:00:00"/>
        <d v="2022-02-25T00:00:00"/>
        <d v="2020-02-20T00:00:00"/>
        <d v="2023-05-03T00:00:00"/>
        <d v="2021-06-25T00:00:00"/>
        <d v="2024-09-10T00:00:00"/>
        <d v="2024-05-15T00:00:00"/>
        <d v="2021-03-23T00:00:00"/>
        <d v="2020-08-02T00:00:00"/>
        <d v="2024-12-04T00:00:00"/>
        <d v="2022-05-08T00:00:00"/>
        <d v="2022-11-28T00:00:00"/>
        <d v="2020-10-09T00:00:00"/>
        <d v="2020-11-13T00:00:00"/>
        <d v="2020-07-12T00:00:00"/>
        <d v="2020-05-28T00:00:00"/>
        <d v="2022-10-18T00:00:00"/>
        <d v="2021-05-28T00:00:00"/>
        <d v="2024-02-22T00:00:00"/>
        <d v="2022-06-05T00:00:00"/>
        <d v="2023-10-22T00:00:00"/>
        <d v="2023-06-17T00:00:00"/>
        <d v="2021-08-10T00:00:00"/>
        <d v="2021-10-23T00:00:00"/>
        <d v="2022-11-08T00:00:00"/>
        <d v="2022-06-20T00:00:00"/>
        <d v="2020-03-28T00:00:00"/>
        <d v="2021-12-13T00:00:00"/>
        <d v="2024-08-20T00:00:00"/>
        <d v="2021-04-03T00:00:00"/>
        <d v="2022-09-23T00:00:00"/>
        <d v="2022-01-30T00:00:00"/>
        <d v="2022-01-05T00:00:00"/>
        <d v="2023-04-05T00:00:00"/>
        <d v="2020-09-14T00:00:00"/>
        <d v="2024-08-07T00:00:00"/>
        <d v="2022-11-06T00:00:00"/>
        <d v="2021-02-16T00:00:00"/>
        <d v="2023-03-17T00:00:00"/>
        <d v="2021-11-16T00:00:00"/>
        <d v="2020-09-24T00:00:00"/>
        <d v="2024-11-30T00:00:00"/>
        <d v="2021-08-03T00:00:00"/>
        <d v="2023-03-13T00:00:00"/>
        <d v="2022-08-13T00:00:00"/>
        <d v="2024-07-30T00:00:00"/>
        <d v="2020-10-14T00:00:00"/>
        <d v="2023-06-18T00:00:00"/>
        <d v="2021-09-29T00:00:00"/>
        <d v="2023-09-11T00:00:00"/>
        <d v="2020-04-20T00:00:00"/>
        <d v="2023-07-24T00:00:00"/>
        <d v="2021-09-25T00:00:00"/>
        <d v="2022-10-02T00:00:00"/>
        <d v="2021-12-25T00:00:00"/>
        <d v="2020-09-07T00:00:00"/>
        <d v="2022-05-06T00:00:00"/>
        <d v="2020-02-27T00:00:00"/>
        <d v="2024-11-11T00:00:00"/>
        <d v="2023-08-26T00:00:00"/>
        <d v="2020-05-05T00:00:00"/>
        <d v="2021-12-27T00:00:00"/>
        <d v="2022-09-15T00:00:00"/>
        <d v="2023-10-20T00:00:00"/>
        <d v="2023-07-11T00:00:00"/>
        <d v="2023-09-15T00:00:00"/>
        <d v="2021-06-08T00:00:00"/>
        <d v="2022-03-08T00:00:00"/>
        <d v="2022-09-10T00:00:00"/>
        <d v="2021-09-05T00:00:00"/>
        <d v="2022-03-02T00:00:00"/>
        <d v="2023-05-04T00:00:00"/>
        <d v="2024-12-16T00:00:00"/>
        <d v="2020-06-12T00:00:00"/>
        <d v="2024-08-26T00:00:00"/>
        <d v="2021-04-25T00:00:00"/>
        <d v="2024-09-21T00:00:00"/>
        <d v="2024-06-14T00:00:00"/>
        <d v="2023-09-09T00:00:00"/>
        <d v="2022-08-12T00:00:00"/>
        <d v="2021-05-03T00:00:00"/>
        <d v="2024-09-04T00:00:00"/>
        <d v="2023-03-14T00:00:00"/>
        <d v="2020-04-28T00:00:00"/>
        <d v="2022-12-28T00:00:00"/>
        <d v="2022-02-21T00:00:00"/>
        <d v="2023-03-18T00:00:00"/>
        <d v="2024-08-23T00:00:00"/>
        <d v="2024-10-09T00:00:00"/>
        <d v="2022-02-05T00:00:00"/>
        <d v="2023-08-14T00:00:00"/>
        <d v="2024-03-20T00:00:00"/>
        <d v="2023-04-30T00:00:00"/>
        <d v="2023-10-29T00:00:00"/>
        <d v="2023-03-01T00:00:00"/>
        <d v="2020-04-11T00:00:00"/>
        <d v="2020-09-09T00:00:00"/>
        <d v="2021-06-09T00:00:00"/>
        <d v="2020-08-19T00:00:00"/>
        <d v="2024-07-09T00:00:00"/>
        <d v="2023-12-10T00:00:00"/>
        <d v="2024-08-16T00:00:00"/>
        <d v="2023-02-09T00:00:00"/>
        <d v="2024-12-14T00:00:00"/>
        <d v="2021-04-27T00:00:00"/>
        <d v="2020-10-22T00:00:00"/>
        <d v="2023-01-30T00:00:00"/>
        <d v="2024-02-21T00:00:00"/>
        <d v="2023-07-26T00:00:00"/>
        <d v="2024-03-09T00:00:00"/>
        <d v="2022-02-08T00:00:00"/>
        <d v="2022-10-05T00:00:00"/>
        <d v="2022-01-09T00:00:00"/>
        <d v="2021-11-29T00:00:00"/>
        <d v="2020-12-30T00:00:00"/>
        <d v="2020-01-08T00:00:00"/>
        <d v="2024-10-17T00:00:00"/>
        <d v="2022-04-02T00:00:00"/>
        <d v="2024-10-27T00:00:00"/>
        <d v="2021-10-02T00:00:00"/>
        <d v="2023-12-30T00:00:00"/>
        <d v="2023-03-11T00:00:00"/>
        <d v="2023-02-14T00:00:00"/>
        <d v="2020-12-21T00:00:00"/>
        <d v="2023-05-20T00:00:00"/>
        <d v="2021-03-24T00:00:00"/>
        <d v="2023-05-08T00:00:00"/>
        <d v="2024-01-22T00:00:00"/>
        <d v="2022-10-29T00:00:00"/>
        <d v="2020-06-10T00:00:00"/>
        <d v="2020-12-01T00:00:00"/>
        <d v="2022-04-24T00:00:00"/>
        <d v="2023-02-18T00:00:00"/>
        <d v="2020-10-28T00:00:00"/>
        <d v="2024-01-29T00:00:00"/>
        <d v="2020-08-05T00:00:00"/>
        <d v="2021-04-01T00:00:00"/>
        <d v="2021-10-08T00:00:00"/>
        <d v="2024-06-07T00:00:00"/>
        <d v="2022-06-10T00:00:00"/>
        <d v="2020-04-05T00:00:00"/>
        <d v="2020-02-24T00:00:00"/>
        <d v="2022-11-02T00:00:00"/>
        <d v="2020-10-03T00:00:00"/>
        <d v="2024-12-28T00:00:00"/>
        <d v="2021-09-15T00:00:00"/>
        <d v="2023-03-25T00:00:00"/>
        <d v="2020-12-19T00:00:00"/>
        <d v="2023-06-19T00:00:00"/>
        <d v="2024-11-16T00:00:00"/>
        <d v="2024-06-21T00:00:00"/>
        <d v="2021-11-23T00:00:00"/>
        <d v="2021-04-17T00:00:00"/>
        <d v="2021-11-17T00:00:00"/>
        <d v="2020-03-12T00:00:00"/>
        <d v="2022-09-19T00:00:00"/>
        <d v="2023-11-25T00:00:00"/>
        <d v="2023-01-09T00:00:00"/>
        <d v="2021-04-15T00:00:00"/>
        <d v="2022-12-25T00:00:00"/>
        <d v="2023-12-20T00:00:00"/>
        <d v="2021-03-01T00:00:00"/>
        <d v="2020-10-29T00:00:00"/>
        <d v="2022-08-11T00:00:00"/>
        <d v="2020-12-02T00:00:00"/>
        <d v="2023-03-22T00:00:00"/>
        <d v="2020-02-06T00:00:00"/>
        <d v="2023-05-25T00:00:00"/>
        <d v="2024-06-18T00:00:00"/>
        <d v="2023-08-13T00:00:00"/>
        <d v="2024-08-27T00:00:00"/>
        <d v="2020-09-17T00:00:00"/>
        <d v="2020-09-10T00:00:00"/>
        <d v="2022-05-11T00:00:00"/>
        <d v="2021-11-14T00:00:00"/>
        <d v="2021-10-04T00:00:00"/>
        <d v="2020-10-04T00:00:00"/>
        <d v="2024-02-01T00:00:00"/>
        <d v="2022-01-23T00:00:00"/>
        <d v="2021-05-29T00:00:00"/>
        <d v="2022-08-28T00:00:00"/>
        <d v="2021-04-18T00:00:00"/>
        <d v="2020-07-18T00:00:00"/>
        <d v="2020-01-11T00:00:00"/>
        <d v="2024-02-20T00:00:00"/>
        <d v="2020-05-30T00:00:00"/>
        <d v="2022-06-23T00:00:00"/>
        <d v="2022-05-16T00:00:00"/>
        <d v="2020-12-03T00:00:00"/>
        <d v="2020-05-19T00:00:00"/>
        <d v="2023-07-15T00:00:00"/>
        <d v="2020-05-20T00:00:00"/>
        <d v="2022-09-21T00:00:00"/>
        <d v="2022-07-12T00:00:00"/>
        <d v="2020-02-19T00:00:00"/>
        <d v="2023-02-17T00:00:00"/>
        <d v="2024-04-30T00:00:00"/>
        <d v="2024-04-09T00:00:00"/>
        <d v="2024-07-11T00:00:00"/>
        <d v="2021-07-16T00:00:00"/>
        <d v="2020-07-08T00:00:00"/>
        <d v="2024-01-14T00:00:00"/>
        <d v="2024-04-23T00:00:00"/>
        <d v="2023-05-11T00:00:00"/>
        <d v="2020-01-20T00:00:00"/>
        <d v="2022-05-05T00:00:00"/>
        <d v="2022-03-30T00:00:00"/>
        <d v="2024-09-07T00:00:00"/>
        <d v="2023-06-13T00:00:00"/>
        <d v="2024-04-14T00:00:00"/>
        <d v="2023-07-06T00:00:00"/>
        <d v="2021-09-30T00:00:00"/>
        <d v="2023-08-18T00:00:00"/>
        <d v="2020-07-09T00:00:00"/>
        <d v="2023-08-20T00:00:00"/>
        <d v="2020-01-23T00:00:00"/>
        <d v="2024-09-08T00:00:00"/>
        <d v="2020-07-16T00:00:00"/>
        <d v="2020-03-16T00:00:00"/>
        <d v="2024-04-21T00:00:00"/>
        <d v="2024-07-23T00:00:00"/>
        <d v="2020-11-06T00:00:00"/>
        <d v="2024-11-15T00:00:00"/>
        <d v="2021-03-11T00:00:00"/>
        <d v="2023-11-02T00:00:00"/>
        <d v="2020-03-03T00:00:00"/>
        <d v="2021-09-26T00:00:00"/>
        <d v="2022-11-15T00:00:00"/>
        <d v="2021-12-16T00:00:00"/>
        <d v="2024-08-09T00:00:00"/>
        <d v="2020-08-13T00:00:00"/>
        <d v="2020-03-09T00:00:00"/>
        <d v="2023-04-28T00:00:00"/>
        <d v="2023-04-10T00:00:00"/>
        <d v="2024-08-05T00:00:00"/>
        <d v="2022-06-17T00:00:00"/>
        <d v="2020-11-27T00:00:00"/>
        <d v="2021-01-20T00:00:00"/>
        <d v="2022-08-03T00:00:00"/>
        <d v="2022-08-30T00:00:00"/>
        <d v="2023-11-09T00:00:00"/>
        <d v="2020-10-06T00:00:00"/>
        <d v="2022-08-17T00:00:00"/>
        <d v="2020-04-01T00:00:00"/>
        <d v="2023-04-26T00:00:00"/>
        <d v="2020-09-02T00:00:00"/>
        <d v="2022-10-23T00:00:00"/>
        <d v="2021-05-30T00:00:00"/>
        <d v="2024-07-03T00:00:00"/>
        <d v="2020-02-07T00:00:00"/>
        <d v="2023-09-03T00:00:00"/>
        <d v="2024-05-04T00:00:00"/>
        <d v="2022-10-13T00:00:00"/>
        <d v="2023-02-01T00:00:00"/>
        <d v="2022-03-22T00:00:00"/>
        <d v="2024-07-29T00:00:00"/>
        <d v="2020-06-08T00:00:00"/>
        <d v="2023-12-18T00:00:00"/>
        <d v="2022-09-03T00:00:00"/>
        <d v="2021-01-04T00:00:00"/>
        <d v="2024-08-10T00:00:00"/>
        <d v="2023-09-04T00:00:00"/>
        <d v="2023-07-27T00:00:00"/>
        <d v="2021-07-13T00:00:00"/>
        <d v="2021-05-17T00:00:00"/>
        <d v="2020-01-05T00:00:00"/>
        <d v="2024-08-25T00:00:00"/>
        <d v="2024-02-13T00:00:00"/>
        <d v="2020-11-02T00:00:00"/>
        <d v="2020-08-11T00:00:00"/>
        <d v="2022-11-30T00:00:00"/>
        <d v="2022-01-08T00:00:00"/>
        <d v="2023-12-28T00:00:00"/>
        <d v="2024-06-24T00:00:00"/>
        <d v="2021-10-27T00:00:00"/>
        <d v="2023-02-28T00:00:00"/>
        <d v="2022-01-17T00:00:00"/>
        <d v="2022-09-08T00:00:00"/>
        <d v="2021-11-15T00:00:00"/>
        <d v="2021-09-17T00:00:00"/>
        <d v="2023-06-21T00:00:00"/>
        <d v="2021-10-11T00:00:00"/>
        <d v="2021-12-29T00:00:00"/>
        <d v="2020-12-15T00:00:00"/>
        <d v="2022-04-17T00:00:00"/>
        <d v="2022-06-18T00:00:00"/>
        <d v="2020-01-29T00:00:00"/>
        <d v="2020-05-12T00:00:00"/>
        <d v="2023-10-15T00:00:00"/>
        <d v="2022-01-21T00:00:00"/>
        <d v="2023-02-16T00:00:00"/>
        <d v="2020-01-04T00:00:00"/>
        <d v="2023-03-26T00:00:00"/>
        <d v="2023-12-06T00:00:00"/>
        <d v="2022-10-03T00:00:00"/>
        <d v="2021-02-07T00:00:00"/>
        <d v="2020-01-01T00:00:00"/>
        <d v="2022-09-11T00:00:00"/>
        <d v="2024-12-07T00:00:00"/>
        <d v="2021-10-07T00:00:00"/>
        <d v="2023-06-03T00:00:00"/>
        <d v="2021-02-05T00:00:00"/>
        <d v="2024-04-28T00:00:00"/>
        <d v="2023-07-09T00:00:00"/>
        <d v="2021-11-03T00:00:00"/>
        <d v="2024-07-10T00:00:00"/>
        <d v="2022-11-29T00:00:00"/>
        <d v="2023-12-12T00:00:00"/>
        <d v="2022-03-11T00:00:00"/>
        <d v="2024-03-26T00:00:00"/>
        <d v="2022-05-13T00:00:00"/>
        <d v="2024-09-15T00:00:00"/>
        <d v="2020-12-18T00:00:00"/>
        <d v="2022-07-09T00:00:00"/>
        <d v="2021-08-26T00:00:00"/>
        <d v="2020-11-24T00:00:00"/>
        <d v="2023-11-10T00:00:00"/>
        <d v="2021-05-19T00:00:00"/>
        <d v="2021-11-28T00:00:00"/>
        <d v="2020-02-04T00:00:00"/>
        <d v="2021-04-24T00:00:00"/>
        <d v="2021-01-10T00:00:00"/>
        <d v="2024-04-04T00:00:00"/>
        <d v="2021-01-30T00:00:00"/>
        <d v="2023-03-02T00:00:00"/>
        <d v="2020-07-31T00:00:00"/>
        <d v="2023-10-07T00:00:00"/>
        <d v="2020-09-12T00:00:00"/>
        <d v="2020-06-13T00:00:00"/>
        <d v="2021-08-16T00:00:00"/>
        <d v="2024-01-26T00:00:00"/>
        <d v="2021-09-16T00:00:00"/>
        <d v="2021-12-18T00:00:00"/>
        <d v="2022-05-26T00:00:00"/>
        <d v="2020-12-26T00:00:00"/>
        <d v="2024-01-25T00:00:00"/>
        <d v="2023-07-18T00:00:00"/>
        <d v="2022-08-26T00:00:00"/>
        <d v="2024-08-06T00:00:00"/>
        <d v="2023-06-08T00:00:00"/>
        <d v="2022-06-30T00:00:00"/>
        <d v="2023-10-26T00:00:00"/>
        <d v="2023-02-07T00:00:00"/>
        <d v="2021-03-13T00:00:00"/>
        <d v="2021-02-11T00:00:00"/>
        <d v="2023-09-26T00:00:00"/>
        <d v="2022-07-13T00:00:00"/>
        <d v="2022-07-24T00:00:00"/>
        <d v="2022-07-06T00:00:00"/>
        <d v="2024-05-14T00:00:00"/>
        <d v="2021-01-26T00:00:00"/>
        <d v="2020-10-21T00:00:00"/>
        <d v="2024-09-12T00:00:00"/>
        <d v="2020-05-16T00:00:00"/>
        <d v="2021-11-08T00:00:00"/>
        <d v="2021-12-26T00:00:00"/>
        <d v="2020-04-24T00:00:00"/>
        <d v="2020-07-05T00:00:00"/>
        <d v="2023-04-13T00:00:00"/>
        <d v="2020-06-09T00:00:00"/>
        <d v="2023-10-30T00:00:00"/>
        <d v="2022-09-06T00:00:00"/>
        <d v="2021-06-15T00:00:00"/>
        <d v="2021-04-29T00:00:00"/>
        <d v="2020-12-08T00:00:00"/>
        <d v="2021-07-27T00:00:00"/>
        <d v="2024-02-09T00:00:00"/>
        <d v="2023-10-21T00:00:00"/>
        <d v="2021-12-24T00:00:00"/>
        <d v="2023-03-31T00:00:00"/>
        <d v="2023-01-06T00:00:00"/>
        <d v="2022-01-07T00:00:00"/>
        <d v="2021-05-04T00:00:00"/>
        <d v="2020-06-16T00:00:00"/>
        <d v="2021-02-06T00:00:00"/>
        <d v="2024-07-18T00:00:00"/>
        <d v="2024-02-26T00:00:00"/>
        <d v="2020-05-23T00:00:00"/>
        <d v="2022-07-04T00:00:00"/>
        <d v="2023-09-17T00:00:00"/>
        <d v="2024-06-10T00:00:00"/>
        <d v="2023-02-23T00:00:00"/>
        <d v="2023-03-12T00:00:00"/>
        <d v="2021-12-03T00:00:00"/>
        <d v="2020-02-05T00:00:00"/>
        <d v="2024-04-26T00:00:00"/>
        <d v="2020-11-07T00:00:00"/>
        <d v="2022-01-13T00:00:00"/>
        <d v="2020-04-26T00:00:00"/>
        <d v="2023-08-17T00:00:00"/>
        <d v="2024-12-02T00:00:00"/>
        <d v="2022-12-22T00:00:00"/>
        <d v="2024-12-06T00:00:00"/>
        <d v="2023-06-27T00:00:00"/>
        <d v="2024-02-04T00:00:00"/>
        <d v="2022-09-12T00:00:00"/>
        <d v="2024-11-01T00:00:00"/>
        <d v="2024-03-28T00:00:00"/>
        <d v="2024-08-28T00:00:00"/>
        <d v="2024-12-27T00:00:00"/>
        <d v="2021-11-30T00:00:00"/>
        <d v="2024-01-30T00:00:00"/>
        <d v="2020-08-20T00:00:00"/>
        <d v="2023-03-16T00:00:00"/>
        <d v="2024-11-06T00:00:00"/>
        <d v="2021-02-08T00:00:00"/>
        <d v="2020-10-12T00:00:00"/>
        <d v="2021-06-07T00:00:00"/>
        <d v="2023-11-29T00:00:00"/>
        <d v="2022-07-22T00:00:00"/>
        <d v="2020-12-12T00:00:00"/>
        <d v="2021-07-17T00:00:00"/>
        <d v="2021-11-27T00:00:00"/>
        <d v="2023-10-14T00:00:00"/>
        <d v="2021-09-03T00:00:00"/>
        <d v="2023-09-07T00:00:00"/>
        <d v="2021-03-07T00:00:00"/>
        <d v="2024-03-14T00:00:00"/>
        <d v="2020-08-14T00:00:00"/>
        <d v="2023-11-19T00:00:00"/>
        <d v="2022-08-06T00:00:00"/>
        <d v="2021-12-15T00:00:00"/>
        <d v="2022-09-30T00:00:00"/>
        <d v="2024-06-13T00:00:00"/>
        <d v="2020-04-14T00:00:00"/>
        <d v="2020-04-18T00:00:00"/>
        <d v="2020-01-26T00:00:00"/>
        <d v="2020-08-31T00:00:00"/>
        <d v="2024-11-29T00:00:00"/>
        <d v="2021-10-05T00:00:00"/>
        <d v="2024-05-19T00:00:00"/>
        <d v="2022-01-26T00:00:00"/>
        <d v="2021-04-14T00:00:00"/>
        <d v="2022-07-19T00:00:00"/>
        <d v="2021-10-10T00:00:00"/>
        <d v="2022-06-29T00:00:00"/>
        <d v="2022-09-29T00:00:00"/>
        <d v="2023-01-10T00:00:00"/>
        <d v="2022-07-18T00:00:00"/>
        <d v="2020-02-10T00:00:00"/>
        <d v="2021-09-14T00:00:00"/>
        <d v="2021-07-11T00:00:00"/>
        <d v="2020-08-30T00:00:00"/>
        <d v="2021-10-24T00:00:00"/>
        <d v="2021-08-09T00:00:00"/>
        <d v="2023-12-05T00:00:00"/>
        <d v="2024-05-23T00:00:00"/>
        <d v="2022-03-24T00:00:00"/>
        <d v="2022-03-12T00:00:00"/>
        <d v="2024-01-03T00:00:00"/>
        <d v="2022-07-08T00:00:00"/>
        <d v="2021-07-03T00:00:00"/>
        <d v="2024-01-04T00:00:00"/>
        <d v="2024-12-30T00:00:00"/>
        <d v="2020-02-29T00:00:00"/>
        <d v="2023-07-20T00:00:00"/>
        <d v="2024-06-16T00:00:00"/>
        <d v="2024-05-12T00:00:00"/>
        <d v="2023-08-19T00:00:00"/>
        <d v="2021-07-14T00:00:00"/>
        <d v="2021-01-22T00:00:00"/>
        <d v="2023-02-26T00:00:00"/>
        <d v="2023-09-29T00:00:00"/>
        <d v="2020-08-17T00:00:00"/>
        <d v="2023-03-05T00:00:00"/>
        <d v="2020-08-09T00:00:00"/>
        <d v="2021-05-24T00:00:00"/>
        <d v="2020-07-23T00:00:00"/>
        <d v="2020-10-13T00:00:00"/>
        <d v="2020-08-01T00:00:00"/>
        <d v="2024-03-04T00:00:00"/>
        <d v="2020-04-04T00:00:00"/>
        <d v="2020-02-23T00:00:00"/>
        <d v="2023-01-25T00:00:00"/>
        <d v="2024-05-01T00:00:00"/>
        <d v="2023-01-02T00:00:00"/>
        <d v="2024-08-04T00:00:00"/>
        <d v="2021-10-31T00:00:00"/>
        <d v="2024-07-13T00:00:00"/>
        <d v="2022-09-13T00:00:00"/>
        <d v="2022-04-26T00:00:00"/>
        <d v="2024-08-01T00:00:00"/>
        <d v="2022-11-25T00:00:00"/>
        <d v="2020-11-01T00:00:00"/>
        <d v="2020-03-06T00:00:00"/>
        <d v="2024-12-15T00:00:00"/>
        <d v="2023-10-12T00:00:00"/>
        <d v="2022-12-21T00:00:00"/>
        <d v="2022-10-11T00:00:00"/>
        <d v="2024-05-03T00:00:00"/>
        <d v="2024-03-30T00:00:00"/>
        <d v="2021-05-27T00:00:00"/>
        <d v="2022-03-25T00:00:00"/>
        <d v="2020-05-31T00:00:00"/>
        <d v="2023-08-10T00:00:00"/>
        <d v="2023-10-09T00:00:00"/>
        <d v="2021-09-02T00:00:00"/>
        <d v="2024-07-22T00:00:00"/>
        <d v="2020-12-14T00:00:00"/>
        <d v="2021-06-26T00:00:00"/>
        <d v="2021-11-25T00:00:00"/>
        <d v="2024-06-23T00:00:00"/>
        <d v="2020-01-09T00:00:00"/>
        <d v="2024-04-01T00:00:00"/>
        <d v="2023-05-09T00:00:00"/>
        <d v="2023-02-22T00:00:00"/>
        <d v="2020-09-26T00:00:00"/>
        <d v="2021-03-30T00:00:00"/>
        <d v="2024-08-12T00:00:00"/>
        <d v="2021-12-11T00:00:00"/>
        <d v="2020-08-07T00:00:00"/>
        <d v="2021-05-25T00:00:00"/>
        <d v="2023-06-06T00:00:00"/>
        <d v="2020-08-25T00:00:00"/>
        <d v="2022-05-02T00:00:00"/>
        <d v="2023-12-25T00:00:00"/>
        <d v="2022-03-03T00:00:00"/>
        <d v="2020-01-06T00:00:00"/>
        <d v="2021-03-31T00:00:00"/>
        <d v="2022-02-02T00:00:00"/>
        <d v="2024-10-13T00:00:00"/>
        <d v="2023-06-16T00:00:00"/>
        <d v="2023-11-05T00:00:00"/>
        <d v="2023-11-01T00:00:00"/>
        <d v="2024-06-28T00:00:00"/>
        <d v="2024-05-25T00:00:00"/>
        <d v="2021-12-17T00:00:00"/>
        <d v="2020-03-24T00:00:00"/>
        <d v="2024-02-02T00:00:00"/>
        <d v="2021-11-02T00:00:00"/>
        <d v="2020-10-15T00:00:00"/>
        <d v="2024-03-01T00:00:00"/>
        <d v="2023-03-09T00:00:00"/>
        <d v="2024-05-26T00:00:00"/>
        <d v="2024-10-18T00:00:00"/>
        <d v="2023-01-14T00:00:00"/>
        <d v="2023-09-05T00:00:00"/>
        <d v="2021-05-20T00:00:00"/>
        <d v="2024-05-06T00:00:00"/>
        <d v="2024-03-21T00:00:00"/>
        <d v="2021-05-14T00:00:00"/>
        <d v="2022-02-13T00:00:00"/>
        <d v="2022-06-09T00:00:00"/>
        <d v="2021-06-03T00:00:00"/>
        <d v="2023-09-01T00:00:00"/>
        <d v="2024-10-08T00:00:00"/>
        <d v="2021-05-02T00:00:00"/>
        <d v="2022-07-07T00:00:00"/>
        <d v="2022-02-15T00:00:00"/>
        <d v="2020-06-07T00:00:00"/>
        <d v="2022-05-25T00:00:00"/>
        <d v="2021-12-01T00:00:00"/>
        <d v="2021-01-24T00:00:00"/>
        <d v="2023-10-28T00:00:00"/>
        <d v="2023-09-30T00:00:00"/>
        <d v="2022-02-17T00:00:00"/>
        <d v="2024-10-24T00:00:00"/>
        <d v="2023-06-20T00:00:00"/>
        <d v="2022-08-05T00:00:00"/>
        <d v="2022-05-18T00:00:00"/>
        <d v="2020-06-30T00:00:00"/>
        <d v="2020-07-14T00:00:00"/>
        <d v="2020-06-03T00:00:00"/>
        <d v="2021-06-27T00:00:00"/>
        <d v="2023-04-09T00:00:00"/>
        <d v="2020-05-17T00:00:00"/>
        <d v="2022-06-06T00:00:00"/>
        <d v="2020-01-13T00:00:00"/>
        <d v="2023-01-16T00:00:00"/>
        <d v="2024-05-30T00:00:00"/>
        <d v="2024-08-13T00:00:00"/>
        <d v="2022-08-31T00:00:00"/>
        <d v="2022-08-04T00:00:00"/>
        <d v="2022-01-01T00:00:00"/>
        <d v="2020-06-25T00:00:00"/>
        <d v="2021-08-20T00:00:00"/>
        <d v="2021-07-04T00:00:00"/>
        <d v="2024-01-18T00:00:00"/>
        <d v="2024-02-05T00:00:00"/>
        <d v="2022-02-10T00:00:00"/>
        <d v="2023-06-11T00:00:00"/>
        <d v="2022-05-15T00:00:00"/>
        <d v="2023-01-27T00:00:00"/>
        <d v="2022-08-10T00:00:00"/>
        <d v="2023-12-03T00:00:00"/>
        <d v="2021-02-01T00:00:00"/>
        <d v="2021-12-19T00:00:00"/>
        <d v="2021-07-22T00:00:00"/>
        <d v="2020-09-18T00:00:00"/>
        <d v="2024-01-05T00:00:00"/>
        <d v="2024-11-18T00:00:00"/>
        <d v="2022-12-16T00:00:00"/>
        <d v="2022-01-15T00:00:00"/>
        <d v="2024-03-17T00:00:00"/>
        <d v="2020-02-11T00:00:00"/>
        <d v="2022-10-06T00:00:00"/>
        <d v="2024-08-19T00:00:00"/>
        <d v="2022-06-16T00:00:00"/>
        <d v="2024-05-07T00:00:00"/>
        <d v="2021-09-10T00:00:00"/>
        <d v="2022-05-04T00:00:00"/>
        <d v="2021-06-13T00:00:00"/>
        <d v="2021-08-05T00:00:00"/>
        <d v="2020-01-17T00:00:00"/>
        <d v="2021-04-19T00:00:00"/>
        <d v="2022-01-19T00:00:00"/>
        <d v="2021-08-17T00:00:00"/>
        <d v="2021-10-21T00:00:00"/>
        <d v="2022-09-02T00:00:00"/>
        <d v="2023-01-26T00:00:00"/>
        <d v="2022-08-20T00:00:00"/>
        <d v="2024-04-11T00:00:00"/>
        <d v="2020-02-16T00:00:00"/>
        <d v="2022-01-04T00:00:00"/>
        <d v="2022-06-15T00:00:00"/>
        <d v="2022-09-25T00:00:00"/>
        <d v="2024-12-03T00:00:00"/>
        <d v="2021-01-05T00:00:00"/>
        <d v="2022-08-29T00:00:00"/>
        <d v="2020-01-25T00:00:00"/>
        <d v="2022-09-16T00:00:00"/>
        <d v="2021-03-25T00:00:00"/>
        <d v="2024-12-01T00:00:00"/>
        <d v="2023-04-24T00:00:00"/>
        <d v="2022-12-15T00:00:00"/>
        <d v="2023-04-21T00:00:00"/>
        <d v="2022-10-01T00:00:00"/>
        <d v="2023-07-31T00:00:00"/>
        <d v="2023-03-29T00:00:00"/>
        <d v="2021-03-03T00:00:00"/>
        <d v="2023-08-16T00:00:00"/>
        <d v="2022-04-22T00:00:00"/>
        <d v="2021-07-23T00:00:00"/>
        <d v="2023-03-23T00:00:00"/>
        <d v="2024-12-29T00:00:00"/>
        <d v="2023-11-27T00:00:00"/>
        <d v="2023-08-03T00:00:00"/>
        <d v="2020-05-10T00:00:00"/>
        <d v="2021-05-23T00:00:00"/>
        <d v="2020-01-16T00:00:00"/>
        <d v="2021-11-21T00:00:00"/>
        <d v="2022-04-07T00:00:00"/>
        <d v="2022-02-04T00:00:00"/>
        <d v="2023-10-11T00:00:00"/>
        <d v="2024-02-14T00:00:00"/>
        <d v="2021-09-19T00:00:00"/>
        <d v="2021-09-09T00:00:00"/>
        <d v="2023-04-20T00:00:00"/>
        <d v="2022-10-17T00:00:00"/>
        <d v="2023-01-15T00:00:00"/>
        <d v="2024-10-06T00:00:00"/>
        <d v="2024-07-31T00:00:00"/>
        <d v="2021-12-20T00:00:00"/>
        <d v="2021-01-31T00:00:00"/>
        <d v="2020-05-25T00:00:00"/>
        <d v="2023-05-23T00:00:00"/>
        <d v="2020-10-01T00:00:00"/>
        <d v="2021-07-07T00:00:00"/>
        <d v="2021-08-18T00:00:00"/>
        <d v="2022-02-20T00:00:00"/>
        <d v="2024-09-30T00:00:00"/>
        <d v="2024-11-03T00:00:00"/>
        <d v="2021-03-16T00:00:00"/>
        <d v="2021-10-19T00:00:00"/>
        <d v="2024-06-01T00:00:00"/>
        <d v="2020-04-12T00:00:00"/>
        <d v="2020-04-23T00:00:00"/>
        <d v="2024-03-22T00:00:00"/>
        <d v="2021-01-16T00:00:00"/>
        <d v="2024-12-20T00:00:00"/>
        <d v="2020-03-05T00:00:00"/>
        <d v="2023-05-15T00:00:00"/>
        <d v="2024-08-31T00:00:00"/>
        <d v="2024-09-11T00:00:00"/>
        <d v="2022-11-26T00:00:00"/>
        <d v="2024-06-27T00:00:00"/>
        <d v="2021-09-21T00:00:00"/>
        <d v="2023-07-08T00:00:00"/>
        <d v="2024-08-22T00:00:00"/>
        <d v="2021-09-12T00:00:00"/>
        <d v="2024-04-05T00:00:00"/>
        <d v="2021-06-02T00:00:00"/>
        <d v="2023-06-04T00:00:00"/>
        <d v="2021-09-24T00:00:00"/>
        <d v="2020-03-18T00:00:00"/>
        <d v="2023-01-31T00:00:00"/>
        <d v="2023-09-08T00:00:00"/>
        <d v="2023-12-14T00:00:00"/>
        <d v="2022-06-21T00:00:00"/>
        <d v="2020-06-29T00:00:00"/>
        <d v="2020-12-31T00:00:00"/>
        <d v="2021-12-10T00:00:00"/>
        <d v="2022-12-10T00:00:00"/>
        <d v="2022-08-25T00:00:00"/>
        <d v="2020-08-23T00:00:00"/>
        <d v="2020-04-22T00:00:00"/>
        <d v="2022-10-10T00:00:00"/>
        <d v="2020-11-15T00:00:00"/>
        <d v="2022-02-19T00:00:00"/>
        <d v="2022-02-27T00:00:00"/>
        <d v="2021-02-24T00:00:00"/>
        <d v="2022-12-17T00:00:00"/>
        <d v="2020-01-27T00:00:00"/>
        <d v="2020-06-14T00:00:00"/>
        <d v="2024-09-29T00:00:00"/>
        <d v="2022-11-09T00:00:00"/>
        <d v="2022-04-12T00:00:00"/>
        <d v="2022-07-27T00:00:00"/>
        <d v="2024-04-16T00:00:00"/>
        <d v="2020-04-09T00:00:00"/>
        <d v="2021-06-21T00:00:00"/>
        <d v="2021-05-09T00:00:00"/>
        <d v="2021-09-06T00:00:00"/>
        <d v="2024-12-22T00:00:00"/>
        <d v="2020-03-26T00:00:00"/>
        <d v="2021-03-04T00:00:00"/>
        <d v="2021-04-21T00:00:00"/>
        <d v="2024-01-24T00:00:00"/>
        <d v="2023-02-13T00:00:00"/>
        <d v="2022-01-11T00:00:00"/>
        <d v="2021-04-26T00:00:00"/>
        <d v="2020-03-19T00:00:00"/>
        <d v="2022-02-06T00:00:00"/>
        <d v="2024-07-25T00:00:00"/>
        <d v="2023-04-11T00:00:00"/>
        <d v="2023-12-21T00:00:00"/>
        <d v="2021-01-29T00:00:00"/>
        <d v="2021-05-31T00:00:00"/>
        <d v="2020-12-25T00:00:00"/>
        <d v="2021-12-23T00:00:00"/>
        <d v="2024-11-17T00:00:00"/>
        <d v="2022-04-10T00:00:00"/>
        <d v="2022-02-16T00:00:00"/>
        <d v="2020-04-07T00:00:00"/>
        <d v="2022-04-15T00:00:00"/>
        <d v="2020-05-22T00:00:00"/>
        <d v="2023-12-04T00:00:00"/>
        <d v="2023-08-01T00:00:00"/>
        <d v="2024-09-05T00:00:00"/>
        <d v="2022-12-27T00:00:00"/>
        <d v="2021-01-02T00:00:00"/>
        <d v="2024-02-06T00:00:00"/>
        <d v="2023-03-15T00:00:00"/>
        <d v="2024-01-11T00:00:00"/>
        <d v="2022-10-14T00:00:00"/>
        <d v="2020-07-02T00:00:00"/>
        <d v="2020-02-17T00:00:00"/>
        <d v="2020-09-15T00:00:00"/>
        <d v="2022-07-17T00:00:00"/>
        <d v="2021-10-14T00:00:00"/>
        <d v="2020-04-29T00:00:00"/>
        <d v="2022-07-25T00:00:00"/>
        <d v="2020-11-04T00:00:00"/>
        <d v="2023-02-19T00:00:00"/>
        <d v="2021-01-08T00:00:00"/>
        <d v="2022-10-21T00:00:00"/>
        <d v="2020-09-19T00:00:00"/>
        <d v="2021-02-28T00:00:00"/>
        <d v="2024-06-03T00:00:00"/>
        <d v="2021-06-12T00:00:00"/>
        <d v="2022-10-08T00:00:00"/>
        <d v="2023-05-21T00:00:00"/>
        <d v="2021-11-12T00:00:00"/>
        <d v="2022-07-03T00:00:00"/>
        <d v="2022-09-09T00:00:00"/>
        <d v="2024-10-28T00:00:00"/>
        <d v="2023-11-12T00:00:00"/>
        <d v="2021-01-19T00:00:00"/>
        <d v="2022-04-28T00:00:00"/>
        <d v="2024-05-17T00:00:00"/>
        <d v="2022-11-24T00:00:00"/>
        <d v="2020-11-08T00:00:00"/>
        <d v="2023-12-26T00:00:00"/>
        <d v="2020-01-15T00:00:00"/>
        <d v="2021-06-05T00:00:00"/>
        <d v="2024-10-20T00:00:00"/>
        <d v="2023-09-28T00:00:00"/>
        <d v="2020-12-11T00:00:00"/>
        <d v="2021-01-12T00:00:00"/>
        <d v="2023-08-24T00:00:00"/>
        <d v="2023-12-19T00:00:00"/>
        <d v="2024-02-17T00:00:00"/>
        <d v="2022-07-14T00:00:00"/>
        <d v="2021-05-11T00:00:00"/>
        <d v="2020-05-09T00:00:00"/>
        <d v="2022-10-30T00:00:00"/>
        <d v="2020-01-18T00:00:00"/>
        <d v="2023-12-13T00:00:00"/>
        <d v="2024-05-05T00:00:00"/>
        <d v="2022-07-29T00:00:00"/>
        <d v="2020-01-07T00:00:00"/>
        <d v="2021-07-19T00:00:00"/>
        <d v="2021-08-27T00:00:00"/>
        <d v="2021-02-15T00:00:00"/>
        <d v="2024-05-24T00:00:00"/>
        <d v="2022-06-25T00:00:00"/>
        <d v="2024-03-08T00:00:00"/>
        <d v="2020-01-02T00:00:00"/>
        <d v="2023-08-08T00:00:00"/>
        <d v="2022-11-12T00:00:00"/>
        <d v="2021-01-15T00:00:00"/>
        <d v="2020-08-16T00:00:00"/>
        <d v="2024-07-14T00:00:00"/>
        <d v="2021-12-04T00:00:00"/>
        <d v="2024-04-10T00:00:00"/>
        <d v="2021-05-07T00:00:00"/>
        <d v="2023-01-23T00:00:00"/>
        <d v="2024-05-08T00:00:00"/>
        <d v="2020-07-19T00:00:00"/>
        <d v="2020-05-02T00:00:00"/>
        <d v="2020-02-01T00:00:00"/>
        <d v="2022-01-18T00:00:00"/>
        <d v="2023-02-21T00:00:00"/>
        <d v="2020-08-10T00:00:00"/>
        <d v="2022-10-27T00:00:00"/>
        <d v="2021-09-08T00:00:00"/>
        <d v="2024-09-09T00:00:00"/>
        <d v="2021-08-07T00:00:00"/>
        <d v="2021-06-04T00:00:00"/>
        <d v="2021-02-25T00:00:00"/>
        <d v="2022-03-05T00:00:00"/>
        <d v="2023-12-22T00:00:00"/>
        <d v="2022-07-23T00:00:00"/>
        <d v="2023-05-02T00:00:00"/>
        <d v="2020-07-28T00:00:00"/>
        <d v="2020-05-15T00:00:00"/>
        <d v="2021-11-26T00:00:00"/>
        <d v="2024-10-15T00:00:00"/>
        <d v="2023-11-21T00:00:00"/>
        <d v="2024-11-10T00:00:00"/>
        <d v="2020-05-13T00:00:00"/>
        <d v="2020-06-20T00:00:00"/>
        <d v="2021-03-10T00:00:00"/>
        <d v="2022-02-12T00:00:00"/>
        <d v="2020-10-07T00:00:00"/>
        <d v="2024-03-23T00:00:00"/>
        <d v="2022-12-05T00:00:00"/>
        <d v="2024-12-25T00:00:00"/>
        <d v="2024-01-17T00:00:00"/>
        <d v="2022-06-24T00:00:00"/>
        <d v="2020-03-01T00:00:00"/>
        <d v="2020-03-27T00:00:00"/>
        <d v="2020-11-26T00:00:00"/>
        <d v="2023-10-17T00:00:00"/>
        <d v="2021-09-04T00:00:00"/>
        <d v="2021-12-08T00:00:00"/>
        <d v="2022-09-20T00:00:00"/>
        <d v="2024-07-19T00:00:00"/>
        <d v="2022-12-13T00:00:00"/>
        <d v="2023-05-30T00:00:00"/>
        <d v="2022-10-19T00:00:00"/>
        <d v="2020-08-18T00:00:00"/>
        <d v="2022-09-27T00:00:00"/>
        <d v="2021-09-11T00:00:00"/>
        <d v="2022-12-08T00:00:00"/>
        <d v="2024-08-08T00:00:00"/>
        <d v="2022-11-22T00:00:00"/>
        <d v="2024-05-21T00:00:00"/>
        <d v="2024-07-24T00:00:00"/>
        <d v="2020-07-29T00:00:00"/>
        <d v="2022-03-19T00:00:00"/>
        <d v="2024-10-12T00:00:00"/>
        <d v="2024-10-30T00:00:00"/>
        <d v="2022-05-03T00:00:00"/>
        <d v="2022-12-07T00:00:00"/>
        <d v="2024-07-20T00:00:00"/>
        <d v="2023-10-24T00:00:00"/>
        <d v="2020-04-02T00:00:00"/>
        <d v="2024-06-20T00:00:00"/>
        <d v="2024-05-11T00:00:00"/>
        <d v="2024-03-29T00:00:00"/>
        <d v="2020-12-27T00:00:00"/>
        <d v="2022-02-18T00:00:00"/>
        <d v="2022-03-27T00:00:00"/>
        <d v="2021-06-24T00:00:00"/>
        <d v="2024-04-22T00:00:00"/>
        <d v="2022-03-10T00:00:00"/>
        <d v="2022-03-15T00:00:00"/>
        <d v="2021-01-13T00:00:00"/>
        <d v="2021-03-28T00:00:00"/>
        <d v="2022-12-03T00:00:00"/>
        <d v="2020-05-24T00:00:00"/>
        <d v="2023-01-28T00:00:00"/>
        <d v="2021-07-02T00:00:00"/>
        <d v="2024-10-29T00:00:00"/>
        <d v="2020-08-24T00:00:00"/>
        <d v="2022-06-28T00:00:00"/>
        <d v="2023-07-03T00:00:00"/>
        <d v="2021-07-24T00:00:00"/>
        <d v="2023-02-08T00:00:00"/>
        <d v="2024-11-13T00:00:00"/>
        <d v="2020-09-06T00:00:00"/>
        <d v="2022-12-26T00:00:00"/>
        <d v="2022-12-29T00:00:00"/>
        <d v="2021-10-13T00:00:00"/>
        <d v="2022-12-12T00:00:00"/>
        <d v="2023-09-14T00:00:00"/>
        <d v="2024-02-15T00:00:00"/>
        <d v="2024-11-26T00:00:00"/>
        <d v="2020-06-17T00:00:00"/>
        <d v="2021-10-06T00:00:00"/>
        <d v="2020-03-20T00:00:00"/>
        <d v="2021-12-28T00:00:00"/>
        <d v="2024-05-18T00:00:00"/>
        <d v="2020-09-03T00:00:00"/>
        <d v="2023-12-24T00:00:00"/>
        <d v="2023-02-04T00:00:00"/>
        <d v="2022-09-22T00:00:00"/>
        <d v="2020-11-25T00:00:00"/>
        <d v="2020-10-30T00:00:00"/>
        <d v="2023-02-03T00:00:00"/>
        <d v="2023-07-25T00:00:00"/>
        <d v="2024-02-27T00:00:00"/>
        <d v="2021-07-29T00:00:00"/>
        <d v="2021-06-10T00:00:00"/>
        <d v="2024-03-16T00:00:00"/>
        <d v="2023-10-08T00:00:00"/>
        <d v="2020-09-28T00:00:00"/>
        <d v="2022-02-09T00:00:00"/>
        <d v="2020-06-15T00:00:00"/>
        <d v="2022-05-28T00:00:00"/>
        <d v="2022-10-07T00:00:00"/>
        <d v="2021-01-07T00:00:00"/>
        <d v="2023-01-29T00:00:00"/>
        <d v="2021-01-23T00:00:00"/>
        <d v="2021-08-08T00:00:00"/>
        <d v="2024-06-17T00:00:00"/>
        <d v="2022-11-11T00:00:00"/>
        <d v="2024-12-19T00:00:00"/>
        <d v="2023-09-20T00:00:00"/>
        <d v="2023-08-21T00:00:00"/>
        <d v="2024-10-11T00:00:00"/>
        <d v="2024-09-03T00:00:00"/>
        <d v="2021-11-22T00:00:00"/>
        <d v="2022-07-30T00:00:00"/>
        <d v="2024-12-24T00:00:00"/>
        <d v="2021-01-11T00:00:00"/>
        <d v="2021-04-10T00:00:00"/>
        <d v="2022-10-22T00:00:00"/>
        <d v="2021-06-30T00:00:00"/>
        <d v="2020-05-11T00:00:00"/>
        <d v="2024-10-14T00:00:00"/>
        <d v="2021-02-03T00:00:00"/>
        <d v="2024-03-19T00:00:00"/>
        <d v="2021-03-22T00:00:00"/>
        <d v="2024-09-14T00:00:00"/>
        <d v="2022-04-27T00:00:00"/>
        <d v="2022-01-22T00:00:00"/>
        <d v="2021-11-18T00:00:00"/>
        <d v="2023-07-28T00:00:00"/>
        <d v="2024-03-27T00:00:00"/>
        <d v="2023-07-23T00:00:00"/>
        <d v="2024-09-27T00:00:00"/>
        <d v="2020-04-10T00:00:00"/>
        <d v="2023-08-28T00:00:00"/>
        <d v="2022-08-02T00:00:00"/>
        <d v="2021-10-26T00:00:00"/>
        <d v="2022-05-21T00:00:00"/>
        <d v="2021-10-03T00:00:00"/>
        <d v="2021-08-13T00:00:00"/>
        <d v="2022-11-05T00:00:00"/>
        <d v="2024-07-17T00:00:00"/>
        <d v="2022-09-24T00:00:00"/>
        <d v="2020-10-27T00:00:00"/>
        <d v="2020-03-23T00:00:00"/>
        <d v="2024-01-02T00:00:00"/>
        <d v="2023-04-06T00:00:00"/>
        <d v="2021-08-01T00:00:00"/>
        <d v="2022-02-22T00:00:00"/>
        <d v="2023-06-28T00:00:00"/>
        <d v="2021-01-14T00:00:00"/>
        <d v="2023-04-22T00:00:00"/>
        <d v="2020-07-26T00:00:00"/>
        <d v="2022-02-28T00:00:00"/>
        <d v="2020-02-18T00:00:00"/>
        <d v="2024-05-28T00:00:00"/>
        <d v="2020-10-19T00:00:00"/>
        <d v="2024-01-16T00:00:00"/>
        <d v="2020-03-29T00:00:00"/>
        <d v="2022-07-10T00:00:00"/>
        <d v="2020-11-10T00:00:00"/>
        <d v="2023-08-12T00:00:00"/>
        <d v="2021-10-17T00:00:00"/>
        <d v="2021-06-14T00:00:00"/>
        <d v="2021-10-18T00:00:00"/>
        <d v="2021-10-09T00:00:00"/>
        <d v="2023-02-12T00:00:00"/>
        <d v="2022-07-28T00:00:00"/>
        <d v="2022-02-07T00:00:00"/>
        <d v="2024-02-29T00:00:00"/>
        <d v="2023-03-20T00:00:00"/>
        <d v="2024-04-02T00:00:00"/>
        <d v="2022-08-19T00:00:00"/>
        <d v="2022-02-23T00:00:00"/>
        <d v="2020-05-14T00:00:00"/>
        <d v="2023-11-15T00:00:00"/>
        <d v="2024-02-03T00:00:00"/>
        <d v="2024-05-20T00:00:00"/>
        <d v="2021-02-21T00:00:00"/>
        <d v="2023-09-19T00:00:00"/>
        <d v="2020-12-22T00:00:00"/>
        <d v="2023-07-21T00:00:00"/>
        <d v="2021-12-07T00:00:00"/>
        <d v="2021-09-07T00:00:00"/>
        <d v="2022-08-27T00:00:00"/>
        <d v="2021-07-26T00:00:00"/>
        <d v="2022-08-08T00:00:00"/>
        <d v="2022-11-17T00:00:00"/>
        <d v="2020-11-23T00:00:00"/>
        <d v="2022-07-11T00:00:00"/>
        <d v="2022-01-02T00:00:00"/>
        <d v="2020-03-21T00:00:00"/>
        <d v="2022-01-20T00:00:00"/>
        <d v="2023-01-20T00:00:00"/>
        <d v="2021-08-31T00:00:00"/>
        <d v="2024-12-08T00:00:00"/>
        <d v="2023-01-08T00:00:00"/>
        <d v="2022-11-18T00:00:00"/>
        <d v="2022-04-20T00:00:00"/>
        <d v="2023-05-14T00:00:00"/>
        <d v="2024-02-23T00:00:00"/>
        <d v="2022-11-14T00:00:00"/>
        <d v="2023-06-05T00:00:00"/>
        <d v="2020-08-12T00:00:00"/>
        <d v="2022-01-10T00:00:00"/>
        <d v="2021-01-17T00:00:00"/>
        <d v="2020-09-30T00:00:00"/>
        <d v="2023-01-01T00:00:00"/>
        <d v="2023-06-12T00:00:00"/>
        <d v="2021-04-07T00:00:00"/>
        <d v="2024-03-03T00:00:00"/>
        <d v="2024-07-06T00:00:00"/>
        <d v="2022-07-16T00:00:00"/>
        <d v="2021-06-19T00:00:00"/>
        <d v="2023-11-14T00:00:00"/>
        <d v="2021-10-16T00:00:00"/>
        <d v="2020-02-25T00:00:00"/>
        <d v="2022-04-30T00:00:00"/>
        <d v="2023-09-16T00:00:00"/>
        <d v="2021-12-30T00:00:00"/>
        <d v="2022-07-01T00:00:00"/>
        <d v="2020-02-28T00:00:00"/>
        <d v="2020-06-06T00:00:00"/>
        <d v="2023-12-17T00:00:00"/>
        <d v="2023-10-02T00:00:00"/>
        <d v="2024-06-26T00:00:00"/>
        <d v="2024-02-10T00:00:00"/>
        <d v="2023-11-30T00:00:00"/>
        <d v="2021-10-20T00:00:00"/>
        <d v="2024-11-27T00:00:00"/>
        <d v="2021-11-04T00:00:00"/>
        <d v="2020-10-10T00:00:00"/>
        <d v="2024-12-26T00:00:00"/>
        <d v="2021-12-05T00:00:00"/>
        <d v="2021-05-13T00:00:00"/>
        <d v="2022-01-12T00:00:00"/>
        <d v="2023-09-18T00:00:00"/>
        <d v="2022-11-10T00:00:00"/>
        <d v="2021-12-21T00:00:00"/>
        <d v="2024-06-25T00:00:00"/>
        <d v="2022-03-07T00:00:00"/>
        <d v="2020-07-21T00:00:00"/>
        <d v="2022-05-17T00:00:00"/>
        <d v="2022-05-23T00:00:00"/>
        <d v="2020-11-12T00:00:00"/>
        <d v="2022-08-18T00:00:00"/>
        <d v="2024-02-18T00:00:00"/>
        <d v="2020-10-24T00:00:00"/>
        <d v="2023-07-14T00:00:00"/>
        <d v="2023-09-12T00:00:00"/>
        <d v="2024-05-10T00:00:00"/>
        <d v="2022-12-23T00:00:00"/>
        <d v="2023-01-07T00:00:00"/>
        <d v="2024-10-07T00:00:00"/>
        <d v="2021-06-16T00:00:00"/>
        <d v="2020-06-05T00:00:00"/>
        <d v="2021-08-02T00:00:00"/>
        <d v="2024-03-15T00:00:00"/>
        <d v="2021-08-14T00:00:00"/>
        <d v="2022-05-14T00:00:00"/>
        <d v="2021-02-09T00:00:00"/>
        <d v="2023-08-11T00:00:00"/>
        <d v="2020-10-17T00:00:00"/>
        <d v="2021-11-09T00:00:00"/>
        <d v="2022-04-19T00:00:00"/>
        <d v="2022-12-01T00:00:00"/>
        <d v="2022-03-31T00:00:00"/>
        <d v="2021-09-22T00:00:00"/>
        <d v="2020-09-29T00:00:00"/>
        <d v="2020-11-03T00:00:00"/>
        <d v="2021-06-01T00:00:00"/>
        <d v="2020-04-16T00:00:00"/>
        <d v="2022-08-24T00:00:00"/>
        <d v="2022-03-06T00:00:00"/>
        <d v="2023-03-04T00:00:00"/>
        <d v="2023-10-27T00:00:00"/>
        <d v="2021-02-26T00:00:00"/>
        <d v="2021-10-15T00:00:00"/>
        <d v="2021-03-06T00:00:00"/>
        <d v="2024-06-12T00:00:00"/>
        <d v="2024-09-24T00:00:00"/>
        <d v="2024-01-08T00:00:00"/>
        <d v="2024-09-19T00:00:00"/>
        <d v="2021-01-06T00:00:00"/>
        <d v="2021-11-10T00:00:00"/>
        <d v="2020-06-11T00:00:00"/>
        <d v="2024-06-02T00:00:00"/>
        <d v="2022-04-11T00:00:00"/>
        <d v="2024-04-15T00:00:00"/>
        <d v="2024-11-05T00:00:00"/>
        <d v="2023-11-24T00:00:00"/>
        <d v="2021-01-27T00:00:00"/>
        <d v="2022-01-31T00:00:00"/>
        <d v="2024-03-06T00:00:00"/>
        <d v="2024-09-01T00:00:00"/>
        <d v="2020-07-17T00:00:00"/>
        <d v="2024-09-17T00:00:00"/>
        <d v="2022-06-13T00:00:00"/>
        <d v="2020-04-15T00:00:00"/>
        <d v="2021-02-10T00:00:00"/>
        <d v="2021-03-19T00:00:00"/>
        <d v="2020-06-18T00:00:00"/>
        <d v="2024-09-26T00:00:00"/>
        <d v="2021-05-18T00:00:00"/>
        <d v="2023-07-02T00:00:00"/>
        <d v="2023-11-03T00:00:00"/>
        <d v="2020-04-08T00:00:00"/>
        <d v="2020-10-02T00:00:00"/>
        <d v="2021-04-30T00:00:00"/>
        <d v="2021-03-21T00:00:00"/>
        <d v="2024-04-03T00:00:00"/>
        <d v="2020-04-03T00:00:00"/>
        <d v="2021-04-12T00:00:00"/>
        <d v="2020-04-13T00:00:00"/>
        <d v="2023-12-08T00:00:00"/>
        <d v="2020-09-16T00:00:00"/>
        <d v="2021-05-26T00:00:00"/>
        <d v="2022-10-12T00:00:00"/>
        <d v="2020-12-04T00:00:00"/>
        <d v="2020-03-13T00:00:00"/>
        <d v="2024-03-05T00:00:00"/>
        <d v="2021-05-12T00:00:00"/>
        <d v="2023-04-12T00:00:00"/>
        <d v="2024-12-09T00:00:00"/>
        <d v="2021-06-06T00:00:00"/>
        <d v="2024-03-25T00:00:00"/>
        <d v="2020-05-06T00:00:00"/>
        <d v="2022-05-10T00:00:00"/>
        <d v="2020-07-25T00:00:00"/>
        <d v="2023-09-10T00:00:00"/>
        <d v="2023-06-25T00:00:00"/>
        <d v="2020-12-23T00:00:00"/>
        <d v="2022-01-27T00:00:00"/>
        <d v="2021-01-09T00:00:00"/>
        <d v="2021-03-27T00:00:00"/>
        <d v="2021-10-28T00:00:00"/>
        <d v="2020-03-25T00:00:00"/>
        <d v="2023-10-31T00:00:00"/>
        <d v="2024-10-21T00:00:00"/>
        <d v="2022-05-09T00:00:00"/>
        <d v="2023-02-24T00:00:00"/>
        <d v="2023-01-13T00:00:00"/>
        <d v="2022-03-01T00:00:00"/>
        <d v="2024-10-19T00:00:00"/>
        <d v="2020-01-24T00:00:00"/>
        <d v="2023-10-03T00:00:00"/>
        <d v="2022-10-25T00:00:00"/>
        <d v="2021-10-30T00:00:00"/>
        <d v="2024-06-09T00:00:00"/>
        <d v="2022-11-19T00:00:00"/>
        <d v="2020-09-04T00:00:00"/>
        <d v="2023-09-25T00:00:00"/>
        <d v="2024-02-25T00:00:00"/>
        <d v="2021-05-15T00:00:00"/>
        <d v="2021-07-18T00:00:00"/>
        <d v="2024-01-10T00:00:00"/>
        <d v="2024-09-06T00:00:00"/>
        <d v="2022-06-07T00:00:00"/>
        <d v="2023-03-03T00:00:00"/>
        <d v="2021-05-05T00:00:00"/>
        <d v="2024-04-29T00:00:00"/>
        <d v="2023-10-06T00:00:00"/>
        <d v="2021-07-20T00:00:00"/>
        <d v="2021-04-05T00:00:00"/>
        <d v="2020-09-20T00:00:00"/>
        <d v="2024-11-08T00:00:00"/>
        <d v="2024-05-09T00:00:00"/>
        <d v="2021-09-23T00:00:00"/>
        <d v="2022-06-12T00:00:00"/>
        <d v="2024-03-18T00:00:00"/>
        <d v="2024-06-05T00:00:00"/>
        <d v="2024-03-13T00:00:00"/>
        <d v="2021-12-22T00:00:00"/>
        <d v="2021-11-05T00:00:00"/>
        <d v="2023-06-14T00:00:00"/>
        <d v="2023-08-07T00:00:00"/>
        <d v="2021-07-30T00:00:00"/>
        <d v="2022-06-19T00:00:00"/>
        <d v="2022-05-27T00:00:00"/>
        <d v="2023-07-22T00:00:00"/>
        <d v="2024-10-31T00:00:00"/>
        <d v="2024-08-29T00:00:00"/>
        <d v="2020-03-31T00:00:00"/>
        <d v="2022-09-01T00:00:00"/>
        <d v="2021-04-13T00:00:00"/>
        <d v="2023-02-05T00:00:00"/>
        <d v="2021-10-29T00:00:00"/>
        <d v="2020-02-22T00:00:00"/>
        <d v="2020-04-21T00:00:00"/>
        <d v="2022-04-14T00:00:00"/>
        <d v="2023-09-22T00:00:00"/>
        <d v="2023-11-23T00:00:00"/>
        <d v="2022-04-08T00:00:00"/>
        <d v="2021-03-18T00:00:00"/>
        <d v="2020-03-08T00:00:00"/>
        <d v="2020-12-05T00:00:00"/>
        <d v="2020-03-02T00:00:00"/>
        <d v="2024-02-28T00:00:00"/>
        <d v="2023-04-04T00:00:00"/>
        <d v="2022-04-03T00:00:00"/>
        <d v="2023-11-11T00:00:00"/>
        <d v="2021-08-23T00:00:00"/>
        <d v="2024-02-07T00:00:00"/>
        <d v="2020-11-11T00:00:00"/>
        <d v="2020-08-06T00:00:00"/>
        <d v="2021-08-30T00:00:00"/>
        <d v="2023-03-21T00:00:00"/>
        <d v="2020-05-29T00:00:00"/>
        <d v="2020-08-15T00:00:00"/>
        <d v="2023-06-29T00:00:00"/>
        <d v="2023-04-23T00:00:00"/>
        <d v="2024-07-27T00:00:00"/>
        <d v="2021-06-17T00:00:00"/>
        <d v="2024-04-08T00:00:00"/>
        <d v="2023-07-05T00:00:00"/>
        <d v="2024-07-05T00:00:00"/>
        <d v="2022-06-11T00:00:00"/>
        <d v="2022-07-15T00:00:00"/>
        <d v="2023-12-09T00:00:00"/>
        <d v="2024-03-07T00:00:00"/>
        <d v="2021-04-08T00:00:00"/>
        <d v="2020-07-27T00:00:00"/>
        <d v="2021-04-28T00:00:00"/>
        <d v="2022-01-03T00:00:00"/>
        <d v="2022-10-20T00:00:00"/>
        <d v="2024-04-25T00:00:00"/>
        <d v="2024-12-23T00:00:00"/>
        <d v="2023-04-27T00:00:00"/>
        <d v="2020-11-21T00:00:00"/>
        <d v="2021-02-13T00:00:00"/>
        <d v="2024-09-18T00:00:00"/>
        <d v="2024-03-24T00:00:00"/>
        <d v="2024-06-08T00:00:00"/>
        <d v="2023-02-25T00:00:00"/>
        <d v="2022-12-02T00:00:00"/>
        <d v="2021-12-12T00:00:00"/>
        <d v="2021-11-13T00:00:00"/>
        <d v="2024-10-02T00:00:00"/>
        <d v="2020-10-05T00:00:00"/>
        <d v="2023-02-11T00:00:00"/>
        <d v="2024-06-29T00:00:00"/>
        <d v="2022-07-20T00:00:00"/>
        <d v="2023-03-08T00:00:00"/>
        <d v="2023-05-10T00:00:00"/>
        <d v="2024-08-02T00:00:00"/>
        <d v="2021-08-04T00:00:00"/>
        <d v="2022-11-16T00:00:00"/>
        <d v="2020-09-01T00:00:00"/>
        <d v="2024-12-05T00:00:00"/>
        <d v="2021-09-27T00:00:00"/>
        <d v="2023-01-05T00:00:00"/>
        <d v="2024-04-13T00:00:00"/>
        <d v="2024-02-16T00:00:00"/>
        <d v="2021-05-22T00:00:00"/>
        <d v="2024-11-28T00:00:00"/>
        <d v="2021-07-08T00:00:00"/>
        <d v="2021-07-25T00:00:00"/>
        <d v="2023-10-25T00:00:00"/>
        <d v="2020-04-17T00:00:00"/>
        <d v="2023-01-24T00:00:00"/>
        <d v="2023-09-21T00:00:00"/>
        <d v="2020-07-04T00:00:00"/>
        <d v="2023-07-13T00:00:00"/>
        <d v="2022-04-13T00:00:00"/>
        <d v="2022-11-03T00:00:00"/>
        <d v="2020-05-18T00:00:00"/>
        <d v="2024-07-16T00:00:00"/>
        <d v="2024-04-12T00:00:00"/>
        <d v="2020-10-08T00:00:00"/>
        <d v="2020-12-16T00:00:00"/>
        <d v="2022-02-11T00:00:00"/>
      </sharedItems>
      <fieldGroup par="25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-7" maxValue="999"/>
    </cacheField>
    <cacheField name="gender" numFmtId="0">
      <sharedItems/>
    </cacheField>
    <cacheField name="region" numFmtId="0">
      <sharedItems count="5">
        <s v="Central"/>
        <s v="West"/>
        <s v="North"/>
        <s v="East"/>
        <s v="South"/>
      </sharedItems>
    </cacheField>
    <cacheField name="city" numFmtId="0">
      <sharedItems/>
    </cacheField>
    <cacheField name="product_category" numFmtId="0">
      <sharedItems count="7">
        <s v="Groceries"/>
        <s v="Beauty"/>
        <s v="Furniture"/>
        <s v="Books"/>
        <s v="Clothing"/>
        <s v="Electronics"/>
        <s v="Sport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0" maxValue="999"/>
    </cacheField>
    <cacheField name="unit_price" numFmtId="167">
      <sharedItems containsSemiMixedTypes="0" containsString="0" containsNumber="1" minValue="50.26" maxValue="79957.919999999998"/>
    </cacheField>
    <cacheField name="discount_pct" numFmtId="10">
      <sharedItems containsSemiMixedTypes="0" containsString="0" containsNumber="1" minValue="0" maxValue="0.4"/>
    </cacheField>
    <cacheField name="sales_amount" numFmtId="167">
      <sharedItems containsSemiMixedTypes="0" containsString="0" containsNumber="1" minValue="39.450000000000003" maxValue="17360314.170000002"/>
    </cacheField>
    <cacheField name="profit" numFmtId="167">
      <sharedItems containsSemiMixedTypes="0" containsString="0" containsNumber="1" minValue="1.56" maxValue="2445648.4300000002"/>
    </cacheField>
    <cacheField name="shipping_cost" numFmtId="167">
      <sharedItems containsSemiMixedTypes="0" containsString="0" containsNumber="1" minValue="-4.29" maxValue="133.35"/>
    </cacheField>
    <cacheField name="payment_method" numFmtId="0">
      <sharedItems/>
    </cacheField>
    <cacheField name="customer_satisfaction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return_flag" numFmtId="0">
      <sharedItems/>
    </cacheField>
    <cacheField name="order_status" numFmtId="0">
      <sharedItems count="5">
        <s v="Returned"/>
        <s v="Delivered"/>
        <s v="Pending"/>
        <s v="Cancelled"/>
        <s v="Shipped"/>
      </sharedItems>
    </cacheField>
    <cacheField name="days_to_ship" numFmtId="0">
      <sharedItems containsSemiMixedTypes="0" containsString="0" containsNumber="1" containsInteger="1" minValue="0" maxValue="100"/>
    </cacheField>
    <cacheField name="order_date2" numFmtId="0" databaseField="0">
      <fieldGroup base="1">
        <discretePr count="1592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  <cacheField name="Months (order_month)" numFmtId="0" databaseField="0">
      <fieldGroup base="2">
        <rangePr groupBy="months" startDate="2020-01-01T00:00:00" endDate="2024-12-3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rder_month)" numFmtId="0" databaseField="0">
      <fieldGroup base="2">
        <rangePr groupBy="quarters" startDate="2020-01-01T00:00:00" endDate="2024-12-31T00:00:00"/>
        <groupItems count="6">
          <s v="&lt;01-01-2020"/>
          <s v="Qtr1"/>
          <s v="Qtr2"/>
          <s v="Qtr3"/>
          <s v="Qtr4"/>
          <s v="&gt;31-12-2024"/>
        </groupItems>
      </fieldGroup>
    </cacheField>
    <cacheField name="Years (order_month)" numFmtId="0" databaseField="0">
      <fieldGroup base="2">
        <rangePr groupBy="years" startDate="2020-01-01T00:00:00" endDate="2024-12-31T00:00:00"/>
        <groupItems count="7">
          <s v="&lt;01-01-2020"/>
          <s v="2020"/>
          <s v="2021"/>
          <s v="2022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ORD-03903"/>
    <x v="0"/>
    <x v="0"/>
    <s v="CUST32603"/>
    <s v="Aarav Mehta"/>
    <n v="39"/>
    <s v="Other"/>
    <x v="0"/>
    <s v="Raipur"/>
    <x v="0"/>
    <s v="Sugar"/>
    <n v="8"/>
    <n v="346.32"/>
    <n v="0.21"/>
    <n v="4043.14"/>
    <n v="289.18"/>
    <n v="56.04"/>
    <s v="Debit Card"/>
    <x v="0"/>
    <b v="1"/>
    <x v="0"/>
    <n v="7"/>
  </r>
  <r>
    <s v="ORD-02198"/>
    <x v="1"/>
    <x v="1"/>
    <s v="CUST07881"/>
    <s v="Sanjay Verma"/>
    <n v="28"/>
    <s v="Male"/>
    <x v="1"/>
    <s v="Mumbai"/>
    <x v="1"/>
    <s v="Sunscreen"/>
    <n v="8"/>
    <n v="858.66"/>
    <n v="0.08"/>
    <n v="9147.31"/>
    <n v="5355.56"/>
    <n v="64.489999999999995"/>
    <s v="Debit Card"/>
    <x v="1"/>
    <b v="0"/>
    <x v="1"/>
    <n v="2"/>
  </r>
  <r>
    <s v="ORD-01348"/>
    <x v="2"/>
    <x v="2"/>
    <s v="CUST49296"/>
    <s v="Pooja Sharma"/>
    <n v="41"/>
    <s v="Other"/>
    <x v="1"/>
    <s v="Surat"/>
    <x v="2"/>
    <s v="Sofa"/>
    <n v="4"/>
    <n v="25941.32"/>
    <n v="0.14000000000000001"/>
    <n v="110156.97"/>
    <n v="36956.51"/>
    <n v="67.650000000000006"/>
    <s v="Debit Card"/>
    <x v="2"/>
    <b v="0"/>
    <x v="1"/>
    <n v="5"/>
  </r>
  <r>
    <s v="ORD-02076"/>
    <x v="3"/>
    <x v="3"/>
    <s v="CUST05587"/>
    <s v="Priya Reddy"/>
    <n v="29"/>
    <s v="Other"/>
    <x v="1"/>
    <s v="Ahmedabad"/>
    <x v="2"/>
    <s v="Bed Frame"/>
    <n v="9"/>
    <n v="22071.919999999998"/>
    <n v="0.17"/>
    <n v="262066.11"/>
    <n v="66644.990000000005"/>
    <n v="54.47"/>
    <s v="EMI"/>
    <x v="0"/>
    <b v="0"/>
    <x v="1"/>
    <n v="4"/>
  </r>
  <r>
    <s v="ORD-00287"/>
    <x v="4"/>
    <x v="4"/>
    <s v="CUST58035"/>
    <s v="Ritu Sharma"/>
    <n v="9"/>
    <s v="Male"/>
    <x v="0"/>
    <s v="Nagpur"/>
    <x v="0"/>
    <s v="Cooking Oil"/>
    <n v="1"/>
    <n v="320.06"/>
    <n v="0.31"/>
    <n v="323.95"/>
    <n v="31.38"/>
    <n v="48.81"/>
    <s v="Net Banking"/>
    <x v="2"/>
    <b v="0"/>
    <x v="2"/>
    <n v="4"/>
  </r>
  <r>
    <s v="ORD-03954"/>
    <x v="5"/>
    <x v="5"/>
    <s v="CUST17187"/>
    <s v="Vikram Iyer"/>
    <n v="29"/>
    <s v="Male"/>
    <x v="1"/>
    <s v="Surat"/>
    <x v="3"/>
    <s v="Self-Help Book"/>
    <n v="2"/>
    <n v="949.5"/>
    <n v="0.22"/>
    <n v="2202.33"/>
    <n v="964.66"/>
    <n v="62.42"/>
    <s v="Cash on Delivery"/>
    <x v="3"/>
    <b v="1"/>
    <x v="0"/>
    <n v="8"/>
  </r>
  <r>
    <s v="ORD-01412"/>
    <x v="6"/>
    <x v="6"/>
    <s v="CUST02453"/>
    <s v="Arjun Shah"/>
    <n v="31"/>
    <s v="Female"/>
    <x v="0"/>
    <s v="Bhopal"/>
    <x v="3"/>
    <s v="Self-Help Book"/>
    <n v="3"/>
    <n v="329.03"/>
    <n v="0.02"/>
    <n v="994.87"/>
    <n v="375.07"/>
    <n v="77.34"/>
    <s v="Credit Card"/>
    <x v="1"/>
    <b v="1"/>
    <x v="0"/>
    <n v="10"/>
  </r>
  <r>
    <s v="ORD-02911"/>
    <x v="7"/>
    <x v="7"/>
    <s v="CUST23285"/>
    <s v="Aditya Sharma"/>
    <n v="43"/>
    <s v="Female"/>
    <x v="2"/>
    <s v="Amritsar"/>
    <x v="4"/>
    <s v="Saree"/>
    <n v="1"/>
    <n v="1356.6"/>
    <n v="0.01"/>
    <n v="2140.41"/>
    <n v="717.27"/>
    <n v="82.68"/>
    <s v="UPI"/>
    <x v="4"/>
    <b v="0"/>
    <x v="1"/>
    <n v="4"/>
  </r>
  <r>
    <s v="ORD-00465"/>
    <x v="8"/>
    <x v="8"/>
    <s v="CUST23609"/>
    <s v="Aditya Patel"/>
    <n v="44"/>
    <s v="Female"/>
    <x v="3"/>
    <s v="Patna"/>
    <x v="3"/>
    <s v="Self-Help Book"/>
    <n v="8"/>
    <n v="495.77"/>
    <n v="0.37"/>
    <n v="2828.82"/>
    <n v="1338.88"/>
    <n v="84.5"/>
    <s v="Debit Card"/>
    <x v="4"/>
    <b v="0"/>
    <x v="3"/>
    <n v="10"/>
  </r>
  <r>
    <s v="ORD-00105"/>
    <x v="9"/>
    <x v="9"/>
    <s v="CUST75337"/>
    <s v="Arjun Das"/>
    <n v="17"/>
    <s v="Female"/>
    <x v="3"/>
    <s v="Patna"/>
    <x v="4"/>
    <s v="Kurta"/>
    <n v="9"/>
    <n v="2128.77"/>
    <n v="0.1"/>
    <n v="14568.16"/>
    <n v="4173.45"/>
    <n v="75.33"/>
    <s v="UPI"/>
    <x v="0"/>
    <b v="0"/>
    <x v="1"/>
    <n v="8"/>
  </r>
  <r>
    <s v="ORD-00362"/>
    <x v="10"/>
    <x v="10"/>
    <s v="CUST80340"/>
    <s v="Meera Mishra"/>
    <n v="51"/>
    <s v="Other"/>
    <x v="0"/>
    <s v="Raipur"/>
    <x v="2"/>
    <s v="Wardrobe"/>
    <n v="3"/>
    <n v="24460.799999999999"/>
    <n v="0.15"/>
    <n v="86997.39"/>
    <n v="14762.22"/>
    <n v="60.11"/>
    <s v="UPI"/>
    <x v="4"/>
    <b v="0"/>
    <x v="1"/>
    <n v="8"/>
  </r>
  <r>
    <s v="ORD-01701"/>
    <x v="11"/>
    <x v="11"/>
    <s v="CUST47772"/>
    <s v="Shreya Bose"/>
    <n v="14"/>
    <s v="Female"/>
    <x v="1"/>
    <s v="Ahmedabad"/>
    <x v="0"/>
    <s v="Dal (1kg)"/>
    <n v="2"/>
    <n v="274.81"/>
    <n v="0.15"/>
    <n v="379.5"/>
    <n v="24.26"/>
    <n v="46.69"/>
    <s v="EMI"/>
    <x v="2"/>
    <b v="0"/>
    <x v="1"/>
    <n v="4"/>
  </r>
  <r>
    <s v="ORD-02270"/>
    <x v="12"/>
    <x v="12"/>
    <s v="CUST31062"/>
    <s v="Vikram Pillai"/>
    <n v="15"/>
    <s v="Other"/>
    <x v="2"/>
    <s v="Ludhiana"/>
    <x v="1"/>
    <s v="Lipstick"/>
    <n v="7"/>
    <n v="111.14"/>
    <n v="0.37"/>
    <n v="567.33000000000004"/>
    <n v="305.64999999999998"/>
    <n v="44.94"/>
    <s v="Net Banking"/>
    <x v="2"/>
    <b v="0"/>
    <x v="1"/>
    <n v="9"/>
  </r>
  <r>
    <s v="ORD-03417"/>
    <x v="13"/>
    <x v="13"/>
    <s v="CUST83946"/>
    <s v="Karan Bose"/>
    <n v="29"/>
    <s v="Female"/>
    <x v="1"/>
    <s v="Pune"/>
    <x v="3"/>
    <s v="Cook Book"/>
    <n v="10"/>
    <n v="1492.28"/>
    <n v="0.38"/>
    <n v="9315.19"/>
    <n v="4336.3100000000004"/>
    <n v="66.67"/>
    <s v="Debit Card"/>
    <x v="0"/>
    <b v="1"/>
    <x v="0"/>
    <n v="3"/>
  </r>
  <r>
    <s v="ORD-02532"/>
    <x v="14"/>
    <x v="14"/>
    <s v="CUST73360"/>
    <s v="Deepa Joshi"/>
    <n v="53"/>
    <s v="Male"/>
    <x v="4"/>
    <s v="Kochi"/>
    <x v="4"/>
    <s v="T-Shirt"/>
    <n v="9"/>
    <n v="590.14"/>
    <n v="0.21"/>
    <n v="4824.04"/>
    <n v="2277.4"/>
    <n v="79.19"/>
    <s v="EMI"/>
    <x v="4"/>
    <b v="0"/>
    <x v="1"/>
    <n v="4"/>
  </r>
  <r>
    <s v="ORD-03524"/>
    <x v="15"/>
    <x v="15"/>
    <s v="CUST50623"/>
    <s v="Deepa Mehta"/>
    <n v="30"/>
    <s v="Female"/>
    <x v="4"/>
    <s v="Kochi"/>
    <x v="2"/>
    <s v="Chair"/>
    <n v="10"/>
    <n v="12138.87"/>
    <n v="0.15"/>
    <n v="144295.18"/>
    <n v="50995.28"/>
    <n v="49.93"/>
    <s v="EMI"/>
    <x v="0"/>
    <b v="0"/>
    <x v="1"/>
    <n v="1"/>
  </r>
  <r>
    <s v="ORD-01814"/>
    <x v="16"/>
    <x v="16"/>
    <s v="CUST08792"/>
    <s v="Rahul Gupta"/>
    <n v="26"/>
    <s v="Male"/>
    <x v="4"/>
    <s v="Bangalore"/>
    <x v="4"/>
    <s v="Dress"/>
    <n v="10"/>
    <n v="1706.05"/>
    <n v="0.04"/>
    <n v="17995.41"/>
    <n v="6453.4"/>
    <n v="89.15"/>
    <s v="UPI"/>
    <x v="1"/>
    <b v="0"/>
    <x v="1"/>
    <n v="4"/>
  </r>
  <r>
    <s v="ORD-03257"/>
    <x v="17"/>
    <x v="17"/>
    <s v="CUST88256"/>
    <s v="Shreya Singh"/>
    <n v="15"/>
    <s v="Male"/>
    <x v="3"/>
    <s v="Guwahati"/>
    <x v="5"/>
    <s v="Tablet"/>
    <n v="8"/>
    <n v="73558.44"/>
    <n v="0.4"/>
    <n v="315130.44"/>
    <n v="53808.65"/>
    <n v="82.71"/>
    <s v="UPI"/>
    <x v="0"/>
    <b v="0"/>
    <x v="1"/>
    <n v="6"/>
  </r>
  <r>
    <s v="ORD-04171"/>
    <x v="18"/>
    <x v="18"/>
    <s v="CUST15084"/>
    <s v="Nikhil Mishra"/>
    <n v="43"/>
    <s v="Male"/>
    <x v="4"/>
    <s v="Kochi"/>
    <x v="4"/>
    <s v="Jacket"/>
    <n v="5"/>
    <n v="3006.52"/>
    <n v="0.12"/>
    <n v="10622.32"/>
    <n v="4837.79"/>
    <n v="75.97"/>
    <s v="Credit Card"/>
    <x v="4"/>
    <b v="0"/>
    <x v="1"/>
    <n v="5"/>
  </r>
  <r>
    <s v="ORD-00049"/>
    <x v="19"/>
    <x v="19"/>
    <s v="CUST43401"/>
    <s v="Sanjay Bose"/>
    <n v="21"/>
    <s v="Other"/>
    <x v="2"/>
    <s v="Delhi"/>
    <x v="2"/>
    <s v="Sofa"/>
    <n v="3"/>
    <n v="34890.629999999997"/>
    <n v="0.28999999999999998"/>
    <n v="64727.53"/>
    <n v="18067.63"/>
    <n v="40.97"/>
    <s v="Net Banking"/>
    <x v="1"/>
    <b v="0"/>
    <x v="4"/>
    <n v="3"/>
  </r>
  <r>
    <s v="ORD-01978"/>
    <x v="20"/>
    <x v="20"/>
    <s v="CUST43165"/>
    <s v="Kavya Kumar"/>
    <n v="15"/>
    <s v="Other"/>
    <x v="4"/>
    <s v="Chennai"/>
    <x v="5"/>
    <s v="Headphones"/>
    <n v="7"/>
    <n v="48577.53"/>
    <n v="7.0000000000000007E-2"/>
    <n v="483408.08"/>
    <n v="36816.910000000003"/>
    <n v="57.45"/>
    <s v="EMI"/>
    <x v="3"/>
    <b v="0"/>
    <x v="1"/>
    <n v="4"/>
  </r>
  <r>
    <s v="ORD-00968"/>
    <x v="21"/>
    <x v="21"/>
    <s v="CUST41573"/>
    <s v="Sanjay Mishra"/>
    <n v="35"/>
    <s v="Female"/>
    <x v="4"/>
    <s v="Kochi"/>
    <x v="6"/>
    <s v="Dumbbells"/>
    <n v="8"/>
    <n v="7643.4"/>
    <n v="0.09"/>
    <n v="61783.199999999997"/>
    <n v="10099.620000000001"/>
    <n v="65.760000000000005"/>
    <s v="Credit Card"/>
    <x v="0"/>
    <b v="0"/>
    <x v="1"/>
    <n v="8"/>
  </r>
  <r>
    <s v="ORD-02727"/>
    <x v="22"/>
    <x v="22"/>
    <s v="CUST68233"/>
    <s v="Rahul Joshi"/>
    <n v="22"/>
    <s v="Female"/>
    <x v="0"/>
    <s v="Nagpur"/>
    <x v="3"/>
    <s v="Comic Book"/>
    <n v="6"/>
    <n v="1467.54"/>
    <n v="0.28999999999999998"/>
    <n v="7477.88"/>
    <n v="3606.99"/>
    <n v="50.88"/>
    <s v="UPI"/>
    <x v="0"/>
    <b v="0"/>
    <x v="1"/>
    <n v="4"/>
  </r>
  <r>
    <s v="ORD-02986"/>
    <x v="23"/>
    <x v="23"/>
    <s v="CUST62795"/>
    <s v="Arjun Chatterjee"/>
    <n v="30"/>
    <s v="Male"/>
    <x v="4"/>
    <s v="Bangalore"/>
    <x v="3"/>
    <s v="Self-Help Book"/>
    <n v="5"/>
    <n v="478.05"/>
    <n v="0.02"/>
    <n v="621.35"/>
    <n v="290.89999999999998"/>
    <n v="63.7"/>
    <s v="Cash on Delivery"/>
    <x v="3"/>
    <b v="0"/>
    <x v="1"/>
    <n v="7"/>
  </r>
  <r>
    <s v="ORD-04158"/>
    <x v="24"/>
    <x v="24"/>
    <s v="CUST75042"/>
    <s v="Pooja Verma"/>
    <n v="44"/>
    <s v="Female"/>
    <x v="0"/>
    <s v="Nagpur"/>
    <x v="3"/>
    <s v="Self-Help Book"/>
    <n v="7"/>
    <n v="612.70000000000005"/>
    <n v="0.22"/>
    <n v="3224.82"/>
    <n v="991.03"/>
    <n v="55.8"/>
    <s v="Credit Card"/>
    <x v="1"/>
    <b v="0"/>
    <x v="1"/>
    <n v="4"/>
  </r>
  <r>
    <s v="ORD-03913"/>
    <x v="25"/>
    <x v="25"/>
    <s v="CUST83779"/>
    <s v="Nikhil Bhat"/>
    <n v="31"/>
    <s v="Other"/>
    <x v="1"/>
    <s v="Surat"/>
    <x v="6"/>
    <s v="Football"/>
    <n v="9"/>
    <n v="3000.32"/>
    <n v="0.21"/>
    <n v="29267.25"/>
    <n v="6330.95"/>
    <n v="68.5"/>
    <s v="UPI"/>
    <x v="2"/>
    <b v="0"/>
    <x v="1"/>
    <n v="9"/>
  </r>
  <r>
    <s v="ORD-01473"/>
    <x v="26"/>
    <x v="26"/>
    <s v="CUST33809"/>
    <s v="Sanjay Reddy"/>
    <n v="31"/>
    <s v="Other"/>
    <x v="1"/>
    <s v="Surat"/>
    <x v="0"/>
    <s v="Cooking Oil"/>
    <n v="2"/>
    <n v="233.12"/>
    <n v="0.28000000000000003"/>
    <n v="322.86"/>
    <n v="21.37"/>
    <n v="57.3"/>
    <s v="Cash on Delivery"/>
    <x v="0"/>
    <b v="0"/>
    <x v="1"/>
    <n v="7"/>
  </r>
  <r>
    <s v="ORD-03795"/>
    <x v="27"/>
    <x v="27"/>
    <s v="CUST28954"/>
    <s v="Nikhil Bose"/>
    <n v="35"/>
    <s v="Female"/>
    <x v="0"/>
    <s v="Bhopal"/>
    <x v="4"/>
    <s v="T-Shirt"/>
    <n v="2"/>
    <n v="735.25"/>
    <n v="0.03"/>
    <n v="2477.7199999999998"/>
    <n v="795.65"/>
    <n v="74.95"/>
    <s v="UPI"/>
    <x v="1"/>
    <b v="0"/>
    <x v="1"/>
    <n v="8"/>
  </r>
  <r>
    <s v="ORD-01275"/>
    <x v="28"/>
    <x v="28"/>
    <s v="CUST94413"/>
    <s v="Rahul Gupta"/>
    <n v="35"/>
    <s v="Male"/>
    <x v="0"/>
    <s v="Indore"/>
    <x v="5"/>
    <s v="Laptop"/>
    <n v="9"/>
    <n v="63147.82"/>
    <n v="0.14000000000000001"/>
    <n v="671607.78"/>
    <n v="86070.79"/>
    <n v="60.5"/>
    <s v="Cash on Delivery"/>
    <x v="2"/>
    <b v="1"/>
    <x v="0"/>
    <n v="3"/>
  </r>
  <r>
    <s v="ORD-00412"/>
    <x v="29"/>
    <x v="29"/>
    <s v="CUST88814"/>
    <s v="Rahul Kapoor"/>
    <n v="51"/>
    <s v="Other"/>
    <x v="1"/>
    <s v="Ahmedabad"/>
    <x v="3"/>
    <s v="Comic Book"/>
    <n v="8"/>
    <n v="635.66"/>
    <n v="0.34"/>
    <n v="3704.84"/>
    <n v="1269.07"/>
    <n v="67.010000000000005"/>
    <s v="Cash on Delivery"/>
    <x v="4"/>
    <b v="0"/>
    <x v="1"/>
    <n v="3"/>
  </r>
  <r>
    <s v="ORD-01848"/>
    <x v="30"/>
    <x v="30"/>
    <s v="CUST43339"/>
    <s v="Arjun Pillai"/>
    <n v="28"/>
    <s v="Male"/>
    <x v="4"/>
    <s v="Kochi"/>
    <x v="6"/>
    <s v="Cricket Bat"/>
    <n v="7"/>
    <n v="6478.95"/>
    <n v="0.22"/>
    <n v="43346.6"/>
    <n v="8443.99"/>
    <n v="69.59"/>
    <s v="EMI"/>
    <x v="4"/>
    <b v="0"/>
    <x v="1"/>
    <n v="2"/>
  </r>
  <r>
    <s v="ORD-02684"/>
    <x v="31"/>
    <x v="31"/>
    <s v="CUST32875"/>
    <s v="Kavya Patel"/>
    <n v="41"/>
    <s v="Male"/>
    <x v="4"/>
    <s v="Kochi"/>
    <x v="1"/>
    <s v="Hair Oil"/>
    <n v="3"/>
    <n v="1290.21"/>
    <n v="0.12"/>
    <n v="3690.09"/>
    <n v="1777.76"/>
    <n v="64.97"/>
    <s v="Cash on Delivery"/>
    <x v="0"/>
    <b v="0"/>
    <x v="1"/>
    <n v="5"/>
  </r>
  <r>
    <s v="ORD-00936"/>
    <x v="32"/>
    <x v="32"/>
    <s v="CUST82575"/>
    <s v="Kavya Pillai"/>
    <n v="29"/>
    <s v="Female"/>
    <x v="0"/>
    <s v="Nagpur"/>
    <x v="2"/>
    <s v="Bookshelf"/>
    <n v="1"/>
    <n v="33537.06"/>
    <n v="0.25"/>
    <n v="24565.06"/>
    <n v="5814.79"/>
    <n v="56.47"/>
    <s v="Debit Card"/>
    <x v="2"/>
    <b v="0"/>
    <x v="1"/>
    <n v="2"/>
  </r>
  <r>
    <s v="ORD-03422"/>
    <x v="33"/>
    <x v="33"/>
    <s v="CUST58923"/>
    <s v="Deepa Pillai"/>
    <n v="20"/>
    <s v="Male"/>
    <x v="3"/>
    <s v="Guwahati"/>
    <x v="5"/>
    <s v="Headphones"/>
    <n v="3"/>
    <n v="64874.09"/>
    <n v="0.02"/>
    <n v="177754.39"/>
    <n v="20320.939999999999"/>
    <n v="79.56"/>
    <s v="UPI"/>
    <x v="4"/>
    <b v="0"/>
    <x v="1"/>
    <n v="7"/>
  </r>
  <r>
    <s v="ORD-01505"/>
    <x v="34"/>
    <x v="34"/>
    <s v="CUST41623"/>
    <s v="Vikram Pillai"/>
    <n v="65"/>
    <s v="Other"/>
    <x v="2"/>
    <s v="Chandigarh"/>
    <x v="3"/>
    <s v="Comic Book"/>
    <n v="4"/>
    <n v="1350.95"/>
    <n v="0.21"/>
    <n v="3635.51"/>
    <n v="1854.28"/>
    <n v="44.83"/>
    <s v="Credit Card"/>
    <x v="0"/>
    <b v="0"/>
    <x v="1"/>
    <n v="2"/>
  </r>
  <r>
    <s v="ORD-04045"/>
    <x v="35"/>
    <x v="35"/>
    <s v="CUST10094"/>
    <s v="Rahul Sharma"/>
    <n v="26"/>
    <s v="Other"/>
    <x v="2"/>
    <s v="Amritsar"/>
    <x v="5"/>
    <s v="Camera"/>
    <n v="3"/>
    <n v="68799.42"/>
    <n v="7.0000000000000007E-2"/>
    <n v="232621.97"/>
    <n v="36091.769999999997"/>
    <n v="48.01"/>
    <s v="UPI"/>
    <x v="4"/>
    <b v="0"/>
    <x v="1"/>
    <n v="7"/>
  </r>
  <r>
    <s v="ORD-02565"/>
    <x v="36"/>
    <x v="36"/>
    <s v="CUST71120"/>
    <s v="Ritu Nair"/>
    <n v="35"/>
    <s v="Male"/>
    <x v="2"/>
    <s v="Amritsar"/>
    <x v="2"/>
    <s v="Sofa"/>
    <n v="3"/>
    <n v="31242.32"/>
    <n v="0.01"/>
    <n v="92924.36"/>
    <n v="27403.47"/>
    <n v="52.73"/>
    <s v="Debit Card"/>
    <x v="0"/>
    <b v="1"/>
    <x v="0"/>
    <n v="4"/>
  </r>
  <r>
    <s v="ORD-02031"/>
    <x v="37"/>
    <x v="37"/>
    <s v="CUST13864"/>
    <s v="Amit Kumar"/>
    <n v="30"/>
    <s v="Other"/>
    <x v="0"/>
    <s v="Bhopal"/>
    <x v="3"/>
    <s v="Comic Book"/>
    <n v="5"/>
    <n v="1431.29"/>
    <n v="0.04"/>
    <n v="1929.4"/>
    <n v="819.7"/>
    <n v="70.38"/>
    <s v="Credit Card"/>
    <x v="1"/>
    <b v="1"/>
    <x v="0"/>
    <n v="8"/>
  </r>
  <r>
    <s v="ORD-03773"/>
    <x v="38"/>
    <x v="38"/>
    <s v="CUST34644"/>
    <s v="Ananya Patel"/>
    <n v="27"/>
    <s v="Male"/>
    <x v="4"/>
    <s v="Bangalore"/>
    <x v="4"/>
    <s v="Jeans"/>
    <n v="3"/>
    <n v="1621.83"/>
    <n v="0.4"/>
    <n v="4851.55"/>
    <n v="1799.06"/>
    <n v="67.23"/>
    <s v="Credit Card"/>
    <x v="3"/>
    <b v="0"/>
    <x v="1"/>
    <n v="4"/>
  </r>
  <r>
    <s v="ORD-00025"/>
    <x v="39"/>
    <x v="39"/>
    <s v="CUST91373"/>
    <s v="Karan Iyer"/>
    <n v="52"/>
    <s v="Female"/>
    <x v="1"/>
    <s v="Mumbai"/>
    <x v="3"/>
    <s v="Cook Book"/>
    <n v="10"/>
    <n v="324.41000000000003"/>
    <n v="0.32"/>
    <n v="1810.18"/>
    <n v="903.99"/>
    <n v="48.24"/>
    <s v="UPI"/>
    <x v="0"/>
    <b v="0"/>
    <x v="1"/>
    <n v="4"/>
  </r>
  <r>
    <s v="ORD-02868"/>
    <x v="40"/>
    <x v="40"/>
    <s v="CUST17518"/>
    <s v="Sanjay Shah"/>
    <n v="42"/>
    <s v="Female"/>
    <x v="0"/>
    <s v="Indore"/>
    <x v="2"/>
    <s v="Wardrobe"/>
    <n v="6"/>
    <n v="20242.36"/>
    <n v="0.04"/>
    <n v="191398.26"/>
    <n v="59116.34"/>
    <n v="83.75"/>
    <s v="Credit Card"/>
    <x v="3"/>
    <b v="0"/>
    <x v="1"/>
    <n v="9"/>
  </r>
  <r>
    <s v="ORD-01993"/>
    <x v="41"/>
    <x v="41"/>
    <s v="CUST20457"/>
    <s v="Vikram Kumar"/>
    <n v="40"/>
    <s v="Other"/>
    <x v="2"/>
    <s v="Ludhiana"/>
    <x v="6"/>
    <s v="Tennis Racket"/>
    <n v="9"/>
    <n v="14422.23"/>
    <n v="0.21"/>
    <n v="145427.41"/>
    <n v="40739.980000000003"/>
    <n v="58.92"/>
    <s v="EMI"/>
    <x v="1"/>
    <b v="0"/>
    <x v="1"/>
    <n v="1"/>
  </r>
  <r>
    <s v="ORD-00415"/>
    <x v="29"/>
    <x v="29"/>
    <s v="CUST39948"/>
    <s v="Nikhil Kapoor"/>
    <n v="-6"/>
    <s v="Female"/>
    <x v="2"/>
    <s v="Chandigarh"/>
    <x v="2"/>
    <s v="Desk"/>
    <n v="2"/>
    <n v="33115.910000000003"/>
    <n v="0.28000000000000003"/>
    <n v="53911.88"/>
    <n v="13232.77"/>
    <n v="39.83"/>
    <s v="EMI"/>
    <x v="1"/>
    <b v="0"/>
    <x v="1"/>
    <n v="1"/>
  </r>
  <r>
    <s v="ORD-02867"/>
    <x v="40"/>
    <x v="40"/>
    <s v="CUST70575"/>
    <s v="Aditya Reddy"/>
    <n v="49"/>
    <s v="Female"/>
    <x v="2"/>
    <s v="Amritsar"/>
    <x v="6"/>
    <s v="Cricket Bat"/>
    <n v="8"/>
    <n v="3917.74"/>
    <n v="0.27"/>
    <n v="36596.17"/>
    <n v="11271.87"/>
    <n v="60.71"/>
    <s v="Cash on Delivery"/>
    <x v="0"/>
    <b v="0"/>
    <x v="1"/>
    <n v="8"/>
  </r>
  <r>
    <s v="ORD-00757"/>
    <x v="42"/>
    <x v="42"/>
    <s v="CUST29818"/>
    <s v="Meera Gupta"/>
    <n v="999"/>
    <s v="Female"/>
    <x v="4"/>
    <s v="Kochi"/>
    <x v="2"/>
    <s v="Bookshelf"/>
    <n v="4"/>
    <n v="11267.5"/>
    <n v="0.2"/>
    <n v="24230.41"/>
    <n v="7321.53"/>
    <n v="70.73"/>
    <s v="UPI"/>
    <x v="2"/>
    <b v="0"/>
    <x v="1"/>
    <n v="1"/>
  </r>
  <r>
    <s v="ORD-03357"/>
    <x v="43"/>
    <x v="43"/>
    <s v="CUST53286"/>
    <s v="Kavya Verma"/>
    <n v="34"/>
    <s v="Male"/>
    <x v="3"/>
    <s v="Patna"/>
    <x v="1"/>
    <s v="Face Cream"/>
    <n v="5"/>
    <n v="2497.1"/>
    <n v="0.37"/>
    <n v="6596.23"/>
    <n v="2649.2"/>
    <n v="61.27"/>
    <s v="Cash on Delivery"/>
    <x v="4"/>
    <b v="0"/>
    <x v="4"/>
    <n v="5"/>
  </r>
  <r>
    <s v="ORD-02282"/>
    <x v="44"/>
    <x v="44"/>
    <s v="CUST94046"/>
    <s v="Ananya Nair"/>
    <n v="38"/>
    <s v="Other"/>
    <x v="0"/>
    <s v="Raipur"/>
    <x v="5"/>
    <s v="Camera"/>
    <n v="5"/>
    <n v="11463.02"/>
    <n v="0.34"/>
    <n v="44107"/>
    <n v="3355.55"/>
    <n v="36.32"/>
    <s v="Cash on Delivery"/>
    <x v="1"/>
    <b v="0"/>
    <x v="1"/>
    <n v="10"/>
  </r>
  <r>
    <s v="ORD-04111"/>
    <x v="45"/>
    <x v="45"/>
    <s v="CUST99588"/>
    <s v="Meera Kumar"/>
    <n v="57"/>
    <s v="Female"/>
    <x v="0"/>
    <s v="Indore"/>
    <x v="3"/>
    <s v="Comic Book"/>
    <n v="7"/>
    <n v="785.67"/>
    <n v="0.12"/>
    <n v="4582.79"/>
    <n v="2037.5"/>
    <n v="63.64"/>
    <s v="Credit Card"/>
    <x v="0"/>
    <b v="0"/>
    <x v="1"/>
    <n v="2"/>
  </r>
  <r>
    <s v="ORD-00707"/>
    <x v="46"/>
    <x v="46"/>
    <s v="CUST43806"/>
    <s v="Nikhil Reddy"/>
    <n v="36"/>
    <s v="Female"/>
    <x v="2"/>
    <s v="Ludhiana"/>
    <x v="4"/>
    <s v="Jeans"/>
    <n v="2"/>
    <n v="1557.26"/>
    <n v="0.13"/>
    <n v="1859.03"/>
    <n v="840.29"/>
    <n v="50.66"/>
    <s v="EMI"/>
    <x v="3"/>
    <b v="0"/>
    <x v="1"/>
    <n v="10"/>
  </r>
  <r>
    <s v="ORD-01870"/>
    <x v="47"/>
    <x v="47"/>
    <s v="CUST73941"/>
    <s v="Aditya Mehta"/>
    <n v="48"/>
    <s v="Male"/>
    <x v="3"/>
    <s v="Bhubaneswar"/>
    <x v="0"/>
    <s v="Cooking Oil"/>
    <n v="2"/>
    <n v="393.55"/>
    <n v="0.02"/>
    <n v="1057.6500000000001"/>
    <n v="87.14"/>
    <n v="87.03"/>
    <s v="Debit Card"/>
    <x v="4"/>
    <b v="0"/>
    <x v="1"/>
    <n v="1"/>
  </r>
  <r>
    <s v="ORD-01047"/>
    <x v="48"/>
    <x v="48"/>
    <s v="CUST61067"/>
    <s v="Meera Chatterjee"/>
    <n v="34"/>
    <s v="Female"/>
    <x v="2"/>
    <s v="Ludhiana"/>
    <x v="6"/>
    <s v="Football"/>
    <n v="5"/>
    <n v="8244.31"/>
    <n v="0.12"/>
    <n v="49710.43"/>
    <n v="13744.26"/>
    <n v="51.59"/>
    <s v="Cash on Delivery"/>
    <x v="4"/>
    <b v="0"/>
    <x v="1"/>
    <n v="4"/>
  </r>
  <r>
    <s v="ORD-01968"/>
    <x v="49"/>
    <x v="49"/>
    <s v="CUST46310"/>
    <s v="Sanjay Kapoor"/>
    <n v="28"/>
    <s v="Male"/>
    <x v="3"/>
    <s v="Guwahati"/>
    <x v="3"/>
    <s v="Comic Book"/>
    <n v="5"/>
    <n v="1063.6199999999999"/>
    <n v="0.16"/>
    <n v="6991.06"/>
    <n v="2963.48"/>
    <n v="62.28"/>
    <s v="UPI"/>
    <x v="0"/>
    <b v="0"/>
    <x v="1"/>
    <n v="5"/>
  </r>
  <r>
    <s v="ORD-03033"/>
    <x v="50"/>
    <x v="50"/>
    <s v="CUST52453"/>
    <s v="Vikram Shah"/>
    <n v="34"/>
    <s v="Other"/>
    <x v="2"/>
    <s v="Amritsar"/>
    <x v="0"/>
    <s v="Sugar"/>
    <n v="7"/>
    <n v="315.62"/>
    <n v="0.28000000000000003"/>
    <n v="2026.01"/>
    <n v="104.43"/>
    <n v="72.63"/>
    <s v="Credit Card"/>
    <x v="1"/>
    <b v="0"/>
    <x v="1"/>
    <n v="7"/>
  </r>
  <r>
    <s v="ORD-02831"/>
    <x v="51"/>
    <x v="51"/>
    <s v="CUST55922"/>
    <s v="Aditya Pillai"/>
    <n v="51"/>
    <s v="Female"/>
    <x v="1"/>
    <s v="Ahmedabad"/>
    <x v="1"/>
    <s v="Lipstick"/>
    <n v="1"/>
    <n v="697.15"/>
    <n v="0.18"/>
    <n v="867.37"/>
    <n v="335.66"/>
    <n v="48.84"/>
    <s v="Debit Card"/>
    <x v="0"/>
    <b v="0"/>
    <x v="2"/>
    <n v="10"/>
  </r>
  <r>
    <s v="ORD-00489"/>
    <x v="52"/>
    <x v="52"/>
    <s v="CUST85726"/>
    <s v="Ritu Verma"/>
    <n v="34"/>
    <s v="Male"/>
    <x v="0"/>
    <s v="Raipur"/>
    <x v="5"/>
    <s v="Tablet"/>
    <n v="2"/>
    <n v="52363.15"/>
    <n v="0.25"/>
    <n v="89225.91"/>
    <n v="14474.33"/>
    <n v="45.26"/>
    <s v="Net Banking"/>
    <x v="3"/>
    <b v="0"/>
    <x v="2"/>
    <n v="9"/>
  </r>
  <r>
    <s v="ORD-00364"/>
    <x v="10"/>
    <x v="10"/>
    <s v="CUST12024"/>
    <s v="Shreya Kumar"/>
    <n v="37"/>
    <s v="Male"/>
    <x v="1"/>
    <s v="Surat"/>
    <x v="6"/>
    <s v="Football"/>
    <n v="3"/>
    <n v="2684.91"/>
    <n v="0.15"/>
    <n v="9541.81"/>
    <n v="2543.29"/>
    <n v="67.28"/>
    <s v="Net Banking"/>
    <x v="3"/>
    <b v="0"/>
    <x v="1"/>
    <n v="9"/>
  </r>
  <r>
    <s v="ORD-03081"/>
    <x v="53"/>
    <x v="53"/>
    <s v="CUST01739"/>
    <s v="Rohan Nair"/>
    <n v="42"/>
    <s v="Female"/>
    <x v="2"/>
    <s v="Amritsar"/>
    <x v="3"/>
    <s v="Fiction Novel"/>
    <n v="4"/>
    <n v="889.6"/>
    <n v="0.36"/>
    <n v="3597.1"/>
    <n v="1076.9100000000001"/>
    <n v="58.16"/>
    <s v="Credit Card"/>
    <x v="0"/>
    <b v="1"/>
    <x v="0"/>
    <n v="3"/>
  </r>
  <r>
    <s v="ORD-00357"/>
    <x v="54"/>
    <x v="54"/>
    <s v="CUST75375"/>
    <s v="Priya Joshi"/>
    <n v="41"/>
    <s v="Female"/>
    <x v="0"/>
    <s v="Nagpur"/>
    <x v="4"/>
    <s v="Jeans"/>
    <n v="2"/>
    <n v="1548.43"/>
    <n v="0.38"/>
    <n v="2480.54"/>
    <n v="866.5"/>
    <n v="49.01"/>
    <s v="EMI"/>
    <x v="4"/>
    <b v="0"/>
    <x v="1"/>
    <n v="45"/>
  </r>
  <r>
    <s v="ORD-03752"/>
    <x v="55"/>
    <x v="55"/>
    <s v="CUST35687"/>
    <s v="Deepa Nair"/>
    <n v="42"/>
    <s v="Other"/>
    <x v="1"/>
    <s v="Surat"/>
    <x v="3"/>
    <s v="Comic Book"/>
    <n v="1"/>
    <n v="787.78"/>
    <n v="0.15"/>
    <n v="1146.29"/>
    <n v="520.99"/>
    <n v="47.1"/>
    <s v="Credit Card"/>
    <x v="3"/>
    <b v="0"/>
    <x v="1"/>
    <n v="9"/>
  </r>
  <r>
    <s v="ORD-00117"/>
    <x v="56"/>
    <x v="56"/>
    <s v="CUST33188"/>
    <s v="Sanjay Joshi"/>
    <n v="48"/>
    <s v="Female"/>
    <x v="4"/>
    <s v="Kochi"/>
    <x v="6"/>
    <s v="Cycle"/>
    <n v="3"/>
    <n v="6047.51"/>
    <n v="0.08"/>
    <n v="13365.94"/>
    <n v="2741.49"/>
    <n v="36.15"/>
    <s v="Debit Card"/>
    <x v="2"/>
    <b v="0"/>
    <x v="1"/>
    <n v="3"/>
  </r>
  <r>
    <s v="ORD-00225"/>
    <x v="57"/>
    <x v="57"/>
    <s v="CUST97307"/>
    <s v="Ritu Gupta"/>
    <n v="37"/>
    <s v="Male"/>
    <x v="0"/>
    <s v="Nagpur"/>
    <x v="6"/>
    <s v="Tennis Racket"/>
    <n v="1"/>
    <n v="5935.12"/>
    <n v="0.08"/>
    <n v="6293.66"/>
    <n v="1165.6300000000001"/>
    <n v="47.97"/>
    <s v="Credit Card"/>
    <x v="1"/>
    <b v="0"/>
    <x v="1"/>
    <n v="7"/>
  </r>
  <r>
    <s v="ORD-01273"/>
    <x v="28"/>
    <x v="28"/>
    <s v="CUST00699"/>
    <s v="Shreya Nair"/>
    <n v="51"/>
    <s v="Female"/>
    <x v="1"/>
    <s v="Pune"/>
    <x v="3"/>
    <s v="Textbook"/>
    <n v="5"/>
    <n v="1490.57"/>
    <n v="0.13"/>
    <n v="1761.29"/>
    <n v="922.64"/>
    <n v="65.569999999999993"/>
    <s v="EMI"/>
    <x v="4"/>
    <b v="0"/>
    <x v="1"/>
    <n v="7"/>
  </r>
  <r>
    <s v="ORD-01912"/>
    <x v="58"/>
    <x v="58"/>
    <s v="CUST02114"/>
    <s v="Ananya Verma"/>
    <n v="34"/>
    <s v="Male"/>
    <x v="4"/>
    <s v="Chennai"/>
    <x v="4"/>
    <s v="T-Shirt"/>
    <n v="2"/>
    <n v="1244.43"/>
    <n v="0.23"/>
    <n v="2660.47"/>
    <n v="1061.94"/>
    <n v="75.05"/>
    <s v="Net Banking"/>
    <x v="1"/>
    <b v="0"/>
    <x v="1"/>
    <n v="2"/>
  </r>
  <r>
    <s v="ORD-02247"/>
    <x v="59"/>
    <x v="59"/>
    <s v="CUST68290"/>
    <s v="Karan Kapoor"/>
    <n v="38"/>
    <s v="Other"/>
    <x v="2"/>
    <s v="Chandigarh"/>
    <x v="2"/>
    <s v="Chair"/>
    <n v="2"/>
    <n v="22082.21"/>
    <n v="0.21"/>
    <n v="51389.35"/>
    <n v="9844.24"/>
    <n v="70.14"/>
    <s v="Debit Card"/>
    <x v="4"/>
    <b v="0"/>
    <x v="2"/>
    <n v="7"/>
  </r>
  <r>
    <s v="ORD-00966"/>
    <x v="21"/>
    <x v="21"/>
    <s v="CUST15832"/>
    <s v="Aarav Pillai"/>
    <n v="22"/>
    <s v="Other"/>
    <x v="3"/>
    <s v="Kolkata"/>
    <x v="5"/>
    <s v="Laptop"/>
    <n v="4"/>
    <n v="11157.11"/>
    <n v="0.38"/>
    <n v="32774.69"/>
    <n v="3797.24"/>
    <n v="55.14"/>
    <s v="Credit Card"/>
    <x v="4"/>
    <b v="1"/>
    <x v="0"/>
    <n v="8"/>
  </r>
  <r>
    <s v="ORD-00879"/>
    <x v="60"/>
    <x v="60"/>
    <s v="CUST52790"/>
    <s v="Deepa Pillai"/>
    <n v="17"/>
    <s v="Other"/>
    <x v="3"/>
    <s v="Kolkata"/>
    <x v="3"/>
    <s v="Comic Book"/>
    <n v="7"/>
    <n v="914.96"/>
    <n v="0.36"/>
    <n v="3687.74"/>
    <n v="1423.3"/>
    <n v="77.84"/>
    <s v="UPI"/>
    <x v="0"/>
    <b v="0"/>
    <x v="1"/>
    <n v="5"/>
  </r>
  <r>
    <s v="ORD-01339"/>
    <x v="61"/>
    <x v="61"/>
    <s v="CUST94587"/>
    <s v="Aditya Gupta"/>
    <n v="32"/>
    <s v="Male"/>
    <x v="2"/>
    <s v="Chandigarh"/>
    <x v="4"/>
    <s v="Jacket"/>
    <n v="5"/>
    <n v="1008.19"/>
    <n v="0.27"/>
    <n v="4205.92"/>
    <n v="1377.84"/>
    <n v="53.22"/>
    <s v="UPI"/>
    <x v="4"/>
    <b v="0"/>
    <x v="1"/>
    <n v="4"/>
  </r>
  <r>
    <s v="ORD-03248"/>
    <x v="62"/>
    <x v="62"/>
    <s v="CUST43818"/>
    <s v="Arjun Bhat"/>
    <n v="30"/>
    <s v="Male"/>
    <x v="4"/>
    <s v="Kochi"/>
    <x v="4"/>
    <s v="Saree"/>
    <n v="7"/>
    <n v="2102.17"/>
    <n v="0.13"/>
    <n v="11565.64"/>
    <n v="3358.13"/>
    <n v="62.02"/>
    <s v="Net Banking"/>
    <x v="0"/>
    <b v="0"/>
    <x v="4"/>
    <n v="8"/>
  </r>
  <r>
    <s v="ORD-00099"/>
    <x v="63"/>
    <x v="63"/>
    <s v="CUST15599"/>
    <s v="Karan Shah"/>
    <n v="33"/>
    <s v="Other"/>
    <x v="1"/>
    <s v="Pune"/>
    <x v="2"/>
    <s v="Chair"/>
    <n v="9"/>
    <n v="22687.65"/>
    <n v="0.33"/>
    <n v="117568.37"/>
    <n v="33050.92"/>
    <n v="45.04"/>
    <s v="Net Banking"/>
    <x v="0"/>
    <b v="0"/>
    <x v="1"/>
    <n v="2"/>
  </r>
  <r>
    <s v="ORD-00849"/>
    <x v="64"/>
    <x v="64"/>
    <s v="CUST59483"/>
    <s v="Nisha Shah"/>
    <n v="26"/>
    <s v="Other"/>
    <x v="2"/>
    <s v="Ludhiana"/>
    <x v="5"/>
    <s v="Smartwatch"/>
    <n v="10"/>
    <n v="57148.46"/>
    <n v="0.06"/>
    <n v="443615.41"/>
    <n v="48368.13"/>
    <n v="33.07"/>
    <s v="EMI"/>
    <x v="4"/>
    <b v="1"/>
    <x v="0"/>
    <n v="3"/>
  </r>
  <r>
    <s v="ORD-02850"/>
    <x v="65"/>
    <x v="65"/>
    <s v="CUST30753"/>
    <s v="Deepa Chatterjee"/>
    <n v="28"/>
    <s v="Male"/>
    <x v="2"/>
    <s v="Chandigarh"/>
    <x v="2"/>
    <s v="Bookshelf"/>
    <n v="5"/>
    <n v="5493.74"/>
    <n v="0.2"/>
    <n v="6967.21"/>
    <n v="1809.32"/>
    <n v="49"/>
    <s v="Credit Card"/>
    <x v="4"/>
    <b v="0"/>
    <x v="1"/>
    <n v="5"/>
  </r>
  <r>
    <s v="ORD-03177"/>
    <x v="66"/>
    <x v="66"/>
    <s v="CUST99258"/>
    <s v="Ananya Joshi"/>
    <n v="45"/>
    <s v="Other"/>
    <x v="0"/>
    <s v="Raipur"/>
    <x v="2"/>
    <s v="Sofa"/>
    <n v="2"/>
    <n v="7616.64"/>
    <n v="0.34"/>
    <n v="11304.13"/>
    <n v="3661.21"/>
    <n v="29.23"/>
    <s v="Net Banking"/>
    <x v="2"/>
    <b v="0"/>
    <x v="1"/>
    <n v="1"/>
  </r>
  <r>
    <s v="ORD-02058"/>
    <x v="67"/>
    <x v="67"/>
    <s v="CUST44617"/>
    <s v="Nikhil Reddy"/>
    <n v="21"/>
    <s v="Other"/>
    <x v="4"/>
    <s v="Bangalore"/>
    <x v="2"/>
    <s v="Desk"/>
    <n v="8"/>
    <n v="3549.62"/>
    <n v="0.22"/>
    <n v="30702.91"/>
    <n v="10062.41"/>
    <n v="77.819999999999993"/>
    <s v="EMI"/>
    <x v="1"/>
    <b v="1"/>
    <x v="0"/>
    <n v="5"/>
  </r>
  <r>
    <s v="ORD-03092"/>
    <x v="68"/>
    <x v="68"/>
    <s v="CUST21970"/>
    <s v="Rahul Verma"/>
    <n v="34"/>
    <s v="Other"/>
    <x v="3"/>
    <s v="Bhubaneswar"/>
    <x v="5"/>
    <s v="Headphones"/>
    <n v="3"/>
    <n v="15632.25"/>
    <n v="0.34"/>
    <n v="44298.79"/>
    <n v="4132.26"/>
    <n v="65.5"/>
    <s v="UPI"/>
    <x v="1"/>
    <b v="0"/>
    <x v="1"/>
    <n v="1"/>
  </r>
  <r>
    <s v="ORD-02241"/>
    <x v="69"/>
    <x v="69"/>
    <s v="CUST64655"/>
    <s v="Kavya Patel"/>
    <n v="21"/>
    <s v="Female"/>
    <x v="3"/>
    <s v="Guwahati"/>
    <x v="5"/>
    <s v="Headphones"/>
    <n v="4"/>
    <n v="41499.339999999997"/>
    <n v="0"/>
    <n v="175476.12"/>
    <n v="19809.16"/>
    <n v="73.44"/>
    <s v="Debit Card"/>
    <x v="2"/>
    <b v="0"/>
    <x v="4"/>
    <n v="1"/>
  </r>
  <r>
    <s v="ORD-01278"/>
    <x v="70"/>
    <x v="70"/>
    <s v="CUST65126"/>
    <s v="Arjun Mishra"/>
    <n v="48"/>
    <s v="Other"/>
    <x v="3"/>
    <s v="Bhubaneswar"/>
    <x v="4"/>
    <s v="Kurta"/>
    <n v="5"/>
    <n v="3288.5"/>
    <n v="0.01"/>
    <n v="4673.0200000000004"/>
    <n v="1513.25"/>
    <n v="103.27"/>
    <s v="Cash on Delivery"/>
    <x v="0"/>
    <b v="0"/>
    <x v="1"/>
    <n v="4"/>
  </r>
  <r>
    <s v="ORD-03281"/>
    <x v="71"/>
    <x v="71"/>
    <s v="CUST21469"/>
    <s v="Shreya Nair"/>
    <n v="43"/>
    <s v="Other"/>
    <x v="2"/>
    <s v="Amritsar"/>
    <x v="6"/>
    <s v="Football"/>
    <n v="4"/>
    <n v="3010.43"/>
    <n v="0.27"/>
    <n v="8396.7900000000009"/>
    <n v="1584.03"/>
    <n v="51.24"/>
    <s v="Cash on Delivery"/>
    <x v="0"/>
    <b v="0"/>
    <x v="1"/>
    <n v="3"/>
  </r>
  <r>
    <s v="ORD-00011"/>
    <x v="72"/>
    <x v="72"/>
    <s v="CUST64950"/>
    <s v="Nisha Mehta"/>
    <n v="23"/>
    <s v="Female"/>
    <x v="4"/>
    <s v="Hyderabad"/>
    <x v="2"/>
    <s v="Sofa"/>
    <n v="8"/>
    <n v="22523.15"/>
    <n v="0.34"/>
    <n v="95036.79"/>
    <n v="29818.97"/>
    <n v="65.72"/>
    <s v="EMI"/>
    <x v="3"/>
    <b v="0"/>
    <x v="1"/>
    <n v="5"/>
  </r>
  <r>
    <s v="ORD-00058"/>
    <x v="73"/>
    <x v="73"/>
    <s v="CUST60127"/>
    <s v="Ritu Kapoor"/>
    <n v="16"/>
    <s v="Other"/>
    <x v="4"/>
    <s v="Bangalore"/>
    <x v="3"/>
    <s v="Textbook"/>
    <n v="4"/>
    <n v="363.32"/>
    <n v="7.0000000000000007E-2"/>
    <n v="1026.5"/>
    <n v="410.28"/>
    <n v="89.93"/>
    <s v="EMI"/>
    <x v="1"/>
    <b v="0"/>
    <x v="4"/>
    <n v="5"/>
  </r>
  <r>
    <s v="ORD-02876"/>
    <x v="74"/>
    <x v="74"/>
    <s v="CUST23195"/>
    <s v="Aditya Sharma"/>
    <n v="34"/>
    <s v="Female"/>
    <x v="1"/>
    <s v="Surat"/>
    <x v="2"/>
    <s v="Wardrobe"/>
    <n v="3"/>
    <n v="31229.73"/>
    <n v="0.32"/>
    <n v="100210.97"/>
    <n v="34252.99"/>
    <n v="53.79"/>
    <s v="EMI"/>
    <x v="1"/>
    <b v="0"/>
    <x v="2"/>
    <n v="3"/>
  </r>
  <r>
    <s v="ORD-02210"/>
    <x v="75"/>
    <x v="75"/>
    <s v="CUST53700"/>
    <s v="Ananya Shah"/>
    <n v="49"/>
    <s v="Female"/>
    <x v="4"/>
    <s v="Chennai"/>
    <x v="2"/>
    <s v="Chair"/>
    <n v="3"/>
    <n v="25395.64"/>
    <n v="0.3"/>
    <n v="82667.820000000007"/>
    <n v="28762.52"/>
    <n v="86.28"/>
    <s v="UPI"/>
    <x v="2"/>
    <b v="0"/>
    <x v="1"/>
    <n v="5"/>
  </r>
  <r>
    <s v="ORD-01057"/>
    <x v="76"/>
    <x v="76"/>
    <s v="CUST83911"/>
    <s v="Aditya Das"/>
    <n v="27"/>
    <s v="Male"/>
    <x v="2"/>
    <s v="Chandigarh"/>
    <x v="0"/>
    <s v="Dal (1kg)"/>
    <n v="3"/>
    <n v="457.68"/>
    <n v="0.26"/>
    <n v="1159.07"/>
    <n v="84.35"/>
    <n v="72.86"/>
    <s v="Cash on Delivery"/>
    <x v="0"/>
    <b v="0"/>
    <x v="1"/>
    <n v="2"/>
  </r>
  <r>
    <s v="ORD-02900"/>
    <x v="77"/>
    <x v="77"/>
    <s v="CUST23268"/>
    <s v="Deepa Das"/>
    <n v="31"/>
    <s v="Female"/>
    <x v="4"/>
    <s v="Chennai"/>
    <x v="3"/>
    <s v="Self-Help Book"/>
    <n v="1"/>
    <n v="715.84"/>
    <n v="0.24"/>
    <n v="937.54"/>
    <n v="470.99"/>
    <n v="59.5"/>
    <s v="Credit Card"/>
    <x v="3"/>
    <b v="0"/>
    <x v="1"/>
    <n v="4"/>
  </r>
  <r>
    <s v="ORD-04048"/>
    <x v="78"/>
    <x v="78"/>
    <s v="CUST20477"/>
    <s v="Sanjay Verma"/>
    <n v="34"/>
    <s v="Female"/>
    <x v="3"/>
    <s v="Guwahati"/>
    <x v="6"/>
    <s v="Football"/>
    <n v="4"/>
    <n v="9803"/>
    <n v="0.33"/>
    <n v="32120.84"/>
    <n v="6215.4"/>
    <n v="88.57"/>
    <s v="UPI"/>
    <x v="2"/>
    <b v="0"/>
    <x v="3"/>
    <n v="6"/>
  </r>
  <r>
    <s v="ORD-00402"/>
    <x v="79"/>
    <x v="79"/>
    <s v="CUST55018"/>
    <s v="Vikram Nair"/>
    <n v="37"/>
    <s v="Other"/>
    <x v="4"/>
    <s v="Chennai"/>
    <x v="5"/>
    <s v="Headphones"/>
    <n v="5"/>
    <n v="28892.57"/>
    <n v="7.0000000000000007E-2"/>
    <n v="205453.46"/>
    <n v="25286.68"/>
    <n v="84.72"/>
    <s v="Debit Card"/>
    <x v="1"/>
    <b v="0"/>
    <x v="1"/>
    <n v="6"/>
  </r>
  <r>
    <s v="ORD-01747"/>
    <x v="80"/>
    <x v="80"/>
    <s v="CUST14531"/>
    <s v="Meera Gupta"/>
    <n v="27"/>
    <s v="Male"/>
    <x v="2"/>
    <s v="Ludhiana"/>
    <x v="2"/>
    <s v="Wardrobe"/>
    <n v="9"/>
    <n v="14001.85"/>
    <n v="0.05"/>
    <n v="118164.26"/>
    <n v="40660.47"/>
    <n v="55.44"/>
    <s v="UPI"/>
    <x v="4"/>
    <b v="1"/>
    <x v="0"/>
    <n v="1"/>
  </r>
  <r>
    <s v="ORD-00593"/>
    <x v="81"/>
    <x v="81"/>
    <s v="CUST21963"/>
    <s v="Priya Bhat"/>
    <n v="38"/>
    <s v="Other"/>
    <x v="0"/>
    <s v="Bhopal"/>
    <x v="2"/>
    <s v="Wardrobe"/>
    <n v="8"/>
    <n v="30292.85"/>
    <n v="0.28999999999999998"/>
    <n v="173004.24"/>
    <n v="45465.04"/>
    <n v="51.64"/>
    <s v="EMI"/>
    <x v="0"/>
    <b v="0"/>
    <x v="1"/>
    <n v="5"/>
  </r>
  <r>
    <s v="ORD-04017"/>
    <x v="82"/>
    <x v="82"/>
    <s v="CUST02198"/>
    <s v="Meera Singh"/>
    <n v="34"/>
    <s v="Male"/>
    <x v="3"/>
    <s v="Kolkata"/>
    <x v="6"/>
    <s v="Tennis Racket"/>
    <n v="2"/>
    <n v="2854.89"/>
    <n v="0.06"/>
    <n v="6360.16"/>
    <n v="1203.75"/>
    <n v="86.84"/>
    <s v="UPI"/>
    <x v="0"/>
    <b v="0"/>
    <x v="1"/>
    <n v="9"/>
  </r>
  <r>
    <s v="ORD-02956"/>
    <x v="83"/>
    <x v="83"/>
    <s v="CUST64061"/>
    <s v="Rohan Pillai"/>
    <n v="10"/>
    <s v="Other"/>
    <x v="4"/>
    <s v="Chennai"/>
    <x v="4"/>
    <s v="T-Shirt"/>
    <n v="9"/>
    <n v="1340.2"/>
    <n v="0.38"/>
    <n v="12757.93"/>
    <n v="3852.39"/>
    <n v="105.03"/>
    <s v="Cash on Delivery"/>
    <x v="0"/>
    <b v="0"/>
    <x v="3"/>
    <n v="4"/>
  </r>
  <r>
    <s v="ORD-00634"/>
    <x v="84"/>
    <x v="84"/>
    <s v="CUST01277"/>
    <s v="Sanjay Iyer"/>
    <n v="22"/>
    <s v="Female"/>
    <x v="1"/>
    <s v="Surat"/>
    <x v="2"/>
    <s v="Bookshelf"/>
    <n v="7"/>
    <n v="34455.919999999998"/>
    <n v="0.28000000000000003"/>
    <n v="149044.85999999999"/>
    <n v="39164.43"/>
    <n v="54.2"/>
    <s v="Debit Card"/>
    <x v="0"/>
    <b v="0"/>
    <x v="1"/>
    <n v="7"/>
  </r>
  <r>
    <s v="ORD-03084"/>
    <x v="85"/>
    <x v="85"/>
    <s v="CUST97761"/>
    <s v="Rahul Verma"/>
    <n v="25"/>
    <s v="Female"/>
    <x v="3"/>
    <s v="Bhubaneswar"/>
    <x v="3"/>
    <s v="Self-Help Book"/>
    <n v="10"/>
    <n v="755.47"/>
    <n v="0.04"/>
    <n v="10570.33"/>
    <n v="4011.83"/>
    <n v="94.06"/>
    <s v="Credit Card"/>
    <x v="0"/>
    <b v="0"/>
    <x v="3"/>
    <n v="5"/>
  </r>
  <r>
    <s v="ORD-01699"/>
    <x v="11"/>
    <x v="11"/>
    <s v="CUST22943"/>
    <s v="Nisha Shah"/>
    <n v="42"/>
    <s v="Male"/>
    <x v="2"/>
    <s v="Amritsar"/>
    <x v="6"/>
    <s v="Tennis Racket"/>
    <n v="10"/>
    <n v="6054.48"/>
    <n v="0.06"/>
    <n v="48184.42"/>
    <n v="9832.73"/>
    <n v="59.24"/>
    <s v="Credit Card"/>
    <x v="4"/>
    <b v="1"/>
    <x v="0"/>
    <n v="6"/>
  </r>
  <r>
    <s v="ORD-01353"/>
    <x v="86"/>
    <x v="86"/>
    <s v="CUST45393"/>
    <s v="Shreya Reddy"/>
    <n v="42"/>
    <s v="Male"/>
    <x v="4"/>
    <s v="Hyderabad"/>
    <x v="2"/>
    <s v="Desk"/>
    <n v="10"/>
    <n v="8753.1200000000008"/>
    <n v="0.28000000000000003"/>
    <n v="73335.009999999995"/>
    <n v="17930.25"/>
    <n v="87.75"/>
    <s v="EMI"/>
    <x v="1"/>
    <b v="0"/>
    <x v="1"/>
    <n v="8"/>
  </r>
  <r>
    <s v="ORD-02391"/>
    <x v="87"/>
    <x v="87"/>
    <s v="CUST63245"/>
    <s v="Ananya Verma"/>
    <n v="29"/>
    <s v="Male"/>
    <x v="0"/>
    <s v="Indore"/>
    <x v="3"/>
    <s v="Textbook"/>
    <n v="4"/>
    <n v="1320.32"/>
    <n v="0.01"/>
    <n v="4535.42"/>
    <n v="950.65"/>
    <n v="39.090000000000003"/>
    <s v="Debit Card"/>
    <x v="0"/>
    <b v="0"/>
    <x v="1"/>
    <n v="5"/>
  </r>
  <r>
    <s v="ORD-00729"/>
    <x v="88"/>
    <x v="88"/>
    <s v="CUST88249"/>
    <s v="Karan Das"/>
    <n v="33"/>
    <s v="Female"/>
    <x v="1"/>
    <s v="Surat"/>
    <x v="3"/>
    <s v="Cook Book"/>
    <n v="8"/>
    <n v="707.31"/>
    <n v="0.15"/>
    <n v="3730.16"/>
    <n v="1635.73"/>
    <n v="65.92"/>
    <s v="Net Banking"/>
    <x v="2"/>
    <b v="0"/>
    <x v="1"/>
    <n v="9"/>
  </r>
  <r>
    <s v="ORD-03692"/>
    <x v="89"/>
    <x v="89"/>
    <s v="CUST93738"/>
    <s v="Rohan Gupta"/>
    <n v="34"/>
    <s v="Male"/>
    <x v="2"/>
    <s v="Delhi"/>
    <x v="0"/>
    <s v="Dal (1kg)"/>
    <n v="5"/>
    <n v="309.97000000000003"/>
    <n v="0.04"/>
    <n v="2672.61"/>
    <n v="214.05"/>
    <n v="37.340000000000003"/>
    <s v="Cash on Delivery"/>
    <x v="1"/>
    <b v="0"/>
    <x v="4"/>
    <n v="4"/>
  </r>
  <r>
    <s v="ORD-01385"/>
    <x v="90"/>
    <x v="90"/>
    <s v="CUST85642"/>
    <s v="Priya Singh"/>
    <n v="42"/>
    <s v="Other"/>
    <x v="3"/>
    <s v="Kolkata"/>
    <x v="6"/>
    <s v="Cricket Bat"/>
    <n v="8"/>
    <n v="12223.45"/>
    <n v="0.4"/>
    <n v="62483.59"/>
    <n v="10563.05"/>
    <n v="68.510000000000005"/>
    <s v="Net Banking"/>
    <x v="2"/>
    <b v="0"/>
    <x v="1"/>
    <n v="7"/>
  </r>
  <r>
    <s v="ORD-02434"/>
    <x v="91"/>
    <x v="91"/>
    <s v="CUST85190"/>
    <s v="Nikhil Patel"/>
    <n v="45"/>
    <s v="Other"/>
    <x v="1"/>
    <s v="Surat"/>
    <x v="5"/>
    <s v="Tablet"/>
    <n v="4"/>
    <n v="73017.83"/>
    <n v="0.22"/>
    <n v="192150.99"/>
    <n v="23288.67"/>
    <n v="32.14"/>
    <s v="Credit Card"/>
    <x v="0"/>
    <b v="0"/>
    <x v="1"/>
    <n v="8"/>
  </r>
  <r>
    <s v="ORD-00158"/>
    <x v="92"/>
    <x v="92"/>
    <s v="CUST56042"/>
    <s v="Deepa Rao"/>
    <n v="35"/>
    <s v="Female"/>
    <x v="3"/>
    <s v="Bhubaneswar"/>
    <x v="2"/>
    <s v="Desk"/>
    <n v="8"/>
    <n v="25624.31"/>
    <n v="0.12"/>
    <n v="188109.47"/>
    <n v="45753.79"/>
    <n v="65.63"/>
    <s v="Credit Card"/>
    <x v="4"/>
    <b v="0"/>
    <x v="1"/>
    <n v="3"/>
  </r>
  <r>
    <s v="ORD-00857"/>
    <x v="93"/>
    <x v="93"/>
    <s v="CUST59535"/>
    <s v="Vikram Gupta"/>
    <n v="49"/>
    <s v="Male"/>
    <x v="0"/>
    <s v="Nagpur"/>
    <x v="1"/>
    <s v="Hair Oil"/>
    <n v="4"/>
    <n v="521.44000000000005"/>
    <n v="0.14000000000000001"/>
    <n v="1538.13"/>
    <n v="492.45"/>
    <n v="50.42"/>
    <s v="UPI"/>
    <x v="4"/>
    <b v="0"/>
    <x v="2"/>
    <n v="10"/>
  </r>
  <r>
    <s v="ORD-03406"/>
    <x v="94"/>
    <x v="94"/>
    <s v="CUST62905"/>
    <s v="Vikram Iyer"/>
    <n v="41"/>
    <s v="Other"/>
    <x v="0"/>
    <s v="Raipur"/>
    <x v="4"/>
    <s v="Saree"/>
    <n v="6"/>
    <n v="3871.22"/>
    <n v="0.33"/>
    <n v="16031.48"/>
    <n v="5072.13"/>
    <n v="43.12"/>
    <s v="Debit Card"/>
    <x v="2"/>
    <b v="0"/>
    <x v="1"/>
    <n v="3"/>
  </r>
  <r>
    <s v="ORD-02843"/>
    <x v="95"/>
    <x v="95"/>
    <s v="CUST04791"/>
    <s v="Rahul Verma"/>
    <n v="24"/>
    <s v="Other"/>
    <x v="1"/>
    <s v="Mumbai"/>
    <x v="3"/>
    <s v="Self-Help Book"/>
    <n v="8"/>
    <n v="579.77"/>
    <n v="0.36"/>
    <n v="3954.73"/>
    <n v="2230.94"/>
    <n v="42.6"/>
    <s v="Debit Card"/>
    <x v="0"/>
    <b v="0"/>
    <x v="1"/>
    <n v="7"/>
  </r>
  <r>
    <s v="ORD-01014"/>
    <x v="96"/>
    <x v="96"/>
    <s v="CUST62653"/>
    <s v="Nikhil Mishra"/>
    <n v="26"/>
    <s v="Male"/>
    <x v="2"/>
    <s v="Amritsar"/>
    <x v="0"/>
    <s v="Cooking Oil"/>
    <n v="1"/>
    <n v="116.68"/>
    <n v="0.06"/>
    <n v="118.23"/>
    <n v="9.75"/>
    <n v="47.55"/>
    <s v="Credit Card"/>
    <x v="4"/>
    <b v="0"/>
    <x v="1"/>
    <n v="8"/>
  </r>
  <r>
    <s v="ORD-02991"/>
    <x v="97"/>
    <x v="97"/>
    <s v="CUST01027"/>
    <s v="Nikhil Reddy"/>
    <n v="34"/>
    <s v="Other"/>
    <x v="2"/>
    <s v="Delhi"/>
    <x v="0"/>
    <s v="Rice (5kg)"/>
    <n v="4"/>
    <n v="161.52000000000001"/>
    <n v="0.17"/>
    <n v="815.36"/>
    <n v="66.150000000000006"/>
    <n v="45.84"/>
    <s v="Net Banking"/>
    <x v="2"/>
    <b v="0"/>
    <x v="3"/>
    <n v="8"/>
  </r>
  <r>
    <s v="ORD-01087"/>
    <x v="98"/>
    <x v="98"/>
    <s v="CUST29357"/>
    <s v="Meera Nair"/>
    <n v="33"/>
    <s v="Other"/>
    <x v="1"/>
    <s v="Pune"/>
    <x v="3"/>
    <s v="Textbook"/>
    <n v="7"/>
    <n v="1042.98"/>
    <n v="0.3"/>
    <n v="7120.16"/>
    <n v="2589.16"/>
    <n v="61.15"/>
    <s v="Debit Card"/>
    <x v="3"/>
    <b v="1"/>
    <x v="0"/>
    <n v="4"/>
  </r>
  <r>
    <s v="ORD-00943"/>
    <x v="99"/>
    <x v="99"/>
    <s v="CUST48937"/>
    <s v="Nisha Iyer"/>
    <n v="14"/>
    <s v="Female"/>
    <x v="0"/>
    <s v="Indore"/>
    <x v="4"/>
    <s v="Jeans"/>
    <n v="3"/>
    <n v="3314.25"/>
    <n v="0.1"/>
    <n v="9673.58"/>
    <n v="3783"/>
    <n v="52.17"/>
    <s v="UPI"/>
    <x v="0"/>
    <b v="0"/>
    <x v="4"/>
    <n v="8"/>
  </r>
  <r>
    <s v="ORD-03731"/>
    <x v="100"/>
    <x v="100"/>
    <s v="CUST46976"/>
    <s v="Nikhil Sharma"/>
    <n v="11"/>
    <s v="Male"/>
    <x v="3"/>
    <s v="Patna"/>
    <x v="5"/>
    <s v="Tablet"/>
    <n v="3"/>
    <n v="48747.69"/>
    <n v="0.28999999999999998"/>
    <n v="172382.02"/>
    <n v="22319.7"/>
    <n v="42.24"/>
    <s v="Net Banking"/>
    <x v="1"/>
    <b v="0"/>
    <x v="1"/>
    <n v="6"/>
  </r>
  <r>
    <s v="ORD-02485"/>
    <x v="101"/>
    <x v="101"/>
    <s v="CUST69585"/>
    <s v="Sunita Joshi"/>
    <n v="12"/>
    <s v="Male"/>
    <x v="1"/>
    <s v="Ahmedabad"/>
    <x v="3"/>
    <s v="Cook Book"/>
    <n v="9"/>
    <n v="1471.74"/>
    <n v="0.05"/>
    <n v="10167.9"/>
    <n v="5411.76"/>
    <n v="50.89"/>
    <s v="Cash on Delivery"/>
    <x v="2"/>
    <b v="0"/>
    <x v="1"/>
    <n v="7"/>
  </r>
  <r>
    <s v="ORD-02773"/>
    <x v="102"/>
    <x v="102"/>
    <s v="CUST69945"/>
    <s v="Rahul Das"/>
    <n v="36"/>
    <s v="Male"/>
    <x v="1"/>
    <s v="Surat"/>
    <x v="5"/>
    <s v="Laptop"/>
    <n v="8"/>
    <n v="27632.84"/>
    <n v="0.08"/>
    <n v="295286.40999999997"/>
    <n v="33436.120000000003"/>
    <n v="20.29"/>
    <s v="Net Banking"/>
    <x v="0"/>
    <b v="0"/>
    <x v="1"/>
    <n v="7"/>
  </r>
  <r>
    <s v="ORD-01093"/>
    <x v="103"/>
    <x v="103"/>
    <s v="CUST80149"/>
    <s v="Pooja Mishra"/>
    <n v="37"/>
    <s v="Other"/>
    <x v="1"/>
    <s v="Mumbai"/>
    <x v="6"/>
    <s v="Cycle"/>
    <n v="7"/>
    <n v="11542.97"/>
    <n v="0.16"/>
    <n v="97177.38"/>
    <n v="24424.83"/>
    <n v="53.27"/>
    <s v="EMI"/>
    <x v="4"/>
    <b v="1"/>
    <x v="0"/>
    <n v="7"/>
  </r>
  <r>
    <s v="ORD-00101"/>
    <x v="63"/>
    <x v="63"/>
    <s v="CUST45487"/>
    <s v="Sunita Joshi"/>
    <n v="34"/>
    <s v="Other"/>
    <x v="1"/>
    <s v="Pune"/>
    <x v="3"/>
    <s v="Cook Book"/>
    <n v="8"/>
    <n v="1325.02"/>
    <n v="0.09"/>
    <n v="8717.89"/>
    <n v="3265.49"/>
    <n v="41.67"/>
    <s v="Debit Card"/>
    <x v="3"/>
    <b v="0"/>
    <x v="3"/>
    <n v="5"/>
  </r>
  <r>
    <s v="ORD-03804"/>
    <x v="104"/>
    <x v="104"/>
    <s v="CUST42902"/>
    <s v="Rahul Kumar"/>
    <n v="50"/>
    <s v="Other"/>
    <x v="4"/>
    <s v="Hyderabad"/>
    <x v="0"/>
    <s v="Sugar"/>
    <n v="5"/>
    <n v="84.21"/>
    <n v="0.13"/>
    <n v="125.78"/>
    <n v="8.9"/>
    <n v="47.91"/>
    <s v="Cash on Delivery"/>
    <x v="2"/>
    <b v="0"/>
    <x v="1"/>
    <n v="2"/>
  </r>
  <r>
    <s v="ORD-02873"/>
    <x v="105"/>
    <x v="105"/>
    <s v="CUST07917"/>
    <s v="Nikhil Nair"/>
    <n v="34"/>
    <s v="Male"/>
    <x v="3"/>
    <s v="Guwahati"/>
    <x v="6"/>
    <s v="Football"/>
    <n v="6"/>
    <n v="5611.57"/>
    <n v="0.2"/>
    <n v="37888.42"/>
    <n v="6107.6"/>
    <n v="97.42"/>
    <s v="Credit Card"/>
    <x v="1"/>
    <b v="0"/>
    <x v="1"/>
    <n v="2"/>
  </r>
  <r>
    <s v="ORD-03342"/>
    <x v="106"/>
    <x v="106"/>
    <s v="CUST26677"/>
    <s v="Rahul Chatterjee"/>
    <n v="45"/>
    <s v="Female"/>
    <x v="0"/>
    <s v="Raipur"/>
    <x v="0"/>
    <s v="Tea"/>
    <n v="9"/>
    <n v="312.52999999999997"/>
    <n v="0.35"/>
    <n v="1437"/>
    <n v="155.72999999999999"/>
    <n v="48.28"/>
    <s v="Cash on Delivery"/>
    <x v="2"/>
    <b v="0"/>
    <x v="4"/>
    <n v="5"/>
  </r>
  <r>
    <s v="ORD-04177"/>
    <x v="107"/>
    <x v="107"/>
    <s v="CUST44560"/>
    <s v="Amit Verma"/>
    <n v="49"/>
    <s v="Female"/>
    <x v="4"/>
    <s v="Bangalore"/>
    <x v="6"/>
    <s v="Dumbbells"/>
    <n v="2"/>
    <n v="13057.02"/>
    <n v="0.35"/>
    <n v="14206.67"/>
    <n v="3578.76"/>
    <n v="69.31"/>
    <s v="Credit Card"/>
    <x v="1"/>
    <b v="0"/>
    <x v="1"/>
    <n v="10"/>
  </r>
  <r>
    <s v="ORD-02805"/>
    <x v="108"/>
    <x v="108"/>
    <s v="CUST85937"/>
    <s v="Deepa Verma"/>
    <n v="31"/>
    <s v="Male"/>
    <x v="4"/>
    <s v="Hyderabad"/>
    <x v="4"/>
    <s v="Saree"/>
    <n v="7"/>
    <n v="3482.32"/>
    <n v="0.35"/>
    <n v="26908.32"/>
    <n v="8716.81"/>
    <n v="68.92"/>
    <s v="UPI"/>
    <x v="2"/>
    <b v="0"/>
    <x v="1"/>
    <n v="7"/>
  </r>
  <r>
    <s v="ORD-00918"/>
    <x v="109"/>
    <x v="109"/>
    <s v="CUST67405"/>
    <s v="Meera Pillai"/>
    <n v="48"/>
    <s v="Male"/>
    <x v="0"/>
    <s v="Indore"/>
    <x v="6"/>
    <s v="Cycle"/>
    <n v="3"/>
    <n v="11359.59"/>
    <n v="0.01"/>
    <n v="30752.81"/>
    <n v="7374.96"/>
    <n v="41.65"/>
    <s v="Debit Card"/>
    <x v="4"/>
    <b v="0"/>
    <x v="1"/>
    <n v="8"/>
  </r>
  <r>
    <s v="ORD-00759"/>
    <x v="110"/>
    <x v="110"/>
    <s v="CUST23197"/>
    <s v="Amit Patel"/>
    <n v="28"/>
    <s v="Other"/>
    <x v="0"/>
    <s v="Nagpur"/>
    <x v="6"/>
    <s v="Tennis Racket"/>
    <n v="5"/>
    <n v="5242.7700000000004"/>
    <n v="0.31"/>
    <n v="13993.35"/>
    <n v="2992.91"/>
    <n v="74.58"/>
    <s v="EMI"/>
    <x v="4"/>
    <b v="1"/>
    <x v="0"/>
    <n v="5"/>
  </r>
  <r>
    <s v="ORD-00086"/>
    <x v="111"/>
    <x v="111"/>
    <s v="CUST63884"/>
    <s v="Amit Das"/>
    <n v="29"/>
    <s v="Female"/>
    <x v="1"/>
    <s v="Ahmedabad"/>
    <x v="2"/>
    <s v="Chair"/>
    <n v="10"/>
    <n v="9468.07"/>
    <n v="0.32"/>
    <n v="57174.239999999998"/>
    <n v="15202.22"/>
    <n v="40.98"/>
    <s v="EMI"/>
    <x v="0"/>
    <b v="0"/>
    <x v="1"/>
    <n v="2"/>
  </r>
  <r>
    <s v="ORD-00793"/>
    <x v="112"/>
    <x v="112"/>
    <s v="CUST49838"/>
    <s v="Sunita Gupta"/>
    <n v="37"/>
    <s v="Other"/>
    <x v="4"/>
    <s v="Bangalore"/>
    <x v="0"/>
    <s v="Flour"/>
    <n v="8"/>
    <n v="491.76"/>
    <n v="0.08"/>
    <n v="2780.1"/>
    <n v="223.65"/>
    <n v="61.84"/>
    <s v="UPI"/>
    <x v="3"/>
    <b v="0"/>
    <x v="1"/>
    <n v="4"/>
  </r>
  <r>
    <s v="ORD-01894"/>
    <x v="113"/>
    <x v="113"/>
    <s v="CUST28783"/>
    <s v="Rohan Shah"/>
    <n v="42"/>
    <s v="Male"/>
    <x v="3"/>
    <s v="Bhubaneswar"/>
    <x v="1"/>
    <s v="Perfume"/>
    <n v="7"/>
    <n v="2235.02"/>
    <n v="0.37"/>
    <n v="11756.21"/>
    <n v="7295.66"/>
    <n v="68.83"/>
    <s v="UPI"/>
    <x v="4"/>
    <b v="1"/>
    <x v="0"/>
    <n v="8"/>
  </r>
  <r>
    <s v="ORD-04109"/>
    <x v="114"/>
    <x v="114"/>
    <s v="CUST36614"/>
    <s v="Shreya Pillai"/>
    <n v="27"/>
    <s v="Other"/>
    <x v="3"/>
    <s v="Guwahati"/>
    <x v="3"/>
    <s v="Comic Book"/>
    <n v="9"/>
    <n v="1324.57"/>
    <n v="0.38"/>
    <n v="7683.45"/>
    <n v="2086.59"/>
    <n v="82.14"/>
    <s v="UPI"/>
    <x v="2"/>
    <b v="0"/>
    <x v="1"/>
    <n v="4"/>
  </r>
  <r>
    <s v="ORD-02963"/>
    <x v="115"/>
    <x v="115"/>
    <s v="CUST21979"/>
    <s v="Sanjay Singh"/>
    <n v="54"/>
    <s v="Male"/>
    <x v="2"/>
    <s v="Chandigarh"/>
    <x v="6"/>
    <s v="Cricket Bat"/>
    <n v="1"/>
    <n v="9949.4699999999993"/>
    <n v="0.06"/>
    <n v="13501.36"/>
    <n v="3908.34"/>
    <n v="42.57"/>
    <s v="UPI"/>
    <x v="0"/>
    <b v="0"/>
    <x v="1"/>
    <n v="5"/>
  </r>
  <r>
    <s v="ORD-02212"/>
    <x v="116"/>
    <x v="116"/>
    <s v="CUST44717"/>
    <s v="Meera Chatterjee"/>
    <n v="34"/>
    <s v="Male"/>
    <x v="3"/>
    <s v="Kolkata"/>
    <x v="5"/>
    <s v="Headphones"/>
    <n v="6"/>
    <n v="45624.04"/>
    <n v="0.24"/>
    <n v="274607.48"/>
    <n v="23542.83"/>
    <n v="97.97"/>
    <s v="UPI"/>
    <x v="2"/>
    <b v="0"/>
    <x v="1"/>
    <n v="7"/>
  </r>
  <r>
    <s v="ORD-02836"/>
    <x v="117"/>
    <x v="117"/>
    <s v="CUST76017"/>
    <s v="Arjun Chatterjee"/>
    <n v="37"/>
    <s v="Female"/>
    <x v="0"/>
    <s v="Bhopal"/>
    <x v="2"/>
    <s v="Bookshelf"/>
    <n v="10"/>
    <n v="7630.7"/>
    <n v="0.21"/>
    <n v="99978.26"/>
    <n v="21558.18"/>
    <n v="46.42"/>
    <s v="Cash on Delivery"/>
    <x v="1"/>
    <b v="0"/>
    <x v="3"/>
    <n v="8"/>
  </r>
  <r>
    <s v="ORD-00409"/>
    <x v="118"/>
    <x v="118"/>
    <s v="CUST97162"/>
    <s v="Sanjay Mehta"/>
    <n v="46"/>
    <s v="Female"/>
    <x v="3"/>
    <s v="Bhubaneswar"/>
    <x v="6"/>
    <s v="Cricket Bat"/>
    <n v="1"/>
    <n v="4889.3"/>
    <n v="0.16"/>
    <n v="5849.95"/>
    <n v="1406.77"/>
    <n v="63.96"/>
    <s v="Net Banking"/>
    <x v="4"/>
    <b v="0"/>
    <x v="1"/>
    <n v="6"/>
  </r>
  <r>
    <s v="ORD-00528"/>
    <x v="119"/>
    <x v="119"/>
    <s v="CUST94563"/>
    <s v="Amit Das"/>
    <n v="56"/>
    <s v="Male"/>
    <x v="3"/>
    <s v="Bhubaneswar"/>
    <x v="4"/>
    <s v="Dress"/>
    <n v="5"/>
    <n v="2614.79"/>
    <n v="0.12"/>
    <n v="12884.93"/>
    <n v="2796.07"/>
    <n v="55.45"/>
    <s v="Credit Card"/>
    <x v="2"/>
    <b v="1"/>
    <x v="0"/>
    <n v="9"/>
  </r>
  <r>
    <s v="ORD-00268"/>
    <x v="120"/>
    <x v="120"/>
    <s v="CUST64785"/>
    <s v="Sunita Reddy"/>
    <n v="32"/>
    <s v="Female"/>
    <x v="1"/>
    <s v="Mumbai"/>
    <x v="3"/>
    <s v="Cook Book"/>
    <n v="7"/>
    <n v="257.18"/>
    <n v="0.28999999999999998"/>
    <n v="1452.88"/>
    <n v="604.80999999999995"/>
    <n v="60.36"/>
    <s v="Credit Card"/>
    <x v="4"/>
    <b v="0"/>
    <x v="3"/>
    <n v="5"/>
  </r>
  <r>
    <s v="ORD-02778"/>
    <x v="121"/>
    <x v="121"/>
    <s v="CUST21931"/>
    <s v="Kavya Mehta"/>
    <n v="34"/>
    <s v="Female"/>
    <x v="1"/>
    <s v="Surat"/>
    <x v="3"/>
    <s v="Textbook"/>
    <n v="8"/>
    <n v="337.73"/>
    <n v="0.38"/>
    <n v="2495.0500000000002"/>
    <n v="1142.99"/>
    <n v="48.99"/>
    <s v="Cash on Delivery"/>
    <x v="1"/>
    <b v="1"/>
    <x v="0"/>
    <n v="6"/>
  </r>
  <r>
    <s v="ORD-00948"/>
    <x v="122"/>
    <x v="122"/>
    <s v="CUST85939"/>
    <s v="Nikhil Patel"/>
    <n v="47"/>
    <s v="Female"/>
    <x v="2"/>
    <s v="Amritsar"/>
    <x v="2"/>
    <s v="Chair"/>
    <n v="6"/>
    <n v="29194.28"/>
    <n v="0.36"/>
    <n v="144911.63"/>
    <n v="54404.2"/>
    <n v="64.14"/>
    <s v="Credit Card"/>
    <x v="0"/>
    <b v="0"/>
    <x v="1"/>
    <n v="9"/>
  </r>
  <r>
    <s v="ORD-03678"/>
    <x v="123"/>
    <x v="123"/>
    <s v="CUST45890"/>
    <s v="Ritu Patel"/>
    <n v="16"/>
    <s v="Male"/>
    <x v="1"/>
    <s v="Mumbai"/>
    <x v="5"/>
    <s v="Camera"/>
    <n v="4"/>
    <n v="20489.54"/>
    <n v="0.01"/>
    <n v="161033.98000000001"/>
    <n v="22669.85"/>
    <n v="73.53"/>
    <s v="Cash on Delivery"/>
    <x v="4"/>
    <b v="0"/>
    <x v="2"/>
    <n v="4"/>
  </r>
  <r>
    <s v="ORD-01310"/>
    <x v="124"/>
    <x v="124"/>
    <s v="CUST84751"/>
    <s v="Vikram Kumar"/>
    <n v="14"/>
    <s v="Male"/>
    <x v="4"/>
    <s v="Kochi"/>
    <x v="6"/>
    <s v="Yoga Mat"/>
    <n v="2"/>
    <n v="11904.59"/>
    <n v="0.18"/>
    <n v="25494.32"/>
    <n v="6649.59"/>
    <n v="66.45"/>
    <s v="EMI"/>
    <x v="1"/>
    <b v="0"/>
    <x v="1"/>
    <n v="2"/>
  </r>
  <r>
    <s v="ORD-00672"/>
    <x v="125"/>
    <x v="125"/>
    <s v="CUST71562"/>
    <s v="Rahul Bhat"/>
    <n v="35"/>
    <s v="Female"/>
    <x v="1"/>
    <s v="Ahmedabad"/>
    <x v="5"/>
    <s v="Camera"/>
    <n v="5"/>
    <n v="49817.06"/>
    <n v="0.28000000000000003"/>
    <n v="167889.68"/>
    <n v="16722.18"/>
    <n v="42.95"/>
    <s v="UPI"/>
    <x v="0"/>
    <b v="0"/>
    <x v="2"/>
    <n v="3"/>
  </r>
  <r>
    <s v="ORD-04060"/>
    <x v="126"/>
    <x v="126"/>
    <s v="CUST99521"/>
    <s v="Kavya Pillai"/>
    <n v="42"/>
    <s v="Other"/>
    <x v="1"/>
    <s v="Ahmedabad"/>
    <x v="2"/>
    <s v="Sofa"/>
    <n v="4"/>
    <n v="10887.68"/>
    <n v="0.14000000000000001"/>
    <n v="46926.73"/>
    <n v="14349.22"/>
    <n v="57.18"/>
    <s v="EMI"/>
    <x v="0"/>
    <b v="0"/>
    <x v="1"/>
    <n v="6"/>
  </r>
  <r>
    <s v="ORD-01996"/>
    <x v="127"/>
    <x v="127"/>
    <s v="CUST48253"/>
    <s v="Meera Kumar"/>
    <n v="36"/>
    <s v="Male"/>
    <x v="2"/>
    <s v="Chandigarh"/>
    <x v="4"/>
    <s v="Saree"/>
    <n v="5"/>
    <n v="451.03"/>
    <n v="0.19"/>
    <n v="2632.07"/>
    <n v="1165.8900000000001"/>
    <n v="23.32"/>
    <s v="Net Banking"/>
    <x v="1"/>
    <b v="0"/>
    <x v="1"/>
    <n v="10"/>
  </r>
  <r>
    <s v="ORD-01584"/>
    <x v="128"/>
    <x v="128"/>
    <s v="CUST51398"/>
    <s v="Karan Bose"/>
    <n v="36"/>
    <s v="Female"/>
    <x v="2"/>
    <s v="Delhi"/>
    <x v="3"/>
    <s v="Self-Help Book"/>
    <n v="3"/>
    <n v="586.88"/>
    <n v="0.33"/>
    <n v="916.67"/>
    <n v="373.51"/>
    <n v="36.450000000000003"/>
    <s v="EMI"/>
    <x v="2"/>
    <b v="0"/>
    <x v="1"/>
    <n v="1"/>
  </r>
  <r>
    <s v="ORD-01026"/>
    <x v="129"/>
    <x v="129"/>
    <s v="CUST78889"/>
    <s v="Nikhil Joshi"/>
    <n v="24"/>
    <s v="Other"/>
    <x v="4"/>
    <s v="Chennai"/>
    <x v="6"/>
    <s v="Football"/>
    <n v="10"/>
    <n v="6806.6"/>
    <n v="0.36"/>
    <n v="39614.949999999997"/>
    <n v="7458.02"/>
    <n v="66.290000000000006"/>
    <s v="Credit Card"/>
    <x v="1"/>
    <b v="0"/>
    <x v="1"/>
    <n v="7"/>
  </r>
  <r>
    <s v="ORD-03309"/>
    <x v="130"/>
    <x v="130"/>
    <s v="CUST44030"/>
    <s v="Aditya Iyer"/>
    <n v="34"/>
    <s v="Male"/>
    <x v="1"/>
    <s v="Mumbai"/>
    <x v="4"/>
    <s v="Jeans"/>
    <n v="3"/>
    <n v="3608.42"/>
    <n v="0.28999999999999998"/>
    <n v="6927.13"/>
    <n v="1997.74"/>
    <n v="54.98"/>
    <s v="Cash on Delivery"/>
    <x v="1"/>
    <b v="0"/>
    <x v="1"/>
    <n v="9"/>
  </r>
  <r>
    <s v="ORD-01973"/>
    <x v="131"/>
    <x v="131"/>
    <s v="CUST45923"/>
    <s v="Ananya Rao"/>
    <n v="22"/>
    <s v="Male"/>
    <x v="1"/>
    <s v="Ahmedabad"/>
    <x v="5"/>
    <s v="Headphones"/>
    <n v="2"/>
    <n v="72469.02"/>
    <n v="0.38"/>
    <n v="127833.79"/>
    <n v="12280.09"/>
    <n v="49.21"/>
    <s v="Net Banking"/>
    <x v="2"/>
    <b v="0"/>
    <x v="3"/>
    <n v="1"/>
  </r>
  <r>
    <s v="ORD-03390"/>
    <x v="132"/>
    <x v="132"/>
    <s v="CUST51656"/>
    <s v="Kavya Singh"/>
    <n v="20"/>
    <s v="Other"/>
    <x v="1"/>
    <s v="Pune"/>
    <x v="5"/>
    <s v="Laptop"/>
    <n v="3"/>
    <n v="42514.99"/>
    <n v="0.06"/>
    <n v="111205.03"/>
    <n v="13533.76"/>
    <n v="59.07"/>
    <s v="EMI"/>
    <x v="1"/>
    <b v="0"/>
    <x v="3"/>
    <n v="5"/>
  </r>
  <r>
    <s v="ORD-00540"/>
    <x v="133"/>
    <x v="133"/>
    <s v="CUST59198"/>
    <s v="Priya Das"/>
    <n v="29"/>
    <s v="Other"/>
    <x v="3"/>
    <s v="Patna"/>
    <x v="1"/>
    <s v="Face Cream"/>
    <n v="5"/>
    <n v="1644.33"/>
    <n v="0.31"/>
    <n v="1186.6600000000001"/>
    <n v="470.96"/>
    <n v="68.12"/>
    <s v="Cash on Delivery"/>
    <x v="1"/>
    <b v="1"/>
    <x v="0"/>
    <n v="2"/>
  </r>
  <r>
    <s v="ORD-01905"/>
    <x v="134"/>
    <x v="134"/>
    <s v="CUST28422"/>
    <s v="Ananya Nair"/>
    <n v="35"/>
    <s v="Female"/>
    <x v="1"/>
    <s v="Pune"/>
    <x v="3"/>
    <s v="Cook Book"/>
    <n v="5"/>
    <n v="540.77"/>
    <n v="0.28000000000000003"/>
    <n v="2814.83"/>
    <n v="1625.95"/>
    <n v="54.23"/>
    <s v="EMI"/>
    <x v="1"/>
    <b v="0"/>
    <x v="1"/>
    <n v="7"/>
  </r>
  <r>
    <s v="ORD-00422"/>
    <x v="135"/>
    <x v="135"/>
    <s v="CUST44523"/>
    <s v="Priya Sharma"/>
    <n v="35"/>
    <s v="Other"/>
    <x v="4"/>
    <s v="Bangalore"/>
    <x v="4"/>
    <s v="Jacket"/>
    <n v="2"/>
    <n v="539.35"/>
    <n v="0.23"/>
    <n v="1124.22"/>
    <n v="289.25"/>
    <n v="64.959999999999994"/>
    <s v="Cash on Delivery"/>
    <x v="1"/>
    <b v="0"/>
    <x v="1"/>
    <n v="8"/>
  </r>
  <r>
    <s v="ORD-03365"/>
    <x v="136"/>
    <x v="136"/>
    <s v="CUST03410"/>
    <s v="Sunita Das"/>
    <n v="34"/>
    <s v="Female"/>
    <x v="3"/>
    <s v="Patna"/>
    <x v="5"/>
    <s v="Smartphone"/>
    <n v="9"/>
    <n v="30674.09"/>
    <n v="0.39"/>
    <n v="159421.60999999999"/>
    <n v="15597.31"/>
    <n v="76.430000000000007"/>
    <s v="Cash on Delivery"/>
    <x v="0"/>
    <b v="0"/>
    <x v="1"/>
    <n v="2"/>
  </r>
  <r>
    <s v="ORD-02069"/>
    <x v="137"/>
    <x v="137"/>
    <s v="CUST03769"/>
    <s v="Sunita Mishra"/>
    <n v="32"/>
    <s v="Female"/>
    <x v="4"/>
    <s v="Kochi"/>
    <x v="4"/>
    <s v="Saree"/>
    <n v="8"/>
    <n v="3278.48"/>
    <n v="0.21"/>
    <n v="39736.74"/>
    <n v="15719.62"/>
    <n v="80.959999999999994"/>
    <s v="Credit Card"/>
    <x v="0"/>
    <b v="0"/>
    <x v="1"/>
    <n v="1"/>
  </r>
  <r>
    <s v="ORD-02723"/>
    <x v="138"/>
    <x v="138"/>
    <s v="CUST08867"/>
    <s v="Nisha Kapoor"/>
    <n v="12"/>
    <s v="Other"/>
    <x v="0"/>
    <s v="Raipur"/>
    <x v="5"/>
    <s v="Tablet"/>
    <n v="2"/>
    <n v="69342.570000000007"/>
    <n v="0.08"/>
    <n v="154630.39000000001"/>
    <n v="18946.95"/>
    <n v="47.74"/>
    <s v="Net Banking"/>
    <x v="3"/>
    <b v="0"/>
    <x v="1"/>
    <n v="6"/>
  </r>
  <r>
    <s v="ORD-00073"/>
    <x v="139"/>
    <x v="139"/>
    <s v="CUST44662"/>
    <s v="Ananya Nair"/>
    <n v="999"/>
    <s v="Male"/>
    <x v="2"/>
    <s v="Delhi"/>
    <x v="6"/>
    <s v="Dumbbells"/>
    <n v="4"/>
    <n v="12945.28"/>
    <n v="0.13"/>
    <n v="31129.56"/>
    <n v="7042.29"/>
    <n v="65.38"/>
    <s v="Credit Card"/>
    <x v="1"/>
    <b v="0"/>
    <x v="1"/>
    <n v="4"/>
  </r>
  <r>
    <s v="ORD-02497"/>
    <x v="140"/>
    <x v="140"/>
    <s v="CUST57740"/>
    <s v="Sunita Verma"/>
    <n v="19"/>
    <s v="Male"/>
    <x v="3"/>
    <s v="Kolkata"/>
    <x v="2"/>
    <s v="Bookshelf"/>
    <n v="5"/>
    <n v="29767.34"/>
    <n v="0.16"/>
    <n v="92126.76"/>
    <n v="24089.4"/>
    <n v="72.23"/>
    <s v="Cash on Delivery"/>
    <x v="0"/>
    <b v="0"/>
    <x v="3"/>
    <n v="6"/>
  </r>
  <r>
    <s v="ORD-03163"/>
    <x v="141"/>
    <x v="141"/>
    <s v="CUST87976"/>
    <s v="Amit Singh"/>
    <n v="29"/>
    <s v="Male"/>
    <x v="2"/>
    <s v="Chandigarh"/>
    <x v="6"/>
    <s v="Cricket Bat"/>
    <n v="3"/>
    <n v="14810.59"/>
    <n v="0.08"/>
    <n v="44578.62"/>
    <n v="10260.620000000001"/>
    <n v="65.69"/>
    <s v="Cash on Delivery"/>
    <x v="0"/>
    <b v="0"/>
    <x v="1"/>
    <n v="5"/>
  </r>
  <r>
    <s v="ORD-03997"/>
    <x v="142"/>
    <x v="142"/>
    <s v="CUST57164"/>
    <s v="Karan Reddy"/>
    <n v="36"/>
    <s v="Male"/>
    <x v="3"/>
    <s v="Bhubaneswar"/>
    <x v="1"/>
    <s v="Sunscreen"/>
    <n v="4"/>
    <n v="2333.1"/>
    <n v="0.22"/>
    <n v="11296.75"/>
    <n v="4828.37"/>
    <n v="72.08"/>
    <s v="UPI"/>
    <x v="0"/>
    <b v="1"/>
    <x v="0"/>
    <n v="10"/>
  </r>
  <r>
    <s v="ORD-02268"/>
    <x v="12"/>
    <x v="12"/>
    <s v="CUST89600"/>
    <s v="Aarav Joshi"/>
    <n v="51"/>
    <s v="Male"/>
    <x v="4"/>
    <s v="Chennai"/>
    <x v="6"/>
    <s v="Football"/>
    <n v="2"/>
    <n v="13833.36"/>
    <n v="0.06"/>
    <n v="30150.799999999999"/>
    <n v="8534.61"/>
    <n v="40.57"/>
    <s v="Net Banking"/>
    <x v="0"/>
    <b v="0"/>
    <x v="1"/>
    <n v="8"/>
  </r>
  <r>
    <s v="ORD-01535"/>
    <x v="143"/>
    <x v="143"/>
    <s v="CUST92130"/>
    <s v="Sunita Shah"/>
    <n v="34"/>
    <s v="Other"/>
    <x v="0"/>
    <s v="Nagpur"/>
    <x v="2"/>
    <s v="Chair"/>
    <n v="5"/>
    <n v="9804.75"/>
    <n v="0.09"/>
    <n v="36117.01"/>
    <n v="8077.49"/>
    <n v="70.12"/>
    <s v="UPI"/>
    <x v="4"/>
    <b v="0"/>
    <x v="1"/>
    <n v="5"/>
  </r>
  <r>
    <s v="ORD-02522"/>
    <x v="144"/>
    <x v="144"/>
    <s v="CUST79852"/>
    <s v="Nisha Kapoor"/>
    <n v="26"/>
    <s v="Male"/>
    <x v="1"/>
    <s v="Pune"/>
    <x v="3"/>
    <s v="Textbook"/>
    <n v="3"/>
    <n v="1379.58"/>
    <n v="0.06"/>
    <n v="3040.53"/>
    <n v="976.28"/>
    <n v="64.67"/>
    <s v="Net Banking"/>
    <x v="2"/>
    <b v="0"/>
    <x v="4"/>
    <n v="4"/>
  </r>
  <r>
    <s v="ORD-02356"/>
    <x v="145"/>
    <x v="145"/>
    <s v="CUST40158"/>
    <s v="Kavya Pillai"/>
    <n v="36"/>
    <s v="Male"/>
    <x v="4"/>
    <s v="Chennai"/>
    <x v="2"/>
    <s v="Chair"/>
    <n v="8"/>
    <n v="33543.43"/>
    <n v="0.22"/>
    <n v="218733.7"/>
    <n v="59861.82"/>
    <n v="56.8"/>
    <s v="EMI"/>
    <x v="3"/>
    <b v="0"/>
    <x v="1"/>
    <n v="8"/>
  </r>
  <r>
    <s v="ORD-03607"/>
    <x v="146"/>
    <x v="146"/>
    <s v="CUST69333"/>
    <s v="Pooja Iyer"/>
    <n v="31"/>
    <s v="Female"/>
    <x v="4"/>
    <s v="Bangalore"/>
    <x v="1"/>
    <s v="Perfume"/>
    <n v="6"/>
    <n v="1423.12"/>
    <n v="0.11"/>
    <n v="10606.52"/>
    <n v="4315.91"/>
    <n v="75.2"/>
    <s v="Cash on Delivery"/>
    <x v="2"/>
    <b v="1"/>
    <x v="0"/>
    <n v="4"/>
  </r>
  <r>
    <s v="ORD-01868"/>
    <x v="147"/>
    <x v="147"/>
    <s v="CUST05359"/>
    <s v="Aditya Mehta"/>
    <n v="26"/>
    <s v="Female"/>
    <x v="3"/>
    <s v="Kolkata"/>
    <x v="5"/>
    <s v="Camera"/>
    <n v="8"/>
    <n v="64439.74"/>
    <n v="0.23"/>
    <n v="542100.67000000004"/>
    <n v="80671.009999999995"/>
    <n v="103.41"/>
    <s v="Debit Card"/>
    <x v="4"/>
    <b v="0"/>
    <x v="1"/>
    <n v="3"/>
  </r>
  <r>
    <s v="ORD-00888"/>
    <x v="148"/>
    <x v="148"/>
    <s v="CUST27547"/>
    <s v="Shreya Gupta"/>
    <n v="49"/>
    <s v="Male"/>
    <x v="4"/>
    <s v="Chennai"/>
    <x v="5"/>
    <s v="Smartwatch"/>
    <n v="10"/>
    <n v="72812.39"/>
    <n v="0.28999999999999998"/>
    <n v="520084.41"/>
    <n v="94437.03"/>
    <n v="76.77"/>
    <s v="Net Banking"/>
    <x v="3"/>
    <b v="1"/>
    <x v="0"/>
    <n v="10"/>
  </r>
  <r>
    <s v="ORD-01208"/>
    <x v="149"/>
    <x v="149"/>
    <s v="CUST72453"/>
    <s v="Arjun Joshi"/>
    <n v="31"/>
    <s v="Male"/>
    <x v="4"/>
    <s v="Hyderabad"/>
    <x v="2"/>
    <s v="Chair"/>
    <n v="6"/>
    <n v="3208.32"/>
    <n v="0.25"/>
    <n v="24685.74"/>
    <n v="5146.1000000000004"/>
    <n v="81.25"/>
    <s v="UPI"/>
    <x v="2"/>
    <b v="0"/>
    <x v="2"/>
    <n v="0"/>
  </r>
  <r>
    <s v="ORD-02771"/>
    <x v="150"/>
    <x v="150"/>
    <s v="CUST00213"/>
    <s v="Ritu Reddy"/>
    <n v="47"/>
    <s v="Male"/>
    <x v="3"/>
    <s v="Kolkata"/>
    <x v="1"/>
    <s v="Sunscreen"/>
    <n v="8"/>
    <n v="415.72"/>
    <n v="0.01"/>
    <n v="4769.26"/>
    <n v="1796.21"/>
    <n v="54.55"/>
    <s v="EMI"/>
    <x v="0"/>
    <b v="0"/>
    <x v="1"/>
    <n v="5"/>
  </r>
  <r>
    <s v="ORD-00591"/>
    <x v="151"/>
    <x v="151"/>
    <s v="CUST49777"/>
    <s v="Pooja Shah"/>
    <n v="33"/>
    <s v="Female"/>
    <x v="4"/>
    <s v="Hyderabad"/>
    <x v="0"/>
    <s v="Tea"/>
    <n v="1"/>
    <n v="389.24"/>
    <n v="0.23"/>
    <n v="313.86"/>
    <n v="22.71"/>
    <n v="66.8"/>
    <s v="Net Banking"/>
    <x v="1"/>
    <b v="0"/>
    <x v="1"/>
    <n v="10"/>
  </r>
  <r>
    <s v="ORD-03777"/>
    <x v="152"/>
    <x v="152"/>
    <s v="CUST77207"/>
    <s v="Sanjay Joshi"/>
    <n v="25"/>
    <s v="Female"/>
    <x v="2"/>
    <s v="Ludhiana"/>
    <x v="3"/>
    <s v="Self-Help Book"/>
    <n v="5"/>
    <n v="1486.09"/>
    <n v="0.11"/>
    <n v="1967.1"/>
    <n v="719.18"/>
    <n v="43.92"/>
    <s v="Cash on Delivery"/>
    <x v="4"/>
    <b v="0"/>
    <x v="1"/>
    <n v="1"/>
  </r>
  <r>
    <s v="ORD-03456"/>
    <x v="153"/>
    <x v="153"/>
    <s v="CUST58295"/>
    <s v="Sunita Iyer"/>
    <n v="38"/>
    <s v="Male"/>
    <x v="3"/>
    <s v="Kolkata"/>
    <x v="5"/>
    <s v="Smartwatch"/>
    <n v="4"/>
    <n v="15346.11"/>
    <n v="0.06"/>
    <n v="67060.7"/>
    <n v="9998.89"/>
    <n v="93.55"/>
    <s v="Cash on Delivery"/>
    <x v="3"/>
    <b v="0"/>
    <x v="1"/>
    <n v="6"/>
  </r>
  <r>
    <s v="ORD-03788"/>
    <x v="154"/>
    <x v="154"/>
    <s v="CUST59409"/>
    <s v="Sanjay Rao"/>
    <n v="49"/>
    <s v="Male"/>
    <x v="0"/>
    <s v="Raipur"/>
    <x v="3"/>
    <s v="Biography"/>
    <n v="8"/>
    <n v="1499.77"/>
    <n v="0.37"/>
    <n v="11632.7"/>
    <n v="4863.95"/>
    <n v="68.319999999999993"/>
    <s v="UPI"/>
    <x v="1"/>
    <b v="0"/>
    <x v="1"/>
    <n v="3"/>
  </r>
  <r>
    <s v="ORD-01031"/>
    <x v="155"/>
    <x v="155"/>
    <s v="CUST25835"/>
    <s v="Pooja Shah"/>
    <n v="26"/>
    <s v="Male"/>
    <x v="4"/>
    <s v="Bangalore"/>
    <x v="3"/>
    <s v="Fiction Novel"/>
    <n v="9"/>
    <n v="816.35"/>
    <n v="0.12"/>
    <n v="7711.33"/>
    <n v="3255"/>
    <n v="81.14"/>
    <s v="UPI"/>
    <x v="1"/>
    <b v="1"/>
    <x v="0"/>
    <n v="3"/>
  </r>
  <r>
    <s v="ORD-03205"/>
    <x v="156"/>
    <x v="156"/>
    <s v="CUST12676"/>
    <s v="Meera Iyer"/>
    <n v="40"/>
    <s v="Male"/>
    <x v="3"/>
    <s v="Bhubaneswar"/>
    <x v="6"/>
    <s v="Dumbbells"/>
    <n v="7"/>
    <n v="12597.24"/>
    <n v="0.11"/>
    <n v="77124.12"/>
    <n v="20197.939999999999"/>
    <n v="79.69"/>
    <s v="Net Banking"/>
    <x v="2"/>
    <b v="0"/>
    <x v="1"/>
    <n v="8"/>
  </r>
  <r>
    <s v="ORD-03330"/>
    <x v="157"/>
    <x v="157"/>
    <s v="CUST18271"/>
    <s v="Pooja Chatterjee"/>
    <n v="34"/>
    <s v="Male"/>
    <x v="1"/>
    <s v="Pune"/>
    <x v="4"/>
    <s v="Jeans"/>
    <n v="3"/>
    <n v="1850.1"/>
    <n v="0.03"/>
    <n v="4811.57"/>
    <n v="1286.23"/>
    <n v="78.13"/>
    <s v="EMI"/>
    <x v="3"/>
    <b v="0"/>
    <x v="1"/>
    <n v="10"/>
  </r>
  <r>
    <s v="ORD-03149"/>
    <x v="158"/>
    <x v="158"/>
    <s v="CUST52921"/>
    <s v="Vikram Nair"/>
    <n v="18"/>
    <s v="Female"/>
    <x v="3"/>
    <s v="Patna"/>
    <x v="4"/>
    <s v="Dress"/>
    <n v="10"/>
    <n v="2309.23"/>
    <n v="0.02"/>
    <n v="28827.02"/>
    <n v="8270.7999999999993"/>
    <n v="94.75"/>
    <s v="Cash on Delivery"/>
    <x v="0"/>
    <b v="0"/>
    <x v="1"/>
    <n v="5"/>
  </r>
  <r>
    <s v="ORD-00490"/>
    <x v="57"/>
    <x v="57"/>
    <s v="CUST00642"/>
    <s v="Kavya Das"/>
    <n v="40"/>
    <s v="Male"/>
    <x v="4"/>
    <s v="Chennai"/>
    <x v="2"/>
    <s v="Wardrobe"/>
    <n v="5"/>
    <n v="12250.19"/>
    <n v="0.32"/>
    <n v="45443.23"/>
    <n v="11573.16"/>
    <n v="71.75"/>
    <s v="EMI"/>
    <x v="0"/>
    <b v="0"/>
    <x v="1"/>
    <n v="6"/>
  </r>
  <r>
    <s v="ORD-00653"/>
    <x v="159"/>
    <x v="159"/>
    <s v="CUST35559"/>
    <s v="Ritu Nair"/>
    <n v="22"/>
    <s v="Female"/>
    <x v="0"/>
    <s v="Nagpur"/>
    <x v="3"/>
    <s v="Textbook"/>
    <n v="3"/>
    <n v="835.42"/>
    <n v="0.33"/>
    <n v="1423.3"/>
    <n v="458.44"/>
    <n v="55.32"/>
    <s v="Cash on Delivery"/>
    <x v="1"/>
    <b v="0"/>
    <x v="1"/>
    <n v="1"/>
  </r>
  <r>
    <s v="ORD-01457"/>
    <x v="160"/>
    <x v="160"/>
    <s v="CUST96946"/>
    <s v="Sunita Sharma"/>
    <n v="53"/>
    <s v="Other"/>
    <x v="4"/>
    <s v="Chennai"/>
    <x v="5"/>
    <s v="Headphones"/>
    <n v="9"/>
    <n v="62284.37"/>
    <n v="0.36"/>
    <n v="295233.56"/>
    <n v="40519.72"/>
    <n v="81.150000000000006"/>
    <s v="Credit Card"/>
    <x v="0"/>
    <b v="0"/>
    <x v="1"/>
    <n v="8"/>
  </r>
  <r>
    <s v="ORD-03779"/>
    <x v="161"/>
    <x v="161"/>
    <s v="CUST68889"/>
    <s v="Vikram Chatterjee"/>
    <n v="56"/>
    <s v="Other"/>
    <x v="2"/>
    <s v="Ludhiana"/>
    <x v="3"/>
    <s v="Fiction Novel"/>
    <n v="2"/>
    <n v="493.07"/>
    <n v="0.4"/>
    <n v="1034.25"/>
    <n v="466.16"/>
    <n v="79.959999999999994"/>
    <s v="Net Banking"/>
    <x v="1"/>
    <b v="0"/>
    <x v="1"/>
    <n v="5"/>
  </r>
  <r>
    <s v="ORD-01596"/>
    <x v="162"/>
    <x v="162"/>
    <s v="CUST72370"/>
    <s v="Priya Verma"/>
    <n v="34"/>
    <s v="Other"/>
    <x v="2"/>
    <s v="Delhi"/>
    <x v="6"/>
    <s v="Dumbbells"/>
    <n v="2"/>
    <n v="4486.05"/>
    <n v="0.21"/>
    <n v="5037.7700000000004"/>
    <n v="1061.82"/>
    <n v="70.400000000000006"/>
    <s v="UPI"/>
    <x v="2"/>
    <b v="0"/>
    <x v="1"/>
    <n v="3"/>
  </r>
  <r>
    <s v="ORD-00928"/>
    <x v="163"/>
    <x v="163"/>
    <s v="CUST88225"/>
    <s v="Pooja Mishra"/>
    <n v="37"/>
    <s v="Female"/>
    <x v="4"/>
    <s v="Hyderabad"/>
    <x v="4"/>
    <s v="Dress"/>
    <n v="2"/>
    <n v="2323.11"/>
    <n v="0.1"/>
    <n v="3708.79"/>
    <n v="1138.78"/>
    <n v="85.32"/>
    <s v="Net Banking"/>
    <x v="3"/>
    <b v="0"/>
    <x v="1"/>
    <n v="7"/>
  </r>
  <r>
    <s v="ORD-00710"/>
    <x v="164"/>
    <x v="164"/>
    <s v="CUST57843"/>
    <s v="Meera Nair"/>
    <n v="51"/>
    <s v="Female"/>
    <x v="3"/>
    <s v="Bhubaneswar"/>
    <x v="3"/>
    <s v="Fiction Novel"/>
    <n v="10"/>
    <n v="331.1"/>
    <n v="0.39"/>
    <n v="1477.96"/>
    <n v="435.14"/>
    <n v="84.94"/>
    <s v="Cash on Delivery"/>
    <x v="1"/>
    <b v="0"/>
    <x v="1"/>
    <n v="7"/>
  </r>
  <r>
    <s v="ORD-03999"/>
    <x v="165"/>
    <x v="165"/>
    <s v="CUST81465"/>
    <s v="Rohan Pillai"/>
    <n v="38"/>
    <s v="Male"/>
    <x v="0"/>
    <s v="Indore"/>
    <x v="0"/>
    <s v="Flour"/>
    <n v="5"/>
    <n v="195.29"/>
    <n v="0.16"/>
    <n v="1055.0999999999999"/>
    <n v="81.38"/>
    <n v="32.28"/>
    <s v="Credit Card"/>
    <x v="0"/>
    <b v="0"/>
    <x v="3"/>
    <n v="5"/>
  </r>
  <r>
    <s v="ORD-01536"/>
    <x v="166"/>
    <x v="166"/>
    <s v="CUST55972"/>
    <s v="Rohan Kumar"/>
    <n v="47"/>
    <s v="Male"/>
    <x v="1"/>
    <s v="Surat"/>
    <x v="4"/>
    <s v="Kurta"/>
    <n v="10"/>
    <n v="1224.47"/>
    <n v="0.4"/>
    <n v="5546.22"/>
    <n v="2019.44"/>
    <n v="52.99"/>
    <s v="Debit Card"/>
    <x v="4"/>
    <b v="0"/>
    <x v="1"/>
    <n v="6"/>
  </r>
  <r>
    <s v="ORD-03376"/>
    <x v="167"/>
    <x v="167"/>
    <s v="CUST86469"/>
    <s v="Aarav Mehta"/>
    <n v="43"/>
    <s v="Other"/>
    <x v="4"/>
    <s v="Hyderabad"/>
    <x v="1"/>
    <s v="Lipstick"/>
    <n v="7"/>
    <n v="1828.2"/>
    <n v="0.21"/>
    <n v="9118.6299999999992"/>
    <n v="3919.89"/>
    <n v="72.63"/>
    <s v="Credit Card"/>
    <x v="2"/>
    <b v="0"/>
    <x v="1"/>
    <n v="1"/>
  </r>
  <r>
    <s v="ORD-00542"/>
    <x v="168"/>
    <x v="168"/>
    <s v="CUST19508"/>
    <s v="Arjun Rao"/>
    <n v="28"/>
    <s v="Male"/>
    <x v="1"/>
    <s v="Pune"/>
    <x v="5"/>
    <s v="Smartwatch"/>
    <n v="0"/>
    <n v="9189.44"/>
    <n v="0.19"/>
    <n v="8306.2900000000009"/>
    <n v="916.95"/>
    <n v="59.91"/>
    <s v="Debit Card"/>
    <x v="2"/>
    <b v="0"/>
    <x v="1"/>
    <n v="5"/>
  </r>
  <r>
    <s v="ORD-00273"/>
    <x v="169"/>
    <x v="169"/>
    <s v="CUST92554"/>
    <s v="Nisha Joshi"/>
    <n v="34"/>
    <s v="Other"/>
    <x v="1"/>
    <s v="Pune"/>
    <x v="5"/>
    <s v="Laptop"/>
    <n v="8"/>
    <n v="74156.479999999996"/>
    <n v="0.02"/>
    <n v="789939.57"/>
    <n v="58250.48"/>
    <n v="75.8"/>
    <s v="Credit Card"/>
    <x v="1"/>
    <b v="0"/>
    <x v="1"/>
    <n v="2"/>
  </r>
  <r>
    <s v="ORD-03823"/>
    <x v="170"/>
    <x v="170"/>
    <s v="CUST65889"/>
    <s v="Priya Verma"/>
    <n v="52"/>
    <s v="Female"/>
    <x v="0"/>
    <s v="Indore"/>
    <x v="0"/>
    <s v="Sugar"/>
    <n v="6"/>
    <n v="462.8"/>
    <n v="0.2"/>
    <n v="3702.45"/>
    <n v="265.27999999999997"/>
    <n v="81.010000000000005"/>
    <s v="Cash on Delivery"/>
    <x v="2"/>
    <b v="0"/>
    <x v="1"/>
    <n v="7"/>
  </r>
  <r>
    <s v="ORD-02004"/>
    <x v="171"/>
    <x v="171"/>
    <s v="CUST71669"/>
    <s v="Nikhil Singh"/>
    <n v="17"/>
    <s v="Other"/>
    <x v="1"/>
    <s v="Mumbai"/>
    <x v="3"/>
    <s v="Self-Help Book"/>
    <n v="4"/>
    <n v="664.43"/>
    <n v="0.18"/>
    <n v="2827.28"/>
    <n v="858.56"/>
    <n v="89.26"/>
    <s v="Net Banking"/>
    <x v="0"/>
    <b v="0"/>
    <x v="1"/>
    <n v="8"/>
  </r>
  <r>
    <s v="ORD-04015"/>
    <x v="172"/>
    <x v="172"/>
    <s v="CUST50530"/>
    <s v="Nikhil Patel"/>
    <n v="36"/>
    <s v="Male"/>
    <x v="2"/>
    <s v="Amritsar"/>
    <x v="2"/>
    <s v="Bed Frame"/>
    <n v="5"/>
    <n v="16493.240000000002"/>
    <n v="0.1"/>
    <n v="95102.09"/>
    <n v="29222.3"/>
    <n v="63.55"/>
    <s v="Cash on Delivery"/>
    <x v="1"/>
    <b v="0"/>
    <x v="1"/>
    <n v="5"/>
  </r>
  <r>
    <s v="ORD-01540"/>
    <x v="166"/>
    <x v="166"/>
    <s v="CUST28110"/>
    <s v="Kavya Rao"/>
    <n v="28"/>
    <s v="Male"/>
    <x v="2"/>
    <s v="Delhi"/>
    <x v="4"/>
    <s v="Jeans"/>
    <n v="9"/>
    <n v="577.16"/>
    <n v="0.35"/>
    <n v="2706.28"/>
    <n v="896.42"/>
    <n v="45.41"/>
    <s v="UPI"/>
    <x v="0"/>
    <b v="1"/>
    <x v="0"/>
    <n v="2"/>
  </r>
  <r>
    <s v="ORD-03094"/>
    <x v="173"/>
    <x v="173"/>
    <s v="CUST98803"/>
    <s v="Vikram Joshi"/>
    <n v="42"/>
    <s v="Male"/>
    <x v="4"/>
    <s v="Kochi"/>
    <x v="2"/>
    <s v="Bed Frame"/>
    <n v="6"/>
    <n v="21712.77"/>
    <n v="0.14000000000000001"/>
    <n v="157859.91"/>
    <n v="48496.37"/>
    <n v="62.68"/>
    <s v="EMI"/>
    <x v="3"/>
    <b v="0"/>
    <x v="3"/>
    <n v="9"/>
  </r>
  <r>
    <s v="ORD-03859"/>
    <x v="174"/>
    <x v="174"/>
    <s v="CUST22956"/>
    <s v="Deepa Chatterjee"/>
    <n v="32"/>
    <s v="Other"/>
    <x v="1"/>
    <s v="Surat"/>
    <x v="1"/>
    <s v="Hair Oil"/>
    <n v="5"/>
    <n v="2341.12"/>
    <n v="7.0000000000000007E-2"/>
    <n v="14424.73"/>
    <n v="7388.44"/>
    <n v="70.78"/>
    <s v="Credit Card"/>
    <x v="0"/>
    <b v="1"/>
    <x v="0"/>
    <n v="3"/>
  </r>
  <r>
    <s v="ORD-01861"/>
    <x v="175"/>
    <x v="175"/>
    <s v="CUST08538"/>
    <s v="Shreya Kapoor"/>
    <n v="33"/>
    <s v="Male"/>
    <x v="1"/>
    <s v="Surat"/>
    <x v="1"/>
    <s v="Lipstick"/>
    <n v="3"/>
    <n v="992.1"/>
    <n v="0.25"/>
    <n v="3344.42"/>
    <n v="1765.61"/>
    <n v="59.26"/>
    <s v="Credit Card"/>
    <x v="0"/>
    <b v="0"/>
    <x v="3"/>
    <n v="4"/>
  </r>
  <r>
    <s v="ORD-02147"/>
    <x v="176"/>
    <x v="176"/>
    <s v="CUST10089"/>
    <s v="Vikram Bhat"/>
    <n v="47"/>
    <s v="Other"/>
    <x v="3"/>
    <s v="Patna"/>
    <x v="4"/>
    <s v="Saree"/>
    <n v="2"/>
    <n v="3551.33"/>
    <n v="0.03"/>
    <n v="9440.7800000000007"/>
    <n v="3804.23"/>
    <n v="97.74"/>
    <s v="Net Banking"/>
    <x v="0"/>
    <b v="0"/>
    <x v="1"/>
    <n v="8"/>
  </r>
  <r>
    <s v="ORD-03452"/>
    <x v="177"/>
    <x v="177"/>
    <s v="CUST47815"/>
    <s v="Aditya Shah"/>
    <n v="34"/>
    <s v="Female"/>
    <x v="2"/>
    <s v="Delhi"/>
    <x v="6"/>
    <s v="Tennis Racket"/>
    <n v="2"/>
    <n v="9159.84"/>
    <n v="0.21"/>
    <n v="17159.150000000001"/>
    <n v="4525.93"/>
    <n v="58.04"/>
    <s v="EMI"/>
    <x v="2"/>
    <b v="0"/>
    <x v="1"/>
    <n v="4"/>
  </r>
  <r>
    <s v="ORD-01640"/>
    <x v="178"/>
    <x v="178"/>
    <s v="CUST78194"/>
    <s v="Shreya Mishra"/>
    <n v="58"/>
    <s v="Male"/>
    <x v="1"/>
    <s v="Mumbai"/>
    <x v="6"/>
    <s v="Yoga Mat"/>
    <n v="3"/>
    <n v="726.67"/>
    <n v="0.34"/>
    <n v="1042.72"/>
    <n v="281.95"/>
    <n v="34.18"/>
    <s v="Cash on Delivery"/>
    <x v="4"/>
    <b v="0"/>
    <x v="4"/>
    <n v="9"/>
  </r>
  <r>
    <s v="ORD-02680"/>
    <x v="179"/>
    <x v="179"/>
    <s v="CUST75386"/>
    <s v="Rohan Mishra"/>
    <n v="14"/>
    <s v="Male"/>
    <x v="3"/>
    <s v="Guwahati"/>
    <x v="5"/>
    <s v="Headphones"/>
    <n v="3"/>
    <n v="65257.11"/>
    <n v="0.2"/>
    <n v="196362.97"/>
    <n v="27495.56"/>
    <n v="51.41"/>
    <s v="UPI"/>
    <x v="4"/>
    <b v="1"/>
    <x v="0"/>
    <n v="4"/>
  </r>
  <r>
    <s v="ORD-03902"/>
    <x v="180"/>
    <x v="180"/>
    <s v="CUST28307"/>
    <s v="Nisha Bhat"/>
    <n v="48"/>
    <s v="Other"/>
    <x v="0"/>
    <s v="Indore"/>
    <x v="3"/>
    <s v="Self-Help Book"/>
    <n v="6"/>
    <n v="797.16"/>
    <n v="0.34"/>
    <n v="4735.21"/>
    <n v="1174.5899999999999"/>
    <n v="15.7"/>
    <s v="Cash on Delivery"/>
    <x v="2"/>
    <b v="0"/>
    <x v="4"/>
    <n v="2"/>
  </r>
  <r>
    <s v="ORD-03310"/>
    <x v="181"/>
    <x v="181"/>
    <s v="CUST44114"/>
    <s v="Aditya Mehta"/>
    <n v="36"/>
    <s v="Female"/>
    <x v="2"/>
    <s v="Ludhiana"/>
    <x v="6"/>
    <s v="Cricket Bat"/>
    <n v="5"/>
    <n v="11000.34"/>
    <n v="0.04"/>
    <n v="9272.7099999999991"/>
    <n v="1339.4"/>
    <n v="62.5"/>
    <s v="Net Banking"/>
    <x v="4"/>
    <b v="0"/>
    <x v="3"/>
    <n v="2"/>
  </r>
  <r>
    <s v="ORD-00280"/>
    <x v="182"/>
    <x v="182"/>
    <s v="CUST00544"/>
    <s v="Sanjay Joshi"/>
    <n v="26"/>
    <s v="Male"/>
    <x v="2"/>
    <s v="Ludhiana"/>
    <x v="3"/>
    <s v="Textbook"/>
    <n v="10"/>
    <n v="1346.41"/>
    <n v="0.24"/>
    <n v="12502.33"/>
    <n v="5924.88"/>
    <n v="55.15"/>
    <s v="UPI"/>
    <x v="4"/>
    <b v="0"/>
    <x v="2"/>
    <n v="2"/>
  </r>
  <r>
    <s v="ORD-03732"/>
    <x v="100"/>
    <x v="100"/>
    <s v="CUST93241"/>
    <s v="Nikhil Patel"/>
    <n v="31"/>
    <s v="Female"/>
    <x v="2"/>
    <s v="Chandigarh"/>
    <x v="4"/>
    <s v="Jeans"/>
    <n v="10"/>
    <n v="1828.09"/>
    <n v="0.4"/>
    <n v="18651.13"/>
    <n v="4543.72"/>
    <n v="54.66"/>
    <s v="UPI"/>
    <x v="1"/>
    <b v="0"/>
    <x v="1"/>
    <n v="10"/>
  </r>
  <r>
    <s v="ORD-01188"/>
    <x v="183"/>
    <x v="183"/>
    <s v="CUST64503"/>
    <s v="Vikram Gupta"/>
    <n v="27"/>
    <s v="Other"/>
    <x v="0"/>
    <s v="Raipur"/>
    <x v="2"/>
    <s v="Wardrobe"/>
    <n v="5"/>
    <n v="27399.66"/>
    <n v="0.38"/>
    <n v="132575.91"/>
    <n v="31097.38"/>
    <n v="50.34"/>
    <s v="Net Banking"/>
    <x v="0"/>
    <b v="0"/>
    <x v="1"/>
    <n v="4"/>
  </r>
  <r>
    <s v="ORD-02746"/>
    <x v="184"/>
    <x v="184"/>
    <s v="CUST71887"/>
    <s v="Nisha Kapoor"/>
    <n v="30"/>
    <s v="Other"/>
    <x v="3"/>
    <s v="Bhubaneswar"/>
    <x v="3"/>
    <s v="Textbook"/>
    <n v="10"/>
    <n v="1221.02"/>
    <n v="0.17"/>
    <n v="15191.82"/>
    <n v="5083.3"/>
    <n v="86.46"/>
    <s v="EMI"/>
    <x v="1"/>
    <b v="0"/>
    <x v="2"/>
    <n v="4"/>
  </r>
  <r>
    <s v="ORD-02871"/>
    <x v="40"/>
    <x v="40"/>
    <s v="CUST88518"/>
    <s v="Aditya Bose"/>
    <n v="58"/>
    <s v="Female"/>
    <x v="4"/>
    <s v="Hyderabad"/>
    <x v="5"/>
    <s v="Headphones"/>
    <n v="5"/>
    <n v="26851.1"/>
    <n v="0.03"/>
    <n v="218111.79"/>
    <n v="24902.1"/>
    <n v="72.55"/>
    <s v="UPI"/>
    <x v="3"/>
    <b v="0"/>
    <x v="1"/>
    <n v="2"/>
  </r>
  <r>
    <s v="ORD-03298"/>
    <x v="185"/>
    <x v="185"/>
    <s v="CUST82100"/>
    <s v="Pooja Kapoor"/>
    <n v="-5"/>
    <s v="Female"/>
    <x v="1"/>
    <s v="Surat"/>
    <x v="6"/>
    <s v="Football"/>
    <n v="3"/>
    <n v="11118.32"/>
    <n v="0.3"/>
    <n v="22974.82"/>
    <n v="4866.53"/>
    <n v="53.21"/>
    <s v="Net Banking"/>
    <x v="2"/>
    <b v="1"/>
    <x v="0"/>
    <n v="9"/>
  </r>
  <r>
    <s v="ORD-00693"/>
    <x v="186"/>
    <x v="186"/>
    <s v="CUST90563"/>
    <s v="Rahul Kumar"/>
    <n v="31"/>
    <s v="Male"/>
    <x v="2"/>
    <s v="Delhi"/>
    <x v="1"/>
    <s v="Hair Oil"/>
    <n v="10"/>
    <n v="1973.78"/>
    <n v="7.0000000000000007E-2"/>
    <n v="14584.96"/>
    <n v="5325.39"/>
    <n v="34.79"/>
    <s v="Credit Card"/>
    <x v="2"/>
    <b v="0"/>
    <x v="1"/>
    <n v="8"/>
  </r>
  <r>
    <s v="ORD-02945"/>
    <x v="187"/>
    <x v="187"/>
    <s v="CUST19434"/>
    <s v="Aarav Das"/>
    <n v="28"/>
    <s v="Other"/>
    <x v="3"/>
    <s v="Guwahati"/>
    <x v="2"/>
    <s v="Bed Frame"/>
    <n v="9"/>
    <n v="12800.64"/>
    <n v="0.3"/>
    <n v="120310.49"/>
    <n v="28867.05"/>
    <n v="77.17"/>
    <s v="Cash on Delivery"/>
    <x v="1"/>
    <b v="0"/>
    <x v="1"/>
    <n v="7"/>
  </r>
  <r>
    <s v="ORD-00291"/>
    <x v="188"/>
    <x v="188"/>
    <s v="CUST36091"/>
    <s v="Meera Mehta"/>
    <n v="43"/>
    <s v="Other"/>
    <x v="2"/>
    <s v="Delhi"/>
    <x v="5"/>
    <s v="Laptop"/>
    <n v="5"/>
    <n v="16919.29"/>
    <n v="0.06"/>
    <n v="117489.88"/>
    <n v="14930.93"/>
    <n v="59.99"/>
    <s v="UPI"/>
    <x v="1"/>
    <b v="1"/>
    <x v="0"/>
    <n v="10"/>
  </r>
  <r>
    <s v="ORD-02931"/>
    <x v="189"/>
    <x v="189"/>
    <s v="CUST81737"/>
    <s v="Ananya Joshi"/>
    <n v="36"/>
    <s v="Other"/>
    <x v="1"/>
    <s v="Surat"/>
    <x v="1"/>
    <s v="Shampoo"/>
    <n v="8"/>
    <n v="1976.85"/>
    <n v="0.3"/>
    <n v="17609.099999999999"/>
    <n v="8544.51"/>
    <n v="81.44"/>
    <s v="Debit Card"/>
    <x v="2"/>
    <b v="0"/>
    <x v="1"/>
    <n v="6"/>
  </r>
  <r>
    <s v="ORD-00530"/>
    <x v="190"/>
    <x v="190"/>
    <s v="CUST91144"/>
    <s v="Sanjay Iyer"/>
    <n v="29"/>
    <s v="Male"/>
    <x v="3"/>
    <s v="Patna"/>
    <x v="1"/>
    <s v="Lipstick"/>
    <n v="1"/>
    <n v="357.7"/>
    <n v="0.24"/>
    <n v="286.61"/>
    <n v="137.44999999999999"/>
    <n v="95.23"/>
    <s v="Credit Card"/>
    <x v="0"/>
    <b v="0"/>
    <x v="1"/>
    <n v="1"/>
  </r>
  <r>
    <s v="ORD-01920"/>
    <x v="191"/>
    <x v="191"/>
    <s v="CUST28329"/>
    <s v="Vikram Sharma"/>
    <n v="28"/>
    <s v="Male"/>
    <x v="1"/>
    <s v="Mumbai"/>
    <x v="0"/>
    <s v="Sugar"/>
    <n v="10"/>
    <n v="321.33999999999997"/>
    <n v="0.16"/>
    <n v="4232.71"/>
    <n v="408.89"/>
    <n v="47.89"/>
    <s v="Credit Card"/>
    <x v="4"/>
    <b v="0"/>
    <x v="1"/>
    <n v="9"/>
  </r>
  <r>
    <s v="ORD-04004"/>
    <x v="192"/>
    <x v="192"/>
    <s v="CUST45019"/>
    <s v="Nikhil Mishra"/>
    <n v="27"/>
    <s v="Other"/>
    <x v="2"/>
    <s v="Amritsar"/>
    <x v="4"/>
    <s v="Dress"/>
    <n v="1"/>
    <n v="2472.06"/>
    <n v="0.23"/>
    <n v="2559.11"/>
    <n v="756.36"/>
    <n v="57.21"/>
    <s v="Net Banking"/>
    <x v="1"/>
    <b v="0"/>
    <x v="1"/>
    <n v="10"/>
  </r>
  <r>
    <s v="ORD-02861"/>
    <x v="193"/>
    <x v="193"/>
    <s v="CUST53780"/>
    <s v="Meera Joshi"/>
    <n v="28"/>
    <s v="Female"/>
    <x v="2"/>
    <s v="Chandigarh"/>
    <x v="2"/>
    <s v="Bed Frame"/>
    <n v="4"/>
    <n v="25915.33"/>
    <n v="0.11"/>
    <n v="132743.41"/>
    <n v="29427.55"/>
    <n v="58.32"/>
    <s v="Debit Card"/>
    <x v="1"/>
    <b v="0"/>
    <x v="1"/>
    <n v="10"/>
  </r>
  <r>
    <s v="ORD-00403"/>
    <x v="194"/>
    <x v="194"/>
    <s v="CUST52549"/>
    <s v="Pooja Rao"/>
    <n v="32"/>
    <s v="Other"/>
    <x v="2"/>
    <s v="Delhi"/>
    <x v="4"/>
    <s v="T-Shirt"/>
    <n v="7"/>
    <n v="2701.8"/>
    <n v="0.09"/>
    <n v="22364.16"/>
    <n v="8609.23"/>
    <n v="56.32"/>
    <s v="Cash on Delivery"/>
    <x v="1"/>
    <b v="1"/>
    <x v="0"/>
    <n v="2"/>
  </r>
  <r>
    <s v="ORD-03741"/>
    <x v="195"/>
    <x v="195"/>
    <s v="CUST11870"/>
    <s v="Arjun Iyer"/>
    <n v="28"/>
    <s v="Other"/>
    <x v="3"/>
    <s v="Kolkata"/>
    <x v="4"/>
    <s v="Jacket"/>
    <n v="4"/>
    <n v="2577.39"/>
    <n v="0.11"/>
    <n v="15407.9"/>
    <n v="5412.09"/>
    <n v="58.52"/>
    <s v="UPI"/>
    <x v="3"/>
    <b v="0"/>
    <x v="1"/>
    <n v="1"/>
  </r>
  <r>
    <s v="ORD-03172"/>
    <x v="196"/>
    <x v="196"/>
    <s v="CUST73615"/>
    <s v="Sanjay Gupta"/>
    <n v="45"/>
    <s v="Male"/>
    <x v="1"/>
    <s v="Surat"/>
    <x v="0"/>
    <s v="Dal (1kg)"/>
    <n v="4"/>
    <n v="309.85000000000002"/>
    <n v="0.04"/>
    <n v="1375.7"/>
    <n v="128.93"/>
    <n v="73.63"/>
    <s v="UPI"/>
    <x v="2"/>
    <b v="1"/>
    <x v="0"/>
    <n v="5"/>
  </r>
  <r>
    <s v="ORD-00749"/>
    <x v="197"/>
    <x v="197"/>
    <s v="CUST43010"/>
    <s v="Priya Gupta"/>
    <n v="33"/>
    <s v="Other"/>
    <x v="0"/>
    <s v="Nagpur"/>
    <x v="4"/>
    <s v="Dress"/>
    <n v="8"/>
    <n v="2574.11"/>
    <n v="0.12"/>
    <n v="12273.11"/>
    <n v="5629.65"/>
    <n v="67.94"/>
    <s v="Credit Card"/>
    <x v="1"/>
    <b v="1"/>
    <x v="0"/>
    <n v="10"/>
  </r>
  <r>
    <s v="ORD-00053"/>
    <x v="198"/>
    <x v="198"/>
    <s v="CUST07190"/>
    <s v="Deepa Kapoor"/>
    <n v="33"/>
    <s v="Other"/>
    <x v="3"/>
    <s v="Guwahati"/>
    <x v="1"/>
    <s v="Lipstick"/>
    <n v="9"/>
    <n v="1931.61"/>
    <n v="0.35"/>
    <n v="10532.18"/>
    <n v="5257.88"/>
    <n v="98.73"/>
    <s v="Net Banking"/>
    <x v="1"/>
    <b v="0"/>
    <x v="1"/>
    <n v="3"/>
  </r>
  <r>
    <s v="ORD-01418"/>
    <x v="199"/>
    <x v="199"/>
    <s v="CUST26109"/>
    <s v="Aditya Gupta"/>
    <n v="52"/>
    <s v="Male"/>
    <x v="0"/>
    <s v="Raipur"/>
    <x v="6"/>
    <s v="Cycle"/>
    <n v="3"/>
    <n v="13585.06"/>
    <n v="0.33"/>
    <n v="26055.86"/>
    <n v="5488.23"/>
    <n v="62.01"/>
    <s v="EMI"/>
    <x v="1"/>
    <b v="0"/>
    <x v="3"/>
    <n v="2"/>
  </r>
  <r>
    <s v="ORD-03527"/>
    <x v="200"/>
    <x v="200"/>
    <s v="CUST89020"/>
    <s v="Meera Patel"/>
    <n v="11"/>
    <s v="Male"/>
    <x v="3"/>
    <s v="Guwahati"/>
    <x v="4"/>
    <s v="T-Shirt"/>
    <n v="2"/>
    <n v="1543.23"/>
    <n v="0.26"/>
    <n v="3196.43"/>
    <n v="1291.0999999999999"/>
    <n v="71.02"/>
    <s v="UPI"/>
    <x v="1"/>
    <b v="0"/>
    <x v="1"/>
    <n v="6"/>
  </r>
  <r>
    <s v="ORD-02382"/>
    <x v="201"/>
    <x v="201"/>
    <s v="CUST54015"/>
    <s v="Shreya Rao"/>
    <n v="48"/>
    <s v="Female"/>
    <x v="1"/>
    <s v="Pune"/>
    <x v="6"/>
    <s v="Dumbbells"/>
    <n v="1"/>
    <n v="14172.12"/>
    <n v="0.14000000000000001"/>
    <n v="12312.75"/>
    <n v="2055.13"/>
    <n v="79.52"/>
    <s v="EMI"/>
    <x v="1"/>
    <b v="0"/>
    <x v="1"/>
    <n v="6"/>
  </r>
  <r>
    <s v="ORD-00601"/>
    <x v="202"/>
    <x v="202"/>
    <s v="CUST39660"/>
    <s v="Priya Pillai"/>
    <n v="53"/>
    <s v="Male"/>
    <x v="4"/>
    <s v="Kochi"/>
    <x v="3"/>
    <s v="Textbook"/>
    <n v="7"/>
    <n v="298.01"/>
    <n v="0.2"/>
    <n v="1735.77"/>
    <n v="683.51"/>
    <n v="71.67"/>
    <s v="EMI"/>
    <x v="3"/>
    <b v="1"/>
    <x v="0"/>
    <n v="2"/>
  </r>
  <r>
    <s v="ORD-00339"/>
    <x v="203"/>
    <x v="203"/>
    <s v="CUST65020"/>
    <s v="Pooja Bhat"/>
    <n v="28"/>
    <s v="Other"/>
    <x v="1"/>
    <s v="Pune"/>
    <x v="2"/>
    <s v="Wardrobe"/>
    <n v="10"/>
    <n v="2690.93"/>
    <n v="0.35"/>
    <n v="23373.24"/>
    <n v="7410.64"/>
    <n v="43.86"/>
    <s v="UPI"/>
    <x v="2"/>
    <b v="1"/>
    <x v="0"/>
    <n v="4"/>
  </r>
  <r>
    <s v="ORD-02825"/>
    <x v="204"/>
    <x v="204"/>
    <s v="CUST40911"/>
    <s v="Ritu Gupta"/>
    <n v="51"/>
    <s v="Other"/>
    <x v="0"/>
    <s v="Raipur"/>
    <x v="0"/>
    <s v="Rice (5kg)"/>
    <n v="1"/>
    <n v="380.33"/>
    <n v="0.2"/>
    <n v="506.19"/>
    <n v="44.82"/>
    <n v="61.88"/>
    <s v="UPI"/>
    <x v="0"/>
    <b v="0"/>
    <x v="1"/>
    <n v="3"/>
  </r>
  <r>
    <s v="ORD-01292"/>
    <x v="205"/>
    <x v="205"/>
    <s v="CUST14859"/>
    <s v="Vikram Mehta"/>
    <n v="21"/>
    <s v="Female"/>
    <x v="1"/>
    <s v="Surat"/>
    <x v="1"/>
    <s v="Lipstick"/>
    <n v="3"/>
    <n v="1302.9000000000001"/>
    <n v="0.23"/>
    <n v="4258.29"/>
    <n v="1724.59"/>
    <n v="82.26"/>
    <s v="UPI"/>
    <x v="3"/>
    <b v="0"/>
    <x v="3"/>
    <n v="5"/>
  </r>
  <r>
    <s v="ORD-03394"/>
    <x v="206"/>
    <x v="206"/>
    <s v="CUST94721"/>
    <s v="Nisha Reddy"/>
    <n v="26"/>
    <s v="Male"/>
    <x v="2"/>
    <s v="Ludhiana"/>
    <x v="5"/>
    <s v="Smartwatch"/>
    <n v="4"/>
    <n v="13215.16"/>
    <n v="0.15"/>
    <n v="41177.25"/>
    <n v="3874.92"/>
    <n v="36.17"/>
    <s v="Net Banking"/>
    <x v="3"/>
    <b v="0"/>
    <x v="1"/>
    <n v="3"/>
  </r>
  <r>
    <s v="ORD-03486"/>
    <x v="207"/>
    <x v="207"/>
    <s v="CUST56798"/>
    <s v="Meera Pillai"/>
    <n v="28"/>
    <s v="Female"/>
    <x v="3"/>
    <s v="Guwahati"/>
    <x v="4"/>
    <s v="Saree"/>
    <n v="5"/>
    <n v="3018.53"/>
    <n v="0.26"/>
    <n v="13152.75"/>
    <n v="5208.9399999999996"/>
    <n v="73.33"/>
    <s v="Credit Card"/>
    <x v="4"/>
    <b v="0"/>
    <x v="4"/>
    <n v="4"/>
  </r>
  <r>
    <s v="ORD-03191"/>
    <x v="208"/>
    <x v="208"/>
    <s v="CUST15190"/>
    <s v="Aditya Shah"/>
    <n v="37"/>
    <s v="Male"/>
    <x v="4"/>
    <s v="Hyderabad"/>
    <x v="1"/>
    <s v="Shampoo"/>
    <n v="4"/>
    <n v="817.47"/>
    <n v="0.24"/>
    <n v="2848.99"/>
    <n v="1431.62"/>
    <n v="61.6"/>
    <s v="Debit Card"/>
    <x v="1"/>
    <b v="0"/>
    <x v="3"/>
    <n v="2"/>
  </r>
  <r>
    <s v="ORD-00183"/>
    <x v="209"/>
    <x v="209"/>
    <s v="CUST16395"/>
    <s v="Sunita Pillai"/>
    <n v="19"/>
    <s v="Other"/>
    <x v="0"/>
    <s v="Raipur"/>
    <x v="1"/>
    <s v="Sunscreen"/>
    <n v="9"/>
    <n v="646.01"/>
    <n v="0.38"/>
    <n v="3807.56"/>
    <n v="1281.8399999999999"/>
    <n v="51.72"/>
    <s v="Credit Card"/>
    <x v="3"/>
    <b v="0"/>
    <x v="2"/>
    <n v="3"/>
  </r>
  <r>
    <s v="ORD-02779"/>
    <x v="210"/>
    <x v="210"/>
    <s v="CUST66673"/>
    <s v="Pooja Mehta"/>
    <n v="32"/>
    <s v="Female"/>
    <x v="3"/>
    <s v="Bhubaneswar"/>
    <x v="1"/>
    <s v="Face Cream"/>
    <n v="1"/>
    <n v="588.9"/>
    <n v="0.03"/>
    <n v="804.15"/>
    <n v="359.5"/>
    <n v="76.290000000000006"/>
    <s v="Net Banking"/>
    <x v="1"/>
    <b v="0"/>
    <x v="1"/>
    <n v="5"/>
  </r>
  <r>
    <s v="ORD-01224"/>
    <x v="211"/>
    <x v="211"/>
    <s v="CUST34079"/>
    <s v="Nisha Das"/>
    <n v="40"/>
    <s v="Male"/>
    <x v="0"/>
    <s v="Bhopal"/>
    <x v="4"/>
    <s v="T-Shirt"/>
    <n v="6"/>
    <n v="3032.93"/>
    <n v="0.08"/>
    <n v="25322.69"/>
    <n v="10654.04"/>
    <n v="27.7"/>
    <s v="EMI"/>
    <x v="4"/>
    <b v="0"/>
    <x v="1"/>
    <n v="4"/>
  </r>
  <r>
    <s v="ORD-03282"/>
    <x v="212"/>
    <x v="212"/>
    <s v="CUST30266"/>
    <s v="Deepa Bose"/>
    <n v="34"/>
    <s v="Female"/>
    <x v="1"/>
    <s v="Surat"/>
    <x v="6"/>
    <s v="Yoga Mat"/>
    <n v="3"/>
    <n v="14108.02"/>
    <n v="0.12"/>
    <n v="36649.85"/>
    <n v="6203.2"/>
    <n v="56.58"/>
    <s v="EMI"/>
    <x v="3"/>
    <b v="0"/>
    <x v="1"/>
    <n v="10"/>
  </r>
  <r>
    <s v="ORD-03259"/>
    <x v="213"/>
    <x v="213"/>
    <s v="CUST28855"/>
    <s v="Kavya Kumar"/>
    <n v="26"/>
    <s v="Female"/>
    <x v="4"/>
    <s v="Chennai"/>
    <x v="0"/>
    <s v="Cooking Oil"/>
    <n v="9"/>
    <n v="165.39"/>
    <n v="0.22"/>
    <n v="1080.19"/>
    <n v="98.81"/>
    <n v="71.09"/>
    <s v="Cash on Delivery"/>
    <x v="0"/>
    <b v="0"/>
    <x v="1"/>
    <n v="6"/>
  </r>
  <r>
    <s v="ORD-00458"/>
    <x v="214"/>
    <x v="214"/>
    <s v="CUST53954"/>
    <s v="Amit Kapoor"/>
    <n v="40"/>
    <s v="Other"/>
    <x v="0"/>
    <s v="Nagpur"/>
    <x v="3"/>
    <s v="Cook Book"/>
    <n v="4"/>
    <n v="313.79000000000002"/>
    <n v="0.37"/>
    <n v="885.78"/>
    <n v="369.77"/>
    <n v="43.26"/>
    <s v="Net Banking"/>
    <x v="3"/>
    <b v="0"/>
    <x v="1"/>
    <n v="3"/>
  </r>
  <r>
    <s v="ORD-02316"/>
    <x v="215"/>
    <x v="215"/>
    <s v="CUST62789"/>
    <s v="Ananya Gupta"/>
    <n v="40"/>
    <s v="Other"/>
    <x v="4"/>
    <s v="Kochi"/>
    <x v="0"/>
    <s v="Dal (1kg)"/>
    <n v="4"/>
    <n v="314.73"/>
    <n v="0.15"/>
    <n v="998.21"/>
    <n v="61.22"/>
    <n v="79"/>
    <s v="Cash on Delivery"/>
    <x v="0"/>
    <b v="0"/>
    <x v="1"/>
    <n v="8"/>
  </r>
  <r>
    <s v="ORD-02007"/>
    <x v="216"/>
    <x v="216"/>
    <s v="CUST96054"/>
    <s v="Ritu Nair"/>
    <n v="40"/>
    <s v="Other"/>
    <x v="3"/>
    <s v="Bhubaneswar"/>
    <x v="5"/>
    <s v="Smartphone"/>
    <n v="7"/>
    <n v="21000.78"/>
    <n v="0.3"/>
    <n v="174189.34"/>
    <n v="24923.4"/>
    <n v="115.73"/>
    <s v="UPI"/>
    <x v="1"/>
    <b v="0"/>
    <x v="1"/>
    <n v="6"/>
  </r>
  <r>
    <s v="ORD-02400"/>
    <x v="217"/>
    <x v="217"/>
    <s v="CUST21465"/>
    <s v="Pooja Kumar"/>
    <n v="33"/>
    <s v="Female"/>
    <x v="1"/>
    <s v="Ahmedabad"/>
    <x v="4"/>
    <s v="Saree"/>
    <n v="7"/>
    <n v="525.25"/>
    <n v="0.03"/>
    <n v="3229.98"/>
    <n v="1218.3900000000001"/>
    <n v="48.82"/>
    <s v="UPI"/>
    <x v="2"/>
    <b v="0"/>
    <x v="1"/>
    <n v="8"/>
  </r>
  <r>
    <s v="ORD-02972"/>
    <x v="218"/>
    <x v="218"/>
    <s v="CUST95419"/>
    <s v="Deepa Joshi"/>
    <n v="37"/>
    <s v="Male"/>
    <x v="1"/>
    <s v="Pune"/>
    <x v="1"/>
    <s v="Face Cream"/>
    <n v="9"/>
    <n v="108.24"/>
    <n v="0.18"/>
    <n v="1201.96"/>
    <n v="569.48"/>
    <n v="55.36"/>
    <s v="UPI"/>
    <x v="2"/>
    <b v="0"/>
    <x v="1"/>
    <n v="5"/>
  </r>
  <r>
    <s v="ORD-03622"/>
    <x v="219"/>
    <x v="219"/>
    <s v="CUST32129"/>
    <s v="Sunita Iyer"/>
    <n v="39"/>
    <s v="Other"/>
    <x v="4"/>
    <s v="Hyderabad"/>
    <x v="5"/>
    <s v="Smartwatch"/>
    <n v="7"/>
    <n v="45364.52"/>
    <n v="0.08"/>
    <n v="465179.21"/>
    <n v="56612.46"/>
    <n v="59.16"/>
    <s v="EMI"/>
    <x v="4"/>
    <b v="1"/>
    <x v="0"/>
    <n v="8"/>
  </r>
  <r>
    <s v="ORD-00200"/>
    <x v="220"/>
    <x v="220"/>
    <s v="CUST79644"/>
    <s v="Aarav Verma"/>
    <n v="23"/>
    <s v="Female"/>
    <x v="1"/>
    <s v="Mumbai"/>
    <x v="6"/>
    <s v="Cycle"/>
    <n v="5"/>
    <n v="9009.65"/>
    <n v="0.08"/>
    <n v="44971.39"/>
    <n v="10004.34"/>
    <n v="58.16"/>
    <s v="EMI"/>
    <x v="0"/>
    <b v="0"/>
    <x v="1"/>
    <n v="4"/>
  </r>
  <r>
    <s v="ORD-04057"/>
    <x v="221"/>
    <x v="221"/>
    <s v="CUST95307"/>
    <s v="Nisha Mehta"/>
    <n v="28"/>
    <s v="Female"/>
    <x v="0"/>
    <s v="Raipur"/>
    <x v="5"/>
    <s v="Headphones"/>
    <n v="3"/>
    <n v="9261.39"/>
    <n v="0.24"/>
    <n v="25255.17"/>
    <n v="3570.94"/>
    <n v="42.63"/>
    <s v="EMI"/>
    <x v="0"/>
    <b v="0"/>
    <x v="3"/>
    <n v="4"/>
  </r>
  <r>
    <s v="ORD-02618"/>
    <x v="222"/>
    <x v="222"/>
    <s v="CUST54344"/>
    <s v="Nisha Reddy"/>
    <n v="41"/>
    <s v="Female"/>
    <x v="2"/>
    <s v="Delhi"/>
    <x v="4"/>
    <s v="Saree"/>
    <n v="5"/>
    <n v="2531.54"/>
    <n v="0.21"/>
    <n v="13540.41"/>
    <n v="5111.1099999999997"/>
    <n v="49.22"/>
    <s v="Net Banking"/>
    <x v="0"/>
    <b v="0"/>
    <x v="4"/>
    <n v="4"/>
  </r>
  <r>
    <s v="ORD-02742"/>
    <x v="223"/>
    <x v="223"/>
    <s v="CUST34359"/>
    <s v="Shreya Kumar"/>
    <n v="27"/>
    <s v="Male"/>
    <x v="1"/>
    <s v="Pune"/>
    <x v="2"/>
    <s v="Bookshelf"/>
    <n v="7"/>
    <n v="23696.15"/>
    <n v="0.33"/>
    <n v="157416.69"/>
    <n v="50425.99"/>
    <n v="51.3"/>
    <s v="Cash on Delivery"/>
    <x v="0"/>
    <b v="0"/>
    <x v="2"/>
    <n v="1"/>
  </r>
  <r>
    <s v="ORD-01568"/>
    <x v="224"/>
    <x v="224"/>
    <s v="CUST42665"/>
    <s v="Shreya Chatterjee"/>
    <n v="24"/>
    <s v="Male"/>
    <x v="4"/>
    <s v="Kochi"/>
    <x v="0"/>
    <s v="Rice (5kg)"/>
    <n v="1"/>
    <n v="359.04"/>
    <n v="0.01"/>
    <n v="276.45999999999998"/>
    <n v="18.11"/>
    <n v="72.66"/>
    <s v="Cash on Delivery"/>
    <x v="0"/>
    <b v="0"/>
    <x v="1"/>
    <n v="10"/>
  </r>
  <r>
    <s v="ORD-02757"/>
    <x v="225"/>
    <x v="225"/>
    <s v="CUST97559"/>
    <s v="Sunita Kumar"/>
    <n v="49"/>
    <s v="Male"/>
    <x v="1"/>
    <s v="Ahmedabad"/>
    <x v="6"/>
    <s v="Dumbbells"/>
    <n v="4"/>
    <n v="2360.4"/>
    <n v="0.36"/>
    <n v="9045.1299999999992"/>
    <n v="1640.8"/>
    <n v="46.73"/>
    <s v="Credit Card"/>
    <x v="3"/>
    <b v="0"/>
    <x v="1"/>
    <n v="2"/>
  </r>
  <r>
    <s v="ORD-00881"/>
    <x v="60"/>
    <x v="60"/>
    <s v="CUST31073"/>
    <s v="Kavya Shah"/>
    <n v="48"/>
    <s v="Male"/>
    <x v="3"/>
    <s v="Bhubaneswar"/>
    <x v="0"/>
    <s v="Flour"/>
    <n v="7"/>
    <n v="474.48"/>
    <n v="0.26"/>
    <n v="2258.19"/>
    <n v="189.8"/>
    <n v="40.18"/>
    <s v="Debit Card"/>
    <x v="4"/>
    <b v="1"/>
    <x v="0"/>
    <n v="2"/>
  </r>
  <r>
    <s v="ORD-01700"/>
    <x v="11"/>
    <x v="11"/>
    <s v="CUST75005"/>
    <s v="Meera Bhat"/>
    <n v="16"/>
    <s v="Female"/>
    <x v="4"/>
    <s v="Bangalore"/>
    <x v="6"/>
    <s v="Tennis Racket"/>
    <n v="3"/>
    <n v="14928.96"/>
    <n v="0.4"/>
    <n v="21823.19"/>
    <n v="4574.82"/>
    <n v="60.83"/>
    <s v="UPI"/>
    <x v="4"/>
    <b v="0"/>
    <x v="1"/>
    <n v="8"/>
  </r>
  <r>
    <s v="ORD-00751"/>
    <x v="226"/>
    <x v="226"/>
    <s v="CUST41385"/>
    <s v="Rohan Patel"/>
    <n v="32"/>
    <s v="Male"/>
    <x v="2"/>
    <s v="Amritsar"/>
    <x v="3"/>
    <s v="Cook Book"/>
    <n v="999"/>
    <n v="403.63"/>
    <n v="0.15"/>
    <n v="203951.5"/>
    <n v="80603.27"/>
    <n v="48.7"/>
    <s v="EMI"/>
    <x v="1"/>
    <b v="0"/>
    <x v="1"/>
    <n v="1"/>
  </r>
  <r>
    <s v="ORD-01788"/>
    <x v="227"/>
    <x v="227"/>
    <s v="CUST10753"/>
    <s v="Kavya Kumar"/>
    <n v="51"/>
    <s v="Male"/>
    <x v="0"/>
    <s v="Indore"/>
    <x v="1"/>
    <s v="Face Cream"/>
    <n v="6"/>
    <n v="153.84"/>
    <n v="0.09"/>
    <n v="1006.96"/>
    <n v="616.53"/>
    <n v="54.61"/>
    <s v="Debit Card"/>
    <x v="0"/>
    <b v="0"/>
    <x v="1"/>
    <n v="9"/>
  </r>
  <r>
    <s v="ORD-00262"/>
    <x v="228"/>
    <x v="228"/>
    <s v="CUST33827"/>
    <s v="Rahul Bose"/>
    <n v="24"/>
    <s v="Male"/>
    <x v="1"/>
    <s v="Surat"/>
    <x v="2"/>
    <s v="Wardrobe"/>
    <n v="2"/>
    <n v="3582.55"/>
    <n v="0.08"/>
    <n v="8506.99"/>
    <n v="2610.08"/>
    <n v="54.88"/>
    <s v="Debit Card"/>
    <x v="0"/>
    <b v="0"/>
    <x v="1"/>
    <n v="7"/>
  </r>
  <r>
    <s v="ORD-04086"/>
    <x v="229"/>
    <x v="229"/>
    <s v="CUST69304"/>
    <s v="Kavya Shah"/>
    <n v="57"/>
    <s v="Other"/>
    <x v="1"/>
    <s v="Ahmedabad"/>
    <x v="5"/>
    <s v="Tablet"/>
    <n v="9"/>
    <n v="70570.87"/>
    <n v="0.27"/>
    <n v="436166.56"/>
    <n v="54481.93"/>
    <n v="66.680000000000007"/>
    <s v="Debit Card"/>
    <x v="3"/>
    <b v="0"/>
    <x v="1"/>
    <n v="3"/>
  </r>
  <r>
    <s v="ORD-03415"/>
    <x v="230"/>
    <x v="230"/>
    <s v="CUST23737"/>
    <s v="Karan Kumar"/>
    <n v="42"/>
    <s v="Male"/>
    <x v="1"/>
    <s v="Surat"/>
    <x v="5"/>
    <s v="Laptop"/>
    <n v="2"/>
    <n v="46140.78"/>
    <n v="0.21"/>
    <n v="86042.12"/>
    <n v="11876.13"/>
    <n v="85.6"/>
    <s v="Debit Card"/>
    <x v="4"/>
    <b v="0"/>
    <x v="1"/>
    <n v="6"/>
  </r>
  <r>
    <s v="ORD-01693"/>
    <x v="231"/>
    <x v="231"/>
    <s v="CUST37446"/>
    <s v="Shreya Das"/>
    <n v="66"/>
    <s v="Other"/>
    <x v="2"/>
    <s v="Delhi"/>
    <x v="1"/>
    <s v="Lipstick"/>
    <n v="9"/>
    <n v="265.25"/>
    <n v="0.18"/>
    <n v="1737.45"/>
    <n v="685.06"/>
    <n v="28.69"/>
    <s v="Credit Card"/>
    <x v="3"/>
    <b v="0"/>
    <x v="1"/>
    <n v="5"/>
  </r>
  <r>
    <s v="ORD-02495"/>
    <x v="232"/>
    <x v="232"/>
    <s v="CUST29148"/>
    <s v="Amit Kumar"/>
    <n v="22"/>
    <s v="Female"/>
    <x v="4"/>
    <s v="Bangalore"/>
    <x v="0"/>
    <s v="Sugar"/>
    <n v="7"/>
    <n v="56.3"/>
    <n v="0.16"/>
    <n v="219.23"/>
    <n v="17.73"/>
    <n v="83.47"/>
    <s v="Net Banking"/>
    <x v="2"/>
    <b v="1"/>
    <x v="0"/>
    <n v="6"/>
  </r>
  <r>
    <s v="ORD-02508"/>
    <x v="233"/>
    <x v="233"/>
    <s v="CUST55151"/>
    <s v="Ananya Reddy"/>
    <n v="27"/>
    <s v="Male"/>
    <x v="3"/>
    <s v="Kolkata"/>
    <x v="2"/>
    <s v="Wardrobe"/>
    <n v="1"/>
    <n v="21949.11"/>
    <n v="0.11"/>
    <n v="16420.47"/>
    <n v="5291.08"/>
    <n v="87.46"/>
    <s v="EMI"/>
    <x v="4"/>
    <b v="0"/>
    <x v="1"/>
    <n v="2"/>
  </r>
  <r>
    <s v="ORD-02734"/>
    <x v="234"/>
    <x v="234"/>
    <s v="CUST69340"/>
    <s v="Sanjay Kapoor"/>
    <n v="31"/>
    <s v="Male"/>
    <x v="4"/>
    <s v="Chennai"/>
    <x v="3"/>
    <s v="Fiction Novel"/>
    <n v="10"/>
    <n v="432.2"/>
    <n v="0.22"/>
    <n v="4097.63"/>
    <n v="1857.23"/>
    <n v="69.099999999999994"/>
    <s v="Net Banking"/>
    <x v="0"/>
    <b v="0"/>
    <x v="1"/>
    <n v="5"/>
  </r>
  <r>
    <s v="ORD-01872"/>
    <x v="235"/>
    <x v="235"/>
    <s v="CUST60962"/>
    <s v="Shreya Rao"/>
    <n v="30"/>
    <s v="Male"/>
    <x v="2"/>
    <s v="Amritsar"/>
    <x v="6"/>
    <s v="Cricket Bat"/>
    <n v="10"/>
    <n v="8393.4"/>
    <n v="0.27"/>
    <n v="79799.460000000006"/>
    <n v="13093.99"/>
    <n v="54.18"/>
    <s v="Net Banking"/>
    <x v="3"/>
    <b v="0"/>
    <x v="1"/>
    <n v="8"/>
  </r>
  <r>
    <s v="ORD-01233"/>
    <x v="236"/>
    <x v="236"/>
    <s v="CUST64805"/>
    <s v="Priya Mishra"/>
    <n v="33"/>
    <s v="Female"/>
    <x v="4"/>
    <s v="Hyderabad"/>
    <x v="4"/>
    <s v="Jacket"/>
    <n v="6"/>
    <n v="2619.38"/>
    <n v="0.24"/>
    <n v="15863.82"/>
    <n v="5048.54"/>
    <n v="23.2"/>
    <s v="EMI"/>
    <x v="3"/>
    <b v="0"/>
    <x v="1"/>
    <n v="4"/>
  </r>
  <r>
    <s v="ORD-00752"/>
    <x v="226"/>
    <x v="226"/>
    <s v="CUST76726"/>
    <s v="Meera Rao"/>
    <n v="26"/>
    <s v="Male"/>
    <x v="1"/>
    <s v="Surat"/>
    <x v="6"/>
    <s v="Tennis Racket"/>
    <n v="8"/>
    <n v="4670.6000000000004"/>
    <n v="0.27"/>
    <n v="19375.099999999999"/>
    <n v="2879.15"/>
    <n v="51.67"/>
    <s v="Credit Card"/>
    <x v="2"/>
    <b v="0"/>
    <x v="1"/>
    <n v="4"/>
  </r>
  <r>
    <s v="ORD-00038"/>
    <x v="237"/>
    <x v="237"/>
    <s v="CUST79223"/>
    <s v="Sunita Reddy"/>
    <n v="20"/>
    <s v="Male"/>
    <x v="3"/>
    <s v="Kolkata"/>
    <x v="3"/>
    <s v="Fiction Novel"/>
    <n v="1"/>
    <n v="1172.06"/>
    <n v="0.18"/>
    <n v="613.66"/>
    <n v="243.99"/>
    <n v="62.05"/>
    <s v="Cash on Delivery"/>
    <x v="2"/>
    <b v="0"/>
    <x v="1"/>
    <n v="1"/>
  </r>
  <r>
    <s v="ORD-00994"/>
    <x v="238"/>
    <x v="238"/>
    <s v="CUST13598"/>
    <s v="Sanjay Chatterjee"/>
    <n v="31"/>
    <s v="Male"/>
    <x v="4"/>
    <s v="Chennai"/>
    <x v="5"/>
    <s v="Smartwatch"/>
    <n v="4"/>
    <n v="70635.62"/>
    <n v="0.32"/>
    <n v="207766.8"/>
    <n v="19874.73"/>
    <n v="73.83"/>
    <s v="UPI"/>
    <x v="3"/>
    <b v="0"/>
    <x v="2"/>
    <n v="1"/>
  </r>
  <r>
    <s v="ORD-00436"/>
    <x v="239"/>
    <x v="239"/>
    <s v="CUST18887"/>
    <s v="Pooja Kapoor"/>
    <n v="43"/>
    <s v="Female"/>
    <x v="1"/>
    <s v="Pune"/>
    <x v="3"/>
    <s v="Biography"/>
    <n v="2"/>
    <n v="449.62"/>
    <n v="0.4"/>
    <n v="661.09"/>
    <n v="247.72"/>
    <n v="68.849999999999994"/>
    <s v="Debit Card"/>
    <x v="4"/>
    <b v="0"/>
    <x v="1"/>
    <n v="6"/>
  </r>
  <r>
    <s v="ORD-00923"/>
    <x v="240"/>
    <x v="240"/>
    <s v="CUST41859"/>
    <s v="Deepa Kumar"/>
    <n v="38"/>
    <s v="Other"/>
    <x v="0"/>
    <s v="Nagpur"/>
    <x v="1"/>
    <s v="Shampoo"/>
    <n v="7"/>
    <n v="322.75"/>
    <n v="0.15"/>
    <n v="1684.8"/>
    <n v="760.63"/>
    <n v="28.86"/>
    <s v="Cash on Delivery"/>
    <x v="4"/>
    <b v="1"/>
    <x v="0"/>
    <n v="5"/>
  </r>
  <r>
    <s v="ORD-03838"/>
    <x v="241"/>
    <x v="241"/>
    <s v="CUST12042"/>
    <s v="Vikram Reddy"/>
    <n v="39"/>
    <s v="Male"/>
    <x v="2"/>
    <s v="Amritsar"/>
    <x v="0"/>
    <s v="Cooking Oil"/>
    <n v="2"/>
    <n v="92.87"/>
    <n v="0.33"/>
    <n v="179.13"/>
    <n v="19.37"/>
    <n v="36.78"/>
    <s v="EMI"/>
    <x v="0"/>
    <b v="0"/>
    <x v="3"/>
    <n v="3"/>
  </r>
  <r>
    <s v="ORD-04035"/>
    <x v="242"/>
    <x v="242"/>
    <s v="CUST10272"/>
    <s v="Sunita Das"/>
    <n v="20"/>
    <s v="Male"/>
    <x v="4"/>
    <s v="Kochi"/>
    <x v="5"/>
    <s v="Smartwatch"/>
    <n v="1"/>
    <n v="78299.490000000005"/>
    <n v="0.18"/>
    <n v="76494.58"/>
    <n v="10883.34"/>
    <n v="80.12"/>
    <s v="Credit Card"/>
    <x v="0"/>
    <b v="0"/>
    <x v="1"/>
    <n v="9"/>
  </r>
  <r>
    <s v="ORD-04090"/>
    <x v="243"/>
    <x v="243"/>
    <s v="CUST31562"/>
    <s v="Rohan Shah"/>
    <n v="33"/>
    <s v="Male"/>
    <x v="3"/>
    <s v="Patna"/>
    <x v="4"/>
    <s v="Jeans"/>
    <n v="4"/>
    <n v="1153.04"/>
    <n v="0.23"/>
    <n v="3508.11"/>
    <n v="1237.0899999999999"/>
    <n v="67.930000000000007"/>
    <s v="Credit Card"/>
    <x v="3"/>
    <b v="0"/>
    <x v="1"/>
    <n v="1"/>
  </r>
  <r>
    <s v="ORD-02193"/>
    <x v="244"/>
    <x v="244"/>
    <s v="CUST54369"/>
    <s v="Priya Rao"/>
    <n v="65"/>
    <s v="Other"/>
    <x v="3"/>
    <s v="Kolkata"/>
    <x v="3"/>
    <s v="Fiction Novel"/>
    <n v="6"/>
    <n v="966.11"/>
    <n v="0.28999999999999998"/>
    <n v="5647.04"/>
    <n v="1896.58"/>
    <n v="107.74"/>
    <s v="Net Banking"/>
    <x v="4"/>
    <b v="0"/>
    <x v="3"/>
    <n v="3"/>
  </r>
  <r>
    <s v="ORD-03275"/>
    <x v="245"/>
    <x v="245"/>
    <s v="CUST06690"/>
    <s v="Sunita Iyer"/>
    <n v="28"/>
    <s v="Other"/>
    <x v="1"/>
    <s v="Ahmedabad"/>
    <x v="4"/>
    <s v="Saree"/>
    <n v="8"/>
    <n v="1471.86"/>
    <n v="0.27"/>
    <n v="8376.83"/>
    <n v="3013.79"/>
    <n v="87.43"/>
    <s v="Credit Card"/>
    <x v="0"/>
    <b v="0"/>
    <x v="1"/>
    <n v="7"/>
  </r>
  <r>
    <s v="ORD-01237"/>
    <x v="246"/>
    <x v="246"/>
    <s v="CUST86703"/>
    <s v="Sanjay Verma"/>
    <n v="20"/>
    <s v="Female"/>
    <x v="2"/>
    <s v="Amritsar"/>
    <x v="5"/>
    <s v="Smartphone"/>
    <n v="3"/>
    <n v="33090.17"/>
    <n v="0.22"/>
    <n v="110240.96000000001"/>
    <n v="11080.86"/>
    <n v="57.35"/>
    <s v="EMI"/>
    <x v="1"/>
    <b v="1"/>
    <x v="0"/>
    <n v="3"/>
  </r>
  <r>
    <s v="ORD-03401"/>
    <x v="247"/>
    <x v="247"/>
    <s v="CUST97545"/>
    <s v="Ritu Bose"/>
    <n v="25"/>
    <s v="Other"/>
    <x v="0"/>
    <s v="Raipur"/>
    <x v="3"/>
    <s v="Cook Book"/>
    <n v="2"/>
    <n v="365.34"/>
    <n v="0.09"/>
    <n v="599.16"/>
    <n v="276.45999999999998"/>
    <n v="52.27"/>
    <s v="UPI"/>
    <x v="3"/>
    <b v="0"/>
    <x v="1"/>
    <n v="4"/>
  </r>
  <r>
    <s v="ORD-04160"/>
    <x v="248"/>
    <x v="248"/>
    <s v="CUST91116"/>
    <s v="Rohan Patel"/>
    <n v="36"/>
    <s v="Male"/>
    <x v="4"/>
    <s v="Hyderabad"/>
    <x v="3"/>
    <s v="Biography"/>
    <n v="7"/>
    <n v="609.79"/>
    <n v="0.25"/>
    <n v="2905.61"/>
    <n v="1079.08"/>
    <n v="68.86"/>
    <s v="UPI"/>
    <x v="0"/>
    <b v="0"/>
    <x v="1"/>
    <n v="7"/>
  </r>
  <r>
    <s v="ORD-01192"/>
    <x v="249"/>
    <x v="249"/>
    <s v="CUST39249"/>
    <s v="Pooja Kapoor"/>
    <n v="34"/>
    <s v="Other"/>
    <x v="4"/>
    <s v="Kochi"/>
    <x v="0"/>
    <s v="Cooking Oil"/>
    <n v="7"/>
    <n v="363.21"/>
    <n v="0.38"/>
    <n v="2475.37"/>
    <n v="175.94"/>
    <n v="73.22"/>
    <s v="UPI"/>
    <x v="2"/>
    <b v="0"/>
    <x v="4"/>
    <n v="1"/>
  </r>
  <r>
    <s v="ORD-01195"/>
    <x v="250"/>
    <x v="250"/>
    <s v="CUST26595"/>
    <s v="Ananya Gupta"/>
    <n v="40"/>
    <s v="Other"/>
    <x v="0"/>
    <s v="Nagpur"/>
    <x v="6"/>
    <s v="Tennis Racket"/>
    <n v="1"/>
    <n v="8678.32"/>
    <n v="0.17"/>
    <n v="9630.16"/>
    <n v="2953.14"/>
    <n v="33.35"/>
    <s v="UPI"/>
    <x v="1"/>
    <b v="0"/>
    <x v="1"/>
    <n v="4"/>
  </r>
  <r>
    <s v="ORD-01212"/>
    <x v="251"/>
    <x v="251"/>
    <s v="CUST22983"/>
    <s v="Deepa Kapoor"/>
    <n v="40"/>
    <s v="Other"/>
    <x v="4"/>
    <s v="Bangalore"/>
    <x v="4"/>
    <s v="Saree"/>
    <n v="2"/>
    <n v="738.48"/>
    <n v="0.09"/>
    <n v="1795.94"/>
    <n v="565.89"/>
    <n v="67.67"/>
    <s v="Net Banking"/>
    <x v="0"/>
    <b v="0"/>
    <x v="1"/>
    <n v="7"/>
  </r>
  <r>
    <s v="ORD-00170"/>
    <x v="252"/>
    <x v="252"/>
    <s v="CUST53622"/>
    <s v="Aditya Chatterjee"/>
    <n v="31"/>
    <s v="Male"/>
    <x v="4"/>
    <s v="Bangalore"/>
    <x v="0"/>
    <s v="Sugar"/>
    <n v="9"/>
    <n v="236.54"/>
    <n v="0.19"/>
    <n v="1658.66"/>
    <n v="140.16"/>
    <n v="101.07"/>
    <s v="Credit Card"/>
    <x v="0"/>
    <b v="1"/>
    <x v="0"/>
    <n v="1"/>
  </r>
  <r>
    <s v="ORD-01213"/>
    <x v="251"/>
    <x v="251"/>
    <s v="CUST54226"/>
    <s v="Nisha Mehta"/>
    <n v="33"/>
    <s v="Male"/>
    <x v="3"/>
    <s v="Bhubaneswar"/>
    <x v="1"/>
    <s v="Lipstick"/>
    <n v="5"/>
    <n v="1998.43"/>
    <n v="0.26"/>
    <n v="9047.98"/>
    <n v="4337.88"/>
    <n v="79.62"/>
    <s v="UPI"/>
    <x v="2"/>
    <b v="0"/>
    <x v="4"/>
    <n v="3"/>
  </r>
  <r>
    <s v="ORD-04115"/>
    <x v="253"/>
    <x v="253"/>
    <s v="CUST88970"/>
    <s v="Ritu Pillai"/>
    <n v="38"/>
    <s v="Other"/>
    <x v="3"/>
    <s v="Patna"/>
    <x v="5"/>
    <s v="Smartwatch"/>
    <n v="9"/>
    <n v="76064.53"/>
    <n v="0.25"/>
    <n v="473255.79"/>
    <n v="56343.87"/>
    <n v="79.709999999999994"/>
    <s v="Cash on Delivery"/>
    <x v="0"/>
    <b v="0"/>
    <x v="1"/>
    <n v="1"/>
  </r>
  <r>
    <s v="ORD-03200"/>
    <x v="254"/>
    <x v="254"/>
    <s v="CUST43688"/>
    <s v="Amit Iyer"/>
    <n v="49"/>
    <s v="Other"/>
    <x v="2"/>
    <s v="Delhi"/>
    <x v="0"/>
    <s v="Tea"/>
    <n v="1"/>
    <n v="97.17"/>
    <n v="0.14000000000000001"/>
    <n v="86.02"/>
    <n v="8.27"/>
    <n v="46.49"/>
    <s v="EMI"/>
    <x v="4"/>
    <b v="0"/>
    <x v="1"/>
    <n v="5"/>
  </r>
  <r>
    <s v="ORD-00713"/>
    <x v="255"/>
    <x v="255"/>
    <s v="CUST97013"/>
    <s v="Rahul Verma"/>
    <n v="48"/>
    <s v="Other"/>
    <x v="0"/>
    <s v="Raipur"/>
    <x v="0"/>
    <s v="Cooking Oil"/>
    <n v="9"/>
    <n v="407.45"/>
    <n v="0.36"/>
    <n v="1769.53"/>
    <n v="149.16"/>
    <n v="50.13"/>
    <s v="Net Banking"/>
    <x v="4"/>
    <b v="1"/>
    <x v="0"/>
    <n v="8"/>
  </r>
  <r>
    <s v="ORD-00975"/>
    <x v="256"/>
    <x v="256"/>
    <s v="CUST76263"/>
    <s v="Arjun Reddy"/>
    <n v="20"/>
    <s v="Male"/>
    <x v="1"/>
    <s v="Surat"/>
    <x v="2"/>
    <s v="Sofa"/>
    <n v="6"/>
    <n v="5299.05"/>
    <n v="0.13"/>
    <n v="28279.75"/>
    <n v="5506.48"/>
    <n v="36.549999999999997"/>
    <s v="Cash on Delivery"/>
    <x v="2"/>
    <b v="0"/>
    <x v="1"/>
    <n v="7"/>
  </r>
  <r>
    <s v="ORD-01391"/>
    <x v="257"/>
    <x v="257"/>
    <s v="CUST53724"/>
    <s v="Kavya Iyer"/>
    <n v="45"/>
    <s v="Other"/>
    <x v="3"/>
    <s v="Bhubaneswar"/>
    <x v="0"/>
    <s v="Dal (1kg)"/>
    <n v="8"/>
    <n v="126.77"/>
    <n v="0.15"/>
    <n v="930.33"/>
    <n v="66.45"/>
    <n v="64.290000000000006"/>
    <s v="Net Banking"/>
    <x v="2"/>
    <b v="0"/>
    <x v="4"/>
    <n v="2"/>
  </r>
  <r>
    <s v="ORD-02467"/>
    <x v="258"/>
    <x v="258"/>
    <s v="CUST34028"/>
    <s v="Vikram Rao"/>
    <n v="14"/>
    <s v="Female"/>
    <x v="3"/>
    <s v="Guwahati"/>
    <x v="5"/>
    <s v="Smartphone"/>
    <n v="1"/>
    <n v="7708.68"/>
    <n v="0.26"/>
    <n v="4938.4799999999996"/>
    <n v="534.97"/>
    <n v="101.65"/>
    <s v="EMI"/>
    <x v="3"/>
    <b v="0"/>
    <x v="4"/>
    <n v="6"/>
  </r>
  <r>
    <s v="ORD-02390"/>
    <x v="87"/>
    <x v="87"/>
    <s v="CUST38274"/>
    <s v="Ananya Shah"/>
    <n v="27"/>
    <s v="Female"/>
    <x v="1"/>
    <s v="Pune"/>
    <x v="1"/>
    <s v="Lipstick"/>
    <n v="6"/>
    <n v="835.52"/>
    <n v="0.01"/>
    <n v="4761.71"/>
    <n v="1237.08"/>
    <n v="54.35"/>
    <s v="Cash on Delivery"/>
    <x v="0"/>
    <b v="0"/>
    <x v="1"/>
    <n v="2"/>
  </r>
  <r>
    <s v="ORD-01111"/>
    <x v="259"/>
    <x v="259"/>
    <s v="CUST07335"/>
    <s v="Vikram Kapoor"/>
    <n v="21"/>
    <s v="Male"/>
    <x v="3"/>
    <s v="Guwahati"/>
    <x v="6"/>
    <s v="Cricket Bat"/>
    <n v="6"/>
    <n v="3857.03"/>
    <n v="0.3"/>
    <n v="21548.37"/>
    <n v="6137.14"/>
    <n v="60.48"/>
    <s v="Cash on Delivery"/>
    <x v="3"/>
    <b v="0"/>
    <x v="1"/>
    <n v="4"/>
  </r>
  <r>
    <s v="ORD-02171"/>
    <x v="260"/>
    <x v="260"/>
    <s v="CUST77492"/>
    <s v="Karan Sharma"/>
    <n v="33"/>
    <s v="Male"/>
    <x v="4"/>
    <s v="Chennai"/>
    <x v="4"/>
    <s v="Saree"/>
    <n v="1"/>
    <n v="1170.22"/>
    <n v="0.37"/>
    <n v="1011.25"/>
    <n v="422.66"/>
    <n v="82.03"/>
    <s v="Debit Card"/>
    <x v="2"/>
    <b v="0"/>
    <x v="1"/>
    <n v="2"/>
  </r>
  <r>
    <s v="ORD-01824"/>
    <x v="261"/>
    <x v="261"/>
    <s v="CUST58449"/>
    <s v="Priya Chatterjee"/>
    <n v="34"/>
    <s v="Female"/>
    <x v="2"/>
    <s v="Delhi"/>
    <x v="4"/>
    <s v="Jeans"/>
    <n v="5"/>
    <n v="2505.4"/>
    <n v="0.11"/>
    <n v="12039.52"/>
    <n v="4140.53"/>
    <n v="57.65"/>
    <s v="Cash on Delivery"/>
    <x v="0"/>
    <b v="0"/>
    <x v="1"/>
    <n v="1"/>
  </r>
  <r>
    <s v="ORD-02834"/>
    <x v="262"/>
    <x v="262"/>
    <s v="CUST80957"/>
    <s v="Pooja Gupta"/>
    <n v="31"/>
    <s v="Other"/>
    <x v="2"/>
    <s v="Delhi"/>
    <x v="5"/>
    <s v="Smartphone"/>
    <n v="2"/>
    <n v="73267.64"/>
    <n v="0.32"/>
    <n v="142488.63"/>
    <n v="20643.55"/>
    <n v="69.989999999999995"/>
    <s v="Credit Card"/>
    <x v="3"/>
    <b v="0"/>
    <x v="1"/>
    <n v="6"/>
  </r>
  <r>
    <s v="ORD-03900"/>
    <x v="180"/>
    <x v="180"/>
    <s v="CUST14119"/>
    <s v="Vikram Verma"/>
    <n v="39"/>
    <s v="Female"/>
    <x v="1"/>
    <s v="Mumbai"/>
    <x v="3"/>
    <s v="Fiction Novel"/>
    <n v="3"/>
    <n v="705.21"/>
    <n v="0.14000000000000001"/>
    <n v="2873.31"/>
    <n v="1040.42"/>
    <n v="76.63"/>
    <s v="EMI"/>
    <x v="4"/>
    <b v="0"/>
    <x v="1"/>
    <n v="8"/>
  </r>
  <r>
    <s v="ORD-02550"/>
    <x v="263"/>
    <x v="263"/>
    <s v="CUST69130"/>
    <s v="Sunita Pillai"/>
    <n v="48"/>
    <s v="Other"/>
    <x v="2"/>
    <s v="Amritsar"/>
    <x v="6"/>
    <s v="Yoga Mat"/>
    <n v="6"/>
    <n v="13916.75"/>
    <n v="0.25"/>
    <n v="54342.29"/>
    <n v="12305.07"/>
    <n v="38.89"/>
    <s v="UPI"/>
    <x v="2"/>
    <b v="0"/>
    <x v="2"/>
    <n v="3"/>
  </r>
  <r>
    <s v="ORD-02192"/>
    <x v="244"/>
    <x v="244"/>
    <s v="CUST61790"/>
    <s v="Amit Kumar"/>
    <n v="32"/>
    <s v="Other"/>
    <x v="3"/>
    <s v="Kolkata"/>
    <x v="2"/>
    <s v="Sofa"/>
    <n v="3"/>
    <n v="23445.9"/>
    <n v="0.31"/>
    <n v="60026.42"/>
    <n v="15012.25"/>
    <n v="54.92"/>
    <s v="Credit Card"/>
    <x v="4"/>
    <b v="1"/>
    <x v="0"/>
    <n v="7"/>
  </r>
  <r>
    <s v="ORD-02000"/>
    <x v="264"/>
    <x v="264"/>
    <s v="CUST60137"/>
    <s v="Sanjay Sharma"/>
    <n v="35"/>
    <s v="Female"/>
    <x v="3"/>
    <s v="Patna"/>
    <x v="6"/>
    <s v="Cricket Bat"/>
    <n v="6"/>
    <n v="6661.26"/>
    <n v="0.13"/>
    <n v="55550.3"/>
    <n v="11352.36"/>
    <n v="99.9"/>
    <s v="Cash on Delivery"/>
    <x v="3"/>
    <b v="0"/>
    <x v="1"/>
    <n v="8"/>
  </r>
  <r>
    <s v="ORD-03042"/>
    <x v="265"/>
    <x v="265"/>
    <s v="CUST48817"/>
    <s v="Karan Singh"/>
    <n v="25"/>
    <s v="Male"/>
    <x v="2"/>
    <s v="Amritsar"/>
    <x v="4"/>
    <s v="Saree"/>
    <n v="2"/>
    <n v="3266.34"/>
    <n v="0"/>
    <n v="9066.91"/>
    <n v="3755.8"/>
    <n v="51.58"/>
    <s v="Cash on Delivery"/>
    <x v="1"/>
    <b v="0"/>
    <x v="1"/>
    <n v="1"/>
  </r>
  <r>
    <s v="ORD-03399"/>
    <x v="266"/>
    <x v="266"/>
    <s v="CUST76705"/>
    <s v="Meera Das"/>
    <n v="42"/>
    <s v="Male"/>
    <x v="4"/>
    <s v="Chennai"/>
    <x v="1"/>
    <s v="Sunscreen"/>
    <n v="1"/>
    <n v="2339.83"/>
    <n v="0.03"/>
    <n v="2319.17"/>
    <n v="1351.82"/>
    <n v="88.12"/>
    <s v="Net Banking"/>
    <x v="0"/>
    <b v="0"/>
    <x v="1"/>
    <n v="10"/>
  </r>
  <r>
    <s v="ORD-01991"/>
    <x v="41"/>
    <x v="41"/>
    <s v="CUST25027"/>
    <s v="Nisha Mishra"/>
    <n v="24"/>
    <s v="Female"/>
    <x v="3"/>
    <s v="Bhubaneswar"/>
    <x v="1"/>
    <s v="Hair Oil"/>
    <n v="8"/>
    <n v="1075.32"/>
    <n v="0.25"/>
    <n v="9458.9500000000007"/>
    <n v="4920.3500000000004"/>
    <n v="101.65"/>
    <s v="Credit Card"/>
    <x v="4"/>
    <b v="1"/>
    <x v="0"/>
    <n v="8"/>
  </r>
  <r>
    <s v="ORD-00322"/>
    <x v="267"/>
    <x v="267"/>
    <s v="CUST34894"/>
    <s v="Ritu Mehta"/>
    <n v="32"/>
    <s v="Other"/>
    <x v="3"/>
    <s v="Guwahati"/>
    <x v="5"/>
    <s v="Smartwatch"/>
    <n v="5"/>
    <n v="59036.18"/>
    <n v="0.38"/>
    <n v="48186.78"/>
    <n v="5073.5"/>
    <n v="67"/>
    <s v="Net Banking"/>
    <x v="2"/>
    <b v="0"/>
    <x v="1"/>
    <n v="3"/>
  </r>
  <r>
    <s v="ORD-04049"/>
    <x v="78"/>
    <x v="78"/>
    <s v="CUST98496"/>
    <s v="Nisha Singh"/>
    <n v="27"/>
    <s v="Other"/>
    <x v="0"/>
    <s v="Indore"/>
    <x v="0"/>
    <s v="Flour"/>
    <n v="8"/>
    <n v="174.02"/>
    <n v="0.14000000000000001"/>
    <n v="1362"/>
    <n v="107.89"/>
    <n v="40.35"/>
    <s v="Cash on Delivery"/>
    <x v="1"/>
    <b v="0"/>
    <x v="1"/>
    <n v="10"/>
  </r>
  <r>
    <s v="ORD-02187"/>
    <x v="268"/>
    <x v="268"/>
    <s v="CUST47298"/>
    <s v="Shreya Gupta"/>
    <n v="36"/>
    <s v="Other"/>
    <x v="2"/>
    <s v="Amritsar"/>
    <x v="3"/>
    <s v="Comic Book"/>
    <n v="1"/>
    <n v="1129.04"/>
    <n v="0.28000000000000003"/>
    <n v="1081.22"/>
    <n v="412.61"/>
    <n v="40.43"/>
    <s v="Net Banking"/>
    <x v="4"/>
    <b v="1"/>
    <x v="0"/>
    <n v="10"/>
  </r>
  <r>
    <s v="ORD-03703"/>
    <x v="269"/>
    <x v="269"/>
    <s v="CUST91203"/>
    <s v="Arjun Verma"/>
    <n v="32"/>
    <s v="Other"/>
    <x v="1"/>
    <s v="Mumbai"/>
    <x v="1"/>
    <s v="Sunscreen"/>
    <n v="4"/>
    <n v="722.47"/>
    <n v="0.19"/>
    <n v="4358.7299999999996"/>
    <n v="1526.73"/>
    <n v="71.989999999999995"/>
    <s v="EMI"/>
    <x v="4"/>
    <b v="0"/>
    <x v="3"/>
    <n v="7"/>
  </r>
  <r>
    <s v="ORD-01312"/>
    <x v="270"/>
    <x v="270"/>
    <s v="CUST22985"/>
    <s v="Amit Pillai"/>
    <n v="22"/>
    <s v="Male"/>
    <x v="2"/>
    <s v="Delhi"/>
    <x v="1"/>
    <s v="Sunscreen"/>
    <n v="2"/>
    <n v="542.62"/>
    <n v="0.14000000000000001"/>
    <n v="971.77"/>
    <n v="443.38"/>
    <n v="61.76"/>
    <s v="UPI"/>
    <x v="2"/>
    <b v="0"/>
    <x v="1"/>
    <n v="3"/>
  </r>
  <r>
    <s v="ORD-00797"/>
    <x v="271"/>
    <x v="271"/>
    <s v="CUST04732"/>
    <s v="Nisha Joshi"/>
    <n v="38"/>
    <s v="Male"/>
    <x v="4"/>
    <s v="Chennai"/>
    <x v="1"/>
    <s v="Face Cream"/>
    <n v="4"/>
    <n v="197.52"/>
    <n v="0.35"/>
    <n v="379.18"/>
    <n v="169.93"/>
    <n v="61.28"/>
    <s v="EMI"/>
    <x v="0"/>
    <b v="0"/>
    <x v="1"/>
    <n v="2"/>
  </r>
  <r>
    <s v="ORD-00034"/>
    <x v="272"/>
    <x v="272"/>
    <s v="CUST21613"/>
    <s v="Arjun Das"/>
    <n v="49"/>
    <s v="Other"/>
    <x v="1"/>
    <s v="Mumbai"/>
    <x v="0"/>
    <s v="Flour"/>
    <n v="0"/>
    <n v="315.85000000000002"/>
    <n v="0.13"/>
    <n v="203.41"/>
    <n v="13.82"/>
    <n v="60.46"/>
    <s v="Cash on Delivery"/>
    <x v="1"/>
    <b v="0"/>
    <x v="1"/>
    <n v="10"/>
  </r>
  <r>
    <s v="ORD-02663"/>
    <x v="273"/>
    <x v="273"/>
    <s v="CUST82371"/>
    <s v="Kavya Nair"/>
    <n v="49"/>
    <s v="Male"/>
    <x v="3"/>
    <s v="Patna"/>
    <x v="0"/>
    <s v="Dal (1kg)"/>
    <n v="4"/>
    <n v="230.58"/>
    <n v="0.17"/>
    <n v="768.3"/>
    <n v="50.26"/>
    <n v="81.52"/>
    <s v="UPI"/>
    <x v="4"/>
    <b v="0"/>
    <x v="1"/>
    <n v="1"/>
  </r>
  <r>
    <s v="ORD-01907"/>
    <x v="274"/>
    <x v="274"/>
    <s v="CUST58083"/>
    <s v="Sanjay Kapoor"/>
    <n v="31"/>
    <s v="Male"/>
    <x v="0"/>
    <s v="Raipur"/>
    <x v="6"/>
    <s v="Cricket Bat"/>
    <n v="6"/>
    <n v="12397.94"/>
    <n v="0.35"/>
    <n v="69539.73"/>
    <n v="14673.82"/>
    <n v="51.27"/>
    <s v="UPI"/>
    <x v="3"/>
    <b v="0"/>
    <x v="1"/>
    <n v="1"/>
  </r>
  <r>
    <s v="ORD-00766"/>
    <x v="275"/>
    <x v="275"/>
    <s v="CUST94306"/>
    <s v="Shreya Kapoor"/>
    <n v="19"/>
    <s v="Female"/>
    <x v="2"/>
    <s v="Amritsar"/>
    <x v="3"/>
    <s v="Fiction Novel"/>
    <n v="6"/>
    <n v="526.32000000000005"/>
    <n v="0.14000000000000001"/>
    <n v="1927.61"/>
    <n v="588.73"/>
    <n v="49.68"/>
    <s v="Credit Card"/>
    <x v="0"/>
    <b v="1"/>
    <x v="0"/>
    <n v="3"/>
  </r>
  <r>
    <s v="ORD-03824"/>
    <x v="170"/>
    <x v="170"/>
    <s v="CUST13500"/>
    <s v="Amit Patel"/>
    <n v="26"/>
    <s v="Other"/>
    <x v="2"/>
    <s v="Chandigarh"/>
    <x v="0"/>
    <s v="Flour"/>
    <n v="6"/>
    <n v="112.85"/>
    <n v="0.13"/>
    <n v="1196.1099999999999"/>
    <n v="116.49"/>
    <n v="40.89"/>
    <s v="Cash on Delivery"/>
    <x v="1"/>
    <b v="1"/>
    <x v="0"/>
    <n v="8"/>
  </r>
  <r>
    <s v="ORD-03029"/>
    <x v="276"/>
    <x v="276"/>
    <s v="CUST15879"/>
    <s v="Kavya Pillai"/>
    <n v="24"/>
    <s v="Other"/>
    <x v="2"/>
    <s v="Delhi"/>
    <x v="0"/>
    <s v="Flour"/>
    <n v="6"/>
    <n v="184.04"/>
    <n v="0.32"/>
    <n v="1193.08"/>
    <n v="80.930000000000007"/>
    <n v="70.55"/>
    <s v="Credit Card"/>
    <x v="1"/>
    <b v="0"/>
    <x v="1"/>
    <n v="1"/>
  </r>
  <r>
    <s v="ORD-02801"/>
    <x v="277"/>
    <x v="277"/>
    <s v="CUST13741"/>
    <s v="Meera Verma"/>
    <n v="30"/>
    <s v="Female"/>
    <x v="3"/>
    <s v="Guwahati"/>
    <x v="1"/>
    <s v="Hair Oil"/>
    <n v="7"/>
    <n v="1050.3800000000001"/>
    <n v="0.06"/>
    <n v="8746.39"/>
    <n v="3436.69"/>
    <n v="85.61"/>
    <s v="Debit Card"/>
    <x v="0"/>
    <b v="0"/>
    <x v="1"/>
    <n v="5"/>
  </r>
  <r>
    <s v="ORD-03014"/>
    <x v="278"/>
    <x v="278"/>
    <s v="CUST35539"/>
    <s v="Karan Reddy"/>
    <n v="31"/>
    <s v="Female"/>
    <x v="4"/>
    <s v="Kochi"/>
    <x v="6"/>
    <s v="Dumbbells"/>
    <n v="5"/>
    <n v="8903.5499999999993"/>
    <n v="0.12"/>
    <n v="11991.16"/>
    <n v="1852.66"/>
    <n v="64.95"/>
    <s v="Debit Card"/>
    <x v="0"/>
    <b v="1"/>
    <x v="0"/>
    <n v="7"/>
  </r>
  <r>
    <s v="ORD-01318"/>
    <x v="279"/>
    <x v="279"/>
    <s v="CUST59067"/>
    <s v="Nikhil Gupta"/>
    <n v="49"/>
    <s v="Male"/>
    <x v="0"/>
    <s v="Raipur"/>
    <x v="1"/>
    <s v="Hair Oil"/>
    <n v="4"/>
    <n v="525.04999999999995"/>
    <n v="0.02"/>
    <n v="2333.9899999999998"/>
    <n v="964.12"/>
    <n v="71.8"/>
    <s v="EMI"/>
    <x v="1"/>
    <b v="0"/>
    <x v="1"/>
    <n v="1"/>
  </r>
  <r>
    <s v="ORD-03603"/>
    <x v="280"/>
    <x v="280"/>
    <s v="CUST16934"/>
    <s v="Nisha Das"/>
    <n v="26"/>
    <s v="Other"/>
    <x v="0"/>
    <s v="Indore"/>
    <x v="4"/>
    <s v="Jeans"/>
    <n v="5"/>
    <n v="3541.45"/>
    <n v="0.23"/>
    <n v="19925.91"/>
    <n v="8625.6200000000008"/>
    <n v="58"/>
    <s v="Cash on Delivery"/>
    <x v="0"/>
    <b v="0"/>
    <x v="2"/>
    <n v="9"/>
  </r>
  <r>
    <s v="ORD-01221"/>
    <x v="281"/>
    <x v="281"/>
    <s v="CUST24791"/>
    <s v="Arjun Pillai"/>
    <n v="8"/>
    <s v="Male"/>
    <x v="3"/>
    <s v="Kolkata"/>
    <x v="4"/>
    <s v="Saree"/>
    <n v="9"/>
    <n v="1326.38"/>
    <n v="0.16"/>
    <n v="11602.32"/>
    <n v="4308.95"/>
    <n v="58.85"/>
    <s v="Credit Card"/>
    <x v="2"/>
    <b v="0"/>
    <x v="1"/>
    <n v="1"/>
  </r>
  <r>
    <s v="ORD-02947"/>
    <x v="282"/>
    <x v="282"/>
    <s v="CUST85761"/>
    <s v="Aditya Chatterjee"/>
    <n v="44"/>
    <s v="Other"/>
    <x v="4"/>
    <s v="Kochi"/>
    <x v="2"/>
    <s v="Bookshelf"/>
    <n v="2"/>
    <n v="26714.83"/>
    <n v="0.23"/>
    <n v="63871.89"/>
    <n v="16676.939999999999"/>
    <n v="67.209999999999994"/>
    <s v="UPI"/>
    <x v="1"/>
    <b v="0"/>
    <x v="1"/>
    <n v="7"/>
  </r>
  <r>
    <s v="ORD-02635"/>
    <x v="283"/>
    <x v="283"/>
    <s v="CUST74282"/>
    <s v="Ritu Das"/>
    <n v="47"/>
    <s v="Male"/>
    <x v="4"/>
    <s v="Hyderabad"/>
    <x v="1"/>
    <s v="Perfume"/>
    <n v="9"/>
    <n v="1698.6"/>
    <n v="0.25"/>
    <n v="12379.8"/>
    <n v="4098.1499999999996"/>
    <n v="63.7"/>
    <s v="EMI"/>
    <x v="0"/>
    <b v="0"/>
    <x v="1"/>
    <n v="1"/>
  </r>
  <r>
    <s v="ORD-02030"/>
    <x v="37"/>
    <x v="37"/>
    <s v="CUST98295"/>
    <s v="Ritu Rao"/>
    <n v="17"/>
    <s v="Male"/>
    <x v="1"/>
    <s v="Pune"/>
    <x v="6"/>
    <s v="Football"/>
    <n v="1"/>
    <n v="13827.19"/>
    <n v="0.4"/>
    <n v="13665.74"/>
    <n v="2472.59"/>
    <n v="24.48"/>
    <s v="Net Banking"/>
    <x v="0"/>
    <b v="0"/>
    <x v="3"/>
    <n v="3"/>
  </r>
  <r>
    <s v="ORD-02150"/>
    <x v="284"/>
    <x v="284"/>
    <s v="CUST80481"/>
    <s v="Sanjay Mishra"/>
    <n v="53"/>
    <s v="Female"/>
    <x v="1"/>
    <s v="Surat"/>
    <x v="1"/>
    <s v="Sunscreen"/>
    <n v="4"/>
    <n v="356.27"/>
    <n v="0.25"/>
    <n v="1442.88"/>
    <n v="531.29999999999995"/>
    <n v="38.090000000000003"/>
    <s v="Net Banking"/>
    <x v="1"/>
    <b v="0"/>
    <x v="1"/>
    <n v="5"/>
  </r>
  <r>
    <s v="ORD-01826"/>
    <x v="285"/>
    <x v="285"/>
    <s v="CUST42492"/>
    <s v="Nikhil Bose"/>
    <n v="26"/>
    <s v="Male"/>
    <x v="4"/>
    <s v="Bangalore"/>
    <x v="1"/>
    <s v="Sunscreen"/>
    <n v="2"/>
    <n v="563.96"/>
    <n v="0.21"/>
    <n v="1382.93"/>
    <n v="529.71"/>
    <n v="100.92"/>
    <s v="Cash on Delivery"/>
    <x v="2"/>
    <b v="0"/>
    <x v="1"/>
    <n v="1"/>
  </r>
  <r>
    <s v="ORD-03667"/>
    <x v="286"/>
    <x v="286"/>
    <s v="CUST95748"/>
    <s v="Arjun Kapoor"/>
    <n v="61"/>
    <s v="Female"/>
    <x v="3"/>
    <s v="Kolkata"/>
    <x v="5"/>
    <s v="Tablet"/>
    <n v="1"/>
    <n v="42744.12"/>
    <n v="0.28999999999999998"/>
    <n v="49034.559999999998"/>
    <n v="5764.27"/>
    <n v="81.41"/>
    <s v="Debit Card"/>
    <x v="2"/>
    <b v="0"/>
    <x v="1"/>
    <n v="8"/>
  </r>
  <r>
    <s v="ORD-03993"/>
    <x v="287"/>
    <x v="287"/>
    <s v="CUST65197"/>
    <s v="Rohan Chatterjee"/>
    <n v="38"/>
    <s v="Female"/>
    <x v="4"/>
    <s v="Chennai"/>
    <x v="3"/>
    <s v="Fiction Novel"/>
    <n v="9"/>
    <n v="816.41"/>
    <n v="0.35"/>
    <n v="5054.28"/>
    <n v="2136.9"/>
    <n v="42.16"/>
    <s v="UPI"/>
    <x v="3"/>
    <b v="0"/>
    <x v="1"/>
    <n v="5"/>
  </r>
  <r>
    <s v="ORD-02332"/>
    <x v="288"/>
    <x v="288"/>
    <s v="CUST15721"/>
    <s v="Sunita Kumar"/>
    <n v="32"/>
    <s v="Female"/>
    <x v="1"/>
    <s v="Ahmedabad"/>
    <x v="0"/>
    <s v="Flour"/>
    <n v="10"/>
    <n v="364.93"/>
    <n v="7.0000000000000007E-2"/>
    <n v="3274.29"/>
    <n v="294.88"/>
    <n v="52.13"/>
    <s v="UPI"/>
    <x v="0"/>
    <b v="0"/>
    <x v="2"/>
    <n v="3"/>
  </r>
  <r>
    <s v="ORD-02774"/>
    <x v="102"/>
    <x v="102"/>
    <s v="CUST92472"/>
    <s v="Deepa Gupta"/>
    <n v="33"/>
    <s v="Male"/>
    <x v="3"/>
    <s v="Patna"/>
    <x v="6"/>
    <s v="Dumbbells"/>
    <n v="7"/>
    <n v="12799.72"/>
    <n v="0.11"/>
    <n v="114501.45"/>
    <n v="25731.03"/>
    <n v="74.55"/>
    <s v="Net Banking"/>
    <x v="3"/>
    <b v="0"/>
    <x v="1"/>
    <n v="2"/>
  </r>
  <r>
    <s v="ORD-03017"/>
    <x v="289"/>
    <x v="289"/>
    <s v="CUST11433"/>
    <s v="Aditya Shah"/>
    <n v="49"/>
    <s v="Other"/>
    <x v="2"/>
    <s v="Chandigarh"/>
    <x v="0"/>
    <s v="Dal (1kg)"/>
    <n v="5"/>
    <n v="380.49"/>
    <n v="0.36"/>
    <n v="368.28"/>
    <n v="36.06"/>
    <n v="27.57"/>
    <s v="EMI"/>
    <x v="1"/>
    <b v="0"/>
    <x v="1"/>
    <n v="1"/>
  </r>
  <r>
    <s v="ORD-01712"/>
    <x v="290"/>
    <x v="290"/>
    <s v="CUST49015"/>
    <s v="Pooja Iyer"/>
    <n v="31"/>
    <s v="Male"/>
    <x v="0"/>
    <s v="Indore"/>
    <x v="1"/>
    <s v="Face Cream"/>
    <n v="5"/>
    <n v="1868.65"/>
    <n v="0.06"/>
    <n v="1684.76"/>
    <n v="667.36"/>
    <n v="71.239999999999995"/>
    <s v="UPI"/>
    <x v="2"/>
    <b v="0"/>
    <x v="1"/>
    <n v="2"/>
  </r>
  <r>
    <s v="ORD-00337"/>
    <x v="291"/>
    <x v="291"/>
    <s v="CUST25152"/>
    <s v="Shreya Mishra"/>
    <n v="61"/>
    <s v="Female"/>
    <x v="1"/>
    <s v="Ahmedabad"/>
    <x v="3"/>
    <s v="Cook Book"/>
    <n v="2"/>
    <n v="425.83"/>
    <n v="0.04"/>
    <n v="846.36"/>
    <n v="364.43"/>
    <n v="42.68"/>
    <s v="UPI"/>
    <x v="2"/>
    <b v="0"/>
    <x v="1"/>
    <n v="10"/>
  </r>
  <r>
    <s v="ORD-03207"/>
    <x v="292"/>
    <x v="292"/>
    <s v="CUST72297"/>
    <s v="Nisha Bhat"/>
    <n v="53"/>
    <s v="Female"/>
    <x v="4"/>
    <s v="Bangalore"/>
    <x v="2"/>
    <s v="Bed Frame"/>
    <n v="5"/>
    <n v="2374.77"/>
    <n v="0.28000000000000003"/>
    <n v="9688.23"/>
    <n v="2614.25"/>
    <n v="83.81"/>
    <s v="UPI"/>
    <x v="4"/>
    <b v="0"/>
    <x v="1"/>
    <n v="6"/>
  </r>
  <r>
    <s v="ORD-00354"/>
    <x v="293"/>
    <x v="293"/>
    <s v="CUST12677"/>
    <s v="Aditya Shah"/>
    <n v="41"/>
    <s v="Other"/>
    <x v="2"/>
    <s v="Chandigarh"/>
    <x v="0"/>
    <s v="Rice (5kg)"/>
    <n v="8"/>
    <n v="294.27"/>
    <n v="0.35"/>
    <n v="1927.79"/>
    <n v="96.62"/>
    <n v="53.97"/>
    <s v="Cash on Delivery"/>
    <x v="4"/>
    <b v="0"/>
    <x v="1"/>
    <n v="5"/>
  </r>
  <r>
    <s v="ORD-00837"/>
    <x v="294"/>
    <x v="294"/>
    <s v="CUST71096"/>
    <s v="Kavya Shah"/>
    <n v="29"/>
    <s v="Other"/>
    <x v="3"/>
    <s v="Patna"/>
    <x v="5"/>
    <s v="Headphones"/>
    <n v="5"/>
    <n v="58480.23"/>
    <n v="0.09"/>
    <n v="200569.38"/>
    <n v="24313.05"/>
    <n v="84.38"/>
    <s v="Credit Card"/>
    <x v="2"/>
    <b v="0"/>
    <x v="1"/>
    <n v="2"/>
  </r>
  <r>
    <s v="ORD-02607"/>
    <x v="295"/>
    <x v="295"/>
    <s v="CUST31900"/>
    <s v="Amit Rao"/>
    <n v="39"/>
    <s v="Other"/>
    <x v="4"/>
    <s v="Bangalore"/>
    <x v="6"/>
    <s v="Yoga Mat"/>
    <n v="8"/>
    <n v="5590.43"/>
    <n v="0.19"/>
    <n v="37398.22"/>
    <n v="4824.74"/>
    <n v="69.42"/>
    <s v="Credit Card"/>
    <x v="2"/>
    <b v="0"/>
    <x v="1"/>
    <n v="2"/>
  </r>
  <r>
    <s v="ORD-00727"/>
    <x v="296"/>
    <x v="296"/>
    <s v="CUST39869"/>
    <s v="Ritu Mishra"/>
    <n v="29"/>
    <s v="Female"/>
    <x v="1"/>
    <s v="Mumbai"/>
    <x v="5"/>
    <s v="Smartwatch"/>
    <n v="4"/>
    <n v="7981.68"/>
    <n v="0.38"/>
    <n v="12800.24"/>
    <n v="1753.15"/>
    <n v="40.049999999999997"/>
    <s v="Debit Card"/>
    <x v="2"/>
    <b v="0"/>
    <x v="1"/>
    <n v="5"/>
  </r>
  <r>
    <s v="ORD-02529"/>
    <x v="297"/>
    <x v="297"/>
    <s v="CUST61216"/>
    <s v="Nikhil Joshi"/>
    <n v="34"/>
    <s v="Male"/>
    <x v="1"/>
    <s v="Pune"/>
    <x v="2"/>
    <s v="Bed Frame"/>
    <n v="2"/>
    <n v="9783.06"/>
    <n v="0.12"/>
    <n v="15984.43"/>
    <n v="3578.22"/>
    <n v="43.71"/>
    <s v="Cash on Delivery"/>
    <x v="3"/>
    <b v="1"/>
    <x v="0"/>
    <n v="5"/>
  </r>
  <r>
    <s v="ORD-03018"/>
    <x v="289"/>
    <x v="289"/>
    <s v="CUST13941"/>
    <s v="Ritu Sharma"/>
    <n v="34"/>
    <s v="Other"/>
    <x v="4"/>
    <s v="Hyderabad"/>
    <x v="5"/>
    <s v="Camera"/>
    <n v="4"/>
    <n v="66643.149999999994"/>
    <n v="0.14000000000000001"/>
    <n v="325899.40000000002"/>
    <n v="40690.870000000003"/>
    <n v="51.43"/>
    <s v="Cash on Delivery"/>
    <x v="4"/>
    <b v="0"/>
    <x v="1"/>
    <n v="3"/>
  </r>
  <r>
    <s v="ORD-01841"/>
    <x v="298"/>
    <x v="298"/>
    <s v="CUST02321"/>
    <s v="Sunita Patel"/>
    <n v="26"/>
    <s v="Female"/>
    <x v="1"/>
    <s v="Surat"/>
    <x v="1"/>
    <s v="Shampoo"/>
    <n v="10"/>
    <n v="160.57"/>
    <n v="0.38"/>
    <n v="1214.0999999999999"/>
    <n v="697.82"/>
    <n v="51.31"/>
    <s v="Credit Card"/>
    <x v="0"/>
    <b v="0"/>
    <x v="1"/>
    <n v="2"/>
  </r>
  <r>
    <s v="ORD-02858"/>
    <x v="299"/>
    <x v="299"/>
    <s v="CUST34534"/>
    <s v="Sanjay Rao"/>
    <n v="55"/>
    <s v="Male"/>
    <x v="0"/>
    <s v="Bhopal"/>
    <x v="6"/>
    <s v="Cricket Bat"/>
    <n v="7"/>
    <n v="12138.63"/>
    <n v="0.13"/>
    <n v="95488.18"/>
    <n v="21101.52"/>
    <n v="32.89"/>
    <s v="UPI"/>
    <x v="1"/>
    <b v="0"/>
    <x v="4"/>
    <n v="4"/>
  </r>
  <r>
    <s v="ORD-04176"/>
    <x v="107"/>
    <x v="107"/>
    <s v="CUST37046"/>
    <s v="Rohan Bhat"/>
    <n v="30"/>
    <s v="Other"/>
    <x v="1"/>
    <s v="Surat"/>
    <x v="5"/>
    <s v="Headphones"/>
    <n v="6"/>
    <n v="61234.43"/>
    <n v="0.24"/>
    <n v="268632.52"/>
    <n v="31422.9"/>
    <n v="48.82"/>
    <s v="Credit Card"/>
    <x v="0"/>
    <b v="0"/>
    <x v="1"/>
    <n v="4"/>
  </r>
  <r>
    <s v="ORD-03609"/>
    <x v="300"/>
    <x v="300"/>
    <s v="CUST45693"/>
    <s v="Aditya Singh"/>
    <n v="45"/>
    <s v="Male"/>
    <x v="2"/>
    <s v="Amritsar"/>
    <x v="3"/>
    <s v="Comic Book"/>
    <n v="5"/>
    <n v="224.92"/>
    <n v="0.24"/>
    <n v="1230.6600000000001"/>
    <n v="529.41999999999996"/>
    <n v="65.16"/>
    <s v="UPI"/>
    <x v="1"/>
    <b v="0"/>
    <x v="1"/>
    <n v="2"/>
  </r>
  <r>
    <s v="ORD-00559"/>
    <x v="301"/>
    <x v="301"/>
    <s v="CUST34558"/>
    <s v="Amit Bhat"/>
    <n v="46"/>
    <s v="Other"/>
    <x v="1"/>
    <s v="Mumbai"/>
    <x v="4"/>
    <s v="Jeans"/>
    <n v="8"/>
    <n v="2151.16"/>
    <n v="0.12"/>
    <n v="15432.22"/>
    <n v="4651.88"/>
    <n v="67.349999999999994"/>
    <s v="Cash on Delivery"/>
    <x v="2"/>
    <b v="1"/>
    <x v="0"/>
    <n v="4"/>
  </r>
  <r>
    <s v="ORD-01775"/>
    <x v="302"/>
    <x v="302"/>
    <s v="CUST42783"/>
    <s v="Ritu Das"/>
    <n v="25"/>
    <s v="Other"/>
    <x v="0"/>
    <s v="Indore"/>
    <x v="6"/>
    <s v="Tennis Racket"/>
    <n v="1"/>
    <n v="7835.77"/>
    <n v="0.08"/>
    <n v="6868.24"/>
    <n v="1599.65"/>
    <n v="44.2"/>
    <s v="Credit Card"/>
    <x v="0"/>
    <b v="1"/>
    <x v="0"/>
    <n v="5"/>
  </r>
  <r>
    <s v="ORD-02870"/>
    <x v="40"/>
    <x v="40"/>
    <s v="CUST15861"/>
    <s v="Priya Mishra"/>
    <n v="27"/>
    <s v="Other"/>
    <x v="1"/>
    <s v="Surat"/>
    <x v="3"/>
    <s v="Fiction Novel"/>
    <n v="2"/>
    <n v="790.19"/>
    <n v="0.12"/>
    <n v="2524.52"/>
    <n v="1241.47"/>
    <n v="75.5"/>
    <s v="UPI"/>
    <x v="3"/>
    <b v="0"/>
    <x v="1"/>
    <n v="1"/>
  </r>
  <r>
    <s v="ORD-00130"/>
    <x v="303"/>
    <x v="303"/>
    <s v="CUST73625"/>
    <s v="Nisha Bose"/>
    <n v="28"/>
    <s v="Other"/>
    <x v="3"/>
    <s v="Guwahati"/>
    <x v="3"/>
    <s v="Textbook"/>
    <n v="10"/>
    <n v="327.54000000000002"/>
    <n v="0.15"/>
    <n v="2755.17"/>
    <n v="1528.85"/>
    <n v="80.58"/>
    <s v="Debit Card"/>
    <x v="1"/>
    <b v="1"/>
    <x v="0"/>
    <n v="2"/>
  </r>
  <r>
    <s v="ORD-02188"/>
    <x v="268"/>
    <x v="268"/>
    <s v="CUST93685"/>
    <s v="Vikram Singh"/>
    <n v="19"/>
    <s v="Other"/>
    <x v="4"/>
    <s v="Chennai"/>
    <x v="5"/>
    <s v="Laptop"/>
    <n v="10"/>
    <n v="46080.58"/>
    <n v="0.33"/>
    <n v="392607.23"/>
    <n v="38045.24"/>
    <n v="42.13"/>
    <s v="Credit Card"/>
    <x v="4"/>
    <b v="0"/>
    <x v="1"/>
    <n v="7"/>
  </r>
  <r>
    <s v="ORD-02807"/>
    <x v="304"/>
    <x v="304"/>
    <s v="CUST59711"/>
    <s v="Rohan Mishra"/>
    <n v="29"/>
    <s v="Female"/>
    <x v="3"/>
    <s v="Bhubaneswar"/>
    <x v="4"/>
    <s v="Kurta"/>
    <n v="10"/>
    <n v="630.78"/>
    <n v="0.21"/>
    <n v="10612"/>
    <n v="3459.74"/>
    <n v="83.61"/>
    <s v="Credit Card"/>
    <x v="2"/>
    <b v="0"/>
    <x v="1"/>
    <n v="8"/>
  </r>
  <r>
    <s v="ORD-01201"/>
    <x v="305"/>
    <x v="305"/>
    <s v="CUST00543"/>
    <s v="Karan Singh"/>
    <n v="34"/>
    <s v="Male"/>
    <x v="4"/>
    <s v="Kochi"/>
    <x v="6"/>
    <s v="Cricket Bat"/>
    <n v="5"/>
    <n v="10501.07"/>
    <n v="0.1"/>
    <n v="15147.36"/>
    <n v="3020.39"/>
    <n v="56.4"/>
    <s v="Cash on Delivery"/>
    <x v="1"/>
    <b v="0"/>
    <x v="1"/>
    <n v="7"/>
  </r>
  <r>
    <s v="ORD-03976"/>
    <x v="306"/>
    <x v="306"/>
    <s v="CUST72202"/>
    <s v="Aarav Joshi"/>
    <n v="28"/>
    <s v="Male"/>
    <x v="1"/>
    <s v="Ahmedabad"/>
    <x v="5"/>
    <s v="Headphones"/>
    <n v="1"/>
    <n v="40304.61"/>
    <n v="0.04"/>
    <n v="54475.55"/>
    <n v="5497.55"/>
    <n v="73.05"/>
    <s v="UPI"/>
    <x v="3"/>
    <b v="0"/>
    <x v="3"/>
    <n v="5"/>
  </r>
  <r>
    <s v="ORD-03674"/>
    <x v="307"/>
    <x v="307"/>
    <s v="CUST71549"/>
    <s v="Ritu Das"/>
    <n v="37"/>
    <s v="Female"/>
    <x v="3"/>
    <s v="Kolkata"/>
    <x v="2"/>
    <s v="Chair"/>
    <n v="3"/>
    <n v="16806.93"/>
    <n v="0.37"/>
    <n v="52202.49"/>
    <n v="17999.97"/>
    <n v="90.53"/>
    <s v="Credit Card"/>
    <x v="2"/>
    <b v="0"/>
    <x v="1"/>
    <n v="2"/>
  </r>
  <r>
    <s v="ORD-00982"/>
    <x v="308"/>
    <x v="308"/>
    <s v="CUST31894"/>
    <s v="Amit Joshi"/>
    <n v="44"/>
    <s v="Other"/>
    <x v="2"/>
    <s v="Ludhiana"/>
    <x v="2"/>
    <s v="Desk"/>
    <n v="2"/>
    <n v="4143.1000000000004"/>
    <n v="0.21"/>
    <n v="9554.34"/>
    <n v="2463.9499999999998"/>
    <n v="56.97"/>
    <s v="Net Banking"/>
    <x v="1"/>
    <b v="0"/>
    <x v="1"/>
    <n v="5"/>
  </r>
  <r>
    <s v="ORD-00485"/>
    <x v="309"/>
    <x v="309"/>
    <s v="CUST67381"/>
    <s v="Amit Mehta"/>
    <n v="46"/>
    <s v="Other"/>
    <x v="3"/>
    <s v="Kolkata"/>
    <x v="5"/>
    <s v="Laptop"/>
    <n v="6"/>
    <n v="76471.27"/>
    <n v="0.21"/>
    <n v="542833.31999999995"/>
    <n v="79755.17"/>
    <n v="71.89"/>
    <s v="Cash on Delivery"/>
    <x v="1"/>
    <b v="0"/>
    <x v="1"/>
    <n v="5"/>
  </r>
  <r>
    <s v="ORD-03297"/>
    <x v="185"/>
    <x v="185"/>
    <s v="CUST29713"/>
    <s v="Rahul Gupta"/>
    <n v="37"/>
    <s v="Male"/>
    <x v="1"/>
    <s v="Mumbai"/>
    <x v="3"/>
    <s v="Cook Book"/>
    <n v="10"/>
    <n v="666.25"/>
    <n v="7.0000000000000007E-2"/>
    <n v="5098.3999999999996"/>
    <n v="1728.64"/>
    <n v="55.61"/>
    <s v="UPI"/>
    <x v="0"/>
    <b v="0"/>
    <x v="1"/>
    <n v="8"/>
  </r>
  <r>
    <s v="ORD-04137"/>
    <x v="310"/>
    <x v="310"/>
    <s v="CUST62051"/>
    <s v="Ananya Pillai"/>
    <n v="5"/>
    <s v="Other"/>
    <x v="0"/>
    <s v="Bhopal"/>
    <x v="5"/>
    <s v="Tablet"/>
    <n v="4"/>
    <n v="51581.35"/>
    <n v="0.38"/>
    <n v="131067.26"/>
    <n v="15238.43"/>
    <n v="72.66"/>
    <s v="Net Banking"/>
    <x v="2"/>
    <b v="1"/>
    <x v="0"/>
    <n v="8"/>
  </r>
  <r>
    <s v="ORD-02163"/>
    <x v="311"/>
    <x v="311"/>
    <s v="CUST72247"/>
    <s v="Arjun Mishra"/>
    <n v="57"/>
    <s v="Male"/>
    <x v="3"/>
    <s v="Kolkata"/>
    <x v="5"/>
    <s v="Tablet"/>
    <n v="1"/>
    <n v="67980.929999999993"/>
    <n v="0.21"/>
    <n v="96948"/>
    <n v="11975.81"/>
    <n v="63.26"/>
    <s v="Cash on Delivery"/>
    <x v="2"/>
    <b v="0"/>
    <x v="1"/>
    <n v="9"/>
  </r>
  <r>
    <s v="ORD-02445"/>
    <x v="312"/>
    <x v="312"/>
    <s v="CUST71240"/>
    <s v="Pooja Sharma"/>
    <n v="30"/>
    <s v="Other"/>
    <x v="2"/>
    <s v="Chandigarh"/>
    <x v="3"/>
    <s v="Fiction Novel"/>
    <n v="5"/>
    <n v="1175.29"/>
    <n v="0.36"/>
    <n v="3025.64"/>
    <n v="1294.96"/>
    <n v="66.209999999999994"/>
    <s v="Net Banking"/>
    <x v="3"/>
    <b v="0"/>
    <x v="1"/>
    <n v="4"/>
  </r>
  <r>
    <s v="ORD-00767"/>
    <x v="275"/>
    <x v="275"/>
    <s v="CUST99682"/>
    <s v="Aditya Mishra"/>
    <n v="17"/>
    <s v="Other"/>
    <x v="2"/>
    <s v="Ludhiana"/>
    <x v="2"/>
    <s v="Sofa"/>
    <n v="5"/>
    <n v="30866.799999999999"/>
    <n v="7.0000000000000007E-2"/>
    <n v="87823.05"/>
    <n v="26550.31"/>
    <n v="38.03"/>
    <s v="Debit Card"/>
    <x v="1"/>
    <b v="0"/>
    <x v="1"/>
    <n v="10"/>
  </r>
  <r>
    <s v="ORD-00629"/>
    <x v="313"/>
    <x v="313"/>
    <s v="CUST51786"/>
    <s v="Kavya Joshi"/>
    <n v="48"/>
    <s v="Male"/>
    <x v="0"/>
    <s v="Bhopal"/>
    <x v="1"/>
    <s v="Perfume"/>
    <n v="9"/>
    <n v="1406.56"/>
    <n v="0.1"/>
    <n v="8925.0499999999993"/>
    <n v="3776.97"/>
    <n v="39.94"/>
    <s v="Cash on Delivery"/>
    <x v="0"/>
    <b v="0"/>
    <x v="1"/>
    <n v="5"/>
  </r>
  <r>
    <s v="ORD-00701"/>
    <x v="314"/>
    <x v="314"/>
    <s v="CUST90688"/>
    <s v="Priya Nair"/>
    <n v="42"/>
    <s v="Female"/>
    <x v="3"/>
    <s v="Patna"/>
    <x v="5"/>
    <s v="Tablet"/>
    <n v="6"/>
    <n v="50084.03"/>
    <n v="0.17"/>
    <n v="186628.87"/>
    <n v="20981.15"/>
    <n v="94.58"/>
    <s v="Debit Card"/>
    <x v="2"/>
    <b v="0"/>
    <x v="3"/>
    <n v="6"/>
  </r>
  <r>
    <s v="ORD-00439"/>
    <x v="315"/>
    <x v="315"/>
    <s v="CUST45071"/>
    <s v="Aditya Nair"/>
    <n v="22"/>
    <s v="Male"/>
    <x v="1"/>
    <s v="Ahmedabad"/>
    <x v="0"/>
    <s v="Cooking Oil"/>
    <n v="2"/>
    <n v="379.2"/>
    <n v="0.2"/>
    <n v="658.39"/>
    <n v="27.25"/>
    <n v="67.650000000000006"/>
    <s v="UPI"/>
    <x v="4"/>
    <b v="0"/>
    <x v="1"/>
    <n v="7"/>
  </r>
  <r>
    <s v="ORD-00132"/>
    <x v="303"/>
    <x v="303"/>
    <s v="CUST20387"/>
    <s v="Ritu Mishra"/>
    <n v="26"/>
    <s v="Female"/>
    <x v="4"/>
    <s v="Kochi"/>
    <x v="1"/>
    <s v="Lipstick"/>
    <n v="2"/>
    <n v="959.97"/>
    <n v="0.05"/>
    <n v="1563.91"/>
    <n v="630.51"/>
    <n v="71.849999999999994"/>
    <s v="EMI"/>
    <x v="2"/>
    <b v="0"/>
    <x v="1"/>
    <n v="2"/>
  </r>
  <r>
    <s v="ORD-00343"/>
    <x v="316"/>
    <x v="316"/>
    <s v="CUST91659"/>
    <s v="Shreya Verma"/>
    <n v="20"/>
    <s v="Male"/>
    <x v="0"/>
    <s v="Nagpur"/>
    <x v="4"/>
    <s v="Kurta"/>
    <n v="1"/>
    <n v="1604.88"/>
    <n v="0.22"/>
    <n v="1620.42"/>
    <n v="414.75"/>
    <n v="71.08"/>
    <s v="Debit Card"/>
    <x v="0"/>
    <b v="1"/>
    <x v="0"/>
    <n v="4"/>
  </r>
  <r>
    <s v="ORD-02362"/>
    <x v="317"/>
    <x v="317"/>
    <s v="CUST09796"/>
    <s v="Shreya Mehta"/>
    <n v="2"/>
    <s v="Other"/>
    <x v="2"/>
    <s v="Ludhiana"/>
    <x v="4"/>
    <s v="Kurta"/>
    <n v="5"/>
    <n v="3077.69"/>
    <n v="0.12"/>
    <n v="12279.25"/>
    <n v="4018.97"/>
    <n v="55.38"/>
    <s v="UPI"/>
    <x v="0"/>
    <b v="0"/>
    <x v="1"/>
    <n v="8"/>
  </r>
  <r>
    <s v="ORD-01138"/>
    <x v="318"/>
    <x v="318"/>
    <s v="CUST65692"/>
    <s v="Aarav Kumar"/>
    <n v="12"/>
    <s v="Other"/>
    <x v="0"/>
    <s v="Raipur"/>
    <x v="0"/>
    <s v="Tea"/>
    <n v="10"/>
    <n v="179.45"/>
    <n v="0.1"/>
    <n v="2253.34"/>
    <n v="170.8"/>
    <n v="35.54"/>
    <s v="EMI"/>
    <x v="0"/>
    <b v="0"/>
    <x v="1"/>
    <n v="7"/>
  </r>
  <r>
    <s v="ORD-03480"/>
    <x v="319"/>
    <x v="319"/>
    <s v="CUST61945"/>
    <s v="Vikram Joshi"/>
    <n v="25"/>
    <s v="Other"/>
    <x v="1"/>
    <s v="Ahmedabad"/>
    <x v="4"/>
    <s v="T-Shirt"/>
    <n v="6"/>
    <n v="1277.6600000000001"/>
    <n v="0.21"/>
    <n v="7425.11"/>
    <n v="2123.71"/>
    <n v="43.17"/>
    <s v="Net Banking"/>
    <x v="4"/>
    <b v="0"/>
    <x v="1"/>
    <n v="10"/>
  </r>
  <r>
    <s v="ORD-02011"/>
    <x v="320"/>
    <x v="320"/>
    <s v="CUST67385"/>
    <s v="Kavya Shah"/>
    <n v="52"/>
    <s v="Female"/>
    <x v="1"/>
    <s v="Pune"/>
    <x v="6"/>
    <s v="Cricket Bat"/>
    <n v="10"/>
    <n v="6308.82"/>
    <n v="0.36"/>
    <n v="65319.25"/>
    <n v="13727.44"/>
    <n v="63.87"/>
    <s v="Net Banking"/>
    <x v="4"/>
    <b v="1"/>
    <x v="0"/>
    <n v="7"/>
  </r>
  <r>
    <s v="ORD-03217"/>
    <x v="321"/>
    <x v="321"/>
    <s v="CUST14537"/>
    <s v="Pooja Joshi"/>
    <n v="41"/>
    <s v="Other"/>
    <x v="2"/>
    <s v="Amritsar"/>
    <x v="1"/>
    <s v="Hair Oil"/>
    <n v="10"/>
    <n v="850.71"/>
    <n v="0.4"/>
    <n v="5762.75"/>
    <n v="2735.24"/>
    <n v="38.04"/>
    <s v="Cash on Delivery"/>
    <x v="2"/>
    <b v="0"/>
    <x v="1"/>
    <n v="6"/>
  </r>
  <r>
    <s v="ORD-02921"/>
    <x v="322"/>
    <x v="322"/>
    <s v="CUST51781"/>
    <s v="Karan Singh"/>
    <n v="26"/>
    <s v="Male"/>
    <x v="2"/>
    <s v="Delhi"/>
    <x v="0"/>
    <s v="Rice (5kg)"/>
    <n v="5"/>
    <n v="200.85"/>
    <n v="0.36"/>
    <n v="1116.3800000000001"/>
    <n v="71.67"/>
    <n v="58.1"/>
    <s v="EMI"/>
    <x v="3"/>
    <b v="0"/>
    <x v="1"/>
    <n v="1"/>
  </r>
  <r>
    <s v="ORD-01303"/>
    <x v="323"/>
    <x v="323"/>
    <s v="CUST71873"/>
    <s v="Aditya Singh"/>
    <n v="35"/>
    <s v="Female"/>
    <x v="3"/>
    <s v="Bhubaneswar"/>
    <x v="2"/>
    <s v="Sofa"/>
    <n v="3"/>
    <n v="23823.69"/>
    <n v="0.11"/>
    <n v="88956.71"/>
    <n v="26211.15"/>
    <n v="95.16"/>
    <s v="EMI"/>
    <x v="1"/>
    <b v="0"/>
    <x v="1"/>
    <n v="6"/>
  </r>
  <r>
    <s v="ORD-01463"/>
    <x v="324"/>
    <x v="324"/>
    <s v="CUST80946"/>
    <s v="Nikhil Verma"/>
    <n v="35"/>
    <s v="Other"/>
    <x v="1"/>
    <s v="Ahmedabad"/>
    <x v="6"/>
    <s v="Football"/>
    <n v="6"/>
    <n v="10030.26"/>
    <n v="0.17"/>
    <n v="51174.21"/>
    <n v="14093.89"/>
    <n v="33.86"/>
    <s v="Net Banking"/>
    <x v="2"/>
    <b v="0"/>
    <x v="1"/>
    <n v="8"/>
  </r>
  <r>
    <s v="ORD-02411"/>
    <x v="325"/>
    <x v="325"/>
    <s v="CUST04556"/>
    <s v="Amit Shah"/>
    <n v="43"/>
    <s v="Male"/>
    <x v="3"/>
    <s v="Kolkata"/>
    <x v="5"/>
    <s v="Laptop"/>
    <n v="9"/>
    <n v="33801.96"/>
    <n v="0.4"/>
    <n v="175761.72"/>
    <n v="23971.25"/>
    <n v="95.97"/>
    <s v="Cash on Delivery"/>
    <x v="0"/>
    <b v="1"/>
    <x v="0"/>
    <n v="7"/>
  </r>
  <r>
    <s v="ORD-02048"/>
    <x v="326"/>
    <x v="326"/>
    <s v="CUST98440"/>
    <s v="Nikhil Nair"/>
    <n v="34"/>
    <s v="Other"/>
    <x v="4"/>
    <s v="Kochi"/>
    <x v="4"/>
    <s v="Saree"/>
    <n v="4"/>
    <n v="2288.92"/>
    <n v="0.09"/>
    <n v="11495.42"/>
    <n v="3680.34"/>
    <n v="53.41"/>
    <s v="Cash on Delivery"/>
    <x v="2"/>
    <b v="0"/>
    <x v="4"/>
    <n v="8"/>
  </r>
  <r>
    <s v="ORD-02047"/>
    <x v="326"/>
    <x v="326"/>
    <s v="CUST63577"/>
    <s v="Sunita Iyer"/>
    <n v="49"/>
    <s v="Male"/>
    <x v="0"/>
    <s v="Indore"/>
    <x v="0"/>
    <s v="Flour"/>
    <n v="8"/>
    <n v="377.69"/>
    <n v="0.27"/>
    <n v="3219.24"/>
    <n v="244.77"/>
    <n v="42.69"/>
    <s v="Credit Card"/>
    <x v="4"/>
    <b v="0"/>
    <x v="1"/>
    <n v="4"/>
  </r>
  <r>
    <s v="ORD-00197"/>
    <x v="327"/>
    <x v="327"/>
    <s v="CUST04223"/>
    <s v="Pooja Joshi"/>
    <n v="12"/>
    <s v="Other"/>
    <x v="2"/>
    <s v="Amritsar"/>
    <x v="6"/>
    <s v="Cycle"/>
    <n v="8"/>
    <n v="10282.68"/>
    <n v="0.11"/>
    <n v="66340.960000000006"/>
    <n v="13106.07"/>
    <n v="65.44"/>
    <s v="Net Banking"/>
    <x v="4"/>
    <b v="0"/>
    <x v="1"/>
    <n v="3"/>
  </r>
  <r>
    <s v="ORD-01595"/>
    <x v="328"/>
    <x v="328"/>
    <s v="CUST89482"/>
    <s v="Nisha Chatterjee"/>
    <n v="38"/>
    <s v="Male"/>
    <x v="4"/>
    <s v="Kochi"/>
    <x v="3"/>
    <s v="Self-Help Book"/>
    <n v="7"/>
    <n v="233.11"/>
    <n v="0.36"/>
    <n v="762.89"/>
    <n v="271.36"/>
    <n v="71.2"/>
    <s v="UPI"/>
    <x v="0"/>
    <b v="0"/>
    <x v="1"/>
    <n v="2"/>
  </r>
  <r>
    <s v="ORD-00799"/>
    <x v="271"/>
    <x v="271"/>
    <s v="CUST20881"/>
    <s v="Rohan Singh"/>
    <n v="48"/>
    <s v="Male"/>
    <x v="1"/>
    <s v="Mumbai"/>
    <x v="6"/>
    <s v="Yoga Mat"/>
    <n v="4"/>
    <n v="2347.62"/>
    <n v="0.22"/>
    <n v="5426.75"/>
    <n v="1694.29"/>
    <n v="36.229999999999997"/>
    <s v="Debit Card"/>
    <x v="4"/>
    <b v="0"/>
    <x v="1"/>
    <n v="10"/>
  </r>
  <r>
    <s v="ORD-03920"/>
    <x v="329"/>
    <x v="329"/>
    <s v="CUST20311"/>
    <s v="Shreya Gupta"/>
    <n v="54"/>
    <s v="Other"/>
    <x v="1"/>
    <s v="Surat"/>
    <x v="6"/>
    <s v="Dumbbells"/>
    <n v="8"/>
    <n v="8802.69"/>
    <n v="0.36"/>
    <n v="54768.47"/>
    <n v="12390.55"/>
    <n v="76.209999999999994"/>
    <s v="Credit Card"/>
    <x v="1"/>
    <b v="0"/>
    <x v="1"/>
    <n v="3"/>
  </r>
  <r>
    <s v="ORD-01013"/>
    <x v="330"/>
    <x v="330"/>
    <s v="CUST39675"/>
    <s v="Priya Kapoor"/>
    <n v="24"/>
    <s v="Other"/>
    <x v="3"/>
    <s v="Bhubaneswar"/>
    <x v="4"/>
    <s v="Jacket"/>
    <n v="8"/>
    <n v="1837.46"/>
    <n v="0.26"/>
    <n v="13934.11"/>
    <n v="4142.9399999999996"/>
    <n v="81.400000000000006"/>
    <s v="EMI"/>
    <x v="4"/>
    <b v="0"/>
    <x v="3"/>
    <n v="8"/>
  </r>
  <r>
    <s v="ORD-02295"/>
    <x v="331"/>
    <x v="331"/>
    <s v="CUST16205"/>
    <s v="Arjun Kapoor"/>
    <n v="32"/>
    <s v="Male"/>
    <x v="3"/>
    <s v="Guwahati"/>
    <x v="6"/>
    <s v="Tennis Racket"/>
    <n v="5"/>
    <n v="7290.72"/>
    <n v="0"/>
    <n v="8729.66"/>
    <n v="2532.61"/>
    <n v="59.36"/>
    <s v="EMI"/>
    <x v="1"/>
    <b v="0"/>
    <x v="1"/>
    <n v="2"/>
  </r>
  <r>
    <s v="ORD-00267"/>
    <x v="120"/>
    <x v="120"/>
    <s v="CUST76356"/>
    <s v="Aditya Pillai"/>
    <n v="21"/>
    <s v="Female"/>
    <x v="3"/>
    <s v="Kolkata"/>
    <x v="6"/>
    <s v="Football"/>
    <n v="6"/>
    <n v="7876.81"/>
    <n v="0.02"/>
    <n v="58868.95"/>
    <n v="12406.43"/>
    <n v="62.09"/>
    <s v="Debit Card"/>
    <x v="2"/>
    <b v="0"/>
    <x v="4"/>
    <n v="3"/>
  </r>
  <r>
    <s v="ORD-01704"/>
    <x v="332"/>
    <x v="332"/>
    <s v="CUST33909"/>
    <s v="Amit Reddy"/>
    <n v="28"/>
    <s v="Female"/>
    <x v="2"/>
    <s v="Chandigarh"/>
    <x v="3"/>
    <s v="Comic Book"/>
    <n v="4"/>
    <n v="1134.8900000000001"/>
    <n v="0.05"/>
    <n v="3201.22"/>
    <n v="939.71"/>
    <n v="68.97"/>
    <s v="Net Banking"/>
    <x v="2"/>
    <b v="0"/>
    <x v="1"/>
    <n v="2"/>
  </r>
  <r>
    <s v="ORD-01925"/>
    <x v="333"/>
    <x v="333"/>
    <s v="CUST73689"/>
    <s v="Meera Chatterjee"/>
    <n v="41"/>
    <s v="Male"/>
    <x v="4"/>
    <s v="Kochi"/>
    <x v="4"/>
    <s v="Jeans"/>
    <n v="9"/>
    <n v="3373.39"/>
    <n v="0.02"/>
    <n v="45729.43"/>
    <n v="18565.86"/>
    <n v="73.180000000000007"/>
    <s v="Cash on Delivery"/>
    <x v="3"/>
    <b v="0"/>
    <x v="1"/>
    <n v="4"/>
  </r>
  <r>
    <s v="ORD-02748"/>
    <x v="334"/>
    <x v="334"/>
    <s v="CUST72583"/>
    <s v="Sunita Bose"/>
    <n v="41"/>
    <s v="Female"/>
    <x v="1"/>
    <s v="Surat"/>
    <x v="0"/>
    <s v="Tea"/>
    <n v="9"/>
    <n v="467.6"/>
    <n v="0.02"/>
    <n v="5992.24"/>
    <n v="654.29"/>
    <n v="37.130000000000003"/>
    <s v="EMI"/>
    <x v="2"/>
    <b v="0"/>
    <x v="1"/>
    <n v="7"/>
  </r>
  <r>
    <s v="ORD-00575"/>
    <x v="335"/>
    <x v="335"/>
    <s v="CUST39101"/>
    <s v="Sunita Mehta"/>
    <n v="32"/>
    <s v="Other"/>
    <x v="3"/>
    <s v="Guwahati"/>
    <x v="2"/>
    <s v="Bookshelf"/>
    <n v="7"/>
    <n v="5932.53"/>
    <n v="0.39"/>
    <n v="23093.119999999999"/>
    <n v="8164.97"/>
    <n v="84.41"/>
    <s v="UPI"/>
    <x v="0"/>
    <b v="0"/>
    <x v="1"/>
    <n v="1"/>
  </r>
  <r>
    <s v="ORD-03873"/>
    <x v="336"/>
    <x v="336"/>
    <s v="CUST07406"/>
    <s v="Sunita Pillai"/>
    <n v="54"/>
    <s v="Other"/>
    <x v="1"/>
    <s v="Pune"/>
    <x v="4"/>
    <s v="Jeans"/>
    <n v="5"/>
    <n v="545.99"/>
    <n v="0.34"/>
    <n v="578.97"/>
    <n v="183.45"/>
    <n v="68.2"/>
    <s v="Credit Card"/>
    <x v="4"/>
    <b v="0"/>
    <x v="1"/>
    <n v="9"/>
  </r>
  <r>
    <s v="ORD-02409"/>
    <x v="337"/>
    <x v="337"/>
    <s v="CUST13324"/>
    <s v="Sanjay Iyer"/>
    <n v="31"/>
    <s v="Other"/>
    <x v="2"/>
    <s v="Delhi"/>
    <x v="0"/>
    <s v="Tea"/>
    <n v="8"/>
    <n v="163.97"/>
    <n v="0.16"/>
    <n v="1055.3399999999999"/>
    <n v="91.59"/>
    <n v="24.74"/>
    <s v="Debit Card"/>
    <x v="2"/>
    <b v="0"/>
    <x v="4"/>
    <n v="8"/>
  </r>
  <r>
    <s v="ORD-02610"/>
    <x v="295"/>
    <x v="295"/>
    <s v="CUST96115"/>
    <s v="Sanjay Rao"/>
    <n v="39"/>
    <s v="Male"/>
    <x v="4"/>
    <s v="Kochi"/>
    <x v="3"/>
    <s v="Self-Help Book"/>
    <n v="10"/>
    <n v="947.87"/>
    <n v="0.24"/>
    <n v="7234.13"/>
    <n v="3527.5"/>
    <n v="84.4"/>
    <s v="Credit Card"/>
    <x v="2"/>
    <b v="0"/>
    <x v="1"/>
    <n v="4"/>
  </r>
  <r>
    <s v="ORD-00915"/>
    <x v="338"/>
    <x v="338"/>
    <s v="CUST76268"/>
    <s v="Arjun Patel"/>
    <n v="36"/>
    <s v="Other"/>
    <x v="2"/>
    <s v="Amritsar"/>
    <x v="5"/>
    <s v="Smartwatch"/>
    <n v="3"/>
    <n v="48921.59"/>
    <n v="0.19"/>
    <n v="107608.01"/>
    <n v="16935.060000000001"/>
    <n v="46.65"/>
    <s v="Credit Card"/>
    <x v="4"/>
    <b v="0"/>
    <x v="1"/>
    <n v="3"/>
  </r>
  <r>
    <s v="ORD-02705"/>
    <x v="339"/>
    <x v="339"/>
    <s v="CUST85785"/>
    <s v="Meera Rao"/>
    <n v="41"/>
    <s v="Female"/>
    <x v="1"/>
    <s v="Surat"/>
    <x v="1"/>
    <s v="Perfume"/>
    <n v="2"/>
    <n v="888.49"/>
    <n v="0.08"/>
    <n v="2115.7399999999998"/>
    <n v="795.3"/>
    <n v="42.25"/>
    <s v="Debit Card"/>
    <x v="4"/>
    <b v="0"/>
    <x v="2"/>
    <n v="8"/>
  </r>
  <r>
    <s v="ORD-01524"/>
    <x v="340"/>
    <x v="340"/>
    <s v="CUST61294"/>
    <s v="Shreya Mishra"/>
    <n v="34"/>
    <s v="Other"/>
    <x v="2"/>
    <s v="Amritsar"/>
    <x v="0"/>
    <s v="Rice (5kg)"/>
    <n v="1"/>
    <n v="148.49"/>
    <n v="0.12"/>
    <n v="100.14"/>
    <n v="7.46"/>
    <n v="70.77"/>
    <s v="Credit Card"/>
    <x v="4"/>
    <b v="0"/>
    <x v="1"/>
    <n v="9"/>
  </r>
  <r>
    <s v="ORD-00597"/>
    <x v="341"/>
    <x v="341"/>
    <s v="CUST03651"/>
    <s v="Arjun Patel"/>
    <n v="55"/>
    <s v="Female"/>
    <x v="1"/>
    <s v="Surat"/>
    <x v="5"/>
    <s v="Tablet"/>
    <n v="1"/>
    <n v="38379.550000000003"/>
    <n v="0.18"/>
    <n v="33725.89"/>
    <n v="4708.0600000000004"/>
    <n v="49.85"/>
    <s v="EMI"/>
    <x v="3"/>
    <b v="0"/>
    <x v="1"/>
    <n v="3"/>
  </r>
  <r>
    <s v="ORD-04126"/>
    <x v="342"/>
    <x v="342"/>
    <s v="CUST88649"/>
    <s v="Pooja Iyer"/>
    <n v="30"/>
    <s v="Female"/>
    <x v="4"/>
    <s v="Chennai"/>
    <x v="3"/>
    <s v="Self-Help Book"/>
    <n v="10"/>
    <n v="1308.6300000000001"/>
    <n v="0.39"/>
    <n v="8038.79"/>
    <n v="3691.88"/>
    <n v="59.74"/>
    <s v="EMI"/>
    <x v="1"/>
    <b v="0"/>
    <x v="1"/>
    <n v="9"/>
  </r>
  <r>
    <s v="ORD-01289"/>
    <x v="343"/>
    <x v="343"/>
    <s v="CUST60491"/>
    <s v="Shreya Bhat"/>
    <n v="24"/>
    <s v="Other"/>
    <x v="3"/>
    <s v="Bhubaneswar"/>
    <x v="6"/>
    <s v="Cycle"/>
    <n v="2"/>
    <n v="8857.58"/>
    <n v="0.05"/>
    <n v="21239.19"/>
    <n v="3446.13"/>
    <n v="90.64"/>
    <s v="Net Banking"/>
    <x v="0"/>
    <b v="1"/>
    <x v="0"/>
    <n v="8"/>
  </r>
  <r>
    <s v="ORD-01992"/>
    <x v="41"/>
    <x v="41"/>
    <s v="CUST42274"/>
    <s v="Nisha Reddy"/>
    <n v="38"/>
    <s v="Other"/>
    <x v="4"/>
    <s v="Chennai"/>
    <x v="6"/>
    <s v="Tennis Racket"/>
    <n v="10"/>
    <n v="2313.34"/>
    <n v="7.0000000000000007E-2"/>
    <n v="26178.67"/>
    <n v="6071.72"/>
    <n v="54.61"/>
    <s v="Debit Card"/>
    <x v="4"/>
    <b v="1"/>
    <x v="0"/>
    <n v="3"/>
  </r>
  <r>
    <s v="ORD-02690"/>
    <x v="344"/>
    <x v="344"/>
    <s v="CUST42802"/>
    <s v="Sanjay Rao"/>
    <n v="25"/>
    <s v="Male"/>
    <x v="4"/>
    <s v="Hyderabad"/>
    <x v="6"/>
    <s v="Cycle"/>
    <n v="4"/>
    <n v="7081.6"/>
    <n v="0.31"/>
    <n v="25039.19"/>
    <n v="6611.41"/>
    <n v="89.06"/>
    <s v="Debit Card"/>
    <x v="0"/>
    <b v="1"/>
    <x v="0"/>
    <n v="10"/>
  </r>
  <r>
    <s v="ORD-02181"/>
    <x v="345"/>
    <x v="345"/>
    <s v="CUST50045"/>
    <s v="Arjun Verma"/>
    <n v="21"/>
    <s v="Male"/>
    <x v="2"/>
    <s v="Chandigarh"/>
    <x v="4"/>
    <s v="Jeans"/>
    <n v="8"/>
    <n v="3588.17"/>
    <n v="0.24"/>
    <n v="31618.79"/>
    <n v="13674.74"/>
    <n v="86.78"/>
    <s v="EMI"/>
    <x v="4"/>
    <b v="0"/>
    <x v="1"/>
    <n v="7"/>
  </r>
  <r>
    <s v="ORD-03851"/>
    <x v="346"/>
    <x v="346"/>
    <s v="CUST24550"/>
    <s v="Amit Nair"/>
    <n v="19"/>
    <s v="Other"/>
    <x v="1"/>
    <s v="Pune"/>
    <x v="4"/>
    <s v="Kurta"/>
    <n v="4"/>
    <n v="2461.65"/>
    <n v="0.33"/>
    <n v="9963.8700000000008"/>
    <n v="2386.31"/>
    <n v="85.19"/>
    <s v="Net Banking"/>
    <x v="2"/>
    <b v="0"/>
    <x v="1"/>
    <n v="1"/>
  </r>
  <r>
    <s v="ORD-00644"/>
    <x v="347"/>
    <x v="347"/>
    <s v="CUST94203"/>
    <s v="Sanjay Nair"/>
    <n v="34"/>
    <s v="Other"/>
    <x v="0"/>
    <s v="Bhopal"/>
    <x v="2"/>
    <s v="Bed Frame"/>
    <n v="4"/>
    <n v="22879.02"/>
    <n v="0.1"/>
    <n v="63905.82"/>
    <n v="18612.63"/>
    <n v="53.94"/>
    <s v="Cash on Delivery"/>
    <x v="4"/>
    <b v="0"/>
    <x v="3"/>
    <n v="6"/>
  </r>
  <r>
    <s v="ORD-02923"/>
    <x v="348"/>
    <x v="348"/>
    <s v="CUST62956"/>
    <s v="Pooja Mishra"/>
    <n v="15"/>
    <s v="Male"/>
    <x v="2"/>
    <s v="Ludhiana"/>
    <x v="3"/>
    <s v="Cook Book"/>
    <n v="9"/>
    <n v="916.14"/>
    <n v="0.36"/>
    <n v="8220.0400000000009"/>
    <n v="2666.27"/>
    <n v="63.91"/>
    <s v="Cash on Delivery"/>
    <x v="2"/>
    <b v="0"/>
    <x v="3"/>
    <n v="7"/>
  </r>
  <r>
    <s v="ORD-01414"/>
    <x v="349"/>
    <x v="349"/>
    <s v="CUST00909"/>
    <s v="Ananya Verma"/>
    <n v="32"/>
    <s v="Other"/>
    <x v="4"/>
    <s v="Bangalore"/>
    <x v="2"/>
    <s v="Sofa"/>
    <n v="6"/>
    <n v="3717.72"/>
    <n v="0.22"/>
    <n v="17177.150000000001"/>
    <n v="4949.58"/>
    <n v="62.81"/>
    <s v="Net Banking"/>
    <x v="3"/>
    <b v="0"/>
    <x v="1"/>
    <n v="3"/>
  </r>
  <r>
    <s v="ORD-03126"/>
    <x v="350"/>
    <x v="350"/>
    <s v="CUST84742"/>
    <s v="Sunita Patel"/>
    <n v="42"/>
    <s v="Other"/>
    <x v="4"/>
    <s v="Bangalore"/>
    <x v="6"/>
    <s v="Cricket Bat"/>
    <n v="7"/>
    <n v="7005.09"/>
    <n v="0.21"/>
    <n v="55004.13"/>
    <n v="13825.48"/>
    <n v="39.04"/>
    <s v="Net Banking"/>
    <x v="0"/>
    <b v="0"/>
    <x v="1"/>
    <n v="3"/>
  </r>
  <r>
    <s v="ORD-00251"/>
    <x v="351"/>
    <x v="351"/>
    <s v="CUST66007"/>
    <s v="Sunita Bose"/>
    <n v="26"/>
    <s v="Male"/>
    <x v="2"/>
    <s v="Ludhiana"/>
    <x v="2"/>
    <s v="Sofa"/>
    <n v="1"/>
    <n v="6470.7"/>
    <n v="0.34"/>
    <n v="4394.74"/>
    <n v="1235.03"/>
    <n v="66.87"/>
    <s v="Net Banking"/>
    <x v="2"/>
    <b v="0"/>
    <x v="1"/>
    <n v="7"/>
  </r>
  <r>
    <s v="ORD-03006"/>
    <x v="352"/>
    <x v="352"/>
    <s v="CUST96839"/>
    <s v="Amit Sharma"/>
    <n v="38"/>
    <s v="Female"/>
    <x v="0"/>
    <s v="Raipur"/>
    <x v="3"/>
    <s v="Cook Book"/>
    <n v="10"/>
    <n v="680.67"/>
    <n v="0.28000000000000003"/>
    <n v="7920.13"/>
    <n v="4381.82"/>
    <n v="60.91"/>
    <s v="Credit Card"/>
    <x v="0"/>
    <b v="0"/>
    <x v="1"/>
    <n v="4"/>
  </r>
  <r>
    <s v="ORD-01407"/>
    <x v="353"/>
    <x v="353"/>
    <s v="CUST62870"/>
    <s v="Shreya Mehta"/>
    <n v="38"/>
    <s v="Female"/>
    <x v="0"/>
    <s v="Raipur"/>
    <x v="1"/>
    <s v="Face Cream"/>
    <n v="2"/>
    <n v="1348.14"/>
    <n v="0.25"/>
    <n v="2363.6999999999998"/>
    <n v="904.82"/>
    <n v="48.59"/>
    <s v="UPI"/>
    <x v="3"/>
    <b v="0"/>
    <x v="1"/>
    <n v="5"/>
  </r>
  <r>
    <s v="ORD-02313"/>
    <x v="354"/>
    <x v="354"/>
    <s v="CUST66337"/>
    <s v="Kavya Singh"/>
    <n v="34"/>
    <s v="Female"/>
    <x v="4"/>
    <s v="Bangalore"/>
    <x v="4"/>
    <s v="Dress"/>
    <n v="10"/>
    <n v="2259.7800000000002"/>
    <n v="0.04"/>
    <n v="20953.37"/>
    <n v="7949.05"/>
    <n v="52.93"/>
    <s v="UPI"/>
    <x v="1"/>
    <b v="0"/>
    <x v="1"/>
    <n v="7"/>
  </r>
  <r>
    <s v="ORD-01620"/>
    <x v="355"/>
    <x v="355"/>
    <s v="CUST54344"/>
    <s v="Nisha Bhat"/>
    <n v="27"/>
    <s v="Female"/>
    <x v="2"/>
    <s v="Amritsar"/>
    <x v="1"/>
    <s v="Sunscreen"/>
    <n v="1"/>
    <n v="805.29"/>
    <n v="0.36"/>
    <n v="359.88"/>
    <n v="172.3"/>
    <n v="52.35"/>
    <s v="Net Banking"/>
    <x v="0"/>
    <b v="0"/>
    <x v="1"/>
    <n v="6"/>
  </r>
  <r>
    <s v="ORD-00563"/>
    <x v="356"/>
    <x v="356"/>
    <s v="CUST44323"/>
    <s v="Ritu Bose"/>
    <n v="33"/>
    <s v="Female"/>
    <x v="4"/>
    <s v="Bangalore"/>
    <x v="3"/>
    <s v="Cook Book"/>
    <n v="6"/>
    <n v="1105.96"/>
    <n v="0.28999999999999998"/>
    <n v="5241.79"/>
    <n v="1716.01"/>
    <n v="67.650000000000006"/>
    <s v="Debit Card"/>
    <x v="0"/>
    <b v="1"/>
    <x v="0"/>
    <n v="3"/>
  </r>
  <r>
    <s v="ORD-01940"/>
    <x v="357"/>
    <x v="357"/>
    <s v="CUST29935"/>
    <s v="Sanjay Mishra"/>
    <n v="30"/>
    <s v="Female"/>
    <x v="1"/>
    <s v="Surat"/>
    <x v="1"/>
    <s v="Sunscreen"/>
    <n v="8"/>
    <n v="2364.86"/>
    <n v="0.15"/>
    <n v="20195.66"/>
    <n v="11817.43"/>
    <n v="58.27"/>
    <s v="Debit Card"/>
    <x v="1"/>
    <b v="0"/>
    <x v="1"/>
    <n v="5"/>
  </r>
  <r>
    <s v="ORD-00142"/>
    <x v="358"/>
    <x v="358"/>
    <s v="CUST82516"/>
    <s v="Ritu Joshi"/>
    <n v="40"/>
    <s v="Female"/>
    <x v="3"/>
    <s v="Bhubaneswar"/>
    <x v="6"/>
    <s v="Tennis Racket"/>
    <n v="1"/>
    <n v="11227.96"/>
    <n v="0.31"/>
    <n v="6220.68"/>
    <n v="1706.13"/>
    <n v="87.6"/>
    <s v="Net Banking"/>
    <x v="3"/>
    <b v="0"/>
    <x v="4"/>
    <n v="3"/>
  </r>
  <r>
    <s v="ORD-03035"/>
    <x v="50"/>
    <x v="50"/>
    <s v="CUST76199"/>
    <s v="Meera Pillai"/>
    <n v="60"/>
    <s v="Other"/>
    <x v="1"/>
    <s v="Ahmedabad"/>
    <x v="6"/>
    <s v="Tennis Racket"/>
    <n v="3"/>
    <n v="6247.18"/>
    <n v="0.23"/>
    <n v="19652.060000000001"/>
    <n v="5128.8900000000003"/>
    <n v="52.48"/>
    <s v="Credit Card"/>
    <x v="2"/>
    <b v="0"/>
    <x v="1"/>
    <n v="7"/>
  </r>
  <r>
    <s v="ORD-04095"/>
    <x v="359"/>
    <x v="359"/>
    <s v="CUST78442"/>
    <s v="Arjun Gupta"/>
    <n v="43"/>
    <s v="Female"/>
    <x v="4"/>
    <s v="Kochi"/>
    <x v="2"/>
    <s v="Bed Frame"/>
    <n v="2"/>
    <n v="28947.69"/>
    <n v="0.39"/>
    <n v="35266.769999999997"/>
    <n v="8167.38"/>
    <n v="63.11"/>
    <s v="UPI"/>
    <x v="0"/>
    <b v="0"/>
    <x v="1"/>
    <n v="1"/>
  </r>
  <r>
    <s v="ORD-03088"/>
    <x v="360"/>
    <x v="360"/>
    <s v="CUST49151"/>
    <s v="Sunita Patel"/>
    <n v="35"/>
    <s v="Other"/>
    <x v="1"/>
    <s v="Mumbai"/>
    <x v="5"/>
    <s v="Headphones"/>
    <n v="1"/>
    <n v="41296.1"/>
    <n v="7.0000000000000007E-2"/>
    <n v="53611.5"/>
    <n v="4184.2299999999996"/>
    <n v="65.67"/>
    <s v="Credit Card"/>
    <x v="1"/>
    <b v="0"/>
    <x v="1"/>
    <n v="5"/>
  </r>
  <r>
    <s v="ORD-00283"/>
    <x v="361"/>
    <x v="361"/>
    <s v="CUST17741"/>
    <s v="Arjun Verma"/>
    <n v="32"/>
    <s v="Female"/>
    <x v="3"/>
    <s v="Patna"/>
    <x v="3"/>
    <s v="Cook Book"/>
    <n v="10"/>
    <n v="1387.77"/>
    <n v="0.03"/>
    <n v="15244.18"/>
    <n v="5378.75"/>
    <n v="88.89"/>
    <s v="Net Banking"/>
    <x v="2"/>
    <b v="0"/>
    <x v="1"/>
    <n v="9"/>
  </r>
  <r>
    <s v="ORD-01821"/>
    <x v="261"/>
    <x v="261"/>
    <s v="CUST07773"/>
    <s v="Karan Gupta"/>
    <n v="41"/>
    <s v="Female"/>
    <x v="4"/>
    <s v="Hyderabad"/>
    <x v="3"/>
    <s v="Comic Book"/>
    <n v="2"/>
    <n v="1012.58"/>
    <n v="0.21"/>
    <n v="2058.59"/>
    <n v="942.39"/>
    <n v="79.239999999999995"/>
    <s v="UPI"/>
    <x v="1"/>
    <b v="0"/>
    <x v="1"/>
    <n v="3"/>
  </r>
  <r>
    <s v="ORD-01627"/>
    <x v="362"/>
    <x v="362"/>
    <s v="CUST42701"/>
    <s v="Aarav Joshi"/>
    <n v="48"/>
    <s v="Male"/>
    <x v="4"/>
    <s v="Kochi"/>
    <x v="4"/>
    <s v="Jacket"/>
    <n v="10"/>
    <n v="593.54999999999995"/>
    <n v="0.18"/>
    <n v="3624.78"/>
    <n v="896.12"/>
    <n v="78"/>
    <s v="Debit Card"/>
    <x v="1"/>
    <b v="0"/>
    <x v="1"/>
    <n v="9"/>
  </r>
  <r>
    <s v="ORD-02274"/>
    <x v="363"/>
    <x v="363"/>
    <s v="CUST66737"/>
    <s v="Ananya Patel"/>
    <n v="43"/>
    <s v="Female"/>
    <x v="4"/>
    <s v="Chennai"/>
    <x v="4"/>
    <s v="T-Shirt"/>
    <n v="0"/>
    <n v="803.12"/>
    <n v="7.0000000000000007E-2"/>
    <n v="911.76"/>
    <n v="328.33"/>
    <n v="73.010000000000005"/>
    <s v="Credit Card"/>
    <x v="0"/>
    <b v="0"/>
    <x v="1"/>
    <n v="7"/>
  </r>
  <r>
    <s v="ORD-03211"/>
    <x v="364"/>
    <x v="364"/>
    <s v="CUST59240"/>
    <s v="Ananya Mehta"/>
    <n v="47"/>
    <s v="Male"/>
    <x v="2"/>
    <s v="Ludhiana"/>
    <x v="1"/>
    <s v="Shampoo"/>
    <n v="3"/>
    <n v="2099.98"/>
    <n v="0.35"/>
    <n v="4400.47"/>
    <n v="2125.89"/>
    <n v="50.77"/>
    <s v="Cash on Delivery"/>
    <x v="0"/>
    <b v="1"/>
    <x v="0"/>
    <n v="7"/>
  </r>
  <r>
    <s v="ORD-02973"/>
    <x v="365"/>
    <x v="365"/>
    <s v="CUST55824"/>
    <s v="Ritu Kumar"/>
    <n v="27"/>
    <s v="Male"/>
    <x v="1"/>
    <s v="Pune"/>
    <x v="3"/>
    <s v="Fiction Novel"/>
    <n v="1"/>
    <n v="623.96"/>
    <n v="0.21"/>
    <n v="778.16"/>
    <n v="263.81"/>
    <n v="68.14"/>
    <s v="Cash on Delivery"/>
    <x v="0"/>
    <b v="0"/>
    <x v="1"/>
    <n v="6"/>
  </r>
  <r>
    <s v="ORD-03131"/>
    <x v="366"/>
    <x v="366"/>
    <s v="CUST60904"/>
    <s v="Aditya Shah"/>
    <n v="29"/>
    <s v="Female"/>
    <x v="2"/>
    <s v="Chandigarh"/>
    <x v="0"/>
    <s v="Dal (1kg)"/>
    <n v="1"/>
    <n v="394.11"/>
    <n v="0.22"/>
    <n v="414.31"/>
    <n v="32.520000000000003"/>
    <n v="55.15"/>
    <s v="UPI"/>
    <x v="0"/>
    <b v="0"/>
    <x v="1"/>
    <n v="2"/>
  </r>
  <r>
    <s v="ORD-01170"/>
    <x v="367"/>
    <x v="367"/>
    <s v="CUST04051"/>
    <s v="Ananya Sharma"/>
    <n v="40"/>
    <s v="Male"/>
    <x v="4"/>
    <s v="Hyderabad"/>
    <x v="2"/>
    <s v="Sofa"/>
    <n v="5"/>
    <n v="23260.25"/>
    <n v="0.33"/>
    <n v="119013.87"/>
    <n v="32585.16"/>
    <n v="74.55"/>
    <s v="EMI"/>
    <x v="1"/>
    <b v="0"/>
    <x v="1"/>
    <n v="9"/>
  </r>
  <r>
    <s v="ORD-02153"/>
    <x v="368"/>
    <x v="368"/>
    <s v="CUST05495"/>
    <s v="Vikram Singh"/>
    <n v="45"/>
    <s v="Female"/>
    <x v="2"/>
    <s v="Delhi"/>
    <x v="4"/>
    <s v="Kurta"/>
    <n v="1"/>
    <n v="2503.3000000000002"/>
    <n v="0.15"/>
    <n v="2937.26"/>
    <n v="723.88"/>
    <n v="47.55"/>
    <s v="EMI"/>
    <x v="3"/>
    <b v="1"/>
    <x v="0"/>
    <n v="10"/>
  </r>
  <r>
    <s v="ORD-02260"/>
    <x v="369"/>
    <x v="369"/>
    <s v="CUST10492"/>
    <s v="Rahul Patel"/>
    <n v="61"/>
    <s v="Other"/>
    <x v="1"/>
    <s v="Surat"/>
    <x v="1"/>
    <s v="Lipstick"/>
    <n v="9"/>
    <n v="1292.1600000000001"/>
    <n v="0.22"/>
    <n v="10154.82"/>
    <n v="3046.85"/>
    <n v="70.59"/>
    <s v="Credit Card"/>
    <x v="3"/>
    <b v="1"/>
    <x v="0"/>
    <n v="6"/>
  </r>
  <r>
    <s v="ORD-01363"/>
    <x v="370"/>
    <x v="370"/>
    <s v="CUST15260"/>
    <s v="Meera Patel"/>
    <n v="40"/>
    <s v="Female"/>
    <x v="3"/>
    <s v="Bhubaneswar"/>
    <x v="5"/>
    <s v="Camera"/>
    <n v="10"/>
    <n v="55908.72"/>
    <n v="0.11"/>
    <n v="627898.81000000006"/>
    <n v="86690.85"/>
    <n v="75.650000000000006"/>
    <s v="Cash on Delivery"/>
    <x v="1"/>
    <b v="0"/>
    <x v="4"/>
    <n v="4"/>
  </r>
  <r>
    <s v="ORD-01781"/>
    <x v="371"/>
    <x v="371"/>
    <s v="CUST31446"/>
    <s v="Priya Singh"/>
    <n v="57"/>
    <s v="Female"/>
    <x v="2"/>
    <s v="Chandigarh"/>
    <x v="1"/>
    <s v="Face Cream"/>
    <n v="6"/>
    <n v="583.99"/>
    <n v="0.26"/>
    <n v="2822.23"/>
    <n v="1322.69"/>
    <n v="22.05"/>
    <s v="Credit Card"/>
    <x v="2"/>
    <b v="0"/>
    <x v="4"/>
    <n v="6"/>
  </r>
  <r>
    <s v="ORD-02812"/>
    <x v="372"/>
    <x v="372"/>
    <s v="CUST82471"/>
    <s v="Pooja Shah"/>
    <n v="36"/>
    <s v="Female"/>
    <x v="4"/>
    <s v="Kochi"/>
    <x v="4"/>
    <s v="Saree"/>
    <n v="2"/>
    <n v="3236.58"/>
    <n v="0.04"/>
    <n v="9893.9699999999993"/>
    <n v="3171.49"/>
    <n v="71.87"/>
    <s v="Cash on Delivery"/>
    <x v="4"/>
    <b v="0"/>
    <x v="1"/>
    <n v="9"/>
  </r>
  <r>
    <s v="ORD-04169"/>
    <x v="373"/>
    <x v="373"/>
    <s v="CUST68700"/>
    <s v="Aditya Mehta"/>
    <n v="33"/>
    <s v="Female"/>
    <x v="4"/>
    <s v="Bangalore"/>
    <x v="6"/>
    <s v="Football"/>
    <n v="9"/>
    <n v="7976.73"/>
    <n v="0.21"/>
    <n v="57905.39"/>
    <n v="13844.42"/>
    <n v="69.849999999999994"/>
    <s v="EMI"/>
    <x v="4"/>
    <b v="0"/>
    <x v="1"/>
    <n v="8"/>
  </r>
  <r>
    <s v="ORD-00384"/>
    <x v="374"/>
    <x v="374"/>
    <s v="CUST60562"/>
    <s v="Kavya Rao"/>
    <n v="25"/>
    <s v="Male"/>
    <x v="2"/>
    <s v="Ludhiana"/>
    <x v="4"/>
    <s v="Dress"/>
    <n v="10"/>
    <n v="658.16"/>
    <n v="0.25"/>
    <n v="6367.6"/>
    <n v="1841.64"/>
    <n v="63.58"/>
    <s v="Cash on Delivery"/>
    <x v="4"/>
    <b v="0"/>
    <x v="1"/>
    <n v="7"/>
  </r>
  <r>
    <s v="ORD-03940"/>
    <x v="375"/>
    <x v="375"/>
    <s v="CUST96355"/>
    <s v="Shreya Bose"/>
    <n v="35"/>
    <s v="Female"/>
    <x v="3"/>
    <s v="Bhubaneswar"/>
    <x v="3"/>
    <s v="Comic Book"/>
    <n v="2"/>
    <n v="1157.8900000000001"/>
    <n v="0.35"/>
    <n v="2443.04"/>
    <n v="649.16"/>
    <n v="56.27"/>
    <s v="Debit Card"/>
    <x v="4"/>
    <b v="0"/>
    <x v="1"/>
    <n v="9"/>
  </r>
  <r>
    <s v="ORD-01059"/>
    <x v="376"/>
    <x v="376"/>
    <s v="CUST64001"/>
    <s v="Ananya Das"/>
    <n v="63"/>
    <s v="Other"/>
    <x v="4"/>
    <s v="Hyderabad"/>
    <x v="5"/>
    <s v="Tablet"/>
    <n v="8"/>
    <n v="28211.93"/>
    <n v="0.33"/>
    <n v="175402.71"/>
    <n v="20772.79"/>
    <n v="61.29"/>
    <s v="Debit Card"/>
    <x v="1"/>
    <b v="0"/>
    <x v="1"/>
    <n v="4"/>
  </r>
  <r>
    <s v="ORD-03995"/>
    <x v="377"/>
    <x v="377"/>
    <s v="CUST60857"/>
    <s v="Aarav Kapoor"/>
    <n v="30"/>
    <s v="Male"/>
    <x v="0"/>
    <s v="Raipur"/>
    <x v="1"/>
    <s v="Sunscreen"/>
    <n v="7"/>
    <n v="2114.17"/>
    <n v="0.39"/>
    <n v="13036.59"/>
    <n v="6081.67"/>
    <n v="26.71"/>
    <s v="Debit Card"/>
    <x v="0"/>
    <b v="0"/>
    <x v="1"/>
    <n v="3"/>
  </r>
  <r>
    <s v="ORD-03729"/>
    <x v="378"/>
    <x v="378"/>
    <s v="CUST27952"/>
    <s v="Pooja Rao"/>
    <n v="33"/>
    <s v="Other"/>
    <x v="1"/>
    <s v="Ahmedabad"/>
    <x v="4"/>
    <s v="Dress"/>
    <n v="1"/>
    <n v="3581.25"/>
    <n v="0.01"/>
    <n v="6175.08"/>
    <n v="1771.61"/>
    <n v="56.33"/>
    <s v="Credit Card"/>
    <x v="4"/>
    <b v="0"/>
    <x v="1"/>
    <n v="3"/>
  </r>
  <r>
    <s v="ORD-03122"/>
    <x v="379"/>
    <x v="379"/>
    <s v="CUST56458"/>
    <s v="Kavya Das"/>
    <n v="30"/>
    <s v="Other"/>
    <x v="3"/>
    <s v="Kolkata"/>
    <x v="2"/>
    <s v="Desk"/>
    <n v="9"/>
    <n v="24481.84"/>
    <n v="0.18"/>
    <n v="236017.16"/>
    <n v="68746.179999999993"/>
    <n v="92.95"/>
    <s v="Net Banking"/>
    <x v="0"/>
    <b v="0"/>
    <x v="2"/>
    <n v="10"/>
  </r>
  <r>
    <s v="ORD-02176"/>
    <x v="380"/>
    <x v="380"/>
    <s v="CUST51575"/>
    <s v="Karan Mishra"/>
    <n v="30"/>
    <s v="Other"/>
    <x v="2"/>
    <s v="Ludhiana"/>
    <x v="6"/>
    <s v="Football"/>
    <n v="7"/>
    <n v="14759.38"/>
    <n v="0"/>
    <n v="128001.22"/>
    <n v="25740.07"/>
    <n v="70.7"/>
    <s v="Net Banking"/>
    <x v="0"/>
    <b v="0"/>
    <x v="1"/>
    <n v="7"/>
  </r>
  <r>
    <s v="ORD-01078"/>
    <x v="381"/>
    <x v="381"/>
    <s v="CUST72966"/>
    <s v="Vikram Verma"/>
    <n v="52"/>
    <s v="Female"/>
    <x v="3"/>
    <s v="Kolkata"/>
    <x v="1"/>
    <s v="Perfume"/>
    <n v="2"/>
    <n v="608.88"/>
    <n v="0.23"/>
    <n v="1272.71"/>
    <n v="511.96"/>
    <n v="106.95"/>
    <s v="UPI"/>
    <x v="2"/>
    <b v="1"/>
    <x v="0"/>
    <n v="4"/>
  </r>
  <r>
    <s v="ORD-03959"/>
    <x v="382"/>
    <x v="382"/>
    <s v="CUST64416"/>
    <s v="Pooja Reddy"/>
    <n v="35"/>
    <s v="Other"/>
    <x v="1"/>
    <s v="Surat"/>
    <x v="4"/>
    <s v="Jacket"/>
    <n v="10"/>
    <n v="1823.02"/>
    <n v="0.19"/>
    <n v="21680.07"/>
    <n v="11667.37"/>
    <n v="63.11"/>
    <s v="UPI"/>
    <x v="1"/>
    <b v="0"/>
    <x v="1"/>
    <n v="6"/>
  </r>
  <r>
    <s v="ORD-02697"/>
    <x v="383"/>
    <x v="383"/>
    <s v="CUST37138"/>
    <s v="Ritu Nair"/>
    <n v="42"/>
    <s v="Other"/>
    <x v="1"/>
    <s v="Pune"/>
    <x v="5"/>
    <s v="Headphones"/>
    <n v="2"/>
    <n v="76935.789999999994"/>
    <n v="0.01"/>
    <n v="171768.97"/>
    <n v="27234.01"/>
    <n v="63.96"/>
    <s v="Cash on Delivery"/>
    <x v="4"/>
    <b v="0"/>
    <x v="1"/>
    <n v="3"/>
  </r>
  <r>
    <s v="ORD-00270"/>
    <x v="384"/>
    <x v="384"/>
    <s v="CUST73911"/>
    <s v="Ritu Patel"/>
    <n v="-5"/>
    <s v="Other"/>
    <x v="3"/>
    <s v="Kolkata"/>
    <x v="4"/>
    <s v="Jeans"/>
    <n v="6"/>
    <n v="2934.92"/>
    <n v="0.1"/>
    <n v="18790.52"/>
    <n v="7715.18"/>
    <n v="74.02"/>
    <s v="Debit Card"/>
    <x v="1"/>
    <b v="0"/>
    <x v="3"/>
    <n v="8"/>
  </r>
  <r>
    <s v="ORD-02515"/>
    <x v="385"/>
    <x v="385"/>
    <s v="CUST66205"/>
    <s v="Ritu Verma"/>
    <n v="30"/>
    <s v="Male"/>
    <x v="1"/>
    <s v="Pune"/>
    <x v="3"/>
    <s v="Biography"/>
    <n v="5"/>
    <n v="1103.75"/>
    <n v="0.25"/>
    <n v="3579.91"/>
    <n v="1891.54"/>
    <n v="60.86"/>
    <s v="Cash on Delivery"/>
    <x v="0"/>
    <b v="0"/>
    <x v="3"/>
    <n v="1"/>
  </r>
  <r>
    <s v="ORD-02735"/>
    <x v="234"/>
    <x v="234"/>
    <s v="CUST60872"/>
    <s v="Kavya Shah"/>
    <n v="38"/>
    <s v="Male"/>
    <x v="4"/>
    <s v="Chennai"/>
    <x v="2"/>
    <s v="Chair"/>
    <n v="1"/>
    <n v="7329.9"/>
    <n v="0.35"/>
    <n v="6777.56"/>
    <n v="2396.7199999999998"/>
    <n v="101.29"/>
    <s v="Credit Card"/>
    <x v="1"/>
    <b v="0"/>
    <x v="4"/>
    <n v="10"/>
  </r>
  <r>
    <s v="ORD-01766"/>
    <x v="386"/>
    <x v="386"/>
    <s v="CUST87890"/>
    <s v="Karan Mishra"/>
    <n v="46"/>
    <s v="Other"/>
    <x v="0"/>
    <s v="Nagpur"/>
    <x v="3"/>
    <s v="Textbook"/>
    <n v="4"/>
    <n v="378.9"/>
    <n v="0.39"/>
    <n v="957.41"/>
    <n v="235.48"/>
    <n v="29.15"/>
    <s v="Credit Card"/>
    <x v="1"/>
    <b v="0"/>
    <x v="1"/>
    <n v="3"/>
  </r>
  <r>
    <s v="ORD-02707"/>
    <x v="387"/>
    <x v="387"/>
    <s v="CUST97042"/>
    <s v="Ananya Mishra"/>
    <n v="28"/>
    <s v="Other"/>
    <x v="0"/>
    <s v="Bhopal"/>
    <x v="3"/>
    <s v="Cook Book"/>
    <n v="4"/>
    <n v="1221.1099999999999"/>
    <n v="0.25"/>
    <n v="5162.57"/>
    <n v="1875.62"/>
    <n v="43.22"/>
    <s v="EMI"/>
    <x v="1"/>
    <b v="0"/>
    <x v="1"/>
    <n v="5"/>
  </r>
  <r>
    <s v="ORD-00671"/>
    <x v="125"/>
    <x v="125"/>
    <s v="CUST93387"/>
    <s v="Ritu Bose"/>
    <n v="43"/>
    <s v="Other"/>
    <x v="1"/>
    <s v="Surat"/>
    <x v="0"/>
    <s v="Cooking Oil"/>
    <n v="8"/>
    <n v="347.71"/>
    <n v="0.08"/>
    <n v="2265.2800000000002"/>
    <n v="178.59"/>
    <n v="64.88"/>
    <s v="Credit Card"/>
    <x v="1"/>
    <b v="0"/>
    <x v="1"/>
    <n v="9"/>
  </r>
  <r>
    <s v="ORD-03931"/>
    <x v="388"/>
    <x v="388"/>
    <s v="CUST94914"/>
    <s v="Sunita Verma"/>
    <n v="31"/>
    <s v="Other"/>
    <x v="4"/>
    <s v="Chennai"/>
    <x v="6"/>
    <s v="Yoga Mat"/>
    <n v="6"/>
    <n v="9574.41"/>
    <n v="0.02"/>
    <n v="81951.13"/>
    <n v="15952.26"/>
    <n v="75.33"/>
    <s v="EMI"/>
    <x v="2"/>
    <b v="0"/>
    <x v="1"/>
    <n v="6"/>
  </r>
  <r>
    <s v="ORD-04022"/>
    <x v="389"/>
    <x v="389"/>
    <s v="CUST76630"/>
    <s v="Aarav Patel"/>
    <n v="34"/>
    <s v="Male"/>
    <x v="4"/>
    <s v="Kochi"/>
    <x v="3"/>
    <s v="Cook Book"/>
    <n v="8"/>
    <n v="1268.46"/>
    <n v="0.05"/>
    <n v="12103.46"/>
    <n v="3618.98"/>
    <n v="30.55"/>
    <s v="EMI"/>
    <x v="3"/>
    <b v="0"/>
    <x v="1"/>
    <n v="10"/>
  </r>
  <r>
    <s v="ORD-01721"/>
    <x v="390"/>
    <x v="390"/>
    <s v="CUST05033"/>
    <s v="Pooja Mishra"/>
    <n v="22"/>
    <s v="Male"/>
    <x v="1"/>
    <s v="Ahmedabad"/>
    <x v="6"/>
    <s v="Football"/>
    <n v="8"/>
    <n v="11620.56"/>
    <n v="0.18"/>
    <n v="89828.71"/>
    <n v="25898.31"/>
    <n v="50.64"/>
    <s v="Debit Card"/>
    <x v="2"/>
    <b v="0"/>
    <x v="1"/>
    <n v="2"/>
  </r>
  <r>
    <s v="ORD-03054"/>
    <x v="391"/>
    <x v="391"/>
    <s v="CUST26906"/>
    <s v="Nisha Iyer"/>
    <n v="39"/>
    <s v="Female"/>
    <x v="3"/>
    <s v="Patna"/>
    <x v="5"/>
    <s v="Smartphone"/>
    <n v="1"/>
    <n v="34885.370000000003"/>
    <n v="0.1"/>
    <n v="44683.38"/>
    <n v="3420.51"/>
    <n v="85.38"/>
    <s v="Credit Card"/>
    <x v="2"/>
    <b v="0"/>
    <x v="4"/>
    <n v="3"/>
  </r>
  <r>
    <s v="ORD-03543"/>
    <x v="392"/>
    <x v="392"/>
    <s v="CUST14777"/>
    <s v="Aarav Shah"/>
    <n v="60"/>
    <s v="Other"/>
    <x v="0"/>
    <s v="Nagpur"/>
    <x v="2"/>
    <s v="Bed Frame"/>
    <n v="7"/>
    <n v="28445.23"/>
    <n v="0.28000000000000003"/>
    <n v="189614.18"/>
    <n v="42435.49"/>
    <n v="18.04"/>
    <s v="UPI"/>
    <x v="3"/>
    <b v="0"/>
    <x v="3"/>
    <n v="10"/>
  </r>
  <r>
    <s v="ORD-02803"/>
    <x v="393"/>
    <x v="393"/>
    <s v="CUST07347"/>
    <s v="Priya Mehta"/>
    <n v="28"/>
    <s v="Female"/>
    <x v="1"/>
    <s v="Mumbai"/>
    <x v="5"/>
    <s v="Smartwatch"/>
    <n v="6"/>
    <n v="64360.23"/>
    <n v="0.32"/>
    <n v="385580.53"/>
    <n v="28776.57"/>
    <n v="55.31"/>
    <s v="Debit Card"/>
    <x v="4"/>
    <b v="0"/>
    <x v="1"/>
    <n v="1"/>
  </r>
  <r>
    <s v="ORD-03231"/>
    <x v="394"/>
    <x v="394"/>
    <s v="CUST88608"/>
    <s v="Nikhil Nair"/>
    <n v="50"/>
    <s v="Male"/>
    <x v="4"/>
    <s v="Hyderabad"/>
    <x v="1"/>
    <s v="Sunscreen"/>
    <n v="2"/>
    <n v="1820.95"/>
    <n v="0.15"/>
    <n v="2961.7"/>
    <n v="1317.61"/>
    <n v="69.89"/>
    <s v="Net Banking"/>
    <x v="2"/>
    <b v="0"/>
    <x v="1"/>
    <n v="5"/>
  </r>
  <r>
    <s v="ORD-02672"/>
    <x v="395"/>
    <x v="395"/>
    <s v="CUST97216"/>
    <s v="Deepa Pillai"/>
    <n v="29"/>
    <s v="Female"/>
    <x v="3"/>
    <s v="Bhubaneswar"/>
    <x v="5"/>
    <s v="Headphones"/>
    <n v="6"/>
    <n v="78301.55"/>
    <n v="0.24"/>
    <n v="446345.61"/>
    <n v="61437.599999999999"/>
    <n v="87.28"/>
    <s v="EMI"/>
    <x v="2"/>
    <b v="0"/>
    <x v="1"/>
    <n v="7"/>
  </r>
  <r>
    <s v="ORD-00232"/>
    <x v="396"/>
    <x v="396"/>
    <s v="CUST30800"/>
    <s v="Rohan Chatterjee"/>
    <n v="36"/>
    <s v="Other"/>
    <x v="0"/>
    <s v="Nagpur"/>
    <x v="1"/>
    <s v="Perfume"/>
    <n v="4"/>
    <n v="171.85"/>
    <n v="0.03"/>
    <n v="902.31"/>
    <n v="591.14"/>
    <n v="34.270000000000003"/>
    <s v="Debit Card"/>
    <x v="0"/>
    <b v="0"/>
    <x v="4"/>
    <n v="8"/>
  </r>
  <r>
    <s v="ORD-00566"/>
    <x v="397"/>
    <x v="397"/>
    <s v="CUST67628"/>
    <s v="Meera Chatterjee"/>
    <n v="25"/>
    <s v="Other"/>
    <x v="2"/>
    <s v="Amritsar"/>
    <x v="6"/>
    <s v="Dumbbells"/>
    <n v="5"/>
    <n v="603.71"/>
    <n v="0.39"/>
    <n v="373.9"/>
    <n v="76.010000000000005"/>
    <n v="68.010000000000005"/>
    <s v="Net Banking"/>
    <x v="0"/>
    <b v="0"/>
    <x v="4"/>
    <n v="9"/>
  </r>
  <r>
    <s v="ORD-01174"/>
    <x v="398"/>
    <x v="398"/>
    <s v="CUST88311"/>
    <s v="Karan Gupta"/>
    <n v="31"/>
    <s v="Female"/>
    <x v="3"/>
    <s v="Patna"/>
    <x v="0"/>
    <s v="Dal (1kg)"/>
    <n v="6"/>
    <n v="57.72"/>
    <n v="0.21"/>
    <n v="553.5"/>
    <n v="48.28"/>
    <n v="80.69"/>
    <s v="EMI"/>
    <x v="0"/>
    <b v="0"/>
    <x v="4"/>
    <n v="5"/>
  </r>
  <r>
    <s v="ORD-00522"/>
    <x v="399"/>
    <x v="399"/>
    <s v="CUST28496"/>
    <s v="Ritu Gupta"/>
    <n v="49"/>
    <s v="Female"/>
    <x v="4"/>
    <s v="Hyderabad"/>
    <x v="2"/>
    <s v="Desk"/>
    <n v="3"/>
    <n v="28093.41"/>
    <n v="0.11"/>
    <n v="80865.399999999994"/>
    <n v="14166.32"/>
    <n v="69.8"/>
    <s v="Net Banking"/>
    <x v="0"/>
    <b v="1"/>
    <x v="0"/>
    <n v="3"/>
  </r>
  <r>
    <s v="ORD-03797"/>
    <x v="400"/>
    <x v="400"/>
    <s v="CUST19882"/>
    <s v="Sanjay Gupta"/>
    <n v="30"/>
    <s v="Male"/>
    <x v="2"/>
    <s v="Chandigarh"/>
    <x v="5"/>
    <s v="Headphones"/>
    <n v="3"/>
    <n v="39483.93"/>
    <n v="0.01"/>
    <n v="188221.16"/>
    <n v="17116.650000000001"/>
    <n v="68.56"/>
    <s v="UPI"/>
    <x v="0"/>
    <b v="1"/>
    <x v="0"/>
    <n v="2"/>
  </r>
  <r>
    <s v="ORD-04170"/>
    <x v="373"/>
    <x v="373"/>
    <s v="CUST70820"/>
    <s v="Nikhil Iyer"/>
    <n v="14"/>
    <s v="Male"/>
    <x v="3"/>
    <s v="Kolkata"/>
    <x v="4"/>
    <s v="Jeans"/>
    <n v="4"/>
    <n v="1999.6"/>
    <n v="0.4"/>
    <n v="4690.45"/>
    <n v="1146.5999999999999"/>
    <n v="66.84"/>
    <s v="Net Banking"/>
    <x v="0"/>
    <b v="0"/>
    <x v="1"/>
    <n v="3"/>
  </r>
  <r>
    <s v="ORD-03327"/>
    <x v="401"/>
    <x v="401"/>
    <s v="CUST05689"/>
    <s v="Ananya Bhat"/>
    <n v="30"/>
    <s v="Male"/>
    <x v="2"/>
    <s v="Ludhiana"/>
    <x v="0"/>
    <s v="Cooking Oil"/>
    <n v="9"/>
    <n v="407.05"/>
    <n v="0.3"/>
    <n v="1997.66"/>
    <n v="139.6"/>
    <n v="72.88"/>
    <s v="Net Banking"/>
    <x v="2"/>
    <b v="0"/>
    <x v="3"/>
    <n v="6"/>
  </r>
  <r>
    <s v="ORD-03907"/>
    <x v="402"/>
    <x v="402"/>
    <s v="CUST07299"/>
    <s v="Karan Reddy"/>
    <n v="46"/>
    <s v="Female"/>
    <x v="0"/>
    <s v="Nagpur"/>
    <x v="6"/>
    <s v="Yoga Mat"/>
    <n v="9"/>
    <n v="3110.88"/>
    <n v="0.28000000000000003"/>
    <n v="29090.53"/>
    <n v="4498.07"/>
    <n v="43.42"/>
    <s v="EMI"/>
    <x v="3"/>
    <b v="0"/>
    <x v="1"/>
    <n v="8"/>
  </r>
  <r>
    <s v="ORD-02613"/>
    <x v="403"/>
    <x v="403"/>
    <s v="CUST69520"/>
    <s v="Vikram Pillai"/>
    <n v="18"/>
    <s v="Male"/>
    <x v="2"/>
    <s v="Delhi"/>
    <x v="6"/>
    <s v="Yoga Mat"/>
    <n v="1"/>
    <n v="12495.08"/>
    <n v="0.27"/>
    <n v="9249.06"/>
    <n v="1686.4"/>
    <n v="55.06"/>
    <s v="Credit Card"/>
    <x v="1"/>
    <b v="0"/>
    <x v="1"/>
    <n v="9"/>
  </r>
  <r>
    <s v="ORD-04164"/>
    <x v="404"/>
    <x v="404"/>
    <s v="CUST96903"/>
    <s v="Deepa Kapoor"/>
    <n v="46"/>
    <s v="Other"/>
    <x v="2"/>
    <s v="Amritsar"/>
    <x v="2"/>
    <s v="Chair"/>
    <n v="1"/>
    <n v="9449.94"/>
    <n v="0.15"/>
    <n v="7223.61"/>
    <n v="2224.5100000000002"/>
    <n v="32.57"/>
    <s v="UPI"/>
    <x v="4"/>
    <b v="1"/>
    <x v="0"/>
    <n v="2"/>
  </r>
  <r>
    <s v="ORD-01065"/>
    <x v="405"/>
    <x v="405"/>
    <s v="CUST39633"/>
    <s v="Aarav Mishra"/>
    <n v="35"/>
    <s v="Male"/>
    <x v="0"/>
    <s v="Bhopal"/>
    <x v="5"/>
    <s v="Headphones"/>
    <n v="8"/>
    <n v="30314.74"/>
    <n v="0.06"/>
    <n v="283224.55"/>
    <n v="33093.14"/>
    <n v="68.75"/>
    <s v="Credit Card"/>
    <x v="4"/>
    <b v="1"/>
    <x v="0"/>
    <n v="9"/>
  </r>
  <r>
    <s v="ORD-00656"/>
    <x v="406"/>
    <x v="406"/>
    <s v="CUST42875"/>
    <s v="Sanjay Verma"/>
    <n v="26"/>
    <s v="Other"/>
    <x v="4"/>
    <s v="Hyderabad"/>
    <x v="6"/>
    <s v="Cycle"/>
    <n v="1"/>
    <n v="12380.73"/>
    <n v="0.24"/>
    <n v="8294.2999999999993"/>
    <n v="2144.64"/>
    <n v="80.23"/>
    <s v="Credit Card"/>
    <x v="2"/>
    <b v="0"/>
    <x v="3"/>
    <n v="5"/>
  </r>
  <r>
    <s v="ORD-02588"/>
    <x v="407"/>
    <x v="407"/>
    <s v="CUST71632"/>
    <s v="Karan Sharma"/>
    <n v="13"/>
    <s v="Male"/>
    <x v="1"/>
    <s v="Surat"/>
    <x v="6"/>
    <s v="Dumbbells"/>
    <n v="4"/>
    <n v="6304.42"/>
    <n v="0.31"/>
    <n v="15164.38"/>
    <n v="3544.74"/>
    <n v="95.26"/>
    <s v="Credit Card"/>
    <x v="1"/>
    <b v="0"/>
    <x v="1"/>
    <n v="6"/>
  </r>
  <r>
    <s v="ORD-00172"/>
    <x v="252"/>
    <x v="252"/>
    <s v="CUST40704"/>
    <s v="Aarav Rao"/>
    <n v="16"/>
    <s v="Other"/>
    <x v="3"/>
    <s v="Guwahati"/>
    <x v="4"/>
    <s v="Saree"/>
    <n v="2"/>
    <n v="2448.31"/>
    <n v="0.35"/>
    <n v="3584.88"/>
    <n v="1270.1600000000001"/>
    <n v="79.97"/>
    <s v="Credit Card"/>
    <x v="2"/>
    <b v="0"/>
    <x v="1"/>
    <n v="7"/>
  </r>
  <r>
    <s v="ORD-03479"/>
    <x v="408"/>
    <x v="408"/>
    <s v="CUST39897"/>
    <s v="Sunita Singh"/>
    <n v="30"/>
    <s v="Other"/>
    <x v="4"/>
    <s v="Chennai"/>
    <x v="5"/>
    <s v="Headphones"/>
    <n v="3"/>
    <n v="50121.13"/>
    <n v="0.25"/>
    <n v="130268.18"/>
    <n v="18524"/>
    <n v="68.489999999999995"/>
    <s v="Debit Card"/>
    <x v="1"/>
    <b v="0"/>
    <x v="3"/>
    <n v="4"/>
  </r>
  <r>
    <s v="ORD-03008"/>
    <x v="409"/>
    <x v="409"/>
    <s v="CUST03875"/>
    <s v="Arjun Patel"/>
    <n v="35"/>
    <s v="Other"/>
    <x v="2"/>
    <s v="Chandigarh"/>
    <x v="6"/>
    <s v="Tennis Racket"/>
    <n v="5"/>
    <n v="1956.54"/>
    <n v="0.2"/>
    <n v="10411.35"/>
    <n v="2723.2"/>
    <n v="60.98"/>
    <s v="UPI"/>
    <x v="0"/>
    <b v="0"/>
    <x v="1"/>
    <n v="3"/>
  </r>
  <r>
    <s v="ORD-03519"/>
    <x v="410"/>
    <x v="410"/>
    <s v="CUST89317"/>
    <s v="Vikram Singh"/>
    <n v="28"/>
    <s v="Other"/>
    <x v="2"/>
    <s v="Ludhiana"/>
    <x v="5"/>
    <s v="Laptop"/>
    <n v="5"/>
    <n v="35958.57"/>
    <n v="0.23"/>
    <n v="180888.8"/>
    <n v="18318.66"/>
    <n v="45.69"/>
    <s v="UPI"/>
    <x v="4"/>
    <b v="0"/>
    <x v="1"/>
    <n v="6"/>
  </r>
  <r>
    <s v="ORD-01711"/>
    <x v="290"/>
    <x v="290"/>
    <s v="CUST71903"/>
    <s v="Rahul Sharma"/>
    <n v="30"/>
    <s v="Female"/>
    <x v="3"/>
    <s v="Bhubaneswar"/>
    <x v="1"/>
    <s v="Shampoo"/>
    <n v="10"/>
    <n v="1797.87"/>
    <n v="0.31"/>
    <n v="12188.57"/>
    <n v="2948.45"/>
    <n v="85.14"/>
    <s v="Cash on Delivery"/>
    <x v="0"/>
    <b v="0"/>
    <x v="4"/>
    <n v="4"/>
  </r>
  <r>
    <s v="ORD-01731"/>
    <x v="411"/>
    <x v="411"/>
    <s v="CUST81381"/>
    <s v="Aarav Bose"/>
    <n v="65"/>
    <s v="Male"/>
    <x v="2"/>
    <s v="Chandigarh"/>
    <x v="0"/>
    <s v="Flour"/>
    <n v="10"/>
    <n v="299.20999999999998"/>
    <n v="0.19"/>
    <n v="2491.46"/>
    <n v="268.35000000000002"/>
    <n v="16.739999999999998"/>
    <s v="Net Banking"/>
    <x v="0"/>
    <b v="0"/>
    <x v="1"/>
    <n v="9"/>
  </r>
  <r>
    <s v="ORD-02322"/>
    <x v="412"/>
    <x v="412"/>
    <s v="CUST93809"/>
    <s v="Kavya Sharma"/>
    <n v="44"/>
    <s v="Other"/>
    <x v="0"/>
    <s v="Indore"/>
    <x v="2"/>
    <s v="Bookshelf"/>
    <n v="8"/>
    <n v="32195.15"/>
    <n v="0.25"/>
    <n v="191258.73"/>
    <n v="53878.3"/>
    <n v="67.87"/>
    <s v="Cash on Delivery"/>
    <x v="3"/>
    <b v="0"/>
    <x v="1"/>
    <n v="4"/>
  </r>
  <r>
    <s v="ORD-01659"/>
    <x v="413"/>
    <x v="413"/>
    <s v="CUST72759"/>
    <s v="Pooja Patel"/>
    <n v="26"/>
    <s v="Other"/>
    <x v="4"/>
    <s v="Hyderabad"/>
    <x v="2"/>
    <s v="Chair"/>
    <n v="7"/>
    <n v="2529.87"/>
    <n v="0.12"/>
    <n v="14719.17"/>
    <n v="4154.01"/>
    <n v="90.47"/>
    <s v="EMI"/>
    <x v="1"/>
    <b v="0"/>
    <x v="1"/>
    <n v="3"/>
  </r>
  <r>
    <s v="ORD-02365"/>
    <x v="317"/>
    <x v="317"/>
    <s v="CUST12074"/>
    <s v="Ritu Joshi"/>
    <n v="51"/>
    <s v="Female"/>
    <x v="2"/>
    <s v="Amritsar"/>
    <x v="6"/>
    <s v="Football"/>
    <n v="10"/>
    <n v="14562.6"/>
    <n v="0.31"/>
    <n v="86000.34"/>
    <n v="18267.52"/>
    <n v="33.549999999999997"/>
    <s v="Cash on Delivery"/>
    <x v="1"/>
    <b v="0"/>
    <x v="1"/>
    <n v="4"/>
  </r>
  <r>
    <s v="ORD-00115"/>
    <x v="56"/>
    <x v="56"/>
    <s v="CUST05374"/>
    <s v="Aditya Chatterjee"/>
    <n v="39"/>
    <s v="Female"/>
    <x v="4"/>
    <s v="Chennai"/>
    <x v="1"/>
    <s v="Hair Oil"/>
    <n v="6"/>
    <n v="1270.3599999999999"/>
    <n v="0.06"/>
    <n v="5747.77"/>
    <n v="2669"/>
    <n v="62.46"/>
    <s v="EMI"/>
    <x v="0"/>
    <b v="0"/>
    <x v="1"/>
    <n v="8"/>
  </r>
  <r>
    <s v="ORD-01557"/>
    <x v="414"/>
    <x v="414"/>
    <s v="CUST23869"/>
    <s v="Amit Reddy"/>
    <n v="54"/>
    <s v="Other"/>
    <x v="4"/>
    <s v="Bangalore"/>
    <x v="3"/>
    <s v="Fiction Novel"/>
    <n v="3"/>
    <n v="789.1"/>
    <n v="0.18"/>
    <n v="1449.86"/>
    <n v="562.04"/>
    <n v="72.430000000000007"/>
    <s v="UPI"/>
    <x v="0"/>
    <b v="0"/>
    <x v="3"/>
    <n v="2"/>
  </r>
  <r>
    <s v="ORD-00800"/>
    <x v="415"/>
    <x v="415"/>
    <s v="CUST77423"/>
    <s v="Priya Shah"/>
    <n v="33"/>
    <s v="Other"/>
    <x v="3"/>
    <s v="Patna"/>
    <x v="5"/>
    <s v="Camera"/>
    <n v="7"/>
    <n v="56504.32"/>
    <n v="0.3"/>
    <n v="197546.47"/>
    <n v="21532.46"/>
    <n v="53.78"/>
    <s v="Cash on Delivery"/>
    <x v="1"/>
    <b v="0"/>
    <x v="1"/>
    <n v="1"/>
  </r>
  <r>
    <s v="ORD-00020"/>
    <x v="416"/>
    <x v="416"/>
    <s v="CUST05879"/>
    <s v="Nisha Nair"/>
    <n v="12"/>
    <s v="Other"/>
    <x v="0"/>
    <s v="Nagpur"/>
    <x v="6"/>
    <s v="Dumbbells"/>
    <n v="2"/>
    <n v="2448.88"/>
    <n v="0.08"/>
    <n v="3192.22"/>
    <n v="355.63"/>
    <n v="47.54"/>
    <s v="Cash on Delivery"/>
    <x v="0"/>
    <b v="0"/>
    <x v="1"/>
    <n v="9"/>
  </r>
  <r>
    <s v="ORD-03912"/>
    <x v="25"/>
    <x v="25"/>
    <s v="CUST72269"/>
    <s v="Ritu Gupta"/>
    <n v="41"/>
    <s v="Female"/>
    <x v="4"/>
    <s v="Bangalore"/>
    <x v="5"/>
    <s v="Headphones"/>
    <n v="3"/>
    <n v="51479.19"/>
    <n v="0.25"/>
    <n v="182018.37"/>
    <n v="19016.37"/>
    <n v="55.15"/>
    <s v="UPI"/>
    <x v="0"/>
    <b v="0"/>
    <x v="2"/>
    <n v="3"/>
  </r>
  <r>
    <s v="ORD-04036"/>
    <x v="417"/>
    <x v="417"/>
    <s v="CUST12279"/>
    <s v="Meera Patel"/>
    <n v="999"/>
    <s v="Other"/>
    <x v="2"/>
    <s v="Ludhiana"/>
    <x v="0"/>
    <s v="Flour"/>
    <n v="8"/>
    <n v="184.25"/>
    <n v="0.21"/>
    <n v="1215.29"/>
    <n v="77.92"/>
    <n v="46.09"/>
    <s v="Credit Card"/>
    <x v="0"/>
    <b v="0"/>
    <x v="4"/>
    <n v="6"/>
  </r>
  <r>
    <s v="ORD-02381"/>
    <x v="201"/>
    <x v="201"/>
    <s v="CUST35452"/>
    <s v="Rahul Singh"/>
    <n v="36"/>
    <s v="Female"/>
    <x v="2"/>
    <s v="Ludhiana"/>
    <x v="5"/>
    <s v="Camera"/>
    <n v="6"/>
    <n v="6441.62"/>
    <n v="0.27"/>
    <n v="31528.73"/>
    <n v="5997.64"/>
    <n v="53.2"/>
    <s v="EMI"/>
    <x v="0"/>
    <b v="0"/>
    <x v="3"/>
    <n v="8"/>
  </r>
  <r>
    <s v="ORD-01862"/>
    <x v="418"/>
    <x v="418"/>
    <s v="CUST38887"/>
    <s v="Aditya Nair"/>
    <n v="39"/>
    <s v="Other"/>
    <x v="1"/>
    <s v="Ahmedabad"/>
    <x v="0"/>
    <s v="Dal (1kg)"/>
    <n v="3"/>
    <n v="475.6"/>
    <n v="0.18"/>
    <n v="1586.7"/>
    <n v="154.07"/>
    <n v="65.63"/>
    <s v="Credit Card"/>
    <x v="4"/>
    <b v="0"/>
    <x v="4"/>
    <n v="10"/>
  </r>
  <r>
    <s v="ORD-04033"/>
    <x v="242"/>
    <x v="242"/>
    <s v="CUST01456"/>
    <s v="Ananya Singh"/>
    <n v="40"/>
    <s v="Other"/>
    <x v="0"/>
    <s v="Bhopal"/>
    <x v="2"/>
    <s v="Chair"/>
    <n v="2"/>
    <n v="8590.5300000000007"/>
    <n v="0.23"/>
    <n v="12705.04"/>
    <n v="3529.2"/>
    <n v="40.590000000000003"/>
    <s v="Credit Card"/>
    <x v="1"/>
    <b v="0"/>
    <x v="1"/>
    <n v="6"/>
  </r>
  <r>
    <s v="ORD-04061"/>
    <x v="419"/>
    <x v="419"/>
    <s v="CUST83988"/>
    <s v="Arjun Bose"/>
    <n v="18"/>
    <s v="Female"/>
    <x v="2"/>
    <s v="Ludhiana"/>
    <x v="2"/>
    <s v="Bed Frame"/>
    <n v="1"/>
    <n v="14589.01"/>
    <n v="0.2"/>
    <n v="13208.25"/>
    <n v="3174.45"/>
    <n v="52.97"/>
    <s v="Credit Card"/>
    <x v="0"/>
    <b v="0"/>
    <x v="1"/>
    <n v="1"/>
  </r>
  <r>
    <s v="ORD-02662"/>
    <x v="273"/>
    <x v="273"/>
    <s v="CUST02913"/>
    <s v="Nisha Kumar"/>
    <n v="32"/>
    <s v="Female"/>
    <x v="3"/>
    <s v="Kolkata"/>
    <x v="3"/>
    <s v="Fiction Novel"/>
    <n v="2"/>
    <n v="484.9"/>
    <n v="0.1"/>
    <n v="1040.24"/>
    <n v="423.7"/>
    <n v="69.41"/>
    <s v="Net Banking"/>
    <x v="4"/>
    <b v="0"/>
    <x v="1"/>
    <n v="10"/>
  </r>
  <r>
    <s v="ORD-01421"/>
    <x v="420"/>
    <x v="420"/>
    <s v="CUST32538"/>
    <s v="Amit Rao"/>
    <n v="24"/>
    <s v="Other"/>
    <x v="4"/>
    <s v="Bangalore"/>
    <x v="5"/>
    <s v="Laptop"/>
    <n v="10"/>
    <n v="23157.51"/>
    <n v="0.12"/>
    <n v="176221.6"/>
    <n v="21453.69"/>
    <n v="53.6"/>
    <s v="Net Banking"/>
    <x v="0"/>
    <b v="0"/>
    <x v="1"/>
    <n v="4"/>
  </r>
  <r>
    <s v="ORD-03373"/>
    <x v="421"/>
    <x v="421"/>
    <s v="CUST23969"/>
    <s v="Rahul Mehta"/>
    <n v="27"/>
    <s v="Male"/>
    <x v="0"/>
    <s v="Raipur"/>
    <x v="3"/>
    <s v="Textbook"/>
    <n v="9"/>
    <n v="609.86"/>
    <n v="0.14000000000000001"/>
    <n v="3554.23"/>
    <n v="1923.48"/>
    <n v="54.96"/>
    <s v="EMI"/>
    <x v="0"/>
    <b v="0"/>
    <x v="4"/>
    <n v="1"/>
  </r>
  <r>
    <s v="ORD-02686"/>
    <x v="422"/>
    <x v="422"/>
    <s v="CUST63976"/>
    <s v="Vikram Verma"/>
    <n v="42"/>
    <s v="Male"/>
    <x v="4"/>
    <s v="Hyderabad"/>
    <x v="4"/>
    <s v="Jacket"/>
    <n v="8"/>
    <n v="570.17999999999995"/>
    <n v="0.04"/>
    <n v="5294.75"/>
    <n v="1738.46"/>
    <n v="56.28"/>
    <s v="Credit Card"/>
    <x v="3"/>
    <b v="0"/>
    <x v="1"/>
    <n v="4"/>
  </r>
  <r>
    <s v="ORD-02630"/>
    <x v="423"/>
    <x v="423"/>
    <s v="CUST21078"/>
    <s v="Meera Kapoor"/>
    <n v="33"/>
    <s v="Female"/>
    <x v="2"/>
    <s v="Ludhiana"/>
    <x v="5"/>
    <s v="Laptop"/>
    <n v="9"/>
    <n v="41854.410000000003"/>
    <n v="0.33"/>
    <n v="247342.73"/>
    <n v="30449.06"/>
    <n v="42.16"/>
    <s v="Debit Card"/>
    <x v="3"/>
    <b v="0"/>
    <x v="1"/>
    <n v="8"/>
  </r>
  <r>
    <s v="ORD-01893"/>
    <x v="113"/>
    <x v="113"/>
    <s v="CUST98008"/>
    <s v="Amit Singh"/>
    <n v="39"/>
    <s v="Female"/>
    <x v="0"/>
    <s v="Bhopal"/>
    <x v="4"/>
    <s v="Dress"/>
    <n v="3"/>
    <n v="3710.29"/>
    <n v="0.05"/>
    <n v="14616.34"/>
    <n v="5360.81"/>
    <n v="62.88"/>
    <s v="Cash on Delivery"/>
    <x v="2"/>
    <b v="0"/>
    <x v="1"/>
    <n v="4"/>
  </r>
  <r>
    <s v="ORD-01702"/>
    <x v="332"/>
    <x v="332"/>
    <s v="CUST81394"/>
    <s v="Nikhil Kumar"/>
    <n v="27"/>
    <s v="Male"/>
    <x v="2"/>
    <s v="Amritsar"/>
    <x v="1"/>
    <s v="Hair Oil"/>
    <n v="10"/>
    <n v="2477.1"/>
    <n v="0.19"/>
    <n v="19204"/>
    <n v="9210.86"/>
    <n v="24.71"/>
    <s v="Credit Card"/>
    <x v="1"/>
    <b v="0"/>
    <x v="3"/>
    <n v="8"/>
  </r>
  <r>
    <s v="ORD-00781"/>
    <x v="424"/>
    <x v="424"/>
    <s v="CUST92097"/>
    <s v="Nisha Gupta"/>
    <n v="44"/>
    <s v="Male"/>
    <x v="4"/>
    <s v="Hyderabad"/>
    <x v="6"/>
    <s v="Cycle"/>
    <n v="8"/>
    <n v="12540.64"/>
    <n v="0.16"/>
    <n v="54877.82"/>
    <n v="12900.73"/>
    <n v="44.66"/>
    <s v="UPI"/>
    <x v="4"/>
    <b v="0"/>
    <x v="1"/>
    <n v="8"/>
  </r>
  <r>
    <s v="ORD-02838"/>
    <x v="425"/>
    <x v="425"/>
    <s v="CUST32623"/>
    <s v="Ananya Verma"/>
    <n v="17"/>
    <s v="Female"/>
    <x v="3"/>
    <s v="Patna"/>
    <x v="1"/>
    <s v="Shampoo"/>
    <n v="8"/>
    <n v="211.05"/>
    <n v="0.17"/>
    <n v="2271.48"/>
    <n v="1315.77"/>
    <n v="75.69"/>
    <s v="Net Banking"/>
    <x v="0"/>
    <b v="1"/>
    <x v="0"/>
    <n v="3"/>
  </r>
  <r>
    <s v="ORD-00983"/>
    <x v="426"/>
    <x v="426"/>
    <s v="CUST01477"/>
    <s v="Karan Mishra"/>
    <n v="49"/>
    <s v="Female"/>
    <x v="2"/>
    <s v="Delhi"/>
    <x v="6"/>
    <s v="Yoga Mat"/>
    <n v="7"/>
    <n v="2782.21"/>
    <n v="0.21"/>
    <n v="13694.75"/>
    <n v="1856.34"/>
    <n v="60.88"/>
    <s v="Net Banking"/>
    <x v="0"/>
    <b v="0"/>
    <x v="1"/>
    <n v="4"/>
  </r>
  <r>
    <s v="ORD-01403"/>
    <x v="353"/>
    <x v="353"/>
    <s v="CUST02694"/>
    <s v="Priya Chatterjee"/>
    <n v="19"/>
    <s v="Male"/>
    <x v="0"/>
    <s v="Raipur"/>
    <x v="1"/>
    <s v="Hair Oil"/>
    <n v="7"/>
    <n v="210.31"/>
    <n v="0.23"/>
    <n v="1209"/>
    <n v="600.88"/>
    <n v="67.459999999999994"/>
    <s v="UPI"/>
    <x v="1"/>
    <b v="1"/>
    <x v="0"/>
    <n v="6"/>
  </r>
  <r>
    <s v="ORD-03034"/>
    <x v="427"/>
    <x v="427"/>
    <s v="CUST76477"/>
    <s v="Sunita Bose"/>
    <n v="33"/>
    <s v="Female"/>
    <x v="3"/>
    <s v="Guwahati"/>
    <x v="2"/>
    <s v="Chair"/>
    <n v="2"/>
    <n v="27227.5"/>
    <n v="0.27"/>
    <n v="53652.43"/>
    <n v="18467.900000000001"/>
    <n v="69.069999999999993"/>
    <s v="Net Banking"/>
    <x v="1"/>
    <b v="0"/>
    <x v="1"/>
    <n v="9"/>
  </r>
  <r>
    <s v="ORD-03420"/>
    <x v="428"/>
    <x v="428"/>
    <s v="CUST83939"/>
    <s v="Priya Bose"/>
    <n v="49"/>
    <s v="Male"/>
    <x v="0"/>
    <s v="Indore"/>
    <x v="6"/>
    <s v="Tennis Racket"/>
    <n v="2"/>
    <n v="11637.71"/>
    <n v="0.03"/>
    <n v="20228.5"/>
    <n v="3894.99"/>
    <n v="49.76"/>
    <s v="EMI"/>
    <x v="2"/>
    <b v="1"/>
    <x v="0"/>
    <n v="6"/>
  </r>
  <r>
    <s v="ORD-02386"/>
    <x v="429"/>
    <x v="429"/>
    <s v="CUST85891"/>
    <s v="Aditya Mishra"/>
    <n v="30"/>
    <s v="Male"/>
    <x v="4"/>
    <s v="Hyderabad"/>
    <x v="3"/>
    <s v="Self-Help Book"/>
    <n v="10"/>
    <n v="1494.95"/>
    <n v="0.38"/>
    <n v="9412.99"/>
    <n v="4806.7700000000004"/>
    <n v="81.37"/>
    <s v="Credit Card"/>
    <x v="0"/>
    <b v="1"/>
    <x v="0"/>
    <n v="6"/>
  </r>
  <r>
    <s v="ORD-00379"/>
    <x v="430"/>
    <x v="430"/>
    <s v="CUST57932"/>
    <s v="Rohan Bhat"/>
    <n v="24"/>
    <s v="Male"/>
    <x v="0"/>
    <s v="Bhopal"/>
    <x v="4"/>
    <s v="Jeans"/>
    <n v="2"/>
    <n v="1835.19"/>
    <n v="0.03"/>
    <n v="4360.6899999999996"/>
    <n v="1812.7"/>
    <n v="37.119999999999997"/>
    <s v="EMI"/>
    <x v="1"/>
    <b v="0"/>
    <x v="1"/>
    <n v="2"/>
  </r>
  <r>
    <s v="ORD-00734"/>
    <x v="431"/>
    <x v="431"/>
    <s v="CUST76439"/>
    <s v="Aarav Mishra"/>
    <n v="25"/>
    <s v="Other"/>
    <x v="0"/>
    <s v="Indore"/>
    <x v="4"/>
    <s v="Dress"/>
    <n v="2"/>
    <n v="3263.53"/>
    <n v="0.28000000000000003"/>
    <n v="3766.06"/>
    <n v="1284.73"/>
    <n v="57.51"/>
    <s v="Net Banking"/>
    <x v="3"/>
    <b v="0"/>
    <x v="1"/>
    <n v="10"/>
  </r>
  <r>
    <s v="ORD-01911"/>
    <x v="432"/>
    <x v="432"/>
    <s v="CUST11183"/>
    <s v="Aditya Patel"/>
    <n v="19"/>
    <s v="Female"/>
    <x v="3"/>
    <s v="Kolkata"/>
    <x v="3"/>
    <s v="Fiction Novel"/>
    <n v="5"/>
    <n v="610.98"/>
    <n v="0.16"/>
    <n v="3679.38"/>
    <n v="1422.56"/>
    <n v="53.99"/>
    <s v="Cash on Delivery"/>
    <x v="2"/>
    <b v="0"/>
    <x v="1"/>
    <n v="4"/>
  </r>
  <r>
    <s v="ORD-02647"/>
    <x v="433"/>
    <x v="433"/>
    <s v="CUST98321"/>
    <s v="Ananya Shah"/>
    <n v="30"/>
    <s v="Male"/>
    <x v="2"/>
    <s v="Delhi"/>
    <x v="3"/>
    <s v="Cook Book"/>
    <n v="4"/>
    <n v="1488.05"/>
    <n v="0.16"/>
    <n v="5878.72"/>
    <n v="1895.88"/>
    <n v="33.950000000000003"/>
    <s v="Debit Card"/>
    <x v="0"/>
    <b v="1"/>
    <x v="0"/>
    <n v="9"/>
  </r>
  <r>
    <s v="ORD-00664"/>
    <x v="434"/>
    <x v="434"/>
    <s v="CUST76842"/>
    <s v="Shreya Gupta"/>
    <n v="47"/>
    <s v="Female"/>
    <x v="4"/>
    <s v="Hyderabad"/>
    <x v="3"/>
    <s v="Textbook"/>
    <n v="8"/>
    <n v="513.63"/>
    <n v="0.17"/>
    <n v="2804.09"/>
    <n v="1009.57"/>
    <n v="48.54"/>
    <s v="Cash on Delivery"/>
    <x v="2"/>
    <b v="0"/>
    <x v="1"/>
    <n v="1"/>
  </r>
  <r>
    <s v="ORD-00346"/>
    <x v="316"/>
    <x v="316"/>
    <s v="CUST21580"/>
    <s v="Pooja Bhat"/>
    <n v="35"/>
    <s v="Other"/>
    <x v="3"/>
    <s v="Kolkata"/>
    <x v="0"/>
    <s v="Sugar"/>
    <n v="9"/>
    <n v="213.6"/>
    <n v="0.32"/>
    <n v="1665.43"/>
    <n v="193.99"/>
    <n v="101.52"/>
    <s v="Net Banking"/>
    <x v="2"/>
    <b v="0"/>
    <x v="3"/>
    <n v="4"/>
  </r>
  <r>
    <s v="ORD-03434"/>
    <x v="435"/>
    <x v="435"/>
    <s v="CUST36372"/>
    <s v="Vikram Gupta"/>
    <n v="26"/>
    <s v="Other"/>
    <x v="2"/>
    <s v="Amritsar"/>
    <x v="1"/>
    <s v="Sunscreen"/>
    <n v="4"/>
    <n v="1120.04"/>
    <n v="0"/>
    <n v="4784.7"/>
    <n v="1051.2"/>
    <n v="70.2"/>
    <s v="Credit Card"/>
    <x v="1"/>
    <b v="0"/>
    <x v="1"/>
    <n v="6"/>
  </r>
  <r>
    <s v="ORD-02070"/>
    <x v="137"/>
    <x v="137"/>
    <s v="CUST88932"/>
    <s v="Aditya Pillai"/>
    <n v="42"/>
    <s v="Female"/>
    <x v="2"/>
    <s v="Ludhiana"/>
    <x v="5"/>
    <s v="Headphones"/>
    <n v="5"/>
    <n v="14814.19"/>
    <n v="0.21"/>
    <n v="105694.63"/>
    <n v="11127.91"/>
    <n v="56.42"/>
    <s v="Debit Card"/>
    <x v="0"/>
    <b v="0"/>
    <x v="2"/>
    <n v="1"/>
  </r>
  <r>
    <s v="ORD-00495"/>
    <x v="436"/>
    <x v="436"/>
    <s v="CUST95892"/>
    <s v="Vikram Gupta"/>
    <n v="40"/>
    <s v="Other"/>
    <x v="3"/>
    <s v="Guwahati"/>
    <x v="0"/>
    <s v="Rice (5kg)"/>
    <n v="4"/>
    <n v="57.97"/>
    <n v="0.1"/>
    <n v="258.54000000000002"/>
    <n v="16.670000000000002"/>
    <n v="74.150000000000006"/>
    <s v="Net Banking"/>
    <x v="0"/>
    <b v="0"/>
    <x v="1"/>
    <n v="9"/>
  </r>
  <r>
    <s v="ORD-01008"/>
    <x v="437"/>
    <x v="437"/>
    <s v="CUST58835"/>
    <s v="Meera Iyer"/>
    <n v="45"/>
    <s v="Male"/>
    <x v="0"/>
    <s v="Bhopal"/>
    <x v="0"/>
    <s v="Flour"/>
    <n v="2"/>
    <n v="438.16"/>
    <n v="0.25"/>
    <n v="855.21"/>
    <n v="70.3"/>
    <n v="76.819999999999993"/>
    <s v="Debit Card"/>
    <x v="1"/>
    <b v="0"/>
    <x v="1"/>
    <n v="2"/>
  </r>
  <r>
    <s v="ORD-01435"/>
    <x v="438"/>
    <x v="438"/>
    <s v="CUST41321"/>
    <s v="Ritu Bhat"/>
    <n v="23"/>
    <s v="Male"/>
    <x v="2"/>
    <s v="Chandigarh"/>
    <x v="0"/>
    <s v="Cooking Oil"/>
    <n v="5"/>
    <n v="312.3"/>
    <n v="0.12"/>
    <n v="1270.29"/>
    <n v="110.96"/>
    <n v="25.67"/>
    <s v="Cash on Delivery"/>
    <x v="0"/>
    <b v="0"/>
    <x v="1"/>
    <n v="8"/>
  </r>
  <r>
    <s v="ORD-03713"/>
    <x v="439"/>
    <x v="439"/>
    <s v="CUST56250"/>
    <s v="Shreya Shah"/>
    <n v="26"/>
    <s v="Female"/>
    <x v="4"/>
    <s v="Bangalore"/>
    <x v="4"/>
    <s v="T-Shirt"/>
    <n v="8"/>
    <n v="3182.92"/>
    <n v="0.17"/>
    <n v="35409.06"/>
    <n v="17485.080000000002"/>
    <n v="81.77"/>
    <s v="UPI"/>
    <x v="1"/>
    <b v="0"/>
    <x v="1"/>
    <n v="9"/>
  </r>
  <r>
    <s v="ORD-02022"/>
    <x v="440"/>
    <x v="440"/>
    <s v="CUST15844"/>
    <s v="Rohan Verma"/>
    <n v="39"/>
    <s v="Female"/>
    <x v="3"/>
    <s v="Guwahati"/>
    <x v="4"/>
    <s v="Kurta"/>
    <n v="3"/>
    <n v="1256.1600000000001"/>
    <n v="0.05"/>
    <n v="5186.09"/>
    <n v="2331.2600000000002"/>
    <n v="90.36"/>
    <s v="EMI"/>
    <x v="1"/>
    <b v="0"/>
    <x v="1"/>
    <n v="9"/>
  </r>
  <r>
    <s v="ORD-00219"/>
    <x v="441"/>
    <x v="441"/>
    <s v="CUST81881"/>
    <s v="Sanjay Mishra"/>
    <n v="34"/>
    <s v="Male"/>
    <x v="0"/>
    <s v="Indore"/>
    <x v="1"/>
    <s v="Face Cream"/>
    <n v="9"/>
    <n v="1356.81"/>
    <n v="0.01"/>
    <n v="13938.43"/>
    <n v="5273.14"/>
    <n v="76.63"/>
    <s v="Credit Card"/>
    <x v="0"/>
    <b v="0"/>
    <x v="1"/>
    <n v="4"/>
  </r>
  <r>
    <s v="ORD-00138"/>
    <x v="442"/>
    <x v="442"/>
    <s v="CUST54691"/>
    <s v="Priya Shah"/>
    <n v="27"/>
    <s v="Female"/>
    <x v="3"/>
    <s v="Patna"/>
    <x v="1"/>
    <s v="Sunscreen"/>
    <n v="3"/>
    <n v="1655.54"/>
    <n v="0.25"/>
    <n v="2825.92"/>
    <n v="1777.23"/>
    <n v="81.69"/>
    <s v="UPI"/>
    <x v="0"/>
    <b v="0"/>
    <x v="1"/>
    <n v="5"/>
  </r>
  <r>
    <s v="ORD-02813"/>
    <x v="372"/>
    <x v="372"/>
    <s v="CUST45426"/>
    <s v="Arjun Patel"/>
    <n v="20"/>
    <s v="Other"/>
    <x v="4"/>
    <s v="Kochi"/>
    <x v="1"/>
    <s v="Lipstick"/>
    <n v="6"/>
    <n v="2373.35"/>
    <n v="0.3"/>
    <n v="15281.74"/>
    <n v="8565.14"/>
    <n v="54.97"/>
    <s v="Cash on Delivery"/>
    <x v="0"/>
    <b v="0"/>
    <x v="1"/>
    <n v="3"/>
  </r>
  <r>
    <s v="ORD-02397"/>
    <x v="443"/>
    <x v="443"/>
    <s v="CUST53890"/>
    <s v="Kavya Kapoor"/>
    <n v="46"/>
    <s v="Other"/>
    <x v="2"/>
    <s v="Chandigarh"/>
    <x v="4"/>
    <s v="Dress"/>
    <n v="3"/>
    <n v="1457.48"/>
    <n v="0.04"/>
    <n v="3326.03"/>
    <n v="1139.23"/>
    <n v="47.06"/>
    <s v="Credit Card"/>
    <x v="1"/>
    <b v="0"/>
    <x v="1"/>
    <n v="10"/>
  </r>
  <r>
    <s v="ORD-00617"/>
    <x v="444"/>
    <x v="444"/>
    <s v="CUST56731"/>
    <s v="Rohan Bhat"/>
    <n v="52"/>
    <s v="Female"/>
    <x v="4"/>
    <s v="Bangalore"/>
    <x v="5"/>
    <s v="Smartwatch"/>
    <n v="4"/>
    <n v="72305.61"/>
    <n v="0.03"/>
    <n v="221219.87"/>
    <n v="28168.080000000002"/>
    <n v="54.29"/>
    <s v="Debit Card"/>
    <x v="2"/>
    <b v="1"/>
    <x v="0"/>
    <n v="10"/>
  </r>
  <r>
    <s v="ORD-00973"/>
    <x v="256"/>
    <x v="256"/>
    <s v="CUST18672"/>
    <s v="Rahul Rao"/>
    <n v="12"/>
    <s v="Other"/>
    <x v="1"/>
    <s v="Mumbai"/>
    <x v="1"/>
    <s v="Hair Oil"/>
    <n v="3"/>
    <n v="956.76"/>
    <n v="0.28000000000000003"/>
    <n v="2408.87"/>
    <n v="1153.68"/>
    <n v="89.77"/>
    <s v="Credit Card"/>
    <x v="0"/>
    <b v="0"/>
    <x v="1"/>
    <n v="9"/>
  </r>
  <r>
    <s v="ORD-03961"/>
    <x v="382"/>
    <x v="382"/>
    <s v="CUST41469"/>
    <s v="Ananya Singh"/>
    <n v="28"/>
    <s v="Male"/>
    <x v="1"/>
    <s v="Mumbai"/>
    <x v="5"/>
    <s v="Smartphone"/>
    <n v="3"/>
    <n v="57941.59"/>
    <n v="0.17"/>
    <n v="202708.19"/>
    <n v="27362.05"/>
    <n v="70.62"/>
    <s v="Credit Card"/>
    <x v="3"/>
    <b v="1"/>
    <x v="0"/>
    <n v="5"/>
  </r>
  <r>
    <s v="ORD-04195"/>
    <x v="445"/>
    <x v="445"/>
    <s v="CUST13220"/>
    <s v="Ritu Gupta"/>
    <n v="36"/>
    <s v="Other"/>
    <x v="3"/>
    <s v="Bhubaneswar"/>
    <x v="2"/>
    <s v="Desk"/>
    <n v="9"/>
    <n v="21875.15"/>
    <n v="0.01"/>
    <n v="161990.01"/>
    <n v="51700.42"/>
    <n v="87.08"/>
    <s v="Credit Card"/>
    <x v="2"/>
    <b v="0"/>
    <x v="1"/>
    <n v="10"/>
  </r>
  <r>
    <s v="ORD-03605"/>
    <x v="146"/>
    <x v="146"/>
    <s v="CUST13355"/>
    <s v="Aarav Rao"/>
    <n v="31"/>
    <s v="Other"/>
    <x v="1"/>
    <s v="Surat"/>
    <x v="5"/>
    <s v="Headphones"/>
    <n v="5"/>
    <n v="48881.01"/>
    <n v="0.28999999999999998"/>
    <n v="271257.62"/>
    <n v="14499.23"/>
    <n v="74.540000000000006"/>
    <s v="UPI"/>
    <x v="2"/>
    <b v="0"/>
    <x v="4"/>
    <n v="2"/>
  </r>
  <r>
    <s v="ORD-01381"/>
    <x v="446"/>
    <x v="446"/>
    <s v="CUST67856"/>
    <s v="Ananya Shah"/>
    <n v="46"/>
    <s v="Other"/>
    <x v="3"/>
    <s v="Bhubaneswar"/>
    <x v="3"/>
    <s v="Comic Book"/>
    <n v="1"/>
    <n v="1391.59"/>
    <n v="0.04"/>
    <n v="1424.19"/>
    <n v="496.68"/>
    <n v="84.05"/>
    <s v="Net Banking"/>
    <x v="2"/>
    <b v="0"/>
    <x v="4"/>
    <n v="5"/>
  </r>
  <r>
    <s v="ORD-02719"/>
    <x v="447"/>
    <x v="447"/>
    <s v="CUST07357"/>
    <s v="Meera Nair"/>
    <n v="24"/>
    <s v="Female"/>
    <x v="1"/>
    <s v="Surat"/>
    <x v="2"/>
    <s v="Bed Frame"/>
    <n v="6"/>
    <n v="16778.259999999998"/>
    <n v="0.34"/>
    <n v="79749.850000000006"/>
    <n v="20899.580000000002"/>
    <n v="68.680000000000007"/>
    <s v="UPI"/>
    <x v="0"/>
    <b v="0"/>
    <x v="1"/>
    <n v="9"/>
  </r>
  <r>
    <s v="ORD-00779"/>
    <x v="448"/>
    <x v="448"/>
    <s v="CUST99814"/>
    <s v="Sunita Reddy"/>
    <n v="51"/>
    <s v="Female"/>
    <x v="2"/>
    <s v="Amritsar"/>
    <x v="5"/>
    <s v="Camera"/>
    <n v="9"/>
    <n v="59205.69"/>
    <n v="0.28999999999999998"/>
    <n v="281237.44"/>
    <n v="26659.17"/>
    <n v="68.680000000000007"/>
    <s v="Debit Card"/>
    <x v="2"/>
    <b v="0"/>
    <x v="1"/>
    <n v="8"/>
  </r>
  <r>
    <s v="ORD-02925"/>
    <x v="449"/>
    <x v="449"/>
    <s v="CUST97817"/>
    <s v="Ritu Mishra"/>
    <n v="20"/>
    <s v="Other"/>
    <x v="3"/>
    <s v="Patna"/>
    <x v="5"/>
    <s v="Smartphone"/>
    <n v="10"/>
    <n v="54102.6"/>
    <n v="0.36"/>
    <n v="523395.38"/>
    <n v="62065.82"/>
    <n v="73.13"/>
    <s v="Debit Card"/>
    <x v="0"/>
    <b v="0"/>
    <x v="1"/>
    <n v="7"/>
  </r>
  <r>
    <s v="ORD-04101"/>
    <x v="450"/>
    <x v="450"/>
    <s v="CUST53114"/>
    <s v="Kavya Bose"/>
    <n v="35"/>
    <s v="Female"/>
    <x v="1"/>
    <s v="Pune"/>
    <x v="5"/>
    <s v="Headphones"/>
    <n v="3"/>
    <n v="36271.47"/>
    <n v="0.08"/>
    <n v="106383.22"/>
    <n v="8562.92"/>
    <n v="64.31"/>
    <s v="Credit Card"/>
    <x v="3"/>
    <b v="1"/>
    <x v="0"/>
    <n v="10"/>
  </r>
  <r>
    <s v="ORD-03749"/>
    <x v="451"/>
    <x v="451"/>
    <s v="CUST71536"/>
    <s v="Amit Bose"/>
    <n v="49"/>
    <s v="Male"/>
    <x v="2"/>
    <s v="Ludhiana"/>
    <x v="3"/>
    <s v="Fiction Novel"/>
    <n v="6"/>
    <n v="587.29999999999995"/>
    <n v="0.23"/>
    <n v="4643.97"/>
    <n v="1923.83"/>
    <n v="52.24"/>
    <s v="Net Banking"/>
    <x v="1"/>
    <b v="0"/>
    <x v="1"/>
    <n v="5"/>
  </r>
  <r>
    <s v="ORD-01544"/>
    <x v="452"/>
    <x v="452"/>
    <s v="CUST03481"/>
    <s v="Rahul Mishra"/>
    <n v="23"/>
    <s v="Male"/>
    <x v="4"/>
    <s v="Chennai"/>
    <x v="2"/>
    <s v="Bed Frame"/>
    <n v="7"/>
    <n v="32709.32"/>
    <n v="0.15"/>
    <n v="154037.82999999999"/>
    <n v="40170.160000000003"/>
    <n v="86.06"/>
    <s v="Cash on Delivery"/>
    <x v="3"/>
    <b v="0"/>
    <x v="1"/>
    <n v="1"/>
  </r>
  <r>
    <s v="ORD-01040"/>
    <x v="453"/>
    <x v="453"/>
    <s v="CUST99976"/>
    <s v="Meera Kumar"/>
    <n v="20"/>
    <s v="Other"/>
    <x v="0"/>
    <s v="Indore"/>
    <x v="0"/>
    <s v="Dal (1kg)"/>
    <n v="7"/>
    <n v="228.64"/>
    <n v="0.17"/>
    <n v="1426.02"/>
    <n v="99.2"/>
    <n v="68.16"/>
    <s v="Net Banking"/>
    <x v="4"/>
    <b v="0"/>
    <x v="1"/>
    <n v="8"/>
  </r>
  <r>
    <s v="ORD-01527"/>
    <x v="454"/>
    <x v="454"/>
    <s v="CUST25719"/>
    <s v="Nikhil Chatterjee"/>
    <n v="42"/>
    <s v="Other"/>
    <x v="2"/>
    <s v="Ludhiana"/>
    <x v="0"/>
    <s v="Tea"/>
    <n v="3"/>
    <n v="308.05"/>
    <n v="0.19"/>
    <n v="531.13"/>
    <n v="41.25"/>
    <n v="45.78"/>
    <s v="Cash on Delivery"/>
    <x v="0"/>
    <b v="0"/>
    <x v="1"/>
    <n v="2"/>
  </r>
  <r>
    <s v="ORD-00164"/>
    <x v="455"/>
    <x v="455"/>
    <s v="CUST97663"/>
    <s v="Aarav Singh"/>
    <n v="34"/>
    <s v="Male"/>
    <x v="2"/>
    <s v="Ludhiana"/>
    <x v="4"/>
    <s v="Kurta"/>
    <n v="9"/>
    <n v="3971.91"/>
    <n v="0.18"/>
    <n v="32366.71"/>
    <n v="14702.14"/>
    <n v="47.38"/>
    <s v="Cash on Delivery"/>
    <x v="0"/>
    <b v="0"/>
    <x v="2"/>
    <n v="4"/>
  </r>
  <r>
    <s v="ORD-02287"/>
    <x v="456"/>
    <x v="456"/>
    <s v="CUST48005"/>
    <s v="Deepa Nair"/>
    <n v="48"/>
    <s v="Other"/>
    <x v="4"/>
    <s v="Chennai"/>
    <x v="5"/>
    <s v="Headphones"/>
    <n v="7"/>
    <n v="10316.01"/>
    <n v="0.33"/>
    <n v="50301.08"/>
    <n v="6888.17"/>
    <n v="90.01"/>
    <s v="Net Banking"/>
    <x v="0"/>
    <b v="0"/>
    <x v="1"/>
    <n v="4"/>
  </r>
  <r>
    <s v="ORD-03296"/>
    <x v="457"/>
    <x v="457"/>
    <s v="CUST49836"/>
    <s v="Amit Bose"/>
    <n v="32"/>
    <s v="Other"/>
    <x v="0"/>
    <s v="Raipur"/>
    <x v="4"/>
    <s v="Saree"/>
    <n v="4"/>
    <n v="2037.61"/>
    <n v="0.09"/>
    <n v="7459.65"/>
    <n v="2991.98"/>
    <n v="28.18"/>
    <s v="Cash on Delivery"/>
    <x v="4"/>
    <b v="1"/>
    <x v="0"/>
    <n v="7"/>
  </r>
  <r>
    <s v="ORD-02542"/>
    <x v="458"/>
    <x v="458"/>
    <s v="CUST20603"/>
    <s v="Aditya Patel"/>
    <n v="47"/>
    <s v="Other"/>
    <x v="2"/>
    <s v="Delhi"/>
    <x v="2"/>
    <s v="Desk"/>
    <n v="4"/>
    <n v="16407.34"/>
    <n v="0.13"/>
    <n v="51661.63"/>
    <n v="18819.990000000002"/>
    <n v="55.63"/>
    <s v="Cash on Delivery"/>
    <x v="0"/>
    <b v="0"/>
    <x v="1"/>
    <n v="7"/>
  </r>
  <r>
    <s v="ORD-01038"/>
    <x v="459"/>
    <x v="459"/>
    <s v="CUST91204"/>
    <s v="Ananya Mishra"/>
    <n v="43"/>
    <s v="Other"/>
    <x v="3"/>
    <s v="Patna"/>
    <x v="2"/>
    <s v="Chair"/>
    <n v="9"/>
    <n v="19514.509999999998"/>
    <n v="0.21"/>
    <n v="215673.94"/>
    <n v="71953.350000000006"/>
    <n v="87.81"/>
    <s v="Debit Card"/>
    <x v="4"/>
    <b v="1"/>
    <x v="0"/>
    <n v="9"/>
  </r>
  <r>
    <s v="ORD-00886"/>
    <x v="148"/>
    <x v="148"/>
    <s v="CUST50029"/>
    <s v="Rohan Mehta"/>
    <n v="27"/>
    <s v="Other"/>
    <x v="1"/>
    <s v="Mumbai"/>
    <x v="4"/>
    <s v="T-Shirt"/>
    <n v="10"/>
    <n v="1064.5"/>
    <n v="0.2"/>
    <n v="8259.5300000000007"/>
    <n v="3321.3"/>
    <n v="64.42"/>
    <s v="Cash on Delivery"/>
    <x v="2"/>
    <b v="0"/>
    <x v="1"/>
    <n v="9"/>
  </r>
  <r>
    <s v="ORD-02510"/>
    <x v="460"/>
    <x v="460"/>
    <s v="CUST29676"/>
    <s v="Arjun Rao"/>
    <n v="43"/>
    <s v="Other"/>
    <x v="4"/>
    <s v="Hyderabad"/>
    <x v="1"/>
    <s v="Shampoo"/>
    <n v="4"/>
    <n v="1024.2"/>
    <n v="0.28000000000000003"/>
    <n v="2046.31"/>
    <n v="485.53"/>
    <n v="57.96"/>
    <s v="Net Banking"/>
    <x v="3"/>
    <b v="0"/>
    <x v="1"/>
    <n v="9"/>
  </r>
  <r>
    <s v="ORD-03352"/>
    <x v="461"/>
    <x v="461"/>
    <s v="CUST97209"/>
    <s v="Karan Iyer"/>
    <n v="36"/>
    <s v="Female"/>
    <x v="4"/>
    <s v="Bangalore"/>
    <x v="6"/>
    <s v="Cricket Bat"/>
    <n v="5"/>
    <n v="11277.04"/>
    <n v="0.03"/>
    <n v="47607.55"/>
    <n v="14946.09"/>
    <n v="96.43"/>
    <s v="EMI"/>
    <x v="3"/>
    <b v="0"/>
    <x v="4"/>
    <n v="8"/>
  </r>
  <r>
    <s v="ORD-03714"/>
    <x v="439"/>
    <x v="439"/>
    <s v="CUST48600"/>
    <s v="Kavya Reddy"/>
    <n v="23"/>
    <s v="Female"/>
    <x v="3"/>
    <s v="Kolkata"/>
    <x v="4"/>
    <s v="Saree"/>
    <n v="6"/>
    <n v="3566.25"/>
    <n v="0.19"/>
    <n v="31426.55"/>
    <n v="12874.37"/>
    <n v="94.51"/>
    <s v="EMI"/>
    <x v="1"/>
    <b v="0"/>
    <x v="1"/>
    <n v="2"/>
  </r>
  <r>
    <s v="ORD-00941"/>
    <x v="462"/>
    <x v="462"/>
    <s v="CUST76016"/>
    <s v="Sanjay Gupta"/>
    <n v="27"/>
    <s v="Other"/>
    <x v="4"/>
    <s v="Hyderabad"/>
    <x v="6"/>
    <s v="Tennis Racket"/>
    <n v="1"/>
    <n v="10397.719999999999"/>
    <n v="0.21"/>
    <n v="10108.14"/>
    <n v="2948.56"/>
    <n v="88.19"/>
    <s v="Net Banking"/>
    <x v="4"/>
    <b v="0"/>
    <x v="4"/>
    <n v="2"/>
  </r>
  <r>
    <s v="ORD-00669"/>
    <x v="463"/>
    <x v="463"/>
    <s v="CUST66974"/>
    <s v="Aarav Sharma"/>
    <n v="34"/>
    <s v="Other"/>
    <x v="3"/>
    <s v="Guwahati"/>
    <x v="4"/>
    <s v="Kurta"/>
    <n v="3"/>
    <n v="562.94000000000005"/>
    <n v="0.27"/>
    <n v="1022.04"/>
    <n v="309.8"/>
    <n v="88.97"/>
    <s v="UPI"/>
    <x v="3"/>
    <b v="1"/>
    <x v="0"/>
    <n v="1"/>
  </r>
  <r>
    <s v="ORD-02173"/>
    <x v="464"/>
    <x v="464"/>
    <s v="CUST84895"/>
    <s v="Vikram Mishra"/>
    <n v="37"/>
    <s v="Other"/>
    <x v="2"/>
    <s v="Amritsar"/>
    <x v="5"/>
    <s v="Camera"/>
    <n v="9"/>
    <n v="54464.82"/>
    <n v="0"/>
    <n v="647259.03"/>
    <n v="89846.44"/>
    <n v="53.63"/>
    <s v="Credit Card"/>
    <x v="0"/>
    <b v="0"/>
    <x v="1"/>
    <n v="4"/>
  </r>
  <r>
    <s v="ORD-00737"/>
    <x v="465"/>
    <x v="465"/>
    <s v="CUST84086"/>
    <s v="Priya Singh"/>
    <n v="21"/>
    <s v="Male"/>
    <x v="2"/>
    <s v="Amritsar"/>
    <x v="0"/>
    <s v="Tea"/>
    <n v="9"/>
    <n v="335.03"/>
    <n v="0.34"/>
    <n v="1431.69"/>
    <n v="93.14"/>
    <n v="59.48"/>
    <s v="Net Banking"/>
    <x v="2"/>
    <b v="1"/>
    <x v="0"/>
    <n v="1"/>
  </r>
  <r>
    <s v="ORD-02712"/>
    <x v="466"/>
    <x v="466"/>
    <s v="CUST21655"/>
    <s v="Amit Reddy"/>
    <n v="29"/>
    <s v="Other"/>
    <x v="2"/>
    <s v="Chandigarh"/>
    <x v="0"/>
    <s v="Sugar"/>
    <n v="8"/>
    <n v="172.53"/>
    <n v="0.22"/>
    <n v="1491.46"/>
    <n v="177.24"/>
    <n v="47.93"/>
    <s v="Credit Card"/>
    <x v="0"/>
    <b v="0"/>
    <x v="1"/>
    <n v="4"/>
  </r>
  <r>
    <s v="ORD-03079"/>
    <x v="53"/>
    <x v="53"/>
    <s v="CUST74717"/>
    <s v="Ananya Bhat"/>
    <n v="24"/>
    <s v="Female"/>
    <x v="3"/>
    <s v="Patna"/>
    <x v="6"/>
    <s v="Cricket Bat"/>
    <n v="1"/>
    <n v="7788.48"/>
    <n v="0.16"/>
    <n v="9678.82"/>
    <n v="2560.56"/>
    <n v="67.88"/>
    <s v="EMI"/>
    <x v="2"/>
    <b v="0"/>
    <x v="4"/>
    <n v="3"/>
  </r>
  <r>
    <s v="ORD-00093"/>
    <x v="467"/>
    <x v="467"/>
    <s v="CUST28742"/>
    <s v="Kavya Bhat"/>
    <n v="38"/>
    <s v="Female"/>
    <x v="3"/>
    <s v="Kolkata"/>
    <x v="1"/>
    <s v="Hair Oil"/>
    <n v="3"/>
    <n v="1535.87"/>
    <n v="0.04"/>
    <n v="3186.03"/>
    <n v="1346.8"/>
    <n v="86.51"/>
    <s v="Cash on Delivery"/>
    <x v="1"/>
    <b v="1"/>
    <x v="0"/>
    <n v="7"/>
  </r>
  <r>
    <s v="ORD-02847"/>
    <x v="468"/>
    <x v="468"/>
    <s v="CUST62909"/>
    <s v="Aditya Bose"/>
    <n v="31"/>
    <s v="Female"/>
    <x v="1"/>
    <s v="Ahmedabad"/>
    <x v="0"/>
    <s v="Flour"/>
    <n v="8"/>
    <n v="399.28"/>
    <n v="0.11"/>
    <n v="5100.96"/>
    <n v="406.96"/>
    <n v="62.93"/>
    <s v="Cash on Delivery"/>
    <x v="2"/>
    <b v="0"/>
    <x v="4"/>
    <n v="2"/>
  </r>
  <r>
    <s v="ORD-02511"/>
    <x v="460"/>
    <x v="460"/>
    <s v="CUST68061"/>
    <s v="Sunita Chatterjee"/>
    <n v="-5"/>
    <s v="Male"/>
    <x v="4"/>
    <s v="Hyderabad"/>
    <x v="0"/>
    <s v="Rice (5kg)"/>
    <n v="7"/>
    <n v="89.81"/>
    <n v="0.34"/>
    <n v="325.22000000000003"/>
    <n v="31.2"/>
    <n v="64.12"/>
    <s v="EMI"/>
    <x v="0"/>
    <b v="0"/>
    <x v="1"/>
    <n v="5"/>
  </r>
  <r>
    <s v="ORD-01066"/>
    <x v="405"/>
    <x v="405"/>
    <s v="CUST14264"/>
    <s v="Ananya Singh"/>
    <n v="35"/>
    <s v="Male"/>
    <x v="2"/>
    <s v="Delhi"/>
    <x v="6"/>
    <s v="Tennis Racket"/>
    <n v="6"/>
    <n v="7246.81"/>
    <n v="0.21"/>
    <n v="51448.04"/>
    <n v="9498.99"/>
    <n v="40.22"/>
    <s v="Cash on Delivery"/>
    <x v="2"/>
    <b v="0"/>
    <x v="1"/>
    <n v="10"/>
  </r>
  <r>
    <s v="ORD-03740"/>
    <x v="469"/>
    <x v="469"/>
    <s v="CUST25398"/>
    <s v="Nikhil Nair"/>
    <n v="27"/>
    <s v="Other"/>
    <x v="0"/>
    <s v="Bhopal"/>
    <x v="0"/>
    <s v="Cooking Oil"/>
    <n v="5"/>
    <n v="167.05"/>
    <n v="0.13"/>
    <n v="268.86"/>
    <n v="21.3"/>
    <n v="51.15"/>
    <s v="Net Banking"/>
    <x v="1"/>
    <b v="0"/>
    <x v="1"/>
    <n v="10"/>
  </r>
  <r>
    <s v="ORD-03053"/>
    <x v="470"/>
    <x v="470"/>
    <s v="CUST70734"/>
    <s v="Meera Kumar"/>
    <n v="30"/>
    <s v="Female"/>
    <x v="0"/>
    <s v="Nagpur"/>
    <x v="2"/>
    <s v="Desk"/>
    <n v="10"/>
    <n v="5902.83"/>
    <n v="0.26"/>
    <n v="61642.35"/>
    <n v="21436.01"/>
    <n v="63.39"/>
    <s v="Credit Card"/>
    <x v="0"/>
    <b v="0"/>
    <x v="1"/>
    <n v="7"/>
  </r>
  <r>
    <s v="ORD-03174"/>
    <x v="196"/>
    <x v="196"/>
    <s v="CUST00106"/>
    <s v="Ananya Bhat"/>
    <n v="21"/>
    <s v="Female"/>
    <x v="0"/>
    <s v="Indore"/>
    <x v="3"/>
    <s v="Cook Book"/>
    <n v="9"/>
    <n v="641.84"/>
    <n v="0.21"/>
    <n v="5619.07"/>
    <n v="2471.08"/>
    <n v="20.79"/>
    <s v="Cash on Delivery"/>
    <x v="4"/>
    <b v="0"/>
    <x v="1"/>
    <n v="5"/>
  </r>
  <r>
    <s v="ORD-03942"/>
    <x v="471"/>
    <x v="471"/>
    <s v="CUST76909"/>
    <s v="Arjun Bose"/>
    <n v="29"/>
    <s v="Male"/>
    <x v="4"/>
    <s v="Hyderabad"/>
    <x v="6"/>
    <s v="Yoga Mat"/>
    <n v="9"/>
    <n v="4499.21"/>
    <n v="0.06"/>
    <n v="57299.76"/>
    <n v="12249.26"/>
    <n v="66.59"/>
    <s v="Net Banking"/>
    <x v="3"/>
    <b v="0"/>
    <x v="1"/>
    <n v="4"/>
  </r>
  <r>
    <s v="ORD-00201"/>
    <x v="220"/>
    <x v="220"/>
    <s v="CUST39806"/>
    <s v="Sanjay Bhat"/>
    <n v="27"/>
    <s v="Other"/>
    <x v="1"/>
    <s v="Mumbai"/>
    <x v="1"/>
    <s v="Face Cream"/>
    <n v="4"/>
    <n v="2430.1"/>
    <n v="0.03"/>
    <n v="8709.27"/>
    <n v="5472.38"/>
    <n v="60.42"/>
    <s v="Debit Card"/>
    <x v="1"/>
    <b v="0"/>
    <x v="1"/>
    <n v="1"/>
  </r>
  <r>
    <s v="ORD-00582"/>
    <x v="472"/>
    <x v="472"/>
    <s v="CUST42583"/>
    <s v="Nisha Rao"/>
    <n v="31"/>
    <s v="Other"/>
    <x v="4"/>
    <s v="Bangalore"/>
    <x v="3"/>
    <s v="Cook Book"/>
    <n v="1"/>
    <n v="587.49"/>
    <n v="0.09"/>
    <n v="560.42999999999995"/>
    <n v="178.2"/>
    <n v="82.7"/>
    <s v="Debit Card"/>
    <x v="0"/>
    <b v="0"/>
    <x v="1"/>
    <n v="6"/>
  </r>
  <r>
    <s v="ORD-00571"/>
    <x v="473"/>
    <x v="473"/>
    <s v="CUST29775"/>
    <s v="Deepa Sharma"/>
    <n v="16"/>
    <s v="Other"/>
    <x v="0"/>
    <s v="Raipur"/>
    <x v="3"/>
    <s v="Biography"/>
    <n v="1"/>
    <n v="565.12"/>
    <n v="0.08"/>
    <n v="539.57000000000005"/>
    <n v="249.41"/>
    <n v="49.52"/>
    <s v="UPI"/>
    <x v="2"/>
    <b v="0"/>
    <x v="1"/>
    <n v="4"/>
  </r>
  <r>
    <s v="ORD-02281"/>
    <x v="44"/>
    <x v="44"/>
    <s v="CUST68153"/>
    <s v="Aditya Das"/>
    <n v="45"/>
    <s v="Female"/>
    <x v="2"/>
    <s v="Amritsar"/>
    <x v="1"/>
    <s v="Perfume"/>
    <n v="9"/>
    <n v="2226.0700000000002"/>
    <n v="0.16"/>
    <n v="18524.57"/>
    <n v="7612.81"/>
    <n v="50.45"/>
    <s v="EMI"/>
    <x v="2"/>
    <b v="0"/>
    <x v="1"/>
    <n v="2"/>
  </r>
  <r>
    <s v="ORD-02777"/>
    <x v="121"/>
    <x v="121"/>
    <s v="CUST15930"/>
    <s v="Rahul Bhat"/>
    <n v="33"/>
    <s v="Female"/>
    <x v="2"/>
    <s v="Chandigarh"/>
    <x v="1"/>
    <s v="Face Cream"/>
    <n v="6"/>
    <n v="438.59"/>
    <n v="0.26"/>
    <n v="2826.56"/>
    <n v="1014.02"/>
    <n v="64.81"/>
    <s v="Net Banking"/>
    <x v="0"/>
    <b v="1"/>
    <x v="0"/>
    <n v="9"/>
  </r>
  <r>
    <s v="ORD-01949"/>
    <x v="474"/>
    <x v="474"/>
    <s v="CUST55786"/>
    <s v="Deepa Mehta"/>
    <n v="20"/>
    <s v="Female"/>
    <x v="4"/>
    <s v="Chennai"/>
    <x v="1"/>
    <s v="Face Cream"/>
    <n v="6"/>
    <n v="2429.19"/>
    <n v="0.34"/>
    <n v="14916.43"/>
    <n v="8055.68"/>
    <n v="40.450000000000003"/>
    <s v="UPI"/>
    <x v="3"/>
    <b v="0"/>
    <x v="1"/>
    <n v="10"/>
  </r>
  <r>
    <s v="ORD-01516"/>
    <x v="475"/>
    <x v="475"/>
    <s v="CUST58345"/>
    <s v="Nikhil Mishra"/>
    <n v="24"/>
    <s v="Other"/>
    <x v="4"/>
    <s v="Kochi"/>
    <x v="5"/>
    <s v="Smartphone"/>
    <n v="7"/>
    <n v="19882.939999999999"/>
    <n v="0.28999999999999998"/>
    <n v="79433.81"/>
    <n v="8287.36"/>
    <n v="61"/>
    <s v="EMI"/>
    <x v="4"/>
    <b v="0"/>
    <x v="4"/>
    <n v="3"/>
  </r>
  <r>
    <s v="ORD-01425"/>
    <x v="476"/>
    <x v="476"/>
    <s v="CUST22978"/>
    <s v="Nikhil Bhat"/>
    <n v="34"/>
    <s v="Male"/>
    <x v="2"/>
    <s v="Ludhiana"/>
    <x v="6"/>
    <s v="Cycle"/>
    <n v="4"/>
    <n v="13459.01"/>
    <n v="0.32"/>
    <n v="39215.89"/>
    <n v="10601.74"/>
    <n v="48.42"/>
    <s v="Credit Card"/>
    <x v="3"/>
    <b v="0"/>
    <x v="1"/>
    <n v="6"/>
  </r>
  <r>
    <s v="ORD-02846"/>
    <x v="468"/>
    <x v="468"/>
    <s v="CUST56492"/>
    <s v="Ananya Gupta"/>
    <n v="35"/>
    <s v="Male"/>
    <x v="4"/>
    <s v="Kochi"/>
    <x v="2"/>
    <s v="Wardrobe"/>
    <n v="10"/>
    <n v="31142.23"/>
    <n v="0.12"/>
    <n v="475250.99"/>
    <n v="133297.06"/>
    <n v="90.65"/>
    <s v="UPI"/>
    <x v="2"/>
    <b v="0"/>
    <x v="3"/>
    <n v="1"/>
  </r>
  <r>
    <s v="ORD-00619"/>
    <x v="477"/>
    <x v="477"/>
    <s v="CUST73824"/>
    <s v="Rohan Kapoor"/>
    <n v="36"/>
    <s v="Male"/>
    <x v="0"/>
    <s v="Raipur"/>
    <x v="2"/>
    <s v="Wardrobe"/>
    <n v="5"/>
    <n v="11291.76"/>
    <n v="0.4"/>
    <n v="21297.23"/>
    <n v="5332.78"/>
    <n v="40.67"/>
    <s v="Credit Card"/>
    <x v="2"/>
    <b v="0"/>
    <x v="4"/>
    <n v="3"/>
  </r>
  <r>
    <s v="ORD-02258"/>
    <x v="369"/>
    <x v="369"/>
    <s v="CUST95281"/>
    <s v="Shreya Bose"/>
    <n v="34"/>
    <s v="Male"/>
    <x v="3"/>
    <s v="Kolkata"/>
    <x v="6"/>
    <s v="Football"/>
    <n v="5"/>
    <n v="541.85"/>
    <n v="0.04"/>
    <n v="618.29"/>
    <n v="107.23"/>
    <n v="87.16"/>
    <s v="UPI"/>
    <x v="3"/>
    <b v="0"/>
    <x v="1"/>
    <n v="1"/>
  </r>
  <r>
    <s v="ORD-03441"/>
    <x v="478"/>
    <x v="478"/>
    <s v="CUST02308"/>
    <s v="Rahul Sharma"/>
    <n v="21"/>
    <s v="Female"/>
    <x v="4"/>
    <s v="Hyderabad"/>
    <x v="5"/>
    <s v="Smartwatch"/>
    <n v="6"/>
    <n v="71178.539999999994"/>
    <n v="0.11"/>
    <n v="482509.98"/>
    <n v="50570.5"/>
    <n v="74.900000000000006"/>
    <s v="UPI"/>
    <x v="0"/>
    <b v="0"/>
    <x v="1"/>
    <n v="2"/>
  </r>
  <r>
    <s v="ORD-01690"/>
    <x v="479"/>
    <x v="479"/>
    <s v="CUST13726"/>
    <s v="Sanjay Joshi"/>
    <n v="42"/>
    <s v="Other"/>
    <x v="3"/>
    <s v="Guwahati"/>
    <x v="3"/>
    <s v="Self-Help Book"/>
    <n v="1"/>
    <n v="293.64999999999998"/>
    <n v="0.21"/>
    <n v="216.04"/>
    <n v="87.2"/>
    <n v="77.91"/>
    <s v="Credit Card"/>
    <x v="0"/>
    <b v="0"/>
    <x v="4"/>
    <n v="3"/>
  </r>
  <r>
    <s v="ORD-01139"/>
    <x v="480"/>
    <x v="480"/>
    <s v="CUST11240"/>
    <s v="Deepa Iyer"/>
    <n v="37"/>
    <s v="Other"/>
    <x v="1"/>
    <s v="Pune"/>
    <x v="4"/>
    <s v="Saree"/>
    <n v="5"/>
    <n v="3466.72"/>
    <n v="0.15"/>
    <n v="22647.02"/>
    <n v="8403.2999999999993"/>
    <n v="47.97"/>
    <s v="Net Banking"/>
    <x v="0"/>
    <b v="0"/>
    <x v="2"/>
    <n v="8"/>
  </r>
  <r>
    <s v="ORD-02223"/>
    <x v="481"/>
    <x v="481"/>
    <s v="CUST98444"/>
    <s v="Ritu Mehta"/>
    <n v="15"/>
    <s v="Male"/>
    <x v="3"/>
    <s v="Guwahati"/>
    <x v="6"/>
    <s v="Dumbbells"/>
    <n v="1"/>
    <n v="8591.44"/>
    <n v="0.03"/>
    <n v="11764.77"/>
    <n v="2988.26"/>
    <n v="69.66"/>
    <s v="UPI"/>
    <x v="0"/>
    <b v="0"/>
    <x v="1"/>
    <n v="8"/>
  </r>
  <r>
    <s v="ORD-01042"/>
    <x v="482"/>
    <x v="482"/>
    <s v="CUST52708"/>
    <s v="Shreya Bhat"/>
    <n v="31"/>
    <s v="Female"/>
    <x v="2"/>
    <s v="Delhi"/>
    <x v="1"/>
    <s v="Lipstick"/>
    <n v="7"/>
    <n v="1384.15"/>
    <n v="0.23"/>
    <n v="10118.86"/>
    <n v="4454.79"/>
    <n v="62.32"/>
    <s v="Debit Card"/>
    <x v="2"/>
    <b v="0"/>
    <x v="1"/>
    <n v="9"/>
  </r>
  <r>
    <s v="ORD-00452"/>
    <x v="483"/>
    <x v="483"/>
    <s v="CUST52335"/>
    <s v="Nisha Patel"/>
    <n v="52"/>
    <s v="Male"/>
    <x v="1"/>
    <s v="Ahmedabad"/>
    <x v="3"/>
    <s v="Textbook"/>
    <n v="4"/>
    <n v="565.16999999999996"/>
    <n v="0.05"/>
    <n v="2606.02"/>
    <n v="1227.07"/>
    <n v="78.290000000000006"/>
    <s v="Credit Card"/>
    <x v="2"/>
    <b v="0"/>
    <x v="1"/>
    <n v="3"/>
  </r>
  <r>
    <s v="ORD-00028"/>
    <x v="484"/>
    <x v="484"/>
    <s v="CUST03400"/>
    <s v="Karan Mishra"/>
    <n v="23"/>
    <s v="Male"/>
    <x v="0"/>
    <s v="Indore"/>
    <x v="6"/>
    <s v="Football"/>
    <n v="7"/>
    <n v="12178.99"/>
    <n v="0.01"/>
    <n v="66009.55"/>
    <n v="17076.439999999999"/>
    <n v="51.51"/>
    <s v="UPI"/>
    <x v="1"/>
    <b v="0"/>
    <x v="3"/>
    <n v="10"/>
  </r>
  <r>
    <s v="ORD-03478"/>
    <x v="485"/>
    <x v="485"/>
    <s v="CUST86909"/>
    <s v="Amit Reddy"/>
    <n v="44"/>
    <s v="Female"/>
    <x v="0"/>
    <s v="Nagpur"/>
    <x v="0"/>
    <s v="Rice (5kg)"/>
    <n v="7"/>
    <n v="447.52"/>
    <n v="0.3"/>
    <n v="2656.34"/>
    <n v="182.91"/>
    <n v="47.41"/>
    <s v="Cash on Delivery"/>
    <x v="0"/>
    <b v="0"/>
    <x v="1"/>
    <n v="5"/>
  </r>
  <r>
    <s v="ORD-00350"/>
    <x v="486"/>
    <x v="486"/>
    <s v="CUST72810"/>
    <s v="Arjun Reddy"/>
    <n v="26"/>
    <s v="Male"/>
    <x v="3"/>
    <s v="Guwahati"/>
    <x v="4"/>
    <s v="Kurta"/>
    <n v="10"/>
    <n v="2738.51"/>
    <n v="0.12"/>
    <n v="31229.97"/>
    <n v="10815.02"/>
    <n v="81.19"/>
    <s v="Credit Card"/>
    <x v="1"/>
    <b v="0"/>
    <x v="1"/>
    <n v="4"/>
  </r>
  <r>
    <s v="ORD-02384"/>
    <x v="201"/>
    <x v="201"/>
    <s v="CUST51225"/>
    <s v="Ananya Kumar"/>
    <n v="23"/>
    <s v="Other"/>
    <x v="1"/>
    <s v="Mumbai"/>
    <x v="6"/>
    <s v="Dumbbells"/>
    <n v="5"/>
    <n v="10898.37"/>
    <n v="0.05"/>
    <n v="11714.4"/>
    <n v="2224.4699999999998"/>
    <n v="82.53"/>
    <s v="Debit Card"/>
    <x v="1"/>
    <b v="0"/>
    <x v="3"/>
    <n v="10"/>
  </r>
  <r>
    <s v="ORD-02052"/>
    <x v="487"/>
    <x v="487"/>
    <s v="CUST10079"/>
    <s v="Pooja Singh"/>
    <n v="29"/>
    <s v="Male"/>
    <x v="4"/>
    <s v="Bangalore"/>
    <x v="5"/>
    <s v="Smartwatch"/>
    <n v="8"/>
    <n v="48445.16"/>
    <n v="0.26"/>
    <n v="371584.08"/>
    <n v="63270.83"/>
    <n v="70.06"/>
    <s v="Cash on Delivery"/>
    <x v="1"/>
    <b v="0"/>
    <x v="1"/>
    <n v="8"/>
  </r>
  <r>
    <s v="ORD-01961"/>
    <x v="488"/>
    <x v="488"/>
    <s v="CUST60023"/>
    <s v="Rohan Rao"/>
    <n v="32"/>
    <s v="Female"/>
    <x v="1"/>
    <s v="Mumbai"/>
    <x v="6"/>
    <s v="Dumbbells"/>
    <n v="6"/>
    <n v="1826.8"/>
    <n v="7.0000000000000007E-2"/>
    <n v="14790.65"/>
    <n v="3473.29"/>
    <n v="74.41"/>
    <s v="Credit Card"/>
    <x v="3"/>
    <b v="1"/>
    <x v="0"/>
    <n v="6"/>
  </r>
  <r>
    <s v="ORD-00404"/>
    <x v="194"/>
    <x v="194"/>
    <s v="CUST02130"/>
    <s v="Vikram Shah"/>
    <n v="16"/>
    <s v="Female"/>
    <x v="1"/>
    <s v="Ahmedabad"/>
    <x v="3"/>
    <s v="Textbook"/>
    <n v="3"/>
    <n v="541.30999999999995"/>
    <n v="0.06"/>
    <n v="2139.34"/>
    <n v="731.39"/>
    <n v="56.62"/>
    <s v="Cash on Delivery"/>
    <x v="1"/>
    <b v="0"/>
    <x v="1"/>
    <n v="8"/>
  </r>
  <r>
    <s v="ORD-00742"/>
    <x v="489"/>
    <x v="489"/>
    <s v="CUST42571"/>
    <s v="Meera Kumar"/>
    <n v="39"/>
    <s v="Male"/>
    <x v="1"/>
    <s v="Pune"/>
    <x v="3"/>
    <s v="Comic Book"/>
    <n v="2"/>
    <n v="1291.54"/>
    <n v="0.28999999999999998"/>
    <n v="1186.6300000000001"/>
    <n v="359.86"/>
    <n v="74.760000000000005"/>
    <s v="EMI"/>
    <x v="0"/>
    <b v="0"/>
    <x v="1"/>
    <n v="4"/>
  </r>
  <r>
    <s v="ORD-00317"/>
    <x v="490"/>
    <x v="490"/>
    <s v="CUST52213"/>
    <s v="Kavya Iyer"/>
    <n v="53"/>
    <s v="Other"/>
    <x v="4"/>
    <s v="Bangalore"/>
    <x v="0"/>
    <s v="Rice (5kg)"/>
    <n v="4"/>
    <n v="429.54"/>
    <n v="0.06"/>
    <n v="2163.54"/>
    <n v="148.28"/>
    <n v="61.97"/>
    <s v="Credit Card"/>
    <x v="3"/>
    <b v="1"/>
    <x v="0"/>
    <n v="7"/>
  </r>
  <r>
    <s v="ORD-02982"/>
    <x v="491"/>
    <x v="491"/>
    <s v="CUST81628"/>
    <s v="Rahul Shah"/>
    <n v="33"/>
    <s v="Other"/>
    <x v="1"/>
    <s v="Surat"/>
    <x v="1"/>
    <s v="Perfume"/>
    <n v="10"/>
    <n v="2340.48"/>
    <n v="0.21"/>
    <n v="30857.19"/>
    <n v="16769.400000000001"/>
    <n v="65.62"/>
    <s v="EMI"/>
    <x v="3"/>
    <b v="0"/>
    <x v="1"/>
    <n v="9"/>
  </r>
  <r>
    <s v="ORD-03440"/>
    <x v="478"/>
    <x v="478"/>
    <s v="CUST60633"/>
    <s v="Priya Mehta"/>
    <n v="28"/>
    <s v="Male"/>
    <x v="3"/>
    <s v="Kolkata"/>
    <x v="4"/>
    <s v="Dress"/>
    <n v="6"/>
    <n v="604.17999999999995"/>
    <n v="0.2"/>
    <n v="2790.47"/>
    <n v="661.77"/>
    <n v="84.73"/>
    <s v="Debit Card"/>
    <x v="1"/>
    <b v="0"/>
    <x v="1"/>
    <n v="2"/>
  </r>
  <r>
    <s v="ORD-00318"/>
    <x v="492"/>
    <x v="492"/>
    <s v="CUST80292"/>
    <s v="Ritu Shah"/>
    <n v="20"/>
    <s v="Other"/>
    <x v="0"/>
    <s v="Raipur"/>
    <x v="6"/>
    <s v="Tennis Racket"/>
    <n v="7"/>
    <n v="4673.1899999999996"/>
    <n v="0.33"/>
    <n v="25140.26"/>
    <n v="7454.48"/>
    <n v="59.8"/>
    <s v="Cash on Delivery"/>
    <x v="4"/>
    <b v="0"/>
    <x v="1"/>
    <n v="4"/>
  </r>
  <r>
    <s v="ORD-02292"/>
    <x v="493"/>
    <x v="493"/>
    <s v="CUST08013"/>
    <s v="Ritu Gupta"/>
    <n v="41"/>
    <s v="Other"/>
    <x v="3"/>
    <s v="Bhubaneswar"/>
    <x v="6"/>
    <s v="Yoga Mat"/>
    <n v="2"/>
    <n v="8645.73"/>
    <n v="0.24"/>
    <n v="14376.69"/>
    <n v="3461.36"/>
    <n v="94.07"/>
    <s v="EMI"/>
    <x v="2"/>
    <b v="1"/>
    <x v="0"/>
    <n v="3"/>
  </r>
  <r>
    <s v="ORD-04161"/>
    <x v="248"/>
    <x v="248"/>
    <s v="CUST28262"/>
    <s v="Aarav Patel"/>
    <n v="22"/>
    <s v="Male"/>
    <x v="4"/>
    <s v="Chennai"/>
    <x v="0"/>
    <s v="Rice (5kg)"/>
    <n v="3"/>
    <n v="55.73"/>
    <n v="0.25"/>
    <n v="132.26"/>
    <n v="9.16"/>
    <n v="67.069999999999993"/>
    <s v="Credit Card"/>
    <x v="2"/>
    <b v="1"/>
    <x v="0"/>
    <n v="9"/>
  </r>
  <r>
    <s v="ORD-02099"/>
    <x v="494"/>
    <x v="494"/>
    <s v="CUST13620"/>
    <s v="Amit Das"/>
    <n v="39"/>
    <s v="Male"/>
    <x v="4"/>
    <s v="Hyderabad"/>
    <x v="1"/>
    <s v="Shampoo"/>
    <n v="4"/>
    <n v="1632.26"/>
    <n v="0.4"/>
    <n v="5867.49"/>
    <n v="2226.87"/>
    <n v="61.99"/>
    <s v="UPI"/>
    <x v="2"/>
    <b v="0"/>
    <x v="1"/>
    <n v="7"/>
  </r>
  <r>
    <s v="ORD-00129"/>
    <x v="495"/>
    <x v="495"/>
    <s v="CUST20302"/>
    <s v="Aditya Gupta"/>
    <n v="48"/>
    <s v="Other"/>
    <x v="4"/>
    <s v="Bangalore"/>
    <x v="4"/>
    <s v="Saree"/>
    <n v="8"/>
    <n v="967.73"/>
    <n v="0.36"/>
    <n v="4117.6000000000004"/>
    <n v="1596.92"/>
    <n v="73.930000000000007"/>
    <s v="Credit Card"/>
    <x v="0"/>
    <b v="1"/>
    <x v="0"/>
    <n v="6"/>
  </r>
  <r>
    <s v="ORD-03339"/>
    <x v="106"/>
    <x v="106"/>
    <s v="CUST29727"/>
    <s v="Amit Kumar"/>
    <n v="29"/>
    <s v="Male"/>
    <x v="4"/>
    <s v="Chennai"/>
    <x v="2"/>
    <s v="Desk"/>
    <n v="9"/>
    <n v="14900.48"/>
    <n v="0.2"/>
    <n v="103163.26"/>
    <n v="31355.08"/>
    <n v="45.89"/>
    <s v="Debit Card"/>
    <x v="2"/>
    <b v="0"/>
    <x v="1"/>
    <n v="9"/>
  </r>
  <r>
    <s v="ORD-02780"/>
    <x v="210"/>
    <x v="210"/>
    <s v="CUST00961"/>
    <s v="Nisha Kumar"/>
    <n v="37"/>
    <s v="Female"/>
    <x v="0"/>
    <s v="Nagpur"/>
    <x v="1"/>
    <s v="Perfume"/>
    <n v="8"/>
    <n v="899.3"/>
    <n v="0.17"/>
    <n v="8975.56"/>
    <n v="3421.59"/>
    <n v="71.55"/>
    <s v="Credit Card"/>
    <x v="3"/>
    <b v="0"/>
    <x v="1"/>
    <n v="3"/>
  </r>
  <r>
    <s v="ORD-01597"/>
    <x v="162"/>
    <x v="162"/>
    <s v="CUST58607"/>
    <s v="Kavya Kumar"/>
    <n v="25"/>
    <s v="Male"/>
    <x v="0"/>
    <s v="Indore"/>
    <x v="1"/>
    <s v="Face Cream"/>
    <n v="1"/>
    <n v="2412.42"/>
    <n v="0.02"/>
    <n v="1867.03"/>
    <n v="770.96"/>
    <n v="51.08"/>
    <s v="Cash on Delivery"/>
    <x v="4"/>
    <b v="0"/>
    <x v="1"/>
    <n v="10"/>
  </r>
  <r>
    <s v="ORD-02643"/>
    <x v="496"/>
    <x v="496"/>
    <s v="CUST02524"/>
    <s v="Amit Patel"/>
    <n v="50"/>
    <s v="Male"/>
    <x v="1"/>
    <s v="Pune"/>
    <x v="6"/>
    <s v="Cricket Bat"/>
    <n v="6"/>
    <n v="9703.74"/>
    <n v="0.16"/>
    <n v="52648.79"/>
    <n v="8966.19"/>
    <n v="50.19"/>
    <s v="EMI"/>
    <x v="4"/>
    <b v="0"/>
    <x v="1"/>
    <n v="7"/>
  </r>
  <r>
    <s v="ORD-03637"/>
    <x v="497"/>
    <x v="497"/>
    <s v="CUST91185"/>
    <s v="Karan Rao"/>
    <n v="19"/>
    <s v="Other"/>
    <x v="0"/>
    <s v="Nagpur"/>
    <x v="1"/>
    <s v="Face Cream"/>
    <n v="3"/>
    <n v="2213"/>
    <n v="0.1"/>
    <n v="9293.85"/>
    <n v="4453.78"/>
    <n v="86.73"/>
    <s v="EMI"/>
    <x v="2"/>
    <b v="0"/>
    <x v="1"/>
    <n v="10"/>
  </r>
  <r>
    <s v="ORD-03586"/>
    <x v="498"/>
    <x v="498"/>
    <s v="CUST91393"/>
    <s v="Meera Pillai"/>
    <n v="42"/>
    <s v="Other"/>
    <x v="2"/>
    <s v="Ludhiana"/>
    <x v="6"/>
    <s v="Cycle"/>
    <n v="1"/>
    <n v="7923.79"/>
    <n v="0.02"/>
    <n v="12021.65"/>
    <n v="3631.41"/>
    <n v="54.15"/>
    <s v="Cash on Delivery"/>
    <x v="0"/>
    <b v="0"/>
    <x v="4"/>
    <n v="3"/>
  </r>
  <r>
    <s v="ORD-02974"/>
    <x v="365"/>
    <x v="365"/>
    <s v="CUST06333"/>
    <s v="Amit Verma"/>
    <n v="44"/>
    <s v="Other"/>
    <x v="2"/>
    <s v="Amritsar"/>
    <x v="4"/>
    <s v="Jacket"/>
    <n v="6"/>
    <n v="1202.81"/>
    <n v="0.08"/>
    <n v="9663.61"/>
    <n v="2700.5"/>
    <n v="84.89"/>
    <s v="Net Banking"/>
    <x v="4"/>
    <b v="1"/>
    <x v="0"/>
    <n v="6"/>
  </r>
  <r>
    <s v="ORD-03801"/>
    <x v="499"/>
    <x v="499"/>
    <s v="CUST68786"/>
    <s v="Rahul Sharma"/>
    <n v="38"/>
    <s v="Other"/>
    <x v="1"/>
    <s v="Mumbai"/>
    <x v="6"/>
    <s v="Football"/>
    <n v="2"/>
    <n v="13574.46"/>
    <n v="0.31"/>
    <n v="32632.91"/>
    <n v="9812.2999999999993"/>
    <n v="49.47"/>
    <s v="Net Banking"/>
    <x v="0"/>
    <b v="0"/>
    <x v="1"/>
    <n v="7"/>
  </r>
  <r>
    <s v="ORD-01247"/>
    <x v="500"/>
    <x v="500"/>
    <s v="CUST10958"/>
    <s v="Rahul Nair"/>
    <n v="52"/>
    <s v="Male"/>
    <x v="2"/>
    <s v="Chandigarh"/>
    <x v="6"/>
    <s v="Tennis Racket"/>
    <n v="9"/>
    <n v="10077.49"/>
    <n v="0.34"/>
    <n v="84123.31"/>
    <n v="16599.27"/>
    <n v="71.95"/>
    <s v="Cash on Delivery"/>
    <x v="0"/>
    <b v="0"/>
    <x v="1"/>
    <n v="2"/>
  </r>
  <r>
    <s v="ORD-00428"/>
    <x v="501"/>
    <x v="501"/>
    <s v="CUST48382"/>
    <s v="Priya Kumar"/>
    <n v="47"/>
    <s v="Female"/>
    <x v="0"/>
    <s v="Nagpur"/>
    <x v="0"/>
    <s v="Flour"/>
    <n v="4"/>
    <n v="443.03"/>
    <n v="0.32"/>
    <n v="1593.89"/>
    <n v="115.6"/>
    <n v="71.819999999999993"/>
    <s v="Debit Card"/>
    <x v="2"/>
    <b v="0"/>
    <x v="4"/>
    <n v="2"/>
  </r>
  <r>
    <s v="ORD-03405"/>
    <x v="502"/>
    <x v="502"/>
    <s v="CUST34808"/>
    <s v="Ritu Shah"/>
    <n v="36"/>
    <s v="Male"/>
    <x v="2"/>
    <s v="Chandigarh"/>
    <x v="5"/>
    <s v="Smartwatch"/>
    <n v="1"/>
    <n v="16829.03"/>
    <n v="0.04"/>
    <n v="16558.810000000001"/>
    <n v="2537.33"/>
    <n v="43.96"/>
    <s v="Credit Card"/>
    <x v="4"/>
    <b v="1"/>
    <x v="0"/>
    <n v="9"/>
  </r>
  <r>
    <s v="ORD-03621"/>
    <x v="503"/>
    <x v="503"/>
    <s v="CUST65858"/>
    <s v="Karan Nair"/>
    <n v="24"/>
    <s v="Female"/>
    <x v="3"/>
    <s v="Kolkata"/>
    <x v="4"/>
    <s v="Kurta"/>
    <n v="10"/>
    <n v="3066.81"/>
    <n v="0.02"/>
    <n v="47758.51"/>
    <n v="19208.34"/>
    <n v="77.64"/>
    <s v="Net Banking"/>
    <x v="3"/>
    <b v="0"/>
    <x v="1"/>
    <n v="9"/>
  </r>
  <r>
    <s v="ORD-02736"/>
    <x v="234"/>
    <x v="234"/>
    <s v="CUST35540"/>
    <s v="Kavya Reddy"/>
    <n v="26"/>
    <s v="Male"/>
    <x v="1"/>
    <s v="Ahmedabad"/>
    <x v="4"/>
    <s v="Dress"/>
    <n v="8"/>
    <n v="1829.04"/>
    <n v="0.24"/>
    <n v="14780.74"/>
    <n v="6166.69"/>
    <n v="80.06"/>
    <s v="Net Banking"/>
    <x v="0"/>
    <b v="0"/>
    <x v="3"/>
    <n v="4"/>
  </r>
  <r>
    <s v="ORD-02856"/>
    <x v="299"/>
    <x v="299"/>
    <s v="CUST18697"/>
    <s v="Karan Verma"/>
    <n v="54"/>
    <s v="Female"/>
    <x v="2"/>
    <s v="Chandigarh"/>
    <x v="2"/>
    <s v="Bed Frame"/>
    <n v="8"/>
    <n v="30782.92"/>
    <n v="0.11"/>
    <n v="356477.73"/>
    <n v="116445.94"/>
    <n v="61.27"/>
    <s v="EMI"/>
    <x v="0"/>
    <b v="0"/>
    <x v="1"/>
    <n v="2"/>
  </r>
  <r>
    <s v="ORD-01999"/>
    <x v="127"/>
    <x v="127"/>
    <s v="CUST83431"/>
    <s v="Aditya Patel"/>
    <n v="53"/>
    <s v="Other"/>
    <x v="1"/>
    <s v="Mumbai"/>
    <x v="1"/>
    <s v="Sunscreen"/>
    <n v="7"/>
    <n v="1167.8599999999999"/>
    <n v="0.15"/>
    <n v="10729.59"/>
    <n v="5022.26"/>
    <n v="56.89"/>
    <s v="Debit Card"/>
    <x v="3"/>
    <b v="0"/>
    <x v="1"/>
    <n v="8"/>
  </r>
  <r>
    <s v="ORD-02823"/>
    <x v="504"/>
    <x v="504"/>
    <s v="CUST96063"/>
    <s v="Shreya Iyer"/>
    <n v="25"/>
    <s v="Other"/>
    <x v="2"/>
    <s v="Chandigarh"/>
    <x v="5"/>
    <s v="Smartphone"/>
    <n v="9"/>
    <n v="6647.49"/>
    <n v="0.34"/>
    <n v="68948.2"/>
    <n v="8595.8799999999992"/>
    <n v="51.47"/>
    <s v="Cash on Delivery"/>
    <x v="2"/>
    <b v="0"/>
    <x v="1"/>
    <n v="8"/>
  </r>
  <r>
    <s v="ORD-00051"/>
    <x v="505"/>
    <x v="505"/>
    <s v="CUST27973"/>
    <s v="Shreya Pillai"/>
    <n v="13"/>
    <s v="Male"/>
    <x v="4"/>
    <s v="Hyderabad"/>
    <x v="1"/>
    <s v="Perfume"/>
    <n v="6"/>
    <n v="1952.59"/>
    <n v="0.14000000000000001"/>
    <n v="6658.21"/>
    <n v="3867.94"/>
    <n v="38.17"/>
    <s v="Credit Card"/>
    <x v="4"/>
    <b v="0"/>
    <x v="4"/>
    <n v="8"/>
  </r>
  <r>
    <s v="ORD-01937"/>
    <x v="506"/>
    <x v="506"/>
    <s v="CUST01091"/>
    <s v="Sunita Das"/>
    <n v="32"/>
    <s v="Male"/>
    <x v="1"/>
    <s v="Pune"/>
    <x v="1"/>
    <s v="Shampoo"/>
    <n v="3"/>
    <n v="1685.48"/>
    <n v="0.05"/>
    <n v="6564.17"/>
    <n v="3034.89"/>
    <n v="79.19"/>
    <s v="Debit Card"/>
    <x v="4"/>
    <b v="0"/>
    <x v="3"/>
    <n v="1"/>
  </r>
  <r>
    <s v="ORD-01851"/>
    <x v="507"/>
    <x v="507"/>
    <s v="CUST81634"/>
    <s v="Ananya Kumar"/>
    <n v="36"/>
    <s v="Male"/>
    <x v="1"/>
    <s v="Surat"/>
    <x v="5"/>
    <s v="Tablet"/>
    <n v="1"/>
    <n v="28957.64"/>
    <n v="0.33"/>
    <n v="18619.849999999999"/>
    <n v="1514.95"/>
    <n v="63.73"/>
    <s v="Debit Card"/>
    <x v="1"/>
    <b v="0"/>
    <x v="1"/>
    <n v="10"/>
  </r>
  <r>
    <s v="ORD-03966"/>
    <x v="508"/>
    <x v="508"/>
    <s v="CUST46541"/>
    <s v="Deepa Das"/>
    <n v="32"/>
    <s v="Other"/>
    <x v="3"/>
    <s v="Kolkata"/>
    <x v="1"/>
    <s v="Perfume"/>
    <n v="3"/>
    <n v="1229.8800000000001"/>
    <n v="0.16"/>
    <n v="4385.2700000000004"/>
    <n v="2310.7399999999998"/>
    <n v="75.88"/>
    <s v="Credit Card"/>
    <x v="1"/>
    <b v="0"/>
    <x v="2"/>
    <n v="4"/>
  </r>
  <r>
    <s v="ORD-02914"/>
    <x v="509"/>
    <x v="509"/>
    <s v="CUST62247"/>
    <s v="Aditya Rao"/>
    <n v="47"/>
    <s v="Male"/>
    <x v="4"/>
    <s v="Hyderabad"/>
    <x v="4"/>
    <s v="Saree"/>
    <n v="2"/>
    <n v="1474.66"/>
    <n v="0.16"/>
    <n v="3493.62"/>
    <n v="1237.1500000000001"/>
    <n v="83"/>
    <s v="Cash on Delivery"/>
    <x v="3"/>
    <b v="0"/>
    <x v="1"/>
    <n v="9"/>
  </r>
  <r>
    <s v="ORD-03096"/>
    <x v="173"/>
    <x v="173"/>
    <s v="CUST81977"/>
    <s v="Sunita Verma"/>
    <n v="35"/>
    <s v="Female"/>
    <x v="3"/>
    <s v="Patna"/>
    <x v="0"/>
    <s v="Dal (1kg)"/>
    <n v="9"/>
    <n v="132.91"/>
    <n v="0.37"/>
    <n v="1379.32"/>
    <n v="95.16"/>
    <n v="84.31"/>
    <s v="Cash on Delivery"/>
    <x v="4"/>
    <b v="0"/>
    <x v="1"/>
    <n v="4"/>
  </r>
  <r>
    <s v="ORD-02175"/>
    <x v="380"/>
    <x v="380"/>
    <s v="CUST77531"/>
    <s v="Deepa Gupta"/>
    <n v="37"/>
    <s v="Male"/>
    <x v="4"/>
    <s v="Kochi"/>
    <x v="1"/>
    <s v="Shampoo"/>
    <n v="2"/>
    <n v="2364.83"/>
    <n v="7.0000000000000007E-2"/>
    <n v="5331.18"/>
    <n v="2254.41"/>
    <n v="60.96"/>
    <s v="EMI"/>
    <x v="4"/>
    <b v="0"/>
    <x v="1"/>
    <n v="4"/>
  </r>
  <r>
    <s v="ORD-03027"/>
    <x v="276"/>
    <x v="276"/>
    <s v="CUST20866"/>
    <s v="Kavya Rao"/>
    <n v="26"/>
    <s v="Female"/>
    <x v="1"/>
    <s v="Pune"/>
    <x v="6"/>
    <s v="Yoga Mat"/>
    <n v="10"/>
    <n v="10231.86"/>
    <n v="0.33"/>
    <n v="98825.46"/>
    <n v="17642.86"/>
    <n v="40.200000000000003"/>
    <s v="Credit Card"/>
    <x v="3"/>
    <b v="0"/>
    <x v="1"/>
    <n v="9"/>
  </r>
  <r>
    <s v="ORD-03598"/>
    <x v="510"/>
    <x v="510"/>
    <s v="CUST37246"/>
    <s v="Aarav Mehta"/>
    <n v="22"/>
    <s v="Female"/>
    <x v="3"/>
    <s v="Patna"/>
    <x v="3"/>
    <s v="Biography"/>
    <n v="1"/>
    <n v="675.6"/>
    <n v="0.09"/>
    <n v="960.99"/>
    <n v="301.26"/>
    <n v="94.17"/>
    <s v="Net Banking"/>
    <x v="1"/>
    <b v="0"/>
    <x v="4"/>
    <n v="5"/>
  </r>
  <r>
    <s v="ORD-02959"/>
    <x v="511"/>
    <x v="511"/>
    <s v="CUST01768"/>
    <s v="Sunita Patel"/>
    <n v="34"/>
    <s v="Female"/>
    <x v="0"/>
    <s v="Nagpur"/>
    <x v="5"/>
    <s v="Headphones"/>
    <n v="3"/>
    <n v="69702.559999999998"/>
    <n v="0.36"/>
    <n v="204235.41"/>
    <n v="30667.19"/>
    <n v="72.010000000000005"/>
    <s v="EMI"/>
    <x v="1"/>
    <b v="0"/>
    <x v="1"/>
    <n v="2"/>
  </r>
  <r>
    <s v="ORD-03349"/>
    <x v="461"/>
    <x v="461"/>
    <s v="CUST44606"/>
    <s v="Nisha Mehta"/>
    <n v="59"/>
    <s v="Other"/>
    <x v="3"/>
    <s v="Kolkata"/>
    <x v="1"/>
    <s v="Face Cream"/>
    <n v="4"/>
    <n v="1670.09"/>
    <n v="0.39"/>
    <n v="3402.85"/>
    <n v="1861.74"/>
    <n v="94.95"/>
    <s v="UPI"/>
    <x v="4"/>
    <b v="1"/>
    <x v="0"/>
    <n v="6"/>
  </r>
  <r>
    <s v="ORD-03923"/>
    <x v="329"/>
    <x v="329"/>
    <s v="CUST86711"/>
    <s v="Ritu Chatterjee"/>
    <n v="20"/>
    <s v="Female"/>
    <x v="1"/>
    <s v="Ahmedabad"/>
    <x v="2"/>
    <s v="Bed Frame"/>
    <n v="7"/>
    <n v="14200.86"/>
    <n v="0.14000000000000001"/>
    <n v="123743.08"/>
    <n v="37065.68"/>
    <n v="54.52"/>
    <s v="Debit Card"/>
    <x v="3"/>
    <b v="0"/>
    <x v="1"/>
    <n v="10"/>
  </r>
  <r>
    <s v="ORD-01417"/>
    <x v="512"/>
    <x v="512"/>
    <s v="CUST32469"/>
    <s v="Aditya Das"/>
    <n v="31"/>
    <s v="Male"/>
    <x v="3"/>
    <s v="Patna"/>
    <x v="3"/>
    <s v="Comic Book"/>
    <n v="3"/>
    <n v="751.24"/>
    <n v="0.34"/>
    <n v="1754.21"/>
    <n v="458.13"/>
    <n v="103.5"/>
    <s v="Debit Card"/>
    <x v="0"/>
    <b v="0"/>
    <x v="1"/>
    <n v="10"/>
  </r>
  <r>
    <s v="ORD-03066"/>
    <x v="513"/>
    <x v="513"/>
    <s v="CUST82969"/>
    <s v="Ritu Joshi"/>
    <n v="50"/>
    <s v="Female"/>
    <x v="4"/>
    <s v="Hyderabad"/>
    <x v="2"/>
    <s v="Wardrobe"/>
    <n v="7"/>
    <n v="34829.83"/>
    <n v="0.27"/>
    <n v="251225.51"/>
    <n v="87253.16"/>
    <n v="74.92"/>
    <s v="EMI"/>
    <x v="4"/>
    <b v="0"/>
    <x v="1"/>
    <n v="9"/>
  </r>
  <r>
    <s v="ORD-00432"/>
    <x v="514"/>
    <x v="514"/>
    <s v="CUST05737"/>
    <s v="Karan Bose"/>
    <n v="36"/>
    <s v="Other"/>
    <x v="4"/>
    <s v="Chennai"/>
    <x v="4"/>
    <s v="T-Shirt"/>
    <n v="2"/>
    <n v="2956.54"/>
    <n v="0.38"/>
    <n v="4033.47"/>
    <n v="1730.04"/>
    <n v="80.22"/>
    <s v="Debit Card"/>
    <x v="2"/>
    <b v="0"/>
    <x v="1"/>
    <n v="3"/>
  </r>
  <r>
    <s v="ORD-03073"/>
    <x v="515"/>
    <x v="515"/>
    <s v="CUST40607"/>
    <s v="Amit Kapoor"/>
    <n v="29"/>
    <s v="Male"/>
    <x v="0"/>
    <s v="Bhopal"/>
    <x v="6"/>
    <s v="Tennis Racket"/>
    <n v="4"/>
    <n v="5660.42"/>
    <n v="0.24"/>
    <n v="22682.85"/>
    <n v="4781.05"/>
    <n v="52.61"/>
    <s v="UPI"/>
    <x v="1"/>
    <b v="0"/>
    <x v="4"/>
    <n v="6"/>
  </r>
  <r>
    <s v="ORD-00064"/>
    <x v="516"/>
    <x v="516"/>
    <s v="CUST37898"/>
    <s v="Shreya Patel"/>
    <n v="53"/>
    <s v="Female"/>
    <x v="2"/>
    <s v="Ludhiana"/>
    <x v="4"/>
    <s v="Kurta"/>
    <n v="1"/>
    <n v="3054"/>
    <n v="0.03"/>
    <n v="2217.29"/>
    <n v="558.25"/>
    <n v="82.49"/>
    <s v="EMI"/>
    <x v="2"/>
    <b v="0"/>
    <x v="1"/>
    <n v="9"/>
  </r>
  <r>
    <s v="ORD-03968"/>
    <x v="517"/>
    <x v="517"/>
    <s v="CUST99406"/>
    <s v="Ritu Gupta"/>
    <n v="28"/>
    <s v="Other"/>
    <x v="1"/>
    <s v="Ahmedabad"/>
    <x v="4"/>
    <s v="Jeans"/>
    <n v="1"/>
    <n v="3018.11"/>
    <n v="0"/>
    <n v="3776.1"/>
    <n v="922.32"/>
    <n v="65.86"/>
    <s v="Debit Card"/>
    <x v="0"/>
    <b v="0"/>
    <x v="3"/>
    <n v="3"/>
  </r>
  <r>
    <s v="ORD-00447"/>
    <x v="518"/>
    <x v="518"/>
    <s v="CUST75670"/>
    <s v="Kavya Mehta"/>
    <n v="20"/>
    <s v="Other"/>
    <x v="3"/>
    <s v="Patna"/>
    <x v="3"/>
    <s v="Biography"/>
    <n v="4"/>
    <n v="585.03"/>
    <n v="0.39"/>
    <n v="1538.2"/>
    <n v="656.23"/>
    <n v="105.88"/>
    <s v="Net Banking"/>
    <x v="1"/>
    <b v="0"/>
    <x v="1"/>
    <n v="1"/>
  </r>
  <r>
    <s v="ORD-00174"/>
    <x v="519"/>
    <x v="519"/>
    <s v="CUST91348"/>
    <s v="Meera Reddy"/>
    <n v="35"/>
    <s v="Other"/>
    <x v="2"/>
    <s v="Chandigarh"/>
    <x v="0"/>
    <s v="Flour"/>
    <n v="9"/>
    <n v="167.67"/>
    <n v="0.25"/>
    <n v="1072.27"/>
    <n v="93.59"/>
    <n v="68.23"/>
    <s v="Cash on Delivery"/>
    <x v="4"/>
    <b v="0"/>
    <x v="1"/>
    <n v="7"/>
  </r>
  <r>
    <s v="ORD-03612"/>
    <x v="520"/>
    <x v="520"/>
    <s v="CUST81078"/>
    <s v="Shreya Mishra"/>
    <n v="46"/>
    <s v="Female"/>
    <x v="2"/>
    <s v="Delhi"/>
    <x v="3"/>
    <s v="Fiction Novel"/>
    <n v="9"/>
    <n v="518.92999999999995"/>
    <n v="0.18"/>
    <n v="6095.48"/>
    <n v="2092.3200000000002"/>
    <n v="33.549999999999997"/>
    <s v="Net Banking"/>
    <x v="0"/>
    <b v="0"/>
    <x v="1"/>
    <n v="3"/>
  </r>
  <r>
    <s v="ORD-03829"/>
    <x v="521"/>
    <x v="521"/>
    <s v="CUST62705"/>
    <s v="Sunita Rao"/>
    <n v="12"/>
    <s v="Other"/>
    <x v="4"/>
    <s v="Kochi"/>
    <x v="3"/>
    <s v="Textbook"/>
    <n v="9"/>
    <n v="1016.4"/>
    <n v="0.28000000000000003"/>
    <n v="11448.61"/>
    <n v="5111.04"/>
    <n v="85.13"/>
    <s v="EMI"/>
    <x v="3"/>
    <b v="0"/>
    <x v="1"/>
    <n v="5"/>
  </r>
  <r>
    <s v="ORD-00685"/>
    <x v="522"/>
    <x v="522"/>
    <s v="CUST18067"/>
    <s v="Amit Mishra"/>
    <n v="34"/>
    <s v="Female"/>
    <x v="4"/>
    <s v="Hyderabad"/>
    <x v="6"/>
    <s v="Cricket Bat"/>
    <n v="1"/>
    <n v="1702.99"/>
    <n v="0.09"/>
    <n v="1106.02"/>
    <n v="224.4"/>
    <n v="73.430000000000007"/>
    <s v="Credit Card"/>
    <x v="1"/>
    <b v="0"/>
    <x v="1"/>
    <n v="4"/>
  </r>
  <r>
    <s v="ORD-04098"/>
    <x v="523"/>
    <x v="523"/>
    <s v="CUST64023"/>
    <s v="Karan Nair"/>
    <n v="23"/>
    <s v="Male"/>
    <x v="4"/>
    <s v="Hyderabad"/>
    <x v="2"/>
    <s v="Desk"/>
    <n v="9"/>
    <n v="21959.46"/>
    <n v="0.26"/>
    <n v="157002.59"/>
    <n v="28723.82"/>
    <n v="58.03"/>
    <s v="Debit Card"/>
    <x v="4"/>
    <b v="0"/>
    <x v="1"/>
    <n v="3"/>
  </r>
  <r>
    <s v="ORD-00959"/>
    <x v="524"/>
    <x v="524"/>
    <s v="CUST32919"/>
    <s v="Ritu Patel"/>
    <n v="34"/>
    <s v="Female"/>
    <x v="2"/>
    <s v="Chandigarh"/>
    <x v="5"/>
    <s v="Tablet"/>
    <n v="7"/>
    <n v="75319.55"/>
    <n v="0.06"/>
    <n v="571655.9"/>
    <n v="51762.81"/>
    <n v="44.32"/>
    <s v="Debit Card"/>
    <x v="0"/>
    <b v="0"/>
    <x v="1"/>
    <n v="3"/>
  </r>
  <r>
    <s v="ORD-03243"/>
    <x v="525"/>
    <x v="525"/>
    <s v="CUST21449"/>
    <s v="Rahul Bose"/>
    <n v="36"/>
    <s v="Other"/>
    <x v="0"/>
    <s v="Nagpur"/>
    <x v="2"/>
    <s v="Bed Frame"/>
    <n v="6"/>
    <n v="12617.99"/>
    <n v="0.05"/>
    <n v="66859.47"/>
    <n v="19527.7"/>
    <n v="32.57"/>
    <s v="Debit Card"/>
    <x v="2"/>
    <b v="0"/>
    <x v="1"/>
    <n v="9"/>
  </r>
  <r>
    <s v="ORD-00153"/>
    <x v="526"/>
    <x v="526"/>
    <s v="CUST65087"/>
    <s v="Sunita Reddy"/>
    <n v="35"/>
    <s v="Female"/>
    <x v="3"/>
    <s v="Kolkata"/>
    <x v="3"/>
    <s v="Cook Book"/>
    <n v="1"/>
    <n v="928.19"/>
    <n v="0.28999999999999998"/>
    <n v="699.17"/>
    <n v="249.77"/>
    <n v="65.349999999999994"/>
    <s v="Net Banking"/>
    <x v="1"/>
    <b v="0"/>
    <x v="3"/>
    <n v="9"/>
  </r>
  <r>
    <s v="ORD-01408"/>
    <x v="527"/>
    <x v="527"/>
    <s v="CUST69520"/>
    <s v="Sanjay Singh"/>
    <n v="31"/>
    <s v="Other"/>
    <x v="1"/>
    <s v="Mumbai"/>
    <x v="4"/>
    <s v="Jacket"/>
    <n v="6"/>
    <n v="1744.18"/>
    <n v="0.2"/>
    <n v="8503.76"/>
    <n v="2737.92"/>
    <n v="72.31"/>
    <s v="Cash on Delivery"/>
    <x v="1"/>
    <b v="0"/>
    <x v="4"/>
    <n v="5"/>
  </r>
  <r>
    <s v="ORD-03874"/>
    <x v="336"/>
    <x v="336"/>
    <s v="CUST96272"/>
    <s v="Meera Shah"/>
    <n v="34"/>
    <s v="Female"/>
    <x v="2"/>
    <s v="Ludhiana"/>
    <x v="1"/>
    <s v="Lipstick"/>
    <n v="8"/>
    <n v="1652.49"/>
    <n v="0.27"/>
    <n v="14214.4"/>
    <n v="5014"/>
    <n v="26.94"/>
    <s v="Net Banking"/>
    <x v="4"/>
    <b v="0"/>
    <x v="1"/>
    <n v="2"/>
  </r>
  <r>
    <s v="ORD-02425"/>
    <x v="528"/>
    <x v="528"/>
    <s v="CUST81941"/>
    <s v="Aditya Iyer"/>
    <n v="36"/>
    <s v="Male"/>
    <x v="2"/>
    <s v="Chandigarh"/>
    <x v="6"/>
    <s v="Football"/>
    <n v="4"/>
    <n v="1627.2"/>
    <n v="0.35"/>
    <n v="3842.87"/>
    <n v="894.8"/>
    <n v="32.06"/>
    <s v="EMI"/>
    <x v="2"/>
    <b v="0"/>
    <x v="1"/>
    <n v="1"/>
  </r>
  <r>
    <s v="ORD-01605"/>
    <x v="529"/>
    <x v="529"/>
    <s v="CUST74310"/>
    <s v="Rohan Bhat"/>
    <n v="29"/>
    <s v="Female"/>
    <x v="1"/>
    <s v="Surat"/>
    <x v="4"/>
    <s v="Dress"/>
    <n v="1"/>
    <n v="3977.51"/>
    <n v="0.3"/>
    <n v="1958.29"/>
    <n v="447.76"/>
    <n v="61.65"/>
    <s v="UPI"/>
    <x v="4"/>
    <b v="0"/>
    <x v="1"/>
    <n v="9"/>
  </r>
  <r>
    <s v="ORD-03886"/>
    <x v="530"/>
    <x v="530"/>
    <s v="CUST37843"/>
    <s v="Rahul Iyer"/>
    <n v="22"/>
    <s v="Other"/>
    <x v="1"/>
    <s v="Mumbai"/>
    <x v="3"/>
    <s v="Cook Book"/>
    <n v="10"/>
    <n v="742.8"/>
    <n v="0.27"/>
    <n v="7769.9"/>
    <n v="2273.34"/>
    <n v="49.53"/>
    <s v="Cash on Delivery"/>
    <x v="1"/>
    <b v="0"/>
    <x v="1"/>
    <n v="2"/>
  </r>
  <r>
    <s v="ORD-00508"/>
    <x v="531"/>
    <x v="531"/>
    <s v="CUST12889"/>
    <s v="Priya Verma"/>
    <n v="21"/>
    <s v="Other"/>
    <x v="1"/>
    <s v="Surat"/>
    <x v="0"/>
    <s v="Sugar"/>
    <n v="10"/>
    <n v="321.17"/>
    <n v="0.36"/>
    <n v="2171.58"/>
    <n v="181.47"/>
    <n v="51.28"/>
    <s v="Net Banking"/>
    <x v="1"/>
    <b v="0"/>
    <x v="1"/>
    <n v="1"/>
  </r>
  <r>
    <s v="ORD-00161"/>
    <x v="532"/>
    <x v="532"/>
    <s v="CUST18225"/>
    <s v="Deepa Chatterjee"/>
    <n v="33"/>
    <s v="Male"/>
    <x v="4"/>
    <s v="Hyderabad"/>
    <x v="3"/>
    <s v="Textbook"/>
    <n v="6"/>
    <n v="997.06"/>
    <n v="0.35"/>
    <n v="3628.96"/>
    <n v="1433.29"/>
    <n v="49.84"/>
    <s v="Cash on Delivery"/>
    <x v="0"/>
    <b v="0"/>
    <x v="1"/>
    <n v="4"/>
  </r>
  <r>
    <s v="ORD-02799"/>
    <x v="533"/>
    <x v="533"/>
    <s v="CUST04344"/>
    <s v="Rahul Bose"/>
    <n v="35"/>
    <s v="Female"/>
    <x v="4"/>
    <s v="Hyderabad"/>
    <x v="0"/>
    <s v="Flour"/>
    <n v="10"/>
    <n v="310.75"/>
    <n v="0.28000000000000003"/>
    <n v="2966.57"/>
    <n v="220.38"/>
    <n v="68.83"/>
    <s v="EMI"/>
    <x v="0"/>
    <b v="0"/>
    <x v="1"/>
    <n v="7"/>
  </r>
  <r>
    <s v="ORD-03209"/>
    <x v="292"/>
    <x v="292"/>
    <s v="CUST57413"/>
    <s v="Karan Patel"/>
    <n v="23"/>
    <s v="Female"/>
    <x v="0"/>
    <s v="Indore"/>
    <x v="6"/>
    <s v="Cycle"/>
    <n v="3"/>
    <n v="13795.34"/>
    <n v="0.33"/>
    <n v="30187.27"/>
    <n v="7482.85"/>
    <n v="39.479999999999997"/>
    <s v="Credit Card"/>
    <x v="1"/>
    <b v="0"/>
    <x v="1"/>
    <n v="9"/>
  </r>
  <r>
    <s v="ORD-02760"/>
    <x v="534"/>
    <x v="534"/>
    <s v="CUST27593"/>
    <s v="Nikhil Shah"/>
    <n v="49"/>
    <s v="Male"/>
    <x v="1"/>
    <s v="Pune"/>
    <x v="6"/>
    <s v="Cycle"/>
    <n v="3"/>
    <n v="11672.79"/>
    <n v="0.26"/>
    <n v="39508.65"/>
    <n v="10514.43"/>
    <n v="77.349999999999994"/>
    <s v="EMI"/>
    <x v="3"/>
    <b v="0"/>
    <x v="4"/>
    <n v="2"/>
  </r>
  <r>
    <s v="ORD-01910"/>
    <x v="432"/>
    <x v="432"/>
    <s v="CUST00866"/>
    <s v="Nisha Joshi"/>
    <n v="18"/>
    <s v="Female"/>
    <x v="0"/>
    <s v="Raipur"/>
    <x v="5"/>
    <s v="Tablet"/>
    <n v="1"/>
    <n v="23696.79"/>
    <n v="0.36"/>
    <n v="19360.650000000001"/>
    <n v="2981.96"/>
    <n v="18.02"/>
    <s v="EMI"/>
    <x v="2"/>
    <b v="0"/>
    <x v="1"/>
    <n v="9"/>
  </r>
  <r>
    <s v="ORD-03867"/>
    <x v="535"/>
    <x v="535"/>
    <s v="CUST39793"/>
    <s v="Shreya Mishra"/>
    <n v="48"/>
    <s v="Male"/>
    <x v="4"/>
    <s v="Kochi"/>
    <x v="5"/>
    <s v="Laptop"/>
    <n v="8"/>
    <n v="50411.34"/>
    <n v="0.17"/>
    <n v="538833.63"/>
    <n v="74291.94"/>
    <n v="56.86"/>
    <s v="UPI"/>
    <x v="3"/>
    <b v="0"/>
    <x v="1"/>
    <n v="7"/>
  </r>
  <r>
    <s v="ORD-00740"/>
    <x v="489"/>
    <x v="489"/>
    <s v="CUST43436"/>
    <s v="Aarav Verma"/>
    <n v="36"/>
    <s v="Female"/>
    <x v="3"/>
    <s v="Bhubaneswar"/>
    <x v="1"/>
    <s v="Face Cream"/>
    <n v="5"/>
    <n v="1245.93"/>
    <n v="0.14000000000000001"/>
    <n v="3724.57"/>
    <n v="1585.85"/>
    <n v="84.66"/>
    <s v="Cash on Delivery"/>
    <x v="2"/>
    <b v="0"/>
    <x v="1"/>
    <n v="4"/>
  </r>
  <r>
    <s v="ORD-03403"/>
    <x v="247"/>
    <x v="247"/>
    <s v="CUST49423"/>
    <s v="Ananya Rao"/>
    <n v="43"/>
    <s v="Male"/>
    <x v="2"/>
    <s v="Ludhiana"/>
    <x v="2"/>
    <s v="Bed Frame"/>
    <n v="4"/>
    <n v="10877.51"/>
    <n v="0.4"/>
    <n v="25389.56"/>
    <n v="5507.59"/>
    <n v="72.069999999999993"/>
    <s v="Net Banking"/>
    <x v="1"/>
    <b v="0"/>
    <x v="1"/>
    <n v="9"/>
  </r>
  <r>
    <s v="ORD-03091"/>
    <x v="68"/>
    <x v="68"/>
    <s v="CUST39206"/>
    <s v="Amit Mehta"/>
    <n v="32"/>
    <s v="Other"/>
    <x v="4"/>
    <s v="Kochi"/>
    <x v="2"/>
    <s v="Desk"/>
    <n v="6"/>
    <n v="11929.15"/>
    <n v="0.13"/>
    <n v="90019.76"/>
    <n v="15285.49"/>
    <n v="66.849999999999994"/>
    <s v="Net Banking"/>
    <x v="1"/>
    <b v="0"/>
    <x v="3"/>
    <n v="4"/>
  </r>
  <r>
    <s v="ORD-02040"/>
    <x v="536"/>
    <x v="536"/>
    <s v="CUST10264"/>
    <s v="Ritu Bose"/>
    <n v="21"/>
    <s v="Other"/>
    <x v="2"/>
    <s v="Ludhiana"/>
    <x v="1"/>
    <s v="Hair Oil"/>
    <n v="9"/>
    <n v="217.37"/>
    <n v="0.23"/>
    <n v="2271.02"/>
    <n v="949.07"/>
    <n v="51.63"/>
    <s v="EMI"/>
    <x v="3"/>
    <b v="1"/>
    <x v="0"/>
    <n v="8"/>
  </r>
  <r>
    <s v="ORD-03367"/>
    <x v="136"/>
    <x v="136"/>
    <s v="CUST44669"/>
    <s v="Sunita Mishra"/>
    <n v="33"/>
    <s v="Other"/>
    <x v="0"/>
    <s v="Bhopal"/>
    <x v="5"/>
    <s v="Smartphone"/>
    <n v="4"/>
    <n v="76576.240000000005"/>
    <n v="0.36"/>
    <n v="154095.35999999999"/>
    <n v="19680.310000000001"/>
    <n v="60.02"/>
    <s v="Net Banking"/>
    <x v="1"/>
    <b v="0"/>
    <x v="1"/>
    <n v="2"/>
  </r>
  <r>
    <s v="ORD-00724"/>
    <x v="537"/>
    <x v="537"/>
    <s v="CUST48812"/>
    <s v="Arjun Reddy"/>
    <n v="25"/>
    <s v="Other"/>
    <x v="2"/>
    <s v="Delhi"/>
    <x v="6"/>
    <s v="Yoga Mat"/>
    <n v="1"/>
    <n v="8581.84"/>
    <n v="0.17"/>
    <n v="4599.3500000000004"/>
    <n v="941.93"/>
    <n v="62.41"/>
    <s v="UPI"/>
    <x v="0"/>
    <b v="0"/>
    <x v="1"/>
    <n v="6"/>
  </r>
  <r>
    <s v="ORD-00841"/>
    <x v="538"/>
    <x v="538"/>
    <s v="CUST59671"/>
    <s v="Vikram Bhat"/>
    <n v="28"/>
    <s v="Female"/>
    <x v="3"/>
    <s v="Bhubaneswar"/>
    <x v="0"/>
    <s v="Rice (5kg)"/>
    <n v="4"/>
    <n v="246.81"/>
    <n v="0.32"/>
    <n v="564.98"/>
    <n v="41.55"/>
    <n v="95.51"/>
    <s v="Cash on Delivery"/>
    <x v="3"/>
    <b v="0"/>
    <x v="3"/>
    <n v="6"/>
  </r>
  <r>
    <s v="ORD-02154"/>
    <x v="539"/>
    <x v="539"/>
    <s v="CUST23836"/>
    <s v="Karan Rao"/>
    <n v="30"/>
    <s v="Female"/>
    <x v="1"/>
    <s v="Surat"/>
    <x v="4"/>
    <s v="Saree"/>
    <n v="8"/>
    <n v="1988.03"/>
    <n v="0.22"/>
    <n v="14005.89"/>
    <n v="4000.64"/>
    <n v="66.849999999999994"/>
    <s v="Cash on Delivery"/>
    <x v="0"/>
    <b v="0"/>
    <x v="1"/>
    <n v="5"/>
  </r>
  <r>
    <s v="ORD-02230"/>
    <x v="540"/>
    <x v="540"/>
    <s v="CUST49677"/>
    <s v="Vikram Rao"/>
    <n v="36"/>
    <s v="Other"/>
    <x v="3"/>
    <s v="Kolkata"/>
    <x v="6"/>
    <s v="Dumbbells"/>
    <n v="5"/>
    <n v="13503.49"/>
    <n v="7.0000000000000007E-2"/>
    <n v="73166.710000000006"/>
    <n v="10338.379999999999"/>
    <n v="81.11"/>
    <s v="Debit Card"/>
    <x v="0"/>
    <b v="0"/>
    <x v="1"/>
    <n v="9"/>
  </r>
  <r>
    <s v="ORD-00031"/>
    <x v="272"/>
    <x v="272"/>
    <s v="CUST59076"/>
    <s v="Nisha Shah"/>
    <n v="34"/>
    <s v="Male"/>
    <x v="1"/>
    <s v="Mumbai"/>
    <x v="2"/>
    <s v="Bed Frame"/>
    <n v="9"/>
    <n v="5472.53"/>
    <n v="0.02"/>
    <n v="34892.589999999997"/>
    <n v="10855.26"/>
    <n v="69.37"/>
    <s v="Net Banking"/>
    <x v="3"/>
    <b v="0"/>
    <x v="1"/>
    <n v="3"/>
  </r>
  <r>
    <s v="ORD-02694"/>
    <x v="383"/>
    <x v="383"/>
    <s v="CUST76215"/>
    <s v="Ananya Reddy"/>
    <n v="49"/>
    <s v="Female"/>
    <x v="2"/>
    <s v="Chandigarh"/>
    <x v="4"/>
    <s v="T-Shirt"/>
    <n v="9"/>
    <n v="3251.19"/>
    <n v="0.13"/>
    <n v="25267.42"/>
    <n v="8081.15"/>
    <n v="70.98"/>
    <s v="Debit Card"/>
    <x v="3"/>
    <b v="1"/>
    <x v="0"/>
    <n v="9"/>
  </r>
  <r>
    <s v="ORD-03260"/>
    <x v="541"/>
    <x v="541"/>
    <s v="CUST04203"/>
    <s v="Ananya Patel"/>
    <n v="41"/>
    <s v="Female"/>
    <x v="0"/>
    <s v="Bhopal"/>
    <x v="1"/>
    <s v="Hair Oil"/>
    <n v="4"/>
    <n v="1738.78"/>
    <n v="7.0000000000000007E-2"/>
    <n v="5920.27"/>
    <n v="1693.39"/>
    <n v="61.38"/>
    <s v="Net Banking"/>
    <x v="4"/>
    <b v="1"/>
    <x v="0"/>
    <n v="2"/>
  </r>
  <r>
    <s v="ORD-00624"/>
    <x v="542"/>
    <x v="542"/>
    <s v="CUST07175"/>
    <s v="Kavya Joshi"/>
    <n v="44"/>
    <s v="Male"/>
    <x v="3"/>
    <s v="Kolkata"/>
    <x v="5"/>
    <s v="Smartwatch"/>
    <n v="8"/>
    <n v="67654.44"/>
    <n v="0.02"/>
    <n v="436216.85"/>
    <n v="54905.07"/>
    <n v="62.12"/>
    <s v="EMI"/>
    <x v="3"/>
    <b v="0"/>
    <x v="2"/>
    <n v="6"/>
  </r>
  <r>
    <s v="ORD-02814"/>
    <x v="372"/>
    <x v="372"/>
    <s v="CUST78368"/>
    <s v="Nisha Iyer"/>
    <n v="31"/>
    <s v="Male"/>
    <x v="3"/>
    <s v="Bhubaneswar"/>
    <x v="4"/>
    <s v="Jeans"/>
    <n v="3"/>
    <n v="3314.75"/>
    <n v="0.06"/>
    <n v="15452.12"/>
    <n v="3519.97"/>
    <n v="85.4"/>
    <s v="Debit Card"/>
    <x v="3"/>
    <b v="0"/>
    <x v="1"/>
    <n v="8"/>
  </r>
  <r>
    <s v="ORD-02201"/>
    <x v="543"/>
    <x v="543"/>
    <s v="CUST38678"/>
    <s v="Karan Reddy"/>
    <n v="25"/>
    <s v="Male"/>
    <x v="1"/>
    <s v="Surat"/>
    <x v="5"/>
    <s v="Headphones"/>
    <n v="4"/>
    <n v="67647.58"/>
    <n v="7.0000000000000007E-2"/>
    <n v="353527.87"/>
    <n v="36275.65"/>
    <n v="52.43"/>
    <s v="EMI"/>
    <x v="3"/>
    <b v="0"/>
    <x v="1"/>
    <n v="8"/>
  </r>
  <r>
    <s v="ORD-00209"/>
    <x v="544"/>
    <x v="544"/>
    <s v="CUST38184"/>
    <s v="Amit Bhat"/>
    <n v="43"/>
    <s v="Other"/>
    <x v="2"/>
    <s v="Chandigarh"/>
    <x v="3"/>
    <s v="Fiction Novel"/>
    <n v="2"/>
    <n v="630.66"/>
    <n v="0.15"/>
    <n v="1278.54"/>
    <n v="414.77"/>
    <n v="75.819999999999993"/>
    <s v="Cash on Delivery"/>
    <x v="0"/>
    <b v="0"/>
    <x v="1"/>
    <n v="6"/>
  </r>
  <r>
    <s v="ORD-02795"/>
    <x v="545"/>
    <x v="545"/>
    <s v="CUST45978"/>
    <s v="Nikhil Iyer"/>
    <n v="26"/>
    <s v="Male"/>
    <x v="1"/>
    <s v="Mumbai"/>
    <x v="1"/>
    <s v="Shampoo"/>
    <n v="8"/>
    <n v="566.96"/>
    <n v="0.36"/>
    <n v="4268.95"/>
    <n v="2029.92"/>
    <n v="60.59"/>
    <s v="Debit Card"/>
    <x v="0"/>
    <b v="0"/>
    <x v="1"/>
    <n v="5"/>
  </r>
  <r>
    <s v="ORD-00552"/>
    <x v="546"/>
    <x v="546"/>
    <s v="CUST21371"/>
    <s v="Pooja Rao"/>
    <n v="34"/>
    <s v="Male"/>
    <x v="1"/>
    <s v="Mumbai"/>
    <x v="1"/>
    <s v="Face Cream"/>
    <n v="2"/>
    <n v="2054.29"/>
    <n v="0.27"/>
    <n v="2751.04"/>
    <n v="1143.8599999999999"/>
    <n v="51.63"/>
    <s v="Credit Card"/>
    <x v="3"/>
    <b v="0"/>
    <x v="3"/>
    <n v="10"/>
  </r>
  <r>
    <s v="ORD-02373"/>
    <x v="547"/>
    <x v="547"/>
    <s v="CUST88880"/>
    <s v="Nisha Shah"/>
    <n v="8"/>
    <s v="Male"/>
    <x v="1"/>
    <s v="Surat"/>
    <x v="5"/>
    <s v="Smartphone"/>
    <n v="6"/>
    <n v="79286.42"/>
    <n v="0.37"/>
    <n v="281133.53999999998"/>
    <n v="33087.68"/>
    <n v="61.66"/>
    <s v="Debit Card"/>
    <x v="0"/>
    <b v="0"/>
    <x v="1"/>
    <n v="8"/>
  </r>
  <r>
    <s v="ORD-01147"/>
    <x v="548"/>
    <x v="548"/>
    <s v="CUST78239"/>
    <s v="Pooja Chatterjee"/>
    <n v="36"/>
    <s v="Other"/>
    <x v="4"/>
    <s v="Hyderabad"/>
    <x v="4"/>
    <s v="Jeans"/>
    <n v="6"/>
    <n v="3055.06"/>
    <n v="0.21"/>
    <n v="23548.92"/>
    <n v="8925.17"/>
    <n v="69.22"/>
    <s v="EMI"/>
    <x v="0"/>
    <b v="0"/>
    <x v="1"/>
    <n v="4"/>
  </r>
  <r>
    <s v="ORD-03780"/>
    <x v="549"/>
    <x v="549"/>
    <s v="CUST38828"/>
    <s v="Shreya Bose"/>
    <n v="45"/>
    <s v="Male"/>
    <x v="0"/>
    <s v="Raipur"/>
    <x v="0"/>
    <s v="Tea"/>
    <n v="9"/>
    <n v="276.93"/>
    <n v="0.27"/>
    <n v="3183.79"/>
    <n v="275.45999999999998"/>
    <n v="47.94"/>
    <s v="UPI"/>
    <x v="0"/>
    <b v="0"/>
    <x v="1"/>
    <n v="6"/>
  </r>
  <r>
    <s v="ORD-00097"/>
    <x v="550"/>
    <x v="550"/>
    <s v="CUST92061"/>
    <s v="Aditya Kumar"/>
    <n v="27"/>
    <s v="Other"/>
    <x v="4"/>
    <s v="Kochi"/>
    <x v="1"/>
    <s v="Hair Oil"/>
    <n v="1"/>
    <n v="918.65"/>
    <n v="0.09"/>
    <n v="643.64"/>
    <n v="333.85"/>
    <n v="73.92"/>
    <s v="Credit Card"/>
    <x v="0"/>
    <b v="0"/>
    <x v="4"/>
    <n v="10"/>
  </r>
  <r>
    <s v="ORD-03102"/>
    <x v="551"/>
    <x v="551"/>
    <s v="CUST37184"/>
    <s v="Karan Verma"/>
    <n v="25"/>
    <s v="Male"/>
    <x v="0"/>
    <s v="Raipur"/>
    <x v="2"/>
    <s v="Bed Frame"/>
    <n v="1"/>
    <n v="11522.93"/>
    <n v="0.02"/>
    <n v="10840.71"/>
    <n v="3173.42"/>
    <n v="65.430000000000007"/>
    <s v="UPI"/>
    <x v="1"/>
    <b v="0"/>
    <x v="1"/>
    <n v="5"/>
  </r>
  <r>
    <s v="ORD-03648"/>
    <x v="552"/>
    <x v="552"/>
    <s v="CUST67942"/>
    <s v="Rohan Bhat"/>
    <n v="28"/>
    <s v="Male"/>
    <x v="1"/>
    <s v="Ahmedabad"/>
    <x v="5"/>
    <s v="Tablet"/>
    <n v="2"/>
    <n v="32171.040000000001"/>
    <n v="0.1"/>
    <n v="95994.28"/>
    <n v="9495.02"/>
    <n v="70.88"/>
    <s v="Debit Card"/>
    <x v="0"/>
    <b v="1"/>
    <x v="0"/>
    <n v="7"/>
  </r>
  <r>
    <s v="ORD-02349"/>
    <x v="553"/>
    <x v="553"/>
    <s v="CUST17978"/>
    <s v="Meera Verma"/>
    <n v="55"/>
    <s v="Other"/>
    <x v="0"/>
    <s v="Nagpur"/>
    <x v="5"/>
    <s v="Laptop"/>
    <n v="7"/>
    <n v="16843.150000000001"/>
    <n v="0.36"/>
    <n v="63975.839999999997"/>
    <n v="8190.65"/>
    <n v="81.28"/>
    <s v="Cash on Delivery"/>
    <x v="0"/>
    <b v="0"/>
    <x v="1"/>
    <n v="3"/>
  </r>
  <r>
    <s v="ORD-02944"/>
    <x v="187"/>
    <x v="187"/>
    <s v="CUST91370"/>
    <s v="Rahul Bhat"/>
    <n v="41"/>
    <s v="Other"/>
    <x v="2"/>
    <s v="Amritsar"/>
    <x v="6"/>
    <s v="Dumbbells"/>
    <n v="7"/>
    <n v="4046"/>
    <n v="0.11"/>
    <n v="44053.34"/>
    <n v="9372.6299999999992"/>
    <n v="42.33"/>
    <s v="Debit Card"/>
    <x v="3"/>
    <b v="0"/>
    <x v="1"/>
    <n v="6"/>
  </r>
  <r>
    <s v="ORD-03085"/>
    <x v="85"/>
    <x v="85"/>
    <s v="CUST66243"/>
    <s v="Karan Shah"/>
    <n v="31"/>
    <s v="Other"/>
    <x v="2"/>
    <s v="Ludhiana"/>
    <x v="3"/>
    <s v="Fiction Novel"/>
    <n v="10"/>
    <n v="260.93"/>
    <n v="0.13"/>
    <n v="3566.39"/>
    <n v="1435.04"/>
    <n v="28.36"/>
    <s v="Cash on Delivery"/>
    <x v="0"/>
    <b v="0"/>
    <x v="1"/>
    <n v="1"/>
  </r>
  <r>
    <s v="ORD-03781"/>
    <x v="549"/>
    <x v="549"/>
    <s v="CUST02825"/>
    <s v="Nikhil Joshi"/>
    <n v="31"/>
    <s v="Male"/>
    <x v="4"/>
    <s v="Kochi"/>
    <x v="6"/>
    <s v="Tennis Racket"/>
    <n v="5"/>
    <n v="4630.1400000000003"/>
    <n v="0.28999999999999998"/>
    <n v="28327.7"/>
    <n v="3969.38"/>
    <n v="82.73"/>
    <s v="Debit Card"/>
    <x v="0"/>
    <b v="0"/>
    <x v="1"/>
    <n v="5"/>
  </r>
  <r>
    <s v="ORD-00116"/>
    <x v="56"/>
    <x v="56"/>
    <s v="CUST51634"/>
    <s v="Sunita Bose"/>
    <n v="52"/>
    <s v="Male"/>
    <x v="3"/>
    <s v="Patna"/>
    <x v="6"/>
    <s v="Tennis Racket"/>
    <n v="4"/>
    <n v="5949.42"/>
    <n v="0.34"/>
    <n v="11315.53"/>
    <n v="2670.63"/>
    <n v="82.54"/>
    <s v="EMI"/>
    <x v="1"/>
    <b v="0"/>
    <x v="1"/>
    <n v="4"/>
  </r>
  <r>
    <s v="ORD-02593"/>
    <x v="554"/>
    <x v="554"/>
    <s v="CUST54751"/>
    <s v="Vikram Sharma"/>
    <n v="40"/>
    <s v="Male"/>
    <x v="0"/>
    <s v="Raipur"/>
    <x v="1"/>
    <s v="Shampoo"/>
    <n v="3"/>
    <n v="2052.63"/>
    <n v="0.2"/>
    <n v="5621.99"/>
    <n v="2360.34"/>
    <n v="38.92"/>
    <s v="Cash on Delivery"/>
    <x v="1"/>
    <b v="0"/>
    <x v="1"/>
    <n v="8"/>
  </r>
  <r>
    <s v="ORD-01196"/>
    <x v="250"/>
    <x v="250"/>
    <s v="CUST09212"/>
    <s v="Ritu Mishra"/>
    <n v="40"/>
    <s v="Other"/>
    <x v="3"/>
    <s v="Guwahati"/>
    <x v="5"/>
    <s v="Headphones"/>
    <n v="1"/>
    <n v="40389.089999999997"/>
    <n v="0.21"/>
    <n v="51680.51"/>
    <n v="5290.6"/>
    <n v="91.67"/>
    <s v="Cash on Delivery"/>
    <x v="1"/>
    <b v="0"/>
    <x v="2"/>
    <n v="10"/>
  </r>
  <r>
    <s v="ORD-03379"/>
    <x v="167"/>
    <x v="167"/>
    <s v="CUST97050"/>
    <s v="Nisha Iyer"/>
    <n v="47"/>
    <s v="Female"/>
    <x v="4"/>
    <s v="Kochi"/>
    <x v="6"/>
    <s v="Yoga Mat"/>
    <n v="3"/>
    <n v="2123.23"/>
    <n v="0.11"/>
    <n v="4790.25"/>
    <n v="1126.6600000000001"/>
    <n v="78.63"/>
    <s v="Net Banking"/>
    <x v="4"/>
    <b v="0"/>
    <x v="1"/>
    <n v="10"/>
  </r>
  <r>
    <s v="ORD-01829"/>
    <x v="555"/>
    <x v="555"/>
    <s v="CUST59422"/>
    <s v="Vikram Das"/>
    <n v="44"/>
    <s v="Other"/>
    <x v="0"/>
    <s v="Raipur"/>
    <x v="1"/>
    <s v="Face Cream"/>
    <n v="1"/>
    <n v="2044.93"/>
    <n v="0.23"/>
    <n v="1828.13"/>
    <n v="565"/>
    <n v="44.76"/>
    <s v="UPI"/>
    <x v="3"/>
    <b v="1"/>
    <x v="0"/>
    <n v="2"/>
  </r>
  <r>
    <s v="ORD-03844"/>
    <x v="556"/>
    <x v="556"/>
    <s v="CUST42003"/>
    <s v="Kavya Shah"/>
    <n v="29"/>
    <s v="Female"/>
    <x v="3"/>
    <s v="Kolkata"/>
    <x v="1"/>
    <s v="Lipstick"/>
    <n v="3"/>
    <n v="1864.31"/>
    <n v="0.21"/>
    <n v="9882.2000000000007"/>
    <n v="4184.16"/>
    <n v="66.81"/>
    <s v="Debit Card"/>
    <x v="3"/>
    <b v="0"/>
    <x v="3"/>
    <n v="5"/>
  </r>
  <r>
    <s v="ORD-00374"/>
    <x v="557"/>
    <x v="557"/>
    <s v="CUST62120"/>
    <s v="Pooja Pillai"/>
    <n v="21"/>
    <s v="Male"/>
    <x v="3"/>
    <s v="Guwahati"/>
    <x v="4"/>
    <s v="Jacket"/>
    <n v="9"/>
    <n v="3409.51"/>
    <n v="0.33"/>
    <n v="26237.94"/>
    <n v="12568.82"/>
    <n v="97.18"/>
    <s v="UPI"/>
    <x v="0"/>
    <b v="0"/>
    <x v="3"/>
    <n v="3"/>
  </r>
  <r>
    <s v="ORD-03261"/>
    <x v="541"/>
    <x v="541"/>
    <s v="CUST80345"/>
    <s v="Pooja Verma"/>
    <n v="32"/>
    <s v="Male"/>
    <x v="4"/>
    <s v="Kochi"/>
    <x v="5"/>
    <s v="Laptop"/>
    <n v="4"/>
    <n v="71997.600000000006"/>
    <n v="0.08"/>
    <n v="238162.29"/>
    <n v="25389.57"/>
    <n v="76.900000000000006"/>
    <s v="Cash on Delivery"/>
    <x v="3"/>
    <b v="0"/>
    <x v="1"/>
    <n v="3"/>
  </r>
  <r>
    <s v="ORD-03347"/>
    <x v="558"/>
    <x v="558"/>
    <s v="CUST96482"/>
    <s v="Pooja Chatterjee"/>
    <n v="36"/>
    <s v="Other"/>
    <x v="3"/>
    <s v="Kolkata"/>
    <x v="5"/>
    <s v="Headphones"/>
    <n v="5"/>
    <n v="21214.09"/>
    <n v="0.05"/>
    <n v="18096.43"/>
    <n v="1927.45"/>
    <n v="99.77"/>
    <s v="Debit Card"/>
    <x v="3"/>
    <b v="0"/>
    <x v="3"/>
    <n v="2"/>
  </r>
  <r>
    <s v="ORD-02239"/>
    <x v="559"/>
    <x v="559"/>
    <s v="CUST33232"/>
    <s v="Ritu Kumar"/>
    <n v="57"/>
    <s v="Other"/>
    <x v="1"/>
    <s v="Pune"/>
    <x v="4"/>
    <s v="T-Shirt"/>
    <n v="3"/>
    <n v="3199.67"/>
    <n v="0.02"/>
    <n v="9330.68"/>
    <n v="3697.29"/>
    <n v="67.55"/>
    <s v="UPI"/>
    <x v="1"/>
    <b v="0"/>
    <x v="1"/>
    <n v="9"/>
  </r>
  <r>
    <s v="ORD-00922"/>
    <x v="240"/>
    <x v="240"/>
    <s v="CUST58356"/>
    <s v="Ananya Sharma"/>
    <n v="38"/>
    <s v="Other"/>
    <x v="1"/>
    <s v="Ahmedabad"/>
    <x v="3"/>
    <s v="Textbook"/>
    <n v="4"/>
    <n v="386.28"/>
    <n v="0.3"/>
    <n v="1032.77"/>
    <n v="513.15"/>
    <n v="50.89"/>
    <s v="EMI"/>
    <x v="1"/>
    <b v="0"/>
    <x v="1"/>
    <n v="5"/>
  </r>
  <r>
    <s v="ORD-00807"/>
    <x v="560"/>
    <x v="560"/>
    <s v="CUST38805"/>
    <s v="Nikhil Joshi"/>
    <n v="26"/>
    <s v="Female"/>
    <x v="1"/>
    <s v="Pune"/>
    <x v="2"/>
    <s v="Desk"/>
    <n v="2"/>
    <n v="7006.2"/>
    <n v="0.24"/>
    <n v="8461.81"/>
    <n v="2133.62"/>
    <n v="67.349999999999994"/>
    <s v="UPI"/>
    <x v="3"/>
    <b v="0"/>
    <x v="1"/>
    <n v="7"/>
  </r>
  <r>
    <s v="ORD-00434"/>
    <x v="514"/>
    <x v="514"/>
    <s v="CUST66878"/>
    <s v="Shreya Rao"/>
    <n v="28"/>
    <s v="Other"/>
    <x v="3"/>
    <s v="Kolkata"/>
    <x v="3"/>
    <s v="Self-Help Book"/>
    <n v="2"/>
    <n v="472.49"/>
    <n v="0.2"/>
    <n v="1015.04"/>
    <n v="475.52"/>
    <n v="89.97"/>
    <s v="Credit Card"/>
    <x v="3"/>
    <b v="0"/>
    <x v="1"/>
    <n v="1"/>
  </r>
  <r>
    <s v="ORD-03887"/>
    <x v="561"/>
    <x v="561"/>
    <s v="CUST50038"/>
    <s v="Kavya Reddy"/>
    <n v="32"/>
    <s v="Male"/>
    <x v="3"/>
    <s v="Patna"/>
    <x v="1"/>
    <s v="Face Cream"/>
    <n v="6"/>
    <n v="1237.08"/>
    <n v="0.08"/>
    <n v="10495.02"/>
    <n v="5178.08"/>
    <n v="78.37"/>
    <s v="EMI"/>
    <x v="0"/>
    <b v="0"/>
    <x v="1"/>
    <n v="10"/>
  </r>
  <r>
    <s v="ORD-03107"/>
    <x v="562"/>
    <x v="562"/>
    <s v="CUST95163"/>
    <s v="Priya Pillai"/>
    <n v="28"/>
    <s v="Male"/>
    <x v="1"/>
    <s v="Mumbai"/>
    <x v="2"/>
    <s v="Chair"/>
    <n v="5"/>
    <n v="18140.259999999998"/>
    <n v="0.03"/>
    <n v="21348.67"/>
    <n v="6686.71"/>
    <n v="61.79"/>
    <s v="UPI"/>
    <x v="2"/>
    <b v="0"/>
    <x v="4"/>
    <n v="10"/>
  </r>
  <r>
    <s v="ORD-03010"/>
    <x v="563"/>
    <x v="563"/>
    <s v="CUST41279"/>
    <s v="Amit Sharma"/>
    <n v="43"/>
    <s v="Other"/>
    <x v="4"/>
    <s v="Bangalore"/>
    <x v="5"/>
    <s v="Smartwatch"/>
    <n v="4"/>
    <n v="14557.67"/>
    <n v="0.17"/>
    <n v="78608.45"/>
    <n v="9451.4500000000007"/>
    <n v="67.92"/>
    <s v="Debit Card"/>
    <x v="3"/>
    <b v="0"/>
    <x v="4"/>
    <n v="5"/>
  </r>
  <r>
    <s v="ORD-01239"/>
    <x v="564"/>
    <x v="564"/>
    <s v="CUST27651"/>
    <s v="Amit Chatterjee"/>
    <n v="36"/>
    <s v="Female"/>
    <x v="1"/>
    <s v="Pune"/>
    <x v="0"/>
    <s v="Rice (5kg)"/>
    <n v="4"/>
    <n v="88.17"/>
    <n v="0.18"/>
    <n v="435.55"/>
    <n v="36.130000000000003"/>
    <n v="74.3"/>
    <s v="Cash on Delivery"/>
    <x v="4"/>
    <b v="1"/>
    <x v="0"/>
    <n v="7"/>
  </r>
  <r>
    <s v="ORD-01115"/>
    <x v="565"/>
    <x v="565"/>
    <s v="CUST88128"/>
    <s v="Nikhil Patel"/>
    <n v="40"/>
    <s v="Other"/>
    <x v="2"/>
    <s v="Ludhiana"/>
    <x v="6"/>
    <s v="Cycle"/>
    <n v="4"/>
    <n v="8417.94"/>
    <n v="0.17"/>
    <n v="35739.9"/>
    <n v="7946.19"/>
    <n v="44.41"/>
    <s v="Cash on Delivery"/>
    <x v="0"/>
    <b v="1"/>
    <x v="0"/>
    <n v="3"/>
  </r>
  <r>
    <s v="ORD-00015"/>
    <x v="566"/>
    <x v="566"/>
    <s v="CUST32301"/>
    <s v="Arjun Bhat"/>
    <n v="41"/>
    <s v="Male"/>
    <x v="4"/>
    <s v="Kochi"/>
    <x v="0"/>
    <s v="Tea"/>
    <n v="6"/>
    <n v="375.14"/>
    <n v="0.19"/>
    <n v="1288.33"/>
    <n v="89.5"/>
    <n v="54.85"/>
    <s v="Debit Card"/>
    <x v="4"/>
    <b v="0"/>
    <x v="1"/>
    <n v="9"/>
  </r>
  <r>
    <s v="ORD-03772"/>
    <x v="38"/>
    <x v="38"/>
    <s v="CUST20093"/>
    <s v="Arjun Pillai"/>
    <n v="38"/>
    <s v="Female"/>
    <x v="3"/>
    <s v="Kolkata"/>
    <x v="4"/>
    <s v="Jeans"/>
    <n v="1"/>
    <n v="940.26"/>
    <n v="0.15"/>
    <n v="1246.04"/>
    <n v="538.04"/>
    <n v="74.319999999999993"/>
    <s v="Debit Card"/>
    <x v="1"/>
    <b v="0"/>
    <x v="1"/>
    <n v="4"/>
  </r>
  <r>
    <s v="ORD-03934"/>
    <x v="567"/>
    <x v="567"/>
    <s v="CUST52420"/>
    <s v="Pooja Patel"/>
    <n v="37"/>
    <s v="Male"/>
    <x v="0"/>
    <s v="Nagpur"/>
    <x v="3"/>
    <s v="Textbook"/>
    <n v="4"/>
    <n v="504.03"/>
    <n v="0.09"/>
    <n v="2819.84"/>
    <n v="1074.69"/>
    <n v="58.2"/>
    <s v="EMI"/>
    <x v="1"/>
    <b v="0"/>
    <x v="1"/>
    <n v="1"/>
  </r>
  <r>
    <s v="ORD-03468"/>
    <x v="568"/>
    <x v="568"/>
    <s v="CUST47776"/>
    <s v="Arjun Das"/>
    <n v="38"/>
    <s v="Female"/>
    <x v="4"/>
    <s v="Kochi"/>
    <x v="0"/>
    <s v="Cooking Oil"/>
    <n v="9"/>
    <n v="121.9"/>
    <n v="0.27"/>
    <n v="818.88"/>
    <n v="88.91"/>
    <n v="66.37"/>
    <s v="Debit Card"/>
    <x v="1"/>
    <b v="0"/>
    <x v="1"/>
    <n v="9"/>
  </r>
  <r>
    <s v="ORD-00677"/>
    <x v="569"/>
    <x v="569"/>
    <s v="CUST61386"/>
    <s v="Karan Verma"/>
    <n v="40"/>
    <s v="Male"/>
    <x v="2"/>
    <s v="Amritsar"/>
    <x v="5"/>
    <s v="Headphones"/>
    <n v="10"/>
    <n v="28972.39"/>
    <n v="0.33"/>
    <n v="130564.4"/>
    <n v="13703.51"/>
    <n v="50.2"/>
    <s v="EMI"/>
    <x v="0"/>
    <b v="0"/>
    <x v="1"/>
    <n v="8"/>
  </r>
  <r>
    <s v="ORD-00503"/>
    <x v="570"/>
    <x v="570"/>
    <s v="CUST41086"/>
    <s v="Ananya Kumar"/>
    <n v="38"/>
    <s v="Male"/>
    <x v="4"/>
    <s v="Hyderabad"/>
    <x v="6"/>
    <s v="Football"/>
    <n v="10"/>
    <n v="12293.17"/>
    <n v="0.28000000000000003"/>
    <n v="106448.38"/>
    <n v="22757.35"/>
    <n v="56.34"/>
    <s v="EMI"/>
    <x v="2"/>
    <b v="0"/>
    <x v="1"/>
    <n v="6"/>
  </r>
  <r>
    <s v="ORD-02456"/>
    <x v="571"/>
    <x v="571"/>
    <s v="CUST02238"/>
    <s v="Shreya Kapoor"/>
    <n v="21"/>
    <s v="Male"/>
    <x v="0"/>
    <s v="Nagpur"/>
    <x v="5"/>
    <s v="Smartphone"/>
    <n v="10"/>
    <n v="46339.99"/>
    <n v="0.36"/>
    <n v="266029.05"/>
    <n v="36961.78"/>
    <n v="81.540000000000006"/>
    <s v="Cash on Delivery"/>
    <x v="0"/>
    <b v="0"/>
    <x v="1"/>
    <n v="9"/>
  </r>
  <r>
    <s v="ORD-00263"/>
    <x v="228"/>
    <x v="228"/>
    <s v="CUST31785"/>
    <s v="Karan Rao"/>
    <n v="18"/>
    <s v="Female"/>
    <x v="0"/>
    <s v="Bhopal"/>
    <x v="5"/>
    <s v="Laptop"/>
    <n v="5"/>
    <n v="77507.61"/>
    <n v="0.11"/>
    <n v="80565.98"/>
    <n v="9703.67"/>
    <n v="60.01"/>
    <s v="Debit Card"/>
    <x v="4"/>
    <b v="0"/>
    <x v="1"/>
    <n v="5"/>
  </r>
  <r>
    <s v="ORD-01657"/>
    <x v="572"/>
    <x v="572"/>
    <s v="CUST72051"/>
    <s v="Sunita Bhat"/>
    <n v="32"/>
    <s v="Male"/>
    <x v="1"/>
    <s v="Mumbai"/>
    <x v="1"/>
    <s v="Sunscreen"/>
    <n v="2"/>
    <n v="332.8"/>
    <n v="0.24"/>
    <n v="429.47"/>
    <n v="235.77"/>
    <n v="47.12"/>
    <s v="Net Banking"/>
    <x v="4"/>
    <b v="0"/>
    <x v="1"/>
    <n v="2"/>
  </r>
  <r>
    <s v="ORD-03364"/>
    <x v="573"/>
    <x v="573"/>
    <s v="CUST81812"/>
    <s v="Pooja Chatterjee"/>
    <n v="20"/>
    <s v="Female"/>
    <x v="2"/>
    <s v="Chandigarh"/>
    <x v="4"/>
    <s v="T-Shirt"/>
    <n v="3"/>
    <n v="2696.4"/>
    <n v="0.19"/>
    <n v="5511.95"/>
    <n v="1848.17"/>
    <n v="57.33"/>
    <s v="Credit Card"/>
    <x v="1"/>
    <b v="0"/>
    <x v="1"/>
    <n v="10"/>
  </r>
  <r>
    <s v="ORD-03526"/>
    <x v="200"/>
    <x v="200"/>
    <s v="CUST01333"/>
    <s v="Meera Kumar"/>
    <n v="14"/>
    <s v="Female"/>
    <x v="4"/>
    <s v="Hyderabad"/>
    <x v="6"/>
    <s v="Football"/>
    <n v="8"/>
    <n v="14238.38"/>
    <n v="0.39"/>
    <n v="99575.7"/>
    <n v="21335.83"/>
    <n v="73.75"/>
    <s v="UPI"/>
    <x v="0"/>
    <b v="1"/>
    <x v="0"/>
    <n v="3"/>
  </r>
  <r>
    <s v="ORD-03758"/>
    <x v="574"/>
    <x v="574"/>
    <s v="CUST81275"/>
    <s v="Pooja Pillai"/>
    <n v="20"/>
    <s v="Female"/>
    <x v="1"/>
    <s v="Surat"/>
    <x v="5"/>
    <s v="Headphones"/>
    <n v="4"/>
    <n v="59208.95"/>
    <n v="0.03"/>
    <n v="400648.58"/>
    <n v="57546.61"/>
    <n v="86.75"/>
    <s v="Net Banking"/>
    <x v="0"/>
    <b v="0"/>
    <x v="1"/>
    <n v="8"/>
  </r>
  <r>
    <s v="ORD-01705"/>
    <x v="332"/>
    <x v="332"/>
    <s v="CUST77601"/>
    <s v="Rohan Mishra"/>
    <n v="54"/>
    <s v="Other"/>
    <x v="1"/>
    <s v="Mumbai"/>
    <x v="2"/>
    <s v="Wardrobe"/>
    <n v="5"/>
    <n v="15638.22"/>
    <n v="0.12"/>
    <n v="53952.69"/>
    <n v="13304.82"/>
    <n v="71.64"/>
    <s v="Credit Card"/>
    <x v="4"/>
    <b v="0"/>
    <x v="1"/>
    <n v="4"/>
  </r>
  <r>
    <s v="ORD-00050"/>
    <x v="19"/>
    <x v="19"/>
    <s v="CUST20234"/>
    <s v="Rahul Patel"/>
    <n v="30"/>
    <s v="Other"/>
    <x v="4"/>
    <s v="Hyderabad"/>
    <x v="4"/>
    <s v="Jacket"/>
    <n v="9"/>
    <n v="1560.64"/>
    <n v="0.03"/>
    <n v="9605.16"/>
    <n v="2702.45"/>
    <n v="71.03"/>
    <s v="Cash on Delivery"/>
    <x v="1"/>
    <b v="0"/>
    <x v="1"/>
    <n v="4"/>
  </r>
  <r>
    <s v="ORD-03151"/>
    <x v="158"/>
    <x v="158"/>
    <s v="CUST28094"/>
    <s v="Meera Shah"/>
    <n v="39"/>
    <s v="Male"/>
    <x v="3"/>
    <s v="Patna"/>
    <x v="6"/>
    <s v="Dumbbells"/>
    <n v="5"/>
    <n v="3167.34"/>
    <n v="0.17"/>
    <n v="17024.05"/>
    <n v="2543.83"/>
    <n v="66.83"/>
    <s v="UPI"/>
    <x v="2"/>
    <b v="0"/>
    <x v="1"/>
    <n v="10"/>
  </r>
  <r>
    <s v="ORD-03880"/>
    <x v="530"/>
    <x v="530"/>
    <s v="CUST49372"/>
    <s v="Rahul Rao"/>
    <n v="34"/>
    <s v="Male"/>
    <x v="3"/>
    <s v="Bhubaneswar"/>
    <x v="1"/>
    <s v="Perfume"/>
    <n v="10"/>
    <n v="323.83999999999997"/>
    <n v="0.18"/>
    <n v="3695.81"/>
    <n v="1548.57"/>
    <n v="79.930000000000007"/>
    <s v="Credit Card"/>
    <x v="1"/>
    <b v="0"/>
    <x v="1"/>
    <n v="7"/>
  </r>
  <r>
    <s v="ORD-01784"/>
    <x v="371"/>
    <x v="371"/>
    <s v="CUST21830"/>
    <s v="Shreya Joshi"/>
    <n v="17"/>
    <s v="Other"/>
    <x v="4"/>
    <s v="Bangalore"/>
    <x v="6"/>
    <s v="Tennis Racket"/>
    <n v="5"/>
    <n v="5150.6400000000003"/>
    <n v="0.37"/>
    <n v="19963.259999999998"/>
    <n v="3851.26"/>
    <n v="75.38"/>
    <s v="UPI"/>
    <x v="2"/>
    <b v="0"/>
    <x v="2"/>
    <n v="3"/>
  </r>
  <r>
    <s v="ORD-01483"/>
    <x v="575"/>
    <x v="575"/>
    <s v="CUST97519"/>
    <s v="Amit Singh"/>
    <n v="15"/>
    <s v="Other"/>
    <x v="0"/>
    <s v="Bhopal"/>
    <x v="2"/>
    <s v="Wardrobe"/>
    <n v="8"/>
    <n v="31666.799999999999"/>
    <n v="0.27"/>
    <n v="186136.9"/>
    <n v="48229.69"/>
    <n v="70.27"/>
    <s v="Net Banking"/>
    <x v="0"/>
    <b v="0"/>
    <x v="1"/>
    <n v="5"/>
  </r>
  <r>
    <s v="ORD-01746"/>
    <x v="80"/>
    <x v="80"/>
    <s v="CUST09453"/>
    <s v="Arjun Gupta"/>
    <n v="30"/>
    <s v="Male"/>
    <x v="2"/>
    <s v="Delhi"/>
    <x v="4"/>
    <s v="Jeans"/>
    <n v="4"/>
    <n v="3616.81"/>
    <n v="0.01"/>
    <n v="14243.78"/>
    <n v="3640.83"/>
    <n v="40.58"/>
    <s v="Debit Card"/>
    <x v="2"/>
    <b v="0"/>
    <x v="4"/>
    <n v="2"/>
  </r>
  <r>
    <s v="ORD-02669"/>
    <x v="576"/>
    <x v="576"/>
    <s v="CUST70473"/>
    <s v="Nisha Gupta"/>
    <n v="34"/>
    <s v="Male"/>
    <x v="0"/>
    <s v="Nagpur"/>
    <x v="5"/>
    <s v="Tablet"/>
    <n v="8"/>
    <n v="28881.53"/>
    <n v="0.38"/>
    <n v="145274.42000000001"/>
    <n v="14990.91"/>
    <n v="36.68"/>
    <s v="Credit Card"/>
    <x v="0"/>
    <b v="0"/>
    <x v="4"/>
    <n v="6"/>
  </r>
  <r>
    <s v="ORD-01671"/>
    <x v="577"/>
    <x v="577"/>
    <s v="CUST45922"/>
    <s v="Sunita Chatterjee"/>
    <n v="44"/>
    <s v="Other"/>
    <x v="0"/>
    <s v="Bhopal"/>
    <x v="1"/>
    <s v="Lipstick"/>
    <n v="9"/>
    <n v="1064.67"/>
    <n v="0.33"/>
    <n v="5679.24"/>
    <n v="3280.89"/>
    <n v="74.790000000000006"/>
    <s v="Cash on Delivery"/>
    <x v="2"/>
    <b v="1"/>
    <x v="0"/>
    <n v="10"/>
  </r>
  <r>
    <s v="ORD-00944"/>
    <x v="99"/>
    <x v="99"/>
    <s v="CUST74789"/>
    <s v="Ritu Bose"/>
    <n v="32"/>
    <s v="Male"/>
    <x v="2"/>
    <s v="Delhi"/>
    <x v="0"/>
    <s v="Sugar"/>
    <n v="9"/>
    <n v="172.48"/>
    <n v="0.16"/>
    <n v="1373.62"/>
    <n v="111.05"/>
    <n v="48.27"/>
    <s v="Debit Card"/>
    <x v="3"/>
    <b v="0"/>
    <x v="1"/>
    <n v="6"/>
  </r>
  <r>
    <s v="ORD-02251"/>
    <x v="578"/>
    <x v="578"/>
    <s v="CUST41014"/>
    <s v="Deepa Bhat"/>
    <n v="26"/>
    <s v="Other"/>
    <x v="1"/>
    <s v="Surat"/>
    <x v="2"/>
    <s v="Bed Frame"/>
    <n v="2"/>
    <n v="21391.95"/>
    <n v="0.09"/>
    <n v="42758.89"/>
    <n v="8615.36"/>
    <n v="88.4"/>
    <s v="Debit Card"/>
    <x v="3"/>
    <b v="1"/>
    <x v="0"/>
    <n v="3"/>
  </r>
  <r>
    <s v="ORD-00466"/>
    <x v="8"/>
    <x v="8"/>
    <s v="CUST73065"/>
    <s v="Priya Das"/>
    <n v="35"/>
    <s v="Female"/>
    <x v="0"/>
    <s v="Nagpur"/>
    <x v="4"/>
    <s v="T-Shirt"/>
    <n v="1"/>
    <n v="2855.2"/>
    <n v="0.19"/>
    <n v="3015.82"/>
    <n v="1580.35"/>
    <n v="65.12"/>
    <s v="Cash on Delivery"/>
    <x v="4"/>
    <b v="0"/>
    <x v="1"/>
    <n v="1"/>
  </r>
  <r>
    <s v="ORD-01518"/>
    <x v="579"/>
    <x v="579"/>
    <s v="CUST66356"/>
    <s v="Rahul Sharma"/>
    <n v="45"/>
    <s v="Male"/>
    <x v="1"/>
    <s v="Surat"/>
    <x v="4"/>
    <s v="Jacket"/>
    <n v="2"/>
    <n v="1623.15"/>
    <n v="0.33"/>
    <n v="1938.25"/>
    <n v="726.9"/>
    <n v="45.5"/>
    <s v="Credit Card"/>
    <x v="0"/>
    <b v="0"/>
    <x v="2"/>
    <n v="2"/>
  </r>
  <r>
    <s v="ORD-01384"/>
    <x v="580"/>
    <x v="580"/>
    <s v="CUST19005"/>
    <s v="Sanjay Bose"/>
    <n v="38"/>
    <s v="Other"/>
    <x v="3"/>
    <s v="Bhubaneswar"/>
    <x v="4"/>
    <s v="T-Shirt"/>
    <n v="1"/>
    <n v="581.13"/>
    <n v="0.01"/>
    <n v="664.52"/>
    <n v="237.69"/>
    <n v="85.55"/>
    <s v="Cash on Delivery"/>
    <x v="3"/>
    <b v="0"/>
    <x v="1"/>
    <n v="4"/>
  </r>
  <r>
    <s v="ORD-00383"/>
    <x v="374"/>
    <x v="374"/>
    <s v="CUST78014"/>
    <s v="Vikram Joshi"/>
    <n v="39"/>
    <s v="Male"/>
    <x v="0"/>
    <s v="Raipur"/>
    <x v="4"/>
    <s v="T-Shirt"/>
    <n v="8"/>
    <n v="2755.32"/>
    <n v="0.2"/>
    <n v="24539.81"/>
    <n v="6803.51"/>
    <n v="48.26"/>
    <s v="UPI"/>
    <x v="4"/>
    <b v="0"/>
    <x v="1"/>
    <n v="4"/>
  </r>
  <r>
    <s v="ORD-01525"/>
    <x v="454"/>
    <x v="454"/>
    <s v="CUST73027"/>
    <s v="Sanjay Kapoor"/>
    <n v="28"/>
    <s v="Other"/>
    <x v="3"/>
    <s v="Guwahati"/>
    <x v="0"/>
    <s v="Dal (1kg)"/>
    <n v="4"/>
    <n v="421.33"/>
    <n v="0.14000000000000001"/>
    <n v="1026.6500000000001"/>
    <n v="97.18"/>
    <n v="82"/>
    <s v="Credit Card"/>
    <x v="4"/>
    <b v="0"/>
    <x v="1"/>
    <n v="10"/>
  </r>
  <r>
    <s v="ORD-02930"/>
    <x v="581"/>
    <x v="581"/>
    <s v="CUST27302"/>
    <s v="Karan Verma"/>
    <n v="29"/>
    <s v="Male"/>
    <x v="1"/>
    <s v="Ahmedabad"/>
    <x v="1"/>
    <s v="Shampoo"/>
    <n v="10"/>
    <n v="325.56"/>
    <n v="0.28999999999999998"/>
    <n v="3569.04"/>
    <n v="1816.65"/>
    <n v="46.14"/>
    <s v="Credit Card"/>
    <x v="4"/>
    <b v="0"/>
    <x v="3"/>
    <n v="3"/>
  </r>
  <r>
    <s v="ORD-01440"/>
    <x v="582"/>
    <x v="582"/>
    <s v="CUST84528"/>
    <s v="Vikram Kapoor"/>
    <n v="36"/>
    <s v="Other"/>
    <x v="2"/>
    <s v="Amritsar"/>
    <x v="3"/>
    <s v="Textbook"/>
    <n v="10"/>
    <n v="1279.2"/>
    <n v="0.17"/>
    <n v="10694.49"/>
    <n v="4612.59"/>
    <n v="38.619999999999997"/>
    <s v="EMI"/>
    <x v="4"/>
    <b v="0"/>
    <x v="4"/>
    <n v="6"/>
  </r>
  <r>
    <s v="ORD-03307"/>
    <x v="130"/>
    <x v="130"/>
    <s v="CUST74033"/>
    <s v="Vikram Mehta"/>
    <n v="46"/>
    <s v="Male"/>
    <x v="2"/>
    <s v="Amritsar"/>
    <x v="1"/>
    <s v="Shampoo"/>
    <n v="1"/>
    <n v="2427.6999999999998"/>
    <n v="0.11"/>
    <n v="1734.31"/>
    <n v="605.52"/>
    <n v="48.85"/>
    <s v="Credit Card"/>
    <x v="3"/>
    <b v="0"/>
    <x v="1"/>
    <n v="1"/>
  </r>
  <r>
    <s v="ORD-01634"/>
    <x v="583"/>
    <x v="583"/>
    <s v="CUST19177"/>
    <s v="Sanjay Mehta"/>
    <n v="55"/>
    <s v="Other"/>
    <x v="2"/>
    <s v="Chandigarh"/>
    <x v="4"/>
    <s v="Jacket"/>
    <n v="6"/>
    <n v="2259.04"/>
    <n v="0.36"/>
    <n v="6753.1"/>
    <n v="2777.61"/>
    <n v="41.85"/>
    <s v="Net Banking"/>
    <x v="3"/>
    <b v="0"/>
    <x v="1"/>
    <n v="6"/>
  </r>
  <r>
    <s v="ORD-00772"/>
    <x v="584"/>
    <x v="584"/>
    <s v="CUST40808"/>
    <s v="Shreya Singh"/>
    <n v="50"/>
    <s v="Female"/>
    <x v="2"/>
    <s v="Chandigarh"/>
    <x v="2"/>
    <s v="Sofa"/>
    <n v="1"/>
    <n v="21726.1"/>
    <n v="0.28000000000000003"/>
    <n v="9976.2800000000007"/>
    <n v="2817.21"/>
    <n v="57.05"/>
    <s v="Credit Card"/>
    <x v="2"/>
    <b v="0"/>
    <x v="3"/>
    <n v="7"/>
  </r>
  <r>
    <s v="ORD-03958"/>
    <x v="382"/>
    <x v="382"/>
    <s v="CUST05507"/>
    <s v="Kavya Das"/>
    <n v="41"/>
    <s v="Other"/>
    <x v="0"/>
    <s v="Bhopal"/>
    <x v="6"/>
    <s v="Dumbbells"/>
    <n v="9"/>
    <n v="796.29"/>
    <n v="0.21"/>
    <n v="7659.05"/>
    <n v="1887.36"/>
    <n v="52.86"/>
    <s v="UPI"/>
    <x v="3"/>
    <b v="0"/>
    <x v="1"/>
    <n v="2"/>
  </r>
  <r>
    <s v="ORD-01896"/>
    <x v="585"/>
    <x v="585"/>
    <s v="CUST56422"/>
    <s v="Kavya Shah"/>
    <n v="23"/>
    <s v="Female"/>
    <x v="3"/>
    <s v="Kolkata"/>
    <x v="6"/>
    <s v="Cricket Bat"/>
    <n v="1"/>
    <n v="8106.93"/>
    <n v="0.27"/>
    <n v="7375.32"/>
    <n v="1061.19"/>
    <n v="82.98"/>
    <s v="Credit Card"/>
    <x v="0"/>
    <b v="0"/>
    <x v="1"/>
    <n v="4"/>
  </r>
  <r>
    <s v="ORD-02041"/>
    <x v="586"/>
    <x v="586"/>
    <s v="CUST04308"/>
    <s v="Sanjay Singh"/>
    <n v="29"/>
    <s v="Male"/>
    <x v="3"/>
    <s v="Kolkata"/>
    <x v="5"/>
    <s v="Smartwatch"/>
    <n v="8"/>
    <n v="15107.58"/>
    <n v="0.15"/>
    <n v="173570.72"/>
    <n v="21830.12"/>
    <n v="77.28"/>
    <s v="Cash on Delivery"/>
    <x v="2"/>
    <b v="0"/>
    <x v="1"/>
    <n v="10"/>
  </r>
  <r>
    <s v="ORD-00078"/>
    <x v="587"/>
    <x v="587"/>
    <s v="CUST03970"/>
    <s v="Arjun Kumar"/>
    <n v="21"/>
    <s v="Other"/>
    <x v="4"/>
    <s v="Bangalore"/>
    <x v="2"/>
    <s v="Chair"/>
    <n v="7"/>
    <n v="4470.7299999999996"/>
    <n v="0.09"/>
    <n v="22350.68"/>
    <n v="8417.6200000000008"/>
    <n v="45.52"/>
    <s v="Cash on Delivery"/>
    <x v="2"/>
    <b v="0"/>
    <x v="1"/>
    <n v="6"/>
  </r>
  <r>
    <s v="ORD-00758"/>
    <x v="110"/>
    <x v="110"/>
    <s v="CUST74570"/>
    <s v="Vikram Patel"/>
    <n v="37"/>
    <s v="Other"/>
    <x v="0"/>
    <s v="Nagpur"/>
    <x v="3"/>
    <s v="Textbook"/>
    <n v="6"/>
    <n v="593.85"/>
    <n v="0.02"/>
    <n v="2492.5500000000002"/>
    <n v="1018.25"/>
    <n v="30.08"/>
    <s v="Net Banking"/>
    <x v="0"/>
    <b v="0"/>
    <x v="1"/>
    <n v="1"/>
  </r>
  <r>
    <s v="ORD-00305"/>
    <x v="588"/>
    <x v="588"/>
    <s v="CUST10300"/>
    <s v="Vikram Joshi"/>
    <n v="35"/>
    <s v="Other"/>
    <x v="3"/>
    <s v="Bhubaneswar"/>
    <x v="6"/>
    <s v="Yoga Mat"/>
    <n v="5"/>
    <n v="6852.57"/>
    <n v="0.19"/>
    <n v="30208.26"/>
    <n v="8215.56"/>
    <n v="100.86"/>
    <s v="EMI"/>
    <x v="1"/>
    <b v="0"/>
    <x v="1"/>
    <n v="10"/>
  </r>
  <r>
    <s v="ORD-03198"/>
    <x v="589"/>
    <x v="589"/>
    <s v="CUST60856"/>
    <s v="Shreya Bhat"/>
    <n v="50"/>
    <s v="Female"/>
    <x v="4"/>
    <s v="Bangalore"/>
    <x v="4"/>
    <s v="Dress"/>
    <n v="5"/>
    <n v="2135.46"/>
    <n v="0.21"/>
    <n v="1723.9"/>
    <n v="368.18"/>
    <n v="84"/>
    <s v="UPI"/>
    <x v="2"/>
    <b v="0"/>
    <x v="1"/>
    <n v="5"/>
  </r>
  <r>
    <s v="ORD-01684"/>
    <x v="590"/>
    <x v="590"/>
    <s v="CUST67104"/>
    <s v="Aarav Sharma"/>
    <n v="36"/>
    <s v="Other"/>
    <x v="2"/>
    <s v="Delhi"/>
    <x v="6"/>
    <s v="Cricket Bat"/>
    <n v="1"/>
    <n v="14530.7"/>
    <n v="0.16"/>
    <n v="10169.91"/>
    <n v="2350.09"/>
    <n v="60.97"/>
    <s v="UPI"/>
    <x v="0"/>
    <b v="1"/>
    <x v="0"/>
    <n v="8"/>
  </r>
  <r>
    <s v="ORD-02637"/>
    <x v="591"/>
    <x v="591"/>
    <s v="CUST01385"/>
    <s v="Nikhil Sharma"/>
    <n v="35"/>
    <s v="Male"/>
    <x v="4"/>
    <s v="Bangalore"/>
    <x v="3"/>
    <s v="Textbook"/>
    <n v="6"/>
    <n v="893.91"/>
    <n v="0.15"/>
    <n v="5253.1"/>
    <n v="1937.64"/>
    <n v="87.48"/>
    <s v="Debit Card"/>
    <x v="2"/>
    <b v="0"/>
    <x v="4"/>
    <n v="4"/>
  </r>
  <r>
    <s v="ORD-00013"/>
    <x v="592"/>
    <x v="592"/>
    <s v="CUST86980"/>
    <s v="Rahul Sharma"/>
    <n v="31"/>
    <s v="Male"/>
    <x v="3"/>
    <s v="Bhubaneswar"/>
    <x v="0"/>
    <s v="Rice (5kg)"/>
    <n v="5"/>
    <n v="380.73"/>
    <n v="0.38"/>
    <n v="891.35"/>
    <n v="63.05"/>
    <n v="69.349999999999994"/>
    <s v="UPI"/>
    <x v="1"/>
    <b v="0"/>
    <x v="4"/>
    <n v="4"/>
  </r>
  <r>
    <s v="ORD-04159"/>
    <x v="248"/>
    <x v="248"/>
    <s v="CUST56892"/>
    <s v="Karan Gupta"/>
    <n v="19"/>
    <s v="Male"/>
    <x v="4"/>
    <s v="Bangalore"/>
    <x v="5"/>
    <s v="Camera"/>
    <n v="10"/>
    <n v="19562.84"/>
    <n v="0.24"/>
    <n v="159763.82"/>
    <n v="22214.02"/>
    <n v="80.650000000000006"/>
    <s v="EMI"/>
    <x v="1"/>
    <b v="0"/>
    <x v="4"/>
    <n v="10"/>
  </r>
  <r>
    <s v="ORD-03080"/>
    <x v="53"/>
    <x v="53"/>
    <s v="CUST34629"/>
    <s v="Aarav Singh"/>
    <n v="37"/>
    <s v="Other"/>
    <x v="0"/>
    <s v="Nagpur"/>
    <x v="0"/>
    <s v="Flour"/>
    <n v="9"/>
    <n v="460.52"/>
    <n v="0.37"/>
    <n v="3659.71"/>
    <n v="327.33999999999997"/>
    <n v="48.79"/>
    <s v="EMI"/>
    <x v="1"/>
    <b v="0"/>
    <x v="2"/>
    <n v="7"/>
  </r>
  <r>
    <s v="ORD-02720"/>
    <x v="593"/>
    <x v="593"/>
    <s v="CUST36373"/>
    <s v="Aarav Kapoor"/>
    <n v="52"/>
    <s v="Other"/>
    <x v="4"/>
    <s v="Kochi"/>
    <x v="0"/>
    <s v="Cooking Oil"/>
    <n v="7"/>
    <n v="448.17"/>
    <n v="0.11"/>
    <n v="3507.4"/>
    <n v="212.91"/>
    <n v="34.25"/>
    <s v="EMI"/>
    <x v="1"/>
    <b v="0"/>
    <x v="1"/>
    <n v="2"/>
  </r>
  <r>
    <s v="ORD-03318"/>
    <x v="594"/>
    <x v="594"/>
    <s v="CUST94948"/>
    <s v="Rohan Kapoor"/>
    <n v="40"/>
    <s v="Other"/>
    <x v="0"/>
    <s v="Indore"/>
    <x v="3"/>
    <s v="Fiction Novel"/>
    <n v="9"/>
    <n v="276.41000000000003"/>
    <n v="0.11"/>
    <n v="1896.15"/>
    <n v="853.77"/>
    <n v="46.35"/>
    <s v="UPI"/>
    <x v="3"/>
    <b v="0"/>
    <x v="1"/>
    <n v="3"/>
  </r>
  <r>
    <s v="ORD-02315"/>
    <x v="595"/>
    <x v="595"/>
    <s v="CUST44222"/>
    <s v="Nikhil Pillai"/>
    <n v="37"/>
    <s v="Other"/>
    <x v="2"/>
    <s v="Ludhiana"/>
    <x v="0"/>
    <s v="Rice (5kg)"/>
    <n v="4"/>
    <n v="385.4"/>
    <n v="0.06"/>
    <n v="1455"/>
    <n v="86.48"/>
    <n v="49.02"/>
    <s v="Cash on Delivery"/>
    <x v="1"/>
    <b v="0"/>
    <x v="1"/>
    <n v="9"/>
  </r>
  <r>
    <s v="ORD-00568"/>
    <x v="473"/>
    <x v="473"/>
    <s v="CUST35377"/>
    <s v="Amit Reddy"/>
    <n v="49"/>
    <s v="Female"/>
    <x v="1"/>
    <s v="Ahmedabad"/>
    <x v="2"/>
    <s v="Bed Frame"/>
    <n v="9"/>
    <n v="31653.11"/>
    <n v="0.37"/>
    <n v="185665.67"/>
    <n v="62381.83"/>
    <n v="74.88"/>
    <s v="Debit Card"/>
    <x v="0"/>
    <b v="0"/>
    <x v="1"/>
    <n v="2"/>
  </r>
  <r>
    <s v="ORD-00896"/>
    <x v="596"/>
    <x v="596"/>
    <s v="CUST89978"/>
    <s v="Ananya Gupta"/>
    <n v="45"/>
    <s v="Female"/>
    <x v="3"/>
    <s v="Kolkata"/>
    <x v="5"/>
    <s v="Smartphone"/>
    <n v="3"/>
    <n v="72774.78"/>
    <n v="0.13"/>
    <n v="179559.91"/>
    <n v="15904.32"/>
    <n v="90.91"/>
    <s v="UPI"/>
    <x v="1"/>
    <b v="0"/>
    <x v="1"/>
    <n v="6"/>
  </r>
  <r>
    <s v="ORD-00003"/>
    <x v="597"/>
    <x v="597"/>
    <s v="CUST37770"/>
    <s v="Aditya Singh"/>
    <n v="11"/>
    <s v="Female"/>
    <x v="1"/>
    <s v="Mumbai"/>
    <x v="1"/>
    <s v="Face Cream"/>
    <n v="9"/>
    <n v="245.9"/>
    <n v="0.24"/>
    <n v="1205.28"/>
    <n v="560.95000000000005"/>
    <n v="45.22"/>
    <s v="Net Banking"/>
    <x v="4"/>
    <b v="1"/>
    <x v="0"/>
    <n v="3"/>
  </r>
  <r>
    <s v="ORD-02261"/>
    <x v="598"/>
    <x v="598"/>
    <s v="CUST28968"/>
    <s v="Ananya Mehta"/>
    <n v="25"/>
    <s v="Male"/>
    <x v="1"/>
    <s v="Ahmedabad"/>
    <x v="5"/>
    <s v="Camera"/>
    <n v="5"/>
    <n v="48089.2"/>
    <n v="0.19"/>
    <n v="248755.47"/>
    <n v="16926"/>
    <n v="96.45"/>
    <s v="Debit Card"/>
    <x v="2"/>
    <b v="0"/>
    <x v="1"/>
    <n v="9"/>
  </r>
  <r>
    <s v="ORD-04151"/>
    <x v="599"/>
    <x v="599"/>
    <s v="CUST43686"/>
    <s v="Nikhil Singh"/>
    <n v="23"/>
    <s v="Other"/>
    <x v="2"/>
    <s v="Delhi"/>
    <x v="0"/>
    <s v="Rice (5kg)"/>
    <n v="4"/>
    <n v="471.4"/>
    <n v="0.3"/>
    <n v="1216.57"/>
    <n v="70.680000000000007"/>
    <n v="52.55"/>
    <s v="EMI"/>
    <x v="2"/>
    <b v="0"/>
    <x v="1"/>
    <n v="9"/>
  </r>
  <r>
    <s v="ORD-01430"/>
    <x v="600"/>
    <x v="600"/>
    <s v="CUST37845"/>
    <s v="Nisha Sharma"/>
    <n v="25"/>
    <s v="Other"/>
    <x v="3"/>
    <s v="Patna"/>
    <x v="3"/>
    <s v="Fiction Novel"/>
    <n v="2"/>
    <n v="986.99"/>
    <n v="0.37"/>
    <n v="1052.33"/>
    <n v="405.51"/>
    <n v="79.62"/>
    <s v="Debit Card"/>
    <x v="3"/>
    <b v="1"/>
    <x v="0"/>
    <n v="4"/>
  </r>
  <r>
    <s v="ORD-02884"/>
    <x v="601"/>
    <x v="601"/>
    <s v="CUST30359"/>
    <s v="Nisha Patel"/>
    <n v="33"/>
    <s v="Female"/>
    <x v="1"/>
    <s v="Pune"/>
    <x v="3"/>
    <s v="Textbook"/>
    <n v="1"/>
    <n v="1090.31"/>
    <n v="0.26"/>
    <n v="1249.54"/>
    <n v="613.99"/>
    <n v="61.28"/>
    <s v="Net Banking"/>
    <x v="0"/>
    <b v="0"/>
    <x v="1"/>
    <n v="9"/>
  </r>
  <r>
    <s v="ORD-00529"/>
    <x v="190"/>
    <x v="190"/>
    <s v="CUST06871"/>
    <s v="Arjun Sharma"/>
    <n v="27"/>
    <s v="Female"/>
    <x v="4"/>
    <s v="Chennai"/>
    <x v="6"/>
    <s v="Football"/>
    <n v="7"/>
    <n v="9110.75"/>
    <n v="0.25"/>
    <n v="47812.7"/>
    <n v="10019.9"/>
    <n v="90.53"/>
    <s v="Credit Card"/>
    <x v="3"/>
    <b v="0"/>
    <x v="1"/>
    <n v="7"/>
  </r>
  <r>
    <s v="ORD-01422"/>
    <x v="420"/>
    <x v="420"/>
    <s v="CUST97273"/>
    <s v="Aarav Gupta"/>
    <n v="37"/>
    <s v="Other"/>
    <x v="2"/>
    <s v="Amritsar"/>
    <x v="6"/>
    <s v="Cricket Bat"/>
    <n v="10"/>
    <n v="12010.26"/>
    <n v="0.36"/>
    <n v="68019.81"/>
    <n v="13038.75"/>
    <n v="77.19"/>
    <s v="UPI"/>
    <x v="4"/>
    <b v="0"/>
    <x v="1"/>
    <n v="10"/>
  </r>
  <r>
    <s v="ORD-00894"/>
    <x v="602"/>
    <x v="602"/>
    <s v="CUST78346"/>
    <s v="Aarav Gupta"/>
    <n v="47"/>
    <s v="Male"/>
    <x v="3"/>
    <s v="Patna"/>
    <x v="3"/>
    <s v="Self-Help Book"/>
    <n v="10"/>
    <n v="1043.44"/>
    <n v="0.34"/>
    <n v="5862.96"/>
    <n v="2186.1999999999998"/>
    <n v="79.989999999999995"/>
    <s v="Debit Card"/>
    <x v="3"/>
    <b v="0"/>
    <x v="1"/>
    <n v="6"/>
  </r>
  <r>
    <s v="ORD-01172"/>
    <x v="398"/>
    <x v="398"/>
    <s v="CUST46531"/>
    <s v="Karan Das"/>
    <n v="33"/>
    <s v="Female"/>
    <x v="4"/>
    <s v="Kochi"/>
    <x v="2"/>
    <s v="Bookshelf"/>
    <n v="3"/>
    <n v="33795.769999999997"/>
    <n v="0.35"/>
    <n v="90617.58"/>
    <n v="32809.370000000003"/>
    <n v="71.569999999999993"/>
    <s v="UPI"/>
    <x v="1"/>
    <b v="0"/>
    <x v="1"/>
    <n v="9"/>
  </r>
  <r>
    <s v="ORD-03633"/>
    <x v="603"/>
    <x v="603"/>
    <s v="CUST94304"/>
    <s v="Amit Reddy"/>
    <n v="35"/>
    <s v="Other"/>
    <x v="0"/>
    <s v="Raipur"/>
    <x v="3"/>
    <s v="Self-Help Book"/>
    <n v="9"/>
    <n v="499.65"/>
    <n v="0.02"/>
    <n v="7343.37"/>
    <n v="2521.34"/>
    <n v="39.04"/>
    <s v="Credit Card"/>
    <x v="3"/>
    <b v="0"/>
    <x v="1"/>
    <n v="2"/>
  </r>
  <r>
    <s v="ORD-00144"/>
    <x v="358"/>
    <x v="358"/>
    <s v="CUST57714"/>
    <s v="Shreya Kumar"/>
    <n v="37"/>
    <s v="Female"/>
    <x v="4"/>
    <s v="Chennai"/>
    <x v="2"/>
    <s v="Chair"/>
    <n v="5"/>
    <n v="32167.65"/>
    <n v="0.21"/>
    <n v="138458.15"/>
    <n v="39811.269999999997"/>
    <n v="58.32"/>
    <s v="Cash on Delivery"/>
    <x v="1"/>
    <b v="0"/>
    <x v="1"/>
    <n v="6"/>
  </r>
  <r>
    <s v="ORD-02970"/>
    <x v="604"/>
    <x v="604"/>
    <s v="CUST03472"/>
    <s v="Meera Patel"/>
    <n v="35"/>
    <s v="Female"/>
    <x v="4"/>
    <s v="Bangalore"/>
    <x v="3"/>
    <s v="Self-Help Book"/>
    <n v="7"/>
    <n v="900.55"/>
    <n v="0.37"/>
    <n v="6552.28"/>
    <n v="1538.11"/>
    <n v="67.3"/>
    <s v="Net Banking"/>
    <x v="1"/>
    <b v="0"/>
    <x v="1"/>
    <n v="3"/>
  </r>
  <r>
    <s v="ORD-01114"/>
    <x v="565"/>
    <x v="565"/>
    <s v="CUST93051"/>
    <s v="Meera Bhat"/>
    <n v="34"/>
    <s v="Female"/>
    <x v="2"/>
    <s v="Delhi"/>
    <x v="5"/>
    <s v="Camera"/>
    <n v="7"/>
    <n v="46170.239999999998"/>
    <n v="0.37"/>
    <n v="258421.55"/>
    <n v="33391.1"/>
    <n v="40.35"/>
    <s v="Net Banking"/>
    <x v="1"/>
    <b v="0"/>
    <x v="1"/>
    <n v="2"/>
  </r>
  <r>
    <s v="ORD-01499"/>
    <x v="605"/>
    <x v="605"/>
    <s v="CUST56836"/>
    <s v="Meera Singh"/>
    <n v="14"/>
    <s v="Male"/>
    <x v="0"/>
    <s v="Bhopal"/>
    <x v="1"/>
    <s v="Sunscreen"/>
    <n v="4"/>
    <n v="2378.5700000000002"/>
    <n v="0.06"/>
    <n v="9023.4"/>
    <n v="4079.28"/>
    <n v="68.11"/>
    <s v="EMI"/>
    <x v="2"/>
    <b v="0"/>
    <x v="1"/>
    <n v="7"/>
  </r>
  <r>
    <s v="ORD-03800"/>
    <x v="606"/>
    <x v="606"/>
    <s v="CUST91283"/>
    <s v="Ananya Verma"/>
    <n v="27"/>
    <s v="Female"/>
    <x v="4"/>
    <s v="Hyderabad"/>
    <x v="6"/>
    <s v="Yoga Mat"/>
    <n v="10"/>
    <n v="9793.2999999999993"/>
    <n v="0.26"/>
    <n v="101289.99"/>
    <n v="21064.94"/>
    <n v="62.81"/>
    <s v="Cash on Delivery"/>
    <x v="3"/>
    <b v="0"/>
    <x v="1"/>
    <n v="9"/>
  </r>
  <r>
    <s v="ORD-02646"/>
    <x v="496"/>
    <x v="496"/>
    <s v="CUST26372"/>
    <s v="Pooja Pillai"/>
    <n v="25"/>
    <s v="Male"/>
    <x v="3"/>
    <s v="Kolkata"/>
    <x v="3"/>
    <s v="Cook Book"/>
    <n v="8"/>
    <n v="935.46"/>
    <n v="0.12"/>
    <n v="6567.18"/>
    <n v="3099.56"/>
    <n v="73.180000000000007"/>
    <s v="Cash on Delivery"/>
    <x v="0"/>
    <b v="0"/>
    <x v="3"/>
    <n v="8"/>
  </r>
  <r>
    <s v="ORD-02453"/>
    <x v="607"/>
    <x v="607"/>
    <s v="CUST60217"/>
    <s v="Vikram Gupta"/>
    <n v="50"/>
    <s v="Male"/>
    <x v="3"/>
    <s v="Patna"/>
    <x v="2"/>
    <s v="Chair"/>
    <n v="9"/>
    <n v="23692.77"/>
    <n v="0.01"/>
    <n v="189801.32"/>
    <n v="55495.95"/>
    <n v="85.76"/>
    <s v="Cash on Delivery"/>
    <x v="0"/>
    <b v="0"/>
    <x v="1"/>
    <n v="3"/>
  </r>
  <r>
    <s v="ORD-03331"/>
    <x v="608"/>
    <x v="608"/>
    <s v="CUST97882"/>
    <s v="Aarav Singh"/>
    <n v="12"/>
    <s v="Other"/>
    <x v="1"/>
    <s v="Mumbai"/>
    <x v="5"/>
    <s v="Smartwatch"/>
    <n v="5"/>
    <n v="67132.789999999994"/>
    <n v="0.13"/>
    <n v="259751.74"/>
    <n v="31688.42"/>
    <n v="67.599999999999994"/>
    <s v="Cash on Delivery"/>
    <x v="1"/>
    <b v="0"/>
    <x v="1"/>
    <n v="3"/>
  </r>
  <r>
    <s v="ORD-03250"/>
    <x v="62"/>
    <x v="62"/>
    <s v="CUST90626"/>
    <s v="Aarav Joshi"/>
    <n v="42"/>
    <s v="Female"/>
    <x v="2"/>
    <s v="Ludhiana"/>
    <x v="5"/>
    <s v="Laptop"/>
    <n v="10"/>
    <n v="33487.31"/>
    <n v="0.11"/>
    <n v="270538.05"/>
    <n v="34449.129999999997"/>
    <n v="64.650000000000006"/>
    <s v="EMI"/>
    <x v="0"/>
    <b v="0"/>
    <x v="1"/>
    <n v="9"/>
  </r>
  <r>
    <s v="ORD-01808"/>
    <x v="609"/>
    <x v="609"/>
    <s v="CUST91944"/>
    <s v="Priya Kumar"/>
    <n v="34"/>
    <s v="Other"/>
    <x v="2"/>
    <s v="Delhi"/>
    <x v="5"/>
    <s v="Laptop"/>
    <n v="7"/>
    <n v="51313.1"/>
    <n v="0.04"/>
    <n v="374026.43"/>
    <n v="48251.12"/>
    <n v="70.930000000000007"/>
    <s v="Credit Card"/>
    <x v="1"/>
    <b v="0"/>
    <x v="1"/>
    <n v="1"/>
  </r>
  <r>
    <s v="ORD-03557"/>
    <x v="610"/>
    <x v="610"/>
    <s v="CUST80826"/>
    <s v="Pooja Chatterjee"/>
    <n v="48"/>
    <s v="Female"/>
    <x v="0"/>
    <s v="Nagpur"/>
    <x v="6"/>
    <s v="Dumbbells"/>
    <n v="4"/>
    <n v="1266.6400000000001"/>
    <n v="0.09"/>
    <n v="6923.51"/>
    <n v="754.21"/>
    <n v="67.58"/>
    <s v="Net Banking"/>
    <x v="0"/>
    <b v="0"/>
    <x v="1"/>
    <n v="3"/>
  </r>
  <r>
    <s v="ORD-01952"/>
    <x v="611"/>
    <x v="611"/>
    <s v="CUST78875"/>
    <s v="Nikhil Mishra"/>
    <n v="44"/>
    <s v="Male"/>
    <x v="3"/>
    <s v="Patna"/>
    <x v="0"/>
    <s v="Cooking Oil"/>
    <n v="3"/>
    <n v="284.88"/>
    <n v="0.26"/>
    <n v="817.39"/>
    <n v="50.93"/>
    <n v="105.48"/>
    <s v="UPI"/>
    <x v="0"/>
    <b v="1"/>
    <x v="0"/>
    <n v="10"/>
  </r>
  <r>
    <s v="ORD-03988"/>
    <x v="612"/>
    <x v="612"/>
    <s v="CUST06985"/>
    <s v="Kavya Joshi"/>
    <n v="39"/>
    <s v="Male"/>
    <x v="4"/>
    <s v="Bangalore"/>
    <x v="6"/>
    <s v="Dumbbells"/>
    <n v="2"/>
    <n v="10400.51"/>
    <n v="0.39"/>
    <n v="16571.32"/>
    <n v="3945.31"/>
    <n v="79.88"/>
    <s v="EMI"/>
    <x v="3"/>
    <b v="0"/>
    <x v="1"/>
    <n v="5"/>
  </r>
  <r>
    <s v="ORD-00777"/>
    <x v="613"/>
    <x v="613"/>
    <s v="CUST52222"/>
    <s v="Arjun Sharma"/>
    <n v="38"/>
    <s v="Female"/>
    <x v="2"/>
    <s v="Chandigarh"/>
    <x v="6"/>
    <s v="Yoga Mat"/>
    <n v="3"/>
    <n v="3464.74"/>
    <n v="0.22"/>
    <n v="5170.4799999999996"/>
    <n v="757.08"/>
    <n v="50.42"/>
    <s v="Net Banking"/>
    <x v="0"/>
    <b v="0"/>
    <x v="1"/>
    <n v="7"/>
  </r>
  <r>
    <s v="ORD-02091"/>
    <x v="614"/>
    <x v="614"/>
    <s v="CUST74431"/>
    <s v="Nikhil Chatterjee"/>
    <n v="44"/>
    <s v="Female"/>
    <x v="4"/>
    <s v="Kochi"/>
    <x v="5"/>
    <s v="Smartwatch"/>
    <n v="4"/>
    <n v="6126.05"/>
    <n v="0.17"/>
    <n v="32461.48"/>
    <n v="3172.94"/>
    <n v="65.78"/>
    <s v="EMI"/>
    <x v="2"/>
    <b v="0"/>
    <x v="1"/>
    <n v="10"/>
  </r>
  <r>
    <s v="ORD-01534"/>
    <x v="143"/>
    <x v="143"/>
    <s v="CUST28621"/>
    <s v="Amit Kumar"/>
    <n v="44"/>
    <s v="Male"/>
    <x v="2"/>
    <s v="Amritsar"/>
    <x v="5"/>
    <s v="Laptop"/>
    <n v="7"/>
    <n v="37336.980000000003"/>
    <n v="0.14000000000000001"/>
    <n v="165469.13"/>
    <n v="22951.1"/>
    <n v="40.450000000000003"/>
    <s v="EMI"/>
    <x v="3"/>
    <b v="0"/>
    <x v="1"/>
    <n v="2"/>
  </r>
  <r>
    <s v="ORD-01857"/>
    <x v="175"/>
    <x v="175"/>
    <s v="CUST08818"/>
    <s v="Rahul Shah"/>
    <n v="35"/>
    <s v="Other"/>
    <x v="0"/>
    <s v="Indore"/>
    <x v="0"/>
    <s v="Sugar"/>
    <n v="3"/>
    <n v="303.99"/>
    <n v="0.4"/>
    <n v="728.29"/>
    <n v="43.2"/>
    <n v="35.74"/>
    <s v="Debit Card"/>
    <x v="0"/>
    <b v="0"/>
    <x v="1"/>
    <n v="3"/>
  </r>
  <r>
    <s v="ORD-01342"/>
    <x v="615"/>
    <x v="615"/>
    <s v="CUST97259"/>
    <s v="Aarav Chatterjee"/>
    <n v="18"/>
    <s v="Other"/>
    <x v="2"/>
    <s v="Ludhiana"/>
    <x v="0"/>
    <s v="Cooking Oil"/>
    <n v="7"/>
    <n v="438.39"/>
    <n v="0.11"/>
    <n v="3296.41"/>
    <n v="234.24"/>
    <n v="28.61"/>
    <s v="Credit Card"/>
    <x v="2"/>
    <b v="0"/>
    <x v="4"/>
    <n v="3"/>
  </r>
  <r>
    <s v="ORD-00718"/>
    <x v="616"/>
    <x v="616"/>
    <s v="CUST87168"/>
    <s v="Pooja Bhat"/>
    <n v="32"/>
    <s v="Female"/>
    <x v="1"/>
    <s v="Ahmedabad"/>
    <x v="0"/>
    <s v="Rice (5kg)"/>
    <n v="6"/>
    <n v="79.33"/>
    <n v="0.21"/>
    <n v="270.5"/>
    <n v="23.07"/>
    <n v="33.119999999999997"/>
    <s v="Net Banking"/>
    <x v="4"/>
    <b v="0"/>
    <x v="1"/>
    <n v="2"/>
  </r>
  <r>
    <s v="ORD-00732"/>
    <x v="431"/>
    <x v="431"/>
    <s v="CUST50773"/>
    <s v="Pooja Nair"/>
    <n v="38"/>
    <s v="Other"/>
    <x v="2"/>
    <s v="Ludhiana"/>
    <x v="2"/>
    <s v="Bed Frame"/>
    <n v="10"/>
    <n v="19507.14"/>
    <n v="0.23"/>
    <n v="102410.73"/>
    <n v="29631.5"/>
    <n v="47.48"/>
    <s v="Debit Card"/>
    <x v="3"/>
    <b v="1"/>
    <x v="0"/>
    <n v="2"/>
  </r>
  <r>
    <s v="ORD-01041"/>
    <x v="453"/>
    <x v="453"/>
    <s v="CUST54549"/>
    <s v="Shreya Bose"/>
    <n v="26"/>
    <s v="Other"/>
    <x v="4"/>
    <s v="Hyderabad"/>
    <x v="0"/>
    <s v="Rice (5kg)"/>
    <n v="7"/>
    <n v="481.39"/>
    <n v="0.2"/>
    <n v="3271.29"/>
    <n v="361.25"/>
    <n v="82.25"/>
    <s v="Net Banking"/>
    <x v="4"/>
    <b v="0"/>
    <x v="1"/>
    <n v="7"/>
  </r>
  <r>
    <s v="ORD-03263"/>
    <x v="617"/>
    <x v="617"/>
    <s v="CUST94911"/>
    <s v="Rohan Gupta"/>
    <n v="23"/>
    <s v="Other"/>
    <x v="2"/>
    <s v="Chandigarh"/>
    <x v="2"/>
    <s v="Wardrobe"/>
    <n v="7"/>
    <n v="31424.240000000002"/>
    <n v="0.31"/>
    <n v="128843.9"/>
    <n v="46085.23"/>
    <n v="53.66"/>
    <s v="Debit Card"/>
    <x v="1"/>
    <b v="0"/>
    <x v="1"/>
    <n v="8"/>
  </r>
  <r>
    <s v="ORD-01119"/>
    <x v="618"/>
    <x v="618"/>
    <s v="CUST96816"/>
    <s v="Nisha Mehta"/>
    <n v="30"/>
    <s v="Male"/>
    <x v="0"/>
    <s v="Bhopal"/>
    <x v="2"/>
    <s v="Wardrobe"/>
    <n v="4"/>
    <n v="3717.76"/>
    <n v="0.18"/>
    <n v="16660.91"/>
    <n v="4463.8999999999996"/>
    <n v="8.31"/>
    <s v="EMI"/>
    <x v="3"/>
    <b v="0"/>
    <x v="3"/>
    <n v="9"/>
  </r>
  <r>
    <s v="ORD-01552"/>
    <x v="619"/>
    <x v="619"/>
    <s v="CUST17708"/>
    <s v="Sunita Iyer"/>
    <n v="26"/>
    <s v="Female"/>
    <x v="3"/>
    <s v="Patna"/>
    <x v="3"/>
    <s v="Textbook"/>
    <n v="6"/>
    <n v="730.36"/>
    <n v="0.27"/>
    <n v="2369.15"/>
    <n v="1034.9100000000001"/>
    <n v="94.11"/>
    <s v="Cash on Delivery"/>
    <x v="0"/>
    <b v="0"/>
    <x v="1"/>
    <n v="8"/>
  </r>
  <r>
    <s v="ORD-00087"/>
    <x v="620"/>
    <x v="620"/>
    <s v="CUST92405"/>
    <s v="Aditya Nair"/>
    <n v="19"/>
    <s v="Female"/>
    <x v="4"/>
    <s v="Hyderabad"/>
    <x v="2"/>
    <s v="Desk"/>
    <n v="9"/>
    <n v="31457.07"/>
    <n v="0.1"/>
    <n v="190620.36"/>
    <n v="52175.19"/>
    <n v="103.27"/>
    <s v="Cash on Delivery"/>
    <x v="0"/>
    <b v="0"/>
    <x v="1"/>
    <n v="6"/>
  </r>
  <r>
    <s v="ORD-01058"/>
    <x v="621"/>
    <x v="621"/>
    <s v="CUST42637"/>
    <s v="Priya Kumar"/>
    <n v="21"/>
    <s v="Female"/>
    <x v="0"/>
    <s v="Nagpur"/>
    <x v="4"/>
    <s v="Kurta"/>
    <n v="9"/>
    <n v="905.46"/>
    <n v="0.26"/>
    <n v="6527.94"/>
    <n v="2985.32"/>
    <n v="40.75"/>
    <s v="Net Banking"/>
    <x v="0"/>
    <b v="1"/>
    <x v="0"/>
    <n v="2"/>
  </r>
  <r>
    <s v="ORD-00820"/>
    <x v="622"/>
    <x v="622"/>
    <s v="CUST00304"/>
    <s v="Vikram Gupta"/>
    <n v="36"/>
    <s v="Male"/>
    <x v="1"/>
    <s v="Mumbai"/>
    <x v="4"/>
    <s v="T-Shirt"/>
    <n v="1"/>
    <n v="3433.94"/>
    <n v="0.3"/>
    <n v="1813.71"/>
    <n v="609.25"/>
    <n v="67.739999999999995"/>
    <s v="EMI"/>
    <x v="0"/>
    <b v="0"/>
    <x v="1"/>
    <n v="1"/>
  </r>
  <r>
    <s v="ORD-03578"/>
    <x v="623"/>
    <x v="623"/>
    <s v="CUST61770"/>
    <s v="Aditya Iyer"/>
    <n v="17"/>
    <s v="Other"/>
    <x v="3"/>
    <s v="Guwahati"/>
    <x v="2"/>
    <s v="Bed Frame"/>
    <n v="5"/>
    <n v="7466.4"/>
    <n v="0.13"/>
    <n v="9242.24"/>
    <n v="2505.04"/>
    <n v="73.709999999999994"/>
    <s v="Cash on Delivery"/>
    <x v="3"/>
    <b v="1"/>
    <x v="0"/>
    <n v="10"/>
  </r>
  <r>
    <s v="ORD-01248"/>
    <x v="500"/>
    <x v="500"/>
    <s v="CUST02073"/>
    <s v="Karan Nair"/>
    <n v="28"/>
    <s v="Other"/>
    <x v="1"/>
    <s v="Surat"/>
    <x v="4"/>
    <s v="Dress"/>
    <n v="3"/>
    <n v="1871.08"/>
    <n v="0.03"/>
    <n v="7720.71"/>
    <n v="2716.63"/>
    <n v="65.48"/>
    <s v="Cash on Delivery"/>
    <x v="4"/>
    <b v="0"/>
    <x v="1"/>
    <n v="7"/>
  </r>
  <r>
    <s v="ORD-00659"/>
    <x v="406"/>
    <x v="406"/>
    <s v="CUST20907"/>
    <s v="Nikhil Nair"/>
    <n v="21"/>
    <s v="Male"/>
    <x v="3"/>
    <s v="Kolkata"/>
    <x v="5"/>
    <s v="Smartphone"/>
    <n v="7"/>
    <n v="53035.199999999997"/>
    <n v="0.26"/>
    <n v="212011.56"/>
    <n v="26192.61"/>
    <n v="82.3"/>
    <s v="UPI"/>
    <x v="4"/>
    <b v="1"/>
    <x v="0"/>
    <n v="6"/>
  </r>
  <r>
    <s v="ORD-00866"/>
    <x v="624"/>
    <x v="624"/>
    <s v="CUST71222"/>
    <s v="Pooja Das"/>
    <n v="59"/>
    <s v="Male"/>
    <x v="0"/>
    <s v="Bhopal"/>
    <x v="5"/>
    <s v="Tablet"/>
    <n v="3"/>
    <n v="69155.55"/>
    <n v="0.25"/>
    <n v="102960.53"/>
    <n v="11911.08"/>
    <n v="54.42"/>
    <s v="EMI"/>
    <x v="0"/>
    <b v="0"/>
    <x v="1"/>
    <n v="9"/>
  </r>
  <r>
    <s v="ORD-02674"/>
    <x v="625"/>
    <x v="625"/>
    <s v="CUST43411"/>
    <s v="Ritu Shah"/>
    <n v="27"/>
    <s v="Male"/>
    <x v="2"/>
    <s v="Delhi"/>
    <x v="1"/>
    <s v="Hair Oil"/>
    <n v="2"/>
    <n v="920.67"/>
    <n v="0.24"/>
    <n v="1821.82"/>
    <n v="918.21"/>
    <n v="61.3"/>
    <s v="Credit Card"/>
    <x v="2"/>
    <b v="0"/>
    <x v="1"/>
    <n v="3"/>
  </r>
  <r>
    <s v="ORD-01520"/>
    <x v="579"/>
    <x v="579"/>
    <s v="CUST85696"/>
    <s v="Kavya Mishra"/>
    <n v="39"/>
    <s v="Female"/>
    <x v="0"/>
    <s v="Indore"/>
    <x v="0"/>
    <s v="Rice (5kg)"/>
    <n v="2"/>
    <n v="260.24"/>
    <n v="0.22"/>
    <n v="245.84"/>
    <n v="24.47"/>
    <n v="73.44"/>
    <s v="UPI"/>
    <x v="1"/>
    <b v="0"/>
    <x v="1"/>
    <n v="2"/>
  </r>
  <r>
    <s v="ORD-00479"/>
    <x v="626"/>
    <x v="626"/>
    <s v="CUST08721"/>
    <s v="Priya Joshi"/>
    <n v="28"/>
    <s v="Female"/>
    <x v="1"/>
    <s v="Ahmedabad"/>
    <x v="4"/>
    <s v="Jacket"/>
    <n v="8"/>
    <n v="3369.18"/>
    <n v="0.05"/>
    <n v="29990.07"/>
    <n v="10760.08"/>
    <n v="65.099999999999994"/>
    <s v="UPI"/>
    <x v="0"/>
    <b v="0"/>
    <x v="1"/>
    <n v="10"/>
  </r>
  <r>
    <s v="ORD-03969"/>
    <x v="517"/>
    <x v="517"/>
    <s v="CUST60604"/>
    <s v="Shreya Mehta"/>
    <n v="25"/>
    <s v="Female"/>
    <x v="4"/>
    <s v="Bangalore"/>
    <x v="0"/>
    <s v="Sugar"/>
    <n v="3"/>
    <n v="449.53"/>
    <n v="0.2"/>
    <n v="1417.4"/>
    <n v="70.52"/>
    <n v="77.45"/>
    <s v="UPI"/>
    <x v="2"/>
    <b v="0"/>
    <x v="2"/>
    <n v="10"/>
  </r>
  <r>
    <s v="ORD-01869"/>
    <x v="147"/>
    <x v="147"/>
    <s v="CUST89646"/>
    <s v="Rohan Shah"/>
    <n v="45"/>
    <s v="Other"/>
    <x v="3"/>
    <s v="Kolkata"/>
    <x v="6"/>
    <s v="Football"/>
    <n v="3"/>
    <n v="1955.47"/>
    <n v="0.16"/>
    <n v="6238.78"/>
    <n v="1430"/>
    <n v="93.12"/>
    <s v="Cash on Delivery"/>
    <x v="0"/>
    <b v="0"/>
    <x v="4"/>
    <n v="3"/>
  </r>
  <r>
    <s v="ORD-03181"/>
    <x v="627"/>
    <x v="627"/>
    <s v="CUST05659"/>
    <s v="Priya Kumar"/>
    <n v="22"/>
    <s v="Male"/>
    <x v="2"/>
    <s v="Ludhiana"/>
    <x v="0"/>
    <s v="Tea"/>
    <n v="2"/>
    <n v="216.82"/>
    <n v="0.28000000000000003"/>
    <n v="255.27"/>
    <n v="22.97"/>
    <n v="53.52"/>
    <s v="Net Banking"/>
    <x v="1"/>
    <b v="1"/>
    <x v="0"/>
    <n v="4"/>
  </r>
  <r>
    <s v="ORD-00572"/>
    <x v="628"/>
    <x v="628"/>
    <s v="CUST64941"/>
    <s v="Amit Nair"/>
    <n v="46"/>
    <s v="Other"/>
    <x v="2"/>
    <s v="Ludhiana"/>
    <x v="6"/>
    <s v="Yoga Mat"/>
    <n v="2"/>
    <n v="7907.75"/>
    <n v="0.23"/>
    <n v="11417.09"/>
    <n v="2439.2600000000002"/>
    <n v="30.79"/>
    <s v="UPI"/>
    <x v="2"/>
    <b v="0"/>
    <x v="2"/>
    <n v="10"/>
  </r>
  <r>
    <s v="ORD-00095"/>
    <x v="54"/>
    <x v="54"/>
    <s v="CUST17595"/>
    <s v="Ritu Iyer"/>
    <n v="30"/>
    <s v="Male"/>
    <x v="0"/>
    <s v="Nagpur"/>
    <x v="1"/>
    <s v="Face Cream"/>
    <n v="5"/>
    <n v="1398.56"/>
    <n v="0.11"/>
    <n v="5755.36"/>
    <n v="2371.83"/>
    <n v="41.33"/>
    <s v="Cash on Delivery"/>
    <x v="4"/>
    <b v="0"/>
    <x v="1"/>
    <n v="2"/>
  </r>
  <r>
    <s v="ORD-00386"/>
    <x v="629"/>
    <x v="629"/>
    <s v="CUST61530"/>
    <s v="Rohan Nair"/>
    <n v="18"/>
    <s v="Female"/>
    <x v="4"/>
    <s v="Hyderabad"/>
    <x v="0"/>
    <s v="Sugar"/>
    <n v="9"/>
    <n v="264.60000000000002"/>
    <n v="0.39"/>
    <n v="1805.25"/>
    <n v="107.92"/>
    <n v="70.83"/>
    <s v="Debit Card"/>
    <x v="1"/>
    <b v="0"/>
    <x v="1"/>
    <n v="1"/>
  </r>
  <r>
    <s v="ORD-01321"/>
    <x v="630"/>
    <x v="630"/>
    <s v="CUST60359"/>
    <s v="Kavya Gupta"/>
    <n v="42"/>
    <s v="Female"/>
    <x v="0"/>
    <s v="Bhopal"/>
    <x v="3"/>
    <s v="Self-Help Book"/>
    <n v="3"/>
    <n v="886.35"/>
    <n v="0.25"/>
    <n v="2878.52"/>
    <n v="1205.8900000000001"/>
    <n v="51.22"/>
    <s v="EMI"/>
    <x v="4"/>
    <b v="0"/>
    <x v="1"/>
    <n v="6"/>
  </r>
  <r>
    <s v="ORD-03432"/>
    <x v="631"/>
    <x v="631"/>
    <s v="CUST93500"/>
    <s v="Kavya Gupta"/>
    <n v="35"/>
    <s v="Male"/>
    <x v="1"/>
    <s v="Ahmedabad"/>
    <x v="3"/>
    <s v="Textbook"/>
    <n v="6"/>
    <n v="589.55999999999995"/>
    <n v="0.33"/>
    <n v="2123.41"/>
    <n v="728.31"/>
    <n v="73.88"/>
    <s v="Cash on Delivery"/>
    <x v="3"/>
    <b v="1"/>
    <x v="0"/>
    <n v="3"/>
  </r>
  <r>
    <s v="ORD-01995"/>
    <x v="41"/>
    <x v="41"/>
    <s v="CUST56565"/>
    <s v="Sunita Joshi"/>
    <n v="25"/>
    <s v="Male"/>
    <x v="3"/>
    <s v="Bhubaneswar"/>
    <x v="0"/>
    <s v="Tea"/>
    <n v="9"/>
    <n v="363.51"/>
    <n v="0.23"/>
    <n v="3460.81"/>
    <n v="307.14999999999998"/>
    <n v="84.69"/>
    <s v="Cash on Delivery"/>
    <x v="2"/>
    <b v="1"/>
    <x v="0"/>
    <n v="7"/>
  </r>
  <r>
    <s v="ORD-02537"/>
    <x v="105"/>
    <x v="105"/>
    <s v="CUST57903"/>
    <s v="Aditya Shah"/>
    <n v="22"/>
    <s v="Female"/>
    <x v="2"/>
    <s v="Delhi"/>
    <x v="0"/>
    <s v="Flour"/>
    <n v="6"/>
    <n v="303.67"/>
    <n v="0.05"/>
    <n v="1631.61"/>
    <n v="129.1"/>
    <n v="66.2"/>
    <s v="Net Banking"/>
    <x v="4"/>
    <b v="0"/>
    <x v="2"/>
    <n v="7"/>
  </r>
  <r>
    <s v="ORD-01383"/>
    <x v="632"/>
    <x v="632"/>
    <s v="CUST61824"/>
    <s v="Priya Sharma"/>
    <n v="52"/>
    <s v="Female"/>
    <x v="1"/>
    <s v="Surat"/>
    <x v="2"/>
    <s v="Bed Frame"/>
    <n v="9"/>
    <n v="28138.720000000001"/>
    <n v="0"/>
    <n v="267856.83"/>
    <n v="58224.65"/>
    <n v="61.16"/>
    <s v="Debit Card"/>
    <x v="2"/>
    <b v="0"/>
    <x v="1"/>
    <n v="1"/>
  </r>
  <r>
    <s v="ORD-00969"/>
    <x v="21"/>
    <x v="21"/>
    <s v="CUST73466"/>
    <s v="Shreya Shah"/>
    <n v="17"/>
    <s v="Other"/>
    <x v="3"/>
    <s v="Guwahati"/>
    <x v="5"/>
    <s v="Camera"/>
    <n v="3"/>
    <n v="53597.73"/>
    <n v="0.22"/>
    <n v="113953.25"/>
    <n v="17435"/>
    <n v="77.63"/>
    <s v="UPI"/>
    <x v="3"/>
    <b v="0"/>
    <x v="1"/>
    <n v="8"/>
  </r>
  <r>
    <s v="ORD-01382"/>
    <x v="632"/>
    <x v="632"/>
    <s v="CUST87197"/>
    <s v="Rohan Kumar"/>
    <n v="41"/>
    <s v="Male"/>
    <x v="2"/>
    <s v="Amritsar"/>
    <x v="6"/>
    <s v="Cycle"/>
    <n v="6"/>
    <n v="3598.68"/>
    <n v="0.09"/>
    <n v="22421.86"/>
    <n v="6008.67"/>
    <n v="56.7"/>
    <s v="Net Banking"/>
    <x v="3"/>
    <b v="0"/>
    <x v="1"/>
    <n v="8"/>
  </r>
  <r>
    <s v="ORD-00927"/>
    <x v="163"/>
    <x v="163"/>
    <s v="CUST72964"/>
    <s v="Sunita Shah"/>
    <n v="33"/>
    <s v="Female"/>
    <x v="3"/>
    <s v="Kolkata"/>
    <x v="4"/>
    <s v="Dress"/>
    <n v="4"/>
    <n v="3257.05"/>
    <n v="0.24"/>
    <n v="8461.34"/>
    <n v="3580.22"/>
    <n v="80.55"/>
    <s v="Cash on Delivery"/>
    <x v="0"/>
    <b v="0"/>
    <x v="1"/>
    <n v="6"/>
  </r>
  <r>
    <s v="ORD-01607"/>
    <x v="633"/>
    <x v="633"/>
    <s v="CUST44100"/>
    <s v="Deepa Mehta"/>
    <n v="66"/>
    <s v="Other"/>
    <x v="2"/>
    <s v="Ludhiana"/>
    <x v="3"/>
    <s v="Biography"/>
    <n v="5"/>
    <n v="199.85"/>
    <n v="7.0000000000000007E-2"/>
    <n v="616.48"/>
    <n v="277.39999999999998"/>
    <n v="37.229999999999997"/>
    <s v="Credit Card"/>
    <x v="0"/>
    <b v="0"/>
    <x v="1"/>
    <n v="2"/>
  </r>
  <r>
    <s v="ORD-01983"/>
    <x v="634"/>
    <x v="634"/>
    <s v="CUST55032"/>
    <s v="Meera Nair"/>
    <n v="26"/>
    <s v="Other"/>
    <x v="0"/>
    <s v="Nagpur"/>
    <x v="6"/>
    <s v="Dumbbells"/>
    <n v="3"/>
    <n v="6064.09"/>
    <n v="0.03"/>
    <n v="24706.43"/>
    <n v="6641.4"/>
    <n v="55.09"/>
    <s v="Credit Card"/>
    <x v="3"/>
    <b v="0"/>
    <x v="1"/>
    <n v="6"/>
  </r>
  <r>
    <s v="ORD-01533"/>
    <x v="143"/>
    <x v="143"/>
    <s v="CUST14357"/>
    <s v="Deepa Chatterjee"/>
    <n v="33"/>
    <s v="Other"/>
    <x v="3"/>
    <s v="Patna"/>
    <x v="4"/>
    <s v="Dress"/>
    <n v="8"/>
    <n v="1386.86"/>
    <n v="0.03"/>
    <n v="8547.02"/>
    <n v="2698.05"/>
    <n v="71.34"/>
    <s v="EMI"/>
    <x v="2"/>
    <b v="0"/>
    <x v="1"/>
    <n v="9"/>
  </r>
  <r>
    <s v="ORD-00790"/>
    <x v="635"/>
    <x v="635"/>
    <s v="CUST03149"/>
    <s v="Vikram Mehta"/>
    <n v="36"/>
    <s v="Male"/>
    <x v="4"/>
    <s v="Chennai"/>
    <x v="0"/>
    <s v="Tea"/>
    <n v="8"/>
    <n v="312.61"/>
    <n v="0.28999999999999998"/>
    <n v="1360.85"/>
    <n v="78.900000000000006"/>
    <n v="88.49"/>
    <s v="Net Banking"/>
    <x v="2"/>
    <b v="0"/>
    <x v="1"/>
    <n v="9"/>
  </r>
  <r>
    <s v="ORD-03428"/>
    <x v="636"/>
    <x v="636"/>
    <s v="CUST34376"/>
    <s v="Ritu Reddy"/>
    <n v="13"/>
    <s v="Male"/>
    <x v="3"/>
    <s v="Patna"/>
    <x v="3"/>
    <s v="Biography"/>
    <n v="2"/>
    <n v="1074.9000000000001"/>
    <n v="0.35"/>
    <n v="1255.8499999999999"/>
    <n v="228.05"/>
    <n v="68.34"/>
    <s v="Debit Card"/>
    <x v="3"/>
    <b v="0"/>
    <x v="1"/>
    <n v="9"/>
  </r>
  <r>
    <s v="ORD-02988"/>
    <x v="637"/>
    <x v="637"/>
    <s v="CUST14176"/>
    <s v="Kavya Reddy"/>
    <n v="27"/>
    <s v="Male"/>
    <x v="0"/>
    <s v="Indore"/>
    <x v="5"/>
    <s v="Smartwatch"/>
    <n v="2"/>
    <n v="30216.69"/>
    <n v="0.16"/>
    <n v="77559.67"/>
    <n v="9624.5300000000007"/>
    <n v="80.069999999999993"/>
    <s v="EMI"/>
    <x v="3"/>
    <b v="0"/>
    <x v="4"/>
    <n v="5"/>
  </r>
  <r>
    <s v="ORD-01713"/>
    <x v="290"/>
    <x v="290"/>
    <s v="CUST87459"/>
    <s v="Sanjay Das"/>
    <n v="22"/>
    <s v="Male"/>
    <x v="4"/>
    <s v="Chennai"/>
    <x v="4"/>
    <s v="T-Shirt"/>
    <n v="9"/>
    <n v="766.29"/>
    <n v="0.28000000000000003"/>
    <n v="4890.43"/>
    <n v="1599.31"/>
    <n v="46.79"/>
    <s v="UPI"/>
    <x v="4"/>
    <b v="0"/>
    <x v="1"/>
    <n v="7"/>
  </r>
  <r>
    <s v="ORD-02220"/>
    <x v="638"/>
    <x v="638"/>
    <s v="CUST94861"/>
    <s v="Nikhil Patel"/>
    <n v="63"/>
    <s v="Female"/>
    <x v="1"/>
    <s v="Ahmedabad"/>
    <x v="6"/>
    <s v="Tennis Racket"/>
    <n v="1"/>
    <n v="9516.5400000000009"/>
    <n v="7.0000000000000007E-2"/>
    <n v="11604.33"/>
    <n v="2275.4"/>
    <n v="75.61"/>
    <s v="Debit Card"/>
    <x v="2"/>
    <b v="0"/>
    <x v="4"/>
    <n v="4"/>
  </r>
  <r>
    <s v="ORD-04056"/>
    <x v="221"/>
    <x v="221"/>
    <s v="CUST85837"/>
    <s v="Rohan Bhat"/>
    <n v="37"/>
    <s v="Female"/>
    <x v="2"/>
    <s v="Amritsar"/>
    <x v="4"/>
    <s v="T-Shirt"/>
    <n v="3"/>
    <n v="1187.4000000000001"/>
    <n v="0.35"/>
    <n v="2772.19"/>
    <n v="1166.8800000000001"/>
    <n v="39.79"/>
    <s v="Cash on Delivery"/>
    <x v="1"/>
    <b v="0"/>
    <x v="1"/>
    <n v="7"/>
  </r>
  <r>
    <s v="ORD-03871"/>
    <x v="639"/>
    <x v="639"/>
    <s v="CUST30080"/>
    <s v="Nisha Rao"/>
    <n v="40"/>
    <s v="Male"/>
    <x v="4"/>
    <s v="Hyderabad"/>
    <x v="2"/>
    <s v="Sofa"/>
    <n v="8"/>
    <n v="29325.03"/>
    <n v="0.33"/>
    <n v="238669.42"/>
    <n v="54334.41"/>
    <n v="57.12"/>
    <s v="Cash on Delivery"/>
    <x v="1"/>
    <b v="0"/>
    <x v="1"/>
    <n v="2"/>
  </r>
  <r>
    <s v="ORD-02903"/>
    <x v="640"/>
    <x v="640"/>
    <s v="CUST35531"/>
    <s v="Meera Iyer"/>
    <n v="39"/>
    <s v="Female"/>
    <x v="0"/>
    <s v="Nagpur"/>
    <x v="4"/>
    <s v="Jacket"/>
    <n v="7"/>
    <n v="983.45"/>
    <n v="0.03"/>
    <n v="11834.57"/>
    <n v="3889.86"/>
    <n v="67.48"/>
    <s v="Debit Card"/>
    <x v="2"/>
    <b v="1"/>
    <x v="0"/>
    <n v="10"/>
  </r>
  <r>
    <s v="ORD-02065"/>
    <x v="641"/>
    <x v="641"/>
    <s v="CUST70033"/>
    <s v="Nisha Sharma"/>
    <n v="31"/>
    <s v="Male"/>
    <x v="3"/>
    <s v="Guwahati"/>
    <x v="1"/>
    <s v="Lipstick"/>
    <n v="3"/>
    <n v="1275.56"/>
    <n v="0.37"/>
    <n v="3369.84"/>
    <n v="1461.23"/>
    <n v="99.3"/>
    <s v="Cash on Delivery"/>
    <x v="1"/>
    <b v="0"/>
    <x v="1"/>
    <n v="2"/>
  </r>
  <r>
    <s v="ORD-03223"/>
    <x v="642"/>
    <x v="642"/>
    <s v="CUST08748"/>
    <s v="Amit Sharma"/>
    <n v="44"/>
    <s v="Male"/>
    <x v="0"/>
    <s v="Nagpur"/>
    <x v="3"/>
    <s v="Fiction Novel"/>
    <n v="2"/>
    <n v="357.54"/>
    <n v="0.39"/>
    <n v="449.09"/>
    <n v="210.08"/>
    <n v="68.599999999999994"/>
    <s v="Net Banking"/>
    <x v="2"/>
    <b v="0"/>
    <x v="1"/>
    <n v="2"/>
  </r>
  <r>
    <s v="ORD-02837"/>
    <x v="117"/>
    <x v="117"/>
    <s v="CUST35159"/>
    <s v="Deepa Rao"/>
    <n v="55"/>
    <s v="Female"/>
    <x v="2"/>
    <s v="Chandigarh"/>
    <x v="5"/>
    <s v="Smartphone"/>
    <n v="5"/>
    <n v="25313.99"/>
    <n v="0.27"/>
    <n v="29639.22"/>
    <n v="4402.1400000000003"/>
    <n v="51.93"/>
    <s v="Debit Card"/>
    <x v="2"/>
    <b v="0"/>
    <x v="1"/>
    <n v="3"/>
  </r>
  <r>
    <s v="ORD-02611"/>
    <x v="643"/>
    <x v="643"/>
    <s v="CUST82751"/>
    <s v="Vikram Verma"/>
    <n v="24"/>
    <s v="Female"/>
    <x v="2"/>
    <s v="Ludhiana"/>
    <x v="3"/>
    <s v="Comic Book"/>
    <n v="9"/>
    <n v="1219.1099999999999"/>
    <n v="0.09"/>
    <n v="11967.15"/>
    <n v="4663.6899999999996"/>
    <n v="73.88"/>
    <s v="Debit Card"/>
    <x v="4"/>
    <b v="0"/>
    <x v="1"/>
    <n v="9"/>
  </r>
  <r>
    <s v="ORD-00288"/>
    <x v="4"/>
    <x v="4"/>
    <s v="CUST56916"/>
    <s v="Shreya Mishra"/>
    <n v="38"/>
    <s v="Male"/>
    <x v="1"/>
    <s v="Mumbai"/>
    <x v="3"/>
    <s v="Cook Book"/>
    <n v="2"/>
    <n v="713.5"/>
    <n v="0.03"/>
    <n v="1825.08"/>
    <n v="867.87"/>
    <n v="54.38"/>
    <s v="Debit Card"/>
    <x v="0"/>
    <b v="0"/>
    <x v="1"/>
    <n v="3"/>
  </r>
  <r>
    <s v="ORD-00962"/>
    <x v="644"/>
    <x v="644"/>
    <s v="CUST30724"/>
    <s v="Amit Sharma"/>
    <n v="51"/>
    <s v="Female"/>
    <x v="2"/>
    <s v="Delhi"/>
    <x v="0"/>
    <s v="Sugar"/>
    <n v="5"/>
    <n v="432.25"/>
    <n v="0.01"/>
    <n v="2079.81"/>
    <n v="177.78"/>
    <n v="37.049999999999997"/>
    <s v="EMI"/>
    <x v="3"/>
    <b v="0"/>
    <x v="1"/>
    <n v="10"/>
  </r>
  <r>
    <s v="ORD-00911"/>
    <x v="645"/>
    <x v="645"/>
    <s v="CUST78268"/>
    <s v="Shreya Sharma"/>
    <n v="21"/>
    <s v="Female"/>
    <x v="3"/>
    <s v="Guwahati"/>
    <x v="6"/>
    <s v="Football"/>
    <n v="6"/>
    <n v="9644.7800000000007"/>
    <n v="0.12"/>
    <n v="53077.760000000002"/>
    <n v="12558.1"/>
    <n v="95.75"/>
    <s v="Debit Card"/>
    <x v="0"/>
    <b v="0"/>
    <x v="4"/>
    <n v="9"/>
  </r>
  <r>
    <s v="ORD-02833"/>
    <x v="262"/>
    <x v="262"/>
    <s v="CUST95416"/>
    <s v="Rahul Singh"/>
    <n v="51"/>
    <s v="Male"/>
    <x v="2"/>
    <s v="Chandigarh"/>
    <x v="3"/>
    <s v="Textbook"/>
    <n v="6"/>
    <n v="473"/>
    <n v="0.16"/>
    <n v="4064.17"/>
    <n v="1153.73"/>
    <n v="55.81"/>
    <s v="Credit Card"/>
    <x v="4"/>
    <b v="1"/>
    <x v="0"/>
    <n v="4"/>
  </r>
  <r>
    <s v="ORD-00691"/>
    <x v="186"/>
    <x v="186"/>
    <s v="CUST03760"/>
    <s v="Shreya Bose"/>
    <n v="36"/>
    <s v="Male"/>
    <x v="4"/>
    <s v="Hyderabad"/>
    <x v="4"/>
    <s v="Saree"/>
    <n v="9"/>
    <n v="1818.25"/>
    <n v="0.15"/>
    <n v="10464.16"/>
    <n v="4513.75"/>
    <n v="74.959999999999994"/>
    <s v="EMI"/>
    <x v="2"/>
    <b v="0"/>
    <x v="1"/>
    <n v="4"/>
  </r>
  <r>
    <s v="ORD-02089"/>
    <x v="614"/>
    <x v="614"/>
    <s v="CUST77763"/>
    <s v="Shreya Nair"/>
    <n v="25"/>
    <s v="Male"/>
    <x v="2"/>
    <s v="Ludhiana"/>
    <x v="2"/>
    <s v="Bed Frame"/>
    <n v="6"/>
    <n v="28297.1"/>
    <n v="0.3"/>
    <n v="183102.21"/>
    <n v="41267.82"/>
    <n v="77.25"/>
    <s v="Credit Card"/>
    <x v="4"/>
    <b v="0"/>
    <x v="1"/>
    <n v="3"/>
  </r>
  <r>
    <s v="ORD-03147"/>
    <x v="646"/>
    <x v="646"/>
    <s v="CUST30274"/>
    <s v="Shreya Bhat"/>
    <n v="29"/>
    <s v="Other"/>
    <x v="4"/>
    <s v="Bangalore"/>
    <x v="6"/>
    <s v="Football"/>
    <n v="1"/>
    <n v="12275.23"/>
    <n v="0.09"/>
    <n v="12167.28"/>
    <n v="2949.77"/>
    <n v="58.94"/>
    <s v="Debit Card"/>
    <x v="0"/>
    <b v="1"/>
    <x v="0"/>
    <n v="6"/>
  </r>
  <r>
    <s v="ORD-02100"/>
    <x v="647"/>
    <x v="647"/>
    <s v="CUST74233"/>
    <s v="Nisha Chatterjee"/>
    <n v="28"/>
    <s v="Other"/>
    <x v="0"/>
    <s v="Raipur"/>
    <x v="0"/>
    <s v="Rice (5kg)"/>
    <n v="2"/>
    <n v="116.27"/>
    <n v="0.28000000000000003"/>
    <n v="240.6"/>
    <n v="20.5"/>
    <n v="46.11"/>
    <s v="Cash on Delivery"/>
    <x v="3"/>
    <b v="0"/>
    <x v="2"/>
    <n v="9"/>
  </r>
  <r>
    <s v="ORD-02626"/>
    <x v="423"/>
    <x v="423"/>
    <s v="CUST69406"/>
    <s v="Sunita Iyer"/>
    <n v="47"/>
    <s v="Other"/>
    <x v="2"/>
    <s v="Chandigarh"/>
    <x v="5"/>
    <s v="Smartwatch"/>
    <n v="10"/>
    <n v="19057.82"/>
    <n v="0.26"/>
    <n v="148714.97"/>
    <n v="19803.29"/>
    <n v="66.52"/>
    <s v="Net Banking"/>
    <x v="4"/>
    <b v="1"/>
    <x v="0"/>
    <n v="10"/>
  </r>
  <r>
    <s v="ORD-02131"/>
    <x v="648"/>
    <x v="648"/>
    <s v="CUST50804"/>
    <s v="Nisha Bose"/>
    <n v="22"/>
    <s v="Female"/>
    <x v="0"/>
    <s v="Bhopal"/>
    <x v="0"/>
    <s v="Dal (1kg)"/>
    <n v="9"/>
    <n v="422.02"/>
    <n v="0.37"/>
    <n v="3424.01"/>
    <n v="264.5"/>
    <n v="83.86"/>
    <s v="Net Banking"/>
    <x v="0"/>
    <b v="1"/>
    <x v="0"/>
    <n v="4"/>
  </r>
  <r>
    <s v="ORD-02079"/>
    <x v="649"/>
    <x v="649"/>
    <s v="CUST04011"/>
    <s v="Ananya Mehta"/>
    <n v="42"/>
    <s v="Male"/>
    <x v="4"/>
    <s v="Kochi"/>
    <x v="4"/>
    <s v="T-Shirt"/>
    <n v="8"/>
    <n v="946.16"/>
    <n v="0.31"/>
    <n v="7291.61"/>
    <n v="3065.47"/>
    <n v="76.81"/>
    <s v="UPI"/>
    <x v="3"/>
    <b v="0"/>
    <x v="1"/>
    <n v="8"/>
  </r>
  <r>
    <s v="ORD-03669"/>
    <x v="650"/>
    <x v="650"/>
    <s v="CUST16468"/>
    <s v="Arjun Sharma"/>
    <n v="48"/>
    <s v="Male"/>
    <x v="0"/>
    <s v="Bhopal"/>
    <x v="4"/>
    <s v="Dress"/>
    <n v="6"/>
    <n v="483.3"/>
    <n v="0.35"/>
    <n v="3056.64"/>
    <n v="1071.72"/>
    <n v="37.229999999999997"/>
    <s v="Credit Card"/>
    <x v="0"/>
    <b v="0"/>
    <x v="1"/>
    <n v="2"/>
  </r>
  <r>
    <s v="ORD-02750"/>
    <x v="334"/>
    <x v="334"/>
    <s v="CUST50334"/>
    <s v="Priya Singh"/>
    <n v="19"/>
    <s v="Male"/>
    <x v="1"/>
    <s v="Ahmedabad"/>
    <x v="4"/>
    <s v="Kurta"/>
    <n v="2"/>
    <n v="3794.57"/>
    <n v="0.05"/>
    <n v="9475.19"/>
    <n v="3916.81"/>
    <n v="23.37"/>
    <s v="EMI"/>
    <x v="1"/>
    <b v="0"/>
    <x v="1"/>
    <n v="3"/>
  </r>
  <r>
    <s v="ORD-03909"/>
    <x v="402"/>
    <x v="402"/>
    <s v="CUST57051"/>
    <s v="Pooja Chatterjee"/>
    <n v="31"/>
    <s v="Male"/>
    <x v="2"/>
    <s v="Ludhiana"/>
    <x v="1"/>
    <s v="Face Cream"/>
    <n v="2"/>
    <n v="1235.5899999999999"/>
    <n v="0.05"/>
    <n v="4007.33"/>
    <n v="1780.2"/>
    <n v="44.87"/>
    <s v="Credit Card"/>
    <x v="4"/>
    <b v="0"/>
    <x v="1"/>
    <n v="3"/>
  </r>
  <r>
    <s v="ORD-00858"/>
    <x v="651"/>
    <x v="651"/>
    <s v="CUST72879"/>
    <s v="Aditya Pillai"/>
    <n v="27"/>
    <s v="Male"/>
    <x v="0"/>
    <s v="Bhopal"/>
    <x v="6"/>
    <s v="Dumbbells"/>
    <n v="7"/>
    <n v="14159.23"/>
    <n v="0.18"/>
    <n v="67291.55"/>
    <n v="15098.91"/>
    <n v="65.260000000000005"/>
    <s v="EMI"/>
    <x v="1"/>
    <b v="0"/>
    <x v="4"/>
    <n v="1"/>
  </r>
  <r>
    <s v="ORD-00655"/>
    <x v="652"/>
    <x v="652"/>
    <s v="CUST05466"/>
    <s v="Karan Kapoor"/>
    <n v="36"/>
    <s v="Female"/>
    <x v="1"/>
    <s v="Ahmedabad"/>
    <x v="2"/>
    <s v="Bed Frame"/>
    <n v="8"/>
    <n v="32918.629999999997"/>
    <n v="0.14000000000000001"/>
    <n v="208563.97"/>
    <n v="70073.179999999993"/>
    <n v="49.07"/>
    <s v="Credit Card"/>
    <x v="0"/>
    <b v="0"/>
    <x v="1"/>
    <n v="1"/>
  </r>
  <r>
    <s v="ORD-02447"/>
    <x v="312"/>
    <x v="312"/>
    <s v="CUST28654"/>
    <s v="Ananya Singh"/>
    <n v="34"/>
    <s v="Other"/>
    <x v="2"/>
    <s v="Amritsar"/>
    <x v="0"/>
    <s v="Tea"/>
    <n v="3"/>
    <n v="394.51"/>
    <n v="0.05"/>
    <n v="858.05"/>
    <n v="56.54"/>
    <n v="50.11"/>
    <s v="UPI"/>
    <x v="3"/>
    <b v="0"/>
    <x v="4"/>
    <n v="7"/>
  </r>
  <r>
    <s v="ORD-03981"/>
    <x v="653"/>
    <x v="653"/>
    <s v="CUST77329"/>
    <s v="Sanjay Mehta"/>
    <n v="34"/>
    <s v="Female"/>
    <x v="0"/>
    <s v="Indore"/>
    <x v="0"/>
    <s v="Rice (5kg)"/>
    <n v="8"/>
    <n v="383.85"/>
    <n v="0.39"/>
    <n v="2308.0500000000002"/>
    <n v="155.62"/>
    <n v="57.65"/>
    <s v="Cash on Delivery"/>
    <x v="4"/>
    <b v="0"/>
    <x v="1"/>
    <n v="10"/>
  </r>
  <r>
    <s v="ORD-03668"/>
    <x v="286"/>
    <x v="286"/>
    <s v="CUST73443"/>
    <s v="Vikram Pillai"/>
    <n v="21"/>
    <s v="Female"/>
    <x v="3"/>
    <s v="Patna"/>
    <x v="2"/>
    <s v="Wardrobe"/>
    <n v="6"/>
    <n v="17147.62"/>
    <n v="0.11"/>
    <n v="182249.65"/>
    <n v="41080.800000000003"/>
    <n v="87.27"/>
    <s v="Credit Card"/>
    <x v="4"/>
    <b v="0"/>
    <x v="1"/>
    <n v="4"/>
  </r>
  <r>
    <s v="ORD-00312"/>
    <x v="654"/>
    <x v="654"/>
    <s v="CUST15821"/>
    <s v="Karan Kumar"/>
    <n v="39"/>
    <s v="Female"/>
    <x v="2"/>
    <s v="Amritsar"/>
    <x v="4"/>
    <s v="Kurta"/>
    <n v="1"/>
    <n v="507.78"/>
    <n v="0.16"/>
    <n v="592.57000000000005"/>
    <n v="186.17"/>
    <n v="30.01"/>
    <s v="Cash on Delivery"/>
    <x v="4"/>
    <b v="0"/>
    <x v="1"/>
    <n v="10"/>
  </r>
  <r>
    <s v="ORD-02446"/>
    <x v="312"/>
    <x v="312"/>
    <s v="CUST10062"/>
    <s v="Sanjay Bhat"/>
    <n v="65"/>
    <s v="Female"/>
    <x v="2"/>
    <s v="Delhi"/>
    <x v="1"/>
    <s v="Lipstick"/>
    <n v="3"/>
    <n v="2301.12"/>
    <n v="0.01"/>
    <n v="5967.23"/>
    <n v="3374.68"/>
    <n v="44.75"/>
    <s v="Debit Card"/>
    <x v="0"/>
    <b v="0"/>
    <x v="1"/>
    <n v="9"/>
  </r>
  <r>
    <s v="ORD-01508"/>
    <x v="655"/>
    <x v="655"/>
    <s v="CUST17295"/>
    <s v="Sanjay Sharma"/>
    <n v="36"/>
    <s v="Male"/>
    <x v="4"/>
    <s v="Kochi"/>
    <x v="4"/>
    <s v="Jacket"/>
    <n v="8"/>
    <n v="371.01"/>
    <n v="0.05"/>
    <n v="2211.38"/>
    <n v="677.75"/>
    <n v="90.52"/>
    <s v="Debit Card"/>
    <x v="0"/>
    <b v="0"/>
    <x v="1"/>
    <n v="4"/>
  </r>
  <r>
    <s v="ORD-02907"/>
    <x v="7"/>
    <x v="7"/>
    <s v="CUST44256"/>
    <s v="Sanjay Iyer"/>
    <n v="46"/>
    <s v="Male"/>
    <x v="1"/>
    <s v="Ahmedabad"/>
    <x v="5"/>
    <s v="Headphones"/>
    <n v="9"/>
    <n v="31196.73"/>
    <n v="0.12"/>
    <n v="368280.67"/>
    <n v="38060.11"/>
    <n v="59.85"/>
    <s v="UPI"/>
    <x v="4"/>
    <b v="0"/>
    <x v="1"/>
    <n v="1"/>
  </r>
  <r>
    <s v="ORD-01624"/>
    <x v="656"/>
    <x v="656"/>
    <s v="CUST88996"/>
    <s v="Nisha Singh"/>
    <n v="17"/>
    <s v="Male"/>
    <x v="1"/>
    <s v="Mumbai"/>
    <x v="1"/>
    <s v="Shampoo"/>
    <n v="1"/>
    <n v="2178.9699999999998"/>
    <n v="0.2"/>
    <n v="1341.05"/>
    <n v="779.45"/>
    <n v="65.86"/>
    <s v="Debit Card"/>
    <x v="3"/>
    <b v="1"/>
    <x v="0"/>
    <n v="9"/>
  </r>
  <r>
    <s v="ORD-00260"/>
    <x v="657"/>
    <x v="657"/>
    <s v="CUST61424"/>
    <s v="Ananya Gupta"/>
    <n v="33"/>
    <s v="Other"/>
    <x v="3"/>
    <s v="Bhubaneswar"/>
    <x v="2"/>
    <s v="Bed Frame"/>
    <n v="5"/>
    <n v="26679.1"/>
    <n v="0.14000000000000001"/>
    <n v="122018.19"/>
    <n v="34943.360000000001"/>
    <n v="84.72"/>
    <s v="Cash on Delivery"/>
    <x v="2"/>
    <b v="0"/>
    <x v="4"/>
    <n v="6"/>
  </r>
  <r>
    <s v="ORD-03119"/>
    <x v="379"/>
    <x v="379"/>
    <s v="CUST59443"/>
    <s v="Karan Bose"/>
    <n v="42"/>
    <s v="Female"/>
    <x v="2"/>
    <s v="Amritsar"/>
    <x v="2"/>
    <s v="Bed Frame"/>
    <n v="5"/>
    <n v="12592.51"/>
    <n v="0.28000000000000003"/>
    <n v="61837.22"/>
    <n v="19148.11"/>
    <n v="45.88"/>
    <s v="UPI"/>
    <x v="4"/>
    <b v="1"/>
    <x v="0"/>
    <n v="5"/>
  </r>
  <r>
    <s v="ORD-00420"/>
    <x v="658"/>
    <x v="658"/>
    <s v="CUST53531"/>
    <s v="Kavya Patel"/>
    <n v="30"/>
    <s v="Female"/>
    <x v="0"/>
    <s v="Bhopal"/>
    <x v="5"/>
    <s v="Laptop"/>
    <n v="3"/>
    <n v="65806.63"/>
    <n v="0.38"/>
    <n v="148143.49"/>
    <n v="17001.53"/>
    <n v="32.06"/>
    <s v="EMI"/>
    <x v="3"/>
    <b v="0"/>
    <x v="1"/>
    <n v="10"/>
  </r>
  <r>
    <s v="ORD-02767"/>
    <x v="659"/>
    <x v="659"/>
    <s v="CUST75550"/>
    <s v="Deepa Rao"/>
    <n v="53"/>
    <s v="Other"/>
    <x v="4"/>
    <s v="Bangalore"/>
    <x v="0"/>
    <s v="Cooking Oil"/>
    <n v="5"/>
    <n v="185.61"/>
    <n v="0.27"/>
    <n v="977.56"/>
    <n v="69.040000000000006"/>
    <n v="58.1"/>
    <s v="EMI"/>
    <x v="1"/>
    <b v="0"/>
    <x v="1"/>
    <n v="2"/>
  </r>
  <r>
    <s v="ORD-00377"/>
    <x v="660"/>
    <x v="660"/>
    <s v="CUST66402"/>
    <s v="Sunita Rao"/>
    <n v="33"/>
    <s v="Other"/>
    <x v="0"/>
    <s v="Raipur"/>
    <x v="3"/>
    <s v="Self-Help Book"/>
    <n v="3"/>
    <n v="575.95000000000005"/>
    <n v="0"/>
    <n v="2110.73"/>
    <n v="792.19"/>
    <n v="70.41"/>
    <s v="Cash on Delivery"/>
    <x v="0"/>
    <b v="0"/>
    <x v="1"/>
    <n v="9"/>
  </r>
  <r>
    <s v="ORD-00456"/>
    <x v="214"/>
    <x v="214"/>
    <s v="CUST76466"/>
    <s v="Nikhil Singh"/>
    <n v="56"/>
    <s v="Female"/>
    <x v="0"/>
    <s v="Raipur"/>
    <x v="0"/>
    <s v="Rice (5kg)"/>
    <n v="8"/>
    <n v="353.32"/>
    <n v="0.31"/>
    <n v="2484.7800000000002"/>
    <n v="174.59"/>
    <n v="72.56"/>
    <s v="Net Banking"/>
    <x v="0"/>
    <b v="0"/>
    <x v="4"/>
    <n v="5"/>
  </r>
  <r>
    <s v="ORD-03233"/>
    <x v="661"/>
    <x v="661"/>
    <s v="CUST27413"/>
    <s v="Amit Gupta"/>
    <n v="23"/>
    <s v="Female"/>
    <x v="4"/>
    <s v="Hyderabad"/>
    <x v="4"/>
    <s v="Jacket"/>
    <n v="8"/>
    <n v="1084.06"/>
    <n v="0.19"/>
    <n v="7119.27"/>
    <n v="2636.93"/>
    <n v="74.709999999999994"/>
    <s v="EMI"/>
    <x v="1"/>
    <b v="0"/>
    <x v="3"/>
    <n v="3"/>
  </r>
  <r>
    <s v="ORD-02244"/>
    <x v="662"/>
    <x v="662"/>
    <s v="CUST41690"/>
    <s v="Sanjay Joshi"/>
    <n v="37"/>
    <s v="Other"/>
    <x v="0"/>
    <s v="Raipur"/>
    <x v="0"/>
    <s v="Tea"/>
    <n v="10"/>
    <n v="133.19999999999999"/>
    <n v="0.32"/>
    <n v="1074.27"/>
    <n v="100.19"/>
    <n v="64.48"/>
    <s v="EMI"/>
    <x v="0"/>
    <b v="0"/>
    <x v="1"/>
    <n v="8"/>
  </r>
  <r>
    <s v="ORD-01182"/>
    <x v="663"/>
    <x v="663"/>
    <s v="CUST88678"/>
    <s v="Deepa Sharma"/>
    <n v="40"/>
    <s v="Female"/>
    <x v="1"/>
    <s v="Pune"/>
    <x v="5"/>
    <s v="Smartphone"/>
    <n v="9"/>
    <n v="72408.179999999993"/>
    <n v="0.22"/>
    <n v="748589.49"/>
    <n v="103509.24"/>
    <n v="41.95"/>
    <s v="Debit Card"/>
    <x v="1"/>
    <b v="0"/>
    <x v="1"/>
    <n v="3"/>
  </r>
  <r>
    <s v="ORD-01343"/>
    <x v="615"/>
    <x v="615"/>
    <s v="CUST26367"/>
    <s v="Vikram Bose"/>
    <n v="55"/>
    <s v="Female"/>
    <x v="3"/>
    <s v="Bhubaneswar"/>
    <x v="6"/>
    <s v="Tennis Racket"/>
    <n v="4"/>
    <n v="14419.59"/>
    <n v="0.34"/>
    <n v="44932.24"/>
    <n v="11862.97"/>
    <n v="63.9"/>
    <s v="UPI"/>
    <x v="3"/>
    <b v="0"/>
    <x v="1"/>
    <n v="4"/>
  </r>
  <r>
    <s v="ORD-01071"/>
    <x v="664"/>
    <x v="664"/>
    <s v="CUST61699"/>
    <s v="Rahul Verma"/>
    <n v="31"/>
    <s v="Male"/>
    <x v="0"/>
    <s v="Raipur"/>
    <x v="2"/>
    <s v="Wardrobe"/>
    <n v="1"/>
    <n v="2601.5100000000002"/>
    <n v="0.02"/>
    <n v="3057.58"/>
    <n v="856.37"/>
    <n v="47.41"/>
    <s v="Net Banking"/>
    <x v="3"/>
    <b v="1"/>
    <x v="0"/>
    <n v="9"/>
  </r>
  <r>
    <s v="ORD-00102"/>
    <x v="63"/>
    <x v="63"/>
    <s v="CUST59146"/>
    <s v="Nikhil Kapoor"/>
    <n v="39"/>
    <s v="Other"/>
    <x v="3"/>
    <s v="Kolkata"/>
    <x v="0"/>
    <s v="Cooking Oil"/>
    <n v="4"/>
    <n v="151.09"/>
    <n v="0.02"/>
    <n v="515.74"/>
    <n v="42.51"/>
    <n v="80.209999999999994"/>
    <s v="Debit Card"/>
    <x v="3"/>
    <b v="0"/>
    <x v="1"/>
    <n v="10"/>
  </r>
  <r>
    <s v="ORD-00755"/>
    <x v="665"/>
    <x v="665"/>
    <s v="CUST00745"/>
    <s v="Ananya Mehta"/>
    <n v="40"/>
    <s v="Male"/>
    <x v="3"/>
    <s v="Kolkata"/>
    <x v="5"/>
    <s v="Camera"/>
    <n v="9"/>
    <n v="71873.78"/>
    <n v="0"/>
    <n v="456663.98"/>
    <n v="59316.97"/>
    <n v="91.31"/>
    <s v="Credit Card"/>
    <x v="1"/>
    <b v="0"/>
    <x v="1"/>
    <n v="7"/>
  </r>
  <r>
    <s v="ORD-04058"/>
    <x v="126"/>
    <x v="126"/>
    <s v="CUST87657"/>
    <s v="Arjun Bhat"/>
    <n v="27"/>
    <s v="Male"/>
    <x v="1"/>
    <s v="Pune"/>
    <x v="1"/>
    <s v="Shampoo"/>
    <n v="6"/>
    <n v="2486.23"/>
    <n v="0.11"/>
    <n v="13804.56"/>
    <n v="6763.76"/>
    <n v="65.88"/>
    <s v="Cash on Delivery"/>
    <x v="2"/>
    <b v="1"/>
    <x v="0"/>
    <n v="8"/>
  </r>
  <r>
    <s v="ORD-00795"/>
    <x v="112"/>
    <x v="112"/>
    <s v="CUST00853"/>
    <s v="Pooja Chatterjee"/>
    <n v="52"/>
    <s v="Other"/>
    <x v="0"/>
    <s v="Raipur"/>
    <x v="0"/>
    <s v="Cooking Oil"/>
    <n v="7"/>
    <n v="103.75"/>
    <n v="0.32"/>
    <n v="344.42"/>
    <n v="34.770000000000003"/>
    <n v="67.069999999999993"/>
    <s v="Debit Card"/>
    <x v="1"/>
    <b v="0"/>
    <x v="1"/>
    <n v="4"/>
  </r>
  <r>
    <s v="ORD-02245"/>
    <x v="59"/>
    <x v="59"/>
    <s v="CUST73701"/>
    <s v="Deepa Patel"/>
    <n v="34"/>
    <s v="Other"/>
    <x v="4"/>
    <s v="Kochi"/>
    <x v="5"/>
    <s v="Laptop"/>
    <n v="4"/>
    <n v="45635.8"/>
    <n v="0.04"/>
    <n v="195002.92"/>
    <n v="30972.52"/>
    <n v="69.48"/>
    <s v="Net Banking"/>
    <x v="2"/>
    <b v="0"/>
    <x v="1"/>
    <n v="1"/>
  </r>
  <r>
    <s v="ORD-01270"/>
    <x v="666"/>
    <x v="666"/>
    <s v="CUST77971"/>
    <s v="Meera Joshi"/>
    <n v="26"/>
    <s v="Male"/>
    <x v="4"/>
    <s v="Bangalore"/>
    <x v="0"/>
    <s v="Rice (5kg)"/>
    <n v="8"/>
    <n v="239.96"/>
    <n v="0.33"/>
    <n v="1605.72"/>
    <n v="116.65"/>
    <n v="35.590000000000003"/>
    <s v="Credit Card"/>
    <x v="0"/>
    <b v="0"/>
    <x v="1"/>
    <n v="4"/>
  </r>
  <r>
    <s v="ORD-03463"/>
    <x v="667"/>
    <x v="667"/>
    <s v="CUST64065"/>
    <s v="Deepa Rao"/>
    <n v="16"/>
    <s v="Male"/>
    <x v="3"/>
    <s v="Kolkata"/>
    <x v="0"/>
    <s v="Dal (1kg)"/>
    <n v="1"/>
    <n v="65.16"/>
    <n v="7.0000000000000007E-2"/>
    <n v="72.22"/>
    <n v="7.37"/>
    <n v="93.34"/>
    <s v="EMI"/>
    <x v="0"/>
    <b v="0"/>
    <x v="1"/>
    <n v="3"/>
  </r>
  <r>
    <s v="ORD-03213"/>
    <x v="668"/>
    <x v="668"/>
    <s v="CUST91826"/>
    <s v="Sanjay Patel"/>
    <n v="40"/>
    <s v="Other"/>
    <x v="2"/>
    <s v="Delhi"/>
    <x v="2"/>
    <s v="Sofa"/>
    <n v="10"/>
    <n v="6877.63"/>
    <n v="0.32"/>
    <n v="49127.13"/>
    <n v="15040.93"/>
    <n v="38.46"/>
    <s v="Credit Card"/>
    <x v="0"/>
    <b v="0"/>
    <x v="1"/>
    <n v="8"/>
  </r>
  <r>
    <s v="ORD-02929"/>
    <x v="581"/>
    <x v="581"/>
    <s v="CUST82307"/>
    <s v="Sanjay Kumar"/>
    <n v="28"/>
    <s v="Male"/>
    <x v="1"/>
    <s v="Mumbai"/>
    <x v="5"/>
    <s v="Camera"/>
    <n v="8"/>
    <n v="11278.1"/>
    <n v="0.36"/>
    <n v="103626.93"/>
    <n v="9357.16"/>
    <n v="60.7"/>
    <s v="Net Banking"/>
    <x v="0"/>
    <b v="0"/>
    <x v="1"/>
    <n v="8"/>
  </r>
  <r>
    <s v="ORD-01420"/>
    <x v="622"/>
    <x v="622"/>
    <s v="CUST46668"/>
    <s v="Ananya Reddy"/>
    <n v="28"/>
    <s v="Other"/>
    <x v="3"/>
    <s v="Bhubaneswar"/>
    <x v="1"/>
    <s v="Lipstick"/>
    <n v="2"/>
    <n v="796.25"/>
    <n v="0.21"/>
    <n v="1450.96"/>
    <n v="572.79999999999995"/>
    <n v="70.91"/>
    <s v="EMI"/>
    <x v="0"/>
    <b v="0"/>
    <x v="1"/>
    <n v="3"/>
  </r>
  <r>
    <s v="ORD-01441"/>
    <x v="582"/>
    <x v="582"/>
    <s v="CUST46668"/>
    <s v="Karan Bhat"/>
    <n v="36"/>
    <s v="Female"/>
    <x v="1"/>
    <s v="Pune"/>
    <x v="3"/>
    <s v="Biography"/>
    <n v="7"/>
    <n v="1187.0999999999999"/>
    <n v="0.13"/>
    <n v="6671.63"/>
    <n v="2154.79"/>
    <n v="88.18"/>
    <s v="EMI"/>
    <x v="0"/>
    <b v="0"/>
    <x v="1"/>
    <n v="5"/>
  </r>
  <r>
    <s v="ORD-01615"/>
    <x v="669"/>
    <x v="669"/>
    <s v="CUST49728"/>
    <s v="Sunita Singh"/>
    <n v="32"/>
    <s v="Female"/>
    <x v="0"/>
    <s v="Bhopal"/>
    <x v="4"/>
    <s v="Jacket"/>
    <n v="3"/>
    <n v="3628.14"/>
    <n v="0.24"/>
    <n v="6186.65"/>
    <n v="2322.3200000000002"/>
    <n v="52.79"/>
    <s v="EMI"/>
    <x v="3"/>
    <b v="0"/>
    <x v="1"/>
    <n v="1"/>
  </r>
  <r>
    <s v="ORD-02718"/>
    <x v="447"/>
    <x v="447"/>
    <s v="CUST87274"/>
    <s v="Deepa Kumar"/>
    <n v="40"/>
    <s v="Male"/>
    <x v="4"/>
    <s v="Chennai"/>
    <x v="1"/>
    <s v="Perfume"/>
    <n v="5"/>
    <n v="1290.8800000000001"/>
    <n v="0.31"/>
    <n v="991.85"/>
    <n v="309.77999999999997"/>
    <n v="68.06"/>
    <s v="Cash on Delivery"/>
    <x v="4"/>
    <b v="1"/>
    <x v="0"/>
    <n v="5"/>
  </r>
  <r>
    <s v="ORD-02739"/>
    <x v="670"/>
    <x v="670"/>
    <s v="CUST55589"/>
    <s v="Priya Mishra"/>
    <n v="36"/>
    <s v="Male"/>
    <x v="2"/>
    <s v="Amritsar"/>
    <x v="6"/>
    <s v="Tennis Racket"/>
    <n v="8"/>
    <n v="12824.11"/>
    <n v="0.11"/>
    <n v="124055.48"/>
    <n v="29606.32"/>
    <n v="76.78"/>
    <s v="Cash on Delivery"/>
    <x v="3"/>
    <b v="0"/>
    <x v="1"/>
    <n v="6"/>
  </r>
  <r>
    <s v="ORD-02536"/>
    <x v="671"/>
    <x v="671"/>
    <s v="CUST18948"/>
    <s v="Amit Shah"/>
    <n v="51"/>
    <s v="Male"/>
    <x v="1"/>
    <s v="Surat"/>
    <x v="1"/>
    <s v="Perfume"/>
    <n v="3"/>
    <n v="1967.85"/>
    <n v="0.31"/>
    <n v="3268.13"/>
    <n v="1309.3499999999999"/>
    <n v="55"/>
    <s v="Cash on Delivery"/>
    <x v="0"/>
    <b v="0"/>
    <x v="1"/>
    <n v="2"/>
  </r>
  <r>
    <s v="ORD-01654"/>
    <x v="672"/>
    <x v="672"/>
    <s v="CUST39219"/>
    <s v="Meera Iyer"/>
    <n v="5"/>
    <s v="Male"/>
    <x v="3"/>
    <s v="Kolkata"/>
    <x v="4"/>
    <s v="T-Shirt"/>
    <n v="1"/>
    <n v="1100.4000000000001"/>
    <n v="0.24"/>
    <n v="775.04"/>
    <n v="226.32"/>
    <n v="62.15"/>
    <s v="Credit Card"/>
    <x v="3"/>
    <b v="0"/>
    <x v="1"/>
    <n v="8"/>
  </r>
  <r>
    <s v="ORD-03905"/>
    <x v="0"/>
    <x v="0"/>
    <s v="CUST19408"/>
    <s v="Rohan Mehta"/>
    <n v="37"/>
    <s v="Male"/>
    <x v="3"/>
    <s v="Guwahati"/>
    <x v="0"/>
    <s v="Rice (5kg)"/>
    <n v="9"/>
    <n v="239.9"/>
    <n v="0.31"/>
    <n v="2368.54"/>
    <n v="226.16"/>
    <n v="93.43"/>
    <s v="Cash on Delivery"/>
    <x v="1"/>
    <b v="0"/>
    <x v="1"/>
    <n v="1"/>
  </r>
  <r>
    <s v="ORD-01309"/>
    <x v="124"/>
    <x v="124"/>
    <s v="CUST97836"/>
    <s v="Arjun Sharma"/>
    <n v="34"/>
    <s v="Male"/>
    <x v="3"/>
    <s v="Guwahati"/>
    <x v="1"/>
    <s v="Sunscreen"/>
    <n v="5"/>
    <n v="1439.39"/>
    <n v="0.21"/>
    <n v="10354.540000000001"/>
    <n v="4272.04"/>
    <n v="86.11"/>
    <s v="Debit Card"/>
    <x v="0"/>
    <b v="0"/>
    <x v="1"/>
    <n v="5"/>
  </r>
  <r>
    <s v="ORD-00750"/>
    <x v="226"/>
    <x v="226"/>
    <s v="CUST88589"/>
    <s v="Karan Joshi"/>
    <n v="47"/>
    <s v="Female"/>
    <x v="1"/>
    <s v="Surat"/>
    <x v="1"/>
    <s v="Sunscreen"/>
    <n v="2"/>
    <n v="2232.87"/>
    <n v="0.03"/>
    <n v="2646.86"/>
    <n v="806.76"/>
    <n v="54.23"/>
    <s v="UPI"/>
    <x v="3"/>
    <b v="0"/>
    <x v="4"/>
    <n v="8"/>
  </r>
  <r>
    <s v="ORD-01082"/>
    <x v="673"/>
    <x v="673"/>
    <s v="CUST69812"/>
    <s v="Ritu Kapoor"/>
    <n v="44"/>
    <s v="Other"/>
    <x v="3"/>
    <s v="Kolkata"/>
    <x v="3"/>
    <s v="Comic Book"/>
    <n v="10"/>
    <n v="924.25"/>
    <n v="0.28000000000000003"/>
    <n v="8777.25"/>
    <n v="3626.02"/>
    <n v="85.57"/>
    <s v="Cash on Delivery"/>
    <x v="2"/>
    <b v="0"/>
    <x v="1"/>
    <n v="10"/>
  </r>
  <r>
    <s v="ORD-00392"/>
    <x v="674"/>
    <x v="674"/>
    <s v="CUST50327"/>
    <s v="Aarav Singh"/>
    <n v="49"/>
    <s v="Male"/>
    <x v="0"/>
    <s v="Nagpur"/>
    <x v="5"/>
    <s v="Tablet"/>
    <n v="3"/>
    <n v="10166.75"/>
    <n v="0.15"/>
    <n v="31838.58"/>
    <n v="4120.93"/>
    <n v="82.1"/>
    <s v="UPI"/>
    <x v="0"/>
    <b v="0"/>
    <x v="1"/>
    <n v="3"/>
  </r>
  <r>
    <s v="ORD-01028"/>
    <x v="155"/>
    <x v="155"/>
    <s v="CUST33135"/>
    <s v="Arjun Patel"/>
    <n v="40"/>
    <s v="Female"/>
    <x v="3"/>
    <s v="Guwahati"/>
    <x v="3"/>
    <s v="Biography"/>
    <n v="9"/>
    <n v="910.81"/>
    <n v="0.16"/>
    <n v="8709.8799999999992"/>
    <n v="4127.79"/>
    <n v="59.89"/>
    <s v="Net Banking"/>
    <x v="2"/>
    <b v="0"/>
    <x v="1"/>
    <n v="9"/>
  </r>
  <r>
    <s v="ORD-00895"/>
    <x v="675"/>
    <x v="675"/>
    <s v="CUST68309"/>
    <s v="Nikhil Gupta"/>
    <n v="19"/>
    <s v="Male"/>
    <x v="0"/>
    <s v="Raipur"/>
    <x v="2"/>
    <s v="Bookshelf"/>
    <n v="8"/>
    <n v="10068.23"/>
    <n v="0.21"/>
    <n v="63872.39"/>
    <n v="14763.69"/>
    <n v="69.23"/>
    <s v="Cash on Delivery"/>
    <x v="0"/>
    <b v="0"/>
    <x v="1"/>
    <n v="9"/>
  </r>
  <r>
    <s v="ORD-03097"/>
    <x v="173"/>
    <x v="173"/>
    <s v="CUST96631"/>
    <s v="Ritu Mishra"/>
    <n v="26"/>
    <s v="Female"/>
    <x v="2"/>
    <s v="Amritsar"/>
    <x v="1"/>
    <s v="Shampoo"/>
    <n v="6"/>
    <n v="398.85"/>
    <n v="0.17"/>
    <n v="2675.94"/>
    <n v="1500.2"/>
    <n v="56.56"/>
    <s v="Net Banking"/>
    <x v="3"/>
    <b v="0"/>
    <x v="1"/>
    <n v="10"/>
  </r>
  <r>
    <s v="ORD-03816"/>
    <x v="676"/>
    <x v="676"/>
    <s v="CUST84507"/>
    <s v="Aditya Rao"/>
    <n v="43"/>
    <s v="Female"/>
    <x v="1"/>
    <s v="Surat"/>
    <x v="4"/>
    <s v="Jeans"/>
    <n v="4"/>
    <n v="2908.06"/>
    <n v="0.14000000000000001"/>
    <n v="14896.36"/>
    <n v="4991.17"/>
    <n v="65.75"/>
    <s v="Cash on Delivery"/>
    <x v="1"/>
    <b v="0"/>
    <x v="1"/>
    <n v="8"/>
  </r>
  <r>
    <s v="ORD-03490"/>
    <x v="677"/>
    <x v="677"/>
    <s v="CUST29539"/>
    <s v="Pooja Patel"/>
    <n v="50"/>
    <s v="Other"/>
    <x v="3"/>
    <s v="Kolkata"/>
    <x v="5"/>
    <s v="Headphones"/>
    <n v="3"/>
    <n v="60157.14"/>
    <n v="0.06"/>
    <n v="169372.37"/>
    <n v="28219.11"/>
    <n v="69.5"/>
    <s v="Cash on Delivery"/>
    <x v="2"/>
    <b v="0"/>
    <x v="1"/>
    <n v="7"/>
  </r>
  <r>
    <s v="ORD-00331"/>
    <x v="678"/>
    <x v="678"/>
    <s v="CUST80859"/>
    <s v="Aditya Sharma"/>
    <n v="35"/>
    <s v="Other"/>
    <x v="4"/>
    <s v="Bangalore"/>
    <x v="2"/>
    <s v="Wardrobe"/>
    <n v="5"/>
    <n v="22329.62"/>
    <n v="0.19"/>
    <n v="20552.2"/>
    <n v="4765.0200000000004"/>
    <n v="69.17"/>
    <s v="Cash on Delivery"/>
    <x v="2"/>
    <b v="0"/>
    <x v="1"/>
    <n v="4"/>
  </r>
  <r>
    <s v="ORD-02075"/>
    <x v="679"/>
    <x v="679"/>
    <s v="CUST98678"/>
    <s v="Karan Kumar"/>
    <n v="63"/>
    <s v="Other"/>
    <x v="1"/>
    <s v="Ahmedabad"/>
    <x v="5"/>
    <s v="Laptop"/>
    <n v="9"/>
    <n v="34736.78"/>
    <n v="0.4"/>
    <n v="281102.55"/>
    <n v="27723.9"/>
    <n v="59.96"/>
    <s v="Debit Card"/>
    <x v="0"/>
    <b v="0"/>
    <x v="1"/>
    <n v="4"/>
  </r>
  <r>
    <s v="ORD-00159"/>
    <x v="92"/>
    <x v="92"/>
    <s v="CUST53040"/>
    <s v="Rahul Joshi"/>
    <n v="32"/>
    <s v="Other"/>
    <x v="0"/>
    <s v="Bhopal"/>
    <x v="6"/>
    <s v="Yoga Mat"/>
    <n v="8"/>
    <n v="6252.97"/>
    <n v="0.2"/>
    <n v="42140.22"/>
    <n v="7612.27"/>
    <n v="48.73"/>
    <s v="Credit Card"/>
    <x v="0"/>
    <b v="0"/>
    <x v="1"/>
    <n v="3"/>
  </r>
  <r>
    <s v="ORD-00486"/>
    <x v="52"/>
    <x v="52"/>
    <s v="CUST70631"/>
    <s v="Arjun Kapoor"/>
    <n v="42"/>
    <s v="Other"/>
    <x v="4"/>
    <s v="Hyderabad"/>
    <x v="3"/>
    <s v="Comic Book"/>
    <n v="8"/>
    <n v="989.77"/>
    <n v="0.36"/>
    <n v="5866.43"/>
    <n v="2254.31"/>
    <n v="76.760000000000005"/>
    <s v="Cash on Delivery"/>
    <x v="1"/>
    <b v="0"/>
    <x v="2"/>
    <n v="1"/>
  </r>
  <r>
    <s v="ORD-00348"/>
    <x v="486"/>
    <x v="486"/>
    <s v="CUST36817"/>
    <s v="Ritu Verma"/>
    <n v="29"/>
    <s v="Male"/>
    <x v="4"/>
    <s v="Hyderabad"/>
    <x v="3"/>
    <s v="Biography"/>
    <n v="8"/>
    <n v="466.9"/>
    <n v="0.36"/>
    <n v="2857.33"/>
    <n v="1125"/>
    <n v="79.08"/>
    <s v="Cash on Delivery"/>
    <x v="3"/>
    <b v="0"/>
    <x v="1"/>
    <n v="10"/>
  </r>
  <r>
    <s v="ORD-03138"/>
    <x v="680"/>
    <x v="680"/>
    <s v="CUST63631"/>
    <s v="Vikram Das"/>
    <n v="38"/>
    <s v="Male"/>
    <x v="2"/>
    <s v="Amritsar"/>
    <x v="6"/>
    <s v="Dumbbells"/>
    <n v="4"/>
    <n v="3391.86"/>
    <n v="0.04"/>
    <n v="15450.95"/>
    <n v="3325.04"/>
    <n v="68.459999999999994"/>
    <s v="Credit Card"/>
    <x v="0"/>
    <b v="0"/>
    <x v="3"/>
    <n v="2"/>
  </r>
  <r>
    <s v="ORD-01347"/>
    <x v="2"/>
    <x v="2"/>
    <s v="CUST43896"/>
    <s v="Rohan Nair"/>
    <n v="24"/>
    <s v="Female"/>
    <x v="3"/>
    <s v="Guwahati"/>
    <x v="6"/>
    <s v="Tennis Racket"/>
    <n v="1"/>
    <n v="3087.59"/>
    <n v="7.0000000000000007E-2"/>
    <n v="3563.24"/>
    <n v="769.67"/>
    <n v="85.46"/>
    <s v="Credit Card"/>
    <x v="3"/>
    <b v="0"/>
    <x v="1"/>
    <n v="4"/>
  </r>
  <r>
    <s v="ORD-03544"/>
    <x v="392"/>
    <x v="392"/>
    <s v="CUST29796"/>
    <s v="Sanjay Bose"/>
    <n v="39"/>
    <s v="Male"/>
    <x v="2"/>
    <s v="Ludhiana"/>
    <x v="6"/>
    <s v="Cricket Bat"/>
    <n v="4"/>
    <n v="14899.55"/>
    <n v="0.09"/>
    <n v="60345.97"/>
    <n v="12084.3"/>
    <n v="21.44"/>
    <s v="Cash on Delivery"/>
    <x v="2"/>
    <b v="0"/>
    <x v="1"/>
    <n v="7"/>
  </r>
  <r>
    <s v="ORD-03719"/>
    <x v="681"/>
    <x v="681"/>
    <s v="CUST03355"/>
    <s v="Arjun Kapoor"/>
    <n v="43"/>
    <s v="Male"/>
    <x v="4"/>
    <s v="Hyderabad"/>
    <x v="6"/>
    <s v="Cricket Bat"/>
    <n v="2"/>
    <n v="3506.29"/>
    <n v="0.28999999999999998"/>
    <n v="9018.0300000000007"/>
    <n v="1718.02"/>
    <n v="58.97"/>
    <s v="UPI"/>
    <x v="1"/>
    <b v="0"/>
    <x v="4"/>
    <n v="4"/>
  </r>
  <r>
    <s v="ORD-02654"/>
    <x v="682"/>
    <x v="682"/>
    <s v="CUST39288"/>
    <s v="Shreya Reddy"/>
    <n v="25"/>
    <s v="Other"/>
    <x v="3"/>
    <s v="Bhubaneswar"/>
    <x v="1"/>
    <s v="Shampoo"/>
    <n v="5"/>
    <n v="259.07"/>
    <n v="0.02"/>
    <n v="1306.8599999999999"/>
    <n v="672.76"/>
    <n v="91.02"/>
    <s v="UPI"/>
    <x v="1"/>
    <b v="0"/>
    <x v="1"/>
    <n v="9"/>
  </r>
  <r>
    <s v="ORD-02687"/>
    <x v="683"/>
    <x v="683"/>
    <s v="CUST74163"/>
    <s v="Sunita Gupta"/>
    <n v="24"/>
    <s v="Female"/>
    <x v="0"/>
    <s v="Bhopal"/>
    <x v="4"/>
    <s v="Saree"/>
    <n v="3"/>
    <n v="1200.51"/>
    <n v="0.4"/>
    <n v="2711.94"/>
    <n v="952.86"/>
    <n v="10.029999999999999"/>
    <s v="Debit Card"/>
    <x v="0"/>
    <b v="0"/>
    <x v="1"/>
    <n v="5"/>
  </r>
  <r>
    <s v="ORD-00801"/>
    <x v="415"/>
    <x v="415"/>
    <s v="CUST09674"/>
    <s v="Rohan Shah"/>
    <n v="20"/>
    <s v="Male"/>
    <x v="1"/>
    <s v="Mumbai"/>
    <x v="4"/>
    <s v="T-Shirt"/>
    <n v="4"/>
    <n v="3596.85"/>
    <n v="0.25"/>
    <n v="7577.9"/>
    <n v="2505.62"/>
    <n v="61.39"/>
    <s v="Debit Card"/>
    <x v="4"/>
    <b v="1"/>
    <x v="0"/>
    <n v="7"/>
  </r>
  <r>
    <s v="ORD-01572"/>
    <x v="684"/>
    <x v="684"/>
    <s v="CUST23827"/>
    <s v="Amit Bose"/>
    <n v="24"/>
    <s v="Female"/>
    <x v="0"/>
    <s v="Raipur"/>
    <x v="4"/>
    <s v="Jacket"/>
    <n v="7"/>
    <n v="2400.11"/>
    <n v="0.15"/>
    <n v="9585.11"/>
    <n v="3359.68"/>
    <n v="55.43"/>
    <s v="UPI"/>
    <x v="3"/>
    <b v="0"/>
    <x v="1"/>
    <n v="10"/>
  </r>
  <r>
    <s v="ORD-04141"/>
    <x v="310"/>
    <x v="310"/>
    <s v="CUST72168"/>
    <s v="Shreya Bhat"/>
    <n v="34"/>
    <s v="Male"/>
    <x v="0"/>
    <s v="Nagpur"/>
    <x v="0"/>
    <s v="Sugar"/>
    <n v="4"/>
    <n v="242.65"/>
    <n v="0.21"/>
    <n v="854.73"/>
    <n v="91.72"/>
    <n v="48.21"/>
    <s v="Net Banking"/>
    <x v="4"/>
    <b v="1"/>
    <x v="0"/>
    <n v="1"/>
  </r>
  <r>
    <s v="ORD-02756"/>
    <x v="225"/>
    <x v="225"/>
    <s v="CUST40199"/>
    <s v="Arjun Gupta"/>
    <n v="33"/>
    <s v="Male"/>
    <x v="1"/>
    <s v="Pune"/>
    <x v="4"/>
    <s v="T-Shirt"/>
    <n v="3"/>
    <n v="2494.29"/>
    <n v="0.1"/>
    <n v="9558.85"/>
    <n v="3760.45"/>
    <n v="54.2"/>
    <s v="Cash on Delivery"/>
    <x v="0"/>
    <b v="0"/>
    <x v="1"/>
    <n v="8"/>
  </r>
  <r>
    <s v="ORD-00091"/>
    <x v="685"/>
    <x v="685"/>
    <s v="CUST57456"/>
    <s v="Sanjay Chatterjee"/>
    <n v="16"/>
    <s v="Female"/>
    <x v="1"/>
    <s v="Mumbai"/>
    <x v="2"/>
    <s v="Chair"/>
    <n v="2"/>
    <n v="23012.97"/>
    <n v="0.03"/>
    <n v="33590.83"/>
    <n v="8197.84"/>
    <n v="60.46"/>
    <s v="Debit Card"/>
    <x v="1"/>
    <b v="0"/>
    <x v="1"/>
    <n v="9"/>
  </r>
  <r>
    <s v="ORD-03626"/>
    <x v="686"/>
    <x v="686"/>
    <s v="CUST12779"/>
    <s v="Vikram Shah"/>
    <n v="25"/>
    <s v="Female"/>
    <x v="3"/>
    <s v="Bhubaneswar"/>
    <x v="5"/>
    <s v="Camera"/>
    <n v="2"/>
    <n v="36881.480000000003"/>
    <n v="0.01"/>
    <n v="101185.85"/>
    <n v="16236.72"/>
    <n v="67.63"/>
    <s v="EMI"/>
    <x v="2"/>
    <b v="0"/>
    <x v="1"/>
    <n v="8"/>
  </r>
  <r>
    <s v="ORD-03798"/>
    <x v="400"/>
    <x v="400"/>
    <s v="CUST41603"/>
    <s v="Nisha Sharma"/>
    <n v="41"/>
    <s v="Male"/>
    <x v="4"/>
    <s v="Kochi"/>
    <x v="6"/>
    <s v="Yoga Mat"/>
    <n v="4"/>
    <n v="4528.8999999999996"/>
    <n v="0.09"/>
    <n v="28783.41"/>
    <n v="6807.19"/>
    <n v="79.89"/>
    <s v="Credit Card"/>
    <x v="4"/>
    <b v="0"/>
    <x v="1"/>
    <n v="3"/>
  </r>
  <r>
    <s v="ORD-00207"/>
    <x v="544"/>
    <x v="544"/>
    <s v="CUST97019"/>
    <s v="Nikhil Mehta"/>
    <n v="31"/>
    <s v="Male"/>
    <x v="2"/>
    <s v="Chandigarh"/>
    <x v="1"/>
    <s v="Shampoo"/>
    <n v="4"/>
    <n v="2105.61"/>
    <n v="0.37"/>
    <n v="5688.97"/>
    <n v="2865.09"/>
    <n v="70.930000000000007"/>
    <s v="UPI"/>
    <x v="2"/>
    <b v="0"/>
    <x v="1"/>
    <n v="6"/>
  </r>
  <r>
    <s v="ORD-03929"/>
    <x v="388"/>
    <x v="388"/>
    <s v="CUST39906"/>
    <s v="Sunita Iyer"/>
    <n v="33"/>
    <s v="Male"/>
    <x v="4"/>
    <s v="Chennai"/>
    <x v="3"/>
    <s v="Fiction Novel"/>
    <n v="1"/>
    <n v="1473.01"/>
    <n v="0.35"/>
    <n v="1432.65"/>
    <n v="578.62"/>
    <n v="72.78"/>
    <s v="UPI"/>
    <x v="0"/>
    <b v="0"/>
    <x v="1"/>
    <n v="1"/>
  </r>
  <r>
    <s v="ORD-00686"/>
    <x v="687"/>
    <x v="687"/>
    <s v="CUST38079"/>
    <s v="Aarav Joshi"/>
    <n v="23"/>
    <s v="Female"/>
    <x v="0"/>
    <s v="Bhopal"/>
    <x v="3"/>
    <s v="Cook Book"/>
    <n v="2"/>
    <n v="1020.32"/>
    <n v="0.39"/>
    <n v="969.44"/>
    <n v="436.92"/>
    <n v="35.61"/>
    <s v="Debit Card"/>
    <x v="2"/>
    <b v="0"/>
    <x v="1"/>
    <n v="5"/>
  </r>
  <r>
    <s v="ORD-00029"/>
    <x v="484"/>
    <x v="484"/>
    <s v="CUST78062"/>
    <s v="Arjun Bhat"/>
    <n v="29"/>
    <s v="Other"/>
    <x v="1"/>
    <s v="Ahmedabad"/>
    <x v="4"/>
    <s v="Jeans"/>
    <n v="8"/>
    <n v="2738.08"/>
    <n v="0.04"/>
    <n v="15129.46"/>
    <n v="7413.18"/>
    <n v="61.16"/>
    <s v="Debit Card"/>
    <x v="4"/>
    <b v="0"/>
    <x v="1"/>
    <n v="9"/>
  </r>
  <r>
    <s v="ORD-01666"/>
    <x v="688"/>
    <x v="688"/>
    <s v="CUST87705"/>
    <s v="Aditya Iyer"/>
    <n v="35"/>
    <s v="Other"/>
    <x v="2"/>
    <s v="Ludhiana"/>
    <x v="5"/>
    <s v="Camera"/>
    <n v="5"/>
    <n v="49380.11"/>
    <n v="0.26"/>
    <n v="163008.07999999999"/>
    <n v="20346.12"/>
    <n v="62.16"/>
    <s v="Net Banking"/>
    <x v="3"/>
    <b v="0"/>
    <x v="1"/>
    <n v="8"/>
  </r>
  <r>
    <s v="ORD-00265"/>
    <x v="689"/>
    <x v="689"/>
    <s v="CUST32861"/>
    <s v="Priya Joshi"/>
    <n v="36"/>
    <s v="Other"/>
    <x v="3"/>
    <s v="Guwahati"/>
    <x v="6"/>
    <s v="Cricket Bat"/>
    <n v="9"/>
    <n v="12444.32"/>
    <n v="0.12"/>
    <n v="106749.94"/>
    <n v="24509.37"/>
    <n v="90.94"/>
    <s v="UPI"/>
    <x v="2"/>
    <b v="0"/>
    <x v="3"/>
    <n v="9"/>
  </r>
  <r>
    <s v="ORD-03060"/>
    <x v="690"/>
    <x v="690"/>
    <s v="CUST71865"/>
    <s v="Amit Singh"/>
    <n v="19"/>
    <s v="Female"/>
    <x v="0"/>
    <s v="Bhopal"/>
    <x v="1"/>
    <s v="Shampoo"/>
    <n v="7"/>
    <n v="100.31"/>
    <n v="0.36"/>
    <n v="600.84"/>
    <n v="277.58"/>
    <n v="67.27"/>
    <s v="Debit Card"/>
    <x v="4"/>
    <b v="0"/>
    <x v="4"/>
    <n v="9"/>
  </r>
  <r>
    <s v="ORD-03843"/>
    <x v="556"/>
    <x v="556"/>
    <s v="CUST47635"/>
    <s v="Rahul Pillai"/>
    <n v="34"/>
    <s v="Male"/>
    <x v="2"/>
    <s v="Delhi"/>
    <x v="6"/>
    <s v="Yoga Mat"/>
    <n v="7"/>
    <n v="9729.83"/>
    <n v="0.21"/>
    <n v="90858.69"/>
    <n v="22104.58"/>
    <n v="66.099999999999994"/>
    <s v="Debit Card"/>
    <x v="1"/>
    <b v="1"/>
    <x v="0"/>
    <n v="5"/>
  </r>
  <r>
    <s v="ORD-04134"/>
    <x v="691"/>
    <x v="691"/>
    <s v="CUST52437"/>
    <s v="Rohan Kapoor"/>
    <n v="24"/>
    <s v="Female"/>
    <x v="3"/>
    <s v="Patna"/>
    <x v="2"/>
    <s v="Wardrobe"/>
    <n v="5"/>
    <n v="14663.57"/>
    <n v="0.39"/>
    <n v="43871.43"/>
    <n v="8682.18"/>
    <n v="101.24"/>
    <s v="Credit Card"/>
    <x v="2"/>
    <b v="0"/>
    <x v="1"/>
    <n v="3"/>
  </r>
  <r>
    <s v="ORD-02503"/>
    <x v="692"/>
    <x v="692"/>
    <s v="CUST96196"/>
    <s v="Pooja Singh"/>
    <n v="44"/>
    <s v="Male"/>
    <x v="0"/>
    <s v="Indore"/>
    <x v="1"/>
    <s v="Lipstick"/>
    <n v="5"/>
    <n v="820.51"/>
    <n v="0.21"/>
    <n v="632.16999999999996"/>
    <n v="211.59"/>
    <n v="67.849999999999994"/>
    <s v="UPI"/>
    <x v="0"/>
    <b v="0"/>
    <x v="1"/>
    <n v="7"/>
  </r>
  <r>
    <s v="ORD-02567"/>
    <x v="36"/>
    <x v="36"/>
    <s v="CUST46311"/>
    <s v="Nisha Shah"/>
    <n v="21"/>
    <s v="Female"/>
    <x v="2"/>
    <s v="Delhi"/>
    <x v="0"/>
    <s v="Tea"/>
    <n v="1"/>
    <n v="235.69"/>
    <n v="0.27"/>
    <n v="145.65"/>
    <n v="13.54"/>
    <n v="59.77"/>
    <s v="EMI"/>
    <x v="1"/>
    <b v="0"/>
    <x v="1"/>
    <n v="3"/>
  </r>
  <r>
    <s v="ORD-02961"/>
    <x v="511"/>
    <x v="511"/>
    <s v="CUST02626"/>
    <s v="Arjun Rao"/>
    <n v="58"/>
    <s v="Male"/>
    <x v="2"/>
    <s v="Ludhiana"/>
    <x v="0"/>
    <s v="Tea"/>
    <n v="9"/>
    <n v="324.23"/>
    <n v="0.17"/>
    <n v="4033.84"/>
    <n v="456.69"/>
    <n v="63.2"/>
    <s v="EMI"/>
    <x v="0"/>
    <b v="0"/>
    <x v="1"/>
    <n v="3"/>
  </r>
  <r>
    <s v="ORD-00021"/>
    <x v="416"/>
    <x v="416"/>
    <s v="CUST80727"/>
    <s v="Shreya Pillai"/>
    <n v="49"/>
    <s v="Other"/>
    <x v="2"/>
    <s v="Amritsar"/>
    <x v="6"/>
    <s v="Cycle"/>
    <n v="10"/>
    <n v="510.46"/>
    <n v="0.33"/>
    <n v="3117.15"/>
    <n v="595.15"/>
    <n v="69.010000000000005"/>
    <s v="EMI"/>
    <x v="2"/>
    <b v="0"/>
    <x v="1"/>
    <n v="3"/>
  </r>
  <r>
    <s v="ORD-02242"/>
    <x v="69"/>
    <x v="69"/>
    <s v="CUST95868"/>
    <s v="Arjun Sharma"/>
    <n v="31"/>
    <s v="Female"/>
    <x v="4"/>
    <s v="Chennai"/>
    <x v="2"/>
    <s v="Wardrobe"/>
    <n v="8"/>
    <n v="4977.01"/>
    <n v="0.28000000000000003"/>
    <n v="33795.379999999997"/>
    <n v="9634.2000000000007"/>
    <n v="84.09"/>
    <s v="UPI"/>
    <x v="2"/>
    <b v="0"/>
    <x v="1"/>
    <n v="8"/>
  </r>
  <r>
    <s v="ORD-04147"/>
    <x v="693"/>
    <x v="693"/>
    <s v="CUST95344"/>
    <s v="Ananya Reddy"/>
    <n v="32"/>
    <s v="Other"/>
    <x v="1"/>
    <s v="Surat"/>
    <x v="1"/>
    <s v="Lipstick"/>
    <n v="8"/>
    <n v="1064.92"/>
    <n v="0.37"/>
    <n v="5754.84"/>
    <n v="2941.97"/>
    <n v="55.05"/>
    <s v="Cash on Delivery"/>
    <x v="1"/>
    <b v="0"/>
    <x v="1"/>
    <n v="5"/>
  </r>
  <r>
    <s v="ORD-00668"/>
    <x v="463"/>
    <x v="463"/>
    <s v="CUST19944"/>
    <s v="Kavya Mehta"/>
    <n v="21"/>
    <s v="Other"/>
    <x v="1"/>
    <s v="Surat"/>
    <x v="5"/>
    <s v="Tablet"/>
    <n v="3"/>
    <n v="14080.67"/>
    <n v="0.36"/>
    <n v="17734.88"/>
    <n v="1519.64"/>
    <n v="63.63"/>
    <s v="Credit Card"/>
    <x v="3"/>
    <b v="1"/>
    <x v="0"/>
    <n v="7"/>
  </r>
  <r>
    <s v="ORD-02934"/>
    <x v="694"/>
    <x v="694"/>
    <s v="CUST34229"/>
    <s v="Rahul Gupta"/>
    <n v="50"/>
    <s v="Female"/>
    <x v="2"/>
    <s v="Chandigarh"/>
    <x v="6"/>
    <s v="Football"/>
    <n v="9"/>
    <n v="13111.09"/>
    <n v="0.28999999999999998"/>
    <n v="128078.44"/>
    <n v="31164.9"/>
    <n v="62.85"/>
    <s v="Net Banking"/>
    <x v="0"/>
    <b v="0"/>
    <x v="1"/>
    <n v="9"/>
  </r>
  <r>
    <s v="ORD-03448"/>
    <x v="695"/>
    <x v="695"/>
    <s v="CUST27667"/>
    <s v="Nisha Pillai"/>
    <n v="11"/>
    <s v="Other"/>
    <x v="4"/>
    <s v="Hyderabad"/>
    <x v="1"/>
    <s v="Hair Oil"/>
    <n v="6"/>
    <n v="127.9"/>
    <n v="0.27"/>
    <n v="660.97"/>
    <n v="407.58"/>
    <n v="63.91"/>
    <s v="Credit Card"/>
    <x v="2"/>
    <b v="1"/>
    <x v="0"/>
    <n v="3"/>
  </r>
  <r>
    <s v="ORD-02266"/>
    <x v="696"/>
    <x v="696"/>
    <s v="CUST21061"/>
    <s v="Sanjay Das"/>
    <n v="23"/>
    <s v="Other"/>
    <x v="1"/>
    <s v="Surat"/>
    <x v="1"/>
    <s v="Shampoo"/>
    <n v="10"/>
    <n v="767.55"/>
    <n v="0.35"/>
    <n v="6213.65"/>
    <n v="2480.34"/>
    <n v="45.37"/>
    <s v="Cash on Delivery"/>
    <x v="2"/>
    <b v="0"/>
    <x v="1"/>
    <n v="5"/>
  </r>
  <r>
    <s v="ORD-04172"/>
    <x v="18"/>
    <x v="18"/>
    <s v="CUST07872"/>
    <s v="Meera Rao"/>
    <n v="32"/>
    <s v="Male"/>
    <x v="2"/>
    <s v="Ludhiana"/>
    <x v="1"/>
    <s v="Lipstick"/>
    <n v="5"/>
    <n v="2144.13"/>
    <n v="0.1"/>
    <n v="9449.3700000000008"/>
    <n v="4541.29"/>
    <n v="19.04"/>
    <s v="Debit Card"/>
    <x v="0"/>
    <b v="0"/>
    <x v="1"/>
    <n v="5"/>
  </r>
  <r>
    <s v="ORD-04076"/>
    <x v="697"/>
    <x v="697"/>
    <s v="CUST95354"/>
    <s v="Aarav Nair"/>
    <n v="57"/>
    <s v="Female"/>
    <x v="3"/>
    <s v="Bhubaneswar"/>
    <x v="1"/>
    <s v="Lipstick"/>
    <n v="7"/>
    <n v="680.72"/>
    <n v="0.08"/>
    <n v="3896.02"/>
    <n v="1700.03"/>
    <n v="71.25"/>
    <s v="Net Banking"/>
    <x v="1"/>
    <b v="0"/>
    <x v="1"/>
    <n v="2"/>
  </r>
  <r>
    <s v="ORD-03563"/>
    <x v="698"/>
    <x v="698"/>
    <s v="CUST46277"/>
    <s v="Karan Singh"/>
    <n v="30"/>
    <s v="Other"/>
    <x v="1"/>
    <s v="Pune"/>
    <x v="2"/>
    <s v="Chair"/>
    <n v="8"/>
    <n v="32965.83"/>
    <n v="0.21"/>
    <n v="300897.34999999998"/>
    <n v="94953.31"/>
    <n v="68.39"/>
    <s v="Debit Card"/>
    <x v="1"/>
    <b v="0"/>
    <x v="1"/>
    <n v="10"/>
  </r>
  <r>
    <s v="ORD-02321"/>
    <x v="412"/>
    <x v="412"/>
    <s v="CUST59579"/>
    <s v="Aarav Mehta"/>
    <n v="47"/>
    <s v="Male"/>
    <x v="0"/>
    <s v="Indore"/>
    <x v="1"/>
    <s v="Hair Oil"/>
    <n v="9"/>
    <n v="2425.6799999999998"/>
    <n v="0.16"/>
    <n v="13573.13"/>
    <n v="3678.22"/>
    <n v="64.69"/>
    <s v="UPI"/>
    <x v="4"/>
    <b v="0"/>
    <x v="1"/>
    <n v="9"/>
  </r>
  <r>
    <s v="ORD-03945"/>
    <x v="699"/>
    <x v="699"/>
    <s v="CUST92249"/>
    <s v="Nikhil Chatterjee"/>
    <n v="36"/>
    <s v="Female"/>
    <x v="4"/>
    <s v="Kochi"/>
    <x v="0"/>
    <s v="Flour"/>
    <n v="2"/>
    <n v="483.36"/>
    <n v="0.14000000000000001"/>
    <n v="1284.6300000000001"/>
    <n v="91.4"/>
    <n v="55.77"/>
    <s v="UPI"/>
    <x v="2"/>
    <b v="0"/>
    <x v="1"/>
    <n v="8"/>
  </r>
  <r>
    <s v="ORD-04192"/>
    <x v="700"/>
    <x v="700"/>
    <s v="CUST70453"/>
    <s v="Shreya Shah"/>
    <n v="33"/>
    <s v="Male"/>
    <x v="2"/>
    <s v="Amritsar"/>
    <x v="3"/>
    <s v="Fiction Novel"/>
    <n v="5"/>
    <n v="616.57000000000005"/>
    <n v="0.36"/>
    <n v="344.18"/>
    <n v="145.51"/>
    <n v="35.22"/>
    <s v="UPI"/>
    <x v="2"/>
    <b v="0"/>
    <x v="2"/>
    <n v="3"/>
  </r>
  <r>
    <s v="ORD-01563"/>
    <x v="701"/>
    <x v="701"/>
    <s v="CUST36817"/>
    <s v="Meera Iyer"/>
    <n v="41"/>
    <s v="Other"/>
    <x v="3"/>
    <s v="Guwahati"/>
    <x v="3"/>
    <s v="Self-Help Book"/>
    <n v="9"/>
    <n v="433.76"/>
    <n v="0.33"/>
    <n v="1929.18"/>
    <n v="781.78"/>
    <n v="97.16"/>
    <s v="EMI"/>
    <x v="2"/>
    <b v="0"/>
    <x v="3"/>
    <n v="2"/>
  </r>
  <r>
    <s v="ORD-00545"/>
    <x v="168"/>
    <x v="168"/>
    <s v="CUST34020"/>
    <s v="Kavya Iyer"/>
    <n v="19"/>
    <s v="Male"/>
    <x v="3"/>
    <s v="Guwahati"/>
    <x v="5"/>
    <s v="Smartwatch"/>
    <n v="3"/>
    <n v="17253.63"/>
    <n v="0.05"/>
    <n v="55070.91"/>
    <n v="5633.84"/>
    <n v="79.989999999999995"/>
    <s v="Net Banking"/>
    <x v="1"/>
    <b v="0"/>
    <x v="1"/>
    <n v="6"/>
  </r>
  <r>
    <s v="ORD-00909"/>
    <x v="420"/>
    <x v="420"/>
    <s v="CUST63944"/>
    <s v="Pooja Patel"/>
    <n v="23"/>
    <s v="Other"/>
    <x v="1"/>
    <s v="Pune"/>
    <x v="5"/>
    <s v="Smartphone"/>
    <n v="7"/>
    <n v="60825.33"/>
    <n v="0.39"/>
    <n v="203704.25"/>
    <n v="27664.1"/>
    <n v="67.78"/>
    <s v="EMI"/>
    <x v="4"/>
    <b v="0"/>
    <x v="1"/>
    <n v="8"/>
  </r>
  <r>
    <s v="ORD-03437"/>
    <x v="702"/>
    <x v="702"/>
    <s v="CUST14095"/>
    <s v="Kavya Shah"/>
    <n v="24"/>
    <s v="Female"/>
    <x v="3"/>
    <s v="Guwahati"/>
    <x v="1"/>
    <s v="Sunscreen"/>
    <n v="8"/>
    <n v="1335.64"/>
    <n v="0.27"/>
    <n v="7442.31"/>
    <n v="2973.2"/>
    <n v="94.12"/>
    <s v="Net Banking"/>
    <x v="4"/>
    <b v="0"/>
    <x v="4"/>
    <n v="6"/>
  </r>
  <r>
    <s v="ORD-02631"/>
    <x v="283"/>
    <x v="283"/>
    <s v="CUST32596"/>
    <s v="Rahul Iyer"/>
    <n v="27"/>
    <s v="Female"/>
    <x v="1"/>
    <s v="Surat"/>
    <x v="4"/>
    <s v="Dress"/>
    <n v="7"/>
    <n v="668.17"/>
    <n v="0.09"/>
    <n v="4502.68"/>
    <n v="1133.27"/>
    <n v="38.590000000000003"/>
    <s v="UPI"/>
    <x v="1"/>
    <b v="0"/>
    <x v="1"/>
    <n v="8"/>
  </r>
  <r>
    <s v="ORD-00414"/>
    <x v="29"/>
    <x v="29"/>
    <s v="CUST38493"/>
    <s v="Arjun Iyer"/>
    <n v="30"/>
    <s v="Other"/>
    <x v="3"/>
    <s v="Bhubaneswar"/>
    <x v="1"/>
    <s v="Perfume"/>
    <n v="0"/>
    <n v="1076.68"/>
    <n v="0.32"/>
    <n v="1005.23"/>
    <n v="335.77"/>
    <n v="72.7"/>
    <s v="Debit Card"/>
    <x v="0"/>
    <b v="0"/>
    <x v="3"/>
    <n v="8"/>
  </r>
  <r>
    <s v="ORD-00525"/>
    <x v="703"/>
    <x v="703"/>
    <s v="CUST73074"/>
    <s v="Rohan Mehta"/>
    <n v="33"/>
    <s v="Female"/>
    <x v="4"/>
    <s v="Hyderabad"/>
    <x v="4"/>
    <s v="Jacket"/>
    <n v="1"/>
    <n v="392.55"/>
    <n v="7.0000000000000007E-2"/>
    <n v="420.97"/>
    <n v="161.71"/>
    <n v="71.09"/>
    <s v="Credit Card"/>
    <x v="1"/>
    <b v="0"/>
    <x v="2"/>
    <n v="4"/>
  </r>
  <r>
    <s v="ORD-03521"/>
    <x v="410"/>
    <x v="410"/>
    <s v="CUST00084"/>
    <s v="Rohan Das"/>
    <n v="16"/>
    <s v="Male"/>
    <x v="3"/>
    <s v="Kolkata"/>
    <x v="6"/>
    <s v="Dumbbells"/>
    <n v="4"/>
    <n v="14904.61"/>
    <n v="0.21"/>
    <n v="79710.679999999993"/>
    <n v="9835.5300000000007"/>
    <n v="74"/>
    <s v="UPI"/>
    <x v="0"/>
    <b v="0"/>
    <x v="2"/>
    <n v="9"/>
  </r>
  <r>
    <s v="ORD-01849"/>
    <x v="30"/>
    <x v="30"/>
    <s v="CUST56391"/>
    <s v="Meera Kumar"/>
    <n v="40"/>
    <s v="Other"/>
    <x v="4"/>
    <s v="Kochi"/>
    <x v="4"/>
    <s v="Jeans"/>
    <n v="5"/>
    <n v="3481.04"/>
    <n v="0.35"/>
    <n v="13960.24"/>
    <n v="3567.18"/>
    <n v="56.53"/>
    <s v="Credit Card"/>
    <x v="0"/>
    <b v="0"/>
    <x v="3"/>
    <n v="8"/>
  </r>
  <r>
    <s v="ORD-02703"/>
    <x v="704"/>
    <x v="704"/>
    <s v="CUST53601"/>
    <s v="Rohan Iyer"/>
    <n v="35"/>
    <s v="Other"/>
    <x v="0"/>
    <s v="Indore"/>
    <x v="3"/>
    <s v="Cook Book"/>
    <n v="8"/>
    <n v="600.71"/>
    <n v="0.17"/>
    <n v="4278.59"/>
    <n v="1539.55"/>
    <n v="24.97"/>
    <s v="Debit Card"/>
    <x v="4"/>
    <b v="0"/>
    <x v="1"/>
    <n v="9"/>
  </r>
  <r>
    <s v="ORD-04083"/>
    <x v="705"/>
    <x v="705"/>
    <s v="CUST32744"/>
    <s v="Aditya Shah"/>
    <n v="37"/>
    <s v="Male"/>
    <x v="0"/>
    <s v="Raipur"/>
    <x v="2"/>
    <s v="Wardrobe"/>
    <n v="5"/>
    <n v="2536.86"/>
    <n v="0.36"/>
    <n v="7801.91"/>
    <n v="1900.47"/>
    <n v="68.13"/>
    <s v="Debit Card"/>
    <x v="3"/>
    <b v="0"/>
    <x v="3"/>
    <n v="7"/>
  </r>
  <r>
    <s v="ORD-00573"/>
    <x v="628"/>
    <x v="628"/>
    <s v="CUST93696"/>
    <s v="Amit Gupta"/>
    <n v="42"/>
    <s v="Other"/>
    <x v="3"/>
    <s v="Kolkata"/>
    <x v="4"/>
    <s v="Jeans"/>
    <n v="3"/>
    <n v="3089.43"/>
    <n v="0.09"/>
    <n v="7257.03"/>
    <n v="2480.31"/>
    <n v="82.77"/>
    <s v="Credit Card"/>
    <x v="0"/>
    <b v="1"/>
    <x v="0"/>
    <n v="6"/>
  </r>
  <r>
    <s v="ORD-03306"/>
    <x v="130"/>
    <x v="130"/>
    <s v="CUST91195"/>
    <s v="Vikram Sharma"/>
    <n v="24"/>
    <s v="Male"/>
    <x v="3"/>
    <s v="Bhubaneswar"/>
    <x v="0"/>
    <s v="Dal (1kg)"/>
    <n v="4"/>
    <n v="206.91"/>
    <n v="0.2"/>
    <n v="574.20000000000005"/>
    <n v="59.02"/>
    <n v="52.38"/>
    <s v="Debit Card"/>
    <x v="0"/>
    <b v="0"/>
    <x v="1"/>
    <n v="2"/>
  </r>
  <r>
    <s v="ORD-02199"/>
    <x v="1"/>
    <x v="1"/>
    <s v="CUST65100"/>
    <s v="Priya Patel"/>
    <n v="41"/>
    <s v="Female"/>
    <x v="3"/>
    <s v="Kolkata"/>
    <x v="3"/>
    <s v="Fiction Novel"/>
    <n v="2"/>
    <n v="244.36"/>
    <n v="0.12"/>
    <n v="485.28"/>
    <n v="192.95"/>
    <n v="79.16"/>
    <s v="Cash on Delivery"/>
    <x v="3"/>
    <b v="0"/>
    <x v="2"/>
    <n v="2"/>
  </r>
  <r>
    <s v="ORD-00901"/>
    <x v="706"/>
    <x v="706"/>
    <s v="CUST88807"/>
    <s v="Sanjay Kapoor"/>
    <n v="30"/>
    <s v="Male"/>
    <x v="1"/>
    <s v="Ahmedabad"/>
    <x v="3"/>
    <s v="Fiction Novel"/>
    <n v="2"/>
    <n v="583.34"/>
    <n v="0.24"/>
    <n v="678.92"/>
    <n v="261.88"/>
    <n v="72.31"/>
    <s v="Cash on Delivery"/>
    <x v="1"/>
    <b v="0"/>
    <x v="1"/>
    <n v="5"/>
  </r>
  <r>
    <s v="ORD-04149"/>
    <x v="599"/>
    <x v="599"/>
    <s v="CUST54782"/>
    <s v="Karan Verma"/>
    <n v="37"/>
    <s v="Female"/>
    <x v="0"/>
    <s v="Indore"/>
    <x v="3"/>
    <s v="Textbook"/>
    <n v="8"/>
    <n v="519.04999999999995"/>
    <n v="0.33"/>
    <n v="2627.87"/>
    <n v="1117.94"/>
    <n v="51.28"/>
    <s v="Debit Card"/>
    <x v="3"/>
    <b v="0"/>
    <x v="1"/>
    <n v="10"/>
  </r>
  <r>
    <s v="ORD-00638"/>
    <x v="707"/>
    <x v="707"/>
    <s v="CUST17767"/>
    <s v="Meera Chatterjee"/>
    <n v="37"/>
    <s v="Female"/>
    <x v="3"/>
    <s v="Patna"/>
    <x v="5"/>
    <s v="Smartwatch"/>
    <n v="10"/>
    <n v="23990.02"/>
    <n v="0.11"/>
    <n v="188453.46"/>
    <n v="26897.47"/>
    <n v="73.319999999999993"/>
    <s v="Cash on Delivery"/>
    <x v="2"/>
    <b v="0"/>
    <x v="1"/>
    <n v="8"/>
  </r>
  <r>
    <s v="ORD-00010"/>
    <x v="72"/>
    <x v="72"/>
    <s v="CUST07407"/>
    <s v="Amit Bose"/>
    <n v="26"/>
    <s v="Other"/>
    <x v="4"/>
    <s v="Hyderabad"/>
    <x v="4"/>
    <s v="Jacket"/>
    <n v="1"/>
    <n v="1792.52"/>
    <n v="0.38"/>
    <n v="862.61"/>
    <n v="322.56"/>
    <n v="69.84"/>
    <s v="EMI"/>
    <x v="2"/>
    <b v="1"/>
    <x v="0"/>
    <n v="8"/>
  </r>
  <r>
    <s v="ORD-01167"/>
    <x v="708"/>
    <x v="708"/>
    <s v="CUST48910"/>
    <s v="Vikram Shah"/>
    <n v="14"/>
    <s v="Other"/>
    <x v="1"/>
    <s v="Mumbai"/>
    <x v="2"/>
    <s v="Desk"/>
    <n v="5"/>
    <n v="16063.03"/>
    <n v="0.35"/>
    <n v="70662.81"/>
    <n v="22910.799999999999"/>
    <n v="74.66"/>
    <s v="Net Banking"/>
    <x v="0"/>
    <b v="0"/>
    <x v="1"/>
    <n v="6"/>
  </r>
  <r>
    <s v="ORD-03303"/>
    <x v="709"/>
    <x v="709"/>
    <s v="CUST73772"/>
    <s v="Nisha Reddy"/>
    <n v="15"/>
    <s v="Male"/>
    <x v="3"/>
    <s v="Kolkata"/>
    <x v="5"/>
    <s v="Tablet"/>
    <n v="1"/>
    <n v="19475.099999999999"/>
    <n v="0.27"/>
    <n v="12588.84"/>
    <n v="1124.3399999999999"/>
    <n v="70.91"/>
    <s v="Net Banking"/>
    <x v="0"/>
    <b v="0"/>
    <x v="1"/>
    <n v="100"/>
  </r>
  <r>
    <s v="ORD-02118"/>
    <x v="710"/>
    <x v="710"/>
    <s v="CUST29628"/>
    <s v="Nisha Kapoor"/>
    <n v="34"/>
    <s v="Male"/>
    <x v="2"/>
    <s v="Ludhiana"/>
    <x v="0"/>
    <s v="Cooking Oil"/>
    <n v="1"/>
    <n v="396.39"/>
    <n v="0.09"/>
    <n v="480.61"/>
    <n v="45.56"/>
    <n v="57.89"/>
    <s v="Credit Card"/>
    <x v="3"/>
    <b v="0"/>
    <x v="1"/>
    <n v="1"/>
  </r>
  <r>
    <s v="ORD-00764"/>
    <x v="711"/>
    <x v="711"/>
    <s v="CUST21423"/>
    <s v="Shreya Sharma"/>
    <n v="22"/>
    <s v="Female"/>
    <x v="4"/>
    <s v="Bangalore"/>
    <x v="2"/>
    <s v="Chair"/>
    <n v="5"/>
    <n v="24816.99"/>
    <n v="0.02"/>
    <n v="87226.55"/>
    <n v="24905.94"/>
    <n v="51.05"/>
    <s v="Debit Card"/>
    <x v="0"/>
    <b v="0"/>
    <x v="1"/>
    <n v="1"/>
  </r>
  <r>
    <s v="ORD-01250"/>
    <x v="712"/>
    <x v="712"/>
    <s v="CUST20121"/>
    <s v="Vikram Kumar"/>
    <n v="39"/>
    <s v="Other"/>
    <x v="3"/>
    <s v="Patna"/>
    <x v="2"/>
    <s v="Bed Frame"/>
    <n v="2"/>
    <n v="9066.85"/>
    <n v="0.3"/>
    <n v="13846.15"/>
    <n v="3812.64"/>
    <n v="91.56"/>
    <s v="EMI"/>
    <x v="4"/>
    <b v="0"/>
    <x v="1"/>
    <n v="9"/>
  </r>
  <r>
    <s v="ORD-01550"/>
    <x v="713"/>
    <x v="713"/>
    <s v="CUST66901"/>
    <s v="Nisha Kapoor"/>
    <n v="35"/>
    <s v="Female"/>
    <x v="1"/>
    <s v="Mumbai"/>
    <x v="6"/>
    <s v="Football"/>
    <n v="9"/>
    <n v="13211.32"/>
    <n v="0.17"/>
    <n v="81467.429999999993"/>
    <n v="18155"/>
    <n v="52.32"/>
    <s v="UPI"/>
    <x v="0"/>
    <b v="0"/>
    <x v="1"/>
    <n v="5"/>
  </r>
  <r>
    <s v="ORD-03192"/>
    <x v="714"/>
    <x v="714"/>
    <s v="CUST23779"/>
    <s v="Priya Singh"/>
    <n v="39"/>
    <s v="Male"/>
    <x v="2"/>
    <s v="Ludhiana"/>
    <x v="6"/>
    <s v="Football"/>
    <n v="9"/>
    <n v="9769.82"/>
    <n v="0.32"/>
    <n v="64012.37"/>
    <n v="13161.33"/>
    <n v="50.8"/>
    <s v="Net Banking"/>
    <x v="2"/>
    <b v="0"/>
    <x v="1"/>
    <n v="6"/>
  </r>
  <r>
    <s v="ORD-01356"/>
    <x v="715"/>
    <x v="715"/>
    <s v="CUST36316"/>
    <s v="Amit Rao"/>
    <n v="44"/>
    <s v="Other"/>
    <x v="0"/>
    <s v="Nagpur"/>
    <x v="6"/>
    <s v="Yoga Mat"/>
    <n v="5"/>
    <n v="9013.26"/>
    <n v="0.28000000000000003"/>
    <n v="36168.33"/>
    <n v="10509.8"/>
    <n v="35.94"/>
    <s v="UPI"/>
    <x v="1"/>
    <b v="0"/>
    <x v="4"/>
    <n v="7"/>
  </r>
  <r>
    <s v="ORD-00789"/>
    <x v="635"/>
    <x v="635"/>
    <s v="CUST67387"/>
    <s v="Nisha Singh"/>
    <n v="41"/>
    <s v="Male"/>
    <x v="2"/>
    <s v="Delhi"/>
    <x v="1"/>
    <s v="Lipstick"/>
    <n v="4"/>
    <n v="2326.66"/>
    <n v="0.09"/>
    <n v="5850.88"/>
    <n v="3176.85"/>
    <n v="61.42"/>
    <s v="UPI"/>
    <x v="1"/>
    <b v="0"/>
    <x v="4"/>
    <n v="10"/>
  </r>
  <r>
    <s v="ORD-03113"/>
    <x v="716"/>
    <x v="716"/>
    <s v="CUST73185"/>
    <s v="Amit Mishra"/>
    <n v="29"/>
    <s v="Male"/>
    <x v="2"/>
    <s v="Ludhiana"/>
    <x v="4"/>
    <s v="T-Shirt"/>
    <n v="3"/>
    <n v="3741.92"/>
    <n v="0.21"/>
    <n v="11519.71"/>
    <n v="2740.01"/>
    <n v="58.8"/>
    <s v="Cash on Delivery"/>
    <x v="2"/>
    <b v="0"/>
    <x v="3"/>
    <n v="1"/>
  </r>
  <r>
    <s v="ORD-02667"/>
    <x v="576"/>
    <x v="576"/>
    <s v="CUST93637"/>
    <s v="Ananya Shah"/>
    <n v="31"/>
    <s v="Female"/>
    <x v="2"/>
    <s v="Amritsar"/>
    <x v="2"/>
    <s v="Bookshelf"/>
    <n v="3"/>
    <n v="4087.5"/>
    <n v="0.36"/>
    <n v="8585.93"/>
    <n v="2520.92"/>
    <n v="36.770000000000003"/>
    <s v="Cash on Delivery"/>
    <x v="0"/>
    <b v="0"/>
    <x v="2"/>
    <n v="9"/>
  </r>
  <r>
    <s v="ORD-03918"/>
    <x v="329"/>
    <x v="329"/>
    <s v="CUST09195"/>
    <s v="Ritu Singh"/>
    <n v="30"/>
    <s v="Male"/>
    <x v="0"/>
    <s v="Raipur"/>
    <x v="4"/>
    <s v="Jeans"/>
    <n v="5"/>
    <n v="1293.07"/>
    <n v="0.37"/>
    <n v="6223.33"/>
    <n v="2335.41"/>
    <n v="34.43"/>
    <s v="UPI"/>
    <x v="2"/>
    <b v="0"/>
    <x v="1"/>
    <n v="9"/>
  </r>
  <r>
    <s v="ORD-02469"/>
    <x v="258"/>
    <x v="258"/>
    <s v="CUST77482"/>
    <s v="Ritu Mishra"/>
    <n v="0"/>
    <s v="Female"/>
    <x v="2"/>
    <s v="Chandigarh"/>
    <x v="3"/>
    <s v="Cook Book"/>
    <n v="2"/>
    <n v="393.2"/>
    <n v="0.22"/>
    <n v="537.64"/>
    <n v="210.9"/>
    <n v="48.93"/>
    <s v="Cash on Delivery"/>
    <x v="0"/>
    <b v="1"/>
    <x v="0"/>
    <n v="4"/>
  </r>
  <r>
    <s v="ORD-00952"/>
    <x v="717"/>
    <x v="717"/>
    <s v="CUST97126"/>
    <s v="Ananya Kumar"/>
    <n v="28"/>
    <s v="Male"/>
    <x v="3"/>
    <s v="Kolkata"/>
    <x v="6"/>
    <s v="Yoga Mat"/>
    <n v="9"/>
    <n v="6483.35"/>
    <n v="0.23"/>
    <n v="52222.52"/>
    <n v="13820.97"/>
    <n v="74.83"/>
    <s v="UPI"/>
    <x v="2"/>
    <b v="0"/>
    <x v="1"/>
    <n v="2"/>
  </r>
  <r>
    <s v="ORD-03530"/>
    <x v="718"/>
    <x v="718"/>
    <s v="CUST89097"/>
    <s v="Sanjay Shah"/>
    <n v="38"/>
    <s v="Male"/>
    <x v="2"/>
    <s v="Delhi"/>
    <x v="4"/>
    <s v="Jacket"/>
    <n v="2"/>
    <n v="1249.08"/>
    <n v="0.4"/>
    <n v="2055.62"/>
    <n v="916.26"/>
    <n v="43.18"/>
    <s v="EMI"/>
    <x v="0"/>
    <b v="0"/>
    <x v="1"/>
    <n v="8"/>
  </r>
  <r>
    <s v="ORD-00512"/>
    <x v="719"/>
    <x v="719"/>
    <s v="CUST98505"/>
    <s v="Shreya Das"/>
    <n v="27"/>
    <s v="Female"/>
    <x v="3"/>
    <s v="Guwahati"/>
    <x v="1"/>
    <s v="Face Cream"/>
    <n v="2"/>
    <n v="1236.47"/>
    <n v="0.14000000000000001"/>
    <n v="2416.41"/>
    <n v="1007.86"/>
    <n v="85.88"/>
    <s v="UPI"/>
    <x v="0"/>
    <b v="0"/>
    <x v="1"/>
    <n v="8"/>
  </r>
  <r>
    <s v="ORD-01236"/>
    <x v="246"/>
    <x v="246"/>
    <s v="CUST30009"/>
    <s v="Vikram Kapoor"/>
    <n v="30"/>
    <s v="Male"/>
    <x v="1"/>
    <s v="Ahmedabad"/>
    <x v="1"/>
    <s v="Shampoo"/>
    <n v="7"/>
    <n v="1236.43"/>
    <n v="0.04"/>
    <n v="10957.9"/>
    <n v="4556.58"/>
    <n v="72.78"/>
    <s v="Debit Card"/>
    <x v="3"/>
    <b v="0"/>
    <x v="1"/>
    <n v="7"/>
  </r>
  <r>
    <s v="ORD-01618"/>
    <x v="355"/>
    <x v="355"/>
    <s v="CUST82777"/>
    <s v="Rahul Singh"/>
    <n v="53"/>
    <s v="Female"/>
    <x v="1"/>
    <s v="Mumbai"/>
    <x v="6"/>
    <s v="Dumbbells"/>
    <n v="5"/>
    <n v="7179.94"/>
    <n v="0.31"/>
    <n v="21400.720000000001"/>
    <n v="2403.1999999999998"/>
    <n v="65.86"/>
    <s v="Debit Card"/>
    <x v="3"/>
    <b v="0"/>
    <x v="1"/>
    <n v="8"/>
  </r>
  <r>
    <s v="ORD-03286"/>
    <x v="720"/>
    <x v="720"/>
    <s v="CUST81972"/>
    <s v="Aditya Das"/>
    <n v="32"/>
    <s v="Male"/>
    <x v="3"/>
    <s v="Bhubaneswar"/>
    <x v="4"/>
    <s v="Jacket"/>
    <n v="8"/>
    <n v="2288.2600000000002"/>
    <n v="0.22"/>
    <n v="12023.58"/>
    <n v="4024.97"/>
    <n v="89.83"/>
    <s v="Debit Card"/>
    <x v="3"/>
    <b v="0"/>
    <x v="1"/>
    <n v="1"/>
  </r>
  <r>
    <s v="ORD-02164"/>
    <x v="721"/>
    <x v="721"/>
    <s v="CUST84076"/>
    <s v="Arjun Kumar"/>
    <n v="20"/>
    <s v="Male"/>
    <x v="3"/>
    <s v="Guwahati"/>
    <x v="3"/>
    <s v="Self-Help Book"/>
    <n v="4"/>
    <n v="529.17999999999995"/>
    <n v="0.37"/>
    <n v="1721.22"/>
    <n v="611.14"/>
    <n v="96.64"/>
    <s v="UPI"/>
    <x v="1"/>
    <b v="0"/>
    <x v="1"/>
    <n v="8"/>
  </r>
  <r>
    <s v="ORD-03645"/>
    <x v="552"/>
    <x v="552"/>
    <s v="CUST40711"/>
    <s v="Rohan Kapoor"/>
    <n v="33"/>
    <s v="Other"/>
    <x v="0"/>
    <s v="Bhopal"/>
    <x v="0"/>
    <s v="Cooking Oil"/>
    <n v="4"/>
    <n v="413.23"/>
    <n v="0.16"/>
    <n v="2226.94"/>
    <n v="97.94"/>
    <n v="29.46"/>
    <s v="EMI"/>
    <x v="2"/>
    <b v="0"/>
    <x v="1"/>
    <n v="9"/>
  </r>
  <r>
    <s v="ORD-01602"/>
    <x v="722"/>
    <x v="722"/>
    <s v="CUST98061"/>
    <s v="Amit Verma"/>
    <n v="41"/>
    <s v="Other"/>
    <x v="3"/>
    <s v="Guwahati"/>
    <x v="0"/>
    <s v="Tea"/>
    <n v="5"/>
    <n v="273.75"/>
    <n v="0.05"/>
    <n v="1113.01"/>
    <n v="84.56"/>
    <n v="81.92"/>
    <s v="Debit Card"/>
    <x v="4"/>
    <b v="0"/>
    <x v="1"/>
    <n v="5"/>
  </r>
  <r>
    <s v="ORD-02308"/>
    <x v="723"/>
    <x v="723"/>
    <s v="CUST13492"/>
    <s v="Karan Reddy"/>
    <n v="35"/>
    <s v="Female"/>
    <x v="2"/>
    <s v="Delhi"/>
    <x v="3"/>
    <s v="Self-Help Book"/>
    <n v="4"/>
    <n v="288.41000000000003"/>
    <n v="0.11"/>
    <n v="1085.19"/>
    <n v="430.86"/>
    <n v="39.44"/>
    <s v="Debit Card"/>
    <x v="1"/>
    <b v="1"/>
    <x v="0"/>
    <n v="1"/>
  </r>
  <r>
    <s v="ORD-03457"/>
    <x v="153"/>
    <x v="153"/>
    <s v="CUST62784"/>
    <s v="Ananya Patel"/>
    <n v="27"/>
    <s v="Male"/>
    <x v="3"/>
    <s v="Kolkata"/>
    <x v="3"/>
    <s v="Cook Book"/>
    <n v="5"/>
    <n v="219.86"/>
    <n v="0.26"/>
    <n v="937.39"/>
    <n v="344.23"/>
    <n v="95.23"/>
    <s v="Cash on Delivery"/>
    <x v="4"/>
    <b v="0"/>
    <x v="1"/>
    <n v="10"/>
  </r>
  <r>
    <s v="ORD-03725"/>
    <x v="724"/>
    <x v="724"/>
    <s v="CUST34762"/>
    <s v="Aditya Sharma"/>
    <n v="51"/>
    <s v="Male"/>
    <x v="3"/>
    <s v="Guwahati"/>
    <x v="5"/>
    <s v="Headphones"/>
    <n v="3"/>
    <n v="45977.54"/>
    <n v="0.4"/>
    <n v="157351.1"/>
    <n v="16766.5"/>
    <n v="89.69"/>
    <s v="Cash on Delivery"/>
    <x v="1"/>
    <b v="0"/>
    <x v="1"/>
    <n v="9"/>
  </r>
  <r>
    <s v="ORD-00240"/>
    <x v="725"/>
    <x v="725"/>
    <s v="CUST66088"/>
    <s v="Shreya Pillai"/>
    <n v="18"/>
    <s v="Other"/>
    <x v="4"/>
    <s v="Bangalore"/>
    <x v="6"/>
    <s v="Dumbbells"/>
    <n v="4"/>
    <n v="11868.91"/>
    <n v="0.19"/>
    <n v="43004.45"/>
    <n v="13078.71"/>
    <n v="70.61"/>
    <s v="EMI"/>
    <x v="0"/>
    <b v="0"/>
    <x v="1"/>
    <n v="6"/>
  </r>
  <r>
    <s v="ORD-01538"/>
    <x v="166"/>
    <x v="166"/>
    <s v="CUST30276"/>
    <s v="Amit Reddy"/>
    <n v="20"/>
    <s v="Other"/>
    <x v="3"/>
    <s v="Guwahati"/>
    <x v="5"/>
    <s v="Smartphone"/>
    <n v="8"/>
    <n v="72878.210000000006"/>
    <n v="0.06"/>
    <n v="377991.95"/>
    <n v="53581.94"/>
    <n v="69.63"/>
    <s v="Credit Card"/>
    <x v="0"/>
    <b v="0"/>
    <x v="1"/>
    <n v="7"/>
  </r>
  <r>
    <s v="ORD-00246"/>
    <x v="726"/>
    <x v="726"/>
    <s v="CUST40327"/>
    <s v="Shreya Mishra"/>
    <n v="60"/>
    <s v="Male"/>
    <x v="0"/>
    <s v="Nagpur"/>
    <x v="1"/>
    <s v="Sunscreen"/>
    <n v="8"/>
    <n v="336.17"/>
    <n v="0.18"/>
    <n v="2459.79"/>
    <n v="1286.21"/>
    <n v="63.3"/>
    <s v="Debit Card"/>
    <x v="2"/>
    <b v="0"/>
    <x v="1"/>
    <n v="10"/>
  </r>
  <r>
    <s v="ORD-00069"/>
    <x v="727"/>
    <x v="727"/>
    <s v="CUST27522"/>
    <s v="Deepa Chatterjee"/>
    <n v="24"/>
    <s v="Other"/>
    <x v="3"/>
    <s v="Bhubaneswar"/>
    <x v="6"/>
    <s v="Football"/>
    <n v="5"/>
    <n v="5929.85"/>
    <n v="0"/>
    <n v="4745.09"/>
    <n v="1518.74"/>
    <n v="78.48"/>
    <s v="Credit Card"/>
    <x v="1"/>
    <b v="0"/>
    <x v="1"/>
    <n v="7"/>
  </r>
  <r>
    <s v="ORD-01653"/>
    <x v="672"/>
    <x v="672"/>
    <s v="CUST39228"/>
    <s v="Pooja Gupta"/>
    <n v="38"/>
    <s v="Female"/>
    <x v="4"/>
    <s v="Chennai"/>
    <x v="5"/>
    <s v="Tablet"/>
    <n v="5"/>
    <n v="67069.95"/>
    <n v="0.35"/>
    <n v="187015.17"/>
    <n v="19234.099999999999"/>
    <n v="53.96"/>
    <s v="EMI"/>
    <x v="3"/>
    <b v="0"/>
    <x v="2"/>
    <n v="6"/>
  </r>
  <r>
    <s v="ORD-00549"/>
    <x v="728"/>
    <x v="728"/>
    <s v="CUST39184"/>
    <s v="Arjun Nair"/>
    <n v="27"/>
    <s v="Other"/>
    <x v="3"/>
    <s v="Guwahati"/>
    <x v="0"/>
    <s v="Sugar"/>
    <n v="1"/>
    <n v="295.3"/>
    <n v="0.1"/>
    <n v="375.59"/>
    <n v="17.329999999999998"/>
    <n v="91.95"/>
    <s v="Credit Card"/>
    <x v="1"/>
    <b v="0"/>
    <x v="1"/>
    <n v="9"/>
  </r>
  <r>
    <s v="ORD-04125"/>
    <x v="729"/>
    <x v="729"/>
    <s v="CUST69485"/>
    <s v="Pooja Verma"/>
    <n v="15"/>
    <s v="Male"/>
    <x v="3"/>
    <s v="Kolkata"/>
    <x v="5"/>
    <s v="Tablet"/>
    <n v="5"/>
    <n v="60589.34"/>
    <n v="0"/>
    <n v="289044.77"/>
    <n v="32628.880000000001"/>
    <n v="117.75"/>
    <s v="Cash on Delivery"/>
    <x v="4"/>
    <b v="0"/>
    <x v="1"/>
    <n v="6"/>
  </r>
  <r>
    <s v="ORD-02531"/>
    <x v="297"/>
    <x v="297"/>
    <s v="CUST65173"/>
    <s v="Sunita Reddy"/>
    <n v="24"/>
    <s v="Male"/>
    <x v="2"/>
    <s v="Ludhiana"/>
    <x v="1"/>
    <s v="Face Cream"/>
    <n v="9"/>
    <n v="2041.21"/>
    <n v="0.22"/>
    <n v="13435.71"/>
    <n v="8442.25"/>
    <n v="45.75"/>
    <s v="Net Banking"/>
    <x v="0"/>
    <b v="0"/>
    <x v="3"/>
    <n v="1"/>
  </r>
  <r>
    <s v="ORD-01426"/>
    <x v="730"/>
    <x v="730"/>
    <s v="CUST08147"/>
    <s v="Nikhil Shah"/>
    <n v="58"/>
    <s v="Male"/>
    <x v="2"/>
    <s v="Delhi"/>
    <x v="4"/>
    <s v="Dress"/>
    <n v="2"/>
    <n v="469.65"/>
    <n v="0.12"/>
    <n v="775.74"/>
    <n v="185.8"/>
    <n v="32.03"/>
    <s v="Cash on Delivery"/>
    <x v="4"/>
    <b v="1"/>
    <x v="0"/>
    <n v="3"/>
  </r>
  <r>
    <s v="ORD-03919"/>
    <x v="329"/>
    <x v="329"/>
    <s v="CUST18468"/>
    <s v="Nikhil Shah"/>
    <n v="34"/>
    <s v="Other"/>
    <x v="4"/>
    <s v="Kochi"/>
    <x v="0"/>
    <s v="Cooking Oil"/>
    <n v="3"/>
    <n v="408.26"/>
    <n v="0.03"/>
    <n v="1632.98"/>
    <n v="170"/>
    <n v="70.48"/>
    <s v="Cash on Delivery"/>
    <x v="2"/>
    <b v="0"/>
    <x v="1"/>
    <n v="1"/>
  </r>
  <r>
    <s v="ORD-03686"/>
    <x v="731"/>
    <x v="731"/>
    <s v="CUST39920"/>
    <s v="Rahul Pillai"/>
    <n v="45"/>
    <s v="Male"/>
    <x v="0"/>
    <s v="Indore"/>
    <x v="6"/>
    <s v="Dumbbells"/>
    <n v="1"/>
    <n v="9074.17"/>
    <n v="0.08"/>
    <n v="12971.64"/>
    <n v="3182.4"/>
    <n v="43.12"/>
    <s v="EMI"/>
    <x v="2"/>
    <b v="0"/>
    <x v="1"/>
    <n v="9"/>
  </r>
  <r>
    <s v="ORD-01694"/>
    <x v="732"/>
    <x v="732"/>
    <s v="CUST30040"/>
    <s v="Karan Kumar"/>
    <n v="24"/>
    <s v="Other"/>
    <x v="1"/>
    <s v="Ahmedabad"/>
    <x v="5"/>
    <s v="Tablet"/>
    <n v="4"/>
    <n v="30494.73"/>
    <n v="0.39"/>
    <n v="68016.240000000005"/>
    <n v="8846.49"/>
    <n v="53.6"/>
    <s v="Debit Card"/>
    <x v="3"/>
    <b v="0"/>
    <x v="1"/>
    <n v="4"/>
  </r>
  <r>
    <s v="ORD-01035"/>
    <x v="733"/>
    <x v="733"/>
    <s v="CUST49938"/>
    <s v="Rahul Sharma"/>
    <n v="38"/>
    <s v="Other"/>
    <x v="2"/>
    <s v="Delhi"/>
    <x v="2"/>
    <s v="Sofa"/>
    <n v="7"/>
    <n v="31419.94"/>
    <n v="0.05"/>
    <n v="237087.2"/>
    <n v="58133.19"/>
    <n v="36.96"/>
    <s v="Debit Card"/>
    <x v="1"/>
    <b v="0"/>
    <x v="1"/>
    <n v="5"/>
  </r>
  <r>
    <s v="ORD-02114"/>
    <x v="734"/>
    <x v="734"/>
    <s v="CUST71584"/>
    <s v="Kavya Mehta"/>
    <n v="28"/>
    <s v="Female"/>
    <x v="4"/>
    <s v="Kochi"/>
    <x v="2"/>
    <s v="Sofa"/>
    <n v="2"/>
    <n v="23522.83"/>
    <n v="0.15"/>
    <n v="53090.46"/>
    <n v="18316.25"/>
    <n v="70.069999999999993"/>
    <s v="EMI"/>
    <x v="3"/>
    <b v="0"/>
    <x v="1"/>
    <n v="8"/>
  </r>
  <r>
    <s v="ORD-03137"/>
    <x v="680"/>
    <x v="680"/>
    <s v="CUST53427"/>
    <s v="Aarav Das"/>
    <n v="26"/>
    <s v="Male"/>
    <x v="1"/>
    <s v="Mumbai"/>
    <x v="6"/>
    <s v="Yoga Mat"/>
    <n v="8"/>
    <n v="10683.75"/>
    <n v="0.04"/>
    <n v="113358.26"/>
    <n v="26416.639999999999"/>
    <n v="59.9"/>
    <s v="Cash on Delivery"/>
    <x v="4"/>
    <b v="0"/>
    <x v="1"/>
    <n v="7"/>
  </r>
  <r>
    <s v="ORD-01438"/>
    <x v="735"/>
    <x v="735"/>
    <s v="CUST54455"/>
    <s v="Shreya Mehta"/>
    <n v="57"/>
    <s v="Female"/>
    <x v="4"/>
    <s v="Kochi"/>
    <x v="3"/>
    <s v="Comic Book"/>
    <n v="8"/>
    <n v="1196.3800000000001"/>
    <n v="0.14000000000000001"/>
    <n v="8445.01"/>
    <n v="3179.69"/>
    <n v="71.87"/>
    <s v="Net Banking"/>
    <x v="3"/>
    <b v="0"/>
    <x v="1"/>
    <n v="4"/>
  </r>
  <r>
    <s v="ORD-02064"/>
    <x v="736"/>
    <x v="736"/>
    <s v="CUST47972"/>
    <s v="Nisha Reddy"/>
    <n v="28"/>
    <s v="Female"/>
    <x v="1"/>
    <s v="Mumbai"/>
    <x v="1"/>
    <s v="Lipstick"/>
    <n v="7"/>
    <n v="854.71"/>
    <n v="0.09"/>
    <n v="7728.92"/>
    <n v="3265.65"/>
    <n v="55.34"/>
    <s v="UPI"/>
    <x v="0"/>
    <b v="0"/>
    <x v="1"/>
    <n v="2"/>
  </r>
  <r>
    <s v="ORD-02307"/>
    <x v="737"/>
    <x v="737"/>
    <s v="CUST02936"/>
    <s v="Amit Sharma"/>
    <n v="35"/>
    <s v="Female"/>
    <x v="2"/>
    <s v="Amritsar"/>
    <x v="3"/>
    <s v="Biography"/>
    <n v="10"/>
    <n v="723.67"/>
    <n v="0.04"/>
    <n v="9456.02"/>
    <n v="3461.29"/>
    <n v="54.96"/>
    <s v="Net Banking"/>
    <x v="0"/>
    <b v="1"/>
    <x v="0"/>
    <n v="7"/>
  </r>
  <r>
    <s v="ORD-02545"/>
    <x v="738"/>
    <x v="738"/>
    <s v="CUST44757"/>
    <s v="Aditya Kumar"/>
    <n v="27"/>
    <s v="Male"/>
    <x v="4"/>
    <s v="Kochi"/>
    <x v="3"/>
    <s v="Biography"/>
    <n v="5"/>
    <n v="1209.77"/>
    <n v="0.22"/>
    <n v="4481.5600000000004"/>
    <n v="1760.45"/>
    <n v="48.73"/>
    <s v="Debit Card"/>
    <x v="4"/>
    <b v="0"/>
    <x v="1"/>
    <n v="10"/>
  </r>
  <r>
    <s v="ORD-02444"/>
    <x v="312"/>
    <x v="312"/>
    <s v="CUST18227"/>
    <s v="Deepa Mehta"/>
    <n v="20"/>
    <s v="Female"/>
    <x v="4"/>
    <s v="Hyderabad"/>
    <x v="0"/>
    <s v="Tea"/>
    <n v="6"/>
    <n v="282.54000000000002"/>
    <n v="0.21"/>
    <n v="1669.01"/>
    <n v="157.04"/>
    <n v="101.43"/>
    <s v="UPI"/>
    <x v="3"/>
    <b v="0"/>
    <x v="4"/>
    <n v="9"/>
  </r>
  <r>
    <s v="ORD-01051"/>
    <x v="48"/>
    <x v="48"/>
    <s v="CUST83773"/>
    <s v="Aditya Mehta"/>
    <n v="34"/>
    <s v="Other"/>
    <x v="4"/>
    <s v="Chennai"/>
    <x v="4"/>
    <s v="Saree"/>
    <n v="5"/>
    <n v="2726.58"/>
    <n v="0.16"/>
    <n v="15369.71"/>
    <n v="5460.97"/>
    <n v="55.2"/>
    <s v="EMI"/>
    <x v="2"/>
    <b v="0"/>
    <x v="1"/>
    <n v="3"/>
  </r>
  <r>
    <s v="ORD-02111"/>
    <x v="739"/>
    <x v="739"/>
    <s v="CUST33335"/>
    <s v="Aditya Chatterjee"/>
    <n v="48"/>
    <s v="Other"/>
    <x v="1"/>
    <s v="Mumbai"/>
    <x v="2"/>
    <s v="Sofa"/>
    <n v="10"/>
    <n v="28298.23"/>
    <n v="0.25"/>
    <n v="341316.69"/>
    <n v="107787.95"/>
    <n v="94.71"/>
    <s v="Debit Card"/>
    <x v="2"/>
    <b v="0"/>
    <x v="1"/>
    <n v="4"/>
  </r>
  <r>
    <s v="ORD-00109"/>
    <x v="740"/>
    <x v="740"/>
    <s v="CUST69131"/>
    <s v="Karan Reddy"/>
    <n v="37"/>
    <s v="Male"/>
    <x v="2"/>
    <s v="Ludhiana"/>
    <x v="2"/>
    <s v="Wardrobe"/>
    <n v="8"/>
    <n v="18758.18"/>
    <n v="0.11"/>
    <n v="112518.3"/>
    <n v="31415.21"/>
    <n v="56.55"/>
    <s v="Net Banking"/>
    <x v="1"/>
    <b v="0"/>
    <x v="3"/>
    <n v="6"/>
  </r>
  <r>
    <s v="ORD-01377"/>
    <x v="741"/>
    <x v="741"/>
    <s v="CUST06907"/>
    <s v="Arjun Iyer"/>
    <n v="12"/>
    <s v="Female"/>
    <x v="4"/>
    <s v="Kochi"/>
    <x v="5"/>
    <s v="Smartphone"/>
    <n v="5"/>
    <n v="56629.75"/>
    <n v="0.04"/>
    <n v="62813.98"/>
    <n v="8275.81"/>
    <n v="63.16"/>
    <s v="Net Banking"/>
    <x v="1"/>
    <b v="0"/>
    <x v="1"/>
    <n v="9"/>
  </r>
  <r>
    <s v="ORD-00580"/>
    <x v="472"/>
    <x v="472"/>
    <s v="CUST77116"/>
    <s v="Deepa Chatterjee"/>
    <n v="55"/>
    <s v="Male"/>
    <x v="4"/>
    <s v="Bangalore"/>
    <x v="5"/>
    <s v="Camera"/>
    <n v="10"/>
    <n v="74981.27"/>
    <n v="0.04"/>
    <n v="822702.48"/>
    <n v="98591.29"/>
    <n v="90.58"/>
    <s v="Debit Card"/>
    <x v="4"/>
    <b v="1"/>
    <x v="0"/>
    <n v="5"/>
  </r>
  <r>
    <s v="ORD-01507"/>
    <x v="742"/>
    <x v="742"/>
    <s v="CUST40530"/>
    <s v="Rohan Kapoor"/>
    <n v="24"/>
    <s v="Male"/>
    <x v="4"/>
    <s v="Chennai"/>
    <x v="0"/>
    <s v="Flour"/>
    <n v="10"/>
    <n v="108.51"/>
    <n v="0.03"/>
    <n v="907.65"/>
    <n v="97.79"/>
    <n v="67.08"/>
    <s v="Debit Card"/>
    <x v="0"/>
    <b v="1"/>
    <x v="0"/>
    <n v="10"/>
  </r>
  <r>
    <s v="ORD-00547"/>
    <x v="743"/>
    <x v="743"/>
    <s v="CUST60580"/>
    <s v="Vikram Nair"/>
    <n v="53"/>
    <s v="Female"/>
    <x v="4"/>
    <s v="Bangalore"/>
    <x v="2"/>
    <s v="Sofa"/>
    <n v="8"/>
    <n v="13159.22"/>
    <n v="0.18"/>
    <n v="82824.149999999994"/>
    <n v="28653.14"/>
    <n v="55.64"/>
    <s v="Credit Card"/>
    <x v="2"/>
    <b v="1"/>
    <x v="0"/>
    <n v="8"/>
  </r>
  <r>
    <s v="ORD-00924"/>
    <x v="240"/>
    <x v="240"/>
    <s v="CUST61112"/>
    <s v="Rahul Mishra"/>
    <n v="44"/>
    <s v="Male"/>
    <x v="3"/>
    <s v="Bhubaneswar"/>
    <x v="0"/>
    <s v="Cooking Oil"/>
    <n v="1"/>
    <n v="227.48"/>
    <n v="0.11"/>
    <n v="175.14"/>
    <n v="15.49"/>
    <n v="47.37"/>
    <s v="EMI"/>
    <x v="4"/>
    <b v="0"/>
    <x v="2"/>
    <n v="4"/>
  </r>
  <r>
    <s v="ORD-01081"/>
    <x v="673"/>
    <x v="673"/>
    <s v="CUST44184"/>
    <s v="Rohan Shah"/>
    <n v="29"/>
    <s v="Other"/>
    <x v="1"/>
    <s v="Ahmedabad"/>
    <x v="5"/>
    <s v="Camera"/>
    <n v="1"/>
    <n v="22006.34"/>
    <n v="0.11"/>
    <n v="26028.1"/>
    <n v="3707.24"/>
    <n v="40.729999999999997"/>
    <s v="Debit Card"/>
    <x v="3"/>
    <b v="1"/>
    <x v="0"/>
    <n v="10"/>
  </r>
  <r>
    <s v="ORD-00275"/>
    <x v="169"/>
    <x v="169"/>
    <s v="CUST24667"/>
    <s v="Nikhil Kapoor"/>
    <n v="41"/>
    <s v="Other"/>
    <x v="0"/>
    <s v="Nagpur"/>
    <x v="2"/>
    <s v="Chair"/>
    <n v="8"/>
    <n v="31845.06"/>
    <n v="0.06"/>
    <n v="300720.71999999997"/>
    <n v="100251.26"/>
    <n v="38.42"/>
    <s v="Credit Card"/>
    <x v="4"/>
    <b v="0"/>
    <x v="1"/>
    <n v="10"/>
  </r>
  <r>
    <s v="ORD-03517"/>
    <x v="410"/>
    <x v="410"/>
    <s v="CUST27360"/>
    <s v="Meera Gupta"/>
    <n v="30"/>
    <s v="Male"/>
    <x v="2"/>
    <s v="Amritsar"/>
    <x v="5"/>
    <s v="Camera"/>
    <n v="9"/>
    <n v="16973.28"/>
    <n v="0.05"/>
    <n v="208512.34"/>
    <n v="29073.1"/>
    <n v="35"/>
    <s v="Cash on Delivery"/>
    <x v="2"/>
    <b v="0"/>
    <x v="3"/>
    <n v="4"/>
  </r>
  <r>
    <s v="ORD-01472"/>
    <x v="744"/>
    <x v="744"/>
    <s v="CUST26553"/>
    <s v="Nikhil Kumar"/>
    <n v="27"/>
    <s v="Male"/>
    <x v="4"/>
    <s v="Hyderabad"/>
    <x v="5"/>
    <s v="Smartwatch"/>
    <n v="3"/>
    <n v="33682.54"/>
    <n v="0.26"/>
    <n v="62547.07"/>
    <n v="8775.98"/>
    <n v="56.02"/>
    <s v="Cash on Delivery"/>
    <x v="4"/>
    <b v="1"/>
    <x v="0"/>
    <n v="3"/>
  </r>
  <r>
    <s v="ORD-01299"/>
    <x v="745"/>
    <x v="745"/>
    <s v="CUST07041"/>
    <s v="Aditya Bose"/>
    <n v="28"/>
    <s v="Other"/>
    <x v="3"/>
    <s v="Bhubaneswar"/>
    <x v="6"/>
    <s v="Yoga Mat"/>
    <n v="6"/>
    <n v="8185.51"/>
    <n v="0.23"/>
    <n v="46089.54"/>
    <n v="10034.219999999999"/>
    <n v="86.32"/>
    <s v="Credit Card"/>
    <x v="2"/>
    <b v="1"/>
    <x v="0"/>
    <n v="9"/>
  </r>
  <r>
    <s v="ORD-03316"/>
    <x v="746"/>
    <x v="746"/>
    <s v="CUST71283"/>
    <s v="Aditya Shah"/>
    <n v="12"/>
    <s v="Other"/>
    <x v="3"/>
    <s v="Patna"/>
    <x v="6"/>
    <s v="Football"/>
    <n v="3"/>
    <n v="2813.63"/>
    <n v="0.22"/>
    <n v="5526.04"/>
    <n v="1360.97"/>
    <n v="71.86"/>
    <s v="EMI"/>
    <x v="3"/>
    <b v="0"/>
    <x v="1"/>
    <n v="9"/>
  </r>
  <r>
    <s v="ORD-00951"/>
    <x v="717"/>
    <x v="717"/>
    <s v="CUST39186"/>
    <s v="Meera Mehta"/>
    <n v="30"/>
    <s v="Male"/>
    <x v="0"/>
    <s v="Raipur"/>
    <x v="4"/>
    <s v="T-Shirt"/>
    <n v="10"/>
    <n v="2879.31"/>
    <n v="0.34"/>
    <n v="19680.419999999998"/>
    <n v="5641.8"/>
    <n v="64.13"/>
    <s v="Debit Card"/>
    <x v="3"/>
    <b v="0"/>
    <x v="1"/>
    <n v="4"/>
  </r>
  <r>
    <s v="ORD-03695"/>
    <x v="747"/>
    <x v="747"/>
    <s v="CUST26394"/>
    <s v="Priya Bose"/>
    <n v="27"/>
    <s v="Other"/>
    <x v="4"/>
    <s v="Kochi"/>
    <x v="0"/>
    <s v="Cooking Oil"/>
    <n v="9"/>
    <n v="399.43"/>
    <n v="0.06"/>
    <n v="5735.84"/>
    <n v="223.77"/>
    <n v="65.8"/>
    <s v="EMI"/>
    <x v="4"/>
    <b v="0"/>
    <x v="1"/>
    <n v="4"/>
  </r>
  <r>
    <s v="ORD-01830"/>
    <x v="748"/>
    <x v="748"/>
    <s v="CUST13979"/>
    <s v="Vikram Chatterjee"/>
    <n v="28"/>
    <s v="Male"/>
    <x v="4"/>
    <s v="Chennai"/>
    <x v="3"/>
    <s v="Cook Book"/>
    <n v="9"/>
    <n v="200.61"/>
    <n v="0.28000000000000003"/>
    <n v="1329.23"/>
    <n v="806.66"/>
    <n v="52.8"/>
    <s v="Net Banking"/>
    <x v="2"/>
    <b v="0"/>
    <x v="1"/>
    <n v="9"/>
  </r>
  <r>
    <s v="ORD-01148"/>
    <x v="548"/>
    <x v="548"/>
    <s v="CUST00645"/>
    <s v="Kavya Rao"/>
    <n v="22"/>
    <s v="Other"/>
    <x v="3"/>
    <s v="Kolkata"/>
    <x v="3"/>
    <s v="Fiction Novel"/>
    <n v="8"/>
    <n v="1088.97"/>
    <n v="0.22"/>
    <n v="9425.16"/>
    <n v="4003.12"/>
    <n v="52.99"/>
    <s v="Net Banking"/>
    <x v="4"/>
    <b v="0"/>
    <x v="3"/>
    <n v="4"/>
  </r>
  <r>
    <s v="ORD-03150"/>
    <x v="158"/>
    <x v="158"/>
    <s v="CUST68116"/>
    <s v="Ritu Rao"/>
    <n v="17"/>
    <s v="Female"/>
    <x v="2"/>
    <s v="Ludhiana"/>
    <x v="4"/>
    <s v="T-Shirt"/>
    <n v="9"/>
    <n v="1354.39"/>
    <n v="0.12"/>
    <n v="14092.58"/>
    <n v="4442.99"/>
    <n v="43.39"/>
    <s v="Credit Card"/>
    <x v="1"/>
    <b v="0"/>
    <x v="1"/>
    <n v="10"/>
  </r>
  <r>
    <s v="ORD-01953"/>
    <x v="611"/>
    <x v="611"/>
    <s v="CUST12422"/>
    <s v="Nikhil Kumar"/>
    <n v="33"/>
    <s v="Female"/>
    <x v="2"/>
    <s v="Chandigarh"/>
    <x v="3"/>
    <s v="Self-Help Book"/>
    <n v="8"/>
    <n v="941.99"/>
    <n v="0.39"/>
    <n v="6393.22"/>
    <n v="2237.36"/>
    <n v="56.26"/>
    <s v="EMI"/>
    <x v="4"/>
    <b v="1"/>
    <x v="0"/>
    <n v="9"/>
  </r>
  <r>
    <s v="ORD-01811"/>
    <x v="749"/>
    <x v="749"/>
    <s v="CUST60426"/>
    <s v="Arjun Pillai"/>
    <n v="41"/>
    <s v="Other"/>
    <x v="4"/>
    <s v="Hyderabad"/>
    <x v="6"/>
    <s v="Dumbbells"/>
    <n v="7"/>
    <n v="14019.83"/>
    <n v="0.28999999999999998"/>
    <n v="84559.35"/>
    <n v="18758.650000000001"/>
    <n v="70.819999999999993"/>
    <s v="Debit Card"/>
    <x v="1"/>
    <b v="0"/>
    <x v="1"/>
    <n v="1"/>
  </r>
  <r>
    <s v="ORD-03384"/>
    <x v="750"/>
    <x v="750"/>
    <s v="CUST17189"/>
    <s v="Pooja Chatterjee"/>
    <n v="37"/>
    <s v="Male"/>
    <x v="0"/>
    <s v="Bhopal"/>
    <x v="6"/>
    <s v="Dumbbells"/>
    <n v="8"/>
    <n v="14903.83"/>
    <n v="0.21"/>
    <n v="89199.08"/>
    <n v="18401.75"/>
    <n v="76.17"/>
    <s v="EMI"/>
    <x v="2"/>
    <b v="0"/>
    <x v="1"/>
    <n v="10"/>
  </r>
  <r>
    <s v="ORD-02087"/>
    <x v="751"/>
    <x v="751"/>
    <s v="CUST38893"/>
    <s v="Sunita Pillai"/>
    <n v="14"/>
    <s v="Other"/>
    <x v="0"/>
    <s v="Bhopal"/>
    <x v="5"/>
    <s v="Tablet"/>
    <n v="2"/>
    <n v="73303.92"/>
    <n v="0.03"/>
    <n v="235156.16"/>
    <n v="20863.189999999999"/>
    <n v="67.75"/>
    <s v="Cash on Delivery"/>
    <x v="2"/>
    <b v="0"/>
    <x v="1"/>
    <n v="9"/>
  </r>
  <r>
    <s v="ORD-01217"/>
    <x v="752"/>
    <x v="752"/>
    <s v="CUST73651"/>
    <s v="Sunita Das"/>
    <n v="37"/>
    <s v="Other"/>
    <x v="2"/>
    <s v="Delhi"/>
    <x v="3"/>
    <s v="Cook Book"/>
    <n v="9"/>
    <n v="1146.99"/>
    <n v="0.35"/>
    <n v="9257.42"/>
    <n v="2753.44"/>
    <n v="59.09"/>
    <s v="UPI"/>
    <x v="2"/>
    <b v="0"/>
    <x v="4"/>
    <n v="9"/>
  </r>
  <r>
    <s v="ORD-02217"/>
    <x v="638"/>
    <x v="638"/>
    <s v="CUST06113"/>
    <s v="Rohan Nair"/>
    <n v="31"/>
    <s v="Other"/>
    <x v="4"/>
    <s v="Bangalore"/>
    <x v="1"/>
    <s v="Shampoo"/>
    <n v="6"/>
    <n v="1131.18"/>
    <n v="0.05"/>
    <n v="8793.4599999999991"/>
    <n v="4445.68"/>
    <n v="69.489999999999995"/>
    <s v="Credit Card"/>
    <x v="4"/>
    <b v="0"/>
    <x v="1"/>
    <n v="8"/>
  </r>
  <r>
    <s v="ORD-01503"/>
    <x v="34"/>
    <x v="34"/>
    <s v="CUST60626"/>
    <s v="Kavya Kapoor"/>
    <n v="31"/>
    <s v="Female"/>
    <x v="4"/>
    <s v="Hyderabad"/>
    <x v="0"/>
    <s v="Sugar"/>
    <n v="7"/>
    <n v="249.21"/>
    <n v="0.19"/>
    <n v="1256.75"/>
    <n v="96.16"/>
    <n v="61.25"/>
    <s v="Cash on Delivery"/>
    <x v="0"/>
    <b v="0"/>
    <x v="4"/>
    <n v="4"/>
  </r>
  <r>
    <s v="ORD-00763"/>
    <x v="711"/>
    <x v="711"/>
    <s v="CUST44894"/>
    <s v="Aarav Verma"/>
    <n v="51"/>
    <s v="Other"/>
    <x v="0"/>
    <s v="Bhopal"/>
    <x v="3"/>
    <s v="Biography"/>
    <n v="6"/>
    <n v="377.58"/>
    <n v="0.33"/>
    <n v="1075.92"/>
    <n v="275.17"/>
    <n v="55.17"/>
    <s v="Cash on Delivery"/>
    <x v="0"/>
    <b v="0"/>
    <x v="1"/>
    <n v="6"/>
  </r>
  <r>
    <s v="ORD-03388"/>
    <x v="753"/>
    <x v="753"/>
    <s v="CUST95454"/>
    <s v="Nisha Mehta"/>
    <n v="42"/>
    <s v="Female"/>
    <x v="4"/>
    <s v="Bangalore"/>
    <x v="1"/>
    <s v="Sunscreen"/>
    <n v="4"/>
    <n v="1718.39"/>
    <n v="0.21"/>
    <n v="6404.35"/>
    <n v="2836.65"/>
    <n v="81.09"/>
    <s v="EMI"/>
    <x v="4"/>
    <b v="0"/>
    <x v="4"/>
    <n v="9"/>
  </r>
  <r>
    <s v="ORD-04199"/>
    <x v="754"/>
    <x v="754"/>
    <s v="CUST53723"/>
    <s v="Sunita Kumar"/>
    <n v="15"/>
    <s v="Male"/>
    <x v="2"/>
    <s v="Chandigarh"/>
    <x v="1"/>
    <s v="Face Cream"/>
    <n v="9"/>
    <n v="1820.1"/>
    <n v="0.28000000000000003"/>
    <n v="9661.83"/>
    <n v="5675.66"/>
    <n v="46.9"/>
    <s v="EMI"/>
    <x v="3"/>
    <b v="1"/>
    <x v="0"/>
    <n v="3"/>
  </r>
  <r>
    <s v="ORD-00146"/>
    <x v="755"/>
    <x v="755"/>
    <s v="CUST63156"/>
    <s v="Ritu Singh"/>
    <n v="34"/>
    <s v="Other"/>
    <x v="3"/>
    <s v="Kolkata"/>
    <x v="6"/>
    <s v="Dumbbells"/>
    <n v="2"/>
    <n v="9772.39"/>
    <n v="0.14000000000000001"/>
    <n v="17471.63"/>
    <n v="4749.58"/>
    <n v="90.49"/>
    <s v="Net Banking"/>
    <x v="0"/>
    <b v="0"/>
    <x v="1"/>
    <n v="8"/>
  </r>
  <r>
    <s v="ORD-01415"/>
    <x v="512"/>
    <x v="512"/>
    <s v="CUST50601"/>
    <s v="Amit Patel"/>
    <n v="31"/>
    <s v="Other"/>
    <x v="1"/>
    <s v="Mumbai"/>
    <x v="0"/>
    <s v="Tea"/>
    <n v="3"/>
    <n v="297.63"/>
    <n v="0.02"/>
    <n v="1094.67"/>
    <n v="141.65"/>
    <n v="49.55"/>
    <s v="Credit Card"/>
    <x v="4"/>
    <b v="1"/>
    <x v="0"/>
    <n v="8"/>
  </r>
  <r>
    <s v="ORD-02994"/>
    <x v="756"/>
    <x v="756"/>
    <s v="CUST67685"/>
    <s v="Shreya Pillai"/>
    <n v="42"/>
    <s v="Male"/>
    <x v="4"/>
    <s v="Kochi"/>
    <x v="4"/>
    <s v="Jeans"/>
    <n v="5"/>
    <n v="2755.15"/>
    <n v="0.35"/>
    <n v="12440.45"/>
    <n v="4470.63"/>
    <n v="73.319999999999993"/>
    <s v="UPI"/>
    <x v="1"/>
    <b v="0"/>
    <x v="1"/>
    <n v="7"/>
  </r>
  <r>
    <s v="ORD-03734"/>
    <x v="757"/>
    <x v="757"/>
    <s v="CUST31945"/>
    <s v="Aarav Iyer"/>
    <n v="54"/>
    <s v="Male"/>
    <x v="1"/>
    <s v="Ahmedabad"/>
    <x v="2"/>
    <s v="Bookshelf"/>
    <n v="9"/>
    <n v="21059.88"/>
    <n v="0.1"/>
    <n v="255508.83"/>
    <n v="78032.23"/>
    <n v="62.82"/>
    <s v="UPI"/>
    <x v="0"/>
    <b v="0"/>
    <x v="3"/>
    <n v="3"/>
  </r>
  <r>
    <s v="ORD-03433"/>
    <x v="435"/>
    <x v="435"/>
    <s v="CUST02072"/>
    <s v="Aarav Mehta"/>
    <n v="11"/>
    <s v="Male"/>
    <x v="0"/>
    <s v="Indore"/>
    <x v="1"/>
    <s v="Face Cream"/>
    <n v="10"/>
    <n v="2362.67"/>
    <n v="0.37"/>
    <n v="14507.61"/>
    <n v="7104.13"/>
    <n v="24.77"/>
    <s v="Net Banking"/>
    <x v="1"/>
    <b v="1"/>
    <x v="0"/>
    <n v="2"/>
  </r>
  <r>
    <s v="ORD-01140"/>
    <x v="480"/>
    <x v="480"/>
    <s v="CUST57705"/>
    <s v="Nisha Singh"/>
    <n v="55"/>
    <s v="Other"/>
    <x v="0"/>
    <s v="Bhopal"/>
    <x v="5"/>
    <s v="Camera"/>
    <n v="10"/>
    <n v="36516.81"/>
    <n v="0.12"/>
    <n v="494382.28"/>
    <n v="58795.08"/>
    <n v="53.99"/>
    <s v="Net Banking"/>
    <x v="2"/>
    <b v="0"/>
    <x v="1"/>
    <n v="4"/>
  </r>
  <r>
    <s v="ORD-04145"/>
    <x v="758"/>
    <x v="758"/>
    <s v="CUST52922"/>
    <s v="Vikram Shah"/>
    <n v="999"/>
    <s v="Male"/>
    <x v="3"/>
    <s v="Kolkata"/>
    <x v="6"/>
    <s v="Tennis Racket"/>
    <n v="7"/>
    <n v="13857.65"/>
    <n v="0.09"/>
    <n v="81878.899999999994"/>
    <n v="20918.310000000001"/>
    <n v="72.38"/>
    <s v="Debit Card"/>
    <x v="1"/>
    <b v="0"/>
    <x v="2"/>
    <n v="8"/>
  </r>
  <r>
    <s v="ORD-03069"/>
    <x v="759"/>
    <x v="759"/>
    <s v="CUST13129"/>
    <s v="Nikhil Nair"/>
    <n v="36"/>
    <s v="Male"/>
    <x v="3"/>
    <s v="Kolkata"/>
    <x v="0"/>
    <s v="Cooking Oil"/>
    <n v="9"/>
    <n v="461.84"/>
    <n v="0.06"/>
    <n v="5002.24"/>
    <n v="440.52"/>
    <n v="74.88"/>
    <s v="Cash on Delivery"/>
    <x v="3"/>
    <b v="0"/>
    <x v="1"/>
    <n v="5"/>
  </r>
  <r>
    <s v="ORD-01242"/>
    <x v="760"/>
    <x v="760"/>
    <s v="CUST50699"/>
    <s v="Rohan Chatterjee"/>
    <n v="16"/>
    <s v="Female"/>
    <x v="3"/>
    <s v="Patna"/>
    <x v="3"/>
    <s v="Self-Help Book"/>
    <n v="999"/>
    <n v="545.25"/>
    <n v="0.02"/>
    <n v="729651.06"/>
    <n v="258878.2"/>
    <n v="54.26"/>
    <s v="Debit Card"/>
    <x v="2"/>
    <b v="0"/>
    <x v="1"/>
    <n v="2"/>
  </r>
  <r>
    <s v="ORD-02668"/>
    <x v="576"/>
    <x v="576"/>
    <s v="CUST00301"/>
    <s v="Shreya Mehta"/>
    <n v="19"/>
    <s v="Male"/>
    <x v="1"/>
    <s v="Mumbai"/>
    <x v="3"/>
    <s v="Textbook"/>
    <n v="9"/>
    <n v="1227.77"/>
    <n v="0.09"/>
    <n v="10383.44"/>
    <n v="4289.2700000000004"/>
    <n v="74.78"/>
    <s v="Cash on Delivery"/>
    <x v="3"/>
    <b v="1"/>
    <x v="0"/>
    <n v="1"/>
  </r>
  <r>
    <s v="ORD-00995"/>
    <x v="238"/>
    <x v="238"/>
    <s v="CUST31960"/>
    <s v="Arjun Bhat"/>
    <n v="47"/>
    <s v="Other"/>
    <x v="2"/>
    <s v="Chandigarh"/>
    <x v="4"/>
    <s v="T-Shirt"/>
    <n v="10"/>
    <n v="3992.44"/>
    <n v="0.15"/>
    <n v="37327.01"/>
    <n v="12430.23"/>
    <n v="40.58"/>
    <s v="Debit Card"/>
    <x v="1"/>
    <b v="0"/>
    <x v="1"/>
    <n v="2"/>
  </r>
  <r>
    <s v="ORD-03960"/>
    <x v="382"/>
    <x v="382"/>
    <s v="CUST08100"/>
    <s v="Aditya Iyer"/>
    <n v="21"/>
    <s v="Other"/>
    <x v="2"/>
    <s v="Amritsar"/>
    <x v="0"/>
    <s v="Rice (5kg)"/>
    <n v="9"/>
    <n v="201.86"/>
    <n v="0.01"/>
    <n v="2456.41"/>
    <n v="221.64"/>
    <n v="57.28"/>
    <s v="EMI"/>
    <x v="0"/>
    <b v="0"/>
    <x v="1"/>
    <n v="4"/>
  </r>
  <r>
    <s v="ORD-02617"/>
    <x v="222"/>
    <x v="222"/>
    <s v="CUST17877"/>
    <s v="Priya Iyer"/>
    <n v="44"/>
    <s v="Male"/>
    <x v="2"/>
    <s v="Chandigarh"/>
    <x v="0"/>
    <s v="Dal (1kg)"/>
    <n v="8"/>
    <n v="364.69"/>
    <n v="0.13"/>
    <n v="2876.59"/>
    <n v="173.21"/>
    <n v="36.26"/>
    <s v="Cash on Delivery"/>
    <x v="1"/>
    <b v="0"/>
    <x v="1"/>
    <n v="5"/>
  </r>
  <r>
    <s v="ORD-00850"/>
    <x v="761"/>
    <x v="761"/>
    <s v="CUST69680"/>
    <s v="Nisha Pillai"/>
    <n v="36"/>
    <s v="Female"/>
    <x v="0"/>
    <s v="Raipur"/>
    <x v="5"/>
    <s v="Tablet"/>
    <n v="6"/>
    <n v="10944.15"/>
    <n v="0.21"/>
    <n v="42423.95"/>
    <n v="5320.38"/>
    <n v="63.46"/>
    <s v="UPI"/>
    <x v="4"/>
    <b v="0"/>
    <x v="2"/>
    <n v="8"/>
  </r>
  <r>
    <s v="ORD-02659"/>
    <x v="762"/>
    <x v="762"/>
    <s v="CUST24774"/>
    <s v="Aditya Mehta"/>
    <n v="16"/>
    <s v="Female"/>
    <x v="0"/>
    <s v="Raipur"/>
    <x v="2"/>
    <s v="Desk"/>
    <n v="8"/>
    <n v="30273.47"/>
    <n v="0.35"/>
    <n v="154408.51"/>
    <n v="36948.629999999997"/>
    <n v="62.8"/>
    <s v="Debit Card"/>
    <x v="3"/>
    <b v="0"/>
    <x v="1"/>
    <n v="9"/>
  </r>
  <r>
    <s v="ORD-03153"/>
    <x v="763"/>
    <x v="763"/>
    <s v="CUST93955"/>
    <s v="Aditya Rao"/>
    <n v="24"/>
    <s v="Female"/>
    <x v="2"/>
    <s v="Ludhiana"/>
    <x v="5"/>
    <s v="Headphones"/>
    <n v="9"/>
    <n v="56863.21"/>
    <n v="0.23"/>
    <n v="470774.92"/>
    <n v="62906"/>
    <n v="36.46"/>
    <s v="Cash on Delivery"/>
    <x v="0"/>
    <b v="0"/>
    <x v="1"/>
    <n v="3"/>
  </r>
  <r>
    <s v="ORD-00517"/>
    <x v="764"/>
    <x v="764"/>
    <s v="CUST58116"/>
    <s v="Ritu Reddy"/>
    <n v="27"/>
    <s v="Other"/>
    <x v="4"/>
    <s v="Bangalore"/>
    <x v="6"/>
    <s v="Football"/>
    <n v="9"/>
    <n v="12449.98"/>
    <n v="0.25"/>
    <n v="96151.039999999994"/>
    <n v="22779.35"/>
    <n v="37.1"/>
    <s v="Debit Card"/>
    <x v="0"/>
    <b v="0"/>
    <x v="3"/>
    <n v="1"/>
  </r>
  <r>
    <s v="ORD-02808"/>
    <x v="765"/>
    <x v="765"/>
    <s v="CUST74228"/>
    <s v="Kavya Reddy"/>
    <n v="48"/>
    <s v="Other"/>
    <x v="0"/>
    <s v="Raipur"/>
    <x v="3"/>
    <s v="Comic Book"/>
    <n v="1"/>
    <n v="769.04"/>
    <n v="0.13"/>
    <n v="1113.83"/>
    <n v="505.12"/>
    <n v="46.7"/>
    <s v="EMI"/>
    <x v="4"/>
    <b v="0"/>
    <x v="1"/>
    <n v="10"/>
  </r>
  <r>
    <s v="ORD-00501"/>
    <x v="766"/>
    <x v="766"/>
    <s v="CUST64153"/>
    <s v="Aarav Reddy"/>
    <n v="35"/>
    <s v="Female"/>
    <x v="1"/>
    <s v="Mumbai"/>
    <x v="4"/>
    <s v="Jacket"/>
    <n v="2"/>
    <n v="3190.9"/>
    <n v="0.08"/>
    <n v="6874.97"/>
    <n v="2112.6999999999998"/>
    <n v="74.319999999999993"/>
    <s v="Debit Card"/>
    <x v="0"/>
    <b v="0"/>
    <x v="3"/>
    <n v="2"/>
  </r>
  <r>
    <s v="ORD-01127"/>
    <x v="767"/>
    <x v="767"/>
    <s v="CUST44836"/>
    <s v="Priya Gupta"/>
    <n v="42"/>
    <s v="Other"/>
    <x v="2"/>
    <s v="Ludhiana"/>
    <x v="6"/>
    <s v="Cycle"/>
    <n v="9"/>
    <n v="13067.04"/>
    <n v="0.22"/>
    <n v="129179.48"/>
    <n v="17264.66"/>
    <n v="58.55"/>
    <s v="Cash on Delivery"/>
    <x v="4"/>
    <b v="1"/>
    <x v="0"/>
    <n v="4"/>
  </r>
  <r>
    <s v="ORD-00464"/>
    <x v="768"/>
    <x v="768"/>
    <s v="CUST22675"/>
    <s v="Priya Kumar"/>
    <n v="46"/>
    <s v="Other"/>
    <x v="1"/>
    <s v="Mumbai"/>
    <x v="2"/>
    <s v="Bookshelf"/>
    <n v="6"/>
    <n v="12344.66"/>
    <n v="0.02"/>
    <n v="93910.03"/>
    <n v="32713"/>
    <n v="34.26"/>
    <s v="Credit Card"/>
    <x v="3"/>
    <b v="0"/>
    <x v="1"/>
    <n v="6"/>
  </r>
  <r>
    <s v="ORD-00898"/>
    <x v="596"/>
    <x v="596"/>
    <s v="CUST48501"/>
    <s v="Priya Bose"/>
    <n v="22"/>
    <s v="Male"/>
    <x v="3"/>
    <s v="Guwahati"/>
    <x v="3"/>
    <s v="Comic Book"/>
    <n v="9"/>
    <n v="682.41"/>
    <n v="0.39"/>
    <n v="3288.5"/>
    <n v="950.54"/>
    <n v="73.23"/>
    <s v="Credit Card"/>
    <x v="2"/>
    <b v="0"/>
    <x v="4"/>
    <n v="7"/>
  </r>
  <r>
    <s v="ORD-00642"/>
    <x v="769"/>
    <x v="769"/>
    <s v="CUST75414"/>
    <s v="Arjun Mishra"/>
    <n v="35"/>
    <s v="Male"/>
    <x v="2"/>
    <s v="Ludhiana"/>
    <x v="5"/>
    <s v="Tablet"/>
    <n v="7"/>
    <n v="42976.47"/>
    <n v="0.32"/>
    <n v="173058.34"/>
    <n v="20091.830000000002"/>
    <n v="60.6"/>
    <s v="Cash on Delivery"/>
    <x v="4"/>
    <b v="0"/>
    <x v="1"/>
    <n v="2"/>
  </r>
  <r>
    <s v="ORD-00482"/>
    <x v="770"/>
    <x v="770"/>
    <s v="CUST78799"/>
    <s v="Rahul Reddy"/>
    <n v="34"/>
    <s v="Male"/>
    <x v="0"/>
    <s v="Indore"/>
    <x v="0"/>
    <s v="Sugar"/>
    <n v="2"/>
    <n v="245.8"/>
    <n v="0.2"/>
    <n v="485.67"/>
    <n v="40.76"/>
    <n v="55.25"/>
    <s v="UPI"/>
    <x v="2"/>
    <b v="0"/>
    <x v="1"/>
    <n v="1"/>
  </r>
  <r>
    <s v="ORD-01088"/>
    <x v="98"/>
    <x v="98"/>
    <s v="CUST86516"/>
    <s v="Aditya Kumar"/>
    <n v="53"/>
    <s v="Other"/>
    <x v="0"/>
    <s v="Raipur"/>
    <x v="0"/>
    <s v="Flour"/>
    <n v="10"/>
    <n v="426.88"/>
    <n v="0.19"/>
    <n v="4803.63"/>
    <n v="399.66"/>
    <n v="69.62"/>
    <s v="Debit Card"/>
    <x v="0"/>
    <b v="0"/>
    <x v="3"/>
    <n v="3"/>
  </r>
  <r>
    <s v="ORD-00639"/>
    <x v="707"/>
    <x v="707"/>
    <s v="CUST32361"/>
    <s v="Kavya Joshi"/>
    <n v="29"/>
    <s v="Other"/>
    <x v="4"/>
    <s v="Chennai"/>
    <x v="4"/>
    <s v="Jacket"/>
    <n v="9"/>
    <n v="3720.46"/>
    <n v="0.2"/>
    <n v="25352.89"/>
    <n v="8663.42"/>
    <n v="69.62"/>
    <s v="EMI"/>
    <x v="0"/>
    <b v="0"/>
    <x v="1"/>
    <n v="10"/>
  </r>
  <r>
    <s v="ORD-00330"/>
    <x v="678"/>
    <x v="678"/>
    <s v="CUST60862"/>
    <s v="Meera Patel"/>
    <n v="42"/>
    <s v="Male"/>
    <x v="0"/>
    <s v="Indore"/>
    <x v="0"/>
    <s v="Tea"/>
    <n v="5"/>
    <n v="340.16"/>
    <n v="0.37"/>
    <n v="1501.76"/>
    <n v="96.24"/>
    <n v="58.79"/>
    <s v="UPI"/>
    <x v="4"/>
    <b v="0"/>
    <x v="1"/>
    <n v="3"/>
  </r>
  <r>
    <s v="ORD-00919"/>
    <x v="109"/>
    <x v="109"/>
    <s v="CUST83261"/>
    <s v="Ritu Mehta"/>
    <n v="25"/>
    <s v="Female"/>
    <x v="1"/>
    <s v="Ahmedabad"/>
    <x v="6"/>
    <s v="Cricket Bat"/>
    <n v="1"/>
    <n v="14980.35"/>
    <n v="0.06"/>
    <n v="16007.63"/>
    <n v="3501.94"/>
    <n v="66.95"/>
    <s v="Credit Card"/>
    <x v="1"/>
    <b v="0"/>
    <x v="1"/>
    <n v="8"/>
  </r>
  <r>
    <s v="ORD-03509"/>
    <x v="771"/>
    <x v="771"/>
    <s v="CUST87841"/>
    <s v="Aditya Mehta"/>
    <n v="34"/>
    <s v="Male"/>
    <x v="1"/>
    <s v="Ahmedabad"/>
    <x v="5"/>
    <s v="Smartwatch"/>
    <n v="7"/>
    <n v="34398.85"/>
    <n v="0.32"/>
    <n v="211978.75"/>
    <n v="22144.21"/>
    <n v="71.38"/>
    <s v="Cash on Delivery"/>
    <x v="4"/>
    <b v="1"/>
    <x v="0"/>
    <n v="5"/>
  </r>
  <r>
    <s v="ORD-00643"/>
    <x v="347"/>
    <x v="347"/>
    <s v="CUST54148"/>
    <s v="Aarav Kapoor"/>
    <n v="44"/>
    <s v="Male"/>
    <x v="0"/>
    <s v="Nagpur"/>
    <x v="1"/>
    <s v="Hair Oil"/>
    <n v="10"/>
    <n v="447.27"/>
    <n v="0.15"/>
    <n v="2458.6999999999998"/>
    <n v="1150.1300000000001"/>
    <n v="45.79"/>
    <s v="Net Banking"/>
    <x v="2"/>
    <b v="0"/>
    <x v="1"/>
    <n v="5"/>
  </r>
  <r>
    <s v="ORD-00218"/>
    <x v="772"/>
    <x v="772"/>
    <s v="CUST80333"/>
    <s v="Kavya Mehta"/>
    <n v="58"/>
    <s v="Other"/>
    <x v="4"/>
    <s v="Kochi"/>
    <x v="3"/>
    <s v="Fiction Novel"/>
    <n v="2"/>
    <n v="640.98"/>
    <n v="0.05"/>
    <n v="1372.2"/>
    <n v="437.79"/>
    <n v="68.680000000000007"/>
    <s v="UPI"/>
    <x v="3"/>
    <b v="0"/>
    <x v="1"/>
    <n v="5"/>
  </r>
  <r>
    <s v="ORD-00135"/>
    <x v="773"/>
    <x v="773"/>
    <s v="CUST09673"/>
    <s v="Ritu Nair"/>
    <n v="41"/>
    <s v="Male"/>
    <x v="1"/>
    <s v="Mumbai"/>
    <x v="5"/>
    <s v="Tablet"/>
    <n v="9"/>
    <n v="39365.339999999997"/>
    <n v="0.15"/>
    <n v="210085.4"/>
    <n v="19908.38"/>
    <n v="56.84"/>
    <s v="Debit Card"/>
    <x v="2"/>
    <b v="0"/>
    <x v="1"/>
    <n v="8"/>
  </r>
  <r>
    <s v="ORD-02572"/>
    <x v="774"/>
    <x v="774"/>
    <s v="CUST19082"/>
    <s v="Sanjay Joshi"/>
    <n v="38"/>
    <s v="Other"/>
    <x v="1"/>
    <s v="Pune"/>
    <x v="4"/>
    <s v="Jeans"/>
    <n v="8"/>
    <n v="3747.11"/>
    <n v="0.15"/>
    <n v="25653.59"/>
    <n v="8023.16"/>
    <n v="35.729999999999997"/>
    <s v="Net Banking"/>
    <x v="1"/>
    <b v="0"/>
    <x v="3"/>
    <n v="1"/>
  </r>
  <r>
    <s v="ORD-03640"/>
    <x v="775"/>
    <x v="775"/>
    <s v="CUST31568"/>
    <s v="Ananya Shah"/>
    <n v="12"/>
    <s v="Other"/>
    <x v="3"/>
    <s v="Kolkata"/>
    <x v="1"/>
    <s v="Sunscreen"/>
    <n v="5"/>
    <n v="1989.16"/>
    <n v="0.24"/>
    <n v="12820.21"/>
    <n v="5988.44"/>
    <n v="79.5"/>
    <s v="Net Banking"/>
    <x v="2"/>
    <b v="0"/>
    <x v="1"/>
    <n v="5"/>
  </r>
  <r>
    <s v="ORD-02527"/>
    <x v="776"/>
    <x v="776"/>
    <s v="CUST06675"/>
    <s v="Deepa Nair"/>
    <n v="20"/>
    <s v="Female"/>
    <x v="2"/>
    <s v="Amritsar"/>
    <x v="3"/>
    <s v="Textbook"/>
    <n v="7"/>
    <n v="1431.35"/>
    <n v="0.2"/>
    <n v="8558.35"/>
    <n v="3547.79"/>
    <n v="60.84"/>
    <s v="UPI"/>
    <x v="4"/>
    <b v="1"/>
    <x v="0"/>
    <n v="2"/>
  </r>
  <r>
    <s v="ORD-03863"/>
    <x v="777"/>
    <x v="777"/>
    <s v="CUST81760"/>
    <s v="Priya Verma"/>
    <n v="34"/>
    <s v="Female"/>
    <x v="4"/>
    <s v="Hyderabad"/>
    <x v="2"/>
    <s v="Desk"/>
    <n v="7"/>
    <n v="23321.93"/>
    <n v="0.25"/>
    <n v="170809.51"/>
    <n v="57631.73"/>
    <n v="81.16"/>
    <s v="UPI"/>
    <x v="4"/>
    <b v="0"/>
    <x v="1"/>
    <n v="6"/>
  </r>
  <r>
    <s v="ORD-00705"/>
    <x v="46"/>
    <x v="46"/>
    <s v="CUST82661"/>
    <s v="Rohan Kumar"/>
    <n v="26"/>
    <s v="Male"/>
    <x v="3"/>
    <s v="Bhubaneswar"/>
    <x v="1"/>
    <s v="Hair Oil"/>
    <n v="1"/>
    <n v="2036.13"/>
    <n v="0.34"/>
    <n v="999.56"/>
    <n v="371.42"/>
    <n v="70.989999999999995"/>
    <s v="Cash on Delivery"/>
    <x v="4"/>
    <b v="0"/>
    <x v="4"/>
    <n v="6"/>
  </r>
  <r>
    <s v="ORD-01488"/>
    <x v="778"/>
    <x v="778"/>
    <s v="CUST63879"/>
    <s v="Rahul Patel"/>
    <n v="23"/>
    <s v="Male"/>
    <x v="2"/>
    <s v="Amritsar"/>
    <x v="0"/>
    <s v="Rice (5kg)"/>
    <n v="2"/>
    <n v="499.3"/>
    <n v="0.06"/>
    <n v="838.13"/>
    <n v="80.06"/>
    <n v="69.89"/>
    <s v="Credit Card"/>
    <x v="2"/>
    <b v="0"/>
    <x v="1"/>
    <n v="3"/>
  </r>
  <r>
    <s v="ORD-03808"/>
    <x v="779"/>
    <x v="779"/>
    <s v="CUST03800"/>
    <s v="Rahul Mishra"/>
    <n v="36"/>
    <s v="Other"/>
    <x v="4"/>
    <s v="Bangalore"/>
    <x v="4"/>
    <s v="Kurta"/>
    <n v="4"/>
    <n v="3455.27"/>
    <n v="0"/>
    <n v="20334.29"/>
    <n v="8527.59"/>
    <n v="73.069999999999993"/>
    <s v="EMI"/>
    <x v="3"/>
    <b v="0"/>
    <x v="1"/>
    <n v="9"/>
  </r>
  <r>
    <s v="ORD-00133"/>
    <x v="303"/>
    <x v="303"/>
    <s v="CUST06416"/>
    <s v="Aditya Iyer"/>
    <n v="28"/>
    <s v="Male"/>
    <x v="1"/>
    <s v="Pune"/>
    <x v="3"/>
    <s v="Textbook"/>
    <n v="9"/>
    <n v="657.44"/>
    <n v="0"/>
    <n v="5550.8"/>
    <n v="1842.41"/>
    <n v="53.36"/>
    <s v="EMI"/>
    <x v="4"/>
    <b v="0"/>
    <x v="3"/>
    <n v="9"/>
  </r>
  <r>
    <s v="ORD-02267"/>
    <x v="780"/>
    <x v="780"/>
    <s v="CUST18261"/>
    <s v="Kavya Iyer"/>
    <n v="35"/>
    <s v="Male"/>
    <x v="2"/>
    <s v="Delhi"/>
    <x v="1"/>
    <s v="Perfume"/>
    <n v="1"/>
    <n v="2480.5"/>
    <n v="7.0000000000000007E-2"/>
    <n v="2697.26"/>
    <n v="1008.27"/>
    <n v="42.84"/>
    <s v="UPI"/>
    <x v="3"/>
    <b v="1"/>
    <x v="0"/>
    <n v="9"/>
  </r>
  <r>
    <s v="ORD-01914"/>
    <x v="781"/>
    <x v="781"/>
    <s v="CUST69924"/>
    <s v="Sunita Bose"/>
    <n v="46"/>
    <s v="Female"/>
    <x v="2"/>
    <s v="Ludhiana"/>
    <x v="6"/>
    <s v="Yoga Mat"/>
    <n v="10"/>
    <n v="9875.4699999999993"/>
    <n v="0.24"/>
    <n v="97179.05"/>
    <n v="19944.59"/>
    <n v="98.45"/>
    <s v="Credit Card"/>
    <x v="4"/>
    <b v="0"/>
    <x v="4"/>
    <n v="3"/>
  </r>
  <r>
    <s v="ORD-01975"/>
    <x v="131"/>
    <x v="131"/>
    <s v="CUST55730"/>
    <s v="Arjun Bose"/>
    <n v="37"/>
    <s v="Female"/>
    <x v="2"/>
    <s v="Delhi"/>
    <x v="2"/>
    <s v="Wardrobe"/>
    <n v="4"/>
    <n v="31494.17"/>
    <n v="0.23"/>
    <n v="139624.10999999999"/>
    <n v="35809.83"/>
    <n v="57.08"/>
    <s v="EMI"/>
    <x v="0"/>
    <b v="1"/>
    <x v="0"/>
    <n v="7"/>
  </r>
  <r>
    <s v="ORD-03854"/>
    <x v="782"/>
    <x v="782"/>
    <s v="CUST17266"/>
    <s v="Aarav Rao"/>
    <n v="24"/>
    <s v="Male"/>
    <x v="3"/>
    <s v="Patna"/>
    <x v="3"/>
    <s v="Textbook"/>
    <n v="5"/>
    <n v="303.27999999999997"/>
    <n v="0.24"/>
    <n v="1696.93"/>
    <n v="651.04"/>
    <n v="68.98"/>
    <s v="Credit Card"/>
    <x v="1"/>
    <b v="0"/>
    <x v="1"/>
    <n v="6"/>
  </r>
  <r>
    <s v="ORD-02441"/>
    <x v="783"/>
    <x v="783"/>
    <s v="CUST43234"/>
    <s v="Rahul Singh"/>
    <n v="45"/>
    <s v="Male"/>
    <x v="2"/>
    <s v="Amritsar"/>
    <x v="6"/>
    <s v="Yoga Mat"/>
    <n v="9"/>
    <n v="8750.14"/>
    <n v="0.23"/>
    <n v="54615.07"/>
    <n v="15670.41"/>
    <n v="45.73"/>
    <s v="UPI"/>
    <x v="3"/>
    <b v="0"/>
    <x v="1"/>
    <n v="8"/>
  </r>
  <r>
    <s v="ORD-00675"/>
    <x v="784"/>
    <x v="784"/>
    <s v="CUST59612"/>
    <s v="Meera Das"/>
    <n v="18"/>
    <s v="Other"/>
    <x v="1"/>
    <s v="Surat"/>
    <x v="0"/>
    <s v="Flour"/>
    <n v="4"/>
    <n v="326.66000000000003"/>
    <n v="0.02"/>
    <n v="986.8"/>
    <n v="70.77"/>
    <n v="46.22"/>
    <s v="UPI"/>
    <x v="2"/>
    <b v="0"/>
    <x v="1"/>
    <n v="1"/>
  </r>
  <r>
    <s v="ORD-00157"/>
    <x v="785"/>
    <x v="785"/>
    <s v="CUST32598"/>
    <s v="Meera Mishra"/>
    <n v="52"/>
    <s v="Other"/>
    <x v="2"/>
    <s v="Delhi"/>
    <x v="6"/>
    <s v="Cycle"/>
    <n v="1"/>
    <n v="6367.24"/>
    <n v="0.33"/>
    <n v="4149.57"/>
    <n v="1071.43"/>
    <n v="62.13"/>
    <s v="Net Banking"/>
    <x v="1"/>
    <b v="0"/>
    <x v="4"/>
    <n v="3"/>
  </r>
  <r>
    <s v="ORD-04167"/>
    <x v="786"/>
    <x v="786"/>
    <s v="CUST06213"/>
    <s v="Kavya Patel"/>
    <n v="29"/>
    <s v="Other"/>
    <x v="3"/>
    <s v="Bhubaneswar"/>
    <x v="2"/>
    <s v="Bed Frame"/>
    <n v="9"/>
    <n v="26558.959999999999"/>
    <n v="0.12"/>
    <n v="191023.49"/>
    <n v="41485.81"/>
    <n v="110.49"/>
    <s v="Net Banking"/>
    <x v="0"/>
    <b v="1"/>
    <x v="0"/>
    <n v="6"/>
  </r>
  <r>
    <s v="ORD-03855"/>
    <x v="782"/>
    <x v="782"/>
    <s v="CUST83631"/>
    <s v="Meera Reddy"/>
    <n v="49"/>
    <s v="Other"/>
    <x v="2"/>
    <s v="Chandigarh"/>
    <x v="6"/>
    <s v="Dumbbells"/>
    <n v="9"/>
    <n v="2947.21"/>
    <n v="0.21"/>
    <n v="31412.17"/>
    <n v="5480.32"/>
    <n v="42.11"/>
    <s v="Net Banking"/>
    <x v="0"/>
    <b v="0"/>
    <x v="1"/>
    <n v="7"/>
  </r>
  <r>
    <s v="ORD-03190"/>
    <x v="787"/>
    <x v="787"/>
    <s v="CUST24234"/>
    <s v="Meera Verma"/>
    <n v="32"/>
    <s v="Other"/>
    <x v="3"/>
    <s v="Kolkata"/>
    <x v="3"/>
    <s v="Cook Book"/>
    <n v="4"/>
    <n v="1290.01"/>
    <n v="0"/>
    <n v="6137.27"/>
    <n v="2840.6"/>
    <n v="68.69"/>
    <s v="Cash on Delivery"/>
    <x v="3"/>
    <b v="0"/>
    <x v="2"/>
    <n v="6"/>
  </r>
  <r>
    <s v="ORD-03757"/>
    <x v="574"/>
    <x v="574"/>
    <s v="CUST96410"/>
    <s v="Priya Shah"/>
    <n v="51"/>
    <s v="Male"/>
    <x v="4"/>
    <s v="Chennai"/>
    <x v="3"/>
    <s v="Cook Book"/>
    <n v="5"/>
    <n v="961.89"/>
    <n v="0.01"/>
    <n v="7627.11"/>
    <n v="3502.92"/>
    <n v="70.62"/>
    <s v="Credit Card"/>
    <x v="2"/>
    <b v="0"/>
    <x v="1"/>
    <n v="3"/>
  </r>
  <r>
    <s v="ORD-02500"/>
    <x v="788"/>
    <x v="788"/>
    <s v="CUST39273"/>
    <s v="Aarav Bose"/>
    <n v="35"/>
    <s v="Other"/>
    <x v="2"/>
    <s v="Chandigarh"/>
    <x v="0"/>
    <s v="Dal (1kg)"/>
    <n v="2"/>
    <n v="87.85"/>
    <n v="0.19"/>
    <n v="103.31"/>
    <n v="6.42"/>
    <n v="63.89"/>
    <s v="Debit Card"/>
    <x v="4"/>
    <b v="0"/>
    <x v="1"/>
    <n v="10"/>
  </r>
  <r>
    <s v="ORD-02344"/>
    <x v="789"/>
    <x v="789"/>
    <s v="CUST14351"/>
    <s v="Kavya Singh"/>
    <n v="33"/>
    <s v="Other"/>
    <x v="4"/>
    <s v="Chennai"/>
    <x v="2"/>
    <s v="Wardrobe"/>
    <n v="10"/>
    <n v="33036.39"/>
    <n v="0.15"/>
    <n v="296109.08"/>
    <n v="94051.67"/>
    <n v="73.88"/>
    <s v="UPI"/>
    <x v="2"/>
    <b v="0"/>
    <x v="1"/>
    <n v="3"/>
  </r>
  <r>
    <s v="ORD-03341"/>
    <x v="106"/>
    <x v="106"/>
    <s v="CUST62991"/>
    <s v="Meera Pillai"/>
    <n v="25"/>
    <s v="Female"/>
    <x v="2"/>
    <s v="Chandigarh"/>
    <x v="5"/>
    <s v="Smartwatch"/>
    <n v="3"/>
    <n v="32029.32"/>
    <n v="0.02"/>
    <n v="75119.27"/>
    <n v="11139.42"/>
    <n v="73.87"/>
    <s v="UPI"/>
    <x v="3"/>
    <b v="0"/>
    <x v="1"/>
    <n v="3"/>
  </r>
  <r>
    <s v="ORD-03642"/>
    <x v="790"/>
    <x v="790"/>
    <s v="CUST91604"/>
    <s v="Deepa Pillai"/>
    <n v="34"/>
    <s v="Male"/>
    <x v="0"/>
    <s v="Raipur"/>
    <x v="4"/>
    <s v="Saree"/>
    <n v="1"/>
    <n v="1545.75"/>
    <n v="0.33"/>
    <n v="1542.53"/>
    <n v="612.17999999999995"/>
    <n v="63.94"/>
    <s v="Net Banking"/>
    <x v="3"/>
    <b v="1"/>
    <x v="0"/>
    <n v="9"/>
  </r>
  <r>
    <s v="ORD-03571"/>
    <x v="791"/>
    <x v="791"/>
    <s v="CUST52512"/>
    <s v="Nisha Sharma"/>
    <n v="25"/>
    <s v="Other"/>
    <x v="2"/>
    <s v="Chandigarh"/>
    <x v="4"/>
    <s v="Jacket"/>
    <n v="4"/>
    <n v="2828.85"/>
    <n v="0.3"/>
    <n v="10952.86"/>
    <n v="3943.46"/>
    <n v="76.099999999999994"/>
    <s v="Debit Card"/>
    <x v="0"/>
    <b v="0"/>
    <x v="3"/>
    <n v="3"/>
  </r>
  <r>
    <s v="ORD-01181"/>
    <x v="663"/>
    <x v="663"/>
    <s v="CUST78578"/>
    <s v="Vikram Reddy"/>
    <n v="40"/>
    <s v="Other"/>
    <x v="0"/>
    <s v="Raipur"/>
    <x v="5"/>
    <s v="Laptop"/>
    <n v="1"/>
    <n v="47536.69"/>
    <n v="0.14000000000000001"/>
    <n v="48541.55"/>
    <n v="7443.68"/>
    <n v="39.99"/>
    <s v="Credit Card"/>
    <x v="0"/>
    <b v="0"/>
    <x v="3"/>
    <n v="4"/>
  </r>
  <r>
    <s v="ORD-01135"/>
    <x v="792"/>
    <x v="792"/>
    <s v="CUST96639"/>
    <s v="Nisha Shah"/>
    <n v="28"/>
    <s v="Female"/>
    <x v="3"/>
    <s v="Guwahati"/>
    <x v="6"/>
    <s v="Cycle"/>
    <n v="6"/>
    <n v="6132.4"/>
    <n v="0.14000000000000001"/>
    <n v="43423.68"/>
    <n v="6267.62"/>
    <n v="83.58"/>
    <s v="EMI"/>
    <x v="0"/>
    <b v="0"/>
    <x v="1"/>
    <n v="3"/>
  </r>
  <r>
    <s v="ORD-03783"/>
    <x v="549"/>
    <x v="549"/>
    <s v="CUST12983"/>
    <s v="Amit Singh"/>
    <n v="29"/>
    <s v="Other"/>
    <x v="4"/>
    <s v="Chennai"/>
    <x v="1"/>
    <s v="Shampoo"/>
    <n v="5"/>
    <n v="561.79"/>
    <n v="0.16"/>
    <n v="777.12"/>
    <n v="256.7"/>
    <n v="65.099999999999994"/>
    <s v="UPI"/>
    <x v="4"/>
    <b v="0"/>
    <x v="1"/>
    <n v="4"/>
  </r>
  <r>
    <s v="ORD-01837"/>
    <x v="793"/>
    <x v="793"/>
    <s v="CUST54771"/>
    <s v="Arjun Nair"/>
    <n v="26"/>
    <s v="Male"/>
    <x v="4"/>
    <s v="Chennai"/>
    <x v="6"/>
    <s v="Yoga Mat"/>
    <n v="9"/>
    <n v="8324.77"/>
    <n v="0.01"/>
    <n v="78776.929999999993"/>
    <n v="19757.509999999998"/>
    <n v="114.04"/>
    <s v="Net Banking"/>
    <x v="2"/>
    <b v="0"/>
    <x v="4"/>
    <n v="3"/>
  </r>
  <r>
    <s v="ORD-03375"/>
    <x v="167"/>
    <x v="167"/>
    <s v="CUST69853"/>
    <s v="Deepa Chatterjee"/>
    <n v="26"/>
    <s v="Other"/>
    <x v="3"/>
    <s v="Patna"/>
    <x v="5"/>
    <s v="Camera"/>
    <n v="1"/>
    <n v="39921.4"/>
    <n v="0.23"/>
    <n v="29027.34"/>
    <n v="4657.8"/>
    <n v="79.95"/>
    <s v="Credit Card"/>
    <x v="1"/>
    <b v="0"/>
    <x v="1"/>
    <n v="1"/>
  </r>
  <r>
    <s v="ORD-00352"/>
    <x v="794"/>
    <x v="794"/>
    <s v="CUST23957"/>
    <s v="Aditya Joshi"/>
    <n v="36"/>
    <s v="Male"/>
    <x v="1"/>
    <s v="Ahmedabad"/>
    <x v="6"/>
    <s v="Dumbbells"/>
    <n v="3"/>
    <n v="5934.84"/>
    <n v="0.4"/>
    <n v="13742.69"/>
    <n v="3428.34"/>
    <n v="72.22"/>
    <s v="Cash on Delivery"/>
    <x v="2"/>
    <b v="0"/>
    <x v="4"/>
    <n v="2"/>
  </r>
  <r>
    <s v="ORD-03565"/>
    <x v="698"/>
    <x v="698"/>
    <s v="CUST40074"/>
    <s v="Kavya Patel"/>
    <n v="59"/>
    <s v="Male"/>
    <x v="1"/>
    <s v="Mumbai"/>
    <x v="0"/>
    <s v="Rice (5kg)"/>
    <n v="9"/>
    <n v="158.32"/>
    <n v="0.22"/>
    <n v="1561.49"/>
    <n v="114.52"/>
    <n v="64.86"/>
    <s v="EMI"/>
    <x v="0"/>
    <b v="0"/>
    <x v="1"/>
    <n v="10"/>
  </r>
  <r>
    <s v="ORD-03987"/>
    <x v="612"/>
    <x v="612"/>
    <s v="CUST84905"/>
    <s v="Pooja Bhat"/>
    <n v="28"/>
    <s v="Male"/>
    <x v="3"/>
    <s v="Bhubaneswar"/>
    <x v="0"/>
    <s v="Flour"/>
    <n v="10"/>
    <n v="394.18"/>
    <n v="0.11"/>
    <n v="4349.83"/>
    <n v="380.98"/>
    <n v="90.1"/>
    <s v="UPI"/>
    <x v="0"/>
    <b v="0"/>
    <x v="1"/>
    <n v="3"/>
  </r>
  <r>
    <s v="ORD-03285"/>
    <x v="720"/>
    <x v="720"/>
    <s v="CUST64046"/>
    <s v="Shreya Mishra"/>
    <n v="15"/>
    <s v="Other"/>
    <x v="0"/>
    <s v="Nagpur"/>
    <x v="2"/>
    <s v="Chair"/>
    <n v="7"/>
    <n v="30237.39"/>
    <n v="0.15"/>
    <n v="155865.09"/>
    <n v="38187.730000000003"/>
    <n v="68.650000000000006"/>
    <s v="Credit Card"/>
    <x v="1"/>
    <b v="0"/>
    <x v="3"/>
    <n v="8"/>
  </r>
  <r>
    <s v="ORD-03045"/>
    <x v="795"/>
    <x v="795"/>
    <s v="CUST54485"/>
    <s v="Karan Kapoor"/>
    <n v="42"/>
    <s v="Male"/>
    <x v="4"/>
    <s v="Bangalore"/>
    <x v="0"/>
    <s v="Tea"/>
    <n v="4"/>
    <n v="474.68"/>
    <n v="0.3"/>
    <n v="1844.79"/>
    <n v="156.82"/>
    <n v="41.43"/>
    <s v="Credit Card"/>
    <x v="0"/>
    <b v="0"/>
    <x v="1"/>
    <n v="7"/>
  </r>
  <r>
    <s v="ORD-03187"/>
    <x v="796"/>
    <x v="796"/>
    <s v="CUST63003"/>
    <s v="Nisha Mehta"/>
    <n v="40"/>
    <s v="Female"/>
    <x v="0"/>
    <s v="Indore"/>
    <x v="5"/>
    <s v="Smartphone"/>
    <n v="2"/>
    <n v="15759.44"/>
    <n v="0.15"/>
    <n v="30120.16"/>
    <n v="3914.94"/>
    <n v="66.72"/>
    <s v="Net Banking"/>
    <x v="1"/>
    <b v="0"/>
    <x v="1"/>
    <n v="10"/>
  </r>
  <r>
    <s v="ORD-03170"/>
    <x v="196"/>
    <x v="196"/>
    <s v="CUST69634"/>
    <s v="Nikhil Reddy"/>
    <n v="34"/>
    <s v="Male"/>
    <x v="3"/>
    <s v="Patna"/>
    <x v="3"/>
    <s v="Fiction Novel"/>
    <n v="8"/>
    <n v="344.93"/>
    <n v="0.06"/>
    <n v="2797.51"/>
    <n v="1292.82"/>
    <n v="61.8"/>
    <s v="Net Banking"/>
    <x v="0"/>
    <b v="0"/>
    <x v="1"/>
    <n v="3"/>
  </r>
  <r>
    <s v="ORD-02112"/>
    <x v="739"/>
    <x v="739"/>
    <s v="CUST60338"/>
    <s v="Nikhil Joshi"/>
    <n v="33"/>
    <s v="Female"/>
    <x v="2"/>
    <s v="Amritsar"/>
    <x v="2"/>
    <s v="Chair"/>
    <n v="4"/>
    <n v="3037.37"/>
    <n v="0.1"/>
    <n v="12378.84"/>
    <n v="3013.5"/>
    <n v="45.31"/>
    <s v="Debit Card"/>
    <x v="0"/>
    <b v="0"/>
    <x v="3"/>
    <n v="4"/>
  </r>
  <r>
    <s v="ORD-01355"/>
    <x v="797"/>
    <x v="797"/>
    <s v="CUST96314"/>
    <s v="Ananya Pillai"/>
    <n v="17"/>
    <s v="Other"/>
    <x v="0"/>
    <s v="Bhopal"/>
    <x v="1"/>
    <s v="Lipstick"/>
    <n v="10"/>
    <n v="565.58000000000004"/>
    <n v="0.36"/>
    <n v="4045.87"/>
    <n v="2129.62"/>
    <n v="37.31"/>
    <s v="EMI"/>
    <x v="0"/>
    <b v="1"/>
    <x v="0"/>
    <n v="9"/>
  </r>
  <r>
    <s v="ORD-03828"/>
    <x v="798"/>
    <x v="798"/>
    <s v="CUST16772"/>
    <s v="Ritu Mehta"/>
    <n v="35"/>
    <s v="Other"/>
    <x v="0"/>
    <s v="Indore"/>
    <x v="5"/>
    <s v="Smartwatch"/>
    <n v="3"/>
    <n v="45894.21"/>
    <n v="0.11"/>
    <n v="191499.56"/>
    <n v="29426.2"/>
    <n v="51.2"/>
    <s v="UPI"/>
    <x v="3"/>
    <b v="0"/>
    <x v="1"/>
    <n v="3"/>
  </r>
  <r>
    <s v="ORD-00769"/>
    <x v="799"/>
    <x v="799"/>
    <s v="CUST22535"/>
    <s v="Priya Das"/>
    <n v="27"/>
    <s v="Female"/>
    <x v="0"/>
    <s v="Bhopal"/>
    <x v="2"/>
    <s v="Desk"/>
    <n v="9"/>
    <n v="20678.490000000002"/>
    <n v="0.35"/>
    <n v="87908.479999999996"/>
    <n v="33141.699999999997"/>
    <n v="46.74"/>
    <s v="Credit Card"/>
    <x v="3"/>
    <b v="0"/>
    <x v="1"/>
    <n v="5"/>
  </r>
  <r>
    <s v="ORD-01203"/>
    <x v="800"/>
    <x v="800"/>
    <s v="CUST20494"/>
    <s v="Karan Bhat"/>
    <n v="58"/>
    <s v="Other"/>
    <x v="4"/>
    <s v="Hyderabad"/>
    <x v="4"/>
    <s v="Dress"/>
    <n v="1"/>
    <n v="3505.24"/>
    <n v="0.31"/>
    <n v="3938.32"/>
    <n v="1621.58"/>
    <n v="55.77"/>
    <s v="UPI"/>
    <x v="0"/>
    <b v="0"/>
    <x v="1"/>
    <n v="9"/>
  </r>
  <r>
    <s v="ORD-01548"/>
    <x v="801"/>
    <x v="801"/>
    <s v="CUST86499"/>
    <s v="Amit Gupta"/>
    <n v="29"/>
    <s v="Other"/>
    <x v="2"/>
    <s v="Amritsar"/>
    <x v="0"/>
    <s v="Dal (1kg)"/>
    <n v="5"/>
    <n v="391.05"/>
    <n v="0.11"/>
    <n v="304.23"/>
    <n v="27.95"/>
    <n v="38.520000000000003"/>
    <s v="Credit Card"/>
    <x v="0"/>
    <b v="0"/>
    <x v="4"/>
    <n v="10"/>
  </r>
  <r>
    <s v="ORD-03754"/>
    <x v="802"/>
    <x v="802"/>
    <s v="CUST83515"/>
    <s v="Amit Shah"/>
    <n v="33"/>
    <s v="Male"/>
    <x v="3"/>
    <s v="Patna"/>
    <x v="0"/>
    <s v="Dal (1kg)"/>
    <n v="9"/>
    <n v="298.83"/>
    <n v="0.1"/>
    <n v="4084.65"/>
    <n v="279.52999999999997"/>
    <n v="55.65"/>
    <s v="EMI"/>
    <x v="4"/>
    <b v="1"/>
    <x v="0"/>
    <n v="1"/>
  </r>
  <r>
    <s v="ORD-01404"/>
    <x v="353"/>
    <x v="353"/>
    <s v="CUST34886"/>
    <s v="Karan Iyer"/>
    <n v="25"/>
    <s v="Female"/>
    <x v="3"/>
    <s v="Kolkata"/>
    <x v="3"/>
    <s v="Fiction Novel"/>
    <n v="10"/>
    <n v="350.58"/>
    <n v="0.32"/>
    <n v="2561.17"/>
    <n v="916.75"/>
    <n v="95"/>
    <s v="UPI"/>
    <x v="1"/>
    <b v="0"/>
    <x v="1"/>
    <n v="7"/>
  </r>
  <r>
    <s v="ORD-03344"/>
    <x v="558"/>
    <x v="558"/>
    <s v="CUST66556"/>
    <s v="Ananya Nair"/>
    <n v="42"/>
    <s v="Male"/>
    <x v="2"/>
    <s v="Chandigarh"/>
    <x v="6"/>
    <s v="Yoga Mat"/>
    <n v="0"/>
    <n v="935.36"/>
    <n v="0.06"/>
    <n v="727.57"/>
    <n v="161.08000000000001"/>
    <n v="50.09"/>
    <s v="UPI"/>
    <x v="4"/>
    <b v="1"/>
    <x v="0"/>
    <n v="3"/>
  </r>
  <r>
    <s v="ORD-00023"/>
    <x v="803"/>
    <x v="803"/>
    <s v="CUST78914"/>
    <s v="Ritu Rao"/>
    <n v="44"/>
    <s v="Female"/>
    <x v="1"/>
    <s v="Pune"/>
    <x v="2"/>
    <s v="Desk"/>
    <n v="8"/>
    <n v="12654.92"/>
    <n v="0.37"/>
    <n v="44039.5"/>
    <n v="13136.75"/>
    <n v="75.7"/>
    <s v="Cash on Delivery"/>
    <x v="4"/>
    <b v="0"/>
    <x v="1"/>
    <n v="1"/>
  </r>
  <r>
    <s v="ORD-03573"/>
    <x v="804"/>
    <x v="804"/>
    <s v="CUST13424"/>
    <s v="Kavya Mishra"/>
    <n v="16"/>
    <s v="Other"/>
    <x v="0"/>
    <s v="Nagpur"/>
    <x v="2"/>
    <s v="Chair"/>
    <n v="8"/>
    <n v="21200.54"/>
    <n v="0.25"/>
    <n v="198759.57"/>
    <n v="52379.78"/>
    <n v="30.82"/>
    <s v="Credit Card"/>
    <x v="1"/>
    <b v="0"/>
    <x v="1"/>
    <n v="9"/>
  </r>
  <r>
    <s v="ORD-03438"/>
    <x v="702"/>
    <x v="702"/>
    <s v="CUST66705"/>
    <s v="Sunita Shah"/>
    <n v="51"/>
    <s v="Other"/>
    <x v="1"/>
    <s v="Pune"/>
    <x v="3"/>
    <s v="Self-Help Book"/>
    <n v="4"/>
    <n v="523"/>
    <n v="0.26"/>
    <n v="1458.67"/>
    <n v="432"/>
    <n v="42.17"/>
    <s v="UPI"/>
    <x v="2"/>
    <b v="0"/>
    <x v="1"/>
    <n v="5"/>
  </r>
  <r>
    <s v="ORD-02818"/>
    <x v="805"/>
    <x v="805"/>
    <s v="CUST11582"/>
    <s v="Kavya Kumar"/>
    <n v="36"/>
    <s v="Female"/>
    <x v="0"/>
    <s v="Raipur"/>
    <x v="1"/>
    <s v="Shampoo"/>
    <n v="5"/>
    <n v="576.73"/>
    <n v="7.0000000000000007E-2"/>
    <n v="4465.04"/>
    <n v="1617.65"/>
    <n v="61.27"/>
    <s v="EMI"/>
    <x v="2"/>
    <b v="0"/>
    <x v="3"/>
    <n v="2"/>
  </r>
  <r>
    <s v="ORD-03416"/>
    <x v="13"/>
    <x v="13"/>
    <s v="CUST98563"/>
    <s v="Ananya Pillai"/>
    <n v="27"/>
    <s v="Female"/>
    <x v="1"/>
    <s v="Ahmedabad"/>
    <x v="0"/>
    <s v="Dal (1kg)"/>
    <n v="10"/>
    <n v="406.98"/>
    <n v="0.13"/>
    <n v="3726.88"/>
    <n v="185.43"/>
    <n v="17.510000000000002"/>
    <s v="Net Banking"/>
    <x v="0"/>
    <b v="0"/>
    <x v="3"/>
    <n v="1"/>
  </r>
  <r>
    <s v="ORD-00351"/>
    <x v="794"/>
    <x v="794"/>
    <s v="CUST05560"/>
    <s v="Aditya Shah"/>
    <n v="36"/>
    <s v="Other"/>
    <x v="1"/>
    <s v="Ahmedabad"/>
    <x v="6"/>
    <s v="Yoga Mat"/>
    <n v="9"/>
    <n v="13555.14"/>
    <n v="0.2"/>
    <n v="120212"/>
    <n v="36132.18"/>
    <n v="93.89"/>
    <s v="UPI"/>
    <x v="1"/>
    <b v="0"/>
    <x v="1"/>
    <n v="7"/>
  </r>
  <r>
    <s v="ORD-02653"/>
    <x v="806"/>
    <x v="806"/>
    <s v="CUST19008"/>
    <s v="Karan Singh"/>
    <n v="46"/>
    <s v="Female"/>
    <x v="0"/>
    <s v="Bhopal"/>
    <x v="3"/>
    <s v="Cook Book"/>
    <n v="6"/>
    <n v="821.9"/>
    <n v="0.11"/>
    <n v="4718.43"/>
    <n v="1271.26"/>
    <n v="24.77"/>
    <s v="Debit Card"/>
    <x v="2"/>
    <b v="0"/>
    <x v="1"/>
    <n v="5"/>
  </r>
  <r>
    <s v="ORD-00604"/>
    <x v="807"/>
    <x v="807"/>
    <s v="CUST47446"/>
    <s v="Arjun Gupta"/>
    <n v="23"/>
    <s v="Other"/>
    <x v="3"/>
    <s v="Guwahati"/>
    <x v="2"/>
    <s v="Desk"/>
    <n v="4"/>
    <n v="10669.95"/>
    <n v="0.36"/>
    <n v="27756.98"/>
    <n v="9717.32"/>
    <n v="73.78"/>
    <s v="EMI"/>
    <x v="4"/>
    <b v="0"/>
    <x v="1"/>
    <n v="2"/>
  </r>
  <r>
    <s v="ORD-00768"/>
    <x v="799"/>
    <x v="799"/>
    <s v="CUST47322"/>
    <s v="Ritu Chatterjee"/>
    <n v="32"/>
    <s v="Female"/>
    <x v="0"/>
    <s v="Nagpur"/>
    <x v="6"/>
    <s v="Tennis Racket"/>
    <n v="4"/>
    <n v="3803.71"/>
    <n v="0.1"/>
    <n v="9647.73"/>
    <n v="1808.82"/>
    <n v="75.19"/>
    <s v="Cash on Delivery"/>
    <x v="2"/>
    <b v="0"/>
    <x v="1"/>
    <n v="9"/>
  </r>
  <r>
    <s v="ORD-01175"/>
    <x v="398"/>
    <x v="398"/>
    <s v="CUST72525"/>
    <s v="Vikram Nair"/>
    <n v="16"/>
    <s v="Male"/>
    <x v="2"/>
    <s v="Amritsar"/>
    <x v="4"/>
    <s v="Kurta"/>
    <n v="10"/>
    <n v="2096.84"/>
    <n v="0.04"/>
    <n v="29360.23"/>
    <n v="13912.15"/>
    <n v="29.35"/>
    <s v="UPI"/>
    <x v="2"/>
    <b v="0"/>
    <x v="1"/>
    <n v="4"/>
  </r>
  <r>
    <s v="ORD-00596"/>
    <x v="341"/>
    <x v="341"/>
    <s v="CUST30793"/>
    <s v="Shreya Mehta"/>
    <n v="29"/>
    <s v="Male"/>
    <x v="2"/>
    <s v="Chandigarh"/>
    <x v="1"/>
    <s v="Face Cream"/>
    <n v="2"/>
    <n v="2372.2399999999998"/>
    <n v="0.18"/>
    <n v="3450.53"/>
    <n v="1389.92"/>
    <n v="51.38"/>
    <s v="EMI"/>
    <x v="1"/>
    <b v="0"/>
    <x v="1"/>
    <n v="1"/>
  </r>
  <r>
    <s v="ORD-02256"/>
    <x v="369"/>
    <x v="369"/>
    <s v="CUST76072"/>
    <s v="Karan Pillai"/>
    <n v="21"/>
    <s v="Other"/>
    <x v="1"/>
    <s v="Pune"/>
    <x v="2"/>
    <s v="Bookshelf"/>
    <n v="9"/>
    <n v="29503.49"/>
    <n v="0.02"/>
    <n v="295846.81"/>
    <n v="62680.47"/>
    <n v="44.27"/>
    <s v="Debit Card"/>
    <x v="4"/>
    <b v="0"/>
    <x v="4"/>
    <n v="3"/>
  </r>
  <r>
    <s v="ORD-01241"/>
    <x v="760"/>
    <x v="760"/>
    <s v="CUST61863"/>
    <s v="Shreya Joshi"/>
    <n v="35"/>
    <s v="Female"/>
    <x v="3"/>
    <s v="Guwahati"/>
    <x v="0"/>
    <s v="Rice (5kg)"/>
    <n v="7"/>
    <n v="245.58"/>
    <n v="0.24"/>
    <n v="1697.64"/>
    <n v="173.17"/>
    <n v="84.93"/>
    <s v="Cash on Delivery"/>
    <x v="1"/>
    <b v="0"/>
    <x v="1"/>
    <n v="3"/>
  </r>
  <r>
    <s v="ORD-01000"/>
    <x v="808"/>
    <x v="808"/>
    <s v="CUST98974"/>
    <s v="Karan Reddy"/>
    <n v="38"/>
    <s v="Female"/>
    <x v="4"/>
    <s v="Chennai"/>
    <x v="3"/>
    <s v="Cook Book"/>
    <n v="4"/>
    <n v="1425.29"/>
    <n v="0.21"/>
    <n v="5074.93"/>
    <n v="2152.9499999999998"/>
    <n v="84.46"/>
    <s v="UPI"/>
    <x v="0"/>
    <b v="0"/>
    <x v="1"/>
    <n v="2"/>
  </r>
  <r>
    <s v="ORD-02229"/>
    <x v="540"/>
    <x v="540"/>
    <s v="CUST82156"/>
    <s v="Arjun Reddy"/>
    <n v="35"/>
    <s v="Male"/>
    <x v="2"/>
    <s v="Chandigarh"/>
    <x v="2"/>
    <s v="Bookshelf"/>
    <n v="3"/>
    <n v="29848.47"/>
    <n v="0.26"/>
    <n v="88033.69"/>
    <n v="26851.32"/>
    <n v="62.97"/>
    <s v="Debit Card"/>
    <x v="1"/>
    <b v="0"/>
    <x v="2"/>
    <n v="10"/>
  </r>
  <r>
    <s v="ORD-03572"/>
    <x v="791"/>
    <x v="791"/>
    <s v="CUST95134"/>
    <s v="Aarav Kumar"/>
    <n v="32"/>
    <s v="Other"/>
    <x v="1"/>
    <s v="Surat"/>
    <x v="6"/>
    <s v="Cricket Bat"/>
    <n v="5"/>
    <n v="10965.5"/>
    <n v="0.17"/>
    <n v="60476.18"/>
    <n v="10094.56"/>
    <n v="67.11"/>
    <s v="Debit Card"/>
    <x v="0"/>
    <b v="0"/>
    <x v="1"/>
    <n v="3"/>
  </r>
  <r>
    <s v="ORD-03892"/>
    <x v="809"/>
    <x v="809"/>
    <s v="CUST28116"/>
    <s v="Pooja Bose"/>
    <n v="20"/>
    <s v="Other"/>
    <x v="1"/>
    <s v="Ahmedabad"/>
    <x v="4"/>
    <s v="Jacket"/>
    <n v="10"/>
    <n v="1866.54"/>
    <n v="0.06"/>
    <n v="28793.88"/>
    <n v="10235.469999999999"/>
    <n v="39.49"/>
    <s v="Credit Card"/>
    <x v="1"/>
    <b v="0"/>
    <x v="3"/>
    <n v="7"/>
  </r>
  <r>
    <s v="ORD-00574"/>
    <x v="335"/>
    <x v="335"/>
    <s v="CUST90504"/>
    <s v="Aarav Sharma"/>
    <n v="16"/>
    <s v="Female"/>
    <x v="1"/>
    <s v="Pune"/>
    <x v="2"/>
    <s v="Sofa"/>
    <n v="3"/>
    <n v="8460.49"/>
    <n v="0.16"/>
    <n v="19748.43"/>
    <n v="6671.85"/>
    <n v="38.06"/>
    <s v="Cash on Delivery"/>
    <x v="0"/>
    <b v="0"/>
    <x v="1"/>
    <n v="3"/>
  </r>
  <r>
    <s v="ORD-01591"/>
    <x v="810"/>
    <x v="810"/>
    <s v="CUST83440"/>
    <s v="Aditya Sharma"/>
    <n v="21"/>
    <s v="Female"/>
    <x v="4"/>
    <s v="Bangalore"/>
    <x v="0"/>
    <s v="Rice (5kg)"/>
    <n v="8"/>
    <n v="210.62"/>
    <n v="0.36"/>
    <n v="807.18"/>
    <n v="51.19"/>
    <n v="62.4"/>
    <s v="Net Banking"/>
    <x v="0"/>
    <b v="0"/>
    <x v="1"/>
    <n v="6"/>
  </r>
  <r>
    <s v="ORD-00499"/>
    <x v="811"/>
    <x v="811"/>
    <s v="CUST68621"/>
    <s v="Sunita Nair"/>
    <n v="50"/>
    <s v="Other"/>
    <x v="3"/>
    <s v="Kolkata"/>
    <x v="0"/>
    <s v="Cooking Oil"/>
    <n v="4"/>
    <n v="299.75"/>
    <n v="0.01"/>
    <n v="1339.61"/>
    <n v="109.11"/>
    <n v="106.26"/>
    <s v="EMI"/>
    <x v="3"/>
    <b v="0"/>
    <x v="3"/>
    <n v="7"/>
  </r>
  <r>
    <s v="ORD-01130"/>
    <x v="812"/>
    <x v="812"/>
    <s v="CUST78754"/>
    <s v="Aditya Mehta"/>
    <n v="16"/>
    <s v="Other"/>
    <x v="1"/>
    <s v="Mumbai"/>
    <x v="3"/>
    <s v="Cook Book"/>
    <n v="7"/>
    <n v="862.1"/>
    <n v="0.39"/>
    <n v="3916.31"/>
    <n v="1476.96"/>
    <n v="72.680000000000007"/>
    <s v="EMI"/>
    <x v="4"/>
    <b v="1"/>
    <x v="0"/>
    <n v="8"/>
  </r>
  <r>
    <s v="ORD-00756"/>
    <x v="42"/>
    <x v="42"/>
    <s v="CUST60860"/>
    <s v="Aarav Bose"/>
    <n v="35"/>
    <s v="Other"/>
    <x v="1"/>
    <s v="Mumbai"/>
    <x v="4"/>
    <s v="Kurta"/>
    <n v="7"/>
    <n v="446.81"/>
    <n v="7.0000000000000007E-2"/>
    <n v="2020.82"/>
    <n v="594.44000000000005"/>
    <n v="79.489999999999995"/>
    <s v="Net Banking"/>
    <x v="4"/>
    <b v="0"/>
    <x v="3"/>
    <n v="1"/>
  </r>
  <r>
    <s v="ORD-02357"/>
    <x v="145"/>
    <x v="145"/>
    <s v="CUST17365"/>
    <s v="Nikhil Pillai"/>
    <n v="36"/>
    <s v="Female"/>
    <x v="0"/>
    <s v="Raipur"/>
    <x v="0"/>
    <s v="Rice (5kg)"/>
    <n v="8"/>
    <n v="394.24"/>
    <n v="0.28000000000000003"/>
    <n v="2269.73"/>
    <n v="208.28"/>
    <n v="66.63"/>
    <s v="Credit Card"/>
    <x v="4"/>
    <b v="0"/>
    <x v="1"/>
    <n v="4"/>
  </r>
  <r>
    <s v="ORD-02897"/>
    <x v="813"/>
    <x v="813"/>
    <s v="CUST64599"/>
    <s v="Priya Verma"/>
    <n v="60"/>
    <s v="Female"/>
    <x v="2"/>
    <s v="Amritsar"/>
    <x v="5"/>
    <s v="Smartwatch"/>
    <n v="6"/>
    <n v="62456.65"/>
    <n v="0.02"/>
    <n v="593837.1"/>
    <n v="72763.11"/>
    <n v="30.38"/>
    <s v="Debit Card"/>
    <x v="2"/>
    <b v="0"/>
    <x v="3"/>
    <n v="1"/>
  </r>
  <r>
    <s v="ORD-02629"/>
    <x v="423"/>
    <x v="423"/>
    <s v="CUST23638"/>
    <s v="Shreya Shah"/>
    <n v="57"/>
    <s v="Male"/>
    <x v="0"/>
    <s v="Nagpur"/>
    <x v="1"/>
    <s v="Shampoo"/>
    <n v="9"/>
    <n v="1014.1"/>
    <n v="0.17"/>
    <n v="7782.1"/>
    <n v="2587.13"/>
    <n v="50.45"/>
    <s v="Credit Card"/>
    <x v="4"/>
    <b v="0"/>
    <x v="1"/>
    <n v="10"/>
  </r>
  <r>
    <s v="ORD-01317"/>
    <x v="279"/>
    <x v="279"/>
    <s v="CUST37544"/>
    <s v="Vikram Mehta"/>
    <n v="35"/>
    <s v="Other"/>
    <x v="2"/>
    <s v="Amritsar"/>
    <x v="2"/>
    <s v="Wardrobe"/>
    <n v="10"/>
    <n v="26198.400000000001"/>
    <n v="0.08"/>
    <n v="256959.11"/>
    <n v="92292.36"/>
    <n v="42.39"/>
    <s v="Credit Card"/>
    <x v="2"/>
    <b v="0"/>
    <x v="1"/>
    <n v="2"/>
  </r>
  <r>
    <s v="ORD-03043"/>
    <x v="265"/>
    <x v="265"/>
    <s v="CUST77236"/>
    <s v="Shreya Mehta"/>
    <n v="53"/>
    <s v="Female"/>
    <x v="0"/>
    <s v="Bhopal"/>
    <x v="1"/>
    <s v="Lipstick"/>
    <n v="4"/>
    <n v="369.22"/>
    <n v="0.19"/>
    <n v="1495.87"/>
    <n v="791.13"/>
    <n v="38.15"/>
    <s v="Credit Card"/>
    <x v="1"/>
    <b v="0"/>
    <x v="1"/>
    <n v="9"/>
  </r>
  <r>
    <s v="ORD-04152"/>
    <x v="599"/>
    <x v="599"/>
    <s v="CUST27678"/>
    <s v="Kavya Kapoor"/>
    <n v="39"/>
    <s v="Other"/>
    <x v="4"/>
    <s v="Hyderabad"/>
    <x v="0"/>
    <s v="Tea"/>
    <n v="6"/>
    <n v="199.94"/>
    <n v="7.0000000000000007E-2"/>
    <n v="1058.44"/>
    <n v="90.06"/>
    <n v="70.92"/>
    <s v="Credit Card"/>
    <x v="0"/>
    <b v="0"/>
    <x v="4"/>
    <n v="10"/>
  </r>
  <r>
    <s v="ORD-00084"/>
    <x v="111"/>
    <x v="111"/>
    <s v="CUST43984"/>
    <s v="Meera Kumar"/>
    <n v="58"/>
    <s v="Male"/>
    <x v="2"/>
    <s v="Ludhiana"/>
    <x v="4"/>
    <s v="Kurta"/>
    <n v="2"/>
    <n v="1849.33"/>
    <n v="0.36"/>
    <n v="2115.12"/>
    <n v="453.68"/>
    <n v="31.92"/>
    <s v="UPI"/>
    <x v="1"/>
    <b v="0"/>
    <x v="1"/>
    <n v="5"/>
  </r>
  <r>
    <s v="ORD-00539"/>
    <x v="814"/>
    <x v="814"/>
    <s v="CUST19345"/>
    <s v="Ananya Pillai"/>
    <n v="53"/>
    <s v="Other"/>
    <x v="0"/>
    <s v="Indore"/>
    <x v="4"/>
    <s v="Jacket"/>
    <n v="999"/>
    <n v="2567.4"/>
    <n v="0.31"/>
    <n v="2281458.2200000002"/>
    <n v="899209.6"/>
    <n v="74.459999999999994"/>
    <s v="EMI"/>
    <x v="0"/>
    <b v="0"/>
    <x v="1"/>
    <n v="5"/>
  </r>
  <r>
    <s v="ORD-01926"/>
    <x v="815"/>
    <x v="815"/>
    <s v="CUST98569"/>
    <s v="Amit Joshi"/>
    <n v="29"/>
    <s v="Female"/>
    <x v="1"/>
    <s v="Mumbai"/>
    <x v="1"/>
    <s v="Lipstick"/>
    <n v="4"/>
    <n v="1147.98"/>
    <n v="0.2"/>
    <n v="6361.05"/>
    <n v="3168.26"/>
    <n v="65.040000000000006"/>
    <s v="Credit Card"/>
    <x v="2"/>
    <b v="0"/>
    <x v="4"/>
    <n v="3"/>
  </r>
  <r>
    <s v="ORD-03361"/>
    <x v="816"/>
    <x v="816"/>
    <s v="CUST86557"/>
    <s v="Rahul Patel"/>
    <n v="42"/>
    <s v="Male"/>
    <x v="4"/>
    <s v="Hyderabad"/>
    <x v="4"/>
    <s v="Dress"/>
    <n v="9"/>
    <n v="498.04"/>
    <n v="0.17"/>
    <n v="3156.27"/>
    <n v="846.9"/>
    <n v="66.239999999999995"/>
    <s v="EMI"/>
    <x v="3"/>
    <b v="0"/>
    <x v="3"/>
    <n v="9"/>
  </r>
  <r>
    <s v="ORD-02174"/>
    <x v="464"/>
    <x v="464"/>
    <s v="CUST21947"/>
    <s v="Pooja Das"/>
    <n v="14"/>
    <s v="Male"/>
    <x v="0"/>
    <s v="Raipur"/>
    <x v="0"/>
    <s v="Rice (5kg)"/>
    <n v="4"/>
    <n v="226.35"/>
    <n v="7.0000000000000007E-2"/>
    <n v="989.86"/>
    <n v="91.52"/>
    <n v="55.59"/>
    <s v="Debit Card"/>
    <x v="4"/>
    <b v="0"/>
    <x v="2"/>
    <n v="3"/>
  </r>
  <r>
    <s v="ORD-01785"/>
    <x v="817"/>
    <x v="817"/>
    <s v="CUST57566"/>
    <s v="Sanjay Kumar"/>
    <n v="36"/>
    <s v="Male"/>
    <x v="4"/>
    <s v="Chennai"/>
    <x v="0"/>
    <s v="Rice (5kg)"/>
    <n v="10"/>
    <n v="206.1"/>
    <n v="0.35"/>
    <n v="1777.49"/>
    <n v="133.97"/>
    <n v="79.95"/>
    <s v="UPI"/>
    <x v="3"/>
    <b v="0"/>
    <x v="1"/>
    <n v="1"/>
  </r>
  <r>
    <s v="ORD-02544"/>
    <x v="458"/>
    <x v="458"/>
    <s v="CUST94242"/>
    <s v="Kavya Gupta"/>
    <n v="46"/>
    <s v="Male"/>
    <x v="2"/>
    <s v="Chandigarh"/>
    <x v="2"/>
    <s v="Bookshelf"/>
    <n v="7"/>
    <n v="14759.75"/>
    <n v="0.17"/>
    <n v="87388.37"/>
    <n v="15358.82"/>
    <n v="24.99"/>
    <s v="EMI"/>
    <x v="0"/>
    <b v="0"/>
    <x v="1"/>
    <n v="4"/>
  </r>
  <r>
    <s v="ORD-00016"/>
    <x v="818"/>
    <x v="818"/>
    <s v="CUST31154"/>
    <s v="Pooja Kapoor"/>
    <n v="34"/>
    <s v="Female"/>
    <x v="3"/>
    <s v="Patna"/>
    <x v="4"/>
    <s v="Jeans"/>
    <n v="5"/>
    <n v="669.43"/>
    <n v="0.01"/>
    <n v="2618.73"/>
    <n v="710.9"/>
    <n v="82.42"/>
    <s v="Credit Card"/>
    <x v="2"/>
    <b v="0"/>
    <x v="1"/>
    <n v="10"/>
  </r>
  <r>
    <s v="ORD-01005"/>
    <x v="819"/>
    <x v="819"/>
    <s v="CUST25038"/>
    <s v="Ritu Iyer"/>
    <n v="20"/>
    <s v="Female"/>
    <x v="0"/>
    <s v="Raipur"/>
    <x v="5"/>
    <s v="Laptop"/>
    <n v="4"/>
    <n v="68084.100000000006"/>
    <n v="0.37"/>
    <n v="189388.83"/>
    <n v="13906.21"/>
    <n v="69.36"/>
    <s v="Debit Card"/>
    <x v="0"/>
    <b v="0"/>
    <x v="1"/>
    <n v="3"/>
  </r>
  <r>
    <s v="ORD-02197"/>
    <x v="1"/>
    <x v="1"/>
    <s v="CUST78749"/>
    <s v="Aarav Joshi"/>
    <n v="36"/>
    <s v="Male"/>
    <x v="4"/>
    <s v="Hyderabad"/>
    <x v="4"/>
    <s v="Jacket"/>
    <n v="7"/>
    <n v="1443.52"/>
    <n v="0.13"/>
    <n v="11305.88"/>
    <n v="3465.68"/>
    <n v="55.23"/>
    <s v="Credit Card"/>
    <x v="4"/>
    <b v="1"/>
    <x v="0"/>
    <n v="5"/>
  </r>
  <r>
    <s v="ORD-01714"/>
    <x v="820"/>
    <x v="820"/>
    <s v="CUST52422"/>
    <s v="Priya Mishra"/>
    <n v="8"/>
    <s v="Other"/>
    <x v="0"/>
    <s v="Indore"/>
    <x v="6"/>
    <s v="Football"/>
    <n v="5"/>
    <n v="13240.63"/>
    <n v="0.26"/>
    <n v="46691.07"/>
    <n v="9265.4"/>
    <n v="67.489999999999995"/>
    <s v="Net Banking"/>
    <x v="1"/>
    <b v="0"/>
    <x v="1"/>
    <n v="5"/>
  </r>
  <r>
    <s v="ORD-01722"/>
    <x v="390"/>
    <x v="390"/>
    <s v="CUST63028"/>
    <s v="Deepa Mishra"/>
    <n v="31"/>
    <s v="Other"/>
    <x v="0"/>
    <s v="Bhopal"/>
    <x v="0"/>
    <s v="Tea"/>
    <n v="8"/>
    <n v="367.78"/>
    <n v="0.05"/>
    <n v="2940.06"/>
    <n v="156.66999999999999"/>
    <n v="59.05"/>
    <s v="Net Banking"/>
    <x v="0"/>
    <b v="0"/>
    <x v="1"/>
    <n v="10"/>
  </r>
  <r>
    <s v="ORD-01626"/>
    <x v="362"/>
    <x v="362"/>
    <s v="CUST71913"/>
    <s v="Aditya Das"/>
    <n v="49"/>
    <s v="Female"/>
    <x v="3"/>
    <s v="Guwahati"/>
    <x v="6"/>
    <s v="Cricket Bat"/>
    <n v="8"/>
    <n v="5432.7"/>
    <n v="0.02"/>
    <n v="31946.52"/>
    <n v="4581.83"/>
    <n v="74.44"/>
    <s v="Credit Card"/>
    <x v="2"/>
    <b v="0"/>
    <x v="1"/>
    <n v="3"/>
  </r>
  <r>
    <s v="ORD-04025"/>
    <x v="821"/>
    <x v="821"/>
    <s v="CUST94922"/>
    <s v="Arjun Reddy"/>
    <n v="58"/>
    <s v="Other"/>
    <x v="0"/>
    <s v="Indore"/>
    <x v="1"/>
    <s v="Face Cream"/>
    <n v="10"/>
    <n v="1026.6600000000001"/>
    <n v="0.13"/>
    <n v="9081.4500000000007"/>
    <n v="4511.59"/>
    <n v="101.7"/>
    <s v="Debit Card"/>
    <x v="3"/>
    <b v="0"/>
    <x v="4"/>
    <n v="8"/>
  </r>
  <r>
    <s v="ORD-02917"/>
    <x v="822"/>
    <x v="822"/>
    <s v="CUST53514"/>
    <s v="Karan Patel"/>
    <n v="25"/>
    <s v="Female"/>
    <x v="3"/>
    <s v="Kolkata"/>
    <x v="0"/>
    <s v="Flour"/>
    <n v="9"/>
    <n v="374.09"/>
    <n v="0.17"/>
    <n v="4521.17"/>
    <n v="397.05"/>
    <n v="78.38"/>
    <s v="Debit Card"/>
    <x v="4"/>
    <b v="1"/>
    <x v="0"/>
    <n v="8"/>
  </r>
  <r>
    <s v="ORD-03254"/>
    <x v="823"/>
    <x v="823"/>
    <s v="CUST62167"/>
    <s v="Aarav Nair"/>
    <n v="6"/>
    <s v="Other"/>
    <x v="2"/>
    <s v="Ludhiana"/>
    <x v="0"/>
    <s v="Sugar"/>
    <n v="6"/>
    <n v="131.77000000000001"/>
    <n v="0.35"/>
    <n v="499.25"/>
    <n v="57.45"/>
    <n v="58.15"/>
    <s v="Debit Card"/>
    <x v="1"/>
    <b v="0"/>
    <x v="1"/>
    <n v="3"/>
  </r>
  <r>
    <s v="ORD-03240"/>
    <x v="824"/>
    <x v="824"/>
    <s v="CUST64411"/>
    <s v="Arjun Kapoor"/>
    <n v="34"/>
    <s v="Other"/>
    <x v="4"/>
    <s v="Hyderabad"/>
    <x v="0"/>
    <s v="Tea"/>
    <n v="6"/>
    <n v="160.41"/>
    <n v="0.3"/>
    <n v="586.05999999999995"/>
    <n v="63.9"/>
    <n v="77.63"/>
    <s v="Net Banking"/>
    <x v="4"/>
    <b v="0"/>
    <x v="1"/>
    <n v="3"/>
  </r>
  <r>
    <s v="ORD-03770"/>
    <x v="825"/>
    <x v="825"/>
    <s v="CUST96876"/>
    <s v="Nikhil Sharma"/>
    <n v="35"/>
    <s v="Other"/>
    <x v="4"/>
    <s v="Bangalore"/>
    <x v="5"/>
    <s v="Smartwatch"/>
    <n v="5"/>
    <n v="21887.79"/>
    <n v="0.34"/>
    <n v="27456.59"/>
    <n v="3466.29"/>
    <n v="71.52"/>
    <s v="Debit Card"/>
    <x v="1"/>
    <b v="0"/>
    <x v="1"/>
    <n v="9"/>
  </r>
  <r>
    <s v="ORD-03698"/>
    <x v="826"/>
    <x v="826"/>
    <s v="CUST96903"/>
    <s v="Sunita Gupta"/>
    <n v="34"/>
    <s v="Male"/>
    <x v="0"/>
    <s v="Raipur"/>
    <x v="5"/>
    <s v="Camera"/>
    <n v="9"/>
    <n v="40526.75"/>
    <n v="0.37"/>
    <n v="293380.84999999998"/>
    <n v="34699.61"/>
    <n v="66.27"/>
    <s v="Debit Card"/>
    <x v="0"/>
    <b v="1"/>
    <x v="0"/>
    <n v="8"/>
  </r>
  <r>
    <s v="ORD-00220"/>
    <x v="441"/>
    <x v="441"/>
    <s v="CUST34125"/>
    <s v="Arjun Das"/>
    <n v="53"/>
    <s v="Male"/>
    <x v="4"/>
    <s v="Kochi"/>
    <x v="5"/>
    <s v="Smartwatch"/>
    <n v="7"/>
    <n v="9567.57"/>
    <n v="0.15"/>
    <n v="74980.19"/>
    <n v="6346.79"/>
    <n v="57.59"/>
    <s v="UPI"/>
    <x v="3"/>
    <b v="1"/>
    <x v="0"/>
    <n v="5"/>
  </r>
  <r>
    <s v="ORD-01606"/>
    <x v="827"/>
    <x v="827"/>
    <s v="CUST76863"/>
    <s v="Rahul Iyer"/>
    <n v="34"/>
    <s v="Female"/>
    <x v="4"/>
    <s v="Hyderabad"/>
    <x v="5"/>
    <s v="Camera"/>
    <n v="1"/>
    <n v="44910.55"/>
    <n v="0.23"/>
    <n v="25982.59"/>
    <n v="1789.8"/>
    <n v="63.09"/>
    <s v="Cash on Delivery"/>
    <x v="0"/>
    <b v="1"/>
    <x v="0"/>
    <n v="10"/>
  </r>
  <r>
    <s v="ORD-00188"/>
    <x v="828"/>
    <x v="828"/>
    <s v="CUST84898"/>
    <s v="Deepa Mishra"/>
    <n v="45"/>
    <s v="Male"/>
    <x v="3"/>
    <s v="Kolkata"/>
    <x v="5"/>
    <s v="Smartphone"/>
    <n v="1"/>
    <n v="6658.64"/>
    <n v="0.06"/>
    <n v="6373.28"/>
    <n v="702.66"/>
    <n v="108.65"/>
    <s v="UPI"/>
    <x v="2"/>
    <b v="0"/>
    <x v="1"/>
    <n v="10"/>
  </r>
  <r>
    <s v="ORD-03444"/>
    <x v="829"/>
    <x v="829"/>
    <s v="CUST31786"/>
    <s v="Pooja Verma"/>
    <n v="23"/>
    <s v="Other"/>
    <x v="2"/>
    <s v="Delhi"/>
    <x v="2"/>
    <s v="Sofa"/>
    <n v="1"/>
    <n v="18541.2"/>
    <n v="0.28000000000000003"/>
    <n v="14966.05"/>
    <n v="4220.82"/>
    <n v="26.45"/>
    <s v="Cash on Delivery"/>
    <x v="1"/>
    <b v="0"/>
    <x v="1"/>
    <n v="9"/>
  </r>
  <r>
    <s v="ORD-01492"/>
    <x v="830"/>
    <x v="830"/>
    <s v="CUST52972"/>
    <s v="Karan Rao"/>
    <n v="47"/>
    <s v="Male"/>
    <x v="1"/>
    <s v="Ahmedabad"/>
    <x v="1"/>
    <s v="Face Cream"/>
    <n v="1"/>
    <n v="214.05"/>
    <n v="0.33"/>
    <n v="112.78"/>
    <n v="35.96"/>
    <n v="36.57"/>
    <s v="UPI"/>
    <x v="0"/>
    <b v="0"/>
    <x v="1"/>
    <n v="10"/>
  </r>
  <r>
    <s v="ORD-01673"/>
    <x v="577"/>
    <x v="577"/>
    <s v="CUST61953"/>
    <s v="Nikhil Iyer"/>
    <n v="36"/>
    <s v="Male"/>
    <x v="1"/>
    <s v="Mumbai"/>
    <x v="1"/>
    <s v="Perfume"/>
    <n v="7"/>
    <n v="1098.02"/>
    <n v="0.23"/>
    <n v="4476.08"/>
    <n v="2091.36"/>
    <n v="61.05"/>
    <s v="Cash on Delivery"/>
    <x v="0"/>
    <b v="0"/>
    <x v="1"/>
    <n v="10"/>
  </r>
  <r>
    <s v="ORD-00645"/>
    <x v="831"/>
    <x v="831"/>
    <s v="CUST20584"/>
    <s v="Sanjay Nair"/>
    <n v="38"/>
    <s v="Female"/>
    <x v="3"/>
    <s v="Kolkata"/>
    <x v="3"/>
    <s v="Self-Help Book"/>
    <n v="9"/>
    <n v="1306.28"/>
    <n v="0.21"/>
    <n v="8262.31"/>
    <n v="4280.66"/>
    <n v="74.540000000000006"/>
    <s v="Net Banking"/>
    <x v="4"/>
    <b v="0"/>
    <x v="1"/>
    <n v="4"/>
  </r>
  <r>
    <s v="ORD-01025"/>
    <x v="129"/>
    <x v="129"/>
    <s v="CUST16923"/>
    <s v="Nisha Bhat"/>
    <n v="36"/>
    <s v="Male"/>
    <x v="2"/>
    <s v="Amritsar"/>
    <x v="6"/>
    <s v="Tennis Racket"/>
    <n v="999"/>
    <n v="9380.7199999999993"/>
    <n v="0.28999999999999998"/>
    <n v="7936261.2000000002"/>
    <n v="1739854"/>
    <n v="72.62"/>
    <s v="Net Banking"/>
    <x v="2"/>
    <b v="0"/>
    <x v="1"/>
    <n v="4"/>
  </r>
  <r>
    <s v="ORD-01835"/>
    <x v="793"/>
    <x v="793"/>
    <s v="CUST19761"/>
    <s v="Sanjay Gupta"/>
    <n v="35"/>
    <s v="Other"/>
    <x v="3"/>
    <s v="Bhubaneswar"/>
    <x v="0"/>
    <s v="Rice (5kg)"/>
    <n v="6"/>
    <n v="113.85"/>
    <n v="0.12"/>
    <n v="739.35"/>
    <n v="42.47"/>
    <n v="94.73"/>
    <s v="UPI"/>
    <x v="1"/>
    <b v="0"/>
    <x v="1"/>
    <n v="9"/>
  </r>
  <r>
    <s v="ORD-03501"/>
    <x v="832"/>
    <x v="832"/>
    <s v="CUST99295"/>
    <s v="Pooja Shah"/>
    <n v="61"/>
    <s v="Male"/>
    <x v="4"/>
    <s v="Chennai"/>
    <x v="1"/>
    <s v="Hair Oil"/>
    <n v="2"/>
    <n v="2459.27"/>
    <n v="0.22"/>
    <n v="4998.5200000000004"/>
    <n v="2550.2600000000002"/>
    <n v="90.29"/>
    <s v="Credit Card"/>
    <x v="1"/>
    <b v="0"/>
    <x v="1"/>
    <n v="2"/>
  </r>
  <r>
    <s v="ORD-01836"/>
    <x v="793"/>
    <x v="793"/>
    <s v="CUST59858"/>
    <s v="Arjun Chatterjee"/>
    <n v="51"/>
    <s v="Female"/>
    <x v="0"/>
    <s v="Raipur"/>
    <x v="4"/>
    <s v="Dress"/>
    <n v="4"/>
    <n v="3759.12"/>
    <n v="0.06"/>
    <n v="16565.63"/>
    <n v="5889.66"/>
    <n v="49.87"/>
    <s v="Cash on Delivery"/>
    <x v="0"/>
    <b v="0"/>
    <x v="1"/>
    <n v="1"/>
  </r>
  <r>
    <s v="ORD-02683"/>
    <x v="833"/>
    <x v="833"/>
    <s v="CUST18854"/>
    <s v="Pooja Nair"/>
    <n v="53"/>
    <s v="Female"/>
    <x v="0"/>
    <s v="Bhopal"/>
    <x v="3"/>
    <s v="Fiction Novel"/>
    <n v="7"/>
    <n v="291.52999999999997"/>
    <n v="0.08"/>
    <n v="2565.08"/>
    <n v="571.02"/>
    <n v="71.31"/>
    <s v="Credit Card"/>
    <x v="4"/>
    <b v="0"/>
    <x v="1"/>
    <n v="3"/>
  </r>
  <r>
    <s v="ORD-03701"/>
    <x v="834"/>
    <x v="834"/>
    <s v="CUST18957"/>
    <s v="Ritu Shah"/>
    <n v="-1"/>
    <s v="Male"/>
    <x v="0"/>
    <s v="Indore"/>
    <x v="0"/>
    <s v="Rice (5kg)"/>
    <n v="7"/>
    <n v="314.01"/>
    <n v="0.22"/>
    <n v="2725.99"/>
    <n v="279.75"/>
    <n v="47.43"/>
    <s v="UPI"/>
    <x v="4"/>
    <b v="1"/>
    <x v="0"/>
    <n v="5"/>
  </r>
  <r>
    <s v="ORD-04039"/>
    <x v="835"/>
    <x v="835"/>
    <s v="CUST38048"/>
    <s v="Nisha Bose"/>
    <n v="32"/>
    <s v="Male"/>
    <x v="0"/>
    <s v="Nagpur"/>
    <x v="6"/>
    <s v="Cycle"/>
    <n v="1"/>
    <n v="13524.69"/>
    <n v="0.16"/>
    <n v="12066.97"/>
    <n v="2590.87"/>
    <n v="66.760000000000005"/>
    <s v="UPI"/>
    <x v="1"/>
    <b v="0"/>
    <x v="1"/>
    <n v="6"/>
  </r>
  <r>
    <s v="ORD-01471"/>
    <x v="744"/>
    <x v="744"/>
    <s v="CUST70306"/>
    <s v="Amit Singh"/>
    <n v="18"/>
    <s v="Male"/>
    <x v="0"/>
    <s v="Raipur"/>
    <x v="4"/>
    <s v="Dress"/>
    <n v="4"/>
    <n v="2744.4"/>
    <n v="0.06"/>
    <n v="9005.15"/>
    <n v="3617.26"/>
    <n v="63.69"/>
    <s v="EMI"/>
    <x v="4"/>
    <b v="0"/>
    <x v="2"/>
    <n v="7"/>
  </r>
  <r>
    <s v="ORD-02561"/>
    <x v="836"/>
    <x v="836"/>
    <s v="CUST34744"/>
    <s v="Meera Joshi"/>
    <n v="38"/>
    <s v="Male"/>
    <x v="2"/>
    <s v="Ludhiana"/>
    <x v="5"/>
    <s v="Tablet"/>
    <n v="6"/>
    <n v="8947.94"/>
    <n v="0.18"/>
    <n v="39941.040000000001"/>
    <n v="4114.43"/>
    <n v="67.17"/>
    <s v="Net Banking"/>
    <x v="2"/>
    <b v="0"/>
    <x v="3"/>
    <n v="10"/>
  </r>
  <r>
    <s v="ORD-02297"/>
    <x v="331"/>
    <x v="331"/>
    <s v="CUST42672"/>
    <s v="Kavya Nair"/>
    <n v="33"/>
    <s v="Male"/>
    <x v="1"/>
    <s v="Mumbai"/>
    <x v="1"/>
    <s v="Perfume"/>
    <n v="5"/>
    <n v="926.42"/>
    <n v="0.25"/>
    <n v="3809.66"/>
    <n v="1528.7"/>
    <n v="64.010000000000005"/>
    <s v="Debit Card"/>
    <x v="1"/>
    <b v="0"/>
    <x v="4"/>
    <n v="6"/>
  </r>
  <r>
    <s v="ORD-03108"/>
    <x v="837"/>
    <x v="837"/>
    <s v="CUST73404"/>
    <s v="Ritu Patel"/>
    <n v="36"/>
    <s v="Male"/>
    <x v="0"/>
    <s v="Bhopal"/>
    <x v="5"/>
    <s v="Smartphone"/>
    <n v="9"/>
    <n v="26560.240000000002"/>
    <n v="0.2"/>
    <n v="238441.62"/>
    <n v="32963.32"/>
    <n v="47.86"/>
    <s v="Debit Card"/>
    <x v="3"/>
    <b v="0"/>
    <x v="1"/>
    <n v="10"/>
  </r>
  <r>
    <s v="ORD-01121"/>
    <x v="838"/>
    <x v="838"/>
    <s v="CUST42961"/>
    <s v="Rahul Reddy"/>
    <n v="44"/>
    <s v="Female"/>
    <x v="1"/>
    <s v="Pune"/>
    <x v="6"/>
    <s v="Cricket Bat"/>
    <n v="4"/>
    <n v="2049.02"/>
    <n v="0.11"/>
    <n v="10395.540000000001"/>
    <n v="1625.17"/>
    <n v="77.489999999999995"/>
    <s v="Cash on Delivery"/>
    <x v="3"/>
    <b v="0"/>
    <x v="1"/>
    <n v="1"/>
  </r>
  <r>
    <s v="ORD-04059"/>
    <x v="126"/>
    <x v="126"/>
    <s v="CUST50161"/>
    <s v="Priya Mishra"/>
    <n v="25"/>
    <s v="Female"/>
    <x v="4"/>
    <s v="Chennai"/>
    <x v="0"/>
    <s v="Dal (1kg)"/>
    <n v="7"/>
    <n v="352.63"/>
    <n v="0.25"/>
    <n v="1976.85"/>
    <n v="173.35"/>
    <n v="62.95"/>
    <s v="Net Banking"/>
    <x v="0"/>
    <b v="1"/>
    <x v="0"/>
    <n v="5"/>
  </r>
  <r>
    <s v="ORD-03653"/>
    <x v="839"/>
    <x v="839"/>
    <s v="CUST59471"/>
    <s v="Karan Mehta"/>
    <n v="28"/>
    <s v="Other"/>
    <x v="4"/>
    <s v="Kochi"/>
    <x v="4"/>
    <s v="Jacket"/>
    <n v="7"/>
    <n v="3210.04"/>
    <n v="0.38"/>
    <n v="22477.05"/>
    <n v="8603.9699999999993"/>
    <n v="60.3"/>
    <s v="Credit Card"/>
    <x v="0"/>
    <b v="1"/>
    <x v="0"/>
    <n v="1"/>
  </r>
  <r>
    <s v="ORD-03548"/>
    <x v="840"/>
    <x v="840"/>
    <s v="CUST66417"/>
    <s v="Vikram Rao"/>
    <n v="21"/>
    <s v="Other"/>
    <x v="3"/>
    <s v="Patna"/>
    <x v="4"/>
    <s v="T-Shirt"/>
    <n v="8"/>
    <n v="894.69"/>
    <n v="0.02"/>
    <n v="9349.02"/>
    <n v="1742.56"/>
    <n v="62.56"/>
    <s v="Cash on Delivery"/>
    <x v="1"/>
    <b v="0"/>
    <x v="1"/>
    <n v="6"/>
  </r>
  <r>
    <s v="ORD-02642"/>
    <x v="496"/>
    <x v="496"/>
    <s v="CUST28950"/>
    <s v="Ritu Iyer"/>
    <n v="48"/>
    <s v="Male"/>
    <x v="3"/>
    <s v="Guwahati"/>
    <x v="4"/>
    <s v="Jeans"/>
    <n v="9"/>
    <n v="3701.68"/>
    <n v="0.25"/>
    <n v="25508.14"/>
    <n v="10141.91"/>
    <n v="66.89"/>
    <s v="Credit Card"/>
    <x v="1"/>
    <b v="0"/>
    <x v="1"/>
    <n v="2"/>
  </r>
  <r>
    <s v="ORD-01107"/>
    <x v="841"/>
    <x v="841"/>
    <s v="CUST94112"/>
    <s v="Pooja Nair"/>
    <n v="25"/>
    <s v="Male"/>
    <x v="1"/>
    <s v="Surat"/>
    <x v="6"/>
    <s v="Tennis Racket"/>
    <n v="9"/>
    <n v="12847.76"/>
    <n v="0.21"/>
    <n v="143841.57"/>
    <n v="26810.1"/>
    <n v="59.25"/>
    <s v="EMI"/>
    <x v="0"/>
    <b v="0"/>
    <x v="2"/>
    <n v="2"/>
  </r>
  <r>
    <s v="ORD-01743"/>
    <x v="842"/>
    <x v="842"/>
    <s v="CUST21723"/>
    <s v="Kavya Gupta"/>
    <n v="31"/>
    <s v="Other"/>
    <x v="2"/>
    <s v="Ludhiana"/>
    <x v="3"/>
    <s v="Comic Book"/>
    <n v="3"/>
    <n v="1239.02"/>
    <n v="0.3"/>
    <n v="2496.6"/>
    <n v="753.81"/>
    <n v="47.04"/>
    <s v="Credit Card"/>
    <x v="0"/>
    <b v="0"/>
    <x v="1"/>
    <n v="1"/>
  </r>
  <r>
    <s v="ORD-03587"/>
    <x v="498"/>
    <x v="498"/>
    <s v="CUST49861"/>
    <s v="Rahul Bhat"/>
    <n v="36"/>
    <s v="Female"/>
    <x v="4"/>
    <s v="Chennai"/>
    <x v="1"/>
    <s v="Sunscreen"/>
    <n v="10"/>
    <n v="1227.43"/>
    <n v="0.31"/>
    <n v="12426.65"/>
    <n v="6994.21"/>
    <n v="88.5"/>
    <s v="Debit Card"/>
    <x v="1"/>
    <b v="0"/>
    <x v="1"/>
    <n v="3"/>
  </r>
  <r>
    <s v="ORD-02306"/>
    <x v="737"/>
    <x v="737"/>
    <s v="CUST12892"/>
    <s v="Nisha Pillai"/>
    <n v="35"/>
    <s v="Male"/>
    <x v="0"/>
    <s v="Nagpur"/>
    <x v="4"/>
    <s v="Jacket"/>
    <n v="2"/>
    <n v="3165.33"/>
    <n v="0.27"/>
    <n v="5468.29"/>
    <n v="1737.74"/>
    <n v="73.28"/>
    <s v="Credit Card"/>
    <x v="2"/>
    <b v="0"/>
    <x v="1"/>
    <n v="2"/>
  </r>
  <r>
    <s v="ORD-02019"/>
    <x v="843"/>
    <x v="843"/>
    <s v="CUST93903"/>
    <s v="Karan Patel"/>
    <n v="28"/>
    <s v="Other"/>
    <x v="0"/>
    <s v="Indore"/>
    <x v="0"/>
    <s v="Sugar"/>
    <n v="10"/>
    <n v="430.31"/>
    <n v="0.09"/>
    <n v="5372.93"/>
    <n v="397.37"/>
    <n v="47.6"/>
    <s v="Net Banking"/>
    <x v="4"/>
    <b v="0"/>
    <x v="1"/>
    <n v="2"/>
  </r>
  <r>
    <s v="ORD-01432"/>
    <x v="600"/>
    <x v="600"/>
    <s v="CUST02652"/>
    <s v="Nisha Mehta"/>
    <n v="32"/>
    <s v="Male"/>
    <x v="2"/>
    <s v="Chandigarh"/>
    <x v="6"/>
    <s v="Tennis Racket"/>
    <n v="5"/>
    <n v="10759.43"/>
    <n v="0.18"/>
    <n v="40614.589999999997"/>
    <n v="10920.96"/>
    <n v="43.85"/>
    <s v="UPI"/>
    <x v="2"/>
    <b v="0"/>
    <x v="1"/>
    <n v="2"/>
  </r>
  <r>
    <s v="ORD-02901"/>
    <x v="640"/>
    <x v="640"/>
    <s v="CUST57226"/>
    <s v="Rahul Nair"/>
    <n v="21"/>
    <s v="Female"/>
    <x v="1"/>
    <s v="Ahmedabad"/>
    <x v="3"/>
    <s v="Cook Book"/>
    <n v="6"/>
    <n v="471.17"/>
    <n v="0.18"/>
    <n v="3369.46"/>
    <n v="1337.48"/>
    <n v="88.71"/>
    <s v="Cash on Delivery"/>
    <x v="2"/>
    <b v="0"/>
    <x v="3"/>
    <n v="1"/>
  </r>
  <r>
    <s v="ORD-01156"/>
    <x v="844"/>
    <x v="844"/>
    <s v="CUST97655"/>
    <s v="Sanjay Kapoor"/>
    <n v="45"/>
    <s v="Female"/>
    <x v="2"/>
    <s v="Amritsar"/>
    <x v="0"/>
    <s v="Sugar"/>
    <n v="2"/>
    <n v="346.78"/>
    <n v="0.3"/>
    <n v="705.38"/>
    <n v="68.489999999999995"/>
    <n v="0.51"/>
    <s v="Net Banking"/>
    <x v="4"/>
    <b v="0"/>
    <x v="1"/>
    <n v="2"/>
  </r>
  <r>
    <s v="ORD-02148"/>
    <x v="176"/>
    <x v="176"/>
    <s v="CUST63511"/>
    <s v="Pooja Nair"/>
    <n v="28"/>
    <s v="Male"/>
    <x v="3"/>
    <s v="Patna"/>
    <x v="3"/>
    <s v="Fiction Novel"/>
    <n v="6"/>
    <n v="817.12"/>
    <n v="0.36"/>
    <n v="4458.93"/>
    <n v="1524.76"/>
    <n v="74.5"/>
    <s v="Cash on Delivery"/>
    <x v="4"/>
    <b v="1"/>
    <x v="0"/>
    <n v="9"/>
  </r>
  <r>
    <s v="ORD-02168"/>
    <x v="578"/>
    <x v="578"/>
    <s v="CUST41061"/>
    <s v="Priya Iyer"/>
    <n v="39"/>
    <s v="Male"/>
    <x v="1"/>
    <s v="Mumbai"/>
    <x v="3"/>
    <s v="Textbook"/>
    <n v="4"/>
    <n v="426.71"/>
    <n v="0.25"/>
    <n v="1765.74"/>
    <n v="838.62"/>
    <n v="39.200000000000003"/>
    <s v="Debit Card"/>
    <x v="2"/>
    <b v="1"/>
    <x v="0"/>
    <n v="8"/>
  </r>
  <r>
    <s v="ORD-03098"/>
    <x v="845"/>
    <x v="845"/>
    <s v="CUST98755"/>
    <s v="Arjun Chatterjee"/>
    <n v="39"/>
    <s v="Other"/>
    <x v="0"/>
    <s v="Raipur"/>
    <x v="5"/>
    <s v="Tablet"/>
    <n v="1"/>
    <n v="22693.39"/>
    <n v="0.08"/>
    <n v="27894.98"/>
    <n v="4153.76"/>
    <n v="48.31"/>
    <s v="Net Banking"/>
    <x v="1"/>
    <b v="0"/>
    <x v="1"/>
    <n v="9"/>
  </r>
  <r>
    <s v="ORD-04021"/>
    <x v="846"/>
    <x v="846"/>
    <s v="CUST14904"/>
    <s v="Ritu Reddy"/>
    <n v="37"/>
    <s v="Male"/>
    <x v="4"/>
    <s v="Bangalore"/>
    <x v="3"/>
    <s v="Self-Help Book"/>
    <n v="5"/>
    <n v="1217.44"/>
    <n v="0.33"/>
    <n v="4363.93"/>
    <n v="1440"/>
    <n v="66.03"/>
    <s v="Cash on Delivery"/>
    <x v="1"/>
    <b v="0"/>
    <x v="1"/>
    <n v="4"/>
  </r>
  <r>
    <s v="ORD-01075"/>
    <x v="847"/>
    <x v="847"/>
    <s v="CUST51934"/>
    <s v="Rahul Joshi"/>
    <n v="28"/>
    <s v="Male"/>
    <x v="1"/>
    <s v="Surat"/>
    <x v="0"/>
    <s v="Flour"/>
    <n v="8"/>
    <n v="208.12"/>
    <n v="0.16"/>
    <n v="1788.09"/>
    <n v="110.57"/>
    <n v="77.98"/>
    <s v="UPI"/>
    <x v="0"/>
    <b v="0"/>
    <x v="1"/>
    <n v="7"/>
  </r>
  <r>
    <s v="ORD-01935"/>
    <x v="47"/>
    <x v="47"/>
    <s v="CUST62118"/>
    <s v="Deepa Kumar"/>
    <n v="34"/>
    <s v="Female"/>
    <x v="2"/>
    <s v="Chandigarh"/>
    <x v="0"/>
    <s v="Tea"/>
    <n v="6"/>
    <n v="429.91"/>
    <n v="0.13"/>
    <n v="2947.93"/>
    <n v="145.44999999999999"/>
    <n v="42.69"/>
    <s v="Debit Card"/>
    <x v="1"/>
    <b v="0"/>
    <x v="1"/>
    <n v="3"/>
  </r>
  <r>
    <s v="ORD-02195"/>
    <x v="244"/>
    <x v="244"/>
    <s v="CUST93002"/>
    <s v="Rahul Mehta"/>
    <n v="39"/>
    <s v="Other"/>
    <x v="3"/>
    <s v="Bhubaneswar"/>
    <x v="2"/>
    <s v="Bookshelf"/>
    <n v="1"/>
    <n v="27840.27"/>
    <n v="0.33"/>
    <n v="29507.88"/>
    <n v="7118.47"/>
    <n v="59.77"/>
    <s v="Cash on Delivery"/>
    <x v="2"/>
    <b v="0"/>
    <x v="1"/>
    <n v="4"/>
  </r>
  <r>
    <s v="ORD-03623"/>
    <x v="219"/>
    <x v="219"/>
    <s v="CUST36037"/>
    <s v="Sanjay Kumar"/>
    <n v="39"/>
    <s v="Male"/>
    <x v="3"/>
    <s v="Guwahati"/>
    <x v="4"/>
    <s v="Saree"/>
    <n v="6"/>
    <n v="805.73"/>
    <n v="0.39"/>
    <n v="4220"/>
    <n v="2273.25"/>
    <n v="96.9"/>
    <s v="Credit Card"/>
    <x v="4"/>
    <b v="0"/>
    <x v="1"/>
    <n v="9"/>
  </r>
  <r>
    <s v="ORD-04139"/>
    <x v="310"/>
    <x v="310"/>
    <s v="CUST95283"/>
    <s v="Ananya Chatterjee"/>
    <n v="31"/>
    <s v="Male"/>
    <x v="0"/>
    <s v="Bhopal"/>
    <x v="6"/>
    <s v="Football"/>
    <n v="5"/>
    <n v="3886.22"/>
    <n v="0.24"/>
    <n v="2473"/>
    <n v="489.55"/>
    <n v="40.869999999999997"/>
    <s v="Debit Card"/>
    <x v="2"/>
    <b v="1"/>
    <x v="0"/>
    <n v="4"/>
  </r>
  <r>
    <s v="ORD-02082"/>
    <x v="848"/>
    <x v="848"/>
    <s v="CUST70646"/>
    <s v="Karan Bhat"/>
    <n v="39"/>
    <s v="Male"/>
    <x v="2"/>
    <s v="Amritsar"/>
    <x v="0"/>
    <s v="Flour"/>
    <n v="2"/>
    <n v="345.49"/>
    <n v="0.39"/>
    <n v="710.96"/>
    <n v="51.95"/>
    <n v="61.64"/>
    <s v="UPI"/>
    <x v="2"/>
    <b v="0"/>
    <x v="1"/>
    <n v="10"/>
  </r>
  <r>
    <s v="ORD-02286"/>
    <x v="456"/>
    <x v="456"/>
    <s v="CUST95250"/>
    <s v="Arjun Shah"/>
    <n v="44"/>
    <s v="Female"/>
    <x v="2"/>
    <s v="Delhi"/>
    <x v="6"/>
    <s v="Football"/>
    <n v="9"/>
    <n v="3394.34"/>
    <n v="0.06"/>
    <n v="39194.69"/>
    <n v="8874.98"/>
    <n v="16.96"/>
    <s v="Debit Card"/>
    <x v="3"/>
    <b v="1"/>
    <x v="0"/>
    <n v="8"/>
  </r>
  <r>
    <s v="ORD-01748"/>
    <x v="849"/>
    <x v="849"/>
    <s v="CUST68997"/>
    <s v="Pooja Kumar"/>
    <n v="56"/>
    <s v="Female"/>
    <x v="3"/>
    <s v="Kolkata"/>
    <x v="4"/>
    <s v="Saree"/>
    <n v="10"/>
    <n v="3465.09"/>
    <n v="0.2"/>
    <n v="25651.74"/>
    <n v="8796.1200000000008"/>
    <n v="99.4"/>
    <s v="EMI"/>
    <x v="1"/>
    <b v="0"/>
    <x v="1"/>
    <n v="9"/>
  </r>
  <r>
    <s v="ORD-01860"/>
    <x v="175"/>
    <x v="175"/>
    <s v="CUST41096"/>
    <s v="Kavya Reddy"/>
    <n v="27"/>
    <s v="Male"/>
    <x v="1"/>
    <s v="Surat"/>
    <x v="2"/>
    <s v="Bookshelf"/>
    <n v="10"/>
    <n v="21474.06"/>
    <n v="0.33"/>
    <n v="214328.13"/>
    <n v="31877.360000000001"/>
    <n v="49.93"/>
    <s v="EMI"/>
    <x v="3"/>
    <b v="0"/>
    <x v="1"/>
    <n v="8"/>
  </r>
  <r>
    <s v="ORD-01169"/>
    <x v="367"/>
    <x v="367"/>
    <s v="CUST81880"/>
    <s v="Aditya Mehta"/>
    <n v="34"/>
    <s v="Other"/>
    <x v="1"/>
    <s v="Ahmedabad"/>
    <x v="6"/>
    <s v="Cricket Bat"/>
    <n v="5"/>
    <n v="9004.02"/>
    <n v="0"/>
    <n v="49123.38"/>
    <n v="9315.67"/>
    <n v="69.239999999999995"/>
    <s v="EMI"/>
    <x v="1"/>
    <b v="0"/>
    <x v="1"/>
    <n v="6"/>
  </r>
  <r>
    <s v="ORD-00369"/>
    <x v="850"/>
    <x v="850"/>
    <s v="CUST07373"/>
    <s v="Sunita Iyer"/>
    <n v="32"/>
    <s v="Female"/>
    <x v="3"/>
    <s v="Guwahati"/>
    <x v="3"/>
    <s v="Fiction Novel"/>
    <n v="5"/>
    <n v="1078.72"/>
    <n v="0.03"/>
    <n v="6627.97"/>
    <n v="3203.59"/>
    <n v="78.459999999999994"/>
    <s v="Cash on Delivery"/>
    <x v="2"/>
    <b v="0"/>
    <x v="1"/>
    <n v="4"/>
  </r>
  <r>
    <s v="ORD-01979"/>
    <x v="851"/>
    <x v="851"/>
    <s v="CUST52587"/>
    <s v="Rohan Das"/>
    <n v="46"/>
    <s v="Male"/>
    <x v="2"/>
    <s v="Amritsar"/>
    <x v="1"/>
    <s v="Hair Oil"/>
    <n v="8"/>
    <n v="1707.74"/>
    <n v="0.01"/>
    <n v="18873.13"/>
    <n v="10051.040000000001"/>
    <n v="76.8"/>
    <s v="Debit Card"/>
    <x v="3"/>
    <b v="0"/>
    <x v="1"/>
    <n v="3"/>
  </r>
  <r>
    <s v="ORD-01173"/>
    <x v="398"/>
    <x v="398"/>
    <s v="CUST01335"/>
    <s v="Ananya Joshi"/>
    <n v="36"/>
    <s v="Male"/>
    <x v="2"/>
    <s v="Chandigarh"/>
    <x v="2"/>
    <s v="Desk"/>
    <n v="7"/>
    <n v="17851.560000000001"/>
    <n v="0.08"/>
    <n v="174116.21"/>
    <n v="60713.1"/>
    <n v="54.22"/>
    <s v="EMI"/>
    <x v="0"/>
    <b v="0"/>
    <x v="4"/>
    <n v="2"/>
  </r>
  <r>
    <s v="ORD-01566"/>
    <x v="852"/>
    <x v="852"/>
    <s v="CUST20422"/>
    <s v="Karan Shah"/>
    <n v="13"/>
    <s v="Female"/>
    <x v="2"/>
    <s v="Delhi"/>
    <x v="3"/>
    <s v="Cook Book"/>
    <n v="3"/>
    <n v="675.22"/>
    <n v="0.25"/>
    <n v="973.92"/>
    <n v="371.91"/>
    <n v="21.24"/>
    <s v="EMI"/>
    <x v="1"/>
    <b v="0"/>
    <x v="1"/>
    <n v="8"/>
  </r>
  <r>
    <s v="ORD-00853"/>
    <x v="853"/>
    <x v="853"/>
    <s v="CUST13945"/>
    <s v="Karan Kapoor"/>
    <n v="39"/>
    <s v="Male"/>
    <x v="2"/>
    <s v="Ludhiana"/>
    <x v="4"/>
    <s v="Jeans"/>
    <n v="8"/>
    <n v="1814.02"/>
    <n v="0.36"/>
    <n v="8060.63"/>
    <n v="2084.5"/>
    <n v="67.95"/>
    <s v="UPI"/>
    <x v="4"/>
    <b v="0"/>
    <x v="3"/>
    <n v="6"/>
  </r>
  <r>
    <s v="ORD-02762"/>
    <x v="534"/>
    <x v="534"/>
    <s v="CUST36388"/>
    <s v="Aarav Gupta"/>
    <n v="44"/>
    <s v="Other"/>
    <x v="2"/>
    <s v="Chandigarh"/>
    <x v="2"/>
    <s v="Chair"/>
    <n v="7"/>
    <n v="10222.85"/>
    <n v="0.32"/>
    <n v="83123.740000000005"/>
    <n v="28655.62"/>
    <n v="44.75"/>
    <s v="UPI"/>
    <x v="0"/>
    <b v="0"/>
    <x v="3"/>
    <n v="10"/>
  </r>
  <r>
    <s v="ORD-03677"/>
    <x v="123"/>
    <x v="123"/>
    <s v="CUST13845"/>
    <s v="Pooja Joshi"/>
    <n v="24"/>
    <s v="Female"/>
    <x v="1"/>
    <s v="Pune"/>
    <x v="3"/>
    <s v="Self-Help Book"/>
    <n v="5"/>
    <n v="386.11"/>
    <n v="0.05"/>
    <n v="3102.98"/>
    <n v="740.13"/>
    <n v="71.81"/>
    <s v="Cash on Delivery"/>
    <x v="0"/>
    <b v="0"/>
    <x v="4"/>
    <n v="7"/>
  </r>
  <r>
    <s v="ORD-00342"/>
    <x v="316"/>
    <x v="316"/>
    <s v="CUST87199"/>
    <s v="Shreya Mishra"/>
    <n v="32"/>
    <s v="Other"/>
    <x v="4"/>
    <s v="Hyderabad"/>
    <x v="6"/>
    <s v="Football"/>
    <n v="8"/>
    <n v="14818.6"/>
    <n v="0.11"/>
    <n v="121250.56"/>
    <n v="27352.51"/>
    <n v="79.900000000000006"/>
    <s v="UPI"/>
    <x v="1"/>
    <b v="0"/>
    <x v="1"/>
    <n v="6"/>
  </r>
  <r>
    <s v="ORD-03227"/>
    <x v="854"/>
    <x v="854"/>
    <s v="CUST26871"/>
    <s v="Nisha Bhat"/>
    <n v="26"/>
    <s v="Female"/>
    <x v="0"/>
    <s v="Raipur"/>
    <x v="3"/>
    <s v="Textbook"/>
    <n v="4"/>
    <n v="653.78"/>
    <n v="0.39"/>
    <n v="1691.13"/>
    <n v="702.11"/>
    <n v="57.6"/>
    <s v="Credit Card"/>
    <x v="0"/>
    <b v="0"/>
    <x v="3"/>
    <n v="4"/>
  </r>
  <r>
    <s v="ORD-02547"/>
    <x v="263"/>
    <x v="263"/>
    <s v="CUST35370"/>
    <s v="Meera Iyer"/>
    <n v="13"/>
    <s v="Male"/>
    <x v="4"/>
    <s v="Hyderabad"/>
    <x v="2"/>
    <s v="Desk"/>
    <n v="10"/>
    <n v="4609.6000000000004"/>
    <n v="0.39"/>
    <n v="22527.45"/>
    <n v="6267.09"/>
    <n v="72.790000000000006"/>
    <s v="Cash on Delivery"/>
    <x v="0"/>
    <b v="1"/>
    <x v="0"/>
    <n v="4"/>
  </r>
  <r>
    <s v="ORD-03009"/>
    <x v="409"/>
    <x v="409"/>
    <s v="CUST37112"/>
    <s v="Rohan Pillai"/>
    <n v="35"/>
    <s v="Female"/>
    <x v="3"/>
    <s v="Guwahati"/>
    <x v="3"/>
    <s v="Textbook"/>
    <n v="7"/>
    <n v="520.82000000000005"/>
    <n v="0.15"/>
    <n v="4550.2299999999996"/>
    <n v="1554.74"/>
    <n v="78.67"/>
    <s v="EMI"/>
    <x v="0"/>
    <b v="0"/>
    <x v="1"/>
    <n v="6"/>
  </r>
  <r>
    <s v="ORD-00286"/>
    <x v="4"/>
    <x v="4"/>
    <s v="CUST11198"/>
    <s v="Aarav Gupta"/>
    <n v="26"/>
    <s v="Male"/>
    <x v="3"/>
    <s v="Guwahati"/>
    <x v="1"/>
    <s v="Shampoo"/>
    <n v="3"/>
    <n v="2059.96"/>
    <n v="0.04"/>
    <n v="8056.36"/>
    <n v="3439.24"/>
    <n v="92.05"/>
    <s v="Net Banking"/>
    <x v="4"/>
    <b v="0"/>
    <x v="1"/>
    <n v="8"/>
  </r>
  <r>
    <s v="ORD-03160"/>
    <x v="855"/>
    <x v="855"/>
    <s v="CUST54899"/>
    <s v="Meera Chatterjee"/>
    <n v="12"/>
    <s v="Male"/>
    <x v="2"/>
    <s v="Amritsar"/>
    <x v="0"/>
    <s v="Sugar"/>
    <n v="1"/>
    <n v="89.43"/>
    <n v="0.2"/>
    <n v="83.75"/>
    <n v="6.58"/>
    <n v="37.630000000000003"/>
    <s v="Credit Card"/>
    <x v="4"/>
    <b v="0"/>
    <x v="1"/>
    <n v="5"/>
  </r>
  <r>
    <s v="ORD-01757"/>
    <x v="856"/>
    <x v="856"/>
    <s v="CUST67988"/>
    <s v="Nikhil Kapoor"/>
    <n v="30"/>
    <s v="Other"/>
    <x v="4"/>
    <s v="Chennai"/>
    <x v="1"/>
    <s v="Perfume"/>
    <n v="3"/>
    <n v="1566.52"/>
    <n v="0.37"/>
    <n v="2439.84"/>
    <n v="1173.24"/>
    <n v="81.77"/>
    <s v="EMI"/>
    <x v="4"/>
    <b v="1"/>
    <x v="0"/>
    <n v="3"/>
  </r>
  <r>
    <s v="ORD-02392"/>
    <x v="87"/>
    <x v="87"/>
    <s v="CUST20067"/>
    <s v="Priya Bhat"/>
    <n v="40"/>
    <s v="Male"/>
    <x v="2"/>
    <s v="Ludhiana"/>
    <x v="5"/>
    <s v="Laptop"/>
    <n v="10"/>
    <n v="34447.29"/>
    <n v="0.14000000000000001"/>
    <n v="242331.73"/>
    <n v="27631.34"/>
    <n v="29.16"/>
    <s v="Credit Card"/>
    <x v="1"/>
    <b v="0"/>
    <x v="4"/>
    <n v="6"/>
  </r>
  <r>
    <s v="ORD-01863"/>
    <x v="418"/>
    <x v="418"/>
    <s v="CUST08965"/>
    <s v="Pooja Bose"/>
    <n v="49"/>
    <s v="Other"/>
    <x v="1"/>
    <s v="Ahmedabad"/>
    <x v="2"/>
    <s v="Bookshelf"/>
    <n v="2"/>
    <n v="29772.1"/>
    <n v="0.21"/>
    <n v="57845.42"/>
    <n v="17251.72"/>
    <n v="57.47"/>
    <s v="Net Banking"/>
    <x v="3"/>
    <b v="0"/>
    <x v="2"/>
    <n v="6"/>
  </r>
  <r>
    <s v="ORD-01011"/>
    <x v="330"/>
    <x v="330"/>
    <s v="CUST27445"/>
    <s v="Deepa Das"/>
    <n v="19"/>
    <s v="Female"/>
    <x v="4"/>
    <s v="Hyderabad"/>
    <x v="2"/>
    <s v="Bed Frame"/>
    <n v="1"/>
    <n v="30648.42"/>
    <n v="0.39"/>
    <n v="22238.65"/>
    <n v="5768.84"/>
    <n v="99.16"/>
    <s v="Cash on Delivery"/>
    <x v="0"/>
    <b v="0"/>
    <x v="3"/>
    <n v="9"/>
  </r>
  <r>
    <s v="ORD-00798"/>
    <x v="271"/>
    <x v="271"/>
    <s v="CUST23116"/>
    <s v="Nikhil Verma"/>
    <n v="57"/>
    <s v="Female"/>
    <x v="0"/>
    <s v="Nagpur"/>
    <x v="5"/>
    <s v="Tablet"/>
    <n v="4"/>
    <n v="13059.62"/>
    <n v="0.11"/>
    <n v="35330.160000000003"/>
    <n v="4782.4399999999996"/>
    <n v="56.15"/>
    <s v="UPI"/>
    <x v="2"/>
    <b v="1"/>
    <x v="0"/>
    <n v="7"/>
  </r>
  <r>
    <s v="ORD-04051"/>
    <x v="857"/>
    <x v="857"/>
    <s v="CUST81236"/>
    <s v="Sunita Iyer"/>
    <n v="26"/>
    <s v="Male"/>
    <x v="0"/>
    <s v="Nagpur"/>
    <x v="0"/>
    <s v="Tea"/>
    <n v="6"/>
    <n v="358.44"/>
    <n v="0.33"/>
    <n v="1597.57"/>
    <n v="154.69"/>
    <n v="55.56"/>
    <s v="EMI"/>
    <x v="1"/>
    <b v="0"/>
    <x v="1"/>
    <n v="8"/>
  </r>
  <r>
    <s v="ORD-00637"/>
    <x v="707"/>
    <x v="707"/>
    <s v="CUST31450"/>
    <s v="Rahul Joshi"/>
    <n v="41"/>
    <s v="Male"/>
    <x v="1"/>
    <s v="Ahmedabad"/>
    <x v="0"/>
    <s v="Cooking Oil"/>
    <n v="3"/>
    <n v="482.62"/>
    <n v="0.01"/>
    <n v="1337.09"/>
    <n v="63.09"/>
    <n v="47.14"/>
    <s v="Net Banking"/>
    <x v="1"/>
    <b v="0"/>
    <x v="1"/>
    <n v="3"/>
  </r>
  <r>
    <s v="ORD-01842"/>
    <x v="298"/>
    <x v="298"/>
    <s v="CUST29238"/>
    <s v="Nisha Kapoor"/>
    <n v="31"/>
    <s v="Male"/>
    <x v="4"/>
    <s v="Hyderabad"/>
    <x v="0"/>
    <s v="Rice (5kg)"/>
    <n v="4"/>
    <n v="240.11"/>
    <n v="0.22"/>
    <n v="999.98"/>
    <n v="98.61"/>
    <n v="73.81"/>
    <s v="Net Banking"/>
    <x v="0"/>
    <b v="0"/>
    <x v="1"/>
    <n v="10"/>
  </r>
  <r>
    <s v="ORD-02516"/>
    <x v="385"/>
    <x v="385"/>
    <s v="CUST04115"/>
    <s v="Pooja Mehta"/>
    <n v="28"/>
    <s v="Female"/>
    <x v="3"/>
    <s v="Patna"/>
    <x v="2"/>
    <s v="Wardrobe"/>
    <n v="6"/>
    <n v="6993.08"/>
    <n v="0.36"/>
    <n v="20187.04"/>
    <n v="5220.66"/>
    <n v="87.7"/>
    <s v="Cash on Delivery"/>
    <x v="4"/>
    <b v="0"/>
    <x v="1"/>
    <n v="5"/>
  </r>
  <r>
    <s v="ORD-03304"/>
    <x v="709"/>
    <x v="709"/>
    <s v="CUST38933"/>
    <s v="Sunita Reddy"/>
    <n v="45"/>
    <s v="Other"/>
    <x v="0"/>
    <s v="Indore"/>
    <x v="1"/>
    <s v="Hair Oil"/>
    <n v="7"/>
    <n v="2195.91"/>
    <n v="0.28000000000000003"/>
    <n v="8503.4699999999993"/>
    <n v="3907.75"/>
    <n v="63.07"/>
    <s v="UPI"/>
    <x v="4"/>
    <b v="1"/>
    <x v="0"/>
    <n v="6"/>
  </r>
  <r>
    <s v="ORD-02928"/>
    <x v="858"/>
    <x v="858"/>
    <s v="CUST17827"/>
    <s v="Sunita Bose"/>
    <n v="40"/>
    <s v="Other"/>
    <x v="0"/>
    <s v="Indore"/>
    <x v="4"/>
    <s v="Kurta"/>
    <n v="6"/>
    <n v="3464.49"/>
    <n v="0.3"/>
    <n v="23273.58"/>
    <n v="8946.26"/>
    <n v="68.97"/>
    <s v="Credit Card"/>
    <x v="2"/>
    <b v="0"/>
    <x v="3"/>
    <n v="5"/>
  </r>
  <r>
    <s v="ORD-02162"/>
    <x v="859"/>
    <x v="859"/>
    <s v="CUST70128"/>
    <s v="Priya Rao"/>
    <n v="34"/>
    <s v="Other"/>
    <x v="3"/>
    <s v="Kolkata"/>
    <x v="3"/>
    <s v="Self-Help Book"/>
    <n v="3"/>
    <n v="1288.5999999999999"/>
    <n v="0.03"/>
    <n v="4314.7700000000004"/>
    <n v="1600.29"/>
    <n v="88.39"/>
    <s v="Debit Card"/>
    <x v="1"/>
    <b v="0"/>
    <x v="1"/>
    <n v="2"/>
  </r>
  <r>
    <s v="ORD-01965"/>
    <x v="860"/>
    <x v="860"/>
    <s v="CUST41329"/>
    <s v="Nikhil Verma"/>
    <n v="37"/>
    <s v="Female"/>
    <x v="1"/>
    <s v="Mumbai"/>
    <x v="4"/>
    <s v="Saree"/>
    <n v="9"/>
    <n v="2779.53"/>
    <n v="0.35"/>
    <n v="21070.99"/>
    <n v="8557.51"/>
    <n v="60.61"/>
    <s v="EMI"/>
    <x v="3"/>
    <b v="0"/>
    <x v="1"/>
    <n v="7"/>
  </r>
  <r>
    <s v="ORD-02573"/>
    <x v="774"/>
    <x v="774"/>
    <s v="CUST56165"/>
    <s v="Nikhil Patel"/>
    <n v="42"/>
    <s v="Other"/>
    <x v="3"/>
    <s v="Patna"/>
    <x v="5"/>
    <s v="Tablet"/>
    <n v="6"/>
    <n v="59741.71"/>
    <n v="0.16"/>
    <n v="274146.03999999998"/>
    <n v="37793.71"/>
    <n v="70.42"/>
    <s v="Net Banking"/>
    <x v="1"/>
    <b v="0"/>
    <x v="1"/>
    <n v="10"/>
  </r>
  <r>
    <s v="ORD-00524"/>
    <x v="399"/>
    <x v="399"/>
    <s v="CUST71429"/>
    <s v="Shreya Shah"/>
    <n v="26"/>
    <s v="Female"/>
    <x v="0"/>
    <s v="Bhopal"/>
    <x v="5"/>
    <s v="Tablet"/>
    <n v="1"/>
    <n v="24574.09"/>
    <n v="0.31"/>
    <n v="18570.7"/>
    <n v="1618.66"/>
    <n v="51.33"/>
    <s v="Net Banking"/>
    <x v="3"/>
    <b v="1"/>
    <x v="0"/>
    <n v="9"/>
  </r>
  <r>
    <s v="ORD-01244"/>
    <x v="500"/>
    <x v="500"/>
    <s v="CUST02216"/>
    <s v="Aditya Gupta"/>
    <n v="31"/>
    <s v="Male"/>
    <x v="2"/>
    <s v="Chandigarh"/>
    <x v="3"/>
    <s v="Biography"/>
    <n v="6"/>
    <n v="1434.91"/>
    <n v="0.15"/>
    <n v="8544.42"/>
    <n v="2933.84"/>
    <n v="31.36"/>
    <s v="EMI"/>
    <x v="3"/>
    <b v="0"/>
    <x v="1"/>
    <n v="6"/>
  </r>
  <r>
    <s v="ORD-02410"/>
    <x v="337"/>
    <x v="337"/>
    <s v="CUST42492"/>
    <s v="Vikram Das"/>
    <n v="31"/>
    <s v="Other"/>
    <x v="4"/>
    <s v="Bangalore"/>
    <x v="5"/>
    <s v="Smartphone"/>
    <n v="2"/>
    <n v="71479.88"/>
    <n v="0.14000000000000001"/>
    <n v="89772.04"/>
    <n v="10563.18"/>
    <n v="80.959999999999994"/>
    <s v="Credit Card"/>
    <x v="2"/>
    <b v="1"/>
    <x v="0"/>
    <n v="3"/>
  </r>
  <r>
    <s v="ORD-00411"/>
    <x v="861"/>
    <x v="861"/>
    <s v="CUST25002"/>
    <s v="Rahul Das"/>
    <n v="31"/>
    <s v="Other"/>
    <x v="4"/>
    <s v="Chennai"/>
    <x v="5"/>
    <s v="Camera"/>
    <n v="10"/>
    <n v="55392.79"/>
    <n v="0.3"/>
    <n v="509672.92"/>
    <n v="47237.56"/>
    <n v="43.11"/>
    <s v="Net Banking"/>
    <x v="2"/>
    <b v="0"/>
    <x v="1"/>
    <n v="7"/>
  </r>
  <r>
    <s v="ORD-02285"/>
    <x v="456"/>
    <x v="456"/>
    <s v="CUST27442"/>
    <s v="Rahul Sharma"/>
    <n v="25"/>
    <s v="Female"/>
    <x v="0"/>
    <s v="Nagpur"/>
    <x v="1"/>
    <s v="Perfume"/>
    <n v="6"/>
    <n v="226.83"/>
    <n v="0.24"/>
    <n v="1203.6300000000001"/>
    <n v="638.69000000000005"/>
    <n v="48.65"/>
    <s v="Debit Card"/>
    <x v="0"/>
    <b v="0"/>
    <x v="1"/>
    <n v="1"/>
  </r>
  <r>
    <s v="ORD-00443"/>
    <x v="862"/>
    <x v="862"/>
    <s v="CUST99270"/>
    <s v="Sanjay Iyer"/>
    <n v="44"/>
    <s v="Other"/>
    <x v="2"/>
    <s v="Ludhiana"/>
    <x v="6"/>
    <s v="Tennis Racket"/>
    <n v="5"/>
    <n v="14604.49"/>
    <n v="0.14000000000000001"/>
    <n v="84861.96"/>
    <n v="20545.89"/>
    <n v="79.680000000000007"/>
    <s v="UPI"/>
    <x v="1"/>
    <b v="0"/>
    <x v="1"/>
    <n v="4"/>
  </r>
  <r>
    <s v="ORD-01551"/>
    <x v="713"/>
    <x v="713"/>
    <s v="CUST57238"/>
    <s v="Sunita Nair"/>
    <n v="10"/>
    <s v="Female"/>
    <x v="2"/>
    <s v="Amritsar"/>
    <x v="1"/>
    <s v="Sunscreen"/>
    <n v="2"/>
    <n v="524.5"/>
    <n v="0.13"/>
    <n v="764.26"/>
    <n v="357.6"/>
    <n v="38.549999999999997"/>
    <s v="Debit Card"/>
    <x v="1"/>
    <b v="0"/>
    <x v="1"/>
    <n v="8"/>
  </r>
  <r>
    <s v="ORD-00359"/>
    <x v="863"/>
    <x v="863"/>
    <s v="CUST46631"/>
    <s v="Vikram Das"/>
    <n v="20"/>
    <s v="Other"/>
    <x v="4"/>
    <s v="Chennai"/>
    <x v="6"/>
    <s v="Dumbbells"/>
    <n v="4"/>
    <n v="3114.57"/>
    <n v="0.04"/>
    <n v="14254.8"/>
    <n v="2493.63"/>
    <n v="77.95"/>
    <s v="Cash on Delivery"/>
    <x v="1"/>
    <b v="0"/>
    <x v="1"/>
    <n v="5"/>
  </r>
  <r>
    <s v="ORD-01204"/>
    <x v="864"/>
    <x v="864"/>
    <s v="CUST58365"/>
    <s v="Karan Mehta"/>
    <n v="34"/>
    <s v="Male"/>
    <x v="0"/>
    <s v="Nagpur"/>
    <x v="4"/>
    <s v="Dress"/>
    <n v="6"/>
    <n v="1824.73"/>
    <n v="7.0000000000000007E-2"/>
    <n v="13172.15"/>
    <n v="4404.16"/>
    <n v="111.66"/>
    <s v="EMI"/>
    <x v="4"/>
    <b v="1"/>
    <x v="0"/>
    <n v="1"/>
  </r>
  <r>
    <s v="ORD-02758"/>
    <x v="865"/>
    <x v="865"/>
    <s v="CUST17548"/>
    <s v="Deepa Singh"/>
    <n v="38"/>
    <s v="Other"/>
    <x v="2"/>
    <s v="Ludhiana"/>
    <x v="3"/>
    <s v="Comic Book"/>
    <n v="10"/>
    <n v="1140.33"/>
    <n v="0.27"/>
    <n v="11676.23"/>
    <n v="3683.76"/>
    <n v="52.27"/>
    <s v="EMI"/>
    <x v="0"/>
    <b v="0"/>
    <x v="1"/>
    <n v="2"/>
  </r>
  <r>
    <s v="ORD-00315"/>
    <x v="866"/>
    <x v="866"/>
    <s v="CUST62709"/>
    <s v="Ananya Verma"/>
    <n v="30"/>
    <s v="Male"/>
    <x v="3"/>
    <s v="Guwahati"/>
    <x v="3"/>
    <s v="Self-Help Book"/>
    <n v="10"/>
    <n v="635.99"/>
    <n v="0.16"/>
    <n v="7279.36"/>
    <n v="3155.48"/>
    <n v="88.69"/>
    <s v="EMI"/>
    <x v="3"/>
    <b v="0"/>
    <x v="1"/>
    <n v="1"/>
  </r>
  <r>
    <s v="ORD-02014"/>
    <x v="867"/>
    <x v="867"/>
    <s v="CUST26242"/>
    <s v="Rohan Chatterjee"/>
    <n v="50"/>
    <s v="Female"/>
    <x v="2"/>
    <s v="Delhi"/>
    <x v="2"/>
    <s v="Sofa"/>
    <n v="9"/>
    <n v="18354.53"/>
    <n v="0.4"/>
    <n v="119623.01"/>
    <n v="46776.23"/>
    <n v="60.02"/>
    <s v="Credit Card"/>
    <x v="0"/>
    <b v="0"/>
    <x v="1"/>
    <n v="10"/>
  </r>
  <r>
    <s v="ORD-00806"/>
    <x v="560"/>
    <x v="560"/>
    <s v="CUST73115"/>
    <s v="Ritu Iyer"/>
    <n v="25"/>
    <s v="Male"/>
    <x v="0"/>
    <s v="Nagpur"/>
    <x v="1"/>
    <s v="Lipstick"/>
    <n v="5"/>
    <n v="2326.77"/>
    <n v="0.38"/>
    <n v="5580.64"/>
    <n v="2891.02"/>
    <n v="74.06"/>
    <s v="EMI"/>
    <x v="2"/>
    <b v="0"/>
    <x v="4"/>
    <n v="3"/>
  </r>
  <r>
    <s v="ORD-02679"/>
    <x v="179"/>
    <x v="179"/>
    <s v="CUST93760"/>
    <s v="Nikhil Kapoor"/>
    <n v="48"/>
    <s v="Male"/>
    <x v="3"/>
    <s v="Patna"/>
    <x v="0"/>
    <s v="Cooking Oil"/>
    <n v="8"/>
    <n v="412.18"/>
    <n v="0.37"/>
    <n v="2510.56"/>
    <n v="237.24"/>
    <n v="74.88"/>
    <s v="Debit Card"/>
    <x v="3"/>
    <b v="0"/>
    <x v="3"/>
    <n v="3"/>
  </r>
  <r>
    <s v="ORD-00035"/>
    <x v="868"/>
    <x v="868"/>
    <s v="CUST07419"/>
    <s v="Priya Nair"/>
    <n v="33"/>
    <s v="Female"/>
    <x v="1"/>
    <s v="Ahmedabad"/>
    <x v="6"/>
    <s v="Tennis Racket"/>
    <n v="3"/>
    <n v="14820.82"/>
    <n v="0.39"/>
    <n v="21635.72"/>
    <n v="4987.3"/>
    <n v="45"/>
    <s v="Debit Card"/>
    <x v="0"/>
    <b v="0"/>
    <x v="1"/>
    <n v="5"/>
  </r>
  <r>
    <s v="ORD-01207"/>
    <x v="149"/>
    <x v="149"/>
    <s v="CUST44749"/>
    <s v="Pooja Singh"/>
    <n v="21"/>
    <s v="Female"/>
    <x v="4"/>
    <s v="Chennai"/>
    <x v="4"/>
    <s v="Kurta"/>
    <n v="7"/>
    <n v="1092.77"/>
    <n v="0.25"/>
    <n v="8012.86"/>
    <n v="2746.44"/>
    <n v="79.09"/>
    <s v="Credit Card"/>
    <x v="3"/>
    <b v="0"/>
    <x v="1"/>
    <n v="10"/>
  </r>
  <r>
    <s v="ORD-03186"/>
    <x v="796"/>
    <x v="796"/>
    <s v="CUST37684"/>
    <s v="Rohan Mishra"/>
    <n v="46"/>
    <s v="Other"/>
    <x v="2"/>
    <s v="Delhi"/>
    <x v="3"/>
    <s v="Fiction Novel"/>
    <n v="4"/>
    <n v="1295.21"/>
    <n v="0.1"/>
    <n v="5174.5200000000004"/>
    <n v="2321.8000000000002"/>
    <n v="23.54"/>
    <s v="Credit Card"/>
    <x v="2"/>
    <b v="0"/>
    <x v="1"/>
    <n v="6"/>
  </r>
  <r>
    <s v="ORD-03315"/>
    <x v="746"/>
    <x v="746"/>
    <s v="CUST93902"/>
    <s v="Amit Sharma"/>
    <n v="27"/>
    <s v="Other"/>
    <x v="4"/>
    <s v="Chennai"/>
    <x v="1"/>
    <s v="Hair Oil"/>
    <n v="3"/>
    <n v="752.34"/>
    <n v="0.25"/>
    <n v="1312.85"/>
    <n v="600.66"/>
    <n v="65.3"/>
    <s v="Net Banking"/>
    <x v="1"/>
    <b v="0"/>
    <x v="1"/>
    <n v="1"/>
  </r>
  <r>
    <s v="ORD-02563"/>
    <x v="869"/>
    <x v="869"/>
    <s v="CUST04574"/>
    <s v="Sunita Shah"/>
    <n v="11"/>
    <s v="Female"/>
    <x v="4"/>
    <s v="Chennai"/>
    <x v="6"/>
    <s v="Football"/>
    <n v="5"/>
    <n v="4093.28"/>
    <n v="0.23"/>
    <n v="14415.44"/>
    <n v="2444.13"/>
    <n v="77.13"/>
    <s v="Debit Card"/>
    <x v="3"/>
    <b v="0"/>
    <x v="3"/>
    <n v="7"/>
  </r>
  <r>
    <s v="ORD-03706"/>
    <x v="870"/>
    <x v="870"/>
    <s v="CUST22929"/>
    <s v="Ananya Singh"/>
    <n v="29"/>
    <s v="Other"/>
    <x v="2"/>
    <s v="Chandigarh"/>
    <x v="4"/>
    <s v="Dress"/>
    <n v="8"/>
    <n v="2994.98"/>
    <n v="0.2"/>
    <n v="31403.77"/>
    <n v="11180.42"/>
    <n v="45.43"/>
    <s v="Net Banking"/>
    <x v="1"/>
    <b v="0"/>
    <x v="1"/>
    <n v="5"/>
  </r>
  <r>
    <s v="ORD-03895"/>
    <x v="871"/>
    <x v="871"/>
    <s v="CUST09260"/>
    <s v="Rohan Bhat"/>
    <n v="58"/>
    <s v="Female"/>
    <x v="1"/>
    <s v="Ahmedabad"/>
    <x v="4"/>
    <s v="Jeans"/>
    <n v="3"/>
    <n v="3209.05"/>
    <n v="0.24"/>
    <n v="10071.36"/>
    <n v="4002.87"/>
    <n v="53.21"/>
    <s v="Credit Card"/>
    <x v="0"/>
    <b v="1"/>
    <x v="0"/>
    <n v="7"/>
  </r>
  <r>
    <s v="ORD-00026"/>
    <x v="39"/>
    <x v="39"/>
    <s v="CUST14542"/>
    <s v="Kavya Chatterjee"/>
    <n v="31"/>
    <s v="Female"/>
    <x v="4"/>
    <s v="Kochi"/>
    <x v="0"/>
    <s v="Flour"/>
    <n v="7"/>
    <n v="423.99"/>
    <n v="0.21"/>
    <n v="1984.26"/>
    <n v="189.37"/>
    <n v="45.05"/>
    <s v="Cash on Delivery"/>
    <x v="4"/>
    <b v="0"/>
    <x v="1"/>
    <n v="8"/>
  </r>
  <r>
    <s v="ORD-04150"/>
    <x v="599"/>
    <x v="599"/>
    <s v="CUST41606"/>
    <s v="Arjun Verma"/>
    <n v="26"/>
    <s v="Female"/>
    <x v="2"/>
    <s v="Ludhiana"/>
    <x v="5"/>
    <s v="Headphones"/>
    <n v="2"/>
    <n v="51176.53"/>
    <n v="0.12"/>
    <n v="72400.09"/>
    <n v="8619.1299999999992"/>
    <n v="59.77"/>
    <s v="Cash on Delivery"/>
    <x v="3"/>
    <b v="0"/>
    <x v="1"/>
    <n v="3"/>
  </r>
  <r>
    <s v="ORD-02234"/>
    <x v="872"/>
    <x v="872"/>
    <s v="CUST98675"/>
    <s v="Sunita Shah"/>
    <n v="28"/>
    <s v="Female"/>
    <x v="3"/>
    <s v="Bhubaneswar"/>
    <x v="1"/>
    <s v="Lipstick"/>
    <n v="8"/>
    <n v="1190.3800000000001"/>
    <n v="0.28999999999999998"/>
    <n v="9135.75"/>
    <n v="5877.03"/>
    <n v="93.18"/>
    <s v="UPI"/>
    <x v="4"/>
    <b v="1"/>
    <x v="0"/>
    <n v="1"/>
  </r>
  <r>
    <s v="ORD-03427"/>
    <x v="636"/>
    <x v="636"/>
    <s v="CUST72511"/>
    <s v="Sunita Gupta"/>
    <n v="34"/>
    <s v="Male"/>
    <x v="0"/>
    <s v="Raipur"/>
    <x v="0"/>
    <s v="Dal (1kg)"/>
    <n v="5"/>
    <n v="470.22"/>
    <n v="7.0000000000000007E-2"/>
    <n v="370.8"/>
    <n v="28.04"/>
    <n v="65.41"/>
    <s v="Debit Card"/>
    <x v="3"/>
    <b v="0"/>
    <x v="1"/>
    <n v="4"/>
  </r>
  <r>
    <s v="ORD-01311"/>
    <x v="270"/>
    <x v="270"/>
    <s v="CUST00450"/>
    <s v="Sanjay Iyer"/>
    <n v="39"/>
    <s v="Male"/>
    <x v="1"/>
    <s v="Ahmedabad"/>
    <x v="5"/>
    <s v="Smartwatch"/>
    <n v="7"/>
    <n v="63396.04"/>
    <n v="0.05"/>
    <n v="514656.3"/>
    <n v="47623.99"/>
    <n v="47.91"/>
    <s v="EMI"/>
    <x v="0"/>
    <b v="0"/>
    <x v="1"/>
    <n v="2"/>
  </r>
  <r>
    <s v="ORD-00314"/>
    <x v="866"/>
    <x v="866"/>
    <s v="CUST45424"/>
    <s v="Pooja Gupta"/>
    <n v="38"/>
    <s v="Male"/>
    <x v="1"/>
    <s v="Mumbai"/>
    <x v="6"/>
    <s v="Cricket Bat"/>
    <n v="6"/>
    <n v="3765.92"/>
    <n v="0.27"/>
    <n v="20744.7"/>
    <n v="5247.02"/>
    <n v="90.54"/>
    <s v="UPI"/>
    <x v="2"/>
    <b v="0"/>
    <x v="1"/>
    <n v="9"/>
  </r>
  <r>
    <s v="ORD-02156"/>
    <x v="873"/>
    <x v="873"/>
    <s v="CUST99111"/>
    <s v="Meera Nair"/>
    <n v="33"/>
    <s v="Other"/>
    <x v="0"/>
    <s v="Bhopal"/>
    <x v="1"/>
    <s v="Sunscreen"/>
    <n v="1"/>
    <n v="1864.55"/>
    <n v="0.02"/>
    <n v="2317.0300000000002"/>
    <n v="835.39"/>
    <n v="82.42"/>
    <s v="EMI"/>
    <x v="4"/>
    <b v="1"/>
    <x v="0"/>
    <n v="5"/>
  </r>
  <r>
    <s v="ORD-02101"/>
    <x v="647"/>
    <x v="647"/>
    <s v="CUST17742"/>
    <s v="Meera Verma"/>
    <n v="47"/>
    <s v="Female"/>
    <x v="4"/>
    <s v="Hyderabad"/>
    <x v="5"/>
    <s v="Smartphone"/>
    <n v="6"/>
    <n v="9010.34"/>
    <n v="0.38"/>
    <n v="49758.87"/>
    <n v="5134.33"/>
    <n v="75.34"/>
    <s v="UPI"/>
    <x v="2"/>
    <b v="0"/>
    <x v="1"/>
    <n v="10"/>
  </r>
  <r>
    <s v="ORD-00733"/>
    <x v="431"/>
    <x v="431"/>
    <s v="CUST15499"/>
    <s v="Priya Mishra"/>
    <n v="34"/>
    <s v="Other"/>
    <x v="1"/>
    <s v="Mumbai"/>
    <x v="2"/>
    <s v="Desk"/>
    <n v="9"/>
    <n v="12544.46"/>
    <n v="0.21"/>
    <n v="65545.14"/>
    <n v="23589.88"/>
    <n v="79.05"/>
    <s v="Debit Card"/>
    <x v="2"/>
    <b v="0"/>
    <x v="1"/>
    <n v="4"/>
  </r>
  <r>
    <s v="ORD-01641"/>
    <x v="874"/>
    <x v="874"/>
    <s v="CUST87800"/>
    <s v="Rahul Patel"/>
    <n v="51"/>
    <s v="Male"/>
    <x v="3"/>
    <s v="Bhubaneswar"/>
    <x v="2"/>
    <s v="Bookshelf"/>
    <n v="1"/>
    <n v="27509.11"/>
    <n v="0.34"/>
    <n v="17323.099999999999"/>
    <n v="3413.01"/>
    <n v="50.42"/>
    <s v="Credit Card"/>
    <x v="3"/>
    <b v="1"/>
    <x v="0"/>
    <n v="9"/>
  </r>
  <r>
    <s v="ORD-00406"/>
    <x v="875"/>
    <x v="875"/>
    <s v="CUST55912"/>
    <s v="Rohan Iyer"/>
    <n v="41"/>
    <s v="Female"/>
    <x v="0"/>
    <s v="Nagpur"/>
    <x v="3"/>
    <s v="Cook Book"/>
    <n v="1"/>
    <n v="794.97"/>
    <n v="0.15"/>
    <n v="910.56"/>
    <n v="213.02"/>
    <n v="18.34"/>
    <s v="Debit Card"/>
    <x v="1"/>
    <b v="0"/>
    <x v="1"/>
    <n v="6"/>
  </r>
  <r>
    <s v="ORD-03604"/>
    <x v="146"/>
    <x v="146"/>
    <s v="CUST22575"/>
    <s v="Nikhil Mehta"/>
    <n v="40"/>
    <s v="Female"/>
    <x v="0"/>
    <s v="Indore"/>
    <x v="4"/>
    <s v="Jeans"/>
    <n v="2"/>
    <n v="3889.03"/>
    <n v="0.21"/>
    <n v="11379.73"/>
    <n v="4053.26"/>
    <n v="49.43"/>
    <s v="Net Banking"/>
    <x v="0"/>
    <b v="0"/>
    <x v="1"/>
    <n v="4"/>
  </r>
  <r>
    <s v="ORD-00419"/>
    <x v="658"/>
    <x v="658"/>
    <s v="CUST41041"/>
    <s v="Pooja Chatterjee"/>
    <n v="22"/>
    <s v="Male"/>
    <x v="1"/>
    <s v="Surat"/>
    <x v="3"/>
    <s v="Textbook"/>
    <n v="2"/>
    <n v="1319.78"/>
    <n v="0.11"/>
    <n v="2893.27"/>
    <n v="758.61"/>
    <n v="53.87"/>
    <s v="Cash on Delivery"/>
    <x v="1"/>
    <b v="0"/>
    <x v="1"/>
    <n v="5"/>
  </r>
  <r>
    <s v="ORD-01329"/>
    <x v="876"/>
    <x v="876"/>
    <s v="CUST48811"/>
    <s v="Ananya Kapoor"/>
    <n v="27"/>
    <s v="Male"/>
    <x v="2"/>
    <s v="Amritsar"/>
    <x v="0"/>
    <s v="Flour"/>
    <n v="1"/>
    <n v="108.73"/>
    <n v="0.39"/>
    <n v="87.71"/>
    <n v="7.58"/>
    <n v="51.82"/>
    <s v="Cash on Delivery"/>
    <x v="2"/>
    <b v="0"/>
    <x v="4"/>
    <n v="7"/>
  </r>
  <r>
    <s v="ORD-01219"/>
    <x v="877"/>
    <x v="877"/>
    <s v="CUST74829"/>
    <s v="Sunita Bose"/>
    <n v="32"/>
    <s v="Male"/>
    <x v="0"/>
    <s v="Indore"/>
    <x v="4"/>
    <s v="Dress"/>
    <n v="9"/>
    <n v="3582.63"/>
    <n v="0.15"/>
    <n v="40561.11"/>
    <n v="14700.02"/>
    <n v="55.73"/>
    <s v="Credit Card"/>
    <x v="2"/>
    <b v="0"/>
    <x v="1"/>
    <n v="6"/>
  </r>
  <r>
    <s v="ORD-03413"/>
    <x v="878"/>
    <x v="878"/>
    <s v="CUST01012"/>
    <s v="Rahul Sharma"/>
    <n v="29"/>
    <s v="Male"/>
    <x v="2"/>
    <s v="Delhi"/>
    <x v="2"/>
    <s v="Chair"/>
    <n v="4"/>
    <n v="30995.42"/>
    <n v="0.28000000000000003"/>
    <n v="93700.04"/>
    <n v="18542.88"/>
    <n v="39.880000000000003"/>
    <s v="Net Banking"/>
    <x v="1"/>
    <b v="0"/>
    <x v="1"/>
    <n v="7"/>
  </r>
  <r>
    <s v="ORD-03002"/>
    <x v="352"/>
    <x v="352"/>
    <s v="CUST83812"/>
    <s v="Karan Chatterjee"/>
    <n v="40"/>
    <s v="Other"/>
    <x v="0"/>
    <s v="Indore"/>
    <x v="1"/>
    <s v="Hair Oil"/>
    <n v="3"/>
    <n v="2358.2800000000002"/>
    <n v="0.21"/>
    <n v="8273.92"/>
    <n v="4056.62"/>
    <n v="66.180000000000007"/>
    <s v="Credit Card"/>
    <x v="2"/>
    <b v="0"/>
    <x v="1"/>
    <n v="10"/>
  </r>
  <r>
    <s v="ORD-03159"/>
    <x v="855"/>
    <x v="855"/>
    <s v="CUST24304"/>
    <s v="Kavya Joshi"/>
    <n v="50"/>
    <s v="Male"/>
    <x v="2"/>
    <s v="Ludhiana"/>
    <x v="4"/>
    <s v="Jacket"/>
    <n v="9"/>
    <n v="1332.1"/>
    <n v="0.24"/>
    <n v="12579.87"/>
    <n v="3205.48"/>
    <n v="79"/>
    <s v="Credit Card"/>
    <x v="3"/>
    <b v="0"/>
    <x v="1"/>
    <n v="3"/>
  </r>
  <r>
    <s v="ORD-03450"/>
    <x v="879"/>
    <x v="879"/>
    <s v="CUST80072"/>
    <s v="Ritu Kapoor"/>
    <n v="37"/>
    <s v="Other"/>
    <x v="1"/>
    <s v="Pune"/>
    <x v="4"/>
    <s v="Jacket"/>
    <n v="9"/>
    <n v="1826.63"/>
    <n v="7.0000000000000007E-2"/>
    <n v="16207.04"/>
    <n v="6487.83"/>
    <n v="57.55"/>
    <s v="EMI"/>
    <x v="1"/>
    <b v="0"/>
    <x v="1"/>
    <n v="9"/>
  </r>
  <r>
    <s v="ORD-02992"/>
    <x v="756"/>
    <x v="756"/>
    <s v="CUST09576"/>
    <s v="Aditya Gupta"/>
    <n v="49"/>
    <s v="Male"/>
    <x v="1"/>
    <s v="Surat"/>
    <x v="6"/>
    <s v="Yoga Mat"/>
    <n v="10"/>
    <n v="14494.42"/>
    <n v="0.17"/>
    <n v="166583.26"/>
    <n v="37373.97"/>
    <n v="63.48"/>
    <s v="UPI"/>
    <x v="3"/>
    <b v="0"/>
    <x v="1"/>
    <n v="9"/>
  </r>
  <r>
    <s v="ORD-01737"/>
    <x v="880"/>
    <x v="880"/>
    <s v="CUST67585"/>
    <s v="Vikram Verma"/>
    <n v="15"/>
    <s v="Female"/>
    <x v="0"/>
    <s v="Indore"/>
    <x v="3"/>
    <s v="Self-Help Book"/>
    <n v="9"/>
    <n v="1403.46"/>
    <n v="0.3"/>
    <n v="9214.56"/>
    <n v="4061.53"/>
    <n v="49.87"/>
    <s v="Debit Card"/>
    <x v="0"/>
    <b v="1"/>
    <x v="0"/>
    <n v="6"/>
  </r>
  <r>
    <s v="ORD-01298"/>
    <x v="745"/>
    <x v="745"/>
    <s v="CUST05275"/>
    <s v="Deepa Bose"/>
    <n v="36"/>
    <s v="Male"/>
    <x v="4"/>
    <s v="Bangalore"/>
    <x v="2"/>
    <s v="Chair"/>
    <n v="1"/>
    <n v="13928.4"/>
    <n v="0.02"/>
    <n v="16374.89"/>
    <n v="4982.1899999999996"/>
    <n v="84.29"/>
    <s v="Debit Card"/>
    <x v="4"/>
    <b v="1"/>
    <x v="0"/>
    <n v="2"/>
  </r>
  <r>
    <s v="ORD-00747"/>
    <x v="197"/>
    <x v="197"/>
    <s v="CUST87215"/>
    <s v="Vikram Reddy"/>
    <n v="39"/>
    <s v="Other"/>
    <x v="4"/>
    <s v="Chennai"/>
    <x v="2"/>
    <s v="Bookshelf"/>
    <n v="7"/>
    <n v="16844.34"/>
    <n v="0.21"/>
    <n v="63758.45"/>
    <n v="17615.41"/>
    <n v="77.12"/>
    <s v="EMI"/>
    <x v="2"/>
    <b v="0"/>
    <x v="1"/>
    <n v="7"/>
  </r>
  <r>
    <s v="ORD-01120"/>
    <x v="618"/>
    <x v="618"/>
    <s v="CUST83419"/>
    <s v="Priya Das"/>
    <n v="44"/>
    <s v="Male"/>
    <x v="2"/>
    <s v="Ludhiana"/>
    <x v="5"/>
    <s v="Laptop"/>
    <n v="7"/>
    <n v="76173.789999999994"/>
    <n v="0.04"/>
    <n v="700761.7"/>
    <n v="99827.839999999997"/>
    <n v="53.23"/>
    <s v="Debit Card"/>
    <x v="0"/>
    <b v="0"/>
    <x v="4"/>
    <n v="4"/>
  </r>
  <r>
    <s v="ORD-02912"/>
    <x v="881"/>
    <x v="881"/>
    <s v="CUST85957"/>
    <s v="Arjun Rao"/>
    <n v="46"/>
    <s v="Other"/>
    <x v="1"/>
    <s v="Mumbai"/>
    <x v="5"/>
    <s v="Tablet"/>
    <n v="8"/>
    <n v="74304.539999999994"/>
    <n v="0.08"/>
    <n v="736732.69"/>
    <n v="73848.3"/>
    <n v="54.14"/>
    <s v="EMI"/>
    <x v="3"/>
    <b v="0"/>
    <x v="1"/>
    <n v="9"/>
  </r>
  <r>
    <s v="ORD-01957"/>
    <x v="882"/>
    <x v="882"/>
    <s v="CUST64737"/>
    <s v="Rahul Kapoor"/>
    <n v="57"/>
    <s v="Other"/>
    <x v="2"/>
    <s v="Amritsar"/>
    <x v="5"/>
    <s v="Headphones"/>
    <n v="5"/>
    <n v="40573.07"/>
    <n v="0.31"/>
    <n v="232526.04"/>
    <n v="20245.060000000001"/>
    <n v="51.87"/>
    <s v="UPI"/>
    <x v="1"/>
    <b v="0"/>
    <x v="1"/>
    <n v="5"/>
  </r>
  <r>
    <s v="ORD-01288"/>
    <x v="343"/>
    <x v="343"/>
    <s v="CUST52141"/>
    <s v="Ritu Kumar"/>
    <n v="29"/>
    <s v="Female"/>
    <x v="4"/>
    <s v="Chennai"/>
    <x v="5"/>
    <s v="Smartwatch"/>
    <n v="9"/>
    <n v="65957.440000000002"/>
    <n v="0.32"/>
    <n v="526880.46"/>
    <n v="88344.08"/>
    <n v="59.57"/>
    <s v="Cash on Delivery"/>
    <x v="1"/>
    <b v="0"/>
    <x v="1"/>
    <n v="6"/>
  </r>
  <r>
    <s v="ORD-02581"/>
    <x v="883"/>
    <x v="883"/>
    <s v="CUST31891"/>
    <s v="Nikhil Kumar"/>
    <n v="55"/>
    <s v="Female"/>
    <x v="1"/>
    <s v="Mumbai"/>
    <x v="3"/>
    <s v="Comic Book"/>
    <n v="10"/>
    <n v="262.24"/>
    <n v="0.25"/>
    <n v="1767.24"/>
    <n v="706.13"/>
    <n v="81.67"/>
    <s v="EMI"/>
    <x v="0"/>
    <b v="0"/>
    <x v="1"/>
    <n v="5"/>
  </r>
  <r>
    <s v="ORD-00773"/>
    <x v="584"/>
    <x v="584"/>
    <s v="CUST43341"/>
    <s v="Vikram Singh"/>
    <n v="46"/>
    <s v="Other"/>
    <x v="1"/>
    <s v="Ahmedabad"/>
    <x v="3"/>
    <s v="Cook Book"/>
    <n v="6"/>
    <n v="444.05"/>
    <n v="0.38"/>
    <n v="1040.6500000000001"/>
    <n v="392.88"/>
    <n v="100.75"/>
    <s v="EMI"/>
    <x v="2"/>
    <b v="0"/>
    <x v="1"/>
    <n v="10"/>
  </r>
  <r>
    <s v="ORD-00682"/>
    <x v="522"/>
    <x v="522"/>
    <s v="CUST98255"/>
    <s v="Shreya Gupta"/>
    <n v="54"/>
    <s v="Female"/>
    <x v="1"/>
    <s v="Pune"/>
    <x v="3"/>
    <s v="Comic Book"/>
    <n v="9"/>
    <n v="1493.02"/>
    <n v="0.15"/>
    <n v="6644.53"/>
    <n v="3127.78"/>
    <n v="40.520000000000003"/>
    <s v="Debit Card"/>
    <x v="0"/>
    <b v="0"/>
    <x v="1"/>
    <n v="4"/>
  </r>
  <r>
    <s v="ORD-00092"/>
    <x v="685"/>
    <x v="685"/>
    <s v="CUST33858"/>
    <s v="Sunita Bose"/>
    <n v="37"/>
    <s v="Male"/>
    <x v="1"/>
    <s v="Surat"/>
    <x v="6"/>
    <s v="Yoga Mat"/>
    <n v="10"/>
    <n v="8101.49"/>
    <n v="0.21"/>
    <n v="51880.09"/>
    <n v="7573.04"/>
    <n v="83.71"/>
    <s v="Net Banking"/>
    <x v="3"/>
    <b v="1"/>
    <x v="0"/>
    <n v="7"/>
  </r>
  <r>
    <s v="ORD-02172"/>
    <x v="884"/>
    <x v="884"/>
    <s v="CUST49313"/>
    <s v="Rohan Verma"/>
    <n v="38"/>
    <s v="Other"/>
    <x v="4"/>
    <s v="Kochi"/>
    <x v="6"/>
    <s v="Cricket Bat"/>
    <n v="4"/>
    <n v="2688.74"/>
    <n v="0.36"/>
    <n v="7914.11"/>
    <n v="1551.65"/>
    <n v="54.97"/>
    <s v="UPI"/>
    <x v="3"/>
    <b v="0"/>
    <x v="3"/>
    <n v="1"/>
  </r>
  <r>
    <s v="ORD-00897"/>
    <x v="596"/>
    <x v="596"/>
    <s v="CUST66586"/>
    <s v="Ritu Mehta"/>
    <n v="39"/>
    <s v="Male"/>
    <x v="2"/>
    <s v="Amritsar"/>
    <x v="2"/>
    <s v="Bookshelf"/>
    <n v="7"/>
    <n v="15174.89"/>
    <n v="0.06"/>
    <n v="79635.100000000006"/>
    <n v="24165.11"/>
    <n v="39.53"/>
    <s v="EMI"/>
    <x v="3"/>
    <b v="0"/>
    <x v="1"/>
    <n v="1"/>
  </r>
  <r>
    <s v="ORD-03312"/>
    <x v="885"/>
    <x v="885"/>
    <s v="CUST71934"/>
    <s v="Arjun Gupta"/>
    <n v="28"/>
    <s v="Male"/>
    <x v="1"/>
    <s v="Ahmedabad"/>
    <x v="5"/>
    <s v="Tablet"/>
    <n v="4"/>
    <n v="61847.14"/>
    <n v="0.28000000000000003"/>
    <n v="158246.41"/>
    <n v="21536.45"/>
    <n v="70.33"/>
    <s v="Debit Card"/>
    <x v="2"/>
    <b v="1"/>
    <x v="0"/>
    <n v="5"/>
  </r>
  <r>
    <s v="ORD-00874"/>
    <x v="886"/>
    <x v="886"/>
    <s v="CUST90693"/>
    <s v="Ritu Bose"/>
    <n v="28"/>
    <s v="Male"/>
    <x v="1"/>
    <s v="Surat"/>
    <x v="4"/>
    <s v="Kurta"/>
    <n v="7"/>
    <n v="705.54"/>
    <n v="0.02"/>
    <n v="4150.51"/>
    <n v="1347.79"/>
    <n v="69.430000000000007"/>
    <s v="Cash on Delivery"/>
    <x v="0"/>
    <b v="0"/>
    <x v="1"/>
    <n v="6"/>
  </r>
  <r>
    <s v="ORD-01844"/>
    <x v="298"/>
    <x v="298"/>
    <s v="CUST38409"/>
    <s v="Kavya Verma"/>
    <n v="46"/>
    <s v="Other"/>
    <x v="1"/>
    <s v="Surat"/>
    <x v="4"/>
    <s v="Saree"/>
    <n v="6"/>
    <n v="2129.9699999999998"/>
    <n v="0.33"/>
    <n v="10588.9"/>
    <n v="4603.57"/>
    <n v="41.82"/>
    <s v="Net Banking"/>
    <x v="3"/>
    <b v="0"/>
    <x v="1"/>
    <n v="1"/>
  </r>
  <r>
    <s v="ORD-04034"/>
    <x v="242"/>
    <x v="242"/>
    <s v="CUST75503"/>
    <s v="Vikram Bose"/>
    <n v="44"/>
    <s v="Other"/>
    <x v="3"/>
    <s v="Kolkata"/>
    <x v="0"/>
    <s v="Rice (5kg)"/>
    <n v="9"/>
    <n v="101.5"/>
    <n v="0.18"/>
    <n v="814.46"/>
    <n v="55.74"/>
    <n v="85.93"/>
    <s v="Credit Card"/>
    <x v="0"/>
    <b v="0"/>
    <x v="4"/>
    <n v="9"/>
  </r>
  <r>
    <s v="ORD-01608"/>
    <x v="887"/>
    <x v="887"/>
    <s v="CUST49887"/>
    <s v="Sunita Bose"/>
    <n v="41"/>
    <s v="Other"/>
    <x v="1"/>
    <s v="Pune"/>
    <x v="3"/>
    <s v="Self-Help Book"/>
    <n v="1"/>
    <n v="1086.72"/>
    <n v="0.16"/>
    <n v="733.62"/>
    <n v="191.01"/>
    <n v="81.14"/>
    <s v="Cash on Delivery"/>
    <x v="3"/>
    <b v="0"/>
    <x v="1"/>
    <n v="7"/>
  </r>
  <r>
    <s v="ORD-01258"/>
    <x v="888"/>
    <x v="888"/>
    <s v="CUST67262"/>
    <s v="Rahul Mishra"/>
    <n v="48"/>
    <s v="Other"/>
    <x v="3"/>
    <s v="Guwahati"/>
    <x v="3"/>
    <s v="Self-Help Book"/>
    <n v="9"/>
    <n v="267.73"/>
    <n v="0.18"/>
    <n v="2753.41"/>
    <n v="797.79"/>
    <n v="100.33"/>
    <s v="Debit Card"/>
    <x v="1"/>
    <b v="0"/>
    <x v="2"/>
    <n v="3"/>
  </r>
  <r>
    <s v="ORD-00585"/>
    <x v="889"/>
    <x v="889"/>
    <s v="CUST92797"/>
    <s v="Kavya Pillai"/>
    <n v="33"/>
    <s v="Other"/>
    <x v="4"/>
    <s v="Bangalore"/>
    <x v="5"/>
    <s v="Camera"/>
    <n v="6"/>
    <n v="51958.82"/>
    <n v="0.09"/>
    <n v="296590.44"/>
    <n v="46515.89"/>
    <n v="67.94"/>
    <s v="UPI"/>
    <x v="1"/>
    <b v="0"/>
    <x v="2"/>
    <n v="3"/>
  </r>
  <r>
    <s v="ORD-04091"/>
    <x v="243"/>
    <x v="243"/>
    <s v="CUST86939"/>
    <s v="Deepa Bose"/>
    <n v="6"/>
    <s v="Male"/>
    <x v="3"/>
    <s v="Kolkata"/>
    <x v="5"/>
    <s v="Headphones"/>
    <n v="4"/>
    <n v="35242.410000000003"/>
    <n v="0.19"/>
    <n v="119306.63"/>
    <n v="11262.26"/>
    <n v="105.94"/>
    <s v="Cash on Delivery"/>
    <x v="3"/>
    <b v="0"/>
    <x v="1"/>
    <n v="9"/>
  </r>
  <r>
    <s v="ORD-03075"/>
    <x v="515"/>
    <x v="515"/>
    <s v="CUST66159"/>
    <s v="Shreya Shah"/>
    <n v="17"/>
    <s v="Female"/>
    <x v="3"/>
    <s v="Kolkata"/>
    <x v="2"/>
    <s v="Bookshelf"/>
    <n v="8"/>
    <n v="11661.87"/>
    <n v="0.24"/>
    <n v="95197.56"/>
    <n v="28202.79"/>
    <n v="88.67"/>
    <s v="Net Banking"/>
    <x v="1"/>
    <b v="0"/>
    <x v="1"/>
    <n v="3"/>
  </r>
  <r>
    <s v="ORD-02293"/>
    <x v="493"/>
    <x v="493"/>
    <s v="CUST83140"/>
    <s v="Kavya Iyer"/>
    <n v="19"/>
    <s v="Male"/>
    <x v="0"/>
    <s v="Raipur"/>
    <x v="2"/>
    <s v="Wardrobe"/>
    <n v="9"/>
    <n v="11670.17"/>
    <n v="0.28999999999999998"/>
    <n v="98477.31"/>
    <n v="25127.73"/>
    <n v="70.569999999999993"/>
    <s v="Credit Card"/>
    <x v="3"/>
    <b v="0"/>
    <x v="2"/>
    <n v="5"/>
  </r>
  <r>
    <s v="ORD-03389"/>
    <x v="890"/>
    <x v="890"/>
    <s v="CUST12949"/>
    <s v="Ananya Bhat"/>
    <n v="34"/>
    <s v="Other"/>
    <x v="0"/>
    <s v="Nagpur"/>
    <x v="4"/>
    <s v="Jeans"/>
    <n v="3"/>
    <n v="2014.35"/>
    <n v="0.34"/>
    <n v="3745.45"/>
    <n v="1521.68"/>
    <n v="55.01"/>
    <s v="UPI"/>
    <x v="3"/>
    <b v="0"/>
    <x v="1"/>
    <n v="2"/>
  </r>
  <r>
    <s v="ORD-01409"/>
    <x v="527"/>
    <x v="527"/>
    <s v="CUST49105"/>
    <s v="Aarav Nair"/>
    <n v="9"/>
    <s v="Male"/>
    <x v="1"/>
    <s v="Ahmedabad"/>
    <x v="6"/>
    <s v="Cricket Bat"/>
    <n v="7"/>
    <n v="12363.5"/>
    <n v="0.06"/>
    <n v="79795.539999999994"/>
    <n v="13170.87"/>
    <n v="61.11"/>
    <s v="EMI"/>
    <x v="4"/>
    <b v="0"/>
    <x v="4"/>
    <n v="3"/>
  </r>
  <r>
    <s v="ORD-04106"/>
    <x v="891"/>
    <x v="891"/>
    <s v="CUST44096"/>
    <s v="Karan Mehta"/>
    <n v="24"/>
    <s v="Male"/>
    <x v="1"/>
    <s v="Ahmedabad"/>
    <x v="4"/>
    <s v="Saree"/>
    <n v="6"/>
    <n v="3683.81"/>
    <n v="0.14000000000000001"/>
    <n v="18294.23"/>
    <n v="6945.87"/>
    <n v="62.15"/>
    <s v="Credit Card"/>
    <x v="0"/>
    <b v="0"/>
    <x v="1"/>
    <n v="7"/>
  </r>
  <r>
    <s v="ORD-02488"/>
    <x v="892"/>
    <x v="892"/>
    <s v="CUST92446"/>
    <s v="Arjun Pillai"/>
    <n v="38"/>
    <s v="Female"/>
    <x v="0"/>
    <s v="Nagpur"/>
    <x v="4"/>
    <s v="Saree"/>
    <n v="7"/>
    <n v="3070.57"/>
    <n v="0.11"/>
    <n v="15759.57"/>
    <n v="5224.3900000000003"/>
    <n v="34.380000000000003"/>
    <s v="Credit Card"/>
    <x v="4"/>
    <b v="0"/>
    <x v="1"/>
    <n v="2"/>
  </r>
  <r>
    <s v="ORD-02468"/>
    <x v="258"/>
    <x v="258"/>
    <s v="CUST62783"/>
    <s v="Priya Mishra"/>
    <n v="35"/>
    <s v="Male"/>
    <x v="4"/>
    <s v="Bangalore"/>
    <x v="4"/>
    <s v="T-Shirt"/>
    <n v="10"/>
    <n v="1323.89"/>
    <n v="0.17"/>
    <n v="7846.07"/>
    <n v="2864.34"/>
    <n v="73.19"/>
    <s v="Credit Card"/>
    <x v="0"/>
    <b v="0"/>
    <x v="1"/>
    <n v="6"/>
  </r>
  <r>
    <s v="ORD-03558"/>
    <x v="610"/>
    <x v="610"/>
    <s v="CUST69842"/>
    <s v="Ritu Bose"/>
    <n v="28"/>
    <s v="Female"/>
    <x v="1"/>
    <s v="Mumbai"/>
    <x v="5"/>
    <s v="Smartphone"/>
    <n v="5"/>
    <n v="17236.669999999998"/>
    <n v="0.25"/>
    <n v="16579.98"/>
    <n v="1792.51"/>
    <n v="70.709999999999994"/>
    <s v="Net Banking"/>
    <x v="0"/>
    <b v="0"/>
    <x v="1"/>
    <n v="2"/>
  </r>
  <r>
    <s v="ORD-03872"/>
    <x v="639"/>
    <x v="639"/>
    <s v="CUST05197"/>
    <s v="Deepa Rao"/>
    <n v="31"/>
    <s v="Other"/>
    <x v="3"/>
    <s v="Kolkata"/>
    <x v="5"/>
    <s v="Smartwatch"/>
    <n v="1"/>
    <n v="32097.99"/>
    <n v="0.19"/>
    <n v="38771.85"/>
    <n v="5312.93"/>
    <n v="86.5"/>
    <s v="Net Banking"/>
    <x v="1"/>
    <b v="0"/>
    <x v="1"/>
    <n v="10"/>
  </r>
  <r>
    <s v="ORD-04053"/>
    <x v="857"/>
    <x v="857"/>
    <s v="CUST88893"/>
    <s v="Sunita Reddy"/>
    <n v="16"/>
    <s v="Male"/>
    <x v="0"/>
    <s v="Indore"/>
    <x v="0"/>
    <s v="Rice (5kg)"/>
    <n v="5"/>
    <n v="127.17"/>
    <n v="0.13"/>
    <n v="579.76"/>
    <n v="51.77"/>
    <n v="79.36"/>
    <s v="Debit Card"/>
    <x v="1"/>
    <b v="0"/>
    <x v="3"/>
    <n v="8"/>
  </r>
  <r>
    <s v="ORD-01927"/>
    <x v="815"/>
    <x v="815"/>
    <s v="CUST95099"/>
    <s v="Nisha Verma"/>
    <n v="23"/>
    <s v="Other"/>
    <x v="1"/>
    <s v="Pune"/>
    <x v="4"/>
    <s v="Kurta"/>
    <n v="9"/>
    <n v="2847.87"/>
    <n v="0.1"/>
    <n v="33393.53"/>
    <n v="12191.27"/>
    <n v="82.56"/>
    <s v="Debit Card"/>
    <x v="3"/>
    <b v="0"/>
    <x v="3"/>
    <n v="1"/>
  </r>
  <r>
    <s v="ORD-03251"/>
    <x v="823"/>
    <x v="823"/>
    <s v="CUST86211"/>
    <s v="Arjun Kumar"/>
    <n v="26"/>
    <s v="Male"/>
    <x v="1"/>
    <s v="Pune"/>
    <x v="4"/>
    <s v="Dress"/>
    <n v="5"/>
    <n v="3838.12"/>
    <n v="0.33"/>
    <n v="12041.48"/>
    <n v="4808.1400000000003"/>
    <n v="32.22"/>
    <s v="UPI"/>
    <x v="0"/>
    <b v="0"/>
    <x v="1"/>
    <n v="1"/>
  </r>
  <r>
    <s v="ORD-01913"/>
    <x v="58"/>
    <x v="58"/>
    <s v="CUST36526"/>
    <s v="Ananya Kapoor"/>
    <n v="2"/>
    <s v="Other"/>
    <x v="0"/>
    <s v="Nagpur"/>
    <x v="6"/>
    <s v="Tennis Racket"/>
    <n v="9"/>
    <n v="1049.52"/>
    <n v="0.1"/>
    <n v="10418.77"/>
    <n v="2621.33"/>
    <n v="73.930000000000007"/>
    <s v="EMI"/>
    <x v="3"/>
    <b v="0"/>
    <x v="1"/>
    <n v="5"/>
  </r>
  <r>
    <s v="ORD-00430"/>
    <x v="501"/>
    <x v="501"/>
    <s v="CUST04699"/>
    <s v="Nikhil Pillai"/>
    <n v="23"/>
    <s v="Male"/>
    <x v="4"/>
    <s v="Chennai"/>
    <x v="5"/>
    <s v="Laptop"/>
    <n v="9"/>
    <n v="57811.07"/>
    <n v="0.11"/>
    <n v="535096.15"/>
    <n v="69255.11"/>
    <n v="81.93"/>
    <s v="Credit Card"/>
    <x v="4"/>
    <b v="0"/>
    <x v="1"/>
    <n v="6"/>
  </r>
  <r>
    <s v="ORD-03805"/>
    <x v="104"/>
    <x v="104"/>
    <s v="CUST88017"/>
    <s v="Aditya Shah"/>
    <n v="28"/>
    <s v="Female"/>
    <x v="3"/>
    <s v="Guwahati"/>
    <x v="4"/>
    <s v="T-Shirt"/>
    <n v="9"/>
    <n v="2080.9899999999998"/>
    <n v="0.16"/>
    <n v="29349.38"/>
    <n v="8715.61"/>
    <n v="71.25"/>
    <s v="Net Banking"/>
    <x v="2"/>
    <b v="0"/>
    <x v="1"/>
    <n v="10"/>
  </r>
  <r>
    <s v="ORD-03311"/>
    <x v="181"/>
    <x v="181"/>
    <s v="CUST69847"/>
    <s v="Nikhil Rao"/>
    <n v="53"/>
    <s v="Female"/>
    <x v="3"/>
    <s v="Guwahati"/>
    <x v="2"/>
    <s v="Bookshelf"/>
    <n v="7"/>
    <n v="17240.23"/>
    <n v="0.18"/>
    <n v="93169.87"/>
    <n v="29154.44"/>
    <n v="70.02"/>
    <s v="UPI"/>
    <x v="3"/>
    <b v="0"/>
    <x v="1"/>
    <n v="10"/>
  </r>
  <r>
    <s v="ORD-04002"/>
    <x v="165"/>
    <x v="165"/>
    <s v="CUST44623"/>
    <s v="Sunita Shah"/>
    <n v="31"/>
    <s v="Female"/>
    <x v="4"/>
    <s v="Kochi"/>
    <x v="3"/>
    <s v="Fiction Novel"/>
    <n v="5"/>
    <n v="893.6"/>
    <n v="0.03"/>
    <n v="5604.17"/>
    <n v="1918.52"/>
    <n v="70.92"/>
    <s v="Debit Card"/>
    <x v="4"/>
    <b v="0"/>
    <x v="1"/>
    <n v="2"/>
  </r>
  <r>
    <s v="ORD-01009"/>
    <x v="437"/>
    <x v="437"/>
    <s v="CUST88411"/>
    <s v="Vikram Nair"/>
    <n v="24"/>
    <s v="Female"/>
    <x v="3"/>
    <s v="Bhubaneswar"/>
    <x v="0"/>
    <s v="Dal (1kg)"/>
    <n v="5"/>
    <n v="417.1"/>
    <n v="7.0000000000000007E-2"/>
    <n v="2357.5"/>
    <n v="234.32"/>
    <n v="91.09"/>
    <s v="Cash on Delivery"/>
    <x v="1"/>
    <b v="0"/>
    <x v="1"/>
    <n v="3"/>
  </r>
  <r>
    <s v="ORD-01669"/>
    <x v="893"/>
    <x v="893"/>
    <s v="CUST66582"/>
    <s v="Deepa Singh"/>
    <n v="34"/>
    <s v="Female"/>
    <x v="4"/>
    <s v="Hyderabad"/>
    <x v="5"/>
    <s v="Tablet"/>
    <n v="9"/>
    <n v="32073.99"/>
    <n v="0.13"/>
    <n v="216523.83"/>
    <n v="25075.11"/>
    <n v="53.93"/>
    <s v="Debit Card"/>
    <x v="4"/>
    <b v="0"/>
    <x v="1"/>
    <n v="1"/>
  </r>
  <r>
    <s v="ORD-03539"/>
    <x v="894"/>
    <x v="894"/>
    <s v="CUST80870"/>
    <s v="Vikram Bhat"/>
    <n v="39"/>
    <s v="Male"/>
    <x v="3"/>
    <s v="Kolkata"/>
    <x v="2"/>
    <s v="Desk"/>
    <n v="1"/>
    <n v="13132.98"/>
    <n v="0.37"/>
    <n v="10874.57"/>
    <n v="2437.06"/>
    <n v="64.72"/>
    <s v="Cash on Delivery"/>
    <x v="0"/>
    <b v="0"/>
    <x v="1"/>
    <n v="9"/>
  </r>
  <r>
    <s v="ORD-03910"/>
    <x v="402"/>
    <x v="402"/>
    <s v="CUST13303"/>
    <s v="Arjun Bhat"/>
    <n v="17"/>
    <s v="Other"/>
    <x v="4"/>
    <s v="Bangalore"/>
    <x v="1"/>
    <s v="Lipstick"/>
    <n v="2"/>
    <n v="339.31"/>
    <n v="0.14000000000000001"/>
    <n v="903.41"/>
    <n v="266.52"/>
    <n v="77.849999999999994"/>
    <s v="Credit Card"/>
    <x v="0"/>
    <b v="0"/>
    <x v="1"/>
    <n v="2"/>
  </r>
  <r>
    <s v="ORD-02860"/>
    <x v="193"/>
    <x v="193"/>
    <s v="CUST89287"/>
    <s v="Amit Verma"/>
    <n v="43"/>
    <s v="Other"/>
    <x v="4"/>
    <s v="Hyderabad"/>
    <x v="0"/>
    <s v="Tea"/>
    <n v="4"/>
    <n v="176.79"/>
    <n v="0.34"/>
    <n v="759.97"/>
    <n v="71.67"/>
    <n v="64.69"/>
    <s v="UPI"/>
    <x v="3"/>
    <b v="0"/>
    <x v="1"/>
    <n v="4"/>
  </r>
  <r>
    <s v="ORD-00441"/>
    <x v="315"/>
    <x v="315"/>
    <s v="CUST63862"/>
    <s v="Sunita Kapoor"/>
    <n v="26"/>
    <s v="Other"/>
    <x v="3"/>
    <s v="Patna"/>
    <x v="6"/>
    <s v="Cricket Bat"/>
    <n v="2"/>
    <n v="1653.6"/>
    <n v="0.04"/>
    <n v="4503.3"/>
    <n v="970.42"/>
    <n v="65.98"/>
    <s v="UPI"/>
    <x v="3"/>
    <b v="0"/>
    <x v="3"/>
    <n v="9"/>
  </r>
  <r>
    <s v="ORD-01942"/>
    <x v="311"/>
    <x v="311"/>
    <s v="CUST68557"/>
    <s v="Sunita Patel"/>
    <n v="43"/>
    <s v="Male"/>
    <x v="2"/>
    <s v="Amritsar"/>
    <x v="3"/>
    <s v="Cook Book"/>
    <n v="6"/>
    <n v="1175.95"/>
    <n v="0.21"/>
    <n v="6295.77"/>
    <n v="2412.9499999999998"/>
    <n v="48.24"/>
    <s v="UPI"/>
    <x v="4"/>
    <b v="0"/>
    <x v="1"/>
    <n v="8"/>
  </r>
  <r>
    <s v="ORD-03242"/>
    <x v="824"/>
    <x v="824"/>
    <s v="CUST97241"/>
    <s v="Vikram Iyer"/>
    <n v="23"/>
    <s v="Female"/>
    <x v="2"/>
    <s v="Ludhiana"/>
    <x v="5"/>
    <s v="Camera"/>
    <n v="2"/>
    <n v="5533.58"/>
    <n v="0.28000000000000003"/>
    <n v="7936.89"/>
    <n v="1116.53"/>
    <n v="64.260000000000005"/>
    <s v="UPI"/>
    <x v="0"/>
    <b v="0"/>
    <x v="1"/>
    <n v="5"/>
  </r>
  <r>
    <s v="ORD-03830"/>
    <x v="521"/>
    <x v="521"/>
    <s v="CUST01634"/>
    <s v="Sunita Kumar"/>
    <n v="-2"/>
    <s v="Male"/>
    <x v="1"/>
    <s v="Mumbai"/>
    <x v="3"/>
    <s v="Textbook"/>
    <n v="4"/>
    <n v="1110.24"/>
    <n v="0.37"/>
    <n v="4630.24"/>
    <n v="2178.27"/>
    <n v="50.74"/>
    <s v="Debit Card"/>
    <x v="0"/>
    <b v="0"/>
    <x v="4"/>
    <n v="4"/>
  </r>
  <r>
    <s v="ORD-03782"/>
    <x v="549"/>
    <x v="549"/>
    <s v="CUST04568"/>
    <s v="Rohan Joshi"/>
    <n v="43"/>
    <s v="Other"/>
    <x v="1"/>
    <s v="Surat"/>
    <x v="1"/>
    <s v="Shampoo"/>
    <n v="4"/>
    <n v="1596.7"/>
    <n v="0.35"/>
    <n v="6225.11"/>
    <n v="2976.56"/>
    <n v="47.58"/>
    <s v="Cash on Delivery"/>
    <x v="3"/>
    <b v="0"/>
    <x v="1"/>
    <n v="8"/>
  </r>
  <r>
    <s v="ORD-03175"/>
    <x v="66"/>
    <x v="66"/>
    <s v="CUST40113"/>
    <s v="Arjun Das"/>
    <n v="39"/>
    <s v="Other"/>
    <x v="4"/>
    <s v="Hyderabad"/>
    <x v="5"/>
    <s v="Camera"/>
    <n v="5"/>
    <n v="11373.83"/>
    <n v="7.0000000000000007E-2"/>
    <n v="67236.759999999995"/>
    <n v="8643.41"/>
    <n v="51.2"/>
    <s v="UPI"/>
    <x v="3"/>
    <b v="0"/>
    <x v="2"/>
    <n v="7"/>
  </r>
  <r>
    <s v="ORD-00202"/>
    <x v="220"/>
    <x v="220"/>
    <s v="CUST45698"/>
    <s v="Aarav Singh"/>
    <n v="35"/>
    <s v="Other"/>
    <x v="3"/>
    <s v="Guwahati"/>
    <x v="5"/>
    <s v="Camera"/>
    <n v="1"/>
    <n v="61584.97"/>
    <n v="0.16"/>
    <n v="53607.17"/>
    <n v="4451.9799999999996"/>
    <n v="62.25"/>
    <s v="Net Banking"/>
    <x v="0"/>
    <b v="1"/>
    <x v="0"/>
    <n v="6"/>
  </r>
  <r>
    <s v="ORD-00112"/>
    <x v="895"/>
    <x v="895"/>
    <s v="CUST64249"/>
    <s v="Kavya Kumar"/>
    <n v="31"/>
    <s v="Female"/>
    <x v="4"/>
    <s v="Hyderabad"/>
    <x v="3"/>
    <s v="Comic Book"/>
    <n v="4"/>
    <n v="514.80999999999995"/>
    <n v="0.28999999999999998"/>
    <n v="1258.03"/>
    <n v="506.71"/>
    <n v="90.95"/>
    <s v="Net Banking"/>
    <x v="0"/>
    <b v="1"/>
    <x v="0"/>
    <n v="8"/>
  </r>
  <r>
    <s v="ORD-02325"/>
    <x v="896"/>
    <x v="896"/>
    <s v="CUST90684"/>
    <s v="Nisha Kumar"/>
    <n v="33"/>
    <s v="Other"/>
    <x v="3"/>
    <s v="Guwahati"/>
    <x v="2"/>
    <s v="Wardrobe"/>
    <n v="5"/>
    <n v="3653.99"/>
    <n v="0.28000000000000003"/>
    <n v="2715.55"/>
    <n v="857.67"/>
    <n v="97.14"/>
    <s v="Cash on Delivery"/>
    <x v="2"/>
    <b v="0"/>
    <x v="1"/>
    <n v="8"/>
  </r>
  <r>
    <s v="ORD-03914"/>
    <x v="897"/>
    <x v="897"/>
    <s v="CUST37605"/>
    <s v="Priya Gupta"/>
    <n v="41"/>
    <s v="Female"/>
    <x v="3"/>
    <s v="Bhubaneswar"/>
    <x v="3"/>
    <s v="Self-Help Book"/>
    <n v="9"/>
    <n v="252.57"/>
    <n v="0.22"/>
    <n v="3014.3"/>
    <n v="1540.74"/>
    <n v="68.92"/>
    <s v="Net Banking"/>
    <x v="1"/>
    <b v="0"/>
    <x v="1"/>
    <n v="4"/>
  </r>
  <r>
    <s v="ORD-02035"/>
    <x v="898"/>
    <x v="898"/>
    <s v="CUST24912"/>
    <s v="Vikram Chatterjee"/>
    <n v="20"/>
    <s v="Female"/>
    <x v="4"/>
    <s v="Kochi"/>
    <x v="0"/>
    <s v="Flour"/>
    <n v="3"/>
    <n v="328.35"/>
    <n v="0.36"/>
    <n v="955.25"/>
    <n v="66.63"/>
    <n v="38.42"/>
    <s v="Credit Card"/>
    <x v="4"/>
    <b v="1"/>
    <x v="0"/>
    <n v="3"/>
  </r>
  <r>
    <s v="ORD-03656"/>
    <x v="899"/>
    <x v="899"/>
    <s v="CUST68462"/>
    <s v="Arjun Verma"/>
    <n v="22"/>
    <s v="Male"/>
    <x v="2"/>
    <s v="Ludhiana"/>
    <x v="0"/>
    <s v="Sugar"/>
    <n v="7"/>
    <n v="113.61"/>
    <n v="0.03"/>
    <n v="1502.19"/>
    <n v="129.15"/>
    <n v="65.959999999999994"/>
    <s v="Debit Card"/>
    <x v="1"/>
    <b v="0"/>
    <x v="1"/>
    <n v="4"/>
  </r>
  <r>
    <s v="ORD-01623"/>
    <x v="656"/>
    <x v="656"/>
    <s v="CUST05179"/>
    <s v="Priya Mehta"/>
    <n v="31"/>
    <s v="Female"/>
    <x v="2"/>
    <s v="Amritsar"/>
    <x v="6"/>
    <s v="Yoga Mat"/>
    <n v="3"/>
    <n v="11948.26"/>
    <n v="0.37"/>
    <n v="16327.78"/>
    <n v="3332.82"/>
    <n v="46.24"/>
    <s v="EMI"/>
    <x v="4"/>
    <b v="1"/>
    <x v="0"/>
    <n v="9"/>
  </r>
  <r>
    <s v="ORD-01251"/>
    <x v="712"/>
    <x v="712"/>
    <s v="CUST66419"/>
    <s v="Meera Shah"/>
    <n v="54"/>
    <s v="Female"/>
    <x v="2"/>
    <s v="Chandigarh"/>
    <x v="3"/>
    <s v="Fiction Novel"/>
    <n v="3"/>
    <n v="454.35"/>
    <n v="0.08"/>
    <n v="1480.71"/>
    <n v="662.33"/>
    <n v="36.880000000000003"/>
    <s v="Net Banking"/>
    <x v="1"/>
    <b v="0"/>
    <x v="1"/>
    <n v="1"/>
  </r>
  <r>
    <s v="ORD-01522"/>
    <x v="340"/>
    <x v="340"/>
    <s v="CUST98765"/>
    <s v="Priya Verma"/>
    <n v="25"/>
    <s v="Male"/>
    <x v="4"/>
    <s v="Chennai"/>
    <x v="1"/>
    <s v="Shampoo"/>
    <n v="9"/>
    <n v="1726.96"/>
    <n v="0.23"/>
    <n v="8215.07"/>
    <n v="3795.6"/>
    <n v="92.14"/>
    <s v="EMI"/>
    <x v="0"/>
    <b v="0"/>
    <x v="1"/>
    <n v="5"/>
  </r>
  <r>
    <s v="ORD-00089"/>
    <x v="620"/>
    <x v="620"/>
    <s v="CUST25767"/>
    <s v="Nisha Sharma"/>
    <n v="28"/>
    <s v="Female"/>
    <x v="0"/>
    <s v="Nagpur"/>
    <x v="3"/>
    <s v="Self-Help Book"/>
    <n v="8"/>
    <n v="466.79"/>
    <n v="0.13"/>
    <n v="2614.7399999999998"/>
    <n v="1118.74"/>
    <n v="75.510000000000005"/>
    <s v="Net Banking"/>
    <x v="4"/>
    <b v="1"/>
    <x v="0"/>
    <n v="10"/>
  </r>
  <r>
    <s v="ORD-00531"/>
    <x v="190"/>
    <x v="190"/>
    <s v="CUST56061"/>
    <s v="Aarav Iyer"/>
    <n v="33"/>
    <s v="Female"/>
    <x v="0"/>
    <s v="Raipur"/>
    <x v="2"/>
    <s v="Bookshelf"/>
    <n v="1"/>
    <n v="11106.33"/>
    <n v="0.21"/>
    <n v="9670.5300000000007"/>
    <n v="3146.8"/>
    <n v="21.75"/>
    <s v="EMI"/>
    <x v="0"/>
    <b v="0"/>
    <x v="1"/>
    <n v="4"/>
  </r>
  <r>
    <s v="ORD-01371"/>
    <x v="900"/>
    <x v="900"/>
    <s v="CUST72149"/>
    <s v="Aarav Patel"/>
    <n v="47"/>
    <s v="Other"/>
    <x v="4"/>
    <s v="Chennai"/>
    <x v="1"/>
    <s v="Perfume"/>
    <n v="6"/>
    <n v="1969.17"/>
    <n v="0.13"/>
    <n v="11841.76"/>
    <n v="3753.53"/>
    <n v="62.19"/>
    <s v="Net Banking"/>
    <x v="2"/>
    <b v="0"/>
    <x v="1"/>
    <n v="7"/>
  </r>
  <r>
    <s v="ORD-01934"/>
    <x v="901"/>
    <x v="901"/>
    <s v="CUST13888"/>
    <s v="Nikhil Verma"/>
    <n v="14"/>
    <s v="Female"/>
    <x v="3"/>
    <s v="Bhubaneswar"/>
    <x v="4"/>
    <s v="Dress"/>
    <n v="1"/>
    <n v="487.63"/>
    <n v="0.12"/>
    <n v="645.70000000000005"/>
    <n v="264.52"/>
    <n v="80.56"/>
    <s v="Net Banking"/>
    <x v="0"/>
    <b v="0"/>
    <x v="4"/>
    <n v="6"/>
  </r>
  <r>
    <s v="ORD-03061"/>
    <x v="690"/>
    <x v="690"/>
    <s v="CUST33333"/>
    <s v="Meera Nair"/>
    <n v="43"/>
    <s v="Other"/>
    <x v="1"/>
    <s v="Surat"/>
    <x v="6"/>
    <s v="Tennis Racket"/>
    <n v="1"/>
    <n v="8555.4"/>
    <n v="0.13"/>
    <n v="9667.42"/>
    <n v="2139.7800000000002"/>
    <n v="51.56"/>
    <s v="Net Banking"/>
    <x v="2"/>
    <b v="0"/>
    <x v="1"/>
    <n v="5"/>
  </r>
  <r>
    <s v="ORD-01179"/>
    <x v="902"/>
    <x v="902"/>
    <s v="CUST89762"/>
    <s v="Rahul Verma"/>
    <n v="12"/>
    <s v="Other"/>
    <x v="0"/>
    <s v="Indore"/>
    <x v="5"/>
    <s v="Tablet"/>
    <n v="2"/>
    <n v="69650.179999999993"/>
    <n v="0.37"/>
    <n v="121912.78"/>
    <n v="16231.29"/>
    <n v="72.14"/>
    <s v="UPI"/>
    <x v="2"/>
    <b v="0"/>
    <x v="4"/>
    <n v="1"/>
  </r>
  <r>
    <s v="ORD-03799"/>
    <x v="606"/>
    <x v="606"/>
    <s v="CUST47925"/>
    <s v="Shreya Bose"/>
    <n v="32"/>
    <s v="Other"/>
    <x v="4"/>
    <s v="Chennai"/>
    <x v="5"/>
    <s v="Laptop"/>
    <n v="6"/>
    <n v="33794.81"/>
    <n v="0.2"/>
    <n v="278998.42"/>
    <n v="47680.83"/>
    <n v="53.59"/>
    <s v="Credit Card"/>
    <x v="1"/>
    <b v="0"/>
    <x v="1"/>
    <n v="6"/>
  </r>
  <r>
    <s v="ORD-00794"/>
    <x v="112"/>
    <x v="112"/>
    <s v="CUST66490"/>
    <s v="Arjun Singh"/>
    <n v="41"/>
    <s v="Other"/>
    <x v="4"/>
    <s v="Hyderabad"/>
    <x v="6"/>
    <s v="Cricket Bat"/>
    <n v="3"/>
    <n v="7407.34"/>
    <n v="0.1"/>
    <n v="11320.18"/>
    <n v="2114.9"/>
    <n v="49.05"/>
    <s v="Debit Card"/>
    <x v="1"/>
    <b v="0"/>
    <x v="1"/>
    <n v="7"/>
  </r>
  <r>
    <s v="ORD-01291"/>
    <x v="903"/>
    <x v="903"/>
    <s v="CUST96686"/>
    <s v="Priya Patel"/>
    <n v="32"/>
    <s v="Other"/>
    <x v="2"/>
    <s v="Ludhiana"/>
    <x v="1"/>
    <s v="Face Cream"/>
    <n v="8"/>
    <n v="460.54"/>
    <n v="0.18"/>
    <n v="4504.96"/>
    <n v="2168.77"/>
    <n v="52.4"/>
    <s v="Credit Card"/>
    <x v="3"/>
    <b v="0"/>
    <x v="1"/>
    <n v="2"/>
  </r>
  <r>
    <s v="ORD-02252"/>
    <x v="578"/>
    <x v="578"/>
    <s v="CUST72140"/>
    <s v="Ritu Nair"/>
    <n v="60"/>
    <s v="Male"/>
    <x v="3"/>
    <s v="Guwahati"/>
    <x v="0"/>
    <s v="Rice (5kg)"/>
    <n v="6"/>
    <n v="415.02"/>
    <n v="0.39"/>
    <n v="1807.15"/>
    <n v="138.97"/>
    <n v="100.53"/>
    <s v="Credit Card"/>
    <x v="4"/>
    <b v="0"/>
    <x v="3"/>
    <n v="3"/>
  </r>
  <r>
    <s v="ORD-00042"/>
    <x v="904"/>
    <x v="904"/>
    <s v="CUST56144"/>
    <s v="Shreya Singh"/>
    <n v="29"/>
    <s v="Male"/>
    <x v="3"/>
    <s v="Patna"/>
    <x v="1"/>
    <s v="Shampoo"/>
    <n v="4"/>
    <n v="487.69"/>
    <n v="0.27"/>
    <n v="999.41"/>
    <n v="440.68"/>
    <n v="86.54"/>
    <s v="Credit Card"/>
    <x v="0"/>
    <b v="0"/>
    <x v="1"/>
    <n v="6"/>
  </r>
  <r>
    <s v="ORD-02881"/>
    <x v="601"/>
    <x v="601"/>
    <s v="CUST20568"/>
    <s v="Sunita Pillai"/>
    <n v="30"/>
    <s v="Female"/>
    <x v="1"/>
    <s v="Pune"/>
    <x v="4"/>
    <s v="Jeans"/>
    <n v="9"/>
    <n v="378.42"/>
    <n v="0"/>
    <n v="4977.33"/>
    <n v="1570.94"/>
    <n v="43.44"/>
    <s v="Cash on Delivery"/>
    <x v="2"/>
    <b v="0"/>
    <x v="1"/>
    <n v="8"/>
  </r>
  <r>
    <s v="ORD-01232"/>
    <x v="236"/>
    <x v="236"/>
    <s v="CUST30852"/>
    <s v="Pooja Mishra"/>
    <n v="50"/>
    <s v="Male"/>
    <x v="2"/>
    <s v="Chandigarh"/>
    <x v="5"/>
    <s v="Camera"/>
    <n v="10"/>
    <n v="73418.09"/>
    <n v="0.12"/>
    <n v="852478.05"/>
    <n v="100234.13"/>
    <n v="47.78"/>
    <s v="UPI"/>
    <x v="0"/>
    <b v="0"/>
    <x v="1"/>
    <n v="1"/>
  </r>
  <r>
    <s v="ORD-02822"/>
    <x v="504"/>
    <x v="504"/>
    <s v="CUST92489"/>
    <s v="Vikram Kumar"/>
    <n v="29"/>
    <s v="Female"/>
    <x v="2"/>
    <s v="Ludhiana"/>
    <x v="6"/>
    <s v="Cricket Bat"/>
    <n v="4"/>
    <n v="3625.13"/>
    <n v="0.28000000000000003"/>
    <n v="14299.68"/>
    <n v="4907.54"/>
    <n v="52.29"/>
    <s v="Credit Card"/>
    <x v="4"/>
    <b v="0"/>
    <x v="1"/>
    <n v="8"/>
  </r>
  <r>
    <s v="ORD-03751"/>
    <x v="451"/>
    <x v="451"/>
    <s v="CUST80011"/>
    <s v="Rahul Chatterjee"/>
    <n v="35"/>
    <s v="Male"/>
    <x v="0"/>
    <s v="Raipur"/>
    <x v="5"/>
    <s v="Smartphone"/>
    <n v="8"/>
    <n v="67283.39"/>
    <n v="0.11"/>
    <n v="832824.46"/>
    <n v="136279.91"/>
    <n v="61.27"/>
    <s v="Credit Card"/>
    <x v="2"/>
    <b v="0"/>
    <x v="1"/>
    <n v="4"/>
  </r>
  <r>
    <s v="ORD-01046"/>
    <x v="905"/>
    <x v="905"/>
    <s v="CUST00053"/>
    <s v="Priya Iyer"/>
    <n v="26"/>
    <s v="Male"/>
    <x v="4"/>
    <s v="Bangalore"/>
    <x v="3"/>
    <s v="Fiction Novel"/>
    <n v="7"/>
    <n v="845.12"/>
    <n v="0.31"/>
    <n v="4942.58"/>
    <n v="2834.57"/>
    <n v="62.59"/>
    <s v="EMI"/>
    <x v="2"/>
    <b v="0"/>
    <x v="4"/>
    <n v="6"/>
  </r>
  <r>
    <s v="ORD-01873"/>
    <x v="235"/>
    <x v="235"/>
    <s v="CUST87809"/>
    <s v="Kavya Das"/>
    <n v="32"/>
    <s v="Male"/>
    <x v="2"/>
    <s v="Chandigarh"/>
    <x v="6"/>
    <s v="Cricket Bat"/>
    <n v="3"/>
    <n v="12278.87"/>
    <n v="7.0000000000000007E-2"/>
    <n v="50117.69"/>
    <n v="7600.27"/>
    <n v="55.32"/>
    <s v="Debit Card"/>
    <x v="1"/>
    <b v="0"/>
    <x v="1"/>
    <n v="2"/>
  </r>
  <r>
    <s v="ORD-01680"/>
    <x v="906"/>
    <x v="906"/>
    <s v="CUST80666"/>
    <s v="Priya Shah"/>
    <n v="21"/>
    <s v="Female"/>
    <x v="3"/>
    <s v="Bhubaneswar"/>
    <x v="2"/>
    <s v="Wardrobe"/>
    <n v="6"/>
    <n v="21414.6"/>
    <n v="0.08"/>
    <n v="101055.44"/>
    <n v="14653.33"/>
    <n v="77.510000000000005"/>
    <s v="Cash on Delivery"/>
    <x v="2"/>
    <b v="0"/>
    <x v="1"/>
    <n v="8"/>
  </r>
  <r>
    <s v="ORD-02521"/>
    <x v="144"/>
    <x v="144"/>
    <s v="CUST93392"/>
    <s v="Deepa Bhat"/>
    <n v="26"/>
    <s v="Male"/>
    <x v="1"/>
    <s v="Mumbai"/>
    <x v="0"/>
    <s v="Dal (1kg)"/>
    <n v="9"/>
    <n v="337.76"/>
    <n v="0.24"/>
    <n v="1704.17"/>
    <n v="132.99"/>
    <n v="68.459999999999994"/>
    <s v="UPI"/>
    <x v="0"/>
    <b v="1"/>
    <x v="0"/>
    <n v="5"/>
  </r>
  <r>
    <s v="ORD-02666"/>
    <x v="273"/>
    <x v="273"/>
    <s v="CUST26826"/>
    <s v="Meera Patel"/>
    <n v="37"/>
    <s v="Female"/>
    <x v="3"/>
    <s v="Bhubaneswar"/>
    <x v="1"/>
    <s v="Hair Oil"/>
    <n v="3"/>
    <n v="1235.94"/>
    <n v="0.23"/>
    <n v="3443.74"/>
    <n v="1621.5"/>
    <n v="77.11"/>
    <s v="EMI"/>
    <x v="3"/>
    <b v="0"/>
    <x v="1"/>
    <n v="2"/>
  </r>
  <r>
    <s v="ORD-02924"/>
    <x v="449"/>
    <x v="449"/>
    <s v="CUST46273"/>
    <s v="Sanjay Gupta"/>
    <n v="19"/>
    <s v="Male"/>
    <x v="2"/>
    <s v="Ludhiana"/>
    <x v="5"/>
    <s v="Smartphone"/>
    <n v="2"/>
    <n v="20357.2"/>
    <n v="0.01"/>
    <n v="56864.2"/>
    <n v="6315.84"/>
    <n v="37.020000000000003"/>
    <s v="Credit Card"/>
    <x v="2"/>
    <b v="0"/>
    <x v="3"/>
    <n v="5"/>
  </r>
  <r>
    <s v="ORD-01692"/>
    <x v="231"/>
    <x v="231"/>
    <s v="CUST69225"/>
    <s v="Sanjay Bhat"/>
    <n v="18"/>
    <s v="Female"/>
    <x v="1"/>
    <s v="Pune"/>
    <x v="1"/>
    <s v="Face Cream"/>
    <n v="7"/>
    <n v="2018.15"/>
    <n v="0.11"/>
    <n v="10594.06"/>
    <n v="5708.86"/>
    <n v="69.44"/>
    <s v="Net Banking"/>
    <x v="3"/>
    <b v="0"/>
    <x v="2"/>
    <n v="1"/>
  </r>
  <r>
    <s v="ORD-01325"/>
    <x v="907"/>
    <x v="907"/>
    <s v="CUST05247"/>
    <s v="Sunita Singh"/>
    <n v="27"/>
    <s v="Other"/>
    <x v="3"/>
    <s v="Guwahati"/>
    <x v="2"/>
    <s v="Wardrobe"/>
    <n v="7"/>
    <n v="7638.75"/>
    <n v="0.3"/>
    <n v="41709.71"/>
    <n v="10853.15"/>
    <n v="79"/>
    <s v="Credit Card"/>
    <x v="1"/>
    <b v="0"/>
    <x v="3"/>
    <n v="8"/>
  </r>
  <r>
    <s v="ORD-01455"/>
    <x v="908"/>
    <x v="908"/>
    <s v="CUST02169"/>
    <s v="Amit Mehta"/>
    <n v="25"/>
    <s v="Male"/>
    <x v="1"/>
    <s v="Surat"/>
    <x v="3"/>
    <s v="Fiction Novel"/>
    <n v="1"/>
    <n v="1487.02"/>
    <n v="0.37"/>
    <n v="808.84"/>
    <n v="327.36"/>
    <n v="67.16"/>
    <s v="EMI"/>
    <x v="0"/>
    <b v="0"/>
    <x v="1"/>
    <n v="8"/>
  </r>
  <r>
    <s v="ORD-02237"/>
    <x v="909"/>
    <x v="909"/>
    <s v="CUST79034"/>
    <s v="Deepa Gupta"/>
    <n v="28"/>
    <s v="Female"/>
    <x v="3"/>
    <s v="Kolkata"/>
    <x v="2"/>
    <s v="Chair"/>
    <n v="10"/>
    <n v="20258.77"/>
    <n v="0.26"/>
    <n v="164321.16"/>
    <n v="44354.41"/>
    <n v="81.28"/>
    <s v="UPI"/>
    <x v="0"/>
    <b v="0"/>
    <x v="1"/>
    <n v="3"/>
  </r>
  <r>
    <s v="ORD-01030"/>
    <x v="155"/>
    <x v="155"/>
    <s v="CUST27078"/>
    <s v="Kavya Singh"/>
    <n v="23"/>
    <s v="Female"/>
    <x v="4"/>
    <s v="Chennai"/>
    <x v="2"/>
    <s v="Chair"/>
    <n v="7"/>
    <n v="15442.1"/>
    <n v="0.15"/>
    <n v="116887.25"/>
    <n v="49080.86"/>
    <n v="60.99"/>
    <s v="UPI"/>
    <x v="3"/>
    <b v="1"/>
    <x v="0"/>
    <n v="1"/>
  </r>
  <r>
    <s v="ORD-04196"/>
    <x v="445"/>
    <x v="445"/>
    <s v="CUST70995"/>
    <s v="Rahul Gupta"/>
    <n v="40"/>
    <s v="Male"/>
    <x v="2"/>
    <s v="Ludhiana"/>
    <x v="5"/>
    <s v="Headphones"/>
    <n v="5"/>
    <n v="8516.83"/>
    <n v="0.34"/>
    <n v="25126"/>
    <n v="3420.94"/>
    <n v="56.78"/>
    <s v="UPI"/>
    <x v="2"/>
    <b v="0"/>
    <x v="1"/>
    <n v="4"/>
  </r>
  <r>
    <s v="ORD-02574"/>
    <x v="910"/>
    <x v="910"/>
    <s v="CUST72214"/>
    <s v="Nisha Nair"/>
    <n v="41"/>
    <s v="Female"/>
    <x v="3"/>
    <s v="Kolkata"/>
    <x v="0"/>
    <s v="Rice (5kg)"/>
    <n v="5"/>
    <n v="462.27"/>
    <n v="0.28999999999999998"/>
    <n v="302.37"/>
    <n v="27.61"/>
    <n v="74.430000000000007"/>
    <s v="EMI"/>
    <x v="2"/>
    <b v="0"/>
    <x v="1"/>
    <n v="6"/>
  </r>
  <r>
    <s v="ORD-03121"/>
    <x v="379"/>
    <x v="379"/>
    <s v="CUST63009"/>
    <s v="Aarav Kapoor"/>
    <n v="26"/>
    <s v="Female"/>
    <x v="3"/>
    <s v="Guwahati"/>
    <x v="4"/>
    <s v="Jeans"/>
    <n v="3"/>
    <n v="2461.4899999999998"/>
    <n v="0.17"/>
    <n v="6972.95"/>
    <n v="2178.64"/>
    <n v="112.99"/>
    <s v="UPI"/>
    <x v="4"/>
    <b v="0"/>
    <x v="1"/>
    <n v="3"/>
  </r>
  <r>
    <s v="ORD-00581"/>
    <x v="472"/>
    <x v="472"/>
    <s v="CUST52841"/>
    <s v="Priya Rao"/>
    <n v="35"/>
    <s v="Female"/>
    <x v="0"/>
    <s v="Bhopal"/>
    <x v="4"/>
    <s v="Jeans"/>
    <n v="8"/>
    <n v="3110.11"/>
    <n v="0.05"/>
    <n v="22849.8"/>
    <n v="7429.85"/>
    <n v="59.8"/>
    <s v="EMI"/>
    <x v="1"/>
    <b v="0"/>
    <x v="1"/>
    <n v="1"/>
  </r>
  <r>
    <s v="ORD-02207"/>
    <x v="911"/>
    <x v="911"/>
    <s v="CUST52808"/>
    <s v="Nisha Kapoor"/>
    <n v="32"/>
    <s v="Female"/>
    <x v="3"/>
    <s v="Bhubaneswar"/>
    <x v="3"/>
    <s v="Comic Book"/>
    <n v="8"/>
    <n v="748.13"/>
    <n v="0.13"/>
    <n v="6986.54"/>
    <n v="2050.35"/>
    <n v="76.680000000000007"/>
    <s v="Debit Card"/>
    <x v="3"/>
    <b v="0"/>
    <x v="1"/>
    <n v="3"/>
  </r>
  <r>
    <s v="ORD-03594"/>
    <x v="912"/>
    <x v="912"/>
    <s v="CUST78597"/>
    <s v="Sanjay Kumar"/>
    <n v="13"/>
    <s v="Other"/>
    <x v="4"/>
    <s v="Kochi"/>
    <x v="5"/>
    <s v="Headphones"/>
    <n v="6"/>
    <n v="70873"/>
    <n v="0.37"/>
    <n v="359836.7"/>
    <n v="42189.66"/>
    <n v="83.88"/>
    <s v="UPI"/>
    <x v="0"/>
    <b v="0"/>
    <x v="1"/>
    <n v="4"/>
  </r>
  <r>
    <s v="ORD-00120"/>
    <x v="913"/>
    <x v="913"/>
    <s v="CUST90788"/>
    <s v="Karan Singh"/>
    <n v="47"/>
    <s v="Other"/>
    <x v="2"/>
    <s v="Ludhiana"/>
    <x v="6"/>
    <s v="Cricket Bat"/>
    <n v="4"/>
    <n v="2203.36"/>
    <n v="0.17"/>
    <n v="7194.38"/>
    <n v="1176.3599999999999"/>
    <n v="73.930000000000007"/>
    <s v="Credit Card"/>
    <x v="4"/>
    <b v="0"/>
    <x v="3"/>
    <n v="1"/>
  </r>
  <r>
    <s v="ORD-01633"/>
    <x v="583"/>
    <x v="583"/>
    <s v="CUST05863"/>
    <s v="Meera Das"/>
    <n v="16"/>
    <s v="Male"/>
    <x v="4"/>
    <s v="Hyderabad"/>
    <x v="6"/>
    <s v="Football"/>
    <n v="2"/>
    <n v="13090.85"/>
    <n v="0.33"/>
    <n v="11935.37"/>
    <n v="2166.2199999999998"/>
    <n v="87.29"/>
    <s v="UPI"/>
    <x v="3"/>
    <b v="0"/>
    <x v="1"/>
    <n v="5"/>
  </r>
  <r>
    <s v="ORD-01647"/>
    <x v="914"/>
    <x v="914"/>
    <s v="CUST89140"/>
    <s v="Aditya Pillai"/>
    <n v="20"/>
    <s v="Male"/>
    <x v="1"/>
    <s v="Surat"/>
    <x v="6"/>
    <s v="Dumbbells"/>
    <n v="5"/>
    <n v="2889.82"/>
    <n v="0.01"/>
    <n v="12487.02"/>
    <n v="2820.46"/>
    <n v="70.260000000000005"/>
    <s v="Credit Card"/>
    <x v="1"/>
    <b v="0"/>
    <x v="1"/>
    <n v="9"/>
  </r>
  <r>
    <s v="ORD-02033"/>
    <x v="915"/>
    <x v="915"/>
    <s v="CUST51814"/>
    <s v="Ritu Kumar"/>
    <n v="38"/>
    <s v="Other"/>
    <x v="3"/>
    <s v="Guwahati"/>
    <x v="6"/>
    <s v="Tennis Racket"/>
    <n v="9"/>
    <n v="12169.11"/>
    <n v="0.1"/>
    <n v="140742.76999999999"/>
    <n v="29276.65"/>
    <n v="63.19"/>
    <s v="Net Banking"/>
    <x v="1"/>
    <b v="0"/>
    <x v="2"/>
    <n v="8"/>
  </r>
  <r>
    <s v="ORD-02302"/>
    <x v="916"/>
    <x v="916"/>
    <s v="CUST57376"/>
    <s v="Aarav Singh"/>
    <n v="30"/>
    <s v="Male"/>
    <x v="0"/>
    <s v="Nagpur"/>
    <x v="4"/>
    <s v="Dress"/>
    <n v="2"/>
    <n v="1047.08"/>
    <n v="0.14000000000000001"/>
    <n v="2238.06"/>
    <n v="854.12"/>
    <n v="49.15"/>
    <s v="Net Banking"/>
    <x v="1"/>
    <b v="0"/>
    <x v="1"/>
    <n v="6"/>
  </r>
  <r>
    <s v="ORD-04136"/>
    <x v="917"/>
    <x v="917"/>
    <s v="CUST52875"/>
    <s v="Shreya Mishra"/>
    <n v="24"/>
    <s v="Female"/>
    <x v="0"/>
    <s v="Bhopal"/>
    <x v="3"/>
    <s v="Self-Help Book"/>
    <n v="2"/>
    <n v="585.20000000000005"/>
    <n v="0.28000000000000003"/>
    <n v="801.85"/>
    <n v="375.39"/>
    <n v="29.42"/>
    <s v="Debit Card"/>
    <x v="4"/>
    <b v="0"/>
    <x v="3"/>
    <n v="2"/>
  </r>
  <r>
    <s v="ORD-01685"/>
    <x v="590"/>
    <x v="590"/>
    <s v="CUST87567"/>
    <s v="Rahul Shah"/>
    <n v="41"/>
    <s v="Other"/>
    <x v="4"/>
    <s v="Kochi"/>
    <x v="1"/>
    <s v="Hair Oil"/>
    <n v="5"/>
    <n v="1126.8900000000001"/>
    <n v="0.3"/>
    <n v="3560.92"/>
    <n v="953.02"/>
    <n v="77.150000000000006"/>
    <s v="EMI"/>
    <x v="2"/>
    <b v="0"/>
    <x v="1"/>
    <n v="3"/>
  </r>
  <r>
    <s v="ORD-00808"/>
    <x v="918"/>
    <x v="918"/>
    <s v="CUST38701"/>
    <s v="Meera Sharma"/>
    <n v="45"/>
    <s v="Female"/>
    <x v="3"/>
    <s v="Kolkata"/>
    <x v="6"/>
    <s v="Tennis Racket"/>
    <n v="4"/>
    <n v="5092.41"/>
    <n v="0.23"/>
    <n v="13542.42"/>
    <n v="3463.99"/>
    <n v="74.84"/>
    <s v="Debit Card"/>
    <x v="2"/>
    <b v="0"/>
    <x v="4"/>
    <n v="9"/>
  </r>
  <r>
    <s v="ORD-02227"/>
    <x v="919"/>
    <x v="919"/>
    <s v="CUST03537"/>
    <s v="Priya Singh"/>
    <n v="27"/>
    <s v="Other"/>
    <x v="3"/>
    <s v="Bhubaneswar"/>
    <x v="6"/>
    <s v="Cricket Bat"/>
    <n v="1"/>
    <n v="5779.22"/>
    <n v="0.31"/>
    <n v="5109.2299999999996"/>
    <n v="997.26"/>
    <n v="61.33"/>
    <s v="Debit Card"/>
    <x v="2"/>
    <b v="1"/>
    <x v="0"/>
    <n v="5"/>
  </r>
  <r>
    <s v="ORD-02880"/>
    <x v="601"/>
    <x v="601"/>
    <s v="CUST70204"/>
    <s v="Shreya Singh"/>
    <n v="55"/>
    <s v="Other"/>
    <x v="0"/>
    <s v="Raipur"/>
    <x v="4"/>
    <s v="Jeans"/>
    <n v="1"/>
    <n v="2361.96"/>
    <n v="0.23"/>
    <n v="2691.37"/>
    <n v="1189.6199999999999"/>
    <n v="62.61"/>
    <s v="Cash on Delivery"/>
    <x v="2"/>
    <b v="0"/>
    <x v="1"/>
    <n v="8"/>
  </r>
  <r>
    <s v="ORD-01460"/>
    <x v="160"/>
    <x v="160"/>
    <s v="CUST92264"/>
    <s v="Nikhil Chatterjee"/>
    <n v="38"/>
    <s v="Female"/>
    <x v="0"/>
    <s v="Bhopal"/>
    <x v="3"/>
    <s v="Self-Help Book"/>
    <n v="4"/>
    <n v="875.51"/>
    <n v="0.3"/>
    <n v="2078.56"/>
    <n v="482.57"/>
    <n v="74.290000000000006"/>
    <s v="Credit Card"/>
    <x v="0"/>
    <b v="0"/>
    <x v="1"/>
    <n v="3"/>
  </r>
  <r>
    <s v="ORD-00068"/>
    <x v="920"/>
    <x v="920"/>
    <s v="CUST52906"/>
    <s v="Rohan Bose"/>
    <n v="22"/>
    <s v="Other"/>
    <x v="2"/>
    <s v="Ludhiana"/>
    <x v="4"/>
    <s v="Kurta"/>
    <n v="9"/>
    <n v="3803.5"/>
    <n v="0.19"/>
    <n v="20906.55"/>
    <n v="4385.49"/>
    <n v="29.15"/>
    <s v="UPI"/>
    <x v="1"/>
    <b v="0"/>
    <x v="1"/>
    <n v="10"/>
  </r>
  <r>
    <s v="ORD-03265"/>
    <x v="617"/>
    <x v="617"/>
    <s v="CUST91791"/>
    <s v="Ananya Kapoor"/>
    <n v="51"/>
    <s v="Other"/>
    <x v="2"/>
    <s v="Chandigarh"/>
    <x v="3"/>
    <s v="Textbook"/>
    <n v="5"/>
    <n v="731.88"/>
    <n v="0.21"/>
    <n v="3284.38"/>
    <n v="1291.32"/>
    <n v="48.81"/>
    <s v="Net Banking"/>
    <x v="4"/>
    <b v="1"/>
    <x v="0"/>
    <n v="10"/>
  </r>
  <r>
    <s v="ORD-01981"/>
    <x v="851"/>
    <x v="851"/>
    <s v="CUST59895"/>
    <s v="Sanjay Rao"/>
    <n v="34"/>
    <s v="Male"/>
    <x v="3"/>
    <s v="Bhubaneswar"/>
    <x v="5"/>
    <s v="Smartwatch"/>
    <n v="10"/>
    <n v="74467.03"/>
    <n v="0.06"/>
    <n v="941142.08"/>
    <n v="81264.87"/>
    <n v="92.07"/>
    <s v="EMI"/>
    <x v="2"/>
    <b v="0"/>
    <x v="1"/>
    <n v="10"/>
  </r>
  <r>
    <s v="ORD-01376"/>
    <x v="741"/>
    <x v="741"/>
    <s v="CUST33017"/>
    <s v="Aarav Pillai"/>
    <n v="56"/>
    <s v="Female"/>
    <x v="3"/>
    <s v="Bhubaneswar"/>
    <x v="4"/>
    <s v="Saree"/>
    <n v="1"/>
    <n v="2237.3200000000002"/>
    <n v="0.36"/>
    <n v="1298.32"/>
    <n v="627.59"/>
    <n v="70.34"/>
    <s v="Net Banking"/>
    <x v="2"/>
    <b v="0"/>
    <x v="3"/>
    <n v="6"/>
  </r>
  <r>
    <s v="ORD-01105"/>
    <x v="841"/>
    <x v="841"/>
    <s v="CUST80204"/>
    <s v="Vikram Patel"/>
    <n v="19"/>
    <s v="Female"/>
    <x v="3"/>
    <s v="Patna"/>
    <x v="2"/>
    <s v="Desk"/>
    <n v="4"/>
    <n v="25489.41"/>
    <n v="0.13"/>
    <n v="131437.57"/>
    <n v="32943.269999999997"/>
    <n v="73.78"/>
    <s v="UPI"/>
    <x v="0"/>
    <b v="1"/>
    <x v="0"/>
    <n v="3"/>
  </r>
  <r>
    <s v="ORD-00113"/>
    <x v="895"/>
    <x v="895"/>
    <s v="CUST93734"/>
    <s v="Meera Das"/>
    <n v="49"/>
    <s v="Other"/>
    <x v="2"/>
    <s v="Chandigarh"/>
    <x v="0"/>
    <s v="Dal (1kg)"/>
    <n v="7"/>
    <n v="315.99"/>
    <n v="0.13"/>
    <n v="1630.03"/>
    <n v="123.62"/>
    <n v="76.22"/>
    <s v="Credit Card"/>
    <x v="4"/>
    <b v="0"/>
    <x v="1"/>
    <n v="4"/>
  </r>
  <r>
    <s v="ORD-03368"/>
    <x v="136"/>
    <x v="136"/>
    <s v="CUST21747"/>
    <s v="Kavya Shah"/>
    <n v="19"/>
    <s v="Female"/>
    <x v="4"/>
    <s v="Kochi"/>
    <x v="3"/>
    <s v="Cook Book"/>
    <n v="8"/>
    <n v="221.14"/>
    <n v="0.38"/>
    <n v="1030.55"/>
    <n v="527.82000000000005"/>
    <n v="92"/>
    <s v="Net Banking"/>
    <x v="2"/>
    <b v="0"/>
    <x v="1"/>
    <n v="8"/>
  </r>
  <r>
    <s v="ORD-01783"/>
    <x v="371"/>
    <x v="371"/>
    <s v="CUST27111"/>
    <s v="Rohan Gupta"/>
    <n v="37"/>
    <s v="Female"/>
    <x v="1"/>
    <s v="Ahmedabad"/>
    <x v="0"/>
    <s v="Flour"/>
    <n v="5"/>
    <n v="86.9"/>
    <n v="0.34"/>
    <n v="357.63"/>
    <n v="31.6"/>
    <n v="52.67"/>
    <s v="Net Banking"/>
    <x v="2"/>
    <b v="0"/>
    <x v="1"/>
    <n v="2"/>
  </r>
  <r>
    <s v="ORD-02280"/>
    <x v="921"/>
    <x v="921"/>
    <s v="CUST85697"/>
    <s v="Nisha Kumar"/>
    <n v="38"/>
    <s v="Male"/>
    <x v="4"/>
    <s v="Hyderabad"/>
    <x v="2"/>
    <s v="Chair"/>
    <n v="5"/>
    <n v="22143.81"/>
    <n v="0.12"/>
    <n v="118422.68"/>
    <n v="31149.72"/>
    <n v="53.5"/>
    <s v="EMI"/>
    <x v="3"/>
    <b v="1"/>
    <x v="0"/>
    <n v="8"/>
  </r>
  <r>
    <s v="ORD-03216"/>
    <x v="321"/>
    <x v="321"/>
    <s v="CUST32134"/>
    <s v="Kavya Chatterjee"/>
    <n v="33"/>
    <s v="Male"/>
    <x v="1"/>
    <s v="Pune"/>
    <x v="1"/>
    <s v="Lipstick"/>
    <n v="5"/>
    <n v="313.72000000000003"/>
    <n v="0.26"/>
    <n v="1195.99"/>
    <n v="468.82"/>
    <n v="41.27"/>
    <s v="Net Banking"/>
    <x v="4"/>
    <b v="1"/>
    <x v="0"/>
    <n v="8"/>
  </r>
  <r>
    <s v="ORD-01898"/>
    <x v="585"/>
    <x v="585"/>
    <s v="CUST93402"/>
    <s v="Sanjay Joshi"/>
    <n v="37"/>
    <s v="Female"/>
    <x v="3"/>
    <s v="Bhubaneswar"/>
    <x v="0"/>
    <s v="Rice (5kg)"/>
    <n v="10"/>
    <n v="64.44"/>
    <n v="0.04"/>
    <n v="923.93"/>
    <n v="67.39"/>
    <n v="69.3"/>
    <s v="UPI"/>
    <x v="0"/>
    <b v="1"/>
    <x v="0"/>
    <n v="2"/>
  </r>
  <r>
    <s v="ORD-00988"/>
    <x v="922"/>
    <x v="922"/>
    <s v="CUST03932"/>
    <s v="Arjun Sharma"/>
    <n v="55"/>
    <s v="Other"/>
    <x v="4"/>
    <s v="Bangalore"/>
    <x v="0"/>
    <s v="Sugar"/>
    <n v="3"/>
    <n v="211.44"/>
    <n v="0.27"/>
    <n v="561.91999999999996"/>
    <n v="17.100000000000001"/>
    <n v="58.35"/>
    <s v="UPI"/>
    <x v="4"/>
    <b v="1"/>
    <x v="0"/>
    <n v="8"/>
  </r>
  <r>
    <s v="ORD-03593"/>
    <x v="912"/>
    <x v="912"/>
    <s v="CUST55992"/>
    <s v="Aarav Mehta"/>
    <n v="26"/>
    <s v="Other"/>
    <x v="0"/>
    <s v="Raipur"/>
    <x v="0"/>
    <s v="Cooking Oil"/>
    <n v="2"/>
    <n v="426.88"/>
    <n v="0.22"/>
    <n v="1081.17"/>
    <n v="85.91"/>
    <n v="71.23"/>
    <s v="Cash on Delivery"/>
    <x v="0"/>
    <b v="0"/>
    <x v="1"/>
    <n v="8"/>
  </r>
  <r>
    <s v="ORD-04132"/>
    <x v="691"/>
    <x v="691"/>
    <s v="CUST70066"/>
    <s v="Ritu Rao"/>
    <n v="34"/>
    <s v="Male"/>
    <x v="2"/>
    <s v="Amritsar"/>
    <x v="0"/>
    <s v="Dal (1kg)"/>
    <n v="5"/>
    <n v="64.930000000000007"/>
    <n v="0.31"/>
    <n v="43.37"/>
    <n v="2.91"/>
    <n v="55.14"/>
    <s v="Credit Card"/>
    <x v="2"/>
    <b v="0"/>
    <x v="4"/>
    <n v="3"/>
  </r>
  <r>
    <s v="ORD-02551"/>
    <x v="263"/>
    <x v="263"/>
    <s v="CUST18241"/>
    <s v="Nisha Kapoor"/>
    <n v="54"/>
    <s v="Female"/>
    <x v="0"/>
    <s v="Bhopal"/>
    <x v="6"/>
    <s v="Yoga Mat"/>
    <n v="8"/>
    <n v="7866.66"/>
    <n v="0.28000000000000003"/>
    <n v="36459.410000000003"/>
    <n v="9536.2099999999991"/>
    <n v="48.3"/>
    <s v="Net Banking"/>
    <x v="2"/>
    <b v="0"/>
    <x v="3"/>
    <n v="2"/>
  </r>
  <r>
    <s v="ORD-01050"/>
    <x v="48"/>
    <x v="48"/>
    <s v="CUST80824"/>
    <s v="Arjun Mehta"/>
    <n v="32"/>
    <s v="Female"/>
    <x v="1"/>
    <s v="Mumbai"/>
    <x v="0"/>
    <s v="Tea"/>
    <n v="8"/>
    <n v="376.57"/>
    <n v="0.18"/>
    <n v="3472.2"/>
    <n v="314.20999999999998"/>
    <n v="52.43"/>
    <s v="UPI"/>
    <x v="0"/>
    <b v="0"/>
    <x v="1"/>
    <n v="6"/>
  </r>
  <r>
    <s v="ORD-03839"/>
    <x v="241"/>
    <x v="241"/>
    <s v="CUST67708"/>
    <s v="Aarav Pillai"/>
    <n v="29"/>
    <s v="Male"/>
    <x v="4"/>
    <s v="Hyderabad"/>
    <x v="1"/>
    <s v="Sunscreen"/>
    <n v="9"/>
    <n v="2362.56"/>
    <n v="0.24"/>
    <n v="27141.72"/>
    <n v="10738.54"/>
    <n v="78.73"/>
    <s v="Net Banking"/>
    <x v="2"/>
    <b v="0"/>
    <x v="1"/>
    <n v="2"/>
  </r>
  <r>
    <s v="ORD-03826"/>
    <x v="798"/>
    <x v="798"/>
    <s v="CUST11947"/>
    <s v="Priya Chatterjee"/>
    <n v="34"/>
    <s v="Male"/>
    <x v="2"/>
    <s v="Chandigarh"/>
    <x v="2"/>
    <s v="Wardrobe"/>
    <n v="8"/>
    <n v="26461.22"/>
    <n v="0.33"/>
    <n v="222317.82"/>
    <n v="66500.31"/>
    <n v="67.8"/>
    <s v="Debit Card"/>
    <x v="0"/>
    <b v="0"/>
    <x v="1"/>
    <n v="7"/>
  </r>
  <r>
    <s v="ORD-04131"/>
    <x v="923"/>
    <x v="923"/>
    <s v="CUST27632"/>
    <s v="Pooja Kumar"/>
    <n v="24"/>
    <s v="Female"/>
    <x v="2"/>
    <s v="Ludhiana"/>
    <x v="4"/>
    <s v="Kurta"/>
    <n v="1"/>
    <n v="3420.38"/>
    <n v="0.01"/>
    <n v="3473.11"/>
    <n v="1562.14"/>
    <n v="63.61"/>
    <s v="Debit Card"/>
    <x v="0"/>
    <b v="0"/>
    <x v="1"/>
    <n v="4"/>
  </r>
  <r>
    <s v="ORD-02794"/>
    <x v="924"/>
    <x v="924"/>
    <s v="CUST50448"/>
    <s v="Sanjay Joshi"/>
    <n v="40"/>
    <s v="Other"/>
    <x v="2"/>
    <s v="Chandigarh"/>
    <x v="3"/>
    <s v="Cook Book"/>
    <n v="5"/>
    <n v="375.59"/>
    <n v="7.0000000000000007E-2"/>
    <n v="2462.15"/>
    <n v="759.54"/>
    <n v="86.48"/>
    <s v="Debit Card"/>
    <x v="2"/>
    <b v="0"/>
    <x v="1"/>
    <n v="6"/>
  </r>
  <r>
    <s v="ORD-01822"/>
    <x v="261"/>
    <x v="261"/>
    <s v="CUST25475"/>
    <s v="Kavya Pillai"/>
    <n v="54"/>
    <s v="Female"/>
    <x v="3"/>
    <s v="Bhubaneswar"/>
    <x v="4"/>
    <s v="Jacket"/>
    <n v="8"/>
    <n v="3480.42"/>
    <n v="0.26"/>
    <n v="26432.66"/>
    <n v="9634.6200000000008"/>
    <n v="82.01"/>
    <s v="EMI"/>
    <x v="3"/>
    <b v="1"/>
    <x v="0"/>
    <n v="10"/>
  </r>
  <r>
    <s v="ORD-02486"/>
    <x v="925"/>
    <x v="925"/>
    <s v="CUST08668"/>
    <s v="Ritu Reddy"/>
    <n v="27"/>
    <s v="Female"/>
    <x v="4"/>
    <s v="Bangalore"/>
    <x v="5"/>
    <s v="Headphones"/>
    <n v="10"/>
    <n v="27390.35"/>
    <n v="0.14000000000000001"/>
    <n v="206094.85"/>
    <n v="28830.39"/>
    <n v="84.68"/>
    <s v="UPI"/>
    <x v="0"/>
    <b v="1"/>
    <x v="0"/>
    <n v="10"/>
  </r>
  <r>
    <s v="ORD-03654"/>
    <x v="839"/>
    <x v="839"/>
    <s v="CUST00096"/>
    <s v="Ritu Bose"/>
    <n v="41"/>
    <s v="Male"/>
    <x v="0"/>
    <s v="Raipur"/>
    <x v="0"/>
    <s v="Flour"/>
    <n v="1"/>
    <n v="429.16"/>
    <n v="0.06"/>
    <n v="614.69000000000005"/>
    <n v="40.82"/>
    <n v="38.15"/>
    <s v="Cash on Delivery"/>
    <x v="3"/>
    <b v="0"/>
    <x v="1"/>
    <n v="7"/>
  </r>
  <r>
    <s v="ORD-02789"/>
    <x v="926"/>
    <x v="926"/>
    <s v="CUST60012"/>
    <s v="Shreya Gupta"/>
    <n v="20"/>
    <s v="Male"/>
    <x v="0"/>
    <s v="Bhopal"/>
    <x v="3"/>
    <s v="Textbook"/>
    <n v="7"/>
    <n v="714.91"/>
    <n v="0.34"/>
    <n v="5029.55"/>
    <n v="1690.54"/>
    <n v="56.73"/>
    <s v="Credit Card"/>
    <x v="0"/>
    <b v="0"/>
    <x v="1"/>
    <n v="8"/>
  </r>
  <r>
    <s v="ORD-02310"/>
    <x v="927"/>
    <x v="927"/>
    <s v="CUST33052"/>
    <s v="Sunita Bhat"/>
    <n v="32"/>
    <s v="Other"/>
    <x v="2"/>
    <s v="Amritsar"/>
    <x v="1"/>
    <s v="Hair Oil"/>
    <n v="8"/>
    <n v="963.22"/>
    <n v="0.23"/>
    <n v="5534.19"/>
    <n v="2484.8000000000002"/>
    <n v="60.98"/>
    <s v="EMI"/>
    <x v="0"/>
    <b v="0"/>
    <x v="1"/>
    <n v="3"/>
  </r>
  <r>
    <s v="ORD-03019"/>
    <x v="928"/>
    <x v="928"/>
    <s v="CUST46142"/>
    <s v="Nisha Mehta"/>
    <n v="30"/>
    <s v="Other"/>
    <x v="1"/>
    <s v="Pune"/>
    <x v="4"/>
    <s v="Kurta"/>
    <n v="2"/>
    <n v="1744.92"/>
    <n v="0.39"/>
    <n v="3236.74"/>
    <n v="1198.8399999999999"/>
    <n v="44.94"/>
    <s v="Credit Card"/>
    <x v="0"/>
    <b v="1"/>
    <x v="0"/>
    <n v="7"/>
  </r>
  <r>
    <s v="ORD-02018"/>
    <x v="843"/>
    <x v="843"/>
    <s v="CUST30360"/>
    <s v="Deepa Patel"/>
    <n v="26"/>
    <s v="Female"/>
    <x v="3"/>
    <s v="Kolkata"/>
    <x v="2"/>
    <s v="Chair"/>
    <n v="7"/>
    <n v="27994.03"/>
    <n v="0.19"/>
    <n v="268698.01"/>
    <n v="53596.61"/>
    <n v="69.11"/>
    <s v="Cash on Delivery"/>
    <x v="0"/>
    <b v="0"/>
    <x v="3"/>
    <n v="2"/>
  </r>
  <r>
    <s v="ORD-04165"/>
    <x v="786"/>
    <x v="786"/>
    <s v="CUST82149"/>
    <s v="Nisha Verma"/>
    <n v="38"/>
    <s v="Male"/>
    <x v="3"/>
    <s v="Bhubaneswar"/>
    <x v="5"/>
    <s v="Smartwatch"/>
    <n v="4"/>
    <n v="62134.64"/>
    <n v="0.31"/>
    <n v="151708.44"/>
    <n v="17375.7"/>
    <n v="66.2"/>
    <s v="Net Banking"/>
    <x v="0"/>
    <b v="0"/>
    <x v="1"/>
    <n v="1"/>
  </r>
  <r>
    <s v="ORD-02728"/>
    <x v="929"/>
    <x v="929"/>
    <s v="CUST26931"/>
    <s v="Shreya Shah"/>
    <n v="22"/>
    <s v="Other"/>
    <x v="1"/>
    <s v="Pune"/>
    <x v="6"/>
    <s v="Dumbbells"/>
    <n v="5"/>
    <n v="9438.65"/>
    <n v="0.19"/>
    <n v="50601.3"/>
    <n v="10853.36"/>
    <n v="59.57"/>
    <s v="UPI"/>
    <x v="3"/>
    <b v="0"/>
    <x v="1"/>
    <n v="9"/>
  </r>
  <r>
    <s v="ORD-00946"/>
    <x v="930"/>
    <x v="930"/>
    <s v="CUST66962"/>
    <s v="Arjun Shah"/>
    <n v="29"/>
    <s v="Male"/>
    <x v="4"/>
    <s v="Kochi"/>
    <x v="3"/>
    <s v="Comic Book"/>
    <n v="3"/>
    <n v="265.72000000000003"/>
    <n v="0.26"/>
    <n v="642.25"/>
    <n v="162.11000000000001"/>
    <n v="60.04"/>
    <s v="Net Banking"/>
    <x v="4"/>
    <b v="0"/>
    <x v="3"/>
    <n v="10"/>
  </r>
  <r>
    <s v="ORD-03868"/>
    <x v="535"/>
    <x v="535"/>
    <s v="CUST05602"/>
    <s v="Pooja Chatterjee"/>
    <n v="38"/>
    <s v="Female"/>
    <x v="3"/>
    <s v="Bhubaneswar"/>
    <x v="3"/>
    <s v="Comic Book"/>
    <n v="10"/>
    <n v="712.14"/>
    <n v="0.21"/>
    <n v="10991.18"/>
    <n v="3414.32"/>
    <n v="90.89"/>
    <s v="Debit Card"/>
    <x v="0"/>
    <b v="0"/>
    <x v="4"/>
    <n v="6"/>
  </r>
  <r>
    <s v="ORD-01950"/>
    <x v="474"/>
    <x v="474"/>
    <s v="CUST82536"/>
    <s v="Sanjay Bose"/>
    <n v="17"/>
    <s v="Female"/>
    <x v="1"/>
    <s v="Mumbai"/>
    <x v="0"/>
    <s v="Cooking Oil"/>
    <n v="8"/>
    <n v="186.85"/>
    <n v="0.28000000000000003"/>
    <n v="1720.56"/>
    <n v="141.72999999999999"/>
    <n v="50.9"/>
    <s v="Debit Card"/>
    <x v="4"/>
    <b v="0"/>
    <x v="3"/>
    <n v="6"/>
  </r>
  <r>
    <s v="ORD-02702"/>
    <x v="704"/>
    <x v="704"/>
    <s v="CUST41199"/>
    <s v="Nikhil Chatterjee"/>
    <n v="34"/>
    <s v="Male"/>
    <x v="1"/>
    <s v="Ahmedabad"/>
    <x v="3"/>
    <s v="Cook Book"/>
    <n v="6"/>
    <n v="942.74"/>
    <n v="0.28000000000000003"/>
    <n v="4651.1099999999997"/>
    <n v="1628.44"/>
    <n v="67.17"/>
    <s v="UPI"/>
    <x v="0"/>
    <b v="0"/>
    <x v="1"/>
    <n v="9"/>
  </r>
  <r>
    <s v="ORD-03056"/>
    <x v="931"/>
    <x v="931"/>
    <s v="CUST57382"/>
    <s v="Pooja Iyer"/>
    <n v="45"/>
    <s v="Female"/>
    <x v="0"/>
    <s v="Raipur"/>
    <x v="2"/>
    <s v="Bed Frame"/>
    <n v="7"/>
    <n v="21860.37"/>
    <n v="0.22"/>
    <n v="156258.37"/>
    <n v="37409.1"/>
    <n v="28.9"/>
    <s v="Credit Card"/>
    <x v="4"/>
    <b v="1"/>
    <x v="0"/>
    <n v="7"/>
  </r>
  <r>
    <s v="ORD-01906"/>
    <x v="932"/>
    <x v="932"/>
    <s v="CUST38374"/>
    <s v="Deepa Das"/>
    <n v="34"/>
    <s v="Other"/>
    <x v="1"/>
    <s v="Mumbai"/>
    <x v="4"/>
    <s v="Saree"/>
    <n v="3"/>
    <n v="3141.61"/>
    <n v="0.25"/>
    <n v="8685.8799999999992"/>
    <n v="2933.74"/>
    <n v="44.85"/>
    <s v="Net Banking"/>
    <x v="0"/>
    <b v="0"/>
    <x v="3"/>
    <n v="8"/>
  </r>
  <r>
    <s v="ORD-01259"/>
    <x v="933"/>
    <x v="933"/>
    <s v="CUST98747"/>
    <s v="Rahul Pillai"/>
    <n v="43"/>
    <s v="Female"/>
    <x v="2"/>
    <s v="Chandigarh"/>
    <x v="4"/>
    <s v="Saree"/>
    <n v="4"/>
    <n v="3539.46"/>
    <n v="0.36"/>
    <n v="13144.99"/>
    <n v="4582.45"/>
    <n v="80.650000000000006"/>
    <s v="EMI"/>
    <x v="0"/>
    <b v="1"/>
    <x v="0"/>
    <n v="10"/>
  </r>
  <r>
    <s v="ORD-01168"/>
    <x v="708"/>
    <x v="708"/>
    <s v="CUST35029"/>
    <s v="Arjun Verma"/>
    <n v="41"/>
    <s v="Male"/>
    <x v="4"/>
    <s v="Hyderabad"/>
    <x v="5"/>
    <s v="Headphones"/>
    <n v="9"/>
    <n v="63927.14"/>
    <n v="0.28999999999999998"/>
    <n v="604434.02"/>
    <n v="73248.66"/>
    <n v="68.239999999999995"/>
    <s v="Net Banking"/>
    <x v="3"/>
    <b v="0"/>
    <x v="1"/>
    <n v="3"/>
  </r>
  <r>
    <s v="ORD-03894"/>
    <x v="871"/>
    <x v="871"/>
    <s v="CUST65883"/>
    <s v="Nisha Mishra"/>
    <n v="37"/>
    <s v="Male"/>
    <x v="0"/>
    <s v="Bhopal"/>
    <x v="1"/>
    <s v="Shampoo"/>
    <n v="2"/>
    <n v="1715.59"/>
    <n v="0.39"/>
    <n v="2886.91"/>
    <n v="1724.71"/>
    <n v="47.41"/>
    <s v="Cash on Delivery"/>
    <x v="3"/>
    <b v="0"/>
    <x v="4"/>
    <n v="7"/>
  </r>
  <r>
    <s v="ORD-01171"/>
    <x v="398"/>
    <x v="398"/>
    <s v="CUST15457"/>
    <s v="Rahul Bhat"/>
    <n v="29"/>
    <s v="Female"/>
    <x v="3"/>
    <s v="Guwahati"/>
    <x v="0"/>
    <s v="Dal (1kg)"/>
    <n v="2"/>
    <n v="359.79"/>
    <n v="0.37"/>
    <n v="638.01"/>
    <n v="52.57"/>
    <n v="85.35"/>
    <s v="Net Banking"/>
    <x v="0"/>
    <b v="0"/>
    <x v="1"/>
    <n v="9"/>
  </r>
  <r>
    <s v="ORD-03735"/>
    <x v="757"/>
    <x v="757"/>
    <s v="CUST24467"/>
    <s v="Aditya Mishra"/>
    <n v="46"/>
    <s v="Male"/>
    <x v="2"/>
    <s v="Delhi"/>
    <x v="1"/>
    <s v="Face Cream"/>
    <n v="3"/>
    <n v="2171.12"/>
    <n v="0.37"/>
    <n v="6476.71"/>
    <n v="2737.34"/>
    <n v="57.34"/>
    <s v="Net Banking"/>
    <x v="2"/>
    <b v="1"/>
    <x v="0"/>
    <n v="2"/>
  </r>
  <r>
    <s v="ORD-02716"/>
    <x v="934"/>
    <x v="934"/>
    <s v="CUST34371"/>
    <s v="Deepa Singh"/>
    <n v="20"/>
    <s v="Male"/>
    <x v="0"/>
    <s v="Raipur"/>
    <x v="0"/>
    <s v="Tea"/>
    <n v="7"/>
    <n v="258.92"/>
    <n v="0.28000000000000003"/>
    <n v="1758.81"/>
    <n v="177.42"/>
    <n v="37.369999999999997"/>
    <s v="UPI"/>
    <x v="0"/>
    <b v="0"/>
    <x v="1"/>
    <n v="6"/>
  </r>
  <r>
    <s v="ORD-04198"/>
    <x v="935"/>
    <x v="935"/>
    <s v="CUST54617"/>
    <s v="Kavya Joshi"/>
    <n v="36"/>
    <s v="Other"/>
    <x v="3"/>
    <s v="Patna"/>
    <x v="2"/>
    <s v="Chair"/>
    <n v="6"/>
    <n v="21398.46"/>
    <n v="0.34"/>
    <n v="75488.55"/>
    <n v="18648.21"/>
    <n v="99.52"/>
    <s v="EMI"/>
    <x v="2"/>
    <b v="0"/>
    <x v="1"/>
    <n v="1"/>
  </r>
  <r>
    <s v="ORD-03300"/>
    <x v="936"/>
    <x v="936"/>
    <s v="CUST46539"/>
    <s v="Shreya Verma"/>
    <n v="29"/>
    <s v="Other"/>
    <x v="4"/>
    <s v="Bangalore"/>
    <x v="0"/>
    <s v="Sugar"/>
    <n v="9"/>
    <n v="56.27"/>
    <n v="0.15"/>
    <n v="407.16"/>
    <n v="20.82"/>
    <n v="82.79"/>
    <s v="UPI"/>
    <x v="1"/>
    <b v="0"/>
    <x v="1"/>
    <n v="2"/>
  </r>
  <r>
    <s v="ORD-02819"/>
    <x v="805"/>
    <x v="805"/>
    <s v="CUST12681"/>
    <s v="Meera Joshi"/>
    <n v="49"/>
    <s v="Male"/>
    <x v="3"/>
    <s v="Bhubaneswar"/>
    <x v="4"/>
    <s v="Saree"/>
    <n v="1"/>
    <n v="3976.86"/>
    <n v="0.21"/>
    <n v="4653"/>
    <n v="1981.56"/>
    <n v="86.05"/>
    <s v="Credit Card"/>
    <x v="3"/>
    <b v="0"/>
    <x v="1"/>
    <n v="4"/>
  </r>
  <r>
    <s v="ORD-03025"/>
    <x v="937"/>
    <x v="937"/>
    <s v="CUST12807"/>
    <s v="Pooja Das"/>
    <n v="34"/>
    <s v="Male"/>
    <x v="0"/>
    <s v="Indore"/>
    <x v="6"/>
    <s v="Tennis Racket"/>
    <n v="5"/>
    <n v="8699.81"/>
    <n v="0.36"/>
    <n v="43806.61"/>
    <n v="9308.41"/>
    <n v="42.55"/>
    <s v="Debit Card"/>
    <x v="4"/>
    <b v="0"/>
    <x v="1"/>
    <n v="5"/>
  </r>
  <r>
    <s v="ORD-00299"/>
    <x v="938"/>
    <x v="938"/>
    <s v="CUST26567"/>
    <s v="Pooja Pillai"/>
    <n v="55"/>
    <s v="Other"/>
    <x v="0"/>
    <s v="Nagpur"/>
    <x v="4"/>
    <s v="T-Shirt"/>
    <n v="8"/>
    <n v="2351.5700000000002"/>
    <n v="0.34"/>
    <n v="17421.060000000001"/>
    <n v="5554.48"/>
    <n v="71.02"/>
    <s v="EMI"/>
    <x v="3"/>
    <b v="0"/>
    <x v="3"/>
    <n v="5"/>
  </r>
  <r>
    <s v="ORD-01123"/>
    <x v="939"/>
    <x v="939"/>
    <s v="CUST18686"/>
    <s v="Rahul Shah"/>
    <n v="36"/>
    <s v="Other"/>
    <x v="1"/>
    <s v="Ahmedabad"/>
    <x v="2"/>
    <s v="Bookshelf"/>
    <n v="1"/>
    <n v="19884.830000000002"/>
    <n v="0.21"/>
    <n v="23868.33"/>
    <n v="5629.58"/>
    <n v="50.84"/>
    <s v="Net Banking"/>
    <x v="3"/>
    <b v="0"/>
    <x v="1"/>
    <n v="8"/>
  </r>
  <r>
    <s v="ORD-00203"/>
    <x v="220"/>
    <x v="220"/>
    <s v="CUST07224"/>
    <s v="Aditya Bhat"/>
    <n v="46"/>
    <s v="Male"/>
    <x v="3"/>
    <s v="Kolkata"/>
    <x v="6"/>
    <s v="Cricket Bat"/>
    <n v="8"/>
    <n v="11732"/>
    <n v="0.21"/>
    <n v="88135.47"/>
    <n v="11413.28"/>
    <n v="83.77"/>
    <s v="Debit Card"/>
    <x v="2"/>
    <b v="0"/>
    <x v="1"/>
    <n v="10"/>
  </r>
  <r>
    <s v="ORD-00075"/>
    <x v="139"/>
    <x v="139"/>
    <s v="CUST92174"/>
    <s v="Amit Iyer"/>
    <n v="46"/>
    <s v="Male"/>
    <x v="1"/>
    <s v="Surat"/>
    <x v="0"/>
    <s v="Cooking Oil"/>
    <n v="9"/>
    <n v="225.4"/>
    <n v="0.26"/>
    <n v="1125.8599999999999"/>
    <n v="112.52"/>
    <n v="48.11"/>
    <s v="Net Banking"/>
    <x v="4"/>
    <b v="1"/>
    <x v="0"/>
    <n v="2"/>
  </r>
  <r>
    <s v="ORD-02185"/>
    <x v="268"/>
    <x v="268"/>
    <s v="CUST95667"/>
    <s v="Deepa Reddy"/>
    <n v="34"/>
    <s v="Other"/>
    <x v="2"/>
    <s v="Chandigarh"/>
    <x v="6"/>
    <s v="Cycle"/>
    <n v="2"/>
    <n v="9154.56"/>
    <n v="0.24"/>
    <n v="20269.39"/>
    <n v="2758.48"/>
    <n v="67.709999999999994"/>
    <s v="UPI"/>
    <x v="4"/>
    <b v="0"/>
    <x v="1"/>
    <n v="8"/>
  </r>
  <r>
    <s v="ORD-00041"/>
    <x v="940"/>
    <x v="940"/>
    <s v="CUST87348"/>
    <s v="Karan Patel"/>
    <n v="57"/>
    <s v="Female"/>
    <x v="0"/>
    <s v="Nagpur"/>
    <x v="5"/>
    <s v="Smartphone"/>
    <n v="7"/>
    <n v="52597.3"/>
    <n v="0.26"/>
    <n v="203835.56"/>
    <n v="25641.97"/>
    <n v="41.61"/>
    <s v="UPI"/>
    <x v="3"/>
    <b v="0"/>
    <x v="1"/>
    <n v="1"/>
  </r>
  <r>
    <s v="ORD-00731"/>
    <x v="88"/>
    <x v="88"/>
    <s v="CUST84048"/>
    <s v="Kavya Kapoor"/>
    <n v="2"/>
    <s v="Female"/>
    <x v="0"/>
    <s v="Nagpur"/>
    <x v="5"/>
    <s v="Laptop"/>
    <n v="4"/>
    <n v="44342.23"/>
    <n v="0.38"/>
    <n v="73309.14"/>
    <n v="10270.540000000001"/>
    <n v="56.21"/>
    <s v="Cash on Delivery"/>
    <x v="3"/>
    <b v="0"/>
    <x v="1"/>
    <n v="10"/>
  </r>
  <r>
    <s v="ORD-00599"/>
    <x v="341"/>
    <x v="341"/>
    <s v="CUST89927"/>
    <s v="Ritu Mehta"/>
    <n v="35"/>
    <s v="Other"/>
    <x v="1"/>
    <s v="Surat"/>
    <x v="5"/>
    <s v="Laptop"/>
    <n v="7"/>
    <n v="32603.73"/>
    <n v="0.22"/>
    <n v="175205.59"/>
    <n v="16796.740000000002"/>
    <n v="53.05"/>
    <s v="Net Banking"/>
    <x v="1"/>
    <b v="0"/>
    <x v="1"/>
    <n v="5"/>
  </r>
  <r>
    <s v="ORD-00110"/>
    <x v="740"/>
    <x v="740"/>
    <s v="CUST80843"/>
    <s v="Vikram Mishra"/>
    <n v="5"/>
    <s v="Other"/>
    <x v="0"/>
    <s v="Raipur"/>
    <x v="0"/>
    <s v="Flour"/>
    <n v="8"/>
    <n v="426.33"/>
    <n v="0.16"/>
    <n v="2378.41"/>
    <n v="182.8"/>
    <n v="70.06"/>
    <s v="Debit Card"/>
    <x v="3"/>
    <b v="0"/>
    <x v="3"/>
    <n v="8"/>
  </r>
  <r>
    <s v="ORD-01541"/>
    <x v="941"/>
    <x v="941"/>
    <s v="CUST10620"/>
    <s v="Ritu Gupta"/>
    <n v="7"/>
    <s v="Other"/>
    <x v="0"/>
    <s v="Indore"/>
    <x v="1"/>
    <s v="Shampoo"/>
    <n v="1"/>
    <n v="1633.39"/>
    <n v="0.4"/>
    <n v="921.87"/>
    <n v="332.3"/>
    <n v="59.95"/>
    <s v="UPI"/>
    <x v="2"/>
    <b v="0"/>
    <x v="1"/>
    <n v="2"/>
  </r>
  <r>
    <s v="ORD-00163"/>
    <x v="532"/>
    <x v="532"/>
    <s v="CUST31561"/>
    <s v="Meera Bhat"/>
    <n v="23"/>
    <s v="Female"/>
    <x v="1"/>
    <s v="Pune"/>
    <x v="0"/>
    <s v="Rice (5kg)"/>
    <n v="6"/>
    <n v="160.66"/>
    <n v="0.35"/>
    <n v="572.84"/>
    <n v="60.63"/>
    <n v="42.02"/>
    <s v="UPI"/>
    <x v="0"/>
    <b v="0"/>
    <x v="4"/>
    <n v="9"/>
  </r>
  <r>
    <s v="ORD-01875"/>
    <x v="942"/>
    <x v="942"/>
    <s v="CUST64095"/>
    <s v="Arjun Das"/>
    <n v="30"/>
    <s v="Female"/>
    <x v="3"/>
    <s v="Patna"/>
    <x v="4"/>
    <s v="Saree"/>
    <n v="7"/>
    <n v="411.78"/>
    <n v="0.28000000000000003"/>
    <n v="3259.85"/>
    <n v="1493.17"/>
    <n v="93.37"/>
    <s v="Credit Card"/>
    <x v="4"/>
    <b v="1"/>
    <x v="0"/>
    <n v="3"/>
  </r>
  <r>
    <s v="ORD-01719"/>
    <x v="943"/>
    <x v="943"/>
    <s v="CUST35511"/>
    <s v="Karan Bose"/>
    <n v="34"/>
    <s v="Male"/>
    <x v="3"/>
    <s v="Kolkata"/>
    <x v="0"/>
    <s v="Dal (1kg)"/>
    <n v="6"/>
    <n v="141.78"/>
    <n v="0.16"/>
    <n v="766.42"/>
    <n v="53.3"/>
    <n v="63.43"/>
    <s v="Cash on Delivery"/>
    <x v="0"/>
    <b v="0"/>
    <x v="1"/>
    <n v="3"/>
  </r>
  <r>
    <s v="ORD-01665"/>
    <x v="688"/>
    <x v="688"/>
    <s v="CUST72087"/>
    <s v="Pooja Mishra"/>
    <n v="41"/>
    <s v="Male"/>
    <x v="4"/>
    <s v="Chennai"/>
    <x v="6"/>
    <s v="Tennis Racket"/>
    <n v="7"/>
    <n v="14245.64"/>
    <n v="0.23"/>
    <n v="63223.16"/>
    <n v="13091.37"/>
    <n v="63.46"/>
    <s v="UPI"/>
    <x v="4"/>
    <b v="0"/>
    <x v="1"/>
    <n v="3"/>
  </r>
  <r>
    <s v="ORD-03188"/>
    <x v="944"/>
    <x v="944"/>
    <s v="CUST87675"/>
    <s v="Sunita Joshi"/>
    <n v="30"/>
    <s v="Other"/>
    <x v="2"/>
    <s v="Delhi"/>
    <x v="0"/>
    <s v="Flour"/>
    <n v="2"/>
    <n v="312.70999999999998"/>
    <n v="0.16"/>
    <n v="580.22"/>
    <n v="45.18"/>
    <n v="67.16"/>
    <s v="Debit Card"/>
    <x v="3"/>
    <b v="0"/>
    <x v="1"/>
    <n v="6"/>
  </r>
  <r>
    <s v="ORD-03469"/>
    <x v="945"/>
    <x v="945"/>
    <s v="CUST84032"/>
    <s v="Aditya Bose"/>
    <n v="33"/>
    <s v="Female"/>
    <x v="4"/>
    <s v="Bangalore"/>
    <x v="4"/>
    <s v="Jacket"/>
    <n v="5"/>
    <n v="3983.26"/>
    <n v="0.19"/>
    <n v="18870.57"/>
    <n v="7723.98"/>
    <n v="90.81"/>
    <s v="Debit Card"/>
    <x v="4"/>
    <b v="0"/>
    <x v="1"/>
    <n v="2"/>
  </r>
  <r>
    <s v="ORD-01387"/>
    <x v="946"/>
    <x v="946"/>
    <s v="CUST58789"/>
    <s v="Nikhil Mehta"/>
    <n v="42"/>
    <s v="Other"/>
    <x v="1"/>
    <s v="Surat"/>
    <x v="6"/>
    <s v="Yoga Mat"/>
    <n v="7"/>
    <n v="2078.41"/>
    <n v="0.23"/>
    <n v="13731.31"/>
    <n v="4242.83"/>
    <n v="42.68"/>
    <s v="Credit Card"/>
    <x v="3"/>
    <b v="0"/>
    <x v="1"/>
    <n v="1"/>
  </r>
  <r>
    <s v="ORD-01369"/>
    <x v="947"/>
    <x v="947"/>
    <s v="CUST31474"/>
    <s v="Rohan Das"/>
    <n v="42"/>
    <s v="Other"/>
    <x v="0"/>
    <s v="Raipur"/>
    <x v="0"/>
    <s v="Cooking Oil"/>
    <n v="7"/>
    <n v="496.14"/>
    <n v="0.3"/>
    <n v="2839.68"/>
    <n v="279.88"/>
    <n v="63.12"/>
    <s v="Cash on Delivery"/>
    <x v="4"/>
    <b v="1"/>
    <x v="0"/>
    <n v="5"/>
  </r>
  <r>
    <s v="ORD-02786"/>
    <x v="948"/>
    <x v="948"/>
    <s v="CUST59888"/>
    <s v="Amit Das"/>
    <n v="38"/>
    <s v="Male"/>
    <x v="2"/>
    <s v="Delhi"/>
    <x v="5"/>
    <s v="Smartwatch"/>
    <n v="7"/>
    <n v="50711.3"/>
    <n v="0.14000000000000001"/>
    <n v="442866.28"/>
    <n v="58822.76"/>
    <n v="44.77"/>
    <s v="EMI"/>
    <x v="0"/>
    <b v="0"/>
    <x v="1"/>
    <n v="10"/>
  </r>
  <r>
    <s v="ORD-02359"/>
    <x v="949"/>
    <x v="949"/>
    <s v="CUST04245"/>
    <s v="Sanjay Iyer"/>
    <n v="150"/>
    <s v="Male"/>
    <x v="4"/>
    <s v="Chennai"/>
    <x v="0"/>
    <s v="Tea"/>
    <n v="1"/>
    <n v="297.83999999999997"/>
    <n v="0.32"/>
    <n v="181.61"/>
    <n v="14.32"/>
    <n v="62.86"/>
    <s v="Credit Card"/>
    <x v="2"/>
    <b v="0"/>
    <x v="1"/>
    <n v="6"/>
  </r>
  <r>
    <s v="ORD-01667"/>
    <x v="688"/>
    <x v="688"/>
    <s v="CUST51290"/>
    <s v="Shreya Kumar"/>
    <n v="60"/>
    <s v="Other"/>
    <x v="3"/>
    <s v="Patna"/>
    <x v="0"/>
    <s v="Tea"/>
    <n v="5"/>
    <n v="77.06"/>
    <n v="0.11"/>
    <n v="253.58"/>
    <n v="18.829999999999998"/>
    <n v="83.91"/>
    <s v="Net Banking"/>
    <x v="2"/>
    <b v="0"/>
    <x v="1"/>
    <n v="10"/>
  </r>
  <r>
    <s v="ORD-02562"/>
    <x v="950"/>
    <x v="950"/>
    <s v="CUST95323"/>
    <s v="Amit Reddy"/>
    <n v="62"/>
    <s v="Male"/>
    <x v="4"/>
    <s v="Chennai"/>
    <x v="3"/>
    <s v="Textbook"/>
    <n v="4"/>
    <n v="1045.52"/>
    <n v="0.19"/>
    <n v="3378.55"/>
    <n v="1234.47"/>
    <n v="69.47"/>
    <s v="Cash on Delivery"/>
    <x v="2"/>
    <b v="0"/>
    <x v="1"/>
    <n v="3"/>
  </r>
  <r>
    <s v="ORD-04018"/>
    <x v="951"/>
    <x v="951"/>
    <s v="CUST05715"/>
    <s v="Shreya Kumar"/>
    <n v="30"/>
    <s v="Other"/>
    <x v="2"/>
    <s v="Ludhiana"/>
    <x v="2"/>
    <s v="Desk"/>
    <n v="3"/>
    <n v="20526.57"/>
    <n v="0.39"/>
    <n v="39110.300000000003"/>
    <n v="5636.16"/>
    <n v="58.12"/>
    <s v="EMI"/>
    <x v="1"/>
    <b v="0"/>
    <x v="1"/>
    <n v="5"/>
  </r>
  <r>
    <s v="ORD-01015"/>
    <x v="96"/>
    <x v="96"/>
    <s v="CUST48355"/>
    <s v="Nikhil Nair"/>
    <n v="40"/>
    <s v="Male"/>
    <x v="3"/>
    <s v="Guwahati"/>
    <x v="4"/>
    <s v="Jeans"/>
    <n v="7"/>
    <n v="2196.3000000000002"/>
    <n v="0.21"/>
    <n v="15799.82"/>
    <n v="5078.38"/>
    <n v="61.62"/>
    <s v="Cash on Delivery"/>
    <x v="4"/>
    <b v="0"/>
    <x v="1"/>
    <n v="10"/>
  </r>
  <r>
    <s v="ORD-00770"/>
    <x v="584"/>
    <x v="584"/>
    <s v="CUST84428"/>
    <s v="Pooja Sharma"/>
    <n v="56"/>
    <s v="Female"/>
    <x v="2"/>
    <s v="Delhi"/>
    <x v="2"/>
    <s v="Sofa"/>
    <n v="2"/>
    <n v="8330.94"/>
    <n v="0.36"/>
    <n v="7172.01"/>
    <n v="1030.6600000000001"/>
    <n v="34.58"/>
    <s v="UPI"/>
    <x v="1"/>
    <b v="0"/>
    <x v="2"/>
    <n v="6"/>
  </r>
  <r>
    <s v="ORD-03888"/>
    <x v="561"/>
    <x v="561"/>
    <s v="CUST02813"/>
    <s v="Deepa Joshi"/>
    <n v="46"/>
    <s v="Female"/>
    <x v="3"/>
    <s v="Patna"/>
    <x v="0"/>
    <s v="Dal (1kg)"/>
    <n v="2"/>
    <n v="225.92"/>
    <n v="0.21"/>
    <n v="625.44000000000005"/>
    <n v="56.74"/>
    <n v="90.55"/>
    <s v="Net Banking"/>
    <x v="0"/>
    <b v="0"/>
    <x v="1"/>
    <n v="6"/>
  </r>
  <r>
    <s v="ORD-04046"/>
    <x v="35"/>
    <x v="35"/>
    <s v="CUST70308"/>
    <s v="Ananya Sharma"/>
    <n v="12"/>
    <s v="Female"/>
    <x v="1"/>
    <s v="Ahmedabad"/>
    <x v="0"/>
    <s v="Dal (1kg)"/>
    <n v="1"/>
    <n v="282.35000000000002"/>
    <n v="0.23"/>
    <n v="235.01"/>
    <n v="22.26"/>
    <n v="48.98"/>
    <s v="Debit Card"/>
    <x v="1"/>
    <b v="0"/>
    <x v="1"/>
    <n v="7"/>
  </r>
  <r>
    <s v="ORD-02317"/>
    <x v="215"/>
    <x v="215"/>
    <s v="CUST47149"/>
    <s v="Amit Verma"/>
    <n v="41"/>
    <s v="Other"/>
    <x v="2"/>
    <s v="Delhi"/>
    <x v="4"/>
    <s v="Kurta"/>
    <n v="7"/>
    <n v="3985.89"/>
    <n v="0.33"/>
    <n v="19751.990000000002"/>
    <n v="7041.24"/>
    <n v="37.549999999999997"/>
    <s v="UPI"/>
    <x v="1"/>
    <b v="0"/>
    <x v="4"/>
    <n v="2"/>
  </r>
  <r>
    <s v="ORD-04047"/>
    <x v="78"/>
    <x v="78"/>
    <s v="CUST94569"/>
    <s v="Nisha Singh"/>
    <n v="38"/>
    <s v="Male"/>
    <x v="1"/>
    <s v="Pune"/>
    <x v="3"/>
    <s v="Biography"/>
    <n v="3"/>
    <n v="1455.69"/>
    <n v="0.31"/>
    <n v="3171.19"/>
    <n v="1460.04"/>
    <n v="68.989999999999995"/>
    <s v="Net Banking"/>
    <x v="4"/>
    <b v="0"/>
    <x v="1"/>
    <n v="1"/>
  </r>
  <r>
    <s v="ORD-02877"/>
    <x v="74"/>
    <x v="74"/>
    <s v="CUST52099"/>
    <s v="Ritu Das"/>
    <n v="37"/>
    <s v="Female"/>
    <x v="1"/>
    <s v="Surat"/>
    <x v="1"/>
    <s v="Face Cream"/>
    <n v="10"/>
    <n v="1285.07"/>
    <n v="0.28000000000000003"/>
    <n v="15333.34"/>
    <n v="9585.0300000000007"/>
    <n v="77.58"/>
    <s v="Credit Card"/>
    <x v="3"/>
    <b v="0"/>
    <x v="1"/>
    <n v="9"/>
  </r>
  <r>
    <s v="ORD-01323"/>
    <x v="630"/>
    <x v="630"/>
    <s v="CUST78691"/>
    <s v="Rohan Kapoor"/>
    <n v="28"/>
    <s v="Female"/>
    <x v="3"/>
    <s v="Bhubaneswar"/>
    <x v="4"/>
    <s v="Kurta"/>
    <n v="9"/>
    <n v="541.46"/>
    <n v="0.14000000000000001"/>
    <n v="4738.37"/>
    <n v="1400.95"/>
    <n v="53.44"/>
    <s v="UPI"/>
    <x v="4"/>
    <b v="0"/>
    <x v="1"/>
    <n v="4"/>
  </r>
  <r>
    <s v="ORD-02645"/>
    <x v="496"/>
    <x v="496"/>
    <s v="CUST11538"/>
    <s v="Sunita Nair"/>
    <n v="46"/>
    <s v="Other"/>
    <x v="1"/>
    <s v="Pune"/>
    <x v="4"/>
    <s v="Jacket"/>
    <n v="6"/>
    <n v="2371.79"/>
    <n v="0.11"/>
    <n v="13350.85"/>
    <n v="4678.25"/>
    <n v="45.39"/>
    <s v="Cash on Delivery"/>
    <x v="2"/>
    <b v="0"/>
    <x v="1"/>
    <n v="6"/>
  </r>
  <r>
    <s v="ORD-03853"/>
    <x v="952"/>
    <x v="952"/>
    <s v="CUST55701"/>
    <s v="Shreya Das"/>
    <n v="59"/>
    <s v="Other"/>
    <x v="2"/>
    <s v="Delhi"/>
    <x v="4"/>
    <s v="Kurta"/>
    <n v="8"/>
    <n v="3536.11"/>
    <n v="0.38"/>
    <n v="33772.339999999997"/>
    <n v="8415.7800000000007"/>
    <n v="42.65"/>
    <s v="UPI"/>
    <x v="4"/>
    <b v="0"/>
    <x v="1"/>
    <n v="1"/>
  </r>
  <r>
    <s v="ORD-03024"/>
    <x v="937"/>
    <x v="937"/>
    <s v="CUST08460"/>
    <s v="Sanjay Das"/>
    <n v="40"/>
    <s v="Female"/>
    <x v="4"/>
    <s v="Chennai"/>
    <x v="0"/>
    <s v="Dal (1kg)"/>
    <n v="2"/>
    <n v="188.62"/>
    <n v="0.32"/>
    <n v="395.46"/>
    <n v="23.93"/>
    <n v="82.57"/>
    <s v="Cash on Delivery"/>
    <x v="1"/>
    <b v="0"/>
    <x v="1"/>
    <n v="9"/>
  </r>
  <r>
    <s v="ORD-01609"/>
    <x v="953"/>
    <x v="953"/>
    <s v="CUST09235"/>
    <s v="Rahul Bose"/>
    <n v="37"/>
    <s v="Other"/>
    <x v="1"/>
    <s v="Ahmedabad"/>
    <x v="1"/>
    <s v="Shampoo"/>
    <n v="2"/>
    <n v="984.2"/>
    <n v="0.17"/>
    <n v="1250.93"/>
    <n v="608.62"/>
    <n v="62.93"/>
    <s v="Credit Card"/>
    <x v="3"/>
    <b v="0"/>
    <x v="1"/>
    <n v="9"/>
  </r>
  <r>
    <s v="ORD-00870"/>
    <x v="954"/>
    <x v="954"/>
    <s v="CUST22353"/>
    <s v="Amit Rao"/>
    <n v="56"/>
    <s v="Female"/>
    <x v="2"/>
    <s v="Delhi"/>
    <x v="5"/>
    <s v="Headphones"/>
    <n v="8"/>
    <n v="16693.21"/>
    <n v="0.26"/>
    <n v="81693.149999999994"/>
    <n v="9097.41"/>
    <n v="65.45"/>
    <s v="Cash on Delivery"/>
    <x v="0"/>
    <b v="1"/>
    <x v="0"/>
    <n v="10"/>
  </r>
  <r>
    <s v="ORD-04089"/>
    <x v="243"/>
    <x v="243"/>
    <s v="CUST65407"/>
    <s v="Kavya Joshi"/>
    <n v="49"/>
    <s v="Female"/>
    <x v="4"/>
    <s v="Bangalore"/>
    <x v="3"/>
    <s v="Comic Book"/>
    <n v="5"/>
    <n v="733.86"/>
    <n v="0.28000000000000003"/>
    <n v="2368.12"/>
    <n v="846.43"/>
    <n v="68.42"/>
    <s v="UPI"/>
    <x v="1"/>
    <b v="0"/>
    <x v="1"/>
    <n v="1"/>
  </r>
  <r>
    <s v="ORD-03631"/>
    <x v="603"/>
    <x v="603"/>
    <s v="CUST36710"/>
    <s v="Nisha Patel"/>
    <n v="31"/>
    <s v="Male"/>
    <x v="4"/>
    <s v="Kochi"/>
    <x v="1"/>
    <s v="Hair Oil"/>
    <n v="6"/>
    <n v="1419.67"/>
    <n v="0.01"/>
    <n v="11838.84"/>
    <n v="7704.41"/>
    <n v="81.849999999999994"/>
    <s v="Credit Card"/>
    <x v="1"/>
    <b v="0"/>
    <x v="1"/>
    <n v="10"/>
  </r>
  <r>
    <s v="ORD-01594"/>
    <x v="328"/>
    <x v="328"/>
    <s v="CUST74210"/>
    <s v="Ananya Iyer"/>
    <n v="49"/>
    <s v="Female"/>
    <x v="3"/>
    <s v="Bhubaneswar"/>
    <x v="4"/>
    <s v="Saree"/>
    <n v="1"/>
    <n v="3144.7"/>
    <n v="0.35"/>
    <n v="1412.65"/>
    <n v="506.25"/>
    <n v="89.01"/>
    <s v="Cash on Delivery"/>
    <x v="0"/>
    <b v="0"/>
    <x v="4"/>
    <n v="5"/>
  </r>
  <r>
    <s v="ORD-02450"/>
    <x v="312"/>
    <x v="312"/>
    <s v="CUST85866"/>
    <s v="Nikhil Pillai"/>
    <n v="36"/>
    <s v="Female"/>
    <x v="0"/>
    <s v="Bhopal"/>
    <x v="6"/>
    <s v="Football"/>
    <n v="8"/>
    <n v="7873.54"/>
    <n v="0.23"/>
    <n v="37930.36"/>
    <n v="9903.07"/>
    <n v="42.71"/>
    <s v="UPI"/>
    <x v="3"/>
    <b v="0"/>
    <x v="1"/>
    <n v="5"/>
  </r>
  <r>
    <s v="ORD-01729"/>
    <x v="411"/>
    <x v="411"/>
    <s v="CUST21576"/>
    <s v="Rohan Joshi"/>
    <n v="20"/>
    <s v="Other"/>
    <x v="0"/>
    <s v="Bhopal"/>
    <x v="2"/>
    <s v="Desk"/>
    <n v="9"/>
    <n v="22414.18"/>
    <n v="0.26"/>
    <n v="154810.39000000001"/>
    <n v="52685.24"/>
    <n v="39.71"/>
    <s v="UPI"/>
    <x v="2"/>
    <b v="0"/>
    <x v="1"/>
    <n v="5"/>
  </r>
  <r>
    <s v="ORD-00334"/>
    <x v="955"/>
    <x v="955"/>
    <s v="CUST45698"/>
    <s v="Kavya Mehta"/>
    <n v="37"/>
    <s v="Male"/>
    <x v="1"/>
    <s v="Pune"/>
    <x v="3"/>
    <s v="Comic Book"/>
    <n v="4"/>
    <n v="822.35"/>
    <n v="0.05"/>
    <n v="3604.16"/>
    <n v="1181.07"/>
    <n v="54.01"/>
    <s v="Net Banking"/>
    <x v="2"/>
    <b v="1"/>
    <x v="0"/>
    <n v="9"/>
  </r>
  <r>
    <s v="ORD-02841"/>
    <x v="956"/>
    <x v="956"/>
    <s v="CUST62482"/>
    <s v="Vikram Joshi"/>
    <n v="26"/>
    <s v="Male"/>
    <x v="3"/>
    <s v="Bhubaneswar"/>
    <x v="1"/>
    <s v="Face Cream"/>
    <n v="8"/>
    <n v="317.17"/>
    <n v="0.06"/>
    <n v="3774.97"/>
    <n v="2233.34"/>
    <n v="81.48"/>
    <s v="UPI"/>
    <x v="0"/>
    <b v="0"/>
    <x v="2"/>
    <n v="5"/>
  </r>
  <r>
    <s v="ORD-00613"/>
    <x v="957"/>
    <x v="957"/>
    <s v="CUST52615"/>
    <s v="Meera Chatterjee"/>
    <n v="39"/>
    <s v="Other"/>
    <x v="0"/>
    <s v="Nagpur"/>
    <x v="3"/>
    <s v="Self-Help Book"/>
    <n v="8"/>
    <n v="479.33"/>
    <n v="0.17"/>
    <n v="2895.46"/>
    <n v="1623.81"/>
    <n v="57.89"/>
    <s v="Net Banking"/>
    <x v="2"/>
    <b v="0"/>
    <x v="1"/>
    <n v="8"/>
  </r>
  <r>
    <s v="ORD-01225"/>
    <x v="958"/>
    <x v="958"/>
    <s v="CUST92217"/>
    <s v="Kavya Patel"/>
    <n v="16"/>
    <s v="Female"/>
    <x v="0"/>
    <s v="Indore"/>
    <x v="3"/>
    <s v="Biography"/>
    <n v="1"/>
    <n v="226.79"/>
    <n v="0.2"/>
    <n v="243.47"/>
    <n v="114.12"/>
    <n v="71.040000000000006"/>
    <s v="Debit Card"/>
    <x v="2"/>
    <b v="0"/>
    <x v="1"/>
    <n v="3"/>
  </r>
  <r>
    <s v="ORD-00728"/>
    <x v="296"/>
    <x v="296"/>
    <s v="CUST89689"/>
    <s v="Priya Bose"/>
    <n v="19"/>
    <s v="Male"/>
    <x v="0"/>
    <s v="Raipur"/>
    <x v="4"/>
    <s v="Jeans"/>
    <n v="10"/>
    <n v="1410.27"/>
    <n v="0.1"/>
    <n v="8950.43"/>
    <n v="2283.3000000000002"/>
    <n v="52.24"/>
    <s v="Cash on Delivery"/>
    <x v="1"/>
    <b v="0"/>
    <x v="3"/>
    <n v="5"/>
  </r>
  <r>
    <s v="ORD-01326"/>
    <x v="959"/>
    <x v="959"/>
    <s v="CUST15556"/>
    <s v="Amit Sharma"/>
    <n v="43"/>
    <s v="Other"/>
    <x v="4"/>
    <s v="Chennai"/>
    <x v="6"/>
    <s v="Cycle"/>
    <n v="2"/>
    <n v="10207.68"/>
    <n v="0.39"/>
    <n v="15448.23"/>
    <n v="3254.54"/>
    <n v="51.21"/>
    <s v="Net Banking"/>
    <x v="4"/>
    <b v="0"/>
    <x v="2"/>
    <n v="4"/>
  </r>
  <r>
    <s v="ORD-03070"/>
    <x v="759"/>
    <x v="759"/>
    <s v="CUST29394"/>
    <s v="Rohan Verma"/>
    <n v="35"/>
    <s v="Other"/>
    <x v="3"/>
    <s v="Kolkata"/>
    <x v="5"/>
    <s v="Laptop"/>
    <n v="8"/>
    <n v="20964.05"/>
    <n v="0.28999999999999998"/>
    <n v="174884.92"/>
    <n v="24207.47"/>
    <n v="77.540000000000006"/>
    <s v="UPI"/>
    <x v="3"/>
    <b v="0"/>
    <x v="1"/>
    <n v="5"/>
  </r>
  <r>
    <s v="ORD-00143"/>
    <x v="358"/>
    <x v="358"/>
    <s v="CUST29473"/>
    <s v="Amit Reddy"/>
    <n v="25"/>
    <s v="Other"/>
    <x v="3"/>
    <s v="Kolkata"/>
    <x v="1"/>
    <s v="Shampoo"/>
    <n v="1"/>
    <n v="859"/>
    <n v="0.21"/>
    <n v="788.32"/>
    <n v="385.42"/>
    <n v="82.74"/>
    <s v="UPI"/>
    <x v="0"/>
    <b v="0"/>
    <x v="1"/>
    <n v="4"/>
  </r>
  <r>
    <s v="ORD-01765"/>
    <x v="960"/>
    <x v="960"/>
    <s v="CUST28045"/>
    <s v="Rahul Gupta"/>
    <n v="35"/>
    <s v="Female"/>
    <x v="2"/>
    <s v="Delhi"/>
    <x v="3"/>
    <s v="Fiction Novel"/>
    <n v="3"/>
    <n v="477.72"/>
    <n v="0.39"/>
    <n v="901.37"/>
    <n v="311.79000000000002"/>
    <n v="41.76"/>
    <s v="EMI"/>
    <x v="4"/>
    <b v="1"/>
    <x v="0"/>
    <n v="2"/>
  </r>
  <r>
    <s v="ORD-04014"/>
    <x v="961"/>
    <x v="961"/>
    <s v="CUST71983"/>
    <s v="Vikram Chatterjee"/>
    <n v="21"/>
    <s v="Male"/>
    <x v="2"/>
    <s v="Ludhiana"/>
    <x v="6"/>
    <s v="Football"/>
    <n v="7"/>
    <n v="1420.89"/>
    <n v="0.01"/>
    <n v="14785.98"/>
    <n v="3969.68"/>
    <n v="38.840000000000003"/>
    <s v="Debit Card"/>
    <x v="3"/>
    <b v="0"/>
    <x v="1"/>
    <n v="7"/>
  </r>
  <r>
    <s v="ORD-04079"/>
    <x v="962"/>
    <x v="962"/>
    <s v="CUST85445"/>
    <s v="Vikram Verma"/>
    <n v="40"/>
    <s v="Male"/>
    <x v="4"/>
    <s v="Hyderabad"/>
    <x v="2"/>
    <s v="Desk"/>
    <n v="4"/>
    <n v="25047.24"/>
    <n v="0.06"/>
    <n v="86856.88"/>
    <n v="33882.26"/>
    <n v="83.32"/>
    <s v="EMI"/>
    <x v="1"/>
    <b v="0"/>
    <x v="1"/>
    <n v="4"/>
  </r>
  <r>
    <s v="ORD-01322"/>
    <x v="630"/>
    <x v="630"/>
    <s v="CUST89590"/>
    <s v="Sanjay Rao"/>
    <n v="42"/>
    <s v="Other"/>
    <x v="0"/>
    <s v="Nagpur"/>
    <x v="5"/>
    <s v="Headphones"/>
    <n v="5"/>
    <n v="25084.959999999999"/>
    <n v="0.05"/>
    <n v="172376.29"/>
    <n v="18968.099999999999"/>
    <n v="74.02"/>
    <s v="EMI"/>
    <x v="4"/>
    <b v="0"/>
    <x v="1"/>
    <n v="8"/>
  </r>
  <r>
    <s v="ORD-00964"/>
    <x v="963"/>
    <x v="963"/>
    <s v="CUST62220"/>
    <s v="Deepa Reddy"/>
    <n v="38"/>
    <s v="Female"/>
    <x v="2"/>
    <s v="Ludhiana"/>
    <x v="4"/>
    <s v="Jacket"/>
    <n v="5"/>
    <n v="888.01"/>
    <n v="0.25"/>
    <n v="3544.92"/>
    <n v="906.65"/>
    <n v="30.07"/>
    <s v="Credit Card"/>
    <x v="4"/>
    <b v="0"/>
    <x v="2"/>
    <n v="4"/>
  </r>
  <r>
    <s v="ORD-01452"/>
    <x v="964"/>
    <x v="964"/>
    <s v="CUST49495"/>
    <s v="Priya Reddy"/>
    <n v="20"/>
    <s v="Male"/>
    <x v="1"/>
    <s v="Surat"/>
    <x v="1"/>
    <s v="Shampoo"/>
    <n v="3"/>
    <n v="805.93"/>
    <n v="0.05"/>
    <n v="2114.44"/>
    <n v="1247.55"/>
    <n v="55.34"/>
    <s v="UPI"/>
    <x v="0"/>
    <b v="0"/>
    <x v="1"/>
    <n v="5"/>
  </r>
  <r>
    <s v="ORD-03037"/>
    <x v="50"/>
    <x v="50"/>
    <s v="CUST23747"/>
    <s v="Nikhil Kapoor"/>
    <n v="25"/>
    <s v="Female"/>
    <x v="1"/>
    <s v="Ahmedabad"/>
    <x v="1"/>
    <s v="Sunscreen"/>
    <n v="1"/>
    <n v="1196.94"/>
    <n v="0.09"/>
    <n v="1644.73"/>
    <n v="754.93"/>
    <n v="47.47"/>
    <s v="Cash on Delivery"/>
    <x v="0"/>
    <b v="0"/>
    <x v="1"/>
    <n v="1"/>
  </r>
  <r>
    <s v="ORD-01324"/>
    <x v="630"/>
    <x v="630"/>
    <s v="CUST72753"/>
    <s v="Nisha Kumar"/>
    <n v="11"/>
    <s v="Other"/>
    <x v="0"/>
    <s v="Raipur"/>
    <x v="3"/>
    <s v="Comic Book"/>
    <n v="7"/>
    <n v="1004.42"/>
    <n v="0.04"/>
    <n v="8377.27"/>
    <n v="5250.13"/>
    <n v="59.41"/>
    <s v="Credit Card"/>
    <x v="0"/>
    <b v="0"/>
    <x v="1"/>
    <n v="1"/>
  </r>
  <r>
    <s v="ORD-00233"/>
    <x v="396"/>
    <x v="396"/>
    <s v="CUST32440"/>
    <s v="Ritu Nair"/>
    <n v="39"/>
    <s v="Female"/>
    <x v="3"/>
    <s v="Kolkata"/>
    <x v="5"/>
    <s v="Smartwatch"/>
    <n v="5"/>
    <n v="71617.52"/>
    <n v="0.36"/>
    <n v="255897.86"/>
    <n v="28898.92"/>
    <n v="75.489999999999995"/>
    <s v="EMI"/>
    <x v="2"/>
    <b v="1"/>
    <x v="0"/>
    <n v="2"/>
  </r>
  <r>
    <s v="ORD-01302"/>
    <x v="323"/>
    <x v="323"/>
    <s v="CUST86947"/>
    <s v="Meera Rao"/>
    <n v="32"/>
    <s v="Male"/>
    <x v="2"/>
    <s v="Amritsar"/>
    <x v="2"/>
    <s v="Bed Frame"/>
    <n v="1"/>
    <n v="9518.8799999999992"/>
    <n v="0.28000000000000003"/>
    <n v="8848.99"/>
    <n v="3106.65"/>
    <n v="60.55"/>
    <s v="UPI"/>
    <x v="1"/>
    <b v="0"/>
    <x v="4"/>
    <n v="6"/>
  </r>
  <r>
    <s v="ORD-01767"/>
    <x v="386"/>
    <x v="386"/>
    <s v="CUST86434"/>
    <s v="Kavya Joshi"/>
    <n v="37"/>
    <s v="Other"/>
    <x v="0"/>
    <s v="Nagpur"/>
    <x v="6"/>
    <s v="Tennis Racket"/>
    <n v="6"/>
    <n v="4023.89"/>
    <n v="0.1"/>
    <n v="22623.39"/>
    <n v="2450.1799999999998"/>
    <n v="43.87"/>
    <s v="Credit Card"/>
    <x v="2"/>
    <b v="0"/>
    <x v="3"/>
    <n v="2"/>
  </r>
  <r>
    <s v="ORD-02761"/>
    <x v="534"/>
    <x v="534"/>
    <s v="CUST40656"/>
    <s v="Shreya Patel"/>
    <n v="21"/>
    <s v="Other"/>
    <x v="1"/>
    <s v="Mumbai"/>
    <x v="6"/>
    <s v="Tennis Racket"/>
    <n v="10"/>
    <n v="12942.94"/>
    <n v="0.17"/>
    <n v="168816.96"/>
    <n v="44825.88"/>
    <n v="57.55"/>
    <s v="Cash on Delivery"/>
    <x v="0"/>
    <b v="0"/>
    <x v="4"/>
    <n v="6"/>
  </r>
  <r>
    <s v="ORD-03277"/>
    <x v="245"/>
    <x v="245"/>
    <s v="CUST00162"/>
    <s v="Sunita Kapoor"/>
    <n v="44"/>
    <s v="Male"/>
    <x v="3"/>
    <s v="Patna"/>
    <x v="6"/>
    <s v="Cricket Bat"/>
    <n v="9"/>
    <n v="6566.64"/>
    <n v="0.11"/>
    <n v="50681.89"/>
    <n v="12859.41"/>
    <n v="88.55"/>
    <s v="Debit Card"/>
    <x v="0"/>
    <b v="0"/>
    <x v="1"/>
    <n v="2"/>
  </r>
  <r>
    <s v="ORD-00077"/>
    <x v="587"/>
    <x v="587"/>
    <s v="CUST29476"/>
    <s v="Pooja Mishra"/>
    <n v="32"/>
    <s v="Female"/>
    <x v="0"/>
    <s v="Raipur"/>
    <x v="0"/>
    <s v="Cooking Oil"/>
    <n v="3"/>
    <n v="111.25"/>
    <n v="0.34"/>
    <n v="169.55"/>
    <n v="14.81"/>
    <n v="67.44"/>
    <s v="Net Banking"/>
    <x v="2"/>
    <b v="1"/>
    <x v="0"/>
    <n v="2"/>
  </r>
  <r>
    <s v="ORD-03707"/>
    <x v="965"/>
    <x v="965"/>
    <s v="CUST19426"/>
    <s v="Ananya Bhat"/>
    <n v="19"/>
    <s v="Male"/>
    <x v="2"/>
    <s v="Chandigarh"/>
    <x v="4"/>
    <s v="T-Shirt"/>
    <n v="4"/>
    <n v="2911.82"/>
    <n v="0.11"/>
    <n v="17929.64"/>
    <n v="6962.57"/>
    <n v="69.31"/>
    <s v="Net Banking"/>
    <x v="2"/>
    <b v="1"/>
    <x v="0"/>
    <n v="7"/>
  </r>
  <r>
    <s v="ORD-00234"/>
    <x v="966"/>
    <x v="966"/>
    <s v="CUST16850"/>
    <s v="Meera Rao"/>
    <n v="33"/>
    <s v="Female"/>
    <x v="3"/>
    <s v="Bhubaneswar"/>
    <x v="1"/>
    <s v="Face Cream"/>
    <n v="9"/>
    <n v="2037.1"/>
    <n v="0.35"/>
    <n v="12133.55"/>
    <n v="4748.4399999999996"/>
    <n v="81.709999999999994"/>
    <s v="Net Banking"/>
    <x v="1"/>
    <b v="0"/>
    <x v="1"/>
    <n v="10"/>
  </r>
  <r>
    <s v="ORD-01429"/>
    <x v="600"/>
    <x v="600"/>
    <s v="CUST79705"/>
    <s v="Priya Mehta"/>
    <n v="37"/>
    <s v="Other"/>
    <x v="0"/>
    <s v="Raipur"/>
    <x v="3"/>
    <s v="Textbook"/>
    <n v="10"/>
    <n v="786.45"/>
    <n v="7.0000000000000007E-2"/>
    <n v="6041.95"/>
    <n v="2564.65"/>
    <n v="36.01"/>
    <s v="UPI"/>
    <x v="0"/>
    <b v="0"/>
    <x v="1"/>
    <n v="1"/>
  </r>
  <r>
    <s v="ORD-01782"/>
    <x v="371"/>
    <x v="371"/>
    <s v="CUST00399"/>
    <s v="Sunita Patel"/>
    <n v="26"/>
    <s v="Female"/>
    <x v="0"/>
    <s v="Bhopal"/>
    <x v="2"/>
    <s v="Sofa"/>
    <n v="4"/>
    <n v="9797.48"/>
    <n v="0.19"/>
    <n v="35253.800000000003"/>
    <n v="6234.5"/>
    <n v="54.57"/>
    <s v="Credit Card"/>
    <x v="2"/>
    <b v="0"/>
    <x v="1"/>
    <n v="10"/>
  </r>
  <r>
    <s v="ORD-00257"/>
    <x v="967"/>
    <x v="967"/>
    <s v="CUST54277"/>
    <s v="Amit Rao"/>
    <n v="53"/>
    <s v="Other"/>
    <x v="1"/>
    <s v="Mumbai"/>
    <x v="0"/>
    <s v="Cooking Oil"/>
    <n v="10"/>
    <n v="396.88"/>
    <n v="0.2"/>
    <n v="3258.96"/>
    <n v="349.2"/>
    <n v="85.52"/>
    <s v="EMI"/>
    <x v="2"/>
    <b v="0"/>
    <x v="1"/>
    <n v="8"/>
  </r>
  <r>
    <s v="ORD-02393"/>
    <x v="87"/>
    <x v="87"/>
    <s v="CUST36476"/>
    <s v="Priya Iyer"/>
    <n v="32"/>
    <s v="Other"/>
    <x v="1"/>
    <s v="Pune"/>
    <x v="0"/>
    <s v="Sugar"/>
    <n v="3"/>
    <n v="391.44"/>
    <n v="0.02"/>
    <n v="842.74"/>
    <n v="75.650000000000006"/>
    <n v="67.459999999999994"/>
    <s v="EMI"/>
    <x v="1"/>
    <b v="0"/>
    <x v="1"/>
    <n v="2"/>
  </r>
  <r>
    <s v="ORD-03551"/>
    <x v="968"/>
    <x v="968"/>
    <s v="CUST00900"/>
    <s v="Nikhil Patel"/>
    <n v="43"/>
    <s v="Male"/>
    <x v="0"/>
    <s v="Raipur"/>
    <x v="3"/>
    <s v="Self-Help Book"/>
    <n v="3"/>
    <n v="520.52"/>
    <n v="0.27"/>
    <n v="1527.32"/>
    <n v="542.48"/>
    <n v="45.42"/>
    <s v="UPI"/>
    <x v="4"/>
    <b v="0"/>
    <x v="1"/>
    <n v="5"/>
  </r>
  <r>
    <s v="ORD-00834"/>
    <x v="969"/>
    <x v="969"/>
    <s v="CUST47770"/>
    <s v="Nikhil Gupta"/>
    <n v="34"/>
    <s v="Other"/>
    <x v="4"/>
    <s v="Kochi"/>
    <x v="4"/>
    <s v="Dress"/>
    <n v="8"/>
    <n v="2520.61"/>
    <n v="0.21"/>
    <n v="16226.61"/>
    <n v="4402.1499999999996"/>
    <n v="66.22"/>
    <s v="Credit Card"/>
    <x v="3"/>
    <b v="1"/>
    <x v="0"/>
    <n v="5"/>
  </r>
  <r>
    <s v="ORD-02243"/>
    <x v="662"/>
    <x v="662"/>
    <s v="CUST19197"/>
    <s v="Pooja Mehta"/>
    <n v="25"/>
    <s v="Male"/>
    <x v="2"/>
    <s v="Amritsar"/>
    <x v="3"/>
    <s v="Self-Help Book"/>
    <n v="1"/>
    <n v="834.25"/>
    <n v="0.18"/>
    <n v="828.78"/>
    <n v="257.11"/>
    <n v="40.700000000000003"/>
    <s v="EMI"/>
    <x v="4"/>
    <b v="0"/>
    <x v="3"/>
    <n v="2"/>
  </r>
  <r>
    <s v="ORD-04175"/>
    <x v="970"/>
    <x v="970"/>
    <s v="CUST38221"/>
    <s v="Pooja Kapoor"/>
    <n v="48"/>
    <s v="Other"/>
    <x v="2"/>
    <s v="Ludhiana"/>
    <x v="1"/>
    <s v="Lipstick"/>
    <n v="5"/>
    <n v="1283.6099999999999"/>
    <n v="0.36"/>
    <n v="3770.64"/>
    <n v="2025.41"/>
    <n v="50.14"/>
    <s v="Credit Card"/>
    <x v="2"/>
    <b v="0"/>
    <x v="1"/>
    <n v="8"/>
  </r>
  <r>
    <s v="ORD-01079"/>
    <x v="381"/>
    <x v="381"/>
    <s v="CUST14896"/>
    <s v="Vikram Patel"/>
    <n v="27"/>
    <s v="Female"/>
    <x v="1"/>
    <s v="Mumbai"/>
    <x v="4"/>
    <s v="Saree"/>
    <n v="4"/>
    <n v="2657.71"/>
    <n v="0.06"/>
    <n v="13392.95"/>
    <n v="6034.89"/>
    <n v="21.27"/>
    <s v="Net Banking"/>
    <x v="1"/>
    <b v="0"/>
    <x v="1"/>
    <n v="9"/>
  </r>
  <r>
    <s v="ORD-00155"/>
    <x v="971"/>
    <x v="971"/>
    <s v="CUST46589"/>
    <s v="Sanjay Singh"/>
    <n v="29"/>
    <s v="Female"/>
    <x v="1"/>
    <s v="Mumbai"/>
    <x v="0"/>
    <s v="Tea"/>
    <n v="7"/>
    <n v="363.04"/>
    <n v="0.17"/>
    <n v="1919.38"/>
    <n v="104.66"/>
    <n v="54.23"/>
    <s v="EMI"/>
    <x v="1"/>
    <b v="0"/>
    <x v="1"/>
    <n v="5"/>
  </r>
  <r>
    <s v="ORD-02829"/>
    <x v="972"/>
    <x v="972"/>
    <s v="CUST25805"/>
    <s v="Arjun Gupta"/>
    <n v="36"/>
    <s v="Male"/>
    <x v="4"/>
    <s v="Hyderabad"/>
    <x v="0"/>
    <s v="Dal (1kg)"/>
    <n v="2"/>
    <n v="399.16"/>
    <n v="0.34"/>
    <n v="850.9"/>
    <n v="55.39"/>
    <n v="50.2"/>
    <s v="UPI"/>
    <x v="1"/>
    <b v="0"/>
    <x v="4"/>
    <n v="1"/>
  </r>
  <r>
    <s v="ORD-03948"/>
    <x v="973"/>
    <x v="973"/>
    <s v="CUST69929"/>
    <s v="Nisha Bose"/>
    <n v="6"/>
    <s v="Other"/>
    <x v="4"/>
    <s v="Bangalore"/>
    <x v="0"/>
    <s v="Dal (1kg)"/>
    <n v="1"/>
    <n v="231.86"/>
    <n v="0.05"/>
    <n v="371.3"/>
    <n v="34.56"/>
    <n v="71.709999999999994"/>
    <s v="Cash on Delivery"/>
    <x v="3"/>
    <b v="0"/>
    <x v="4"/>
    <n v="7"/>
  </r>
  <r>
    <s v="ORD-03980"/>
    <x v="974"/>
    <x v="974"/>
    <s v="CUST14258"/>
    <s v="Meera Mishra"/>
    <n v="33"/>
    <s v="Female"/>
    <x v="4"/>
    <s v="Bangalore"/>
    <x v="1"/>
    <s v="Sunscreen"/>
    <n v="5"/>
    <n v="1914.01"/>
    <n v="0.13"/>
    <n v="2301.14"/>
    <n v="974.62"/>
    <n v="78.05"/>
    <s v="UPI"/>
    <x v="4"/>
    <b v="1"/>
    <x v="0"/>
    <n v="2"/>
  </r>
  <r>
    <s v="ORD-02443"/>
    <x v="975"/>
    <x v="975"/>
    <s v="CUST14094"/>
    <s v="Ananya Bose"/>
    <n v="62"/>
    <s v="Female"/>
    <x v="3"/>
    <s v="Guwahati"/>
    <x v="4"/>
    <s v="Kurta"/>
    <n v="6"/>
    <n v="2854.71"/>
    <n v="0.08"/>
    <n v="14003.32"/>
    <n v="2778.35"/>
    <n v="104.98"/>
    <s v="Credit Card"/>
    <x v="0"/>
    <b v="0"/>
    <x v="1"/>
    <n v="7"/>
  </r>
  <r>
    <s v="ORD-01744"/>
    <x v="80"/>
    <x v="80"/>
    <s v="CUST90888"/>
    <s v="Ritu Rao"/>
    <n v="34"/>
    <s v="Other"/>
    <x v="2"/>
    <s v="Ludhiana"/>
    <x v="3"/>
    <s v="Biography"/>
    <n v="2"/>
    <n v="297.05"/>
    <n v="0.19"/>
    <n v="431.92"/>
    <n v="187.79"/>
    <n v="46.2"/>
    <s v="Debit Card"/>
    <x v="0"/>
    <b v="0"/>
    <x v="1"/>
    <n v="9"/>
  </r>
  <r>
    <s v="ORD-03766"/>
    <x v="976"/>
    <x v="976"/>
    <s v="CUST36068"/>
    <s v="Aarav Singh"/>
    <n v="30"/>
    <s v="Other"/>
    <x v="3"/>
    <s v="Bhubaneswar"/>
    <x v="4"/>
    <s v="Jeans"/>
    <n v="5"/>
    <n v="3154.09"/>
    <n v="0.01"/>
    <n v="4594.66"/>
    <n v="1520"/>
    <n v="69.59"/>
    <s v="UPI"/>
    <x v="0"/>
    <b v="0"/>
    <x v="1"/>
    <n v="9"/>
  </r>
  <r>
    <s v="ORD-03239"/>
    <x v="824"/>
    <x v="824"/>
    <s v="CUST65289"/>
    <s v="Ritu Chatterjee"/>
    <n v="38"/>
    <s v="Female"/>
    <x v="0"/>
    <s v="Raipur"/>
    <x v="2"/>
    <s v="Bed Frame"/>
    <n v="1"/>
    <n v="25780.61"/>
    <n v="0.21"/>
    <n v="22272.46"/>
    <n v="8421.08"/>
    <n v="59.29"/>
    <s v="Net Banking"/>
    <x v="2"/>
    <b v="0"/>
    <x v="1"/>
    <n v="3"/>
  </r>
  <r>
    <s v="ORD-00154"/>
    <x v="971"/>
    <x v="971"/>
    <s v="CUST48876"/>
    <s v="Sunita Singh"/>
    <n v="42"/>
    <s v="Male"/>
    <x v="4"/>
    <s v="Bangalore"/>
    <x v="1"/>
    <s v="Sunscreen"/>
    <n v="6"/>
    <n v="1391.35"/>
    <n v="0.11"/>
    <n v="7920.74"/>
    <n v="3630.28"/>
    <n v="103.09"/>
    <s v="Credit Card"/>
    <x v="1"/>
    <b v="1"/>
    <x v="0"/>
    <n v="1"/>
  </r>
  <r>
    <s v="ORD-03429"/>
    <x v="631"/>
    <x v="631"/>
    <s v="CUST09088"/>
    <s v="Rohan Rao"/>
    <n v="36"/>
    <s v="Female"/>
    <x v="1"/>
    <s v="Ahmedabad"/>
    <x v="1"/>
    <s v="Sunscreen"/>
    <n v="10"/>
    <n v="1843.94"/>
    <n v="0.31"/>
    <n v="13547.2"/>
    <n v="6188.12"/>
    <n v="63.02"/>
    <s v="EMI"/>
    <x v="0"/>
    <b v="0"/>
    <x v="1"/>
    <n v="10"/>
  </r>
  <r>
    <s v="ORD-03908"/>
    <x v="402"/>
    <x v="402"/>
    <s v="CUST32213"/>
    <s v="Amit Verma"/>
    <n v="44"/>
    <s v="Other"/>
    <x v="1"/>
    <s v="Mumbai"/>
    <x v="5"/>
    <s v="Tablet"/>
    <n v="10"/>
    <n v="70999.960000000006"/>
    <n v="0.37"/>
    <n v="619186.18000000005"/>
    <n v="80911.12"/>
    <n v="58.51"/>
    <s v="EMI"/>
    <x v="1"/>
    <b v="0"/>
    <x v="4"/>
    <n v="6"/>
  </r>
  <r>
    <s v="ORD-01433"/>
    <x v="600"/>
    <x v="600"/>
    <s v="CUST83420"/>
    <s v="Rahul Kumar"/>
    <n v="22"/>
    <s v="Male"/>
    <x v="4"/>
    <s v="Chennai"/>
    <x v="1"/>
    <s v="Lipstick"/>
    <n v="2"/>
    <n v="785.12"/>
    <n v="0.23"/>
    <n v="1096.54"/>
    <n v="569.29999999999995"/>
    <n v="95.2"/>
    <s v="Credit Card"/>
    <x v="2"/>
    <b v="1"/>
    <x v="0"/>
    <n v="10"/>
  </r>
  <r>
    <s v="ORD-01395"/>
    <x v="977"/>
    <x v="977"/>
    <s v="CUST24924"/>
    <s v="Ananya Shah"/>
    <n v="14"/>
    <s v="Male"/>
    <x v="1"/>
    <s v="Pune"/>
    <x v="2"/>
    <s v="Sofa"/>
    <n v="9"/>
    <n v="15802.88"/>
    <n v="0.01"/>
    <n v="165325.69"/>
    <n v="46953.51"/>
    <n v="64.989999999999995"/>
    <s v="Debit Card"/>
    <x v="4"/>
    <b v="0"/>
    <x v="1"/>
    <n v="9"/>
  </r>
  <r>
    <s v="ORD-02966"/>
    <x v="978"/>
    <x v="978"/>
    <s v="CUST38879"/>
    <s v="Ananya Kapoor"/>
    <n v="36"/>
    <s v="Other"/>
    <x v="2"/>
    <s v="Amritsar"/>
    <x v="4"/>
    <s v="Dress"/>
    <n v="1"/>
    <n v="1861.32"/>
    <n v="0.38"/>
    <n v="1580.05"/>
    <n v="590.29"/>
    <n v="55.74"/>
    <s v="UPI"/>
    <x v="2"/>
    <b v="0"/>
    <x v="1"/>
    <n v="1"/>
  </r>
  <r>
    <s v="ORD-01393"/>
    <x v="257"/>
    <x v="257"/>
    <s v="CUST82169"/>
    <s v="Ritu Bhat"/>
    <n v="54"/>
    <s v="Other"/>
    <x v="2"/>
    <s v="Delhi"/>
    <x v="6"/>
    <s v="Tennis Racket"/>
    <n v="1"/>
    <n v="7834.86"/>
    <n v="0.37"/>
    <n v="4867.16"/>
    <n v="961.37"/>
    <n v="53.04"/>
    <s v="Debit Card"/>
    <x v="4"/>
    <b v="0"/>
    <x v="1"/>
    <n v="8"/>
  </r>
  <r>
    <s v="ORD-04050"/>
    <x v="78"/>
    <x v="78"/>
    <s v="CUST03944"/>
    <s v="Meera Verma"/>
    <n v="32"/>
    <s v="Female"/>
    <x v="3"/>
    <s v="Patna"/>
    <x v="5"/>
    <s v="Headphones"/>
    <n v="9"/>
    <n v="45487.77"/>
    <n v="0.17"/>
    <n v="355300.24"/>
    <n v="48057.8"/>
    <n v="81.010000000000005"/>
    <s v="Debit Card"/>
    <x v="1"/>
    <b v="0"/>
    <x v="1"/>
    <n v="10"/>
  </r>
  <r>
    <s v="ORD-02331"/>
    <x v="288"/>
    <x v="288"/>
    <s v="CUST06489"/>
    <s v="Nikhil Verma"/>
    <n v="47"/>
    <s v="Other"/>
    <x v="4"/>
    <s v="Bangalore"/>
    <x v="2"/>
    <s v="Sofa"/>
    <n v="6"/>
    <n v="5535.62"/>
    <n v="0.27"/>
    <n v="20778.29"/>
    <n v="3962.34"/>
    <n v="76.760000000000005"/>
    <s v="Credit Card"/>
    <x v="0"/>
    <b v="0"/>
    <x v="1"/>
    <n v="5"/>
  </r>
  <r>
    <s v="ORD-02006"/>
    <x v="216"/>
    <x v="216"/>
    <s v="CUST22452"/>
    <s v="Sanjay Verma"/>
    <n v="8"/>
    <s v="Other"/>
    <x v="2"/>
    <s v="Amritsar"/>
    <x v="4"/>
    <s v="Jeans"/>
    <n v="7"/>
    <n v="2943.52"/>
    <n v="0.27"/>
    <n v="21771.759999999998"/>
    <n v="5661.41"/>
    <n v="21.72"/>
    <s v="Credit Card"/>
    <x v="2"/>
    <b v="0"/>
    <x v="4"/>
    <n v="3"/>
  </r>
  <r>
    <s v="ORD-00387"/>
    <x v="629"/>
    <x v="629"/>
    <s v="CUST18372"/>
    <s v="Amit Iyer"/>
    <n v="15"/>
    <s v="Other"/>
    <x v="1"/>
    <s v="Surat"/>
    <x v="1"/>
    <s v="Face Cream"/>
    <n v="4"/>
    <n v="1506.41"/>
    <n v="0.19"/>
    <n v="6032.13"/>
    <n v="1914.08"/>
    <n v="36.43"/>
    <s v="EMI"/>
    <x v="0"/>
    <b v="0"/>
    <x v="1"/>
    <n v="7"/>
  </r>
  <r>
    <s v="ORD-03927"/>
    <x v="979"/>
    <x v="979"/>
    <s v="CUST77199"/>
    <s v="Karan Pillai"/>
    <n v="31"/>
    <s v="Male"/>
    <x v="0"/>
    <s v="Raipur"/>
    <x v="4"/>
    <s v="Jeans"/>
    <n v="3"/>
    <n v="2207.16"/>
    <n v="0.2"/>
    <n v="7894.09"/>
    <n v="2384.5700000000002"/>
    <n v="30.61"/>
    <s v="Credit Card"/>
    <x v="0"/>
    <b v="0"/>
    <x v="1"/>
    <n v="2"/>
  </r>
  <r>
    <s v="ORD-01629"/>
    <x v="362"/>
    <x v="362"/>
    <s v="CUST37392"/>
    <s v="Amit Mehta"/>
    <n v="50"/>
    <s v="Other"/>
    <x v="1"/>
    <s v="Ahmedabad"/>
    <x v="1"/>
    <s v="Lipstick"/>
    <n v="9"/>
    <n v="1833.53"/>
    <n v="0.17"/>
    <n v="10130.450000000001"/>
    <n v="6082.08"/>
    <n v="40.130000000000003"/>
    <s v="Net Banking"/>
    <x v="4"/>
    <b v="1"/>
    <x v="0"/>
    <n v="3"/>
  </r>
  <r>
    <s v="ORD-01895"/>
    <x v="113"/>
    <x v="113"/>
    <s v="CUST07132"/>
    <s v="Meera Mishra"/>
    <n v="32"/>
    <s v="Other"/>
    <x v="0"/>
    <s v="Nagpur"/>
    <x v="0"/>
    <s v="Dal (1kg)"/>
    <n v="6"/>
    <n v="85.52"/>
    <n v="0.26"/>
    <n v="564.09"/>
    <n v="43.08"/>
    <n v="32.799999999999997"/>
    <s v="Debit Card"/>
    <x v="2"/>
    <b v="0"/>
    <x v="1"/>
    <n v="7"/>
  </r>
  <r>
    <s v="ORD-01375"/>
    <x v="980"/>
    <x v="980"/>
    <s v="CUST51615"/>
    <s v="Rohan Bose"/>
    <n v="19"/>
    <s v="Male"/>
    <x v="2"/>
    <s v="Ludhiana"/>
    <x v="2"/>
    <s v="Bookshelf"/>
    <n v="4"/>
    <n v="5696.48"/>
    <n v="0.12"/>
    <n v="22406.7"/>
    <n v="5980.82"/>
    <n v="55.28"/>
    <s v="EMI"/>
    <x v="0"/>
    <b v="0"/>
    <x v="1"/>
    <n v="3"/>
  </r>
  <r>
    <s v="ORD-01406"/>
    <x v="353"/>
    <x v="353"/>
    <s v="CUST72539"/>
    <s v="Sanjay Mehta"/>
    <n v="47"/>
    <s v="Other"/>
    <x v="2"/>
    <s v="Delhi"/>
    <x v="5"/>
    <s v="Laptop"/>
    <n v="8"/>
    <n v="75788.600000000006"/>
    <n v="0.25"/>
    <n v="518764.77"/>
    <n v="69163.47"/>
    <n v="47.81"/>
    <s v="Cash on Delivery"/>
    <x v="3"/>
    <b v="0"/>
    <x v="1"/>
    <n v="10"/>
  </r>
  <r>
    <s v="ORD-01469"/>
    <x v="324"/>
    <x v="324"/>
    <s v="CUST87162"/>
    <s v="Rahul Gupta"/>
    <n v="52"/>
    <s v="Other"/>
    <x v="0"/>
    <s v="Nagpur"/>
    <x v="1"/>
    <s v="Shampoo"/>
    <n v="5"/>
    <n v="1074.3599999999999"/>
    <n v="0.39"/>
    <n v="2700.49"/>
    <n v="861.37"/>
    <n v="86.73"/>
    <s v="Cash on Delivery"/>
    <x v="0"/>
    <b v="0"/>
    <x v="1"/>
    <n v="8"/>
  </r>
  <r>
    <s v="ORD-00780"/>
    <x v="424"/>
    <x v="424"/>
    <s v="CUST96960"/>
    <s v="Amit Mishra"/>
    <n v="39"/>
    <s v="Male"/>
    <x v="4"/>
    <s v="Kochi"/>
    <x v="2"/>
    <s v="Wardrobe"/>
    <n v="2"/>
    <n v="10151.9"/>
    <n v="0.21"/>
    <n v="11388.89"/>
    <n v="2489.06"/>
    <n v="77"/>
    <s v="EMI"/>
    <x v="1"/>
    <b v="1"/>
    <x v="0"/>
    <n v="5"/>
  </r>
  <r>
    <s v="ORD-03581"/>
    <x v="981"/>
    <x v="981"/>
    <s v="CUST67732"/>
    <s v="Ananya Bhat"/>
    <n v="32"/>
    <s v="Male"/>
    <x v="0"/>
    <s v="Raipur"/>
    <x v="1"/>
    <s v="Perfume"/>
    <n v="5"/>
    <n v="1353.73"/>
    <n v="0.34"/>
    <n v="6179.59"/>
    <n v="3104.88"/>
    <n v="47.49"/>
    <s v="Cash on Delivery"/>
    <x v="4"/>
    <b v="0"/>
    <x v="1"/>
    <n v="6"/>
  </r>
  <r>
    <s v="ORD-02763"/>
    <x v="534"/>
    <x v="534"/>
    <s v="CUST85402"/>
    <s v="Aarav Mehta"/>
    <n v="32"/>
    <s v="Male"/>
    <x v="4"/>
    <s v="Kochi"/>
    <x v="5"/>
    <s v="Laptop"/>
    <n v="5"/>
    <n v="79827.98"/>
    <n v="0.28000000000000003"/>
    <n v="418460.95"/>
    <n v="34788.35"/>
    <n v="73.92"/>
    <s v="Cash on Delivery"/>
    <x v="3"/>
    <b v="0"/>
    <x v="1"/>
    <n v="2"/>
  </r>
  <r>
    <s v="ORD-04087"/>
    <x v="229"/>
    <x v="229"/>
    <s v="CUST15824"/>
    <s v="Arjun Nair"/>
    <n v="8"/>
    <s v="Female"/>
    <x v="4"/>
    <s v="Kochi"/>
    <x v="6"/>
    <s v="Dumbbells"/>
    <n v="1"/>
    <n v="14972.12"/>
    <n v="0.02"/>
    <n v="14887.84"/>
    <n v="3707.49"/>
    <n v="63.98"/>
    <s v="EMI"/>
    <x v="1"/>
    <b v="0"/>
    <x v="4"/>
    <n v="7"/>
  </r>
  <r>
    <s v="ORD-01154"/>
    <x v="982"/>
    <x v="982"/>
    <s v="CUST61383"/>
    <s v="Vikram Sharma"/>
    <n v="44"/>
    <s v="Female"/>
    <x v="4"/>
    <s v="Bangalore"/>
    <x v="4"/>
    <s v="Kurta"/>
    <n v="0"/>
    <n v="2696.46"/>
    <n v="0.28999999999999998"/>
    <n v="2622.68"/>
    <n v="977.15"/>
    <n v="101.51"/>
    <s v="EMI"/>
    <x v="3"/>
    <b v="0"/>
    <x v="1"/>
    <n v="6"/>
  </r>
  <r>
    <s v="ORD-00977"/>
    <x v="256"/>
    <x v="256"/>
    <s v="CUST76218"/>
    <s v="Ananya Gupta"/>
    <n v="41"/>
    <s v="Female"/>
    <x v="1"/>
    <s v="Surat"/>
    <x v="6"/>
    <s v="Cricket Bat"/>
    <n v="5"/>
    <n v="12410.73"/>
    <n v="0.36"/>
    <n v="40821.89"/>
    <n v="12307.83"/>
    <n v="65.83"/>
    <s v="UPI"/>
    <x v="4"/>
    <b v="0"/>
    <x v="1"/>
    <n v="2"/>
  </r>
  <r>
    <s v="ORD-00435"/>
    <x v="239"/>
    <x v="239"/>
    <s v="CUST40017"/>
    <s v="Sunita Joshi"/>
    <n v="15"/>
    <s v="Male"/>
    <x v="2"/>
    <s v="Delhi"/>
    <x v="3"/>
    <s v="Fiction Novel"/>
    <n v="1"/>
    <n v="702.36"/>
    <n v="0.39"/>
    <n v="539.17999999999995"/>
    <n v="184.49"/>
    <n v="59.64"/>
    <s v="EMI"/>
    <x v="4"/>
    <b v="0"/>
    <x v="1"/>
    <n v="4"/>
  </r>
  <r>
    <s v="ORD-02887"/>
    <x v="983"/>
    <x v="983"/>
    <s v="CUST19802"/>
    <s v="Karan Chatterjee"/>
    <n v="32"/>
    <s v="Male"/>
    <x v="3"/>
    <s v="Patna"/>
    <x v="3"/>
    <s v="Cook Book"/>
    <n v="2"/>
    <n v="200.96"/>
    <n v="0.25"/>
    <n v="458.12"/>
    <n v="104.93"/>
    <n v="75.89"/>
    <s v="Credit Card"/>
    <x v="4"/>
    <b v="1"/>
    <x v="0"/>
    <n v="4"/>
  </r>
  <r>
    <s v="ORD-01400"/>
    <x v="984"/>
    <x v="984"/>
    <s v="CUST47772"/>
    <s v="Sunita Das"/>
    <n v="43"/>
    <s v="Male"/>
    <x v="1"/>
    <s v="Ahmedabad"/>
    <x v="2"/>
    <s v="Wardrobe"/>
    <n v="2"/>
    <n v="2701.39"/>
    <n v="0.33"/>
    <n v="4179.32"/>
    <n v="933.32"/>
    <n v="79.239999999999995"/>
    <s v="Credit Card"/>
    <x v="1"/>
    <b v="0"/>
    <x v="3"/>
    <n v="2"/>
  </r>
  <r>
    <s v="ORD-00175"/>
    <x v="985"/>
    <x v="985"/>
    <s v="CUST47786"/>
    <s v="Nisha Rao"/>
    <n v="35"/>
    <s v="Male"/>
    <x v="1"/>
    <s v="Ahmedabad"/>
    <x v="1"/>
    <s v="Lipstick"/>
    <n v="9"/>
    <n v="2028.03"/>
    <n v="0.12"/>
    <n v="15078.05"/>
    <n v="8126.73"/>
    <n v="55.01"/>
    <s v="Net Banking"/>
    <x v="2"/>
    <b v="0"/>
    <x v="1"/>
    <n v="9"/>
  </r>
  <r>
    <s v="ORD-00002"/>
    <x v="597"/>
    <x v="597"/>
    <s v="CUST51802"/>
    <s v="Sunita Das"/>
    <n v="29"/>
    <s v="Male"/>
    <x v="1"/>
    <s v="Pune"/>
    <x v="4"/>
    <s v="Jeans"/>
    <n v="4"/>
    <n v="2870.76"/>
    <n v="0.08"/>
    <n v="7950.72"/>
    <n v="2135.16"/>
    <n v="55.33"/>
    <s v="UPI"/>
    <x v="0"/>
    <b v="0"/>
    <x v="3"/>
    <n v="1"/>
  </r>
  <r>
    <s v="ORD-04135"/>
    <x v="691"/>
    <x v="691"/>
    <s v="CUST23239"/>
    <s v="Vikram Mehta"/>
    <n v="53"/>
    <s v="Male"/>
    <x v="2"/>
    <s v="Delhi"/>
    <x v="4"/>
    <s v="Kurta"/>
    <n v="9"/>
    <n v="3206.85"/>
    <n v="0.36"/>
    <n v="16832.810000000001"/>
    <n v="7356.75"/>
    <n v="78.400000000000006"/>
    <s v="EMI"/>
    <x v="3"/>
    <b v="0"/>
    <x v="1"/>
    <n v="9"/>
  </r>
  <r>
    <s v="ORD-02590"/>
    <x v="986"/>
    <x v="986"/>
    <s v="CUST47612"/>
    <s v="Kavya Gupta"/>
    <n v="25"/>
    <s v="Other"/>
    <x v="4"/>
    <s v="Bangalore"/>
    <x v="0"/>
    <s v="Rice (5kg)"/>
    <n v="8"/>
    <n v="100.16"/>
    <n v="0.37"/>
    <n v="487.77"/>
    <n v="30.28"/>
    <n v="43.77"/>
    <s v="Credit Card"/>
    <x v="0"/>
    <b v="0"/>
    <x v="1"/>
    <n v="8"/>
  </r>
  <r>
    <s v="ORD-03114"/>
    <x v="987"/>
    <x v="987"/>
    <s v="CUST43839"/>
    <s v="Nisha Nair"/>
    <n v="29"/>
    <s v="Male"/>
    <x v="4"/>
    <s v="Kochi"/>
    <x v="5"/>
    <s v="Camera"/>
    <n v="6"/>
    <n v="63434.95"/>
    <n v="0.24"/>
    <n v="350565.99"/>
    <n v="45365.64"/>
    <n v="76.62"/>
    <s v="Debit Card"/>
    <x v="4"/>
    <b v="0"/>
    <x v="1"/>
    <n v="3"/>
  </r>
  <r>
    <s v="ORD-01899"/>
    <x v="585"/>
    <x v="585"/>
    <s v="CUST81485"/>
    <s v="Amit Bose"/>
    <n v="18"/>
    <s v="Other"/>
    <x v="1"/>
    <s v="Surat"/>
    <x v="2"/>
    <s v="Bookshelf"/>
    <n v="5"/>
    <n v="15688.53"/>
    <n v="0.03"/>
    <n v="85481.83"/>
    <n v="16735.14"/>
    <n v="49.69"/>
    <s v="Credit Card"/>
    <x v="2"/>
    <b v="0"/>
    <x v="1"/>
    <n v="10"/>
  </r>
  <r>
    <s v="ORD-02691"/>
    <x v="344"/>
    <x v="344"/>
    <s v="CUST42275"/>
    <s v="Aditya Patel"/>
    <n v="21"/>
    <s v="Female"/>
    <x v="4"/>
    <s v="Chennai"/>
    <x v="5"/>
    <s v="Smartwatch"/>
    <n v="2"/>
    <n v="76616.83"/>
    <n v="0.1"/>
    <n v="186369.89"/>
    <n v="20529.28"/>
    <n v="55.12"/>
    <s v="UPI"/>
    <x v="2"/>
    <b v="0"/>
    <x v="1"/>
    <n v="5"/>
  </r>
  <r>
    <s v="ORD-01084"/>
    <x v="673"/>
    <x v="673"/>
    <s v="CUST77289"/>
    <s v="Nisha Iyer"/>
    <n v="43"/>
    <s v="Male"/>
    <x v="1"/>
    <s v="Mumbai"/>
    <x v="2"/>
    <s v="Desk"/>
    <n v="5"/>
    <n v="31699.03"/>
    <n v="0"/>
    <n v="40736.49"/>
    <n v="13735.32"/>
    <n v="44.74"/>
    <s v="UPI"/>
    <x v="4"/>
    <b v="1"/>
    <x v="0"/>
    <n v="8"/>
  </r>
  <r>
    <s v="ORD-03337"/>
    <x v="988"/>
    <x v="988"/>
    <s v="CUST12631"/>
    <s v="Aditya Bose"/>
    <n v="26"/>
    <s v="Other"/>
    <x v="1"/>
    <s v="Pune"/>
    <x v="4"/>
    <s v="T-Shirt"/>
    <n v="9"/>
    <n v="3755.73"/>
    <n v="0.11"/>
    <n v="27923.07"/>
    <n v="12762.99"/>
    <n v="89.92"/>
    <s v="Debit Card"/>
    <x v="4"/>
    <b v="0"/>
    <x v="1"/>
    <n v="3"/>
  </r>
  <r>
    <s v="ORD-00996"/>
    <x v="238"/>
    <x v="238"/>
    <s v="CUST03526"/>
    <s v="Aditya Das"/>
    <n v="28"/>
    <s v="Male"/>
    <x v="3"/>
    <s v="Patna"/>
    <x v="4"/>
    <s v="Jeans"/>
    <n v="2"/>
    <n v="2973.25"/>
    <n v="0.16"/>
    <n v="5032.59"/>
    <n v="2113.6999999999998"/>
    <n v="62.75"/>
    <s v="UPI"/>
    <x v="4"/>
    <b v="1"/>
    <x v="0"/>
    <n v="8"/>
  </r>
  <r>
    <s v="ORD-02783"/>
    <x v="948"/>
    <x v="948"/>
    <s v="CUST75727"/>
    <s v="Ananya Kapoor"/>
    <n v="45"/>
    <s v="Female"/>
    <x v="1"/>
    <s v="Ahmedabad"/>
    <x v="6"/>
    <s v="Yoga Mat"/>
    <n v="3"/>
    <n v="9606.06"/>
    <n v="0.27"/>
    <n v="22984.85"/>
    <n v="4327.42"/>
    <n v="50.91"/>
    <s v="Net Banking"/>
    <x v="1"/>
    <b v="0"/>
    <x v="1"/>
    <n v="4"/>
  </r>
  <r>
    <s v="ORD-02049"/>
    <x v="989"/>
    <x v="989"/>
    <s v="CUST42115"/>
    <s v="Pooja Chatterjee"/>
    <n v="55"/>
    <s v="Female"/>
    <x v="2"/>
    <s v="Delhi"/>
    <x v="1"/>
    <s v="Sunscreen"/>
    <n v="7"/>
    <n v="2037.82"/>
    <n v="0.02"/>
    <n v="21578.84"/>
    <n v="9156.6"/>
    <n v="69.790000000000006"/>
    <s v="Credit Card"/>
    <x v="0"/>
    <b v="0"/>
    <x v="4"/>
    <n v="8"/>
  </r>
  <r>
    <s v="ORD-02714"/>
    <x v="934"/>
    <x v="934"/>
    <s v="CUST62341"/>
    <s v="Aarav Pillai"/>
    <n v="35"/>
    <s v="Male"/>
    <x v="2"/>
    <s v="Amritsar"/>
    <x v="1"/>
    <s v="Lipstick"/>
    <n v="10"/>
    <n v="1251.33"/>
    <n v="0.24"/>
    <n v="11610.5"/>
    <n v="5273.78"/>
    <n v="55.63"/>
    <s v="Net Banking"/>
    <x v="0"/>
    <b v="0"/>
    <x v="1"/>
    <n v="4"/>
  </r>
  <r>
    <s v="ORD-00410"/>
    <x v="990"/>
    <x v="990"/>
    <s v="CUST64583"/>
    <s v="Aditya Bose"/>
    <n v="44"/>
    <s v="Male"/>
    <x v="4"/>
    <s v="Bangalore"/>
    <x v="4"/>
    <s v="Dress"/>
    <n v="10"/>
    <n v="1705.06"/>
    <n v="0.23"/>
    <n v="16597.509999999998"/>
    <n v="4467.97"/>
    <n v="63.43"/>
    <s v="Debit Card"/>
    <x v="4"/>
    <b v="1"/>
    <x v="0"/>
    <n v="10"/>
  </r>
  <r>
    <s v="ORD-00804"/>
    <x v="991"/>
    <x v="991"/>
    <s v="CUST33294"/>
    <s v="Karan Kumar"/>
    <n v="27"/>
    <s v="Other"/>
    <x v="0"/>
    <s v="Bhopal"/>
    <x v="2"/>
    <s v="Bookshelf"/>
    <n v="8"/>
    <n v="9942.4500000000007"/>
    <n v="0.03"/>
    <n v="60313.96"/>
    <n v="18873.68"/>
    <n v="68.3"/>
    <s v="Net Banking"/>
    <x v="1"/>
    <b v="0"/>
    <x v="3"/>
    <n v="4"/>
  </r>
  <r>
    <s v="ORD-01545"/>
    <x v="452"/>
    <x v="452"/>
    <s v="CUST15680"/>
    <s v="Kavya Das"/>
    <n v="33"/>
    <s v="Male"/>
    <x v="0"/>
    <s v="Indore"/>
    <x v="0"/>
    <s v="Dal (1kg)"/>
    <n v="7"/>
    <n v="307.63"/>
    <n v="0.33"/>
    <n v="1086.05"/>
    <n v="55.5"/>
    <n v="33.159999999999997"/>
    <s v="EMI"/>
    <x v="2"/>
    <b v="0"/>
    <x v="1"/>
    <n v="1"/>
  </r>
  <r>
    <s v="ORD-03699"/>
    <x v="834"/>
    <x v="834"/>
    <s v="CUST14480"/>
    <s v="Deepa Nair"/>
    <n v="23"/>
    <s v="Male"/>
    <x v="4"/>
    <s v="Chennai"/>
    <x v="6"/>
    <s v="Dumbbells"/>
    <n v="5"/>
    <n v="7747.27"/>
    <n v="0.33"/>
    <n v="8175.82"/>
    <n v="2263.89"/>
    <n v="42.55"/>
    <s v="Debit Card"/>
    <x v="1"/>
    <b v="0"/>
    <x v="4"/>
    <n v="3"/>
  </r>
  <r>
    <s v="ORD-03516"/>
    <x v="410"/>
    <x v="410"/>
    <s v="CUST15414"/>
    <s v="Sanjay Gupta"/>
    <n v="42"/>
    <s v="Female"/>
    <x v="0"/>
    <s v="Nagpur"/>
    <x v="2"/>
    <s v="Bookshelf"/>
    <n v="9"/>
    <n v="17413.689999999999"/>
    <n v="0.05"/>
    <n v="193913.96"/>
    <n v="54048.53"/>
    <n v="50.26"/>
    <s v="UPI"/>
    <x v="3"/>
    <b v="0"/>
    <x v="1"/>
    <n v="1"/>
  </r>
  <r>
    <s v="ORD-01587"/>
    <x v="992"/>
    <x v="992"/>
    <s v="CUST32752"/>
    <s v="Karan Joshi"/>
    <n v="44"/>
    <s v="Male"/>
    <x v="2"/>
    <s v="Amritsar"/>
    <x v="5"/>
    <s v="Camera"/>
    <n v="5"/>
    <n v="11301.06"/>
    <n v="0.25"/>
    <n v="34158.03"/>
    <n v="4246.6000000000004"/>
    <n v="53.85"/>
    <s v="Credit Card"/>
    <x v="0"/>
    <b v="0"/>
    <x v="2"/>
    <n v="6"/>
  </r>
  <r>
    <s v="ORD-02475"/>
    <x v="993"/>
    <x v="993"/>
    <s v="CUST99227"/>
    <s v="Priya Rao"/>
    <n v="54"/>
    <s v="Other"/>
    <x v="2"/>
    <s v="Ludhiana"/>
    <x v="0"/>
    <s v="Cooking Oil"/>
    <n v="3"/>
    <n v="448.85"/>
    <n v="0.02"/>
    <n v="1000.55"/>
    <n v="81.62"/>
    <n v="54.31"/>
    <s v="Credit Card"/>
    <x v="3"/>
    <b v="0"/>
    <x v="3"/>
    <n v="2"/>
  </r>
  <r>
    <s v="ORD-02216"/>
    <x v="994"/>
    <x v="994"/>
    <s v="CUST38823"/>
    <s v="Deepa Mehta"/>
    <n v="35"/>
    <s v="Female"/>
    <x v="2"/>
    <s v="Amritsar"/>
    <x v="5"/>
    <s v="Tablet"/>
    <n v="7"/>
    <n v="62975.42"/>
    <n v="0.22"/>
    <n v="468129.68"/>
    <n v="79235.509999999995"/>
    <n v="49.03"/>
    <s v="EMI"/>
    <x v="3"/>
    <b v="1"/>
    <x v="0"/>
    <n v="9"/>
  </r>
  <r>
    <s v="ORD-00416"/>
    <x v="29"/>
    <x v="29"/>
    <s v="CUST63769"/>
    <s v="Priya Bhat"/>
    <n v="39"/>
    <s v="Male"/>
    <x v="4"/>
    <s v="Chennai"/>
    <x v="3"/>
    <s v="Textbook"/>
    <n v="2"/>
    <n v="917.65"/>
    <n v="0.12"/>
    <n v="2151.39"/>
    <n v="856.13"/>
    <n v="59.6"/>
    <s v="Net Banking"/>
    <x v="0"/>
    <b v="1"/>
    <x v="0"/>
    <n v="6"/>
  </r>
  <r>
    <s v="ORD-02081"/>
    <x v="649"/>
    <x v="649"/>
    <s v="CUST66488"/>
    <s v="Sunita Das"/>
    <n v="27"/>
    <s v="Female"/>
    <x v="4"/>
    <s v="Chennai"/>
    <x v="1"/>
    <s v="Perfume"/>
    <n v="9"/>
    <n v="1127.06"/>
    <n v="0.38"/>
    <n v="9829.11"/>
    <n v="4003.53"/>
    <n v="54.43"/>
    <s v="EMI"/>
    <x v="1"/>
    <b v="0"/>
    <x v="1"/>
    <n v="5"/>
  </r>
  <r>
    <s v="ORD-02161"/>
    <x v="859"/>
    <x v="859"/>
    <s v="CUST39402"/>
    <s v="Vikram Iyer"/>
    <n v="38"/>
    <s v="Other"/>
    <x v="4"/>
    <s v="Chennai"/>
    <x v="2"/>
    <s v="Sofa"/>
    <n v="5"/>
    <n v="17880.95"/>
    <n v="0.03"/>
    <n v="116528.23"/>
    <n v="33231.599999999999"/>
    <n v="47.07"/>
    <s v="Net Banking"/>
    <x v="4"/>
    <b v="0"/>
    <x v="2"/>
    <n v="2"/>
  </r>
  <r>
    <s v="ORD-02209"/>
    <x v="75"/>
    <x v="75"/>
    <s v="CUST97691"/>
    <s v="Aarav Reddy"/>
    <n v="44"/>
    <s v="Female"/>
    <x v="4"/>
    <s v="Hyderabad"/>
    <x v="3"/>
    <s v="Comic Book"/>
    <n v="2"/>
    <n v="1390.9"/>
    <n v="0.4"/>
    <n v="2194.06"/>
    <n v="741.62"/>
    <n v="68.5"/>
    <s v="Credit Card"/>
    <x v="3"/>
    <b v="0"/>
    <x v="1"/>
    <n v="8"/>
  </r>
  <r>
    <s v="ORD-00584"/>
    <x v="889"/>
    <x v="889"/>
    <s v="CUST21732"/>
    <s v="Nikhil Nair"/>
    <n v="15"/>
    <s v="Other"/>
    <x v="1"/>
    <s v="Surat"/>
    <x v="6"/>
    <s v="Yoga Mat"/>
    <n v="8"/>
    <n v="5733.61"/>
    <n v="0.13"/>
    <n v="40572.080000000002"/>
    <n v="10225.36"/>
    <n v="74.430000000000007"/>
    <s v="Net Banking"/>
    <x v="4"/>
    <b v="0"/>
    <x v="1"/>
    <n v="3"/>
  </r>
  <r>
    <s v="ORD-00533"/>
    <x v="995"/>
    <x v="995"/>
    <s v="CUST56679"/>
    <s v="Shreya Sharma"/>
    <n v="33"/>
    <s v="Other"/>
    <x v="2"/>
    <s v="Ludhiana"/>
    <x v="4"/>
    <s v="Saree"/>
    <n v="5"/>
    <n v="774.58"/>
    <n v="0.31"/>
    <n v="670.73"/>
    <n v="287.27"/>
    <n v="49.67"/>
    <s v="UPI"/>
    <x v="0"/>
    <b v="0"/>
    <x v="1"/>
    <n v="6"/>
  </r>
  <r>
    <s v="ORD-03815"/>
    <x v="676"/>
    <x v="676"/>
    <s v="CUST41610"/>
    <s v="Ritu Mishra"/>
    <n v="28"/>
    <s v="Male"/>
    <x v="1"/>
    <s v="Mumbai"/>
    <x v="2"/>
    <s v="Desk"/>
    <n v="9"/>
    <n v="10925.91"/>
    <n v="0.33"/>
    <n v="95157.91"/>
    <n v="21495.8"/>
    <n v="38.47"/>
    <s v="Net Banking"/>
    <x v="2"/>
    <b v="0"/>
    <x v="1"/>
    <n v="9"/>
  </r>
  <r>
    <s v="ORD-00256"/>
    <x v="996"/>
    <x v="996"/>
    <s v="CUST86402"/>
    <s v="Rohan Sharma"/>
    <n v="18"/>
    <s v="Male"/>
    <x v="0"/>
    <s v="Bhopal"/>
    <x v="0"/>
    <s v="Tea"/>
    <n v="7"/>
    <n v="224.96"/>
    <n v="0.22"/>
    <n v="1195.3"/>
    <n v="91.79"/>
    <n v="52.6"/>
    <s v="Credit Card"/>
    <x v="3"/>
    <b v="0"/>
    <x v="1"/>
    <n v="8"/>
  </r>
  <r>
    <s v="ORD-04054"/>
    <x v="221"/>
    <x v="221"/>
    <s v="CUST37273"/>
    <s v="Sanjay Verma"/>
    <n v="69"/>
    <s v="Other"/>
    <x v="1"/>
    <s v="Mumbai"/>
    <x v="0"/>
    <s v="Sugar"/>
    <n v="4"/>
    <n v="226.36"/>
    <n v="0.27"/>
    <n v="801.8"/>
    <n v="89.81"/>
    <n v="59.7"/>
    <s v="Debit Card"/>
    <x v="3"/>
    <b v="0"/>
    <x v="4"/>
    <n v="5"/>
  </r>
  <r>
    <s v="ORD-02337"/>
    <x v="997"/>
    <x v="997"/>
    <s v="CUST50406"/>
    <s v="Rohan Mehta"/>
    <n v="21"/>
    <s v="Male"/>
    <x v="1"/>
    <s v="Ahmedabad"/>
    <x v="5"/>
    <s v="Smartwatch"/>
    <n v="6"/>
    <n v="78971.02"/>
    <n v="0.22"/>
    <n v="377676.65"/>
    <n v="38339.769999999997"/>
    <n v="61.31"/>
    <s v="EMI"/>
    <x v="0"/>
    <b v="0"/>
    <x v="4"/>
    <n v="9"/>
  </r>
  <r>
    <s v="ORD-00704"/>
    <x v="998"/>
    <x v="998"/>
    <s v="CUST63229"/>
    <s v="Meera Chatterjee"/>
    <n v="26"/>
    <s v="Female"/>
    <x v="1"/>
    <s v="Ahmedabad"/>
    <x v="0"/>
    <s v="Dal (1kg)"/>
    <n v="8"/>
    <n v="52.56"/>
    <n v="0.37"/>
    <n v="225.58"/>
    <n v="17.940000000000001"/>
    <n v="62.46"/>
    <s v="Debit Card"/>
    <x v="1"/>
    <b v="1"/>
    <x v="0"/>
    <n v="1"/>
  </r>
  <r>
    <s v="ORD-02869"/>
    <x v="40"/>
    <x v="40"/>
    <s v="CUST19907"/>
    <s v="Aditya Chatterjee"/>
    <n v="30"/>
    <s v="Male"/>
    <x v="1"/>
    <s v="Surat"/>
    <x v="1"/>
    <s v="Hair Oil"/>
    <n v="10"/>
    <n v="1573.67"/>
    <n v="0.23"/>
    <n v="18377.46"/>
    <n v="7519.84"/>
    <n v="64.77"/>
    <s v="Cash on Delivery"/>
    <x v="1"/>
    <b v="0"/>
    <x v="1"/>
    <n v="7"/>
  </r>
  <r>
    <s v="ORD-01763"/>
    <x v="999"/>
    <x v="999"/>
    <s v="CUST50692"/>
    <s v="Nisha Gupta"/>
    <n v="4"/>
    <s v="Other"/>
    <x v="0"/>
    <s v="Nagpur"/>
    <x v="4"/>
    <s v="Kurta"/>
    <n v="2"/>
    <n v="3632.97"/>
    <n v="0.15"/>
    <n v="6196.59"/>
    <n v="1525.34"/>
    <n v="56.08"/>
    <s v="Cash on Delivery"/>
    <x v="0"/>
    <b v="0"/>
    <x v="1"/>
    <n v="2"/>
  </r>
  <r>
    <s v="ORD-01871"/>
    <x v="47"/>
    <x v="47"/>
    <s v="CUST74013"/>
    <s v="Arjun Singh"/>
    <n v="41"/>
    <s v="Female"/>
    <x v="2"/>
    <s v="Delhi"/>
    <x v="5"/>
    <s v="Headphones"/>
    <n v="2"/>
    <n v="17140.580000000002"/>
    <n v="0.38"/>
    <n v="30862.38"/>
    <n v="4123.18"/>
    <n v="34.79"/>
    <s v="Debit Card"/>
    <x v="3"/>
    <b v="0"/>
    <x v="1"/>
    <n v="5"/>
  </r>
  <r>
    <s v="ORD-02664"/>
    <x v="273"/>
    <x v="273"/>
    <s v="CUST91653"/>
    <s v="Karan Kumar"/>
    <n v="42"/>
    <s v="Male"/>
    <x v="1"/>
    <s v="Pune"/>
    <x v="5"/>
    <s v="Smartwatch"/>
    <n v="8"/>
    <n v="63840.88"/>
    <n v="0.28999999999999998"/>
    <n v="376670.08"/>
    <n v="52527.72"/>
    <n v="64.650000000000006"/>
    <s v="UPI"/>
    <x v="2"/>
    <b v="0"/>
    <x v="1"/>
    <n v="8"/>
  </r>
  <r>
    <s v="ORD-00532"/>
    <x v="995"/>
    <x v="995"/>
    <s v="CUST60381"/>
    <s v="Vikram Mishra"/>
    <n v="41"/>
    <s v="Male"/>
    <x v="2"/>
    <s v="Chandigarh"/>
    <x v="3"/>
    <s v="Biography"/>
    <n v="10"/>
    <n v="788.79"/>
    <n v="0.14000000000000001"/>
    <n v="7024.12"/>
    <n v="3794.94"/>
    <n v="48.05"/>
    <s v="Net Banking"/>
    <x v="3"/>
    <b v="0"/>
    <x v="1"/>
    <n v="9"/>
  </r>
  <r>
    <s v="ORD-01461"/>
    <x v="160"/>
    <x v="160"/>
    <s v="CUST73189"/>
    <s v="Deepa Rao"/>
    <n v="19"/>
    <s v="Other"/>
    <x v="3"/>
    <s v="Guwahati"/>
    <x v="4"/>
    <s v="Jacket"/>
    <n v="8"/>
    <n v="2778.54"/>
    <n v="0.15"/>
    <n v="18541.830000000002"/>
    <n v="6381.78"/>
    <n v="88.73"/>
    <s v="Debit Card"/>
    <x v="0"/>
    <b v="0"/>
    <x v="1"/>
    <n v="6"/>
  </r>
  <r>
    <s v="ORD-03582"/>
    <x v="981"/>
    <x v="981"/>
    <s v="CUST09968"/>
    <s v="Nisha Kapoor"/>
    <n v="51"/>
    <s v="Male"/>
    <x v="3"/>
    <s v="Bhubaneswar"/>
    <x v="5"/>
    <s v="Headphones"/>
    <n v="3"/>
    <n v="15320.14"/>
    <n v="0.14000000000000001"/>
    <n v="58711.83"/>
    <n v="5168.1000000000004"/>
    <n v="65.67"/>
    <s v="Cash on Delivery"/>
    <x v="2"/>
    <b v="0"/>
    <x v="1"/>
    <n v="5"/>
  </r>
  <r>
    <s v="ORD-00247"/>
    <x v="726"/>
    <x v="726"/>
    <s v="CUST50948"/>
    <s v="Amit Kapoor"/>
    <n v="31"/>
    <s v="Other"/>
    <x v="2"/>
    <s v="Amritsar"/>
    <x v="6"/>
    <s v="Cricket Bat"/>
    <n v="2"/>
    <n v="10120.93"/>
    <n v="0.3"/>
    <n v="14109.98"/>
    <n v="2053.92"/>
    <n v="26.6"/>
    <s v="EMI"/>
    <x v="4"/>
    <b v="0"/>
    <x v="1"/>
    <n v="9"/>
  </r>
  <r>
    <s v="ORD-01777"/>
    <x v="1000"/>
    <x v="1000"/>
    <s v="CUST89073"/>
    <s v="Nisha Das"/>
    <n v="26"/>
    <s v="Female"/>
    <x v="4"/>
    <s v="Kochi"/>
    <x v="4"/>
    <s v="Kurta"/>
    <n v="7"/>
    <n v="3036.93"/>
    <n v="0.24"/>
    <n v="15791.37"/>
    <n v="5788.85"/>
    <n v="87.14"/>
    <s v="Net Banking"/>
    <x v="4"/>
    <b v="0"/>
    <x v="1"/>
    <n v="10"/>
  </r>
  <r>
    <s v="ORD-00931"/>
    <x v="1001"/>
    <x v="1001"/>
    <s v="CUST18103"/>
    <s v="Vikram Mehta"/>
    <n v="38"/>
    <s v="Other"/>
    <x v="0"/>
    <s v="Indore"/>
    <x v="2"/>
    <s v="Wardrobe"/>
    <n v="1"/>
    <n v="17927.93"/>
    <n v="0.26"/>
    <n v="11706.31"/>
    <n v="2947.16"/>
    <n v="44.44"/>
    <s v="Credit Card"/>
    <x v="0"/>
    <b v="1"/>
    <x v="0"/>
    <n v="8"/>
  </r>
  <r>
    <s v="ORD-02491"/>
    <x v="1002"/>
    <x v="1002"/>
    <s v="CUST60962"/>
    <s v="Ritu Joshi"/>
    <n v="16"/>
    <s v="Male"/>
    <x v="0"/>
    <s v="Indore"/>
    <x v="1"/>
    <s v="Hair Oil"/>
    <n v="2"/>
    <n v="1398.45"/>
    <n v="0.28999999999999998"/>
    <n v="1359"/>
    <n v="537.38"/>
    <n v="44.47"/>
    <s v="Net Banking"/>
    <x v="2"/>
    <b v="0"/>
    <x v="4"/>
    <n v="9"/>
  </r>
  <r>
    <s v="ORD-00103"/>
    <x v="9"/>
    <x v="9"/>
    <s v="CUST60692"/>
    <s v="Sunita Kumar"/>
    <n v="38"/>
    <s v="Other"/>
    <x v="1"/>
    <s v="Pune"/>
    <x v="5"/>
    <s v="Laptop"/>
    <n v="5"/>
    <n v="79820.399999999994"/>
    <n v="0.39"/>
    <n v="221917.54"/>
    <n v="22317.55"/>
    <n v="38.44"/>
    <s v="Net Banking"/>
    <x v="4"/>
    <b v="0"/>
    <x v="2"/>
    <n v="8"/>
  </r>
  <r>
    <s v="ORD-00070"/>
    <x v="1003"/>
    <x v="1003"/>
    <s v="CUST26658"/>
    <s v="Pooja Kapoor"/>
    <n v="19"/>
    <s v="Other"/>
    <x v="4"/>
    <s v="Hyderabad"/>
    <x v="5"/>
    <s v="Camera"/>
    <n v="4"/>
    <n v="17422.66"/>
    <n v="7.0000000000000007E-2"/>
    <n v="52626.5"/>
    <n v="6738.52"/>
    <n v="87.09"/>
    <s v="EMI"/>
    <x v="3"/>
    <b v="1"/>
    <x v="0"/>
    <n v="2"/>
  </r>
  <r>
    <s v="ORD-00389"/>
    <x v="1004"/>
    <x v="1004"/>
    <s v="CUST75682"/>
    <s v="Ananya Mishra"/>
    <n v="36"/>
    <s v="Male"/>
    <x v="1"/>
    <s v="Pune"/>
    <x v="6"/>
    <s v="Tennis Racket"/>
    <n v="4"/>
    <n v="3136.59"/>
    <n v="0.12"/>
    <n v="14497.79"/>
    <n v="2492.75"/>
    <n v="79.400000000000006"/>
    <s v="EMI"/>
    <x v="3"/>
    <b v="1"/>
    <x v="0"/>
    <n v="6"/>
  </r>
  <r>
    <s v="ORD-04011"/>
    <x v="1005"/>
    <x v="1005"/>
    <s v="CUST75729"/>
    <s v="Sunita Patel"/>
    <n v="31"/>
    <s v="Other"/>
    <x v="0"/>
    <s v="Bhopal"/>
    <x v="5"/>
    <s v="Tablet"/>
    <n v="8"/>
    <n v="31909.439999999999"/>
    <n v="0.22"/>
    <n v="265931.19"/>
    <n v="40509.78"/>
    <n v="54.88"/>
    <s v="UPI"/>
    <x v="2"/>
    <b v="0"/>
    <x v="1"/>
    <n v="6"/>
  </r>
  <r>
    <s v="ORD-02415"/>
    <x v="1006"/>
    <x v="1006"/>
    <s v="CUST74245"/>
    <s v="Karan Reddy"/>
    <n v="37"/>
    <s v="Female"/>
    <x v="1"/>
    <s v="Surat"/>
    <x v="0"/>
    <s v="Cooking Oil"/>
    <n v="9"/>
    <n v="389.41"/>
    <n v="0.02"/>
    <n v="2847.85"/>
    <n v="272.2"/>
    <n v="66.430000000000007"/>
    <s v="EMI"/>
    <x v="1"/>
    <b v="0"/>
    <x v="1"/>
    <n v="1"/>
  </r>
  <r>
    <s v="ORD-01885"/>
    <x v="1007"/>
    <x v="1007"/>
    <s v="CUST27246"/>
    <s v="Ananya Mehta"/>
    <n v="39"/>
    <s v="Female"/>
    <x v="4"/>
    <s v="Bangalore"/>
    <x v="3"/>
    <s v="Self-Help Book"/>
    <n v="10"/>
    <n v="231.25"/>
    <n v="0.27"/>
    <n v="2387.56"/>
    <n v="908.86"/>
    <n v="50.77"/>
    <s v="Cash on Delivery"/>
    <x v="4"/>
    <b v="0"/>
    <x v="2"/>
    <n v="5"/>
  </r>
  <r>
    <s v="ORD-00699"/>
    <x v="314"/>
    <x v="314"/>
    <s v="CUST14220"/>
    <s v="Sanjay Das"/>
    <n v="16"/>
    <s v="Female"/>
    <x v="1"/>
    <s v="Pune"/>
    <x v="6"/>
    <s v="Dumbbells"/>
    <n v="2"/>
    <n v="3021.82"/>
    <n v="0.01"/>
    <n v="4428.2700000000004"/>
    <n v="885.39"/>
    <n v="38.11"/>
    <s v="EMI"/>
    <x v="4"/>
    <b v="1"/>
    <x v="0"/>
    <n v="3"/>
  </r>
  <r>
    <s v="ORD-03606"/>
    <x v="146"/>
    <x v="146"/>
    <s v="CUST74320"/>
    <s v="Amit Reddy"/>
    <n v="26"/>
    <s v="Female"/>
    <x v="4"/>
    <s v="Hyderabad"/>
    <x v="1"/>
    <s v="Perfume"/>
    <n v="9"/>
    <n v="1545.52"/>
    <n v="0.19"/>
    <n v="17885.64"/>
    <n v="11381.04"/>
    <n v="81"/>
    <s v="EMI"/>
    <x v="4"/>
    <b v="0"/>
    <x v="4"/>
    <n v="9"/>
  </r>
  <r>
    <s v="ORD-00748"/>
    <x v="197"/>
    <x v="197"/>
    <s v="CUST08513"/>
    <s v="Sanjay Patel"/>
    <n v="31"/>
    <s v="Female"/>
    <x v="4"/>
    <s v="Chennai"/>
    <x v="1"/>
    <s v="Shampoo"/>
    <n v="9"/>
    <n v="1896.41"/>
    <n v="0.01"/>
    <n v="12286.54"/>
    <n v="5443.3"/>
    <n v="40.44"/>
    <s v="UPI"/>
    <x v="3"/>
    <b v="0"/>
    <x v="1"/>
    <n v="2"/>
  </r>
  <r>
    <s v="ORD-03171"/>
    <x v="196"/>
    <x v="196"/>
    <s v="CUST77683"/>
    <s v="Shreya Mehta"/>
    <n v="24"/>
    <s v="Other"/>
    <x v="1"/>
    <s v="Mumbai"/>
    <x v="6"/>
    <s v="Tennis Racket"/>
    <n v="3"/>
    <n v="8534.5"/>
    <n v="0.34"/>
    <n v="18094.21"/>
    <n v="4596.01"/>
    <n v="55.57"/>
    <s v="Cash on Delivery"/>
    <x v="2"/>
    <b v="0"/>
    <x v="1"/>
    <n v="4"/>
  </r>
  <r>
    <s v="ORD-02291"/>
    <x v="493"/>
    <x v="493"/>
    <s v="CUST86351"/>
    <s v="Rohan Iyer"/>
    <n v="54"/>
    <s v="Female"/>
    <x v="0"/>
    <s v="Indore"/>
    <x v="3"/>
    <s v="Fiction Novel"/>
    <n v="2"/>
    <n v="1340.31"/>
    <n v="0.03"/>
    <n v="2902.07"/>
    <n v="1116.1600000000001"/>
    <n v="67.16"/>
    <s v="EMI"/>
    <x v="2"/>
    <b v="0"/>
    <x v="2"/>
    <n v="7"/>
  </r>
  <r>
    <s v="ORD-02579"/>
    <x v="883"/>
    <x v="883"/>
    <s v="CUST31841"/>
    <s v="Kavya Joshi"/>
    <n v="57"/>
    <s v="Male"/>
    <x v="3"/>
    <s v="Bhubaneswar"/>
    <x v="6"/>
    <s v="Dumbbells"/>
    <n v="2"/>
    <n v="4266.54"/>
    <n v="0.25"/>
    <n v="6436.16"/>
    <n v="1469.74"/>
    <n v="75.67"/>
    <s v="Net Banking"/>
    <x v="0"/>
    <b v="0"/>
    <x v="1"/>
    <n v="2"/>
  </r>
  <r>
    <s v="ORD-02137"/>
    <x v="1008"/>
    <x v="1008"/>
    <s v="CUST01916"/>
    <s v="Pooja Verma"/>
    <n v="37"/>
    <s v="Female"/>
    <x v="0"/>
    <s v="Nagpur"/>
    <x v="2"/>
    <s v="Desk"/>
    <n v="8"/>
    <n v="31076.19"/>
    <n v="0.36"/>
    <n v="234872.45"/>
    <n v="66519.22"/>
    <n v="47.98"/>
    <s v="Net Banking"/>
    <x v="3"/>
    <b v="0"/>
    <x v="1"/>
    <n v="6"/>
  </r>
  <r>
    <s v="ORD-01730"/>
    <x v="411"/>
    <x v="411"/>
    <s v="CUST08530"/>
    <s v="Priya Verma"/>
    <n v="38"/>
    <s v="Male"/>
    <x v="4"/>
    <s v="Kochi"/>
    <x v="6"/>
    <s v="Cycle"/>
    <n v="1"/>
    <n v="11257.57"/>
    <n v="0.19"/>
    <n v="9056.57"/>
    <n v="2063.37"/>
    <n v="75.319999999999993"/>
    <s v="Credit Card"/>
    <x v="1"/>
    <b v="0"/>
    <x v="1"/>
    <n v="1"/>
  </r>
  <r>
    <s v="ORD-03602"/>
    <x v="1009"/>
    <x v="1009"/>
    <s v="CUST90978"/>
    <s v="Meera Chatterjee"/>
    <n v="45"/>
    <s v="Male"/>
    <x v="0"/>
    <s v="Nagpur"/>
    <x v="2"/>
    <s v="Desk"/>
    <n v="4"/>
    <n v="28347.279999999999"/>
    <n v="0.03"/>
    <n v="180991"/>
    <n v="31963.08"/>
    <n v="74.83"/>
    <s v="Cash on Delivery"/>
    <x v="1"/>
    <b v="0"/>
    <x v="1"/>
    <n v="4"/>
  </r>
  <r>
    <s v="ORD-00228"/>
    <x v="1010"/>
    <x v="1010"/>
    <s v="CUST20422"/>
    <s v="Amit Pillai"/>
    <n v="47"/>
    <s v="Female"/>
    <x v="3"/>
    <s v="Guwahati"/>
    <x v="4"/>
    <s v="Jacket"/>
    <n v="4"/>
    <n v="657.77"/>
    <n v="0.03"/>
    <n v="3207.24"/>
    <n v="961.26"/>
    <n v="83.48"/>
    <s v="Credit Card"/>
    <x v="0"/>
    <b v="0"/>
    <x v="1"/>
    <n v="9"/>
  </r>
  <r>
    <s v="ORD-01036"/>
    <x v="733"/>
    <x v="733"/>
    <s v="CUST48956"/>
    <s v="Arjun Bose"/>
    <n v="39"/>
    <s v="Male"/>
    <x v="4"/>
    <s v="Chennai"/>
    <x v="1"/>
    <s v="Face Cream"/>
    <n v="5"/>
    <n v="2059.98"/>
    <n v="0.02"/>
    <n v="12556.26"/>
    <n v="8037.6"/>
    <n v="70.48"/>
    <s v="UPI"/>
    <x v="3"/>
    <b v="1"/>
    <x v="0"/>
    <n v="8"/>
  </r>
  <r>
    <s v="ORD-01194"/>
    <x v="1011"/>
    <x v="1011"/>
    <s v="CUST42289"/>
    <s v="Ananya Bhat"/>
    <n v="19"/>
    <s v="Female"/>
    <x v="0"/>
    <s v="Bhopal"/>
    <x v="0"/>
    <s v="Flour"/>
    <n v="6"/>
    <n v="428.86"/>
    <n v="0.34"/>
    <n v="2486.44"/>
    <n v="163.61000000000001"/>
    <n v="58.49"/>
    <s v="Net Banking"/>
    <x v="2"/>
    <b v="0"/>
    <x v="1"/>
    <n v="9"/>
  </r>
  <r>
    <s v="ORD-02361"/>
    <x v="949"/>
    <x v="949"/>
    <s v="CUST59891"/>
    <s v="Meera Shah"/>
    <n v="34"/>
    <s v="Other"/>
    <x v="0"/>
    <s v="Indore"/>
    <x v="3"/>
    <s v="Textbook"/>
    <n v="3"/>
    <n v="1036.73"/>
    <n v="0.14000000000000001"/>
    <n v="2702.94"/>
    <n v="1061.8599999999999"/>
    <n v="58.18"/>
    <s v="Net Banking"/>
    <x v="4"/>
    <b v="0"/>
    <x v="4"/>
    <n v="6"/>
  </r>
  <r>
    <s v="ORD-01096"/>
    <x v="1012"/>
    <x v="1012"/>
    <s v="CUST64848"/>
    <s v="Priya Chatterjee"/>
    <n v="20"/>
    <s v="Female"/>
    <x v="2"/>
    <s v="Chandigarh"/>
    <x v="2"/>
    <s v="Bed Frame"/>
    <n v="7"/>
    <n v="29131.43"/>
    <n v="0.3"/>
    <n v="181240.28"/>
    <n v="48821.49"/>
    <n v="47.3"/>
    <s v="Credit Card"/>
    <x v="0"/>
    <b v="0"/>
    <x v="4"/>
    <n v="8"/>
  </r>
  <r>
    <s v="ORD-01984"/>
    <x v="634"/>
    <x v="634"/>
    <s v="CUST04061"/>
    <s v="Karan Sharma"/>
    <n v="31"/>
    <s v="Female"/>
    <x v="1"/>
    <s v="Mumbai"/>
    <x v="4"/>
    <s v="Kurta"/>
    <n v="10"/>
    <n v="1278.8800000000001"/>
    <n v="0.2"/>
    <n v="17829.400000000001"/>
    <n v="6153.63"/>
    <n v="43.3"/>
    <s v="Credit Card"/>
    <x v="0"/>
    <b v="0"/>
    <x v="1"/>
    <n v="8"/>
  </r>
  <r>
    <s v="ORD-01365"/>
    <x v="1013"/>
    <x v="1013"/>
    <s v="CUST34491"/>
    <s v="Nikhil Rao"/>
    <n v="51"/>
    <s v="Other"/>
    <x v="1"/>
    <s v="Surat"/>
    <x v="3"/>
    <s v="Textbook"/>
    <n v="5"/>
    <n v="1499.28"/>
    <n v="0.03"/>
    <n v="8327.23"/>
    <n v="4182.3100000000004"/>
    <n v="74.08"/>
    <s v="Net Banking"/>
    <x v="0"/>
    <b v="0"/>
    <x v="1"/>
    <n v="1"/>
  </r>
  <r>
    <s v="ORD-02190"/>
    <x v="268"/>
    <x v="268"/>
    <s v="CUST31810"/>
    <s v="Priya Kapoor"/>
    <n v="48"/>
    <s v="Other"/>
    <x v="1"/>
    <s v="Surat"/>
    <x v="0"/>
    <s v="Rice (5kg)"/>
    <n v="2"/>
    <n v="179.94"/>
    <n v="0.39"/>
    <n v="272.5"/>
    <n v="14.86"/>
    <n v="56.43"/>
    <s v="EMI"/>
    <x v="4"/>
    <b v="0"/>
    <x v="4"/>
    <n v="3"/>
  </r>
  <r>
    <s v="ORD-01466"/>
    <x v="324"/>
    <x v="324"/>
    <s v="CUST22468"/>
    <s v="Sunita Kumar"/>
    <n v="68"/>
    <s v="Female"/>
    <x v="3"/>
    <s v="Bhubaneswar"/>
    <x v="0"/>
    <s v="Flour"/>
    <n v="4"/>
    <n v="103.01"/>
    <n v="0.4"/>
    <n v="239.3"/>
    <n v="22.6"/>
    <n v="78.91"/>
    <s v="Cash on Delivery"/>
    <x v="4"/>
    <b v="1"/>
    <x v="0"/>
    <n v="4"/>
  </r>
  <r>
    <s v="ORD-04178"/>
    <x v="1014"/>
    <x v="1014"/>
    <s v="CUST11016"/>
    <s v="Amit Verma"/>
    <n v="53"/>
    <s v="Male"/>
    <x v="1"/>
    <s v="Mumbai"/>
    <x v="1"/>
    <s v="Shampoo"/>
    <n v="3"/>
    <n v="855.83"/>
    <n v="0.14000000000000001"/>
    <n v="2047.13"/>
    <n v="587.72"/>
    <n v="59.05"/>
    <s v="Net Banking"/>
    <x v="2"/>
    <b v="0"/>
    <x v="2"/>
    <n v="6"/>
  </r>
  <r>
    <s v="ORD-00726"/>
    <x v="296"/>
    <x v="296"/>
    <s v="CUST02385"/>
    <s v="Meera Mishra"/>
    <n v="25"/>
    <s v="Female"/>
    <x v="4"/>
    <s v="Hyderabad"/>
    <x v="3"/>
    <s v="Self-Help Book"/>
    <n v="3"/>
    <n v="956.34"/>
    <n v="0.24"/>
    <n v="1598.88"/>
    <n v="746.01"/>
    <n v="74.98"/>
    <s v="Credit Card"/>
    <x v="4"/>
    <b v="0"/>
    <x v="1"/>
    <n v="2"/>
  </r>
  <r>
    <s v="ORD-03264"/>
    <x v="617"/>
    <x v="617"/>
    <s v="CUST84619"/>
    <s v="Karan Nair"/>
    <n v="25"/>
    <s v="Other"/>
    <x v="2"/>
    <s v="Delhi"/>
    <x v="2"/>
    <s v="Bed Frame"/>
    <n v="2"/>
    <n v="30782.35"/>
    <n v="0.22"/>
    <n v="47340.73"/>
    <n v="11318.5"/>
    <n v="48.72"/>
    <s v="UPI"/>
    <x v="2"/>
    <b v="0"/>
    <x v="1"/>
    <n v="10"/>
  </r>
  <r>
    <s v="ORD-00963"/>
    <x v="963"/>
    <x v="963"/>
    <s v="CUST03100"/>
    <s v="Aditya Kumar"/>
    <n v="34"/>
    <s v="Other"/>
    <x v="0"/>
    <s v="Raipur"/>
    <x v="2"/>
    <s v="Desk"/>
    <n v="2"/>
    <n v="22148.9"/>
    <n v="0.1"/>
    <n v="46326.9"/>
    <n v="10034.049999999999"/>
    <n v="55.7"/>
    <s v="Debit Card"/>
    <x v="2"/>
    <b v="0"/>
    <x v="3"/>
    <n v="1"/>
  </r>
  <r>
    <s v="ORD-00892"/>
    <x v="602"/>
    <x v="602"/>
    <s v="CUST40329"/>
    <s v="Nikhil Verma"/>
    <n v="19"/>
    <s v="Female"/>
    <x v="1"/>
    <s v="Pune"/>
    <x v="1"/>
    <s v="Hair Oil"/>
    <n v="4"/>
    <n v="1900.58"/>
    <n v="0.12"/>
    <n v="6413.16"/>
    <n v="3388.38"/>
    <n v="47.89"/>
    <s v="UPI"/>
    <x v="0"/>
    <b v="0"/>
    <x v="1"/>
    <n v="1"/>
  </r>
  <r>
    <s v="ORD-00190"/>
    <x v="1015"/>
    <x v="1015"/>
    <s v="CUST46839"/>
    <s v="Nikhil Kumar"/>
    <n v="34"/>
    <s v="Male"/>
    <x v="2"/>
    <s v="Chandigarh"/>
    <x v="2"/>
    <s v="Bookshelf"/>
    <n v="8"/>
    <n v="30630.05"/>
    <n v="0.31"/>
    <n v="154185.04999999999"/>
    <n v="41569.879999999997"/>
    <n v="27.98"/>
    <s v="Net Banking"/>
    <x v="4"/>
    <b v="0"/>
    <x v="3"/>
    <n v="4"/>
  </r>
  <r>
    <s v="ORD-00947"/>
    <x v="1016"/>
    <x v="1016"/>
    <s v="CUST36851"/>
    <s v="Shreya Mehta"/>
    <n v="27"/>
    <s v="Other"/>
    <x v="3"/>
    <s v="Bhubaneswar"/>
    <x v="6"/>
    <s v="Yoga Mat"/>
    <n v="2"/>
    <n v="12124.27"/>
    <n v="0.2"/>
    <n v="19621.740000000002"/>
    <n v="4737.6899999999996"/>
    <n v="91.21"/>
    <s v="Debit Card"/>
    <x v="0"/>
    <b v="0"/>
    <x v="1"/>
    <n v="7"/>
  </r>
  <r>
    <s v="ORD-01055"/>
    <x v="1017"/>
    <x v="1017"/>
    <s v="CUST95496"/>
    <s v="Sunita Reddy"/>
    <n v="49"/>
    <s v="Female"/>
    <x v="2"/>
    <s v="Amritsar"/>
    <x v="3"/>
    <s v="Cook Book"/>
    <n v="7"/>
    <n v="534.91"/>
    <n v="7.0000000000000007E-2"/>
    <n v="4674.41"/>
    <n v="2443.2199999999998"/>
    <n v="61.73"/>
    <s v="EMI"/>
    <x v="4"/>
    <b v="0"/>
    <x v="3"/>
    <n v="7"/>
  </r>
  <r>
    <s v="ORD-03424"/>
    <x v="1018"/>
    <x v="1018"/>
    <s v="CUST78421"/>
    <s v="Arjun Mishra"/>
    <n v="46"/>
    <s v="Female"/>
    <x v="2"/>
    <s v="Chandigarh"/>
    <x v="1"/>
    <s v="Face Cream"/>
    <n v="2"/>
    <n v="1022.14"/>
    <n v="0.23"/>
    <n v="1560.83"/>
    <n v="580.86"/>
    <n v="51.54"/>
    <s v="UPI"/>
    <x v="1"/>
    <b v="1"/>
    <x v="0"/>
    <n v="4"/>
  </r>
  <r>
    <s v="ORD-03802"/>
    <x v="499"/>
    <x v="499"/>
    <s v="CUST44356"/>
    <s v="Pooja Mehta"/>
    <n v="54"/>
    <s v="Other"/>
    <x v="3"/>
    <s v="Guwahati"/>
    <x v="2"/>
    <s v="Bed Frame"/>
    <n v="4"/>
    <n v="34537.46"/>
    <n v="0.05"/>
    <n v="208628.7"/>
    <n v="50381.67"/>
    <n v="76.14"/>
    <s v="EMI"/>
    <x v="0"/>
    <b v="0"/>
    <x v="1"/>
    <n v="8"/>
  </r>
  <r>
    <s v="ORD-00173"/>
    <x v="519"/>
    <x v="519"/>
    <s v="CUST46878"/>
    <s v="Sunita Mishra"/>
    <n v="33"/>
    <s v="Female"/>
    <x v="3"/>
    <s v="Bhubaneswar"/>
    <x v="3"/>
    <s v="Biography"/>
    <n v="8"/>
    <n v="1355.07"/>
    <n v="0.25"/>
    <n v="7286.92"/>
    <n v="3585.8"/>
    <n v="86.98"/>
    <s v="Debit Card"/>
    <x v="2"/>
    <b v="0"/>
    <x v="4"/>
    <n v="5"/>
  </r>
  <r>
    <s v="ORD-02895"/>
    <x v="813"/>
    <x v="813"/>
    <s v="CUST35710"/>
    <s v="Ritu Shah"/>
    <n v="32"/>
    <s v="Other"/>
    <x v="3"/>
    <s v="Kolkata"/>
    <x v="2"/>
    <s v="Bed Frame"/>
    <n v="9"/>
    <n v="24542.85"/>
    <n v="0.3"/>
    <n v="291832.52"/>
    <n v="76203.02"/>
    <n v="95.21"/>
    <s v="Credit Card"/>
    <x v="3"/>
    <b v="0"/>
    <x v="1"/>
    <n v="6"/>
  </r>
  <r>
    <s v="ORD-02625"/>
    <x v="1019"/>
    <x v="1019"/>
    <s v="CUST78576"/>
    <s v="Arjun Chatterjee"/>
    <n v="34"/>
    <s v="Female"/>
    <x v="2"/>
    <s v="Amritsar"/>
    <x v="5"/>
    <s v="Smartwatch"/>
    <n v="8"/>
    <n v="78209.240000000005"/>
    <n v="0.1"/>
    <n v="571749.49"/>
    <n v="85521.04"/>
    <n v="51.05"/>
    <s v="Cash on Delivery"/>
    <x v="4"/>
    <b v="0"/>
    <x v="4"/>
    <n v="1"/>
  </r>
  <r>
    <s v="ORD-01661"/>
    <x v="1020"/>
    <x v="1020"/>
    <s v="CUST94914"/>
    <s v="Nisha Mishra"/>
    <n v="36"/>
    <s v="Other"/>
    <x v="4"/>
    <s v="Kochi"/>
    <x v="4"/>
    <s v="Kurta"/>
    <n v="3"/>
    <n v="3496.76"/>
    <n v="0.05"/>
    <n v="8060.61"/>
    <n v="2308.11"/>
    <n v="40.950000000000003"/>
    <s v="Credit Card"/>
    <x v="2"/>
    <b v="0"/>
    <x v="1"/>
    <n v="3"/>
  </r>
  <r>
    <s v="ORD-00208"/>
    <x v="592"/>
    <x v="592"/>
    <s v="CUST69756"/>
    <s v="Karan Bhat"/>
    <n v="25"/>
    <s v="Other"/>
    <x v="0"/>
    <s v="Bhopal"/>
    <x v="5"/>
    <s v="Camera"/>
    <n v="5"/>
    <n v="74661.960000000006"/>
    <n v="0.1"/>
    <n v="413676.41"/>
    <n v="38409.75"/>
    <n v="43.58"/>
    <s v="Debit Card"/>
    <x v="0"/>
    <b v="0"/>
    <x v="1"/>
    <n v="9"/>
  </r>
  <r>
    <s v="ORD-00272"/>
    <x v="169"/>
    <x v="169"/>
    <s v="CUST97522"/>
    <s v="Ananya Singh"/>
    <n v="6"/>
    <s v="Male"/>
    <x v="4"/>
    <s v="Bangalore"/>
    <x v="4"/>
    <s v="Saree"/>
    <n v="10"/>
    <n v="2668.56"/>
    <n v="0.03"/>
    <n v="32567.59"/>
    <n v="10352.49"/>
    <n v="77.489999999999995"/>
    <s v="EMI"/>
    <x v="1"/>
    <b v="0"/>
    <x v="1"/>
    <n v="4"/>
  </r>
  <r>
    <s v="ORD-01061"/>
    <x v="1021"/>
    <x v="1021"/>
    <s v="CUST63508"/>
    <s v="Kavya Bhat"/>
    <n v="34"/>
    <s v="Female"/>
    <x v="4"/>
    <s v="Hyderabad"/>
    <x v="5"/>
    <s v="Laptop"/>
    <n v="1"/>
    <n v="78711.02"/>
    <n v="0.18"/>
    <n v="90409.82"/>
    <n v="11769.97"/>
    <n v="90.37"/>
    <s v="Net Banking"/>
    <x v="0"/>
    <b v="0"/>
    <x v="1"/>
    <n v="3"/>
  </r>
  <r>
    <s v="ORD-02546"/>
    <x v="263"/>
    <x v="263"/>
    <s v="CUST96368"/>
    <s v="Kavya Gupta"/>
    <n v="29"/>
    <s v="Female"/>
    <x v="0"/>
    <s v="Raipur"/>
    <x v="0"/>
    <s v="Rice (5kg)"/>
    <n v="1"/>
    <n v="243.91"/>
    <n v="0.3"/>
    <n v="164.22"/>
    <n v="16.45"/>
    <n v="53.75"/>
    <s v="Cash on Delivery"/>
    <x v="1"/>
    <b v="0"/>
    <x v="4"/>
    <n v="3"/>
  </r>
  <r>
    <s v="ORD-04010"/>
    <x v="1005"/>
    <x v="1005"/>
    <s v="CUST04352"/>
    <s v="Amit Chatterjee"/>
    <n v="22"/>
    <s v="Female"/>
    <x v="1"/>
    <s v="Surat"/>
    <x v="3"/>
    <s v="Biography"/>
    <n v="2"/>
    <n v="1099.72"/>
    <n v="0.22"/>
    <n v="2033.79"/>
    <n v="869.03"/>
    <n v="61.35"/>
    <s v="UPI"/>
    <x v="0"/>
    <b v="0"/>
    <x v="1"/>
    <n v="4"/>
  </r>
  <r>
    <s v="ORD-02830"/>
    <x v="972"/>
    <x v="972"/>
    <s v="CUST23051"/>
    <s v="Rohan Iyer"/>
    <n v="35"/>
    <s v="Male"/>
    <x v="4"/>
    <s v="Bangalore"/>
    <x v="6"/>
    <s v="Tennis Racket"/>
    <n v="2"/>
    <n v="5536.92"/>
    <n v="7.0000000000000007E-2"/>
    <n v="16264.24"/>
    <n v="5022.79"/>
    <n v="86.81"/>
    <s v="UPI"/>
    <x v="1"/>
    <b v="0"/>
    <x v="3"/>
    <n v="4"/>
  </r>
  <r>
    <s v="ORD-03136"/>
    <x v="680"/>
    <x v="680"/>
    <s v="CUST92424"/>
    <s v="Sanjay Nair"/>
    <n v="32"/>
    <s v="Other"/>
    <x v="2"/>
    <s v="Ludhiana"/>
    <x v="1"/>
    <s v="Perfume"/>
    <n v="10"/>
    <n v="384.92"/>
    <n v="0.13"/>
    <n v="3802.28"/>
    <n v="1470.62"/>
    <n v="46.05"/>
    <s v="EMI"/>
    <x v="4"/>
    <b v="0"/>
    <x v="2"/>
    <n v="9"/>
  </r>
  <r>
    <s v="ORD-00361"/>
    <x v="10"/>
    <x v="10"/>
    <s v="CUST34273"/>
    <s v="Deepa Nair"/>
    <n v="44"/>
    <s v="Male"/>
    <x v="1"/>
    <s v="Pune"/>
    <x v="0"/>
    <s v="Tea"/>
    <n v="10"/>
    <n v="350.15"/>
    <n v="7.0000000000000007E-2"/>
    <n v="4245.67"/>
    <n v="346.67"/>
    <n v="62.1"/>
    <s v="Credit Card"/>
    <x v="0"/>
    <b v="1"/>
    <x v="0"/>
    <n v="1"/>
  </r>
  <r>
    <s v="ORD-00178"/>
    <x v="1022"/>
    <x v="1022"/>
    <s v="CUST56675"/>
    <s v="Rohan Sharma"/>
    <n v="24"/>
    <s v="Male"/>
    <x v="0"/>
    <s v="Raipur"/>
    <x v="5"/>
    <s v="Camera"/>
    <n v="6"/>
    <n v="15086.96"/>
    <n v="0.13"/>
    <n v="83619.759999999995"/>
    <n v="10183.25"/>
    <n v="74.72"/>
    <s v="Credit Card"/>
    <x v="4"/>
    <b v="0"/>
    <x v="1"/>
    <n v="4"/>
  </r>
  <r>
    <s v="ORD-03759"/>
    <x v="574"/>
    <x v="574"/>
    <s v="CUST16441"/>
    <s v="Nisha Bose"/>
    <n v="18"/>
    <s v="Female"/>
    <x v="3"/>
    <s v="Guwahati"/>
    <x v="6"/>
    <s v="Tennis Racket"/>
    <n v="4"/>
    <n v="6805.31"/>
    <n v="0.01"/>
    <n v="48326.79"/>
    <n v="11120.45"/>
    <n v="101.73"/>
    <s v="EMI"/>
    <x v="3"/>
    <b v="1"/>
    <x v="0"/>
    <n v="3"/>
  </r>
  <r>
    <s v="ORD-01724"/>
    <x v="1023"/>
    <x v="1023"/>
    <s v="CUST56841"/>
    <s v="Priya Gupta"/>
    <n v="20"/>
    <s v="Male"/>
    <x v="3"/>
    <s v="Guwahati"/>
    <x v="4"/>
    <s v="Jacket"/>
    <n v="2"/>
    <n v="2075.29"/>
    <n v="0.21"/>
    <n v="2998.78"/>
    <n v="1031.57"/>
    <n v="62.3"/>
    <s v="Debit Card"/>
    <x v="2"/>
    <b v="0"/>
    <x v="1"/>
    <n v="1"/>
  </r>
  <r>
    <s v="ORD-00873"/>
    <x v="954"/>
    <x v="954"/>
    <s v="CUST74542"/>
    <s v="Arjun Gupta"/>
    <n v="18"/>
    <s v="Male"/>
    <x v="0"/>
    <s v="Bhopal"/>
    <x v="2"/>
    <s v="Bookshelf"/>
    <n v="1"/>
    <n v="10111.030000000001"/>
    <n v="0.27"/>
    <n v="6692.45"/>
    <n v="2226.89"/>
    <n v="30.16"/>
    <s v="Debit Card"/>
    <x v="3"/>
    <b v="0"/>
    <x v="1"/>
    <n v="4"/>
  </r>
  <r>
    <s v="ORD-03197"/>
    <x v="589"/>
    <x v="589"/>
    <s v="CUST33951"/>
    <s v="Deepa Mehta"/>
    <n v="18"/>
    <s v="Male"/>
    <x v="3"/>
    <s v="Bhubaneswar"/>
    <x v="1"/>
    <s v="Lipstick"/>
    <n v="2"/>
    <n v="2007.33"/>
    <n v="0.17"/>
    <n v="3672.85"/>
    <n v="1779.77"/>
    <n v="78.53"/>
    <s v="UPI"/>
    <x v="1"/>
    <b v="0"/>
    <x v="1"/>
    <n v="2"/>
  </r>
  <r>
    <s v="ORD-00929"/>
    <x v="163"/>
    <x v="163"/>
    <s v="CUST75952"/>
    <s v="Nikhil Verma"/>
    <n v="24"/>
    <s v="Male"/>
    <x v="3"/>
    <s v="Guwahati"/>
    <x v="2"/>
    <s v="Desk"/>
    <n v="5"/>
    <n v="2018.71"/>
    <n v="0.33"/>
    <n v="6353.83"/>
    <n v="1860.03"/>
    <n v="62.35"/>
    <s v="EMI"/>
    <x v="1"/>
    <b v="0"/>
    <x v="1"/>
    <n v="1"/>
  </r>
  <r>
    <s v="ORD-03836"/>
    <x v="1024"/>
    <x v="1024"/>
    <s v="CUST17574"/>
    <s v="Ananya Bhat"/>
    <n v="37"/>
    <s v="Male"/>
    <x v="3"/>
    <s v="Guwahati"/>
    <x v="4"/>
    <s v="Jeans"/>
    <n v="6"/>
    <n v="3101.95"/>
    <n v="0.35"/>
    <n v="20358.13"/>
    <n v="7357.07"/>
    <n v="89.04"/>
    <s v="Credit Card"/>
    <x v="0"/>
    <b v="1"/>
    <x v="0"/>
    <n v="7"/>
  </r>
  <r>
    <s v="ORD-03158"/>
    <x v="763"/>
    <x v="763"/>
    <s v="CUST54265"/>
    <s v="Sanjay Bhat"/>
    <n v="38"/>
    <s v="Female"/>
    <x v="2"/>
    <s v="Amritsar"/>
    <x v="2"/>
    <s v="Bookshelf"/>
    <n v="8"/>
    <n v="24623.45"/>
    <n v="0.03"/>
    <n v="242532.88"/>
    <n v="63126.55"/>
    <n v="36.04"/>
    <s v="Credit Card"/>
    <x v="4"/>
    <b v="0"/>
    <x v="1"/>
    <n v="4"/>
  </r>
  <r>
    <s v="ORD-02765"/>
    <x v="1025"/>
    <x v="1025"/>
    <s v="CUST09924"/>
    <s v="Ritu Verma"/>
    <n v="36"/>
    <s v="Other"/>
    <x v="0"/>
    <s v="Raipur"/>
    <x v="5"/>
    <s v="Camera"/>
    <n v="5"/>
    <n v="18000.28"/>
    <n v="0.12"/>
    <n v="109973.4"/>
    <n v="11424.94"/>
    <n v="73.2"/>
    <s v="Debit Card"/>
    <x v="2"/>
    <b v="0"/>
    <x v="1"/>
    <n v="2"/>
  </r>
  <r>
    <s v="ORD-00778"/>
    <x v="613"/>
    <x v="613"/>
    <s v="CUST98642"/>
    <s v="Sanjay Verma"/>
    <n v="53"/>
    <s v="Male"/>
    <x v="3"/>
    <s v="Kolkata"/>
    <x v="0"/>
    <s v="Tea"/>
    <n v="3"/>
    <n v="284.05"/>
    <n v="0.26"/>
    <n v="407.29"/>
    <n v="27.33"/>
    <n v="74.569999999999993"/>
    <s v="EMI"/>
    <x v="3"/>
    <b v="0"/>
    <x v="1"/>
    <n v="2"/>
  </r>
  <r>
    <s v="ORD-03353"/>
    <x v="1026"/>
    <x v="1026"/>
    <s v="CUST13354"/>
    <s v="Sanjay Nair"/>
    <n v="29"/>
    <s v="Male"/>
    <x v="3"/>
    <s v="Patna"/>
    <x v="0"/>
    <s v="Rice (5kg)"/>
    <n v="9"/>
    <n v="344.79"/>
    <n v="0.33"/>
    <n v="2084.9"/>
    <n v="132.76"/>
    <n v="57.21"/>
    <s v="UPI"/>
    <x v="3"/>
    <b v="0"/>
    <x v="3"/>
    <n v="10"/>
  </r>
  <r>
    <s v="ORD-00863"/>
    <x v="1027"/>
    <x v="1027"/>
    <s v="CUST78361"/>
    <s v="Sanjay Joshi"/>
    <n v="51"/>
    <s v="Female"/>
    <x v="1"/>
    <s v="Mumbai"/>
    <x v="1"/>
    <s v="Perfume"/>
    <n v="4"/>
    <n v="1427.81"/>
    <n v="0.28000000000000003"/>
    <n v="3737.3"/>
    <n v="1821.21"/>
    <n v="66.760000000000005"/>
    <s v="Credit Card"/>
    <x v="2"/>
    <b v="0"/>
    <x v="1"/>
    <n v="5"/>
  </r>
  <r>
    <s v="ORD-03986"/>
    <x v="612"/>
    <x v="612"/>
    <s v="CUST02647"/>
    <s v="Rahul Pillai"/>
    <n v="63"/>
    <s v="Female"/>
    <x v="1"/>
    <s v="Surat"/>
    <x v="2"/>
    <s v="Wardrobe"/>
    <n v="1"/>
    <n v="30262.77"/>
    <n v="0.22"/>
    <n v="35090.43"/>
    <n v="5627.29"/>
    <n v="62.47"/>
    <s v="EMI"/>
    <x v="4"/>
    <b v="0"/>
    <x v="1"/>
    <n v="10"/>
  </r>
  <r>
    <s v="ORD-01945"/>
    <x v="311"/>
    <x v="311"/>
    <s v="CUST15198"/>
    <s v="Aarav Bhat"/>
    <n v="33"/>
    <s v="Other"/>
    <x v="0"/>
    <s v="Nagpur"/>
    <x v="4"/>
    <s v="T-Shirt"/>
    <n v="7"/>
    <n v="607.95000000000005"/>
    <n v="0.38"/>
    <n v="3644.03"/>
    <n v="1026.0999999999999"/>
    <n v="64.63"/>
    <s v="Net Banking"/>
    <x v="0"/>
    <b v="0"/>
    <x v="1"/>
    <n v="1"/>
  </r>
  <r>
    <s v="ORD-03665"/>
    <x v="286"/>
    <x v="286"/>
    <s v="CUST12838"/>
    <s v="Sanjay Pillai"/>
    <n v="30"/>
    <s v="Male"/>
    <x v="3"/>
    <s v="Bhubaneswar"/>
    <x v="4"/>
    <s v="Saree"/>
    <n v="2"/>
    <n v="358"/>
    <n v="0.38"/>
    <n v="728.66"/>
    <n v="256.39999999999998"/>
    <n v="63.9"/>
    <s v="EMI"/>
    <x v="4"/>
    <b v="0"/>
    <x v="1"/>
    <n v="6"/>
  </r>
  <r>
    <s v="ORD-01149"/>
    <x v="1028"/>
    <x v="1028"/>
    <s v="CUST17159"/>
    <s v="Deepa Das"/>
    <n v="31"/>
    <s v="Female"/>
    <x v="3"/>
    <s v="Guwahati"/>
    <x v="4"/>
    <s v="Jeans"/>
    <n v="2"/>
    <n v="1322.23"/>
    <n v="0.02"/>
    <n v="3457.5"/>
    <n v="1452.45"/>
    <n v="55.18"/>
    <s v="UPI"/>
    <x v="0"/>
    <b v="1"/>
    <x v="0"/>
    <n v="7"/>
  </r>
  <r>
    <s v="ORD-02749"/>
    <x v="334"/>
    <x v="334"/>
    <s v="CUST37997"/>
    <s v="Arjun Verma"/>
    <n v="51"/>
    <s v="Male"/>
    <x v="1"/>
    <s v="Pune"/>
    <x v="6"/>
    <s v="Football"/>
    <n v="3"/>
    <n v="11418.23"/>
    <n v="0.01"/>
    <n v="43058.66"/>
    <n v="7315.08"/>
    <n v="41.92"/>
    <s v="Credit Card"/>
    <x v="3"/>
    <b v="0"/>
    <x v="1"/>
    <n v="3"/>
  </r>
  <r>
    <s v="ORD-00787"/>
    <x v="1029"/>
    <x v="1029"/>
    <s v="CUST40665"/>
    <s v="Sunita Patel"/>
    <n v="53"/>
    <s v="Female"/>
    <x v="4"/>
    <s v="Chennai"/>
    <x v="5"/>
    <s v="Headphones"/>
    <n v="4"/>
    <n v="65983.59"/>
    <n v="0.12"/>
    <n v="161534.85"/>
    <n v="25135.71"/>
    <n v="66.2"/>
    <s v="Net Banking"/>
    <x v="4"/>
    <b v="0"/>
    <x v="1"/>
    <n v="4"/>
  </r>
  <r>
    <s v="ORD-01614"/>
    <x v="1030"/>
    <x v="1030"/>
    <s v="CUST91726"/>
    <s v="Priya Shah"/>
    <n v="45"/>
    <s v="Other"/>
    <x v="0"/>
    <s v="Bhopal"/>
    <x v="5"/>
    <s v="Laptop"/>
    <n v="4"/>
    <n v="55475.839999999997"/>
    <n v="0.06"/>
    <n v="176358.34"/>
    <n v="22566.53"/>
    <n v="40.68"/>
    <s v="Debit Card"/>
    <x v="2"/>
    <b v="0"/>
    <x v="3"/>
    <n v="2"/>
  </r>
  <r>
    <s v="ORD-04104"/>
    <x v="1031"/>
    <x v="1031"/>
    <s v="CUST00610"/>
    <s v="Priya Verma"/>
    <n v="14"/>
    <s v="Male"/>
    <x v="2"/>
    <s v="Amritsar"/>
    <x v="4"/>
    <s v="Jacket"/>
    <n v="8"/>
    <n v="1693.73"/>
    <n v="0.03"/>
    <n v="12090.22"/>
    <n v="3498.38"/>
    <n v="36.04"/>
    <s v="Credit Card"/>
    <x v="0"/>
    <b v="0"/>
    <x v="3"/>
    <n v="5"/>
  </r>
  <r>
    <s v="ORD-01328"/>
    <x v="959"/>
    <x v="959"/>
    <s v="CUST77757"/>
    <s v="Amit Rao"/>
    <n v="34"/>
    <s v="Other"/>
    <x v="4"/>
    <s v="Hyderabad"/>
    <x v="4"/>
    <s v="T-Shirt"/>
    <n v="1"/>
    <n v="1197.05"/>
    <n v="0.33"/>
    <n v="1082.08"/>
    <n v="320.52"/>
    <n v="29.64"/>
    <s v="UPI"/>
    <x v="2"/>
    <b v="0"/>
    <x v="3"/>
    <n v="3"/>
  </r>
  <r>
    <s v="ORD-01880"/>
    <x v="1032"/>
    <x v="1032"/>
    <s v="CUST68733"/>
    <s v="Nikhil Nair"/>
    <n v="37"/>
    <s v="Male"/>
    <x v="3"/>
    <s v="Patna"/>
    <x v="0"/>
    <s v="Flour"/>
    <n v="2"/>
    <n v="153.13999999999999"/>
    <n v="0.28999999999999998"/>
    <n v="289.25"/>
    <n v="25.46"/>
    <n v="77.75"/>
    <s v="UPI"/>
    <x v="1"/>
    <b v="0"/>
    <x v="1"/>
    <n v="8"/>
  </r>
  <r>
    <s v="ORD-01752"/>
    <x v="1033"/>
    <x v="1033"/>
    <s v="CUST58616"/>
    <s v="Nikhil Singh"/>
    <n v="34"/>
    <s v="Other"/>
    <x v="2"/>
    <s v="Delhi"/>
    <x v="3"/>
    <s v="Cook Book"/>
    <n v="10"/>
    <n v="1347.14"/>
    <n v="0.17"/>
    <n v="12168.87"/>
    <n v="3966.61"/>
    <n v="43.49"/>
    <s v="UPI"/>
    <x v="0"/>
    <b v="1"/>
    <x v="0"/>
    <n v="3"/>
  </r>
  <r>
    <s v="ORD-04099"/>
    <x v="523"/>
    <x v="523"/>
    <s v="CUST82403"/>
    <s v="Shreya Mehta"/>
    <n v="34"/>
    <s v="Female"/>
    <x v="1"/>
    <s v="Surat"/>
    <x v="0"/>
    <s v="Dal (1kg)"/>
    <n v="3"/>
    <n v="124.6"/>
    <n v="0.33"/>
    <n v="224.85"/>
    <n v="18.07"/>
    <n v="79.099999999999994"/>
    <s v="Credit Card"/>
    <x v="0"/>
    <b v="0"/>
    <x v="1"/>
    <n v="8"/>
  </r>
  <r>
    <s v="ORD-00565"/>
    <x v="397"/>
    <x v="397"/>
    <s v="CUST05627"/>
    <s v="Aarav Kumar"/>
    <n v="37"/>
    <s v="Female"/>
    <x v="1"/>
    <s v="Surat"/>
    <x v="6"/>
    <s v="Cricket Bat"/>
    <n v="1"/>
    <n v="3528.13"/>
    <n v="0.38"/>
    <n v="2038.22"/>
    <n v="420.96"/>
    <n v="53.63"/>
    <s v="Credit Card"/>
    <x v="4"/>
    <b v="1"/>
    <x v="0"/>
    <n v="6"/>
  </r>
  <r>
    <s v="ORD-03634"/>
    <x v="603"/>
    <x v="603"/>
    <s v="CUST10137"/>
    <s v="Nikhil Kapoor"/>
    <n v="32"/>
    <s v="Male"/>
    <x v="4"/>
    <s v="Bangalore"/>
    <x v="1"/>
    <s v="Sunscreen"/>
    <n v="1"/>
    <n v="2169.87"/>
    <n v="0.38"/>
    <n v="1926.55"/>
    <n v="458.88"/>
    <n v="52.43"/>
    <s v="Cash on Delivery"/>
    <x v="1"/>
    <b v="0"/>
    <x v="2"/>
    <n v="3"/>
  </r>
  <r>
    <s v="ORD-00222"/>
    <x v="1034"/>
    <x v="1034"/>
    <s v="CUST35116"/>
    <s v="Shreya Reddy"/>
    <n v="41"/>
    <s v="Other"/>
    <x v="0"/>
    <s v="Indore"/>
    <x v="5"/>
    <s v="Smartphone"/>
    <n v="9"/>
    <n v="5129.67"/>
    <n v="0.32"/>
    <n v="38513.550000000003"/>
    <n v="4662.1000000000004"/>
    <n v="46.85"/>
    <s v="Cash on Delivery"/>
    <x v="1"/>
    <b v="0"/>
    <x v="1"/>
    <n v="2"/>
  </r>
  <r>
    <s v="ORD-01354"/>
    <x v="86"/>
    <x v="86"/>
    <s v="CUST77279"/>
    <s v="Sanjay Chatterjee"/>
    <n v="29"/>
    <s v="Male"/>
    <x v="0"/>
    <s v="Nagpur"/>
    <x v="4"/>
    <s v="Jeans"/>
    <n v="2"/>
    <n v="3887.01"/>
    <n v="0.36"/>
    <n v="5775.71"/>
    <n v="2252.91"/>
    <n v="53.35"/>
    <s v="Net Banking"/>
    <x v="1"/>
    <b v="0"/>
    <x v="1"/>
    <n v="1"/>
  </r>
  <r>
    <s v="ORD-01890"/>
    <x v="1035"/>
    <x v="1035"/>
    <s v="CUST59516"/>
    <s v="Priya Nair"/>
    <n v="46"/>
    <s v="Female"/>
    <x v="4"/>
    <s v="Kochi"/>
    <x v="4"/>
    <s v="T-Shirt"/>
    <n v="8"/>
    <n v="2375.65"/>
    <n v="0.39"/>
    <n v="14431.7"/>
    <n v="5032.2"/>
    <n v="74.260000000000005"/>
    <s v="UPI"/>
    <x v="0"/>
    <b v="0"/>
    <x v="1"/>
    <n v="5"/>
  </r>
  <r>
    <s v="ORD-02160"/>
    <x v="859"/>
    <x v="859"/>
    <s v="CUST01889"/>
    <s v="Rahul Verma"/>
    <n v="31"/>
    <s v="Other"/>
    <x v="0"/>
    <s v="Raipur"/>
    <x v="1"/>
    <s v="Hair Oil"/>
    <n v="4"/>
    <n v="1536.84"/>
    <n v="0"/>
    <n v="8572.24"/>
    <n v="4876.08"/>
    <n v="73.06"/>
    <s v="Debit Card"/>
    <x v="1"/>
    <b v="0"/>
    <x v="1"/>
    <n v="6"/>
  </r>
  <r>
    <s v="ORD-00324"/>
    <x v="1036"/>
    <x v="1036"/>
    <s v="CUST46595"/>
    <s v="Amit Bhat"/>
    <n v="12"/>
    <s v="Male"/>
    <x v="2"/>
    <s v="Amritsar"/>
    <x v="4"/>
    <s v="T-Shirt"/>
    <n v="10"/>
    <n v="2830.97"/>
    <n v="0.36"/>
    <n v="22010.44"/>
    <n v="5346.01"/>
    <n v="65.650000000000006"/>
    <s v="Net Banking"/>
    <x v="4"/>
    <b v="0"/>
    <x v="1"/>
    <n v="4"/>
  </r>
  <r>
    <s v="ORD-03314"/>
    <x v="1037"/>
    <x v="1037"/>
    <s v="CUST74780"/>
    <s v="Rahul Bhat"/>
    <n v="13"/>
    <s v="Male"/>
    <x v="1"/>
    <s v="Pune"/>
    <x v="3"/>
    <s v="Comic Book"/>
    <n v="10"/>
    <n v="1096"/>
    <n v="0.31"/>
    <n v="6190.12"/>
    <n v="1824.11"/>
    <n v="82.85"/>
    <s v="Credit Card"/>
    <x v="1"/>
    <b v="0"/>
    <x v="1"/>
    <n v="7"/>
  </r>
  <r>
    <s v="ORD-03021"/>
    <x v="1038"/>
    <x v="1038"/>
    <s v="CUST66733"/>
    <s v="Priya Iyer"/>
    <n v="33"/>
    <s v="Female"/>
    <x v="1"/>
    <s v="Ahmedabad"/>
    <x v="0"/>
    <s v="Tea"/>
    <n v="4"/>
    <n v="223.01"/>
    <n v="0.06"/>
    <n v="1169.6099999999999"/>
    <n v="100.59"/>
    <n v="66.900000000000006"/>
    <s v="Cash on Delivery"/>
    <x v="3"/>
    <b v="0"/>
    <x v="1"/>
    <n v="2"/>
  </r>
  <r>
    <s v="ORD-03963"/>
    <x v="1039"/>
    <x v="1039"/>
    <s v="CUST85913"/>
    <s v="Sunita Iyer"/>
    <n v="34"/>
    <s v="Male"/>
    <x v="0"/>
    <s v="Raipur"/>
    <x v="6"/>
    <s v="Tennis Racket"/>
    <n v="5"/>
    <n v="4061.88"/>
    <n v="0.18"/>
    <n v="4315.2700000000004"/>
    <n v="1050.3399999999999"/>
    <n v="67.959999999999994"/>
    <s v="Debit Card"/>
    <x v="4"/>
    <b v="0"/>
    <x v="1"/>
    <n v="2"/>
  </r>
  <r>
    <s v="ORD-03326"/>
    <x v="401"/>
    <x v="401"/>
    <s v="CUST35382"/>
    <s v="Ritu Singh"/>
    <n v="46"/>
    <s v="Other"/>
    <x v="1"/>
    <s v="Surat"/>
    <x v="4"/>
    <s v="Jeans"/>
    <n v="5"/>
    <n v="1679.82"/>
    <n v="0.28999999999999998"/>
    <n v="5932.93"/>
    <n v="2439.71"/>
    <n v="61.89"/>
    <s v="Net Banking"/>
    <x v="3"/>
    <b v="0"/>
    <x v="3"/>
    <n v="3"/>
  </r>
  <r>
    <s v="ORD-02513"/>
    <x v="1040"/>
    <x v="1040"/>
    <s v="CUST10153"/>
    <s v="Vikram Pillai"/>
    <n v="49"/>
    <s v="Other"/>
    <x v="1"/>
    <s v="Ahmedabad"/>
    <x v="0"/>
    <s v="Flour"/>
    <n v="1"/>
    <n v="111.85"/>
    <n v="0.03"/>
    <n v="85.28"/>
    <n v="7.87"/>
    <n v="62.85"/>
    <s v="EMI"/>
    <x v="4"/>
    <b v="0"/>
    <x v="1"/>
    <n v="3"/>
  </r>
  <r>
    <s v="ORD-03675"/>
    <x v="307"/>
    <x v="307"/>
    <s v="CUST24522"/>
    <s v="Karan Kumar"/>
    <n v="35"/>
    <s v="Male"/>
    <x v="0"/>
    <s v="Bhopal"/>
    <x v="0"/>
    <s v="Cooking Oil"/>
    <n v="5"/>
    <n v="111.25"/>
    <n v="0.21"/>
    <n v="998.96"/>
    <n v="93.18"/>
    <n v="69.34"/>
    <s v="Cash on Delivery"/>
    <x v="2"/>
    <b v="0"/>
    <x v="1"/>
    <n v="3"/>
  </r>
  <r>
    <s v="ORD-00805"/>
    <x v="1041"/>
    <x v="1041"/>
    <s v="CUST38399"/>
    <s v="Nikhil Gupta"/>
    <n v="22"/>
    <s v="Male"/>
    <x v="0"/>
    <s v="Indore"/>
    <x v="4"/>
    <s v="Saree"/>
    <n v="6"/>
    <n v="2532.5500000000002"/>
    <n v="0.06"/>
    <n v="10659.76"/>
    <n v="4546.7299999999996"/>
    <n v="64.53"/>
    <s v="UPI"/>
    <x v="4"/>
    <b v="0"/>
    <x v="4"/>
    <n v="1"/>
  </r>
  <r>
    <s v="ORD-00838"/>
    <x v="294"/>
    <x v="294"/>
    <s v="CUST92341"/>
    <s v="Deepa Bhat"/>
    <n v="34"/>
    <s v="Other"/>
    <x v="4"/>
    <s v="Hyderabad"/>
    <x v="5"/>
    <s v="Headphones"/>
    <n v="4"/>
    <n v="47874.239999999998"/>
    <n v="0.28999999999999998"/>
    <n v="95589.48"/>
    <n v="11952.46"/>
    <n v="79.36"/>
    <s v="Debit Card"/>
    <x v="3"/>
    <b v="1"/>
    <x v="0"/>
    <n v="3"/>
  </r>
  <r>
    <s v="ORD-00433"/>
    <x v="514"/>
    <x v="514"/>
    <s v="CUST34701"/>
    <s v="Sanjay Chatterjee"/>
    <n v="47"/>
    <s v="Other"/>
    <x v="0"/>
    <s v="Indore"/>
    <x v="5"/>
    <s v="Laptop"/>
    <n v="4"/>
    <n v="37472.699999999997"/>
    <n v="0.01"/>
    <n v="218210.41"/>
    <n v="22304.92"/>
    <n v="43.11"/>
    <s v="Credit Card"/>
    <x v="2"/>
    <b v="0"/>
    <x v="1"/>
    <n v="10"/>
  </r>
  <r>
    <s v="ORD-03453"/>
    <x v="1042"/>
    <x v="1042"/>
    <s v="CUST73572"/>
    <s v="Ananya Verma"/>
    <n v="18"/>
    <s v="Male"/>
    <x v="1"/>
    <s v="Surat"/>
    <x v="2"/>
    <s v="Bed Frame"/>
    <n v="8"/>
    <n v="31388.84"/>
    <n v="0.39"/>
    <n v="135556.47"/>
    <n v="45198.52"/>
    <n v="57.54"/>
    <s v="UPI"/>
    <x v="2"/>
    <b v="0"/>
    <x v="1"/>
    <n v="4"/>
  </r>
  <r>
    <s v="ORD-02906"/>
    <x v="7"/>
    <x v="7"/>
    <s v="CUST43728"/>
    <s v="Nisha Joshi"/>
    <n v="20"/>
    <s v="Male"/>
    <x v="0"/>
    <s v="Raipur"/>
    <x v="6"/>
    <s v="Football"/>
    <n v="7"/>
    <n v="754.28"/>
    <n v="0.05"/>
    <n v="7778.83"/>
    <n v="2271.0500000000002"/>
    <n v="45.61"/>
    <s v="Net Banking"/>
    <x v="4"/>
    <b v="0"/>
    <x v="1"/>
    <n v="4"/>
  </r>
  <r>
    <s v="ORD-02700"/>
    <x v="1043"/>
    <x v="1043"/>
    <s v="CUST26383"/>
    <s v="Vikram Mehta"/>
    <n v="18"/>
    <s v="Other"/>
    <x v="3"/>
    <s v="Guwahati"/>
    <x v="6"/>
    <s v="Dumbbells"/>
    <n v="5"/>
    <n v="5610.04"/>
    <n v="0.21"/>
    <n v="27238.57"/>
    <n v="4096.24"/>
    <n v="84.23"/>
    <s v="UPI"/>
    <x v="3"/>
    <b v="0"/>
    <x v="1"/>
    <n v="2"/>
  </r>
  <r>
    <s v="ORD-03679"/>
    <x v="123"/>
    <x v="123"/>
    <s v="CUST33255"/>
    <s v="Priya Mishra"/>
    <n v="38"/>
    <s v="Other"/>
    <x v="2"/>
    <s v="Amritsar"/>
    <x v="2"/>
    <s v="Desk"/>
    <n v="5"/>
    <n v="25978.76"/>
    <n v="0.11"/>
    <n v="222707.41"/>
    <n v="45655.25"/>
    <n v="40.229999999999997"/>
    <s v="Debit Card"/>
    <x v="4"/>
    <b v="0"/>
    <x v="1"/>
    <n v="4"/>
  </r>
  <r>
    <s v="ORD-03397"/>
    <x v="1044"/>
    <x v="1044"/>
    <s v="CUST80323"/>
    <s v="Rahul Chatterjee"/>
    <n v="23"/>
    <s v="Male"/>
    <x v="4"/>
    <s v="Bangalore"/>
    <x v="0"/>
    <s v="Cooking Oil"/>
    <n v="6"/>
    <n v="69.63"/>
    <n v="0.33"/>
    <n v="256.35000000000002"/>
    <n v="21.2"/>
    <n v="103.66"/>
    <s v="EMI"/>
    <x v="4"/>
    <b v="1"/>
    <x v="0"/>
    <n v="1"/>
  </r>
  <r>
    <s v="ORD-02354"/>
    <x v="1045"/>
    <x v="1045"/>
    <s v="CUST69204"/>
    <s v="Arjun Joshi"/>
    <n v="3"/>
    <s v="Other"/>
    <x v="2"/>
    <s v="Ludhiana"/>
    <x v="6"/>
    <s v="Yoga Mat"/>
    <n v="1"/>
    <n v="6882.24"/>
    <n v="0.06"/>
    <n v="5996.92"/>
    <n v="1545.12"/>
    <n v="56.46"/>
    <s v="Cash on Delivery"/>
    <x v="0"/>
    <b v="1"/>
    <x v="0"/>
    <n v="3"/>
  </r>
  <r>
    <s v="ORD-00623"/>
    <x v="542"/>
    <x v="542"/>
    <s v="CUST24662"/>
    <s v="Kavya Joshi"/>
    <n v="36"/>
    <s v="Other"/>
    <x v="0"/>
    <s v="Raipur"/>
    <x v="0"/>
    <s v="Rice (5kg)"/>
    <n v="8"/>
    <n v="498.13"/>
    <n v="0.2"/>
    <n v="2870.12"/>
    <n v="226.32"/>
    <n v="36.47"/>
    <s v="UPI"/>
    <x v="2"/>
    <b v="1"/>
    <x v="0"/>
    <n v="6"/>
  </r>
  <r>
    <s v="ORD-00417"/>
    <x v="1046"/>
    <x v="1046"/>
    <s v="CUST24241"/>
    <s v="Meera Mehta"/>
    <n v="19"/>
    <s v="Male"/>
    <x v="0"/>
    <s v="Indore"/>
    <x v="0"/>
    <s v="Cooking Oil"/>
    <n v="6"/>
    <n v="170"/>
    <n v="0.36"/>
    <n v="834.1"/>
    <n v="50.58"/>
    <n v="64.22"/>
    <s v="Net Banking"/>
    <x v="3"/>
    <b v="0"/>
    <x v="2"/>
    <n v="5"/>
  </r>
  <r>
    <s v="ORD-03426"/>
    <x v="636"/>
    <x v="636"/>
    <s v="CUST99964"/>
    <s v="Vikram Iyer"/>
    <n v="40"/>
    <s v="Male"/>
    <x v="3"/>
    <s v="Kolkata"/>
    <x v="1"/>
    <s v="Shampoo"/>
    <n v="9"/>
    <n v="432.41"/>
    <n v="0.37"/>
    <n v="2362.96"/>
    <n v="1178.26"/>
    <n v="86.75"/>
    <s v="Net Banking"/>
    <x v="1"/>
    <b v="0"/>
    <x v="4"/>
    <n v="10"/>
  </r>
  <r>
    <s v="ORD-00125"/>
    <x v="1047"/>
    <x v="1047"/>
    <s v="CUST87260"/>
    <s v="Aarav Chatterjee"/>
    <n v="46"/>
    <s v="Other"/>
    <x v="3"/>
    <s v="Kolkata"/>
    <x v="0"/>
    <s v="Sugar"/>
    <n v="5"/>
    <n v="308.01"/>
    <n v="0.04"/>
    <n v="1315.86"/>
    <n v="56.05"/>
    <n v="55.47"/>
    <s v="Cash on Delivery"/>
    <x v="3"/>
    <b v="0"/>
    <x v="1"/>
    <n v="2"/>
  </r>
  <r>
    <s v="ORD-00577"/>
    <x v="1048"/>
    <x v="1048"/>
    <s v="CUST53381"/>
    <s v="Aditya Pillai"/>
    <n v="54"/>
    <s v="Other"/>
    <x v="0"/>
    <s v="Raipur"/>
    <x v="6"/>
    <s v="Cycle"/>
    <n v="8"/>
    <n v="10241.77"/>
    <n v="0.28999999999999998"/>
    <n v="61888.65"/>
    <n v="13264.84"/>
    <n v="67.150000000000006"/>
    <s v="Debit Card"/>
    <x v="4"/>
    <b v="1"/>
    <x v="0"/>
    <n v="6"/>
  </r>
  <r>
    <s v="ORD-02110"/>
    <x v="1049"/>
    <x v="1049"/>
    <s v="CUST80301"/>
    <s v="Priya Mehta"/>
    <n v="31"/>
    <s v="Other"/>
    <x v="0"/>
    <s v="Indore"/>
    <x v="3"/>
    <s v="Self-Help Book"/>
    <n v="5"/>
    <n v="854"/>
    <n v="0.33"/>
    <n v="691.57"/>
    <n v="321.8"/>
    <n v="40.83"/>
    <s v="Cash on Delivery"/>
    <x v="4"/>
    <b v="1"/>
    <x v="0"/>
    <n v="6"/>
  </r>
  <r>
    <s v="ORD-01444"/>
    <x v="1050"/>
    <x v="1050"/>
    <s v="CUST08288"/>
    <s v="Sanjay Verma"/>
    <n v="33"/>
    <s v="Male"/>
    <x v="4"/>
    <s v="Bangalore"/>
    <x v="6"/>
    <s v="Yoga Mat"/>
    <n v="9"/>
    <n v="2605.13"/>
    <n v="0.21"/>
    <n v="20094.939999999999"/>
    <n v="2400.52"/>
    <n v="83.93"/>
    <s v="EMI"/>
    <x v="2"/>
    <b v="1"/>
    <x v="0"/>
    <n v="5"/>
  </r>
  <r>
    <s v="ORD-03182"/>
    <x v="627"/>
    <x v="627"/>
    <s v="CUST49514"/>
    <s v="Shreya Verma"/>
    <n v="34"/>
    <s v="Male"/>
    <x v="1"/>
    <s v="Ahmedabad"/>
    <x v="4"/>
    <s v="Saree"/>
    <n v="1"/>
    <n v="3669.1"/>
    <n v="0.23"/>
    <n v="2724.49"/>
    <n v="1136.46"/>
    <n v="66"/>
    <s v="EMI"/>
    <x v="1"/>
    <b v="0"/>
    <x v="1"/>
    <n v="9"/>
  </r>
  <r>
    <s v="ORD-00496"/>
    <x v="436"/>
    <x v="436"/>
    <s v="CUST35738"/>
    <s v="Nikhil Verma"/>
    <n v="44"/>
    <s v="Other"/>
    <x v="3"/>
    <s v="Bhubaneswar"/>
    <x v="2"/>
    <s v="Bookshelf"/>
    <n v="6"/>
    <n v="10121.629999999999"/>
    <n v="0.2"/>
    <n v="61938.25"/>
    <n v="19909.16"/>
    <n v="79.23"/>
    <s v="UPI"/>
    <x v="4"/>
    <b v="0"/>
    <x v="4"/>
    <n v="2"/>
  </r>
  <r>
    <s v="ORD-00854"/>
    <x v="853"/>
    <x v="853"/>
    <s v="CUST64876"/>
    <s v="Rahul Sharma"/>
    <n v="38"/>
    <s v="Female"/>
    <x v="4"/>
    <s v="Bangalore"/>
    <x v="4"/>
    <s v="Saree"/>
    <n v="10"/>
    <n v="546.08000000000004"/>
    <n v="0.02"/>
    <n v="4248.99"/>
    <n v="1231.33"/>
    <n v="64.33"/>
    <s v="Cash on Delivery"/>
    <x v="1"/>
    <b v="0"/>
    <x v="1"/>
    <n v="3"/>
  </r>
  <r>
    <s v="ORD-00271"/>
    <x v="1051"/>
    <x v="1051"/>
    <s v="CUST41469"/>
    <s v="Rahul Bhat"/>
    <n v="44"/>
    <s v="Male"/>
    <x v="1"/>
    <s v="Surat"/>
    <x v="5"/>
    <s v="Camera"/>
    <n v="5"/>
    <n v="20270.62"/>
    <n v="0.13"/>
    <n v="92969.99"/>
    <n v="10193.11"/>
    <n v="48.68"/>
    <s v="Debit Card"/>
    <x v="3"/>
    <b v="0"/>
    <x v="1"/>
    <n v="3"/>
  </r>
  <r>
    <s v="ORD-00615"/>
    <x v="444"/>
    <x v="444"/>
    <s v="CUST47101"/>
    <s v="Sanjay Shah"/>
    <n v="18"/>
    <s v="Other"/>
    <x v="0"/>
    <s v="Raipur"/>
    <x v="5"/>
    <s v="Headphones"/>
    <n v="7"/>
    <n v="37436.559999999998"/>
    <n v="0.37"/>
    <n v="134393.01"/>
    <n v="20949.87"/>
    <n v="52.14"/>
    <s v="UPI"/>
    <x v="3"/>
    <b v="0"/>
    <x v="1"/>
    <n v="10"/>
  </r>
  <r>
    <s v="ORD-03412"/>
    <x v="878"/>
    <x v="878"/>
    <s v="CUST88295"/>
    <s v="Deepa Reddy"/>
    <n v="34"/>
    <s v="Other"/>
    <x v="0"/>
    <s v="Bhopal"/>
    <x v="4"/>
    <s v="T-Shirt"/>
    <n v="7"/>
    <n v="1628.33"/>
    <n v="0.37"/>
    <n v="7092.35"/>
    <n v="2745.59"/>
    <n v="37.909999999999997"/>
    <s v="Credit Card"/>
    <x v="4"/>
    <b v="1"/>
    <x v="0"/>
    <n v="3"/>
  </r>
  <r>
    <s v="ORD-03685"/>
    <x v="731"/>
    <x v="731"/>
    <s v="CUST54368"/>
    <s v="Rahul Bhat"/>
    <n v="26"/>
    <s v="Other"/>
    <x v="3"/>
    <s v="Kolkata"/>
    <x v="1"/>
    <s v="Lipstick"/>
    <n v="4"/>
    <n v="1340.35"/>
    <n v="0.28000000000000003"/>
    <n v="6161.42"/>
    <n v="2285.21"/>
    <n v="75.459999999999994"/>
    <s v="Net Banking"/>
    <x v="3"/>
    <b v="0"/>
    <x v="1"/>
    <n v="7"/>
  </r>
  <r>
    <s v="ORD-02233"/>
    <x v="872"/>
    <x v="872"/>
    <s v="CUST53670"/>
    <s v="Deepa Iyer"/>
    <n v="32"/>
    <s v="Male"/>
    <x v="1"/>
    <s v="Surat"/>
    <x v="4"/>
    <s v="Dress"/>
    <n v="7"/>
    <n v="3559.36"/>
    <n v="0.26"/>
    <n v="22968.400000000001"/>
    <n v="9552.92"/>
    <n v="50.49"/>
    <s v="Net Banking"/>
    <x v="2"/>
    <b v="0"/>
    <x v="1"/>
    <n v="5"/>
  </r>
  <r>
    <s v="ORD-03340"/>
    <x v="106"/>
    <x v="106"/>
    <s v="CUST00381"/>
    <s v="Pooja Kumar"/>
    <n v="15"/>
    <s v="Female"/>
    <x v="4"/>
    <s v="Chennai"/>
    <x v="1"/>
    <s v="Perfume"/>
    <n v="8"/>
    <n v="1831.18"/>
    <n v="0.37"/>
    <n v="8593.6"/>
    <n v="2469.88"/>
    <n v="52.31"/>
    <s v="EMI"/>
    <x v="2"/>
    <b v="0"/>
    <x v="1"/>
    <n v="5"/>
  </r>
  <r>
    <s v="ORD-00958"/>
    <x v="524"/>
    <x v="524"/>
    <s v="CUST07589"/>
    <s v="Rohan Shah"/>
    <n v="30"/>
    <s v="Male"/>
    <x v="2"/>
    <s v="Amritsar"/>
    <x v="0"/>
    <s v="Dal (1kg)"/>
    <n v="7"/>
    <n v="236.4"/>
    <n v="0.32"/>
    <n v="1215.8399999999999"/>
    <n v="86.13"/>
    <n v="33.049999999999997"/>
    <s v="Cash on Delivery"/>
    <x v="3"/>
    <b v="1"/>
    <x v="0"/>
    <n v="3"/>
  </r>
  <r>
    <s v="ORD-02135"/>
    <x v="1052"/>
    <x v="1052"/>
    <s v="CUST59057"/>
    <s v="Sunita Patel"/>
    <n v="44"/>
    <s v="Other"/>
    <x v="3"/>
    <s v="Kolkata"/>
    <x v="6"/>
    <s v="Tennis Racket"/>
    <n v="8"/>
    <n v="12531.28"/>
    <n v="0.26"/>
    <n v="102179.33"/>
    <n v="18509.68"/>
    <n v="84.53"/>
    <s v="Cash on Delivery"/>
    <x v="4"/>
    <b v="0"/>
    <x v="4"/>
    <n v="6"/>
  </r>
  <r>
    <s v="ORD-00681"/>
    <x v="1053"/>
    <x v="1053"/>
    <s v="CUST25326"/>
    <s v="Shreya Das"/>
    <n v="30"/>
    <s v="Male"/>
    <x v="3"/>
    <s v="Guwahati"/>
    <x v="6"/>
    <s v="Tennis Racket"/>
    <n v="1"/>
    <n v="13269.22"/>
    <n v="0.27"/>
    <n v="7469.13"/>
    <n v="1868.37"/>
    <n v="57.24"/>
    <s v="Cash on Delivery"/>
    <x v="3"/>
    <b v="0"/>
    <x v="3"/>
    <n v="1"/>
  </r>
  <r>
    <s v="ORD-02649"/>
    <x v="1054"/>
    <x v="1054"/>
    <s v="CUST25132"/>
    <s v="Aditya Nair"/>
    <n v="36"/>
    <s v="Male"/>
    <x v="2"/>
    <s v="Chandigarh"/>
    <x v="2"/>
    <s v="Bookshelf"/>
    <n v="6"/>
    <n v="3886.28"/>
    <n v="0.02"/>
    <n v="22799.71"/>
    <n v="4659.41"/>
    <n v="44.59"/>
    <s v="Cash on Delivery"/>
    <x v="4"/>
    <b v="0"/>
    <x v="1"/>
    <n v="6"/>
  </r>
  <r>
    <s v="ORD-00814"/>
    <x v="1055"/>
    <x v="1055"/>
    <s v="CUST27919"/>
    <s v="Deepa Bose"/>
    <n v="48"/>
    <s v="Female"/>
    <x v="3"/>
    <s v="Bhubaneswar"/>
    <x v="4"/>
    <s v="Dress"/>
    <n v="3"/>
    <n v="1116.5999999999999"/>
    <n v="0.09"/>
    <n v="2760.68"/>
    <n v="860.81"/>
    <n v="92.64"/>
    <s v="EMI"/>
    <x v="2"/>
    <b v="0"/>
    <x v="1"/>
    <n v="2"/>
  </r>
  <r>
    <s v="ORD-02368"/>
    <x v="1056"/>
    <x v="1056"/>
    <s v="CUST57089"/>
    <s v="Shreya Bhat"/>
    <n v="48"/>
    <s v="Male"/>
    <x v="1"/>
    <s v="Ahmedabad"/>
    <x v="2"/>
    <s v="Sofa"/>
    <n v="5"/>
    <n v="6159.86"/>
    <n v="0.03"/>
    <n v="5594.1"/>
    <n v="1071.6400000000001"/>
    <n v="52.14"/>
    <s v="EMI"/>
    <x v="3"/>
    <b v="0"/>
    <x v="1"/>
    <n v="5"/>
  </r>
  <r>
    <s v="ORD-03156"/>
    <x v="763"/>
    <x v="763"/>
    <s v="CUST34657"/>
    <s v="Ananya Mishra"/>
    <n v="31"/>
    <s v="Other"/>
    <x v="3"/>
    <s v="Guwahati"/>
    <x v="0"/>
    <s v="Tea"/>
    <n v="7"/>
    <n v="72.5"/>
    <n v="0.28000000000000003"/>
    <n v="449.07"/>
    <n v="36.76"/>
    <n v="80.150000000000006"/>
    <s v="UPI"/>
    <x v="2"/>
    <b v="0"/>
    <x v="3"/>
    <n v="9"/>
  </r>
  <r>
    <s v="ORD-01658"/>
    <x v="413"/>
    <x v="413"/>
    <s v="CUST14731"/>
    <s v="Aditya Patel"/>
    <n v="37"/>
    <s v="Female"/>
    <x v="0"/>
    <s v="Nagpur"/>
    <x v="1"/>
    <s v="Perfume"/>
    <n v="2"/>
    <n v="1173.03"/>
    <n v="0.28999999999999998"/>
    <n v="1370.12"/>
    <n v="604.94000000000005"/>
    <n v="50.86"/>
    <s v="Debit Card"/>
    <x v="0"/>
    <b v="0"/>
    <x v="1"/>
    <n v="1"/>
  </r>
  <r>
    <s v="ORD-00587"/>
    <x v="1057"/>
    <x v="1057"/>
    <s v="CUST69337"/>
    <s v="Sunita Shah"/>
    <n v="30"/>
    <s v="Female"/>
    <x v="0"/>
    <s v="Indore"/>
    <x v="5"/>
    <s v="Tablet"/>
    <n v="10"/>
    <n v="5927.03"/>
    <n v="0.37"/>
    <n v="41239.82"/>
    <n v="4624.5200000000004"/>
    <n v="77.349999999999994"/>
    <s v="Cash on Delivery"/>
    <x v="2"/>
    <b v="0"/>
    <x v="1"/>
    <n v="4"/>
  </r>
  <r>
    <s v="ORD-02543"/>
    <x v="458"/>
    <x v="458"/>
    <s v="CUST35512"/>
    <s v="Rohan Joshi"/>
    <n v="44"/>
    <s v="Other"/>
    <x v="0"/>
    <s v="Indore"/>
    <x v="6"/>
    <s v="Dumbbells"/>
    <n v="6"/>
    <n v="14871.36"/>
    <n v="0.23"/>
    <n v="56010.61"/>
    <n v="9090.5499999999993"/>
    <n v="74.650000000000006"/>
    <s v="Cash on Delivery"/>
    <x v="3"/>
    <b v="0"/>
    <x v="1"/>
    <n v="8"/>
  </r>
  <r>
    <s v="ORD-03592"/>
    <x v="912"/>
    <x v="912"/>
    <s v="CUST10003"/>
    <s v="Rohan Joshi"/>
    <n v="15"/>
    <s v="Male"/>
    <x v="1"/>
    <s v="Pune"/>
    <x v="1"/>
    <s v="Face Cream"/>
    <n v="2"/>
    <n v="1384.67"/>
    <n v="0.21"/>
    <n v="4252.3500000000004"/>
    <n v="1481.85"/>
    <n v="74.86"/>
    <s v="Cash on Delivery"/>
    <x v="0"/>
    <b v="0"/>
    <x v="1"/>
    <n v="8"/>
  </r>
  <r>
    <s v="ORD-00940"/>
    <x v="1058"/>
    <x v="1058"/>
    <s v="CUST20288"/>
    <s v="Priya Mehta"/>
    <n v="32"/>
    <s v="Female"/>
    <x v="3"/>
    <s v="Patna"/>
    <x v="3"/>
    <s v="Cook Book"/>
    <n v="1"/>
    <n v="1285.8"/>
    <n v="0.12"/>
    <n v="930.59"/>
    <n v="331.39"/>
    <n v="110.69"/>
    <s v="EMI"/>
    <x v="4"/>
    <b v="0"/>
    <x v="4"/>
    <n v="8"/>
  </r>
  <r>
    <s v="ORD-03709"/>
    <x v="1059"/>
    <x v="1059"/>
    <s v="CUST34494"/>
    <s v="Rahul Mehta"/>
    <n v="40"/>
    <s v="Other"/>
    <x v="4"/>
    <s v="Chennai"/>
    <x v="5"/>
    <s v="Laptop"/>
    <n v="9"/>
    <n v="62118.25"/>
    <n v="0.27"/>
    <n v="741493.84"/>
    <n v="88815.59"/>
    <n v="64.34"/>
    <s v="EMI"/>
    <x v="4"/>
    <b v="0"/>
    <x v="4"/>
    <n v="6"/>
  </r>
  <r>
    <s v="ORD-01178"/>
    <x v="1060"/>
    <x v="1060"/>
    <s v="CUST90166"/>
    <s v="Aditya Mishra"/>
    <n v="42"/>
    <s v="Other"/>
    <x v="0"/>
    <s v="Bhopal"/>
    <x v="2"/>
    <s v="Bed Frame"/>
    <n v="10"/>
    <n v="10408.77"/>
    <n v="0.32"/>
    <n v="104668.88"/>
    <n v="36667.24"/>
    <n v="59.71"/>
    <s v="Credit Card"/>
    <x v="3"/>
    <b v="1"/>
    <x v="0"/>
    <n v="5"/>
  </r>
  <r>
    <s v="ORD-02130"/>
    <x v="648"/>
    <x v="648"/>
    <s v="CUST23716"/>
    <s v="Vikram Nair"/>
    <n v="46"/>
    <s v="Other"/>
    <x v="1"/>
    <s v="Surat"/>
    <x v="1"/>
    <s v="Face Cream"/>
    <n v="8"/>
    <n v="1555.78"/>
    <n v="0.04"/>
    <n v="16126.18"/>
    <n v="4937.0600000000004"/>
    <n v="68.28"/>
    <s v="Net Banking"/>
    <x v="0"/>
    <b v="0"/>
    <x v="1"/>
    <n v="10"/>
  </r>
  <r>
    <s v="ORD-02092"/>
    <x v="614"/>
    <x v="614"/>
    <s v="CUST11724"/>
    <s v="Aarav Reddy"/>
    <n v="38"/>
    <s v="Male"/>
    <x v="3"/>
    <s v="Patna"/>
    <x v="0"/>
    <s v="Tea"/>
    <n v="10"/>
    <n v="282.32"/>
    <n v="0.11"/>
    <n v="3690.15"/>
    <n v="255.64"/>
    <n v="68.13"/>
    <s v="EMI"/>
    <x v="2"/>
    <b v="1"/>
    <x v="0"/>
    <n v="2"/>
  </r>
  <r>
    <s v="ORD-04128"/>
    <x v="342"/>
    <x v="342"/>
    <s v="CUST77827"/>
    <s v="Shreya Iyer"/>
    <n v="50"/>
    <s v="Female"/>
    <x v="1"/>
    <s v="Surat"/>
    <x v="6"/>
    <s v="Cricket Bat"/>
    <n v="1"/>
    <n v="3657.04"/>
    <n v="0.21"/>
    <n v="3446.01"/>
    <n v="616.92999999999995"/>
    <n v="48.37"/>
    <s v="Debit Card"/>
    <x v="0"/>
    <b v="0"/>
    <x v="1"/>
    <n v="1"/>
  </r>
  <r>
    <s v="ORD-02330"/>
    <x v="1061"/>
    <x v="1061"/>
    <s v="CUST47001"/>
    <s v="Nikhil Mishra"/>
    <n v="29"/>
    <s v="Other"/>
    <x v="0"/>
    <s v="Nagpur"/>
    <x v="6"/>
    <s v="Cricket Bat"/>
    <n v="7"/>
    <n v="8342.2099999999991"/>
    <n v="0.31"/>
    <n v="46118.01"/>
    <n v="10147.74"/>
    <n v="47.94"/>
    <s v="Credit Card"/>
    <x v="1"/>
    <b v="0"/>
    <x v="1"/>
    <n v="1"/>
  </r>
  <r>
    <s v="ORD-02454"/>
    <x v="607"/>
    <x v="607"/>
    <s v="CUST09118"/>
    <s v="Aarav Verma"/>
    <n v="27"/>
    <s v="Other"/>
    <x v="3"/>
    <s v="Kolkata"/>
    <x v="6"/>
    <s v="Football"/>
    <n v="1"/>
    <n v="2937.76"/>
    <n v="7.0000000000000007E-2"/>
    <n v="2128.61"/>
    <n v="360.5"/>
    <n v="64.66"/>
    <s v="Credit Card"/>
    <x v="1"/>
    <b v="0"/>
    <x v="1"/>
    <n v="6"/>
  </r>
  <r>
    <s v="ORD-02557"/>
    <x v="836"/>
    <x v="836"/>
    <s v="CUST61978"/>
    <s v="Amit Chatterjee"/>
    <n v="13"/>
    <s v="Female"/>
    <x v="4"/>
    <s v="Kochi"/>
    <x v="4"/>
    <s v="T-Shirt"/>
    <n v="4"/>
    <n v="1975.84"/>
    <n v="0.38"/>
    <n v="3561.8"/>
    <n v="1285.6300000000001"/>
    <n v="69.349999999999994"/>
    <s v="Cash on Delivery"/>
    <x v="3"/>
    <b v="0"/>
    <x v="1"/>
    <n v="7"/>
  </r>
  <r>
    <s v="ORD-03101"/>
    <x v="551"/>
    <x v="551"/>
    <s v="CUST69379"/>
    <s v="Rohan Pillai"/>
    <n v="22"/>
    <s v="Other"/>
    <x v="2"/>
    <s v="Chandigarh"/>
    <x v="2"/>
    <s v="Bookshelf"/>
    <n v="7"/>
    <n v="31725.3"/>
    <n v="0.37"/>
    <n v="162459.18"/>
    <n v="38520.589999999997"/>
    <n v="64.239999999999995"/>
    <s v="EMI"/>
    <x v="0"/>
    <b v="0"/>
    <x v="1"/>
    <n v="3"/>
  </r>
  <r>
    <s v="ORD-02839"/>
    <x v="1062"/>
    <x v="1062"/>
    <s v="CUST65852"/>
    <s v="Kavya Patel"/>
    <n v="21"/>
    <s v="Other"/>
    <x v="4"/>
    <s v="Chennai"/>
    <x v="6"/>
    <s v="Yoga Mat"/>
    <n v="7"/>
    <n v="7147.56"/>
    <n v="0.25"/>
    <n v="64932.35"/>
    <n v="18485.240000000002"/>
    <n v="94.91"/>
    <s v="Debit Card"/>
    <x v="1"/>
    <b v="0"/>
    <x v="1"/>
    <n v="5"/>
  </r>
  <r>
    <s v="ORD-01511"/>
    <x v="1063"/>
    <x v="1063"/>
    <s v="CUST08590"/>
    <s v="Ananya Reddy"/>
    <n v="42"/>
    <s v="Female"/>
    <x v="3"/>
    <s v="Patna"/>
    <x v="0"/>
    <s v="Sugar"/>
    <n v="8"/>
    <n v="465.39"/>
    <n v="0.2"/>
    <n v="2501.0700000000002"/>
    <n v="173.37"/>
    <n v="89.42"/>
    <s v="UPI"/>
    <x v="0"/>
    <b v="0"/>
    <x v="4"/>
    <n v="2"/>
  </r>
  <r>
    <s v="ORD-00504"/>
    <x v="570"/>
    <x v="570"/>
    <s v="CUST76030"/>
    <s v="Nisha Verma"/>
    <n v="37"/>
    <s v="Other"/>
    <x v="1"/>
    <s v="Ahmedabad"/>
    <x v="4"/>
    <s v="Dress"/>
    <n v="10"/>
    <n v="2383.1999999999998"/>
    <n v="0.23"/>
    <n v="19650.37"/>
    <n v="10442.57"/>
    <n v="79.75"/>
    <s v="Credit Card"/>
    <x v="3"/>
    <b v="0"/>
    <x v="4"/>
    <n v="10"/>
  </r>
  <r>
    <s v="ORD-03891"/>
    <x v="561"/>
    <x v="561"/>
    <s v="CUST84613"/>
    <s v="Priya Kumar"/>
    <n v="23"/>
    <s v="Other"/>
    <x v="4"/>
    <s v="Bangalore"/>
    <x v="2"/>
    <s v="Desk"/>
    <n v="1"/>
    <n v="17279.95"/>
    <n v="0.36"/>
    <n v="15219.05"/>
    <n v="4268.25"/>
    <n v="69.91"/>
    <s v="EMI"/>
    <x v="2"/>
    <b v="0"/>
    <x v="3"/>
    <n v="4"/>
  </r>
  <r>
    <s v="ORD-01941"/>
    <x v="357"/>
    <x v="357"/>
    <s v="CUST72548"/>
    <s v="Vikram Verma"/>
    <n v="40"/>
    <s v="Female"/>
    <x v="0"/>
    <s v="Bhopal"/>
    <x v="1"/>
    <s v="Face Cream"/>
    <n v="5"/>
    <n v="663.74"/>
    <n v="0.09"/>
    <n v="4621.5200000000004"/>
    <n v="2166.11"/>
    <n v="60.08"/>
    <s v="Credit Card"/>
    <x v="3"/>
    <b v="0"/>
    <x v="1"/>
    <n v="4"/>
  </r>
  <r>
    <s v="ORD-02073"/>
    <x v="1064"/>
    <x v="1064"/>
    <s v="CUST56467"/>
    <s v="Karan Kumar"/>
    <n v="36"/>
    <s v="Other"/>
    <x v="0"/>
    <s v="Nagpur"/>
    <x v="1"/>
    <s v="Hair Oil"/>
    <n v="7"/>
    <n v="541.57000000000005"/>
    <n v="0.38"/>
    <n v="3426.91"/>
    <n v="1569.49"/>
    <n v="60.06"/>
    <s v="EMI"/>
    <x v="3"/>
    <b v="0"/>
    <x v="1"/>
    <n v="3"/>
  </r>
  <r>
    <s v="ORD-02253"/>
    <x v="1065"/>
    <x v="1065"/>
    <s v="CUST22702"/>
    <s v="Arjun Rao"/>
    <n v="54"/>
    <s v="Female"/>
    <x v="3"/>
    <s v="Kolkata"/>
    <x v="2"/>
    <s v="Wardrobe"/>
    <n v="5"/>
    <n v="26136.57"/>
    <n v="0"/>
    <n v="148485.57999999999"/>
    <n v="38154.910000000003"/>
    <n v="66.36"/>
    <s v="UPI"/>
    <x v="4"/>
    <b v="0"/>
    <x v="3"/>
    <n v="5"/>
  </r>
  <r>
    <s v="ORD-04062"/>
    <x v="1066"/>
    <x v="1066"/>
    <s v="CUST68176"/>
    <s v="Rahul Kapoor"/>
    <n v="39"/>
    <s v="Other"/>
    <x v="3"/>
    <s v="Bhubaneswar"/>
    <x v="3"/>
    <s v="Self-Help Book"/>
    <n v="7"/>
    <n v="1034.1400000000001"/>
    <n v="0.16"/>
    <n v="6020"/>
    <n v="2601.0500000000002"/>
    <n v="80.959999999999994"/>
    <s v="Cash on Delivery"/>
    <x v="1"/>
    <b v="0"/>
    <x v="1"/>
    <n v="9"/>
  </r>
  <r>
    <s v="ORD-03967"/>
    <x v="517"/>
    <x v="517"/>
    <s v="CUST37272"/>
    <s v="Rohan Chatterjee"/>
    <n v="52"/>
    <s v="Female"/>
    <x v="4"/>
    <s v="Hyderabad"/>
    <x v="1"/>
    <s v="Face Cream"/>
    <n v="10"/>
    <n v="1414.73"/>
    <n v="0.32"/>
    <n v="12821.19"/>
    <n v="7374.35"/>
    <n v="58.56"/>
    <s v="UPI"/>
    <x v="3"/>
    <b v="0"/>
    <x v="1"/>
    <n v="5"/>
  </r>
  <r>
    <s v="ORD-03269"/>
    <x v="1067"/>
    <x v="1067"/>
    <s v="CUST63780"/>
    <s v="Vikram Iyer"/>
    <n v="49"/>
    <s v="Male"/>
    <x v="0"/>
    <s v="Nagpur"/>
    <x v="0"/>
    <s v="Dal (1kg)"/>
    <n v="2"/>
    <n v="53.72"/>
    <n v="0.33"/>
    <n v="63.44"/>
    <n v="5.23"/>
    <n v="62.93"/>
    <s v="Credit Card"/>
    <x v="3"/>
    <b v="1"/>
    <x v="0"/>
    <n v="9"/>
  </r>
  <r>
    <s v="ORD-01600"/>
    <x v="162"/>
    <x v="162"/>
    <s v="CUST62870"/>
    <s v="Nisha Sharma"/>
    <n v="26"/>
    <s v="Other"/>
    <x v="0"/>
    <s v="Indore"/>
    <x v="0"/>
    <s v="Sugar"/>
    <n v="10"/>
    <n v="293.89"/>
    <n v="0.38"/>
    <n v="1212.94"/>
    <n v="128.26"/>
    <n v="43.01"/>
    <s v="Net Banking"/>
    <x v="4"/>
    <b v="0"/>
    <x v="2"/>
    <n v="6"/>
  </r>
  <r>
    <s v="ORD-01003"/>
    <x v="819"/>
    <x v="819"/>
    <s v="CUST87374"/>
    <s v="Ritu Gupta"/>
    <n v="30"/>
    <s v="Female"/>
    <x v="0"/>
    <s v="Indore"/>
    <x v="3"/>
    <s v="Fiction Novel"/>
    <n v="3"/>
    <n v="672.84"/>
    <n v="0.35"/>
    <n v="1371.74"/>
    <n v="547.98"/>
    <n v="61.75"/>
    <s v="Net Banking"/>
    <x v="4"/>
    <b v="1"/>
    <x v="0"/>
    <n v="8"/>
  </r>
  <r>
    <s v="ORD-00840"/>
    <x v="1068"/>
    <x v="1068"/>
    <s v="CUST21706"/>
    <s v="Arjun Bose"/>
    <n v="40"/>
    <s v="Female"/>
    <x v="0"/>
    <s v="Bhopal"/>
    <x v="0"/>
    <s v="Flour"/>
    <n v="8"/>
    <n v="250.4"/>
    <n v="0.34"/>
    <n v="989.57"/>
    <n v="63.61"/>
    <n v="62.31"/>
    <s v="Credit Card"/>
    <x v="2"/>
    <b v="0"/>
    <x v="1"/>
    <n v="9"/>
  </r>
  <r>
    <s v="ORD-02591"/>
    <x v="986"/>
    <x v="986"/>
    <s v="CUST31554"/>
    <s v="Aditya Kumar"/>
    <n v="28"/>
    <s v="Female"/>
    <x v="1"/>
    <s v="Surat"/>
    <x v="5"/>
    <s v="Camera"/>
    <n v="7"/>
    <n v="67056.12"/>
    <n v="0.16"/>
    <n v="386566.32"/>
    <n v="40666.720000000001"/>
    <n v="42.69"/>
    <s v="UPI"/>
    <x v="3"/>
    <b v="0"/>
    <x v="2"/>
    <n v="7"/>
  </r>
  <r>
    <s v="ORD-02071"/>
    <x v="1064"/>
    <x v="1064"/>
    <s v="CUST84689"/>
    <s v="Meera Sharma"/>
    <n v="25"/>
    <s v="Other"/>
    <x v="1"/>
    <s v="Mumbai"/>
    <x v="1"/>
    <s v="Lipstick"/>
    <n v="10"/>
    <n v="718.67"/>
    <n v="0.32"/>
    <n v="6934.59"/>
    <n v="2686.48"/>
    <n v="47.47"/>
    <s v="Cash on Delivery"/>
    <x v="2"/>
    <b v="0"/>
    <x v="1"/>
    <n v="6"/>
  </r>
  <r>
    <s v="ORD-01919"/>
    <x v="1069"/>
    <x v="1069"/>
    <s v="CUST47510"/>
    <s v="Ritu Gupta"/>
    <n v="37"/>
    <s v="Female"/>
    <x v="3"/>
    <s v="Kolkata"/>
    <x v="0"/>
    <s v="Flour"/>
    <n v="2"/>
    <n v="104.13"/>
    <n v="0.39"/>
    <n v="155.91"/>
    <n v="16.21"/>
    <n v="58.21"/>
    <s v="EMI"/>
    <x v="0"/>
    <b v="1"/>
    <x v="0"/>
    <n v="10"/>
  </r>
  <r>
    <s v="ORD-03682"/>
    <x v="1070"/>
    <x v="1070"/>
    <s v="CUST30084"/>
    <s v="Ritu Bose"/>
    <n v="34"/>
    <s v="Other"/>
    <x v="2"/>
    <s v="Ludhiana"/>
    <x v="4"/>
    <s v="Saree"/>
    <n v="5"/>
    <n v="1894.58"/>
    <n v="0.19"/>
    <n v="13572.12"/>
    <n v="5410.53"/>
    <n v="40.74"/>
    <s v="Debit Card"/>
    <x v="2"/>
    <b v="0"/>
    <x v="1"/>
    <n v="3"/>
  </r>
  <r>
    <s v="ORD-03702"/>
    <x v="834"/>
    <x v="834"/>
    <s v="CUST35943"/>
    <s v="Nisha Mehta"/>
    <n v="44"/>
    <s v="Other"/>
    <x v="2"/>
    <s v="Amritsar"/>
    <x v="1"/>
    <s v="Face Cream"/>
    <n v="5"/>
    <n v="678.22"/>
    <n v="0.34"/>
    <n v="3655.87"/>
    <n v="1361.71"/>
    <n v="56.46"/>
    <s v="EMI"/>
    <x v="3"/>
    <b v="0"/>
    <x v="4"/>
    <n v="3"/>
  </r>
  <r>
    <s v="ORD-00736"/>
    <x v="431"/>
    <x v="431"/>
    <s v="CUST74868"/>
    <s v="Priya Patel"/>
    <n v="46"/>
    <s v="Male"/>
    <x v="1"/>
    <s v="Mumbai"/>
    <x v="0"/>
    <s v="Dal (1kg)"/>
    <n v="1"/>
    <n v="94.57"/>
    <n v="0.38"/>
    <n v="44.61"/>
    <n v="2.87"/>
    <n v="55.93"/>
    <s v="EMI"/>
    <x v="0"/>
    <b v="0"/>
    <x v="1"/>
    <n v="8"/>
  </r>
  <r>
    <s v="ORD-00108"/>
    <x v="740"/>
    <x v="740"/>
    <s v="CUST71620"/>
    <s v="Sunita Pillai"/>
    <n v="26"/>
    <s v="Male"/>
    <x v="4"/>
    <s v="Hyderabad"/>
    <x v="2"/>
    <s v="Wardrobe"/>
    <n v="10"/>
    <n v="26170.61"/>
    <n v="0.14000000000000001"/>
    <n v="206121.15"/>
    <n v="64822.6"/>
    <n v="51.37"/>
    <s v="Cash on Delivery"/>
    <x v="1"/>
    <b v="0"/>
    <x v="3"/>
    <n v="10"/>
  </r>
  <r>
    <s v="ORD-02438"/>
    <x v="1071"/>
    <x v="1071"/>
    <s v="CUST92064"/>
    <s v="Rahul Shah"/>
    <n v="30"/>
    <s v="Male"/>
    <x v="1"/>
    <s v="Mumbai"/>
    <x v="5"/>
    <s v="Laptop"/>
    <n v="10"/>
    <n v="42734.97"/>
    <n v="0.19"/>
    <n v="285560.12"/>
    <n v="41480.81"/>
    <n v="68.69"/>
    <s v="Net Banking"/>
    <x v="2"/>
    <b v="0"/>
    <x v="1"/>
    <n v="6"/>
  </r>
  <r>
    <s v="ORD-00833"/>
    <x v="969"/>
    <x v="969"/>
    <s v="CUST53156"/>
    <s v="Rohan Iyer"/>
    <n v="44"/>
    <s v="Male"/>
    <x v="0"/>
    <s v="Raipur"/>
    <x v="4"/>
    <s v="Kurta"/>
    <n v="8"/>
    <n v="1374.51"/>
    <n v="0.25"/>
    <n v="7027.6"/>
    <n v="2549.4899999999998"/>
    <n v="47.72"/>
    <s v="EMI"/>
    <x v="3"/>
    <b v="0"/>
    <x v="1"/>
    <n v="3"/>
  </r>
  <r>
    <s v="ORD-00689"/>
    <x v="1072"/>
    <x v="1072"/>
    <s v="CUST06352"/>
    <s v="Sunita Singh"/>
    <n v="43"/>
    <s v="Other"/>
    <x v="2"/>
    <s v="Delhi"/>
    <x v="0"/>
    <s v="Rice (5kg)"/>
    <n v="999"/>
    <n v="195.29"/>
    <n v="0.1"/>
    <n v="140042.31"/>
    <n v="9617.93"/>
    <n v="60.48"/>
    <s v="Credit Card"/>
    <x v="0"/>
    <b v="0"/>
    <x v="1"/>
    <n v="7"/>
  </r>
  <r>
    <s v="ORD-03363"/>
    <x v="1073"/>
    <x v="1073"/>
    <s v="CUST98456"/>
    <s v="Nikhil Bose"/>
    <n v="40"/>
    <s v="Female"/>
    <x v="4"/>
    <s v="Chennai"/>
    <x v="2"/>
    <s v="Desk"/>
    <n v="1"/>
    <n v="8061.02"/>
    <n v="0.24"/>
    <n v="5002.7"/>
    <n v="1155.06"/>
    <n v="108.12"/>
    <s v="Credit Card"/>
    <x v="2"/>
    <b v="0"/>
    <x v="3"/>
    <n v="6"/>
  </r>
  <r>
    <s v="ORD-01678"/>
    <x v="906"/>
    <x v="906"/>
    <s v="CUST69653"/>
    <s v="Karan Sharma"/>
    <n v="25"/>
    <s v="Male"/>
    <x v="1"/>
    <s v="Ahmedabad"/>
    <x v="6"/>
    <s v="Yoga Mat"/>
    <n v="10"/>
    <n v="14755.73"/>
    <n v="0.33"/>
    <n v="79877.72"/>
    <n v="17279.41"/>
    <n v="54.29"/>
    <s v="Debit Card"/>
    <x v="1"/>
    <b v="0"/>
    <x v="1"/>
    <n v="6"/>
  </r>
  <r>
    <s v="ORD-00040"/>
    <x v="1074"/>
    <x v="1074"/>
    <s v="CUST53328"/>
    <s v="Shreya Gupta"/>
    <n v="50"/>
    <s v="Male"/>
    <x v="3"/>
    <s v="Bhubaneswar"/>
    <x v="1"/>
    <s v="Shampoo"/>
    <n v="8"/>
    <n v="2450.85"/>
    <n v="0.02"/>
    <n v="13737.04"/>
    <n v="5401.03"/>
    <n v="95.73"/>
    <s v="Net Banking"/>
    <x v="3"/>
    <b v="0"/>
    <x v="1"/>
    <n v="3"/>
  </r>
  <r>
    <s v="ORD-01163"/>
    <x v="1075"/>
    <x v="1075"/>
    <s v="CUST43541"/>
    <s v="Kavya Gupta"/>
    <n v="36"/>
    <s v="Male"/>
    <x v="1"/>
    <s v="Mumbai"/>
    <x v="4"/>
    <s v="T-Shirt"/>
    <n v="3"/>
    <n v="3190.15"/>
    <n v="0.14000000000000001"/>
    <n v="12589.64"/>
    <n v="3253.84"/>
    <n v="41"/>
    <s v="UPI"/>
    <x v="4"/>
    <b v="0"/>
    <x v="1"/>
    <n v="6"/>
  </r>
  <r>
    <s v="ORD-02426"/>
    <x v="528"/>
    <x v="528"/>
    <s v="CUST17865"/>
    <s v="Sanjay Pillai"/>
    <n v="32"/>
    <s v="Female"/>
    <x v="4"/>
    <s v="Bangalore"/>
    <x v="0"/>
    <s v="Sugar"/>
    <n v="5"/>
    <n v="450.47"/>
    <n v="0.3"/>
    <n v="1325.61"/>
    <n v="106.62"/>
    <n v="50.58"/>
    <s v="Cash on Delivery"/>
    <x v="1"/>
    <b v="0"/>
    <x v="3"/>
    <n v="7"/>
  </r>
  <r>
    <s v="ORD-01903"/>
    <x v="134"/>
    <x v="134"/>
    <s v="CUST83392"/>
    <s v="Kavya Shah"/>
    <n v="22"/>
    <s v="Other"/>
    <x v="4"/>
    <s v="Bangalore"/>
    <x v="6"/>
    <s v="Dumbbells"/>
    <n v="3"/>
    <n v="10164.780000000001"/>
    <n v="0.28999999999999998"/>
    <n v="27674.49"/>
    <n v="4282.2700000000004"/>
    <n v="81.55"/>
    <s v="Cash on Delivery"/>
    <x v="0"/>
    <b v="1"/>
    <x v="0"/>
    <n v="7"/>
  </r>
  <r>
    <s v="ORD-04042"/>
    <x v="1076"/>
    <x v="1076"/>
    <s v="CUST13143"/>
    <s v="Rahul Mehta"/>
    <n v="15"/>
    <s v="Other"/>
    <x v="0"/>
    <s v="Raipur"/>
    <x v="6"/>
    <s v="Dumbbells"/>
    <n v="7"/>
    <n v="8478.8799999999992"/>
    <n v="0.28000000000000003"/>
    <n v="51799.45"/>
    <n v="12429.32"/>
    <n v="63.81"/>
    <s v="Cash on Delivery"/>
    <x v="0"/>
    <b v="0"/>
    <x v="1"/>
    <n v="10"/>
  </r>
  <r>
    <s v="ORD-03152"/>
    <x v="1077"/>
    <x v="1077"/>
    <s v="CUST23783"/>
    <s v="Nikhil Kumar"/>
    <n v="29"/>
    <s v="Other"/>
    <x v="1"/>
    <s v="Surat"/>
    <x v="3"/>
    <s v="Fiction Novel"/>
    <n v="7"/>
    <n v="606.80999999999995"/>
    <n v="0.04"/>
    <n v="4234.6400000000003"/>
    <n v="1593.45"/>
    <n v="88.92"/>
    <s v="EMI"/>
    <x v="2"/>
    <b v="0"/>
    <x v="4"/>
    <n v="3"/>
  </r>
  <r>
    <s v="ORD-00762"/>
    <x v="1078"/>
    <x v="1078"/>
    <s v="CUST56124"/>
    <s v="Rohan Patel"/>
    <n v="31"/>
    <s v="Female"/>
    <x v="2"/>
    <s v="Ludhiana"/>
    <x v="6"/>
    <s v="Cycle"/>
    <n v="5"/>
    <n v="9275.4699999999993"/>
    <n v="0.32"/>
    <n v="4385.2"/>
    <n v="1038.19"/>
    <n v="42.64"/>
    <s v="Debit Card"/>
    <x v="4"/>
    <b v="1"/>
    <x v="0"/>
    <n v="6"/>
  </r>
  <r>
    <s v="ORD-01874"/>
    <x v="942"/>
    <x v="942"/>
    <s v="CUST43568"/>
    <s v="Pooja Kapoor"/>
    <n v="56"/>
    <s v="Male"/>
    <x v="3"/>
    <s v="Bhubaneswar"/>
    <x v="3"/>
    <s v="Textbook"/>
    <n v="10"/>
    <n v="781.54"/>
    <n v="0.38"/>
    <n v="5556.24"/>
    <n v="2168.6999999999998"/>
    <n v="78.77"/>
    <s v="Net Banking"/>
    <x v="1"/>
    <b v="0"/>
    <x v="1"/>
    <n v="4"/>
  </r>
  <r>
    <s v="ORD-00910"/>
    <x v="645"/>
    <x v="645"/>
    <s v="CUST43459"/>
    <s v="Arjun Gupta"/>
    <n v="71"/>
    <s v="Female"/>
    <x v="4"/>
    <s v="Chennai"/>
    <x v="6"/>
    <s v="Yoga Mat"/>
    <n v="2"/>
    <n v="1368.36"/>
    <n v="0.21"/>
    <n v="2751.01"/>
    <n v="302.67"/>
    <n v="73.319999999999993"/>
    <s v="Debit Card"/>
    <x v="1"/>
    <b v="0"/>
    <x v="1"/>
    <n v="3"/>
  </r>
  <r>
    <s v="ORD-00822"/>
    <x v="1079"/>
    <x v="1079"/>
    <s v="CUST46373"/>
    <s v="Ananya Kapoor"/>
    <n v="17"/>
    <s v="Female"/>
    <x v="1"/>
    <s v="Ahmedabad"/>
    <x v="4"/>
    <s v="Kurta"/>
    <n v="5"/>
    <n v="3585.04"/>
    <n v="0.21"/>
    <n v="12519.02"/>
    <n v="4000.6"/>
    <n v="65.28"/>
    <s v="Net Banking"/>
    <x v="2"/>
    <b v="0"/>
    <x v="1"/>
    <n v="4"/>
  </r>
  <r>
    <s v="ORD-02848"/>
    <x v="65"/>
    <x v="65"/>
    <s v="CUST09047"/>
    <s v="Ritu Sharma"/>
    <n v="34"/>
    <s v="Male"/>
    <x v="1"/>
    <s v="Pune"/>
    <x v="5"/>
    <s v="Headphones"/>
    <n v="9"/>
    <n v="53164.480000000003"/>
    <n v="0.28000000000000003"/>
    <n v="461808.2"/>
    <n v="47885.66"/>
    <n v="54.33"/>
    <s v="Cash on Delivery"/>
    <x v="3"/>
    <b v="0"/>
    <x v="1"/>
    <n v="10"/>
  </r>
  <r>
    <s v="ORD-03082"/>
    <x v="1080"/>
    <x v="1080"/>
    <s v="CUST93135"/>
    <s v="Karan Das"/>
    <n v="33"/>
    <s v="Male"/>
    <x v="4"/>
    <s v="Bangalore"/>
    <x v="4"/>
    <s v="Dress"/>
    <n v="10"/>
    <n v="3548.29"/>
    <n v="0.33"/>
    <n v="32142.13"/>
    <n v="13918.96"/>
    <n v="75.2"/>
    <s v="Net Banking"/>
    <x v="0"/>
    <b v="0"/>
    <x v="2"/>
    <n v="8"/>
  </r>
  <r>
    <s v="ORD-02336"/>
    <x v="997"/>
    <x v="997"/>
    <s v="CUST70109"/>
    <s v="Ananya Bose"/>
    <n v="52"/>
    <s v="Female"/>
    <x v="1"/>
    <s v="Ahmedabad"/>
    <x v="0"/>
    <s v="Tea"/>
    <n v="8"/>
    <n v="473.63"/>
    <n v="0.35"/>
    <n v="3088.56"/>
    <n v="221.64"/>
    <n v="49.07"/>
    <s v="Net Banking"/>
    <x v="1"/>
    <b v="0"/>
    <x v="4"/>
    <n v="9"/>
  </r>
  <r>
    <s v="ORD-00723"/>
    <x v="537"/>
    <x v="537"/>
    <s v="CUST73920"/>
    <s v="Shreya Joshi"/>
    <n v="30"/>
    <s v="Male"/>
    <x v="1"/>
    <s v="Pune"/>
    <x v="4"/>
    <s v="Dress"/>
    <n v="2"/>
    <n v="2740.49"/>
    <n v="0.21"/>
    <n v="3954.93"/>
    <n v="1439.89"/>
    <n v="70.08"/>
    <s v="EMI"/>
    <x v="0"/>
    <b v="1"/>
    <x v="0"/>
    <n v="1"/>
  </r>
  <r>
    <s v="ORD-03941"/>
    <x v="375"/>
    <x v="375"/>
    <s v="CUST54628"/>
    <s v="Amit Das"/>
    <n v="51"/>
    <s v="Other"/>
    <x v="4"/>
    <s v="Kochi"/>
    <x v="2"/>
    <s v="Desk"/>
    <n v="2"/>
    <n v="17035.150000000001"/>
    <n v="0.2"/>
    <n v="43451.64"/>
    <n v="9088.2999999999993"/>
    <n v="103.64"/>
    <s v="Debit Card"/>
    <x v="4"/>
    <b v="0"/>
    <x v="1"/>
    <n v="3"/>
  </r>
  <r>
    <s v="ORD-02699"/>
    <x v="1043"/>
    <x v="1043"/>
    <s v="CUST30292"/>
    <s v="Aarav Bose"/>
    <n v="45"/>
    <s v="Other"/>
    <x v="2"/>
    <s v="Amritsar"/>
    <x v="6"/>
    <s v="Tennis Racket"/>
    <n v="2"/>
    <n v="7389.74"/>
    <n v="0.4"/>
    <n v="13163.06"/>
    <n v="2642.15"/>
    <n v="49.76"/>
    <s v="Debit Card"/>
    <x v="2"/>
    <b v="1"/>
    <x v="0"/>
    <n v="6"/>
  </r>
  <r>
    <s v="ORD-03348"/>
    <x v="1081"/>
    <x v="1081"/>
    <s v="CUST22988"/>
    <s v="Rahul Shah"/>
    <n v="55"/>
    <s v="Other"/>
    <x v="0"/>
    <s v="Nagpur"/>
    <x v="0"/>
    <s v="Rice (5kg)"/>
    <n v="10"/>
    <n v="135.28"/>
    <n v="0.11"/>
    <n v="1099.56"/>
    <n v="117.16"/>
    <n v="52.31"/>
    <s v="Cash on Delivery"/>
    <x v="2"/>
    <b v="0"/>
    <x v="3"/>
    <n v="8"/>
  </r>
  <r>
    <s v="ORD-01072"/>
    <x v="664"/>
    <x v="664"/>
    <s v="CUST97294"/>
    <s v="Priya Kapoor"/>
    <n v="37"/>
    <s v="Other"/>
    <x v="3"/>
    <s v="Bhubaneswar"/>
    <x v="6"/>
    <s v="Cricket Bat"/>
    <n v="1"/>
    <n v="14885.78"/>
    <n v="0.36"/>
    <n v="12389.87"/>
    <n v="1669.38"/>
    <n v="87.48"/>
    <s v="Cash on Delivery"/>
    <x v="0"/>
    <b v="0"/>
    <x v="3"/>
    <n v="5"/>
  </r>
  <r>
    <s v="ORD-03476"/>
    <x v="1082"/>
    <x v="1082"/>
    <s v="CUST72336"/>
    <s v="Priya Nair"/>
    <n v="43"/>
    <s v="Male"/>
    <x v="2"/>
    <s v="Ludhiana"/>
    <x v="3"/>
    <s v="Textbook"/>
    <n v="1"/>
    <n v="649.08000000000004"/>
    <n v="7.0000000000000007E-2"/>
    <n v="649.52"/>
    <n v="331.12"/>
    <n v="65.5"/>
    <s v="UPI"/>
    <x v="2"/>
    <b v="0"/>
    <x v="2"/>
    <n v="1"/>
  </r>
  <r>
    <s v="ORD-02037"/>
    <x v="536"/>
    <x v="536"/>
    <s v="CUST43812"/>
    <s v="Kavya Kapoor"/>
    <n v="18"/>
    <s v="Female"/>
    <x v="4"/>
    <s v="Kochi"/>
    <x v="0"/>
    <s v="Tea"/>
    <n v="10"/>
    <n v="190.56"/>
    <n v="0.06"/>
    <n v="3127.61"/>
    <n v="256.19"/>
    <n v="101.94"/>
    <s v="EMI"/>
    <x v="0"/>
    <b v="1"/>
    <x v="0"/>
    <n v="2"/>
  </r>
  <r>
    <s v="ORD-02102"/>
    <x v="1083"/>
    <x v="1083"/>
    <s v="CUST33411"/>
    <s v="Karan Bose"/>
    <n v="48"/>
    <s v="Male"/>
    <x v="4"/>
    <s v="Bangalore"/>
    <x v="6"/>
    <s v="Yoga Mat"/>
    <n v="9"/>
    <n v="3817.71"/>
    <n v="0.25"/>
    <n v="41379.360000000001"/>
    <n v="8384.06"/>
    <n v="104.35"/>
    <s v="UPI"/>
    <x v="1"/>
    <b v="0"/>
    <x v="1"/>
    <n v="9"/>
  </r>
  <r>
    <s v="ORD-01099"/>
    <x v="1084"/>
    <x v="1084"/>
    <s v="CUST12441"/>
    <s v="Priya Nair"/>
    <n v="41"/>
    <s v="Female"/>
    <x v="4"/>
    <s v="Chennai"/>
    <x v="4"/>
    <s v="Kurta"/>
    <n v="6"/>
    <n v="1254.6400000000001"/>
    <n v="0.03"/>
    <n v="10261.459999999999"/>
    <n v="3117.09"/>
    <n v="62.14"/>
    <s v="UPI"/>
    <x v="1"/>
    <b v="0"/>
    <x v="4"/>
    <n v="1"/>
  </r>
  <r>
    <s v="ORD-00296"/>
    <x v="1085"/>
    <x v="1085"/>
    <s v="CUST10572"/>
    <s v="Shreya Bose"/>
    <n v="32"/>
    <s v="Other"/>
    <x v="3"/>
    <s v="Guwahati"/>
    <x v="6"/>
    <s v="Yoga Mat"/>
    <n v="10"/>
    <n v="4628.22"/>
    <n v="0.21"/>
    <n v="53982.41"/>
    <n v="10198.59"/>
    <n v="81.650000000000006"/>
    <s v="EMI"/>
    <x v="0"/>
    <b v="0"/>
    <x v="1"/>
    <n v="1"/>
  </r>
  <r>
    <s v="ORD-02387"/>
    <x v="1086"/>
    <x v="1086"/>
    <s v="CUST50482"/>
    <s v="Aarav Iyer"/>
    <n v="26"/>
    <s v="Female"/>
    <x v="4"/>
    <s v="Kochi"/>
    <x v="6"/>
    <s v="Yoga Mat"/>
    <n v="8"/>
    <n v="10568.63"/>
    <n v="0.21"/>
    <n v="55630.33"/>
    <n v="14348.89"/>
    <n v="77.59"/>
    <s v="Debit Card"/>
    <x v="2"/>
    <b v="0"/>
    <x v="1"/>
    <n v="1"/>
  </r>
  <r>
    <s v="ORD-00046"/>
    <x v="1087"/>
    <x v="1087"/>
    <s v="CUST01705"/>
    <s v="Priya Iyer"/>
    <n v="29"/>
    <s v="Female"/>
    <x v="1"/>
    <s v="Pune"/>
    <x v="4"/>
    <s v="Dress"/>
    <n v="1"/>
    <n v="2597.86"/>
    <n v="0.22"/>
    <n v="1513.98"/>
    <n v="537.04999999999995"/>
    <n v="56.63"/>
    <s v="Cash on Delivery"/>
    <x v="2"/>
    <b v="0"/>
    <x v="3"/>
    <n v="8"/>
  </r>
  <r>
    <s v="ORD-03443"/>
    <x v="478"/>
    <x v="478"/>
    <s v="CUST29477"/>
    <s v="Arjun Iyer"/>
    <n v="51"/>
    <s v="Female"/>
    <x v="4"/>
    <s v="Bangalore"/>
    <x v="6"/>
    <s v="Cycle"/>
    <n v="6"/>
    <n v="5856.01"/>
    <n v="0.18"/>
    <n v="26851.31"/>
    <n v="8697.76"/>
    <n v="63.02"/>
    <s v="Debit Card"/>
    <x v="0"/>
    <b v="0"/>
    <x v="1"/>
    <n v="2"/>
  </r>
  <r>
    <s v="ORD-00039"/>
    <x v="1074"/>
    <x v="1074"/>
    <s v="CUST51057"/>
    <s v="Aarav Pillai"/>
    <n v="15"/>
    <s v="Male"/>
    <x v="1"/>
    <s v="Mumbai"/>
    <x v="1"/>
    <s v="Perfume"/>
    <n v="6"/>
    <n v="1616.14"/>
    <n v="0.37"/>
    <n v="4074.48"/>
    <n v="1744.23"/>
    <n v="70.31"/>
    <s v="Net Banking"/>
    <x v="3"/>
    <b v="0"/>
    <x v="1"/>
    <n v="3"/>
  </r>
  <r>
    <s v="ORD-03335"/>
    <x v="1088"/>
    <x v="1088"/>
    <s v="CUST09205"/>
    <s v="Aarav Singh"/>
    <n v="38"/>
    <s v="Other"/>
    <x v="4"/>
    <s v="Hyderabad"/>
    <x v="0"/>
    <s v="Rice (5kg)"/>
    <n v="8"/>
    <n v="117.19"/>
    <n v="0.18"/>
    <n v="525.6"/>
    <n v="50.27"/>
    <n v="74.25"/>
    <s v="EMI"/>
    <x v="1"/>
    <b v="0"/>
    <x v="1"/>
    <n v="8"/>
  </r>
  <r>
    <s v="ORD-01985"/>
    <x v="634"/>
    <x v="634"/>
    <s v="CUST62252"/>
    <s v="Vikram Mehta"/>
    <n v="22"/>
    <s v="Male"/>
    <x v="0"/>
    <s v="Bhopal"/>
    <x v="6"/>
    <s v="Dumbbells"/>
    <n v="4"/>
    <n v="871.51"/>
    <n v="0.38"/>
    <n v="3475.68"/>
    <n v="572.32000000000005"/>
    <n v="44.83"/>
    <s v="UPI"/>
    <x v="0"/>
    <b v="0"/>
    <x v="1"/>
    <n v="3"/>
  </r>
  <r>
    <s v="ORD-03651"/>
    <x v="1089"/>
    <x v="1089"/>
    <s v="CUST95089"/>
    <s v="Amit Verma"/>
    <n v="40"/>
    <s v="Female"/>
    <x v="0"/>
    <s v="Nagpur"/>
    <x v="1"/>
    <s v="Sunscreen"/>
    <n v="8"/>
    <n v="1207.93"/>
    <n v="0.26"/>
    <n v="11716.75"/>
    <n v="4482.22"/>
    <n v="60.34"/>
    <s v="EMI"/>
    <x v="1"/>
    <b v="0"/>
    <x v="1"/>
    <n v="4"/>
  </r>
  <r>
    <s v="ORD-00855"/>
    <x v="93"/>
    <x v="93"/>
    <s v="CUST20377"/>
    <s v="Nisha Sharma"/>
    <n v="33"/>
    <s v="Other"/>
    <x v="3"/>
    <s v="Guwahati"/>
    <x v="1"/>
    <s v="Face Cream"/>
    <n v="9"/>
    <n v="1589.89"/>
    <n v="0.08"/>
    <n v="10590.69"/>
    <n v="5434.65"/>
    <n v="87.21"/>
    <s v="Cash on Delivery"/>
    <x v="2"/>
    <b v="0"/>
    <x v="1"/>
    <n v="4"/>
  </r>
  <r>
    <s v="ORD-02036"/>
    <x v="898"/>
    <x v="898"/>
    <s v="CUST01271"/>
    <s v="Ritu Gupta"/>
    <n v="21"/>
    <s v="Female"/>
    <x v="4"/>
    <s v="Chennai"/>
    <x v="0"/>
    <s v="Cooking Oil"/>
    <n v="9"/>
    <n v="468.64"/>
    <n v="0.21"/>
    <n v="5155.01"/>
    <n v="228.82"/>
    <n v="46.36"/>
    <s v="Credit Card"/>
    <x v="2"/>
    <b v="0"/>
    <x v="1"/>
    <n v="5"/>
  </r>
  <r>
    <s v="ORD-02142"/>
    <x v="1090"/>
    <x v="1090"/>
    <s v="CUST09685"/>
    <s v="Shreya Gupta"/>
    <n v="42"/>
    <s v="Female"/>
    <x v="2"/>
    <s v="Chandigarh"/>
    <x v="6"/>
    <s v="Yoga Mat"/>
    <n v="3"/>
    <n v="7955.73"/>
    <n v="0.22"/>
    <n v="26168.55"/>
    <n v="5570.15"/>
    <n v="48.56"/>
    <s v="Debit Card"/>
    <x v="4"/>
    <b v="0"/>
    <x v="1"/>
    <n v="2"/>
  </r>
  <r>
    <s v="ORD-00033"/>
    <x v="272"/>
    <x v="272"/>
    <s v="CUST74345"/>
    <s v="Shreya Patel"/>
    <n v="18"/>
    <s v="Male"/>
    <x v="4"/>
    <s v="Hyderabad"/>
    <x v="3"/>
    <s v="Textbook"/>
    <n v="2"/>
    <n v="626.54"/>
    <n v="0.21"/>
    <n v="805.43"/>
    <n v="364.25"/>
    <n v="56.69"/>
    <s v="UPI"/>
    <x v="0"/>
    <b v="0"/>
    <x v="1"/>
    <n v="8"/>
  </r>
  <r>
    <s v="ORD-00019"/>
    <x v="1091"/>
    <x v="1091"/>
    <s v="CUST27279"/>
    <s v="Sunita Iyer"/>
    <n v="26"/>
    <s v="Male"/>
    <x v="0"/>
    <s v="Nagpur"/>
    <x v="0"/>
    <s v="Sugar"/>
    <n v="6"/>
    <n v="435.26"/>
    <n v="0.24"/>
    <n v="1450.57"/>
    <n v="128.4"/>
    <n v="57.95"/>
    <s v="Net Banking"/>
    <x v="1"/>
    <b v="0"/>
    <x v="2"/>
    <n v="3"/>
  </r>
  <r>
    <s v="ORD-00248"/>
    <x v="351"/>
    <x v="351"/>
    <s v="CUST27111"/>
    <s v="Deepa Reddy"/>
    <n v="39"/>
    <s v="Male"/>
    <x v="1"/>
    <s v="Pune"/>
    <x v="2"/>
    <s v="Bed Frame"/>
    <n v="9"/>
    <n v="20578.89"/>
    <n v="0.1"/>
    <n v="193354.91"/>
    <n v="46837.64"/>
    <n v="76.42"/>
    <s v="EMI"/>
    <x v="3"/>
    <b v="0"/>
    <x v="1"/>
    <n v="1"/>
  </r>
  <r>
    <s v="ORD-02489"/>
    <x v="892"/>
    <x v="892"/>
    <s v="CUST09533"/>
    <s v="Nikhil Verma"/>
    <n v="46"/>
    <s v="Other"/>
    <x v="0"/>
    <s v="Bhopal"/>
    <x v="6"/>
    <s v="Football"/>
    <n v="8"/>
    <n v="2230.31"/>
    <n v="0.23"/>
    <n v="11449.66"/>
    <n v="2516.27"/>
    <n v="57.84"/>
    <s v="UPI"/>
    <x v="3"/>
    <b v="0"/>
    <x v="2"/>
    <n v="5"/>
  </r>
  <r>
    <s v="ORD-01253"/>
    <x v="1092"/>
    <x v="1092"/>
    <s v="CUST22505"/>
    <s v="Shreya Chatterjee"/>
    <n v="31"/>
    <s v="Male"/>
    <x v="4"/>
    <s v="Kochi"/>
    <x v="0"/>
    <s v="Rice (5kg)"/>
    <n v="5"/>
    <n v="443.63"/>
    <n v="0.36"/>
    <n v="1854.03"/>
    <n v="166.1"/>
    <n v="43.69"/>
    <s v="Cash on Delivery"/>
    <x v="3"/>
    <b v="1"/>
    <x v="0"/>
    <n v="2"/>
  </r>
  <r>
    <s v="ORD-00196"/>
    <x v="327"/>
    <x v="327"/>
    <s v="CUST37557"/>
    <s v="Arjun Chatterjee"/>
    <n v="45"/>
    <s v="Other"/>
    <x v="1"/>
    <s v="Ahmedabad"/>
    <x v="4"/>
    <s v="Kurta"/>
    <n v="1"/>
    <n v="1971.81"/>
    <n v="0.05"/>
    <n v="1592.69"/>
    <n v="732.33"/>
    <n v="57.58"/>
    <s v="EMI"/>
    <x v="4"/>
    <b v="0"/>
    <x v="1"/>
    <n v="6"/>
  </r>
  <r>
    <s v="ORD-02698"/>
    <x v="1043"/>
    <x v="1043"/>
    <s v="CUST60455"/>
    <s v="Meera Kumar"/>
    <n v="40"/>
    <s v="Male"/>
    <x v="2"/>
    <s v="Ludhiana"/>
    <x v="3"/>
    <s v="Biography"/>
    <n v="10"/>
    <n v="1452.95"/>
    <n v="0.01"/>
    <n v="18658.740000000002"/>
    <n v="5761.15"/>
    <n v="57.81"/>
    <s v="Net Banking"/>
    <x v="0"/>
    <b v="0"/>
    <x v="1"/>
    <n v="2"/>
  </r>
  <r>
    <s v="ORD-00204"/>
    <x v="220"/>
    <x v="220"/>
    <s v="CUST60582"/>
    <s v="Aditya Sharma"/>
    <n v="22"/>
    <s v="Male"/>
    <x v="0"/>
    <s v="Indore"/>
    <x v="5"/>
    <s v="Smartwatch"/>
    <n v="3"/>
    <n v="9772.16"/>
    <n v="0.21"/>
    <n v="30220.53"/>
    <n v="3821.21"/>
    <n v="87.89"/>
    <s v="Credit Card"/>
    <x v="0"/>
    <b v="0"/>
    <x v="1"/>
    <n v="7"/>
  </r>
  <r>
    <s v="ORD-00293"/>
    <x v="1085"/>
    <x v="1085"/>
    <s v="CUST52570"/>
    <s v="Nikhil Kumar"/>
    <n v="7"/>
    <s v="Other"/>
    <x v="0"/>
    <s v="Nagpur"/>
    <x v="6"/>
    <s v="Yoga Mat"/>
    <n v="8"/>
    <n v="2926.82"/>
    <n v="0.04"/>
    <n v="27176.51"/>
    <n v="8084.38"/>
    <n v="41.11"/>
    <s v="EMI"/>
    <x v="4"/>
    <b v="0"/>
    <x v="1"/>
    <n v="1"/>
  </r>
  <r>
    <s v="ORD-01346"/>
    <x v="1093"/>
    <x v="1093"/>
    <s v="CUST63670"/>
    <s v="Sunita Reddy"/>
    <n v="53"/>
    <s v="Male"/>
    <x v="2"/>
    <s v="Ludhiana"/>
    <x v="2"/>
    <s v="Desk"/>
    <n v="10"/>
    <n v="20350.98"/>
    <n v="0.22"/>
    <n v="218880.02"/>
    <n v="43493.86"/>
    <n v="69.86"/>
    <s v="EMI"/>
    <x v="4"/>
    <b v="0"/>
    <x v="1"/>
    <n v="5"/>
  </r>
  <r>
    <s v="ORD-00913"/>
    <x v="1094"/>
    <x v="1094"/>
    <s v="CUST25496"/>
    <s v="Sanjay Pillai"/>
    <n v="15"/>
    <s v="Other"/>
    <x v="1"/>
    <s v="Ahmedabad"/>
    <x v="2"/>
    <s v="Bed Frame"/>
    <n v="5"/>
    <n v="17189.599999999999"/>
    <n v="0.27"/>
    <n v="55435.55"/>
    <n v="13684.7"/>
    <n v="59.73"/>
    <s v="Credit Card"/>
    <x v="0"/>
    <b v="0"/>
    <x v="1"/>
    <n v="6"/>
  </r>
  <r>
    <s v="ORD-00114"/>
    <x v="895"/>
    <x v="895"/>
    <s v="CUST09240"/>
    <s v="Ananya Das"/>
    <n v="30"/>
    <s v="Male"/>
    <x v="2"/>
    <s v="Delhi"/>
    <x v="3"/>
    <s v="Textbook"/>
    <n v="9"/>
    <n v="334.26"/>
    <n v="0.33"/>
    <n v="1656.41"/>
    <n v="547.21"/>
    <n v="64.37"/>
    <s v="Credit Card"/>
    <x v="0"/>
    <b v="1"/>
    <x v="0"/>
    <n v="9"/>
  </r>
  <r>
    <s v="ORD-01751"/>
    <x v="1033"/>
    <x v="1033"/>
    <s v="CUST01506"/>
    <s v="Sunita Mishra"/>
    <n v="36"/>
    <s v="Female"/>
    <x v="3"/>
    <s v="Guwahati"/>
    <x v="0"/>
    <s v="Flour"/>
    <n v="10"/>
    <n v="340.07"/>
    <n v="0"/>
    <n v="3411.77"/>
    <n v="221.45"/>
    <n v="94.4"/>
    <s v="UPI"/>
    <x v="4"/>
    <b v="0"/>
    <x v="1"/>
    <n v="10"/>
  </r>
  <r>
    <s v="ORD-03697"/>
    <x v="1095"/>
    <x v="1095"/>
    <s v="CUST35363"/>
    <s v="Amit Das"/>
    <n v="43"/>
    <s v="Other"/>
    <x v="0"/>
    <s v="Nagpur"/>
    <x v="3"/>
    <s v="Textbook"/>
    <n v="8"/>
    <n v="734.35"/>
    <n v="0.3"/>
    <n v="6592.36"/>
    <n v="2327.04"/>
    <n v="53.13"/>
    <s v="UPI"/>
    <x v="0"/>
    <b v="0"/>
    <x v="1"/>
    <n v="1"/>
  </r>
  <r>
    <s v="ORD-02056"/>
    <x v="1096"/>
    <x v="1096"/>
    <s v="CUST33480"/>
    <s v="Pooja Singh"/>
    <n v="31"/>
    <s v="Other"/>
    <x v="1"/>
    <s v="Surat"/>
    <x v="6"/>
    <s v="Yoga Mat"/>
    <n v="1"/>
    <n v="12201.41"/>
    <n v="0.38"/>
    <n v="11448.72"/>
    <n v="2473.09"/>
    <n v="54.83"/>
    <s v="EMI"/>
    <x v="4"/>
    <b v="0"/>
    <x v="1"/>
    <n v="5"/>
  </r>
  <r>
    <s v="ORD-03879"/>
    <x v="530"/>
    <x v="530"/>
    <s v="CUST22795"/>
    <s v="Nikhil Kumar"/>
    <n v="18"/>
    <s v="Male"/>
    <x v="4"/>
    <s v="Chennai"/>
    <x v="4"/>
    <s v="Jeans"/>
    <n v="9"/>
    <n v="892.19"/>
    <n v="0.28999999999999998"/>
    <n v="6933.33"/>
    <n v="3107.54"/>
    <n v="67.17"/>
    <s v="EMI"/>
    <x v="3"/>
    <b v="0"/>
    <x v="1"/>
    <n v="10"/>
  </r>
  <r>
    <s v="ORD-03317"/>
    <x v="746"/>
    <x v="746"/>
    <s v="CUST33429"/>
    <s v="Sunita Das"/>
    <n v="34"/>
    <s v="Female"/>
    <x v="2"/>
    <s v="Chandigarh"/>
    <x v="2"/>
    <s v="Desk"/>
    <n v="3"/>
    <n v="29726.23"/>
    <n v="7.0000000000000007E-2"/>
    <n v="67800.679999999993"/>
    <n v="22599.39"/>
    <n v="72.069999999999993"/>
    <s v="Net Banking"/>
    <x v="0"/>
    <b v="0"/>
    <x v="1"/>
    <n v="10"/>
  </r>
  <r>
    <s v="ORD-03514"/>
    <x v="1097"/>
    <x v="1097"/>
    <s v="CUST77487"/>
    <s v="Priya Gupta"/>
    <n v="32"/>
    <s v="Female"/>
    <x v="1"/>
    <s v="Pune"/>
    <x v="0"/>
    <s v="Tea"/>
    <n v="3"/>
    <n v="248.9"/>
    <n v="0"/>
    <n v="937.24"/>
    <n v="91.65"/>
    <n v="73.94"/>
    <s v="Credit Card"/>
    <x v="2"/>
    <b v="0"/>
    <x v="1"/>
    <n v="6"/>
  </r>
  <r>
    <s v="ORD-01630"/>
    <x v="362"/>
    <x v="362"/>
    <s v="CUST77556"/>
    <s v="Arjun Joshi"/>
    <n v="37"/>
    <s v="Male"/>
    <x v="2"/>
    <s v="Delhi"/>
    <x v="0"/>
    <s v="Dal (1kg)"/>
    <n v="1"/>
    <n v="461.28"/>
    <n v="0.06"/>
    <n v="357.77"/>
    <n v="41.24"/>
    <n v="57.7"/>
    <s v="Cash on Delivery"/>
    <x v="0"/>
    <b v="0"/>
    <x v="1"/>
    <n v="2"/>
  </r>
  <r>
    <s v="ORD-03201"/>
    <x v="254"/>
    <x v="254"/>
    <s v="CUST99262"/>
    <s v="Sanjay Joshi"/>
    <n v="19"/>
    <s v="Male"/>
    <x v="2"/>
    <s v="Chandigarh"/>
    <x v="4"/>
    <s v="Kurta"/>
    <n v="7"/>
    <n v="1104.26"/>
    <n v="0.13"/>
    <n v="6551.79"/>
    <n v="2415.7399999999998"/>
    <n v="58.32"/>
    <s v="Debit Card"/>
    <x v="0"/>
    <b v="0"/>
    <x v="1"/>
    <n v="1"/>
  </r>
  <r>
    <s v="ORD-03641"/>
    <x v="177"/>
    <x v="177"/>
    <s v="CUST69845"/>
    <s v="Ananya Nair"/>
    <n v="25"/>
    <s v="Female"/>
    <x v="2"/>
    <s v="Chandigarh"/>
    <x v="1"/>
    <s v="Face Cream"/>
    <n v="4"/>
    <n v="867.46"/>
    <n v="0.22"/>
    <n v="4462.82"/>
    <n v="2376.0500000000002"/>
    <n v="52.4"/>
    <s v="Debit Card"/>
    <x v="3"/>
    <b v="0"/>
    <x v="1"/>
    <n v="7"/>
  </r>
  <r>
    <s v="ORD-00005"/>
    <x v="1098"/>
    <x v="1098"/>
    <s v="CUST66045"/>
    <s v="Aditya Singh"/>
    <n v="45"/>
    <s v="Other"/>
    <x v="3"/>
    <s v="Kolkata"/>
    <x v="3"/>
    <s v="Textbook"/>
    <n v="6"/>
    <n v="682.59"/>
    <n v="0.22"/>
    <n v="2460.25"/>
    <n v="680.71"/>
    <n v="76.22"/>
    <s v="Debit Card"/>
    <x v="4"/>
    <b v="1"/>
    <x v="0"/>
    <n v="3"/>
  </r>
  <r>
    <s v="ORD-00176"/>
    <x v="985"/>
    <x v="985"/>
    <s v="CUST81366"/>
    <s v="Vikram Sharma"/>
    <n v="15"/>
    <s v="Female"/>
    <x v="3"/>
    <s v="Patna"/>
    <x v="2"/>
    <s v="Bookshelf"/>
    <n v="6"/>
    <n v="14217.54"/>
    <n v="0.36"/>
    <n v="54182.97"/>
    <n v="16528.59"/>
    <n v="65.56"/>
    <s v="EMI"/>
    <x v="1"/>
    <b v="0"/>
    <x v="2"/>
    <n v="9"/>
  </r>
  <r>
    <s v="ORD-00413"/>
    <x v="29"/>
    <x v="29"/>
    <s v="CUST24888"/>
    <s v="Nisha Mishra"/>
    <n v="30"/>
    <s v="Male"/>
    <x v="3"/>
    <s v="Guwahati"/>
    <x v="1"/>
    <s v="Sunscreen"/>
    <n v="9"/>
    <n v="2148.56"/>
    <n v="0.13"/>
    <n v="20282.55"/>
    <n v="9481.52"/>
    <n v="85.42"/>
    <s v="Net Banking"/>
    <x v="1"/>
    <b v="0"/>
    <x v="1"/>
    <n v="6"/>
  </r>
  <r>
    <s v="ORD-02231"/>
    <x v="540"/>
    <x v="540"/>
    <s v="CUST06734"/>
    <s v="Priya Mehta"/>
    <n v="26"/>
    <s v="Female"/>
    <x v="3"/>
    <s v="Guwahati"/>
    <x v="5"/>
    <s v="Camera"/>
    <n v="7"/>
    <n v="49602.62"/>
    <n v="0.08"/>
    <n v="439375.74"/>
    <n v="57634.77"/>
    <n v="76.260000000000005"/>
    <s v="EMI"/>
    <x v="2"/>
    <b v="1"/>
    <x v="0"/>
    <n v="7"/>
  </r>
  <r>
    <s v="ORD-01431"/>
    <x v="600"/>
    <x v="600"/>
    <s v="CUST03275"/>
    <s v="Rohan Mishra"/>
    <n v="42"/>
    <s v="Female"/>
    <x v="1"/>
    <s v="Ahmedabad"/>
    <x v="5"/>
    <s v="Smartwatch"/>
    <n v="8"/>
    <n v="32618.21"/>
    <n v="0.24"/>
    <n v="175909.3"/>
    <n v="22171.54"/>
    <n v="80.63"/>
    <s v="Credit Card"/>
    <x v="1"/>
    <b v="0"/>
    <x v="1"/>
    <n v="2"/>
  </r>
  <r>
    <s v="ORD-03100"/>
    <x v="845"/>
    <x v="845"/>
    <s v="CUST55749"/>
    <s v="Rahul Das"/>
    <n v="38"/>
    <s v="Other"/>
    <x v="1"/>
    <s v="Surat"/>
    <x v="0"/>
    <s v="Rice (5kg)"/>
    <n v="1"/>
    <n v="166.38"/>
    <n v="0.11"/>
    <n v="187.22"/>
    <n v="18.5"/>
    <n v="57.01"/>
    <s v="Debit Card"/>
    <x v="1"/>
    <b v="0"/>
    <x v="1"/>
    <n v="7"/>
  </r>
  <r>
    <s v="ORD-00024"/>
    <x v="39"/>
    <x v="39"/>
    <s v="CUST27593"/>
    <s v="Nikhil Mehta"/>
    <n v="23"/>
    <s v="Male"/>
    <x v="4"/>
    <s v="Bangalore"/>
    <x v="6"/>
    <s v="Yoga Mat"/>
    <n v="9"/>
    <n v="14375.13"/>
    <n v="0.19"/>
    <n v="85772.89"/>
    <n v="14206.15"/>
    <n v="58.57"/>
    <s v="Net Banking"/>
    <x v="1"/>
    <b v="0"/>
    <x v="1"/>
    <n v="2"/>
  </r>
  <r>
    <s v="ORD-03041"/>
    <x v="1099"/>
    <x v="1099"/>
    <s v="CUST35537"/>
    <s v="Sunita Nair"/>
    <n v="24"/>
    <s v="Male"/>
    <x v="0"/>
    <s v="Raipur"/>
    <x v="2"/>
    <s v="Chair"/>
    <n v="4"/>
    <n v="33469.07"/>
    <n v="0.02"/>
    <n v="211554.01"/>
    <n v="60337.15"/>
    <n v="33.54"/>
    <s v="EMI"/>
    <x v="0"/>
    <b v="1"/>
    <x v="0"/>
    <n v="8"/>
  </r>
  <r>
    <s v="ORD-02422"/>
    <x v="1100"/>
    <x v="1100"/>
    <s v="CUST80806"/>
    <s v="Deepa Bhat"/>
    <n v="26"/>
    <s v="Male"/>
    <x v="2"/>
    <s v="Amritsar"/>
    <x v="4"/>
    <s v="Dress"/>
    <n v="6"/>
    <n v="2781.83"/>
    <n v="0.34"/>
    <n v="10384.52"/>
    <n v="3543.82"/>
    <n v="47.91"/>
    <s v="Credit Card"/>
    <x v="3"/>
    <b v="0"/>
    <x v="1"/>
    <n v="3"/>
  </r>
  <r>
    <s v="ORD-02615"/>
    <x v="222"/>
    <x v="222"/>
    <s v="CUST36242"/>
    <s v="Shreya Iyer"/>
    <n v="38"/>
    <s v="Female"/>
    <x v="2"/>
    <s v="Chandigarh"/>
    <x v="4"/>
    <s v="Jeans"/>
    <n v="9"/>
    <n v="924.21"/>
    <n v="0.25"/>
    <n v="6848.48"/>
    <n v="2169.66"/>
    <n v="33.880000000000003"/>
    <s v="Debit Card"/>
    <x v="2"/>
    <b v="0"/>
    <x v="1"/>
    <n v="6"/>
  </r>
  <r>
    <s v="ORD-04133"/>
    <x v="691"/>
    <x v="691"/>
    <s v="CUST61673"/>
    <s v="Kavya Joshi"/>
    <n v="42"/>
    <s v="Female"/>
    <x v="0"/>
    <s v="Raipur"/>
    <x v="6"/>
    <s v="Tennis Racket"/>
    <n v="5"/>
    <n v="6804.29"/>
    <n v="0.19"/>
    <n v="29844.9"/>
    <n v="8007.3"/>
    <n v="38.07"/>
    <s v="EMI"/>
    <x v="1"/>
    <b v="0"/>
    <x v="1"/>
    <n v="6"/>
  </r>
  <r>
    <s v="ORD-02269"/>
    <x v="12"/>
    <x v="12"/>
    <s v="CUST17627"/>
    <s v="Deepa Kapoor"/>
    <n v="34"/>
    <s v="Other"/>
    <x v="4"/>
    <s v="Bangalore"/>
    <x v="6"/>
    <s v="Yoga Mat"/>
    <n v="3"/>
    <n v="13367.65"/>
    <n v="0.27"/>
    <n v="30351.3"/>
    <n v="8238.2800000000007"/>
    <n v="76.52"/>
    <s v="Cash on Delivery"/>
    <x v="0"/>
    <b v="0"/>
    <x v="1"/>
    <n v="4"/>
  </r>
  <r>
    <s v="ORD-00027"/>
    <x v="484"/>
    <x v="484"/>
    <s v="CUST34383"/>
    <s v="Kavya Chatterjee"/>
    <n v="20"/>
    <s v="Female"/>
    <x v="1"/>
    <s v="Pune"/>
    <x v="6"/>
    <s v="Football"/>
    <n v="5"/>
    <n v="2324.58"/>
    <n v="0.2"/>
    <n v="8032.2"/>
    <n v="1662.26"/>
    <n v="52.62"/>
    <s v="EMI"/>
    <x v="0"/>
    <b v="0"/>
    <x v="3"/>
    <n v="4"/>
  </r>
  <r>
    <s v="ORD-00421"/>
    <x v="658"/>
    <x v="658"/>
    <s v="CUST80414"/>
    <s v="Karan Rao"/>
    <n v="40"/>
    <s v="Other"/>
    <x v="0"/>
    <s v="Raipur"/>
    <x v="1"/>
    <s v="Face Cream"/>
    <n v="6"/>
    <n v="682.35"/>
    <n v="0.15"/>
    <n v="4243.13"/>
    <n v="2395.37"/>
    <n v="66.53"/>
    <s v="Cash on Delivery"/>
    <x v="0"/>
    <b v="0"/>
    <x v="1"/>
    <n v="5"/>
  </r>
  <r>
    <s v="ORD-00960"/>
    <x v="644"/>
    <x v="644"/>
    <s v="CUST61286"/>
    <s v="Aarav Singh"/>
    <n v="11"/>
    <s v="Male"/>
    <x v="0"/>
    <s v="Nagpur"/>
    <x v="5"/>
    <s v="Tablet"/>
    <n v="4"/>
    <n v="22676.17"/>
    <n v="0.17"/>
    <n v="85348.7"/>
    <n v="11066.6"/>
    <n v="67.959999999999994"/>
    <s v="EMI"/>
    <x v="4"/>
    <b v="0"/>
    <x v="1"/>
    <n v="1"/>
  </r>
  <r>
    <s v="ORD-00603"/>
    <x v="807"/>
    <x v="807"/>
    <s v="CUST11712"/>
    <s v="Deepa Nair"/>
    <n v="44"/>
    <s v="Male"/>
    <x v="0"/>
    <s v="Raipur"/>
    <x v="1"/>
    <s v="Face Cream"/>
    <n v="9"/>
    <n v="2256.35"/>
    <n v="0.31"/>
    <n v="13508.5"/>
    <n v="7604.3"/>
    <n v="80.48"/>
    <s v="Cash on Delivery"/>
    <x v="1"/>
    <b v="1"/>
    <x v="0"/>
    <n v="2"/>
  </r>
  <r>
    <s v="ORD-03058"/>
    <x v="690"/>
    <x v="690"/>
    <s v="CUST75687"/>
    <s v="Priya Mehta"/>
    <n v="48"/>
    <s v="Other"/>
    <x v="4"/>
    <s v="Chennai"/>
    <x v="4"/>
    <s v="Jacket"/>
    <n v="4"/>
    <n v="2277.17"/>
    <n v="0.19"/>
    <n v="10944.9"/>
    <n v="4259.5600000000004"/>
    <n v="68.14"/>
    <s v="Cash on Delivery"/>
    <x v="3"/>
    <b v="1"/>
    <x v="0"/>
    <n v="3"/>
  </r>
  <r>
    <s v="ORD-00830"/>
    <x v="1101"/>
    <x v="1101"/>
    <s v="CUST61741"/>
    <s v="Sanjay Reddy"/>
    <n v="47"/>
    <s v="Female"/>
    <x v="1"/>
    <s v="Surat"/>
    <x v="6"/>
    <s v="Cycle"/>
    <n v="5"/>
    <n v="10407.540000000001"/>
    <n v="0.02"/>
    <n v="43179.3"/>
    <n v="9803.14"/>
    <n v="66.569999999999993"/>
    <s v="EMI"/>
    <x v="4"/>
    <b v="1"/>
    <x v="0"/>
    <n v="6"/>
  </r>
  <r>
    <s v="ORD-00516"/>
    <x v="1102"/>
    <x v="1102"/>
    <s v="CUST07356"/>
    <s v="Aditya Kumar"/>
    <n v="35"/>
    <s v="Male"/>
    <x v="4"/>
    <s v="Hyderabad"/>
    <x v="0"/>
    <s v="Cooking Oil"/>
    <n v="10"/>
    <n v="322.14999999999998"/>
    <n v="0.26"/>
    <n v="2631.92"/>
    <n v="219.32"/>
    <n v="72.89"/>
    <s v="EMI"/>
    <x v="2"/>
    <b v="0"/>
    <x v="1"/>
    <n v="5"/>
  </r>
  <r>
    <s v="ORD-03673"/>
    <x v="307"/>
    <x v="307"/>
    <s v="CUST42403"/>
    <s v="Shreya Gupta"/>
    <n v="27"/>
    <s v="Other"/>
    <x v="2"/>
    <s v="Amritsar"/>
    <x v="4"/>
    <s v="Saree"/>
    <n v="1"/>
    <n v="2208.92"/>
    <n v="0.2"/>
    <n v="2768.11"/>
    <n v="796.01"/>
    <n v="73.64"/>
    <s v="Net Banking"/>
    <x v="1"/>
    <b v="0"/>
    <x v="1"/>
    <n v="1"/>
  </r>
  <r>
    <s v="ORD-04052"/>
    <x v="857"/>
    <x v="857"/>
    <s v="CUST70027"/>
    <s v="Sanjay Verma"/>
    <n v="58"/>
    <s v="Other"/>
    <x v="3"/>
    <s v="Patna"/>
    <x v="3"/>
    <s v="Biography"/>
    <n v="5"/>
    <n v="1349.81"/>
    <n v="0.08"/>
    <n v="6739.7"/>
    <n v="3176.85"/>
    <n v="79.58"/>
    <s v="Net Banking"/>
    <x v="3"/>
    <b v="0"/>
    <x v="3"/>
    <n v="10"/>
  </r>
  <r>
    <s v="ORD-03481"/>
    <x v="319"/>
    <x v="319"/>
    <s v="CUST77456"/>
    <s v="Priya Mishra"/>
    <n v="44"/>
    <s v="Female"/>
    <x v="0"/>
    <s v="Raipur"/>
    <x v="0"/>
    <s v="Rice (5kg)"/>
    <n v="3"/>
    <n v="74.2"/>
    <n v="0.24"/>
    <n v="203.22"/>
    <n v="12.54"/>
    <n v="53.05"/>
    <s v="EMI"/>
    <x v="3"/>
    <b v="0"/>
    <x v="1"/>
    <n v="10"/>
  </r>
  <r>
    <s v="ORD-03266"/>
    <x v="617"/>
    <x v="617"/>
    <s v="CUST94697"/>
    <s v="Karan Patel"/>
    <n v="50"/>
    <s v="Female"/>
    <x v="1"/>
    <s v="Pune"/>
    <x v="2"/>
    <s v="Chair"/>
    <n v="6"/>
    <n v="34185.33"/>
    <n v="0.21"/>
    <n v="176966.47"/>
    <n v="57877.84"/>
    <n v="63.45"/>
    <s v="Cash on Delivery"/>
    <x v="3"/>
    <b v="0"/>
    <x v="1"/>
    <n v="2"/>
  </r>
  <r>
    <s v="ORD-01128"/>
    <x v="767"/>
    <x v="767"/>
    <s v="CUST64957"/>
    <s v="Sanjay Kumar"/>
    <n v="21"/>
    <s v="Other"/>
    <x v="1"/>
    <s v="Ahmedabad"/>
    <x v="3"/>
    <s v="Fiction Novel"/>
    <n v="2"/>
    <n v="810.88"/>
    <n v="0.39"/>
    <n v="1381.05"/>
    <n v="500.04"/>
    <n v="42.7"/>
    <s v="Debit Card"/>
    <x v="1"/>
    <b v="0"/>
    <x v="3"/>
    <n v="2"/>
  </r>
  <r>
    <s v="ORD-02681"/>
    <x v="179"/>
    <x v="179"/>
    <s v="CUST22232"/>
    <s v="Shreya Verma"/>
    <n v="43"/>
    <s v="Male"/>
    <x v="2"/>
    <s v="Ludhiana"/>
    <x v="1"/>
    <s v="Shampoo"/>
    <n v="7"/>
    <n v="142.6"/>
    <n v="0.04"/>
    <n v="1268.77"/>
    <n v="481.8"/>
    <n v="55.31"/>
    <s v="Credit Card"/>
    <x v="3"/>
    <b v="0"/>
    <x v="2"/>
    <n v="5"/>
  </r>
  <r>
    <s v="ORD-00885"/>
    <x v="148"/>
    <x v="148"/>
    <s v="CUST26006"/>
    <s v="Pooja Nair"/>
    <n v="34"/>
    <s v="Male"/>
    <x v="1"/>
    <s v="Ahmedabad"/>
    <x v="4"/>
    <s v="Saree"/>
    <n v="9"/>
    <n v="3473.33"/>
    <n v="0.26"/>
    <n v="20518.25"/>
    <n v="6894.62"/>
    <n v="54.27"/>
    <s v="UPI"/>
    <x v="3"/>
    <b v="0"/>
    <x v="1"/>
    <n v="1"/>
  </r>
  <r>
    <s v="ORD-03811"/>
    <x v="1103"/>
    <x v="1103"/>
    <s v="CUST17506"/>
    <s v="Ananya Nair"/>
    <n v="42"/>
    <s v="Male"/>
    <x v="3"/>
    <s v="Kolkata"/>
    <x v="6"/>
    <s v="Dumbbells"/>
    <n v="3"/>
    <n v="2246.75"/>
    <n v="0.09"/>
    <n v="10430.01"/>
    <n v="2923.56"/>
    <n v="75.87"/>
    <s v="Net Banking"/>
    <x v="0"/>
    <b v="0"/>
    <x v="1"/>
    <n v="7"/>
  </r>
  <r>
    <s v="ORD-03276"/>
    <x v="245"/>
    <x v="245"/>
    <s v="CUST08733"/>
    <s v="Pooja Verma"/>
    <n v="35"/>
    <s v="Other"/>
    <x v="4"/>
    <s v="Kochi"/>
    <x v="4"/>
    <s v="T-Shirt"/>
    <n v="5"/>
    <n v="2427.77"/>
    <n v="0.37"/>
    <n v="6775.69"/>
    <n v="2397.7199999999998"/>
    <n v="59.3"/>
    <s v="EMI"/>
    <x v="0"/>
    <b v="0"/>
    <x v="1"/>
    <n v="2"/>
  </r>
  <r>
    <s v="ORD-01577"/>
    <x v="1104"/>
    <x v="1104"/>
    <s v="CUST22334"/>
    <s v="Sanjay Kapoor"/>
    <n v="46"/>
    <s v="Other"/>
    <x v="0"/>
    <s v="Nagpur"/>
    <x v="1"/>
    <s v="Sunscreen"/>
    <n v="8"/>
    <n v="2183.25"/>
    <n v="0.33"/>
    <n v="9813.33"/>
    <n v="3029.21"/>
    <n v="47.17"/>
    <s v="UPI"/>
    <x v="3"/>
    <b v="0"/>
    <x v="1"/>
    <n v="5"/>
  </r>
  <r>
    <s v="ORD-00583"/>
    <x v="472"/>
    <x v="472"/>
    <s v="CUST16103"/>
    <s v="Sunita Nair"/>
    <n v="31"/>
    <s v="Female"/>
    <x v="1"/>
    <s v="Ahmedabad"/>
    <x v="3"/>
    <s v="Cook Book"/>
    <n v="7"/>
    <n v="477.86"/>
    <n v="0.36"/>
    <n v="2149.2600000000002"/>
    <n v="674.69"/>
    <n v="44.92"/>
    <s v="Net Banking"/>
    <x v="0"/>
    <b v="0"/>
    <x v="1"/>
    <n v="3"/>
  </r>
  <r>
    <s v="ORD-03374"/>
    <x v="421"/>
    <x v="421"/>
    <s v="CUST19728"/>
    <s v="Meera Singh"/>
    <n v="35"/>
    <s v="Male"/>
    <x v="0"/>
    <s v="Raipur"/>
    <x v="4"/>
    <s v="Jeans"/>
    <n v="6"/>
    <n v="2039.2"/>
    <n v="0.25"/>
    <n v="9153.0499999999993"/>
    <n v="5063.5200000000004"/>
    <n v="61.17"/>
    <s v="EMI"/>
    <x v="2"/>
    <b v="0"/>
    <x v="1"/>
    <n v="6"/>
  </r>
  <r>
    <s v="ORD-03590"/>
    <x v="1105"/>
    <x v="1105"/>
    <s v="CUST88984"/>
    <s v="Aditya Shah"/>
    <n v="34"/>
    <s v="Female"/>
    <x v="1"/>
    <s v="Mumbai"/>
    <x v="1"/>
    <s v="Sunscreen"/>
    <n v="10"/>
    <n v="1620.62"/>
    <n v="0.23"/>
    <n v="21174.44"/>
    <n v="5674.7"/>
    <n v="44.36"/>
    <s v="Debit Card"/>
    <x v="4"/>
    <b v="1"/>
    <x v="0"/>
    <n v="8"/>
  </r>
  <r>
    <s v="ORD-02341"/>
    <x v="789"/>
    <x v="789"/>
    <s v="CUST63955"/>
    <s v="Arjun Bose"/>
    <n v="33"/>
    <s v="Female"/>
    <x v="3"/>
    <s v="Guwahati"/>
    <x v="3"/>
    <s v="Self-Help Book"/>
    <n v="4"/>
    <n v="417.82"/>
    <n v="0.02"/>
    <n v="1766.12"/>
    <n v="656.08"/>
    <n v="75.989999999999995"/>
    <s v="Cash on Delivery"/>
    <x v="3"/>
    <b v="0"/>
    <x v="1"/>
    <n v="3"/>
  </r>
  <r>
    <s v="ORD-01090"/>
    <x v="1106"/>
    <x v="1106"/>
    <s v="CUST81568"/>
    <s v="Ananya Verma"/>
    <n v="26"/>
    <s v="Male"/>
    <x v="4"/>
    <s v="Chennai"/>
    <x v="1"/>
    <s v="Face Cream"/>
    <n v="9"/>
    <n v="1526.75"/>
    <n v="0.05"/>
    <n v="20189.330000000002"/>
    <n v="9972.58"/>
    <n v="67.44"/>
    <s v="UPI"/>
    <x v="0"/>
    <b v="0"/>
    <x v="1"/>
    <n v="8"/>
  </r>
  <r>
    <s v="ORD-02009"/>
    <x v="320"/>
    <x v="320"/>
    <s v="CUST02356"/>
    <s v="Aarav Kapoor"/>
    <n v="28"/>
    <s v="Other"/>
    <x v="3"/>
    <s v="Kolkata"/>
    <x v="2"/>
    <s v="Desk"/>
    <n v="5"/>
    <n v="34373.42"/>
    <n v="0.27"/>
    <n v="169000.08"/>
    <n v="50613.06"/>
    <n v="89.82"/>
    <s v="Debit Card"/>
    <x v="4"/>
    <b v="1"/>
    <x v="0"/>
    <n v="5"/>
  </r>
  <r>
    <s v="ORD-03864"/>
    <x v="535"/>
    <x v="535"/>
    <s v="CUST15933"/>
    <s v="Aarav Verma"/>
    <n v="41"/>
    <s v="Other"/>
    <x v="3"/>
    <s v="Bhubaneswar"/>
    <x v="5"/>
    <s v="Smartphone"/>
    <n v="5"/>
    <n v="64468.92"/>
    <n v="0.2"/>
    <n v="374699.96"/>
    <n v="48329.91"/>
    <n v="79.41"/>
    <s v="Net Banking"/>
    <x v="4"/>
    <b v="0"/>
    <x v="4"/>
    <n v="10"/>
  </r>
  <r>
    <s v="ORD-03244"/>
    <x v="525"/>
    <x v="525"/>
    <s v="CUST42835"/>
    <s v="Meera Rao"/>
    <n v="38"/>
    <s v="Male"/>
    <x v="3"/>
    <s v="Guwahati"/>
    <x v="1"/>
    <s v="Perfume"/>
    <n v="7"/>
    <n v="315.92"/>
    <n v="0.21"/>
    <n v="1848.67"/>
    <n v="652.99"/>
    <n v="76.209999999999994"/>
    <s v="Cash on Delivery"/>
    <x v="0"/>
    <b v="0"/>
    <x v="1"/>
    <n v="4"/>
  </r>
  <r>
    <s v="ORD-00698"/>
    <x v="314"/>
    <x v="314"/>
    <s v="CUST94944"/>
    <s v="Priya Chatterjee"/>
    <n v="34"/>
    <s v="Female"/>
    <x v="0"/>
    <s v="Nagpur"/>
    <x v="2"/>
    <s v="Bed Frame"/>
    <n v="5"/>
    <n v="5883.06"/>
    <n v="0.15"/>
    <n v="18273.96"/>
    <n v="5925.19"/>
    <n v="69.28"/>
    <s v="Cash on Delivery"/>
    <x v="3"/>
    <b v="0"/>
    <x v="4"/>
    <n v="9"/>
  </r>
  <r>
    <s v="ORD-03015"/>
    <x v="278"/>
    <x v="278"/>
    <s v="CUST53698"/>
    <s v="Meera Kapoor"/>
    <n v="-4"/>
    <s v="Male"/>
    <x v="3"/>
    <s v="Bhubaneswar"/>
    <x v="6"/>
    <s v="Cycle"/>
    <n v="8"/>
    <n v="4080.77"/>
    <n v="0.36"/>
    <n v="28369.38"/>
    <n v="7223.68"/>
    <n v="77.540000000000006"/>
    <s v="Cash on Delivery"/>
    <x v="3"/>
    <b v="0"/>
    <x v="1"/>
    <n v="10"/>
  </r>
  <r>
    <s v="ORD-02569"/>
    <x v="1107"/>
    <x v="1107"/>
    <s v="CUST55735"/>
    <s v="Vikram Gupta"/>
    <n v="21"/>
    <s v="Male"/>
    <x v="4"/>
    <s v="Kochi"/>
    <x v="3"/>
    <s v="Fiction Novel"/>
    <n v="5"/>
    <n v="238.01"/>
    <n v="0.34"/>
    <n v="658.25"/>
    <n v="358.98"/>
    <n v="83.77"/>
    <s v="UPI"/>
    <x v="0"/>
    <b v="0"/>
    <x v="1"/>
    <n v="9"/>
  </r>
  <r>
    <s v="ORD-03658"/>
    <x v="1108"/>
    <x v="1108"/>
    <s v="CUST59639"/>
    <s v="Deepa Chatterjee"/>
    <n v="33"/>
    <s v="Male"/>
    <x v="2"/>
    <s v="Amritsar"/>
    <x v="5"/>
    <s v="Headphones"/>
    <n v="1"/>
    <n v="20268.07"/>
    <n v="0.21"/>
    <n v="30490.51"/>
    <n v="5209.5600000000004"/>
    <n v="57.63"/>
    <s v="EMI"/>
    <x v="3"/>
    <b v="0"/>
    <x v="1"/>
    <n v="10"/>
  </r>
  <r>
    <s v="ORD-00455"/>
    <x v="1109"/>
    <x v="1109"/>
    <s v="CUST20908"/>
    <s v="Vikram Mehta"/>
    <n v="37"/>
    <s v="Female"/>
    <x v="4"/>
    <s v="Kochi"/>
    <x v="5"/>
    <s v="Smartwatch"/>
    <n v="10"/>
    <n v="61673.760000000002"/>
    <n v="0.15"/>
    <n v="681333.41"/>
    <n v="90844.4"/>
    <n v="76.69"/>
    <s v="Cash on Delivery"/>
    <x v="0"/>
    <b v="0"/>
    <x v="1"/>
    <n v="7"/>
  </r>
  <r>
    <s v="ORD-03302"/>
    <x v="709"/>
    <x v="709"/>
    <s v="CUST00808"/>
    <s v="Arjun Reddy"/>
    <n v="31"/>
    <s v="Female"/>
    <x v="1"/>
    <s v="Mumbai"/>
    <x v="5"/>
    <s v="Smartwatch"/>
    <n v="5"/>
    <n v="5934.23"/>
    <n v="0.35"/>
    <n v="18050.43"/>
    <n v="1851.85"/>
    <n v="76.64"/>
    <s v="UPI"/>
    <x v="0"/>
    <b v="0"/>
    <x v="4"/>
    <n v="2"/>
  </r>
  <r>
    <s v="ORD-00276"/>
    <x v="1110"/>
    <x v="1110"/>
    <s v="CUST77008"/>
    <s v="Meera Bhat"/>
    <n v="34"/>
    <s v="Other"/>
    <x v="0"/>
    <s v="Nagpur"/>
    <x v="3"/>
    <s v="Textbook"/>
    <n v="7"/>
    <n v="1479.71"/>
    <n v="0.18"/>
    <n v="9080.8799999999992"/>
    <n v="3968.87"/>
    <n v="53.15"/>
    <s v="Net Banking"/>
    <x v="2"/>
    <b v="0"/>
    <x v="1"/>
    <n v="2"/>
  </r>
  <r>
    <s v="ORD-03325"/>
    <x v="401"/>
    <x v="401"/>
    <s v="CUST66402"/>
    <s v="Sanjay Nair"/>
    <n v="11"/>
    <s v="Female"/>
    <x v="3"/>
    <s v="Bhubaneswar"/>
    <x v="1"/>
    <s v="Sunscreen"/>
    <n v="8"/>
    <n v="1075.9000000000001"/>
    <n v="0.21"/>
    <n v="8522.19"/>
    <n v="4754.6099999999997"/>
    <n v="89.59"/>
    <s v="Credit Card"/>
    <x v="0"/>
    <b v="0"/>
    <x v="1"/>
    <n v="6"/>
  </r>
  <r>
    <s v="ORD-00082"/>
    <x v="1111"/>
    <x v="1111"/>
    <s v="CUST20826"/>
    <s v="Ananya Bose"/>
    <n v="38"/>
    <s v="Female"/>
    <x v="3"/>
    <s v="Guwahati"/>
    <x v="4"/>
    <s v="Jeans"/>
    <n v="2"/>
    <n v="2078.4499999999998"/>
    <n v="0.17"/>
    <n v="2642.47"/>
    <n v="1089.57"/>
    <n v="80.23"/>
    <s v="Debit Card"/>
    <x v="1"/>
    <b v="0"/>
    <x v="1"/>
    <n v="4"/>
  </r>
  <r>
    <s v="ORD-01677"/>
    <x v="1112"/>
    <x v="1112"/>
    <s v="CUST23764"/>
    <s v="Karan Pillai"/>
    <n v="22"/>
    <s v="Male"/>
    <x v="3"/>
    <s v="Patna"/>
    <x v="4"/>
    <s v="Dress"/>
    <n v="2"/>
    <n v="2911.58"/>
    <n v="0.4"/>
    <n v="2708.74"/>
    <n v="1155.6199999999999"/>
    <n v="78.02"/>
    <s v="Cash on Delivery"/>
    <x v="4"/>
    <b v="0"/>
    <x v="1"/>
    <n v="6"/>
  </r>
  <r>
    <s v="ORD-02651"/>
    <x v="1113"/>
    <x v="1113"/>
    <s v="CUST11133"/>
    <s v="Nisha Shah"/>
    <n v="38"/>
    <s v="Female"/>
    <x v="0"/>
    <s v="Bhopal"/>
    <x v="2"/>
    <s v="Desk"/>
    <n v="9"/>
    <n v="14262.49"/>
    <n v="0.23"/>
    <n v="118898.21"/>
    <n v="41278.730000000003"/>
    <n v="79.5"/>
    <s v="Cash on Delivery"/>
    <x v="4"/>
    <b v="1"/>
    <x v="0"/>
    <n v="10"/>
  </r>
  <r>
    <s v="ORD-00862"/>
    <x v="1027"/>
    <x v="1027"/>
    <s v="CUST25585"/>
    <s v="Shreya Mishra"/>
    <n v="43"/>
    <s v="Other"/>
    <x v="1"/>
    <s v="Surat"/>
    <x v="1"/>
    <s v="Shampoo"/>
    <n v="1"/>
    <n v="1381.02"/>
    <n v="0.28000000000000003"/>
    <n v="820.75"/>
    <n v="385.94"/>
    <n v="79.14"/>
    <s v="Cash on Delivery"/>
    <x v="4"/>
    <b v="0"/>
    <x v="1"/>
    <n v="2"/>
  </r>
  <r>
    <s v="ORD-00502"/>
    <x v="1114"/>
    <x v="1114"/>
    <s v="CUST52899"/>
    <s v="Shreya Kapoor"/>
    <n v="32"/>
    <s v="Other"/>
    <x v="1"/>
    <s v="Pune"/>
    <x v="6"/>
    <s v="Football"/>
    <n v="6"/>
    <n v="10767.52"/>
    <n v="0.2"/>
    <n v="51595.93"/>
    <n v="13803.27"/>
    <n v="52.86"/>
    <s v="UPI"/>
    <x v="0"/>
    <b v="0"/>
    <x v="4"/>
    <n v="9"/>
  </r>
  <r>
    <s v="ORD-03847"/>
    <x v="556"/>
    <x v="556"/>
    <s v="CUST01197"/>
    <s v="Karan Iyer"/>
    <n v="21"/>
    <s v="Other"/>
    <x v="2"/>
    <s v="Delhi"/>
    <x v="2"/>
    <s v="Wardrobe"/>
    <n v="6"/>
    <n v="16429.02"/>
    <n v="0.27"/>
    <n v="133325.04999999999"/>
    <n v="40765.64"/>
    <n v="32.5"/>
    <s v="EMI"/>
    <x v="2"/>
    <b v="0"/>
    <x v="1"/>
    <n v="5"/>
  </r>
  <r>
    <s v="ORD-01567"/>
    <x v="852"/>
    <x v="852"/>
    <s v="CUST20735"/>
    <s v="Aditya Sharma"/>
    <n v="52"/>
    <s v="Other"/>
    <x v="2"/>
    <s v="Ludhiana"/>
    <x v="1"/>
    <s v="Lipstick"/>
    <n v="7"/>
    <n v="1393.32"/>
    <n v="0.21"/>
    <n v="6778.86"/>
    <n v="3453.91"/>
    <n v="40.11"/>
    <s v="UPI"/>
    <x v="4"/>
    <b v="0"/>
    <x v="1"/>
    <n v="7"/>
  </r>
  <r>
    <s v="ORD-02184"/>
    <x v="345"/>
    <x v="345"/>
    <s v="CUST04059"/>
    <s v="Nisha Joshi"/>
    <n v="17"/>
    <s v="Other"/>
    <x v="3"/>
    <s v="Guwahati"/>
    <x v="5"/>
    <s v="Laptop"/>
    <n v="3"/>
    <n v="73253.06"/>
    <n v="0.25"/>
    <n v="209838.58"/>
    <n v="32607.06"/>
    <n v="80.92"/>
    <s v="Credit Card"/>
    <x v="2"/>
    <b v="0"/>
    <x v="2"/>
    <n v="6"/>
  </r>
  <r>
    <s v="ORD-03372"/>
    <x v="421"/>
    <x v="421"/>
    <s v="CUST23507"/>
    <s v="Kavya Bhat"/>
    <n v="44"/>
    <s v="Female"/>
    <x v="0"/>
    <s v="Bhopal"/>
    <x v="3"/>
    <s v="Self-Help Book"/>
    <n v="4"/>
    <n v="746.29"/>
    <n v="0.3"/>
    <n v="1990.92"/>
    <n v="758.46"/>
    <n v="47.79"/>
    <s v="Credit Card"/>
    <x v="4"/>
    <b v="0"/>
    <x v="1"/>
    <n v="7"/>
  </r>
  <r>
    <s v="ORD-02378"/>
    <x v="1115"/>
    <x v="1115"/>
    <s v="CUST66835"/>
    <s v="Karan Pillai"/>
    <n v="50"/>
    <s v="Male"/>
    <x v="2"/>
    <s v="Amritsar"/>
    <x v="5"/>
    <s v="Tablet"/>
    <n v="1"/>
    <n v="34094.18"/>
    <n v="0.36"/>
    <n v="20167.52"/>
    <n v="2201.52"/>
    <n v="51.11"/>
    <s v="EMI"/>
    <x v="0"/>
    <b v="0"/>
    <x v="1"/>
    <n v="7"/>
  </r>
  <r>
    <s v="ORD-03585"/>
    <x v="498"/>
    <x v="498"/>
    <s v="CUST38973"/>
    <s v="Nikhil Rao"/>
    <n v="34"/>
    <s v="Female"/>
    <x v="2"/>
    <s v="Ludhiana"/>
    <x v="0"/>
    <s v="Rice (5kg)"/>
    <n v="3"/>
    <n v="242.04"/>
    <n v="0.22"/>
    <n v="845.64"/>
    <n v="49.63"/>
    <n v="73.34"/>
    <s v="EMI"/>
    <x v="0"/>
    <b v="0"/>
    <x v="2"/>
    <n v="6"/>
  </r>
  <r>
    <s v="ORD-02183"/>
    <x v="345"/>
    <x v="345"/>
    <s v="CUST73899"/>
    <s v="Meera Sharma"/>
    <n v="52"/>
    <s v="Female"/>
    <x v="3"/>
    <s v="Bhubaneswar"/>
    <x v="0"/>
    <s v="Sugar"/>
    <n v="2"/>
    <n v="245.29"/>
    <n v="0.28000000000000003"/>
    <n v="480.57"/>
    <n v="45.1"/>
    <n v="88.28"/>
    <s v="Net Banking"/>
    <x v="1"/>
    <b v="0"/>
    <x v="1"/>
    <n v="5"/>
  </r>
  <r>
    <s v="ORD-01801"/>
    <x v="368"/>
    <x v="368"/>
    <s v="CUST42354"/>
    <s v="Pooja Singh"/>
    <n v="30"/>
    <s v="Male"/>
    <x v="4"/>
    <s v="Chennai"/>
    <x v="5"/>
    <s v="Smartphone"/>
    <n v="6"/>
    <n v="16805.34"/>
    <n v="0.37"/>
    <n v="72535.92"/>
    <n v="4060.33"/>
    <n v="71.78"/>
    <s v="Debit Card"/>
    <x v="2"/>
    <b v="0"/>
    <x v="1"/>
    <n v="3"/>
  </r>
  <r>
    <s v="ORD-01191"/>
    <x v="249"/>
    <x v="249"/>
    <s v="CUST42018"/>
    <s v="Aarav Iyer"/>
    <n v="49"/>
    <s v="Other"/>
    <x v="0"/>
    <s v="Raipur"/>
    <x v="3"/>
    <s v="Textbook"/>
    <n v="8"/>
    <n v="1136.8699999999999"/>
    <n v="0.18"/>
    <n v="9688.33"/>
    <n v="3919.14"/>
    <n v="24.54"/>
    <s v="Cash on Delivery"/>
    <x v="1"/>
    <b v="0"/>
    <x v="1"/>
    <n v="6"/>
  </r>
  <r>
    <s v="ORD-01367"/>
    <x v="1116"/>
    <x v="1116"/>
    <s v="CUST32462"/>
    <s v="Shreya Rao"/>
    <n v="30"/>
    <s v="Female"/>
    <x v="0"/>
    <s v="Bhopal"/>
    <x v="3"/>
    <s v="Fiction Novel"/>
    <n v="8"/>
    <n v="1443.03"/>
    <n v="0.31"/>
    <n v="8604.24"/>
    <n v="3984.16"/>
    <n v="47.13"/>
    <s v="UPI"/>
    <x v="2"/>
    <b v="1"/>
    <x v="0"/>
    <n v="10"/>
  </r>
  <r>
    <s v="ORD-00321"/>
    <x v="267"/>
    <x v="267"/>
    <s v="CUST74301"/>
    <s v="Deepa Gupta"/>
    <n v="42"/>
    <s v="Male"/>
    <x v="0"/>
    <s v="Indore"/>
    <x v="5"/>
    <s v="Headphones"/>
    <n v="2"/>
    <n v="43853.55"/>
    <n v="0.03"/>
    <n v="99867.38"/>
    <n v="12392.88"/>
    <n v="71.03"/>
    <s v="Net Banking"/>
    <x v="2"/>
    <b v="0"/>
    <x v="1"/>
    <n v="5"/>
  </r>
  <r>
    <s v="ORD-03973"/>
    <x v="1117"/>
    <x v="1117"/>
    <s v="CUST60649"/>
    <s v="Rohan Verma"/>
    <n v="59"/>
    <s v="Male"/>
    <x v="1"/>
    <s v="Surat"/>
    <x v="3"/>
    <s v="Biography"/>
    <n v="3"/>
    <n v="759.61"/>
    <n v="0.09"/>
    <n v="2679.11"/>
    <n v="696.15"/>
    <n v="32.82"/>
    <s v="Debit Card"/>
    <x v="1"/>
    <b v="0"/>
    <x v="1"/>
    <n v="6"/>
  </r>
  <r>
    <s v="ORD-00259"/>
    <x v="967"/>
    <x v="967"/>
    <s v="CUST68265"/>
    <s v="Vikram Rao"/>
    <n v="37"/>
    <s v="Female"/>
    <x v="3"/>
    <s v="Bhubaneswar"/>
    <x v="5"/>
    <s v="Smartphone"/>
    <n v="3"/>
    <n v="76008.490000000005"/>
    <n v="7.0000000000000007E-2"/>
    <n v="287543.2"/>
    <n v="19589.55"/>
    <n v="67.430000000000007"/>
    <s v="Credit Card"/>
    <x v="1"/>
    <b v="0"/>
    <x v="4"/>
    <n v="4"/>
  </r>
  <r>
    <s v="ORD-01295"/>
    <x v="1118"/>
    <x v="1118"/>
    <s v="CUST43573"/>
    <s v="Rohan Das"/>
    <n v="28"/>
    <s v="Male"/>
    <x v="3"/>
    <s v="Patna"/>
    <x v="0"/>
    <s v="Rice (5kg)"/>
    <n v="1"/>
    <n v="69.87"/>
    <n v="0.27"/>
    <n v="75.650000000000006"/>
    <n v="6"/>
    <n v="69.5"/>
    <s v="Credit Card"/>
    <x v="3"/>
    <b v="0"/>
    <x v="3"/>
    <n v="9"/>
  </r>
  <r>
    <s v="ORD-04037"/>
    <x v="417"/>
    <x v="417"/>
    <s v="CUST70226"/>
    <s v="Shreya Shah"/>
    <n v="34"/>
    <s v="Female"/>
    <x v="2"/>
    <s v="Ludhiana"/>
    <x v="0"/>
    <s v="Rice (5kg)"/>
    <n v="1"/>
    <n v="141.61000000000001"/>
    <n v="0.11"/>
    <n v="141.61000000000001"/>
    <n v="11.5"/>
    <n v="52.28"/>
    <s v="UPI"/>
    <x v="2"/>
    <b v="0"/>
    <x v="1"/>
    <n v="9"/>
  </r>
  <r>
    <s v="ORD-03087"/>
    <x v="360"/>
    <x v="360"/>
    <s v="CUST32672"/>
    <s v="Meera Patel"/>
    <n v="39"/>
    <s v="Female"/>
    <x v="1"/>
    <s v="Surat"/>
    <x v="2"/>
    <s v="Desk"/>
    <n v="5"/>
    <n v="21847.95"/>
    <n v="0.28999999999999998"/>
    <n v="103693.59"/>
    <n v="26491.84"/>
    <n v="67.66"/>
    <s v="UPI"/>
    <x v="3"/>
    <b v="0"/>
    <x v="1"/>
    <n v="9"/>
  </r>
  <r>
    <s v="ORD-01162"/>
    <x v="1119"/>
    <x v="1119"/>
    <s v="CUST45949"/>
    <s v="Meera Joshi"/>
    <n v="33"/>
    <s v="Male"/>
    <x v="3"/>
    <s v="Kolkata"/>
    <x v="2"/>
    <s v="Chair"/>
    <n v="4"/>
    <n v="16298.68"/>
    <n v="0.03"/>
    <n v="94253.6"/>
    <n v="28600.3"/>
    <n v="95.11"/>
    <s v="EMI"/>
    <x v="4"/>
    <b v="0"/>
    <x v="1"/>
    <n v="5"/>
  </r>
  <r>
    <s v="ORD-01742"/>
    <x v="842"/>
    <x v="842"/>
    <s v="CUST91415"/>
    <s v="Aarav Gupta"/>
    <n v="44"/>
    <s v="Female"/>
    <x v="0"/>
    <s v="Nagpur"/>
    <x v="0"/>
    <s v="Dal (1kg)"/>
    <n v="9"/>
    <n v="479.9"/>
    <n v="0.32"/>
    <n v="3253.67"/>
    <n v="232.06"/>
    <n v="40.19"/>
    <s v="Credit Card"/>
    <x v="2"/>
    <b v="0"/>
    <x v="4"/>
    <n v="3"/>
  </r>
  <r>
    <s v="ORD-02413"/>
    <x v="1006"/>
    <x v="1006"/>
    <s v="CUST99486"/>
    <s v="Nikhil Singh"/>
    <n v="34"/>
    <s v="Female"/>
    <x v="3"/>
    <s v="Guwahati"/>
    <x v="6"/>
    <s v="Cricket Bat"/>
    <n v="5"/>
    <n v="4583.05"/>
    <n v="0.3"/>
    <n v="12705.05"/>
    <n v="2806.09"/>
    <n v="59.75"/>
    <s v="Net Banking"/>
    <x v="2"/>
    <b v="0"/>
    <x v="1"/>
    <n v="6"/>
  </r>
  <r>
    <s v="ORD-00933"/>
    <x v="1120"/>
    <x v="1120"/>
    <s v="CUST94720"/>
    <s v="Rohan Singh"/>
    <n v="49"/>
    <s v="Female"/>
    <x v="4"/>
    <s v="Bangalore"/>
    <x v="4"/>
    <s v="Kurta"/>
    <n v="9"/>
    <n v="2124.88"/>
    <n v="0.33"/>
    <n v="10230.52"/>
    <n v="4454.91"/>
    <n v="81.17"/>
    <s v="Debit Card"/>
    <x v="0"/>
    <b v="0"/>
    <x v="3"/>
    <n v="6"/>
  </r>
  <r>
    <s v="ORD-01933"/>
    <x v="1121"/>
    <x v="1121"/>
    <s v="CUST20246"/>
    <s v="Amit Singh"/>
    <n v="45"/>
    <s v="Male"/>
    <x v="0"/>
    <s v="Raipur"/>
    <x v="1"/>
    <s v="Hair Oil"/>
    <n v="5"/>
    <n v="434.1"/>
    <n v="0.36"/>
    <n v="2157.36"/>
    <n v="864.87"/>
    <n v="41.13"/>
    <s v="UPI"/>
    <x v="2"/>
    <b v="0"/>
    <x v="1"/>
    <n v="7"/>
  </r>
  <r>
    <s v="ORD-03355"/>
    <x v="1122"/>
    <x v="1122"/>
    <s v="CUST79039"/>
    <s v="Nikhil Kumar"/>
    <n v="35"/>
    <s v="Male"/>
    <x v="1"/>
    <s v="Ahmedabad"/>
    <x v="5"/>
    <s v="Tablet"/>
    <n v="5"/>
    <n v="28716"/>
    <n v="0.06"/>
    <n v="118670.05"/>
    <n v="13016.92"/>
    <n v="60.44"/>
    <s v="Net Banking"/>
    <x v="1"/>
    <b v="0"/>
    <x v="1"/>
    <n v="10"/>
  </r>
  <r>
    <s v="ORD-01790"/>
    <x v="227"/>
    <x v="227"/>
    <s v="CUST11770"/>
    <s v="Nisha Chatterjee"/>
    <n v="33"/>
    <s v="Other"/>
    <x v="0"/>
    <s v="Indore"/>
    <x v="1"/>
    <s v="Hair Oil"/>
    <n v="2"/>
    <n v="2360.33"/>
    <n v="0.23"/>
    <n v="4038.37"/>
    <n v="1837.87"/>
    <n v="81.05"/>
    <s v="EMI"/>
    <x v="0"/>
    <b v="0"/>
    <x v="1"/>
    <n v="3"/>
  </r>
  <r>
    <s v="ORD-00546"/>
    <x v="168"/>
    <x v="168"/>
    <s v="CUST11171"/>
    <s v="Kavya Gupta"/>
    <n v="35"/>
    <s v="Female"/>
    <x v="1"/>
    <s v="Pune"/>
    <x v="3"/>
    <s v="Self-Help Book"/>
    <n v="8"/>
    <n v="318.51"/>
    <n v="0.31"/>
    <n v="1966.41"/>
    <n v="790.49"/>
    <n v="72.37"/>
    <s v="Debit Card"/>
    <x v="1"/>
    <b v="0"/>
    <x v="4"/>
    <n v="9"/>
  </r>
  <r>
    <s v="ORD-02123"/>
    <x v="1123"/>
    <x v="1123"/>
    <s v="CUST62186"/>
    <s v="Sunita Pillai"/>
    <n v="27"/>
    <s v="Other"/>
    <x v="4"/>
    <s v="Bangalore"/>
    <x v="4"/>
    <s v="Kurta"/>
    <n v="7"/>
    <n v="1384.84"/>
    <n v="0.25"/>
    <n v="11886.58"/>
    <n v="2574.91"/>
    <n v="74.62"/>
    <s v="Net Banking"/>
    <x v="3"/>
    <b v="1"/>
    <x v="0"/>
    <n v="5"/>
  </r>
  <r>
    <s v="ORD-02806"/>
    <x v="1124"/>
    <x v="1124"/>
    <s v="CUST69501"/>
    <s v="Meera Joshi"/>
    <n v="29"/>
    <s v="Other"/>
    <x v="0"/>
    <s v="Indore"/>
    <x v="0"/>
    <s v="Tea"/>
    <n v="5"/>
    <n v="481.67"/>
    <n v="0.37"/>
    <n v="2050.9499999999998"/>
    <n v="141.47"/>
    <n v="41.15"/>
    <s v="EMI"/>
    <x v="0"/>
    <b v="0"/>
    <x v="1"/>
    <n v="8"/>
  </r>
  <r>
    <s v="ORD-04085"/>
    <x v="229"/>
    <x v="229"/>
    <s v="CUST20306"/>
    <s v="Priya Sharma"/>
    <n v="43"/>
    <s v="Female"/>
    <x v="1"/>
    <s v="Mumbai"/>
    <x v="2"/>
    <s v="Bed Frame"/>
    <n v="2"/>
    <n v="20043.88"/>
    <n v="0.36"/>
    <n v="23212.41"/>
    <n v="5160.18"/>
    <n v="25.71"/>
    <s v="Credit Card"/>
    <x v="0"/>
    <b v="0"/>
    <x v="1"/>
    <n v="10"/>
  </r>
  <r>
    <s v="ORD-01794"/>
    <x v="1121"/>
    <x v="1121"/>
    <s v="CUST42681"/>
    <s v="Deepa Joshi"/>
    <n v="40"/>
    <s v="Male"/>
    <x v="1"/>
    <s v="Pune"/>
    <x v="6"/>
    <s v="Football"/>
    <n v="1"/>
    <n v="1321.99"/>
    <n v="0.39"/>
    <n v="995.97"/>
    <n v="202.59"/>
    <n v="63.12"/>
    <s v="Debit Card"/>
    <x v="2"/>
    <b v="0"/>
    <x v="1"/>
    <n v="7"/>
  </r>
  <r>
    <s v="ORD-00473"/>
    <x v="1125"/>
    <x v="1125"/>
    <s v="CUST19554"/>
    <s v="Arjun Mehta"/>
    <n v="34"/>
    <s v="Male"/>
    <x v="1"/>
    <s v="Mumbai"/>
    <x v="2"/>
    <s v="Chair"/>
    <n v="1"/>
    <n v="16334.58"/>
    <n v="0.09"/>
    <n v="20183.900000000001"/>
    <n v="5249.68"/>
    <n v="61.69"/>
    <s v="Cash on Delivery"/>
    <x v="1"/>
    <b v="0"/>
    <x v="3"/>
    <n v="10"/>
  </r>
  <r>
    <s v="ORD-01652"/>
    <x v="672"/>
    <x v="672"/>
    <s v="CUST31119"/>
    <s v="Arjun Das"/>
    <n v="33"/>
    <s v="Other"/>
    <x v="2"/>
    <s v="Ludhiana"/>
    <x v="5"/>
    <s v="Tablet"/>
    <n v="5"/>
    <n v="27023.75"/>
    <n v="0.03"/>
    <n v="98800.7"/>
    <n v="15632.48"/>
    <n v="68.45"/>
    <s v="Credit Card"/>
    <x v="2"/>
    <b v="0"/>
    <x v="1"/>
    <n v="7"/>
  </r>
  <r>
    <s v="ORD-00310"/>
    <x v="1126"/>
    <x v="1126"/>
    <s v="CUST01960"/>
    <s v="Sunita Rao"/>
    <n v="39"/>
    <s v="Female"/>
    <x v="1"/>
    <s v="Ahmedabad"/>
    <x v="5"/>
    <s v="Smartphone"/>
    <n v="5"/>
    <n v="30601.06"/>
    <n v="0.34"/>
    <n v="118310.73"/>
    <n v="14746.62"/>
    <n v="71.09"/>
    <s v="Cash on Delivery"/>
    <x v="2"/>
    <b v="0"/>
    <x v="4"/>
    <n v="2"/>
  </r>
  <r>
    <s v="ORD-00847"/>
    <x v="64"/>
    <x v="64"/>
    <s v="CUST36203"/>
    <s v="Vikram Mehta"/>
    <n v="29"/>
    <s v="Male"/>
    <x v="0"/>
    <s v="Nagpur"/>
    <x v="2"/>
    <s v="Chair"/>
    <n v="7"/>
    <n v="27103.439999999999"/>
    <n v="7.0000000000000007E-2"/>
    <n v="140013.26999999999"/>
    <n v="47871.51"/>
    <n v="45.89"/>
    <s v="EMI"/>
    <x v="3"/>
    <b v="1"/>
    <x v="0"/>
    <n v="7"/>
  </r>
  <r>
    <s v="ORD-01755"/>
    <x v="856"/>
    <x v="856"/>
    <s v="CUST47141"/>
    <s v="Kavya Rao"/>
    <n v="24"/>
    <s v="Male"/>
    <x v="1"/>
    <s v="Mumbai"/>
    <x v="6"/>
    <s v="Yoga Mat"/>
    <n v="8"/>
    <n v="4285.05"/>
    <n v="0.23"/>
    <n v="24205.27"/>
    <n v="7134.8"/>
    <n v="43.11"/>
    <s v="Cash on Delivery"/>
    <x v="0"/>
    <b v="0"/>
    <x v="1"/>
    <n v="2"/>
  </r>
  <r>
    <s v="ORD-01549"/>
    <x v="1127"/>
    <x v="1127"/>
    <s v="CUST76040"/>
    <s v="Meera Chatterjee"/>
    <n v="19"/>
    <s v="Male"/>
    <x v="4"/>
    <s v="Hyderabad"/>
    <x v="1"/>
    <s v="Shampoo"/>
    <n v="10"/>
    <n v="2199.23"/>
    <n v="0.03"/>
    <n v="17600.22"/>
    <n v="7462.56"/>
    <n v="84.56"/>
    <s v="EMI"/>
    <x v="2"/>
    <b v="0"/>
    <x v="4"/>
    <n v="10"/>
  </r>
  <r>
    <s v="ORD-00997"/>
    <x v="238"/>
    <x v="238"/>
    <s v="CUST53232"/>
    <s v="Vikram Pillai"/>
    <n v="11"/>
    <s v="Other"/>
    <x v="1"/>
    <s v="Mumbai"/>
    <x v="2"/>
    <s v="Sofa"/>
    <n v="5"/>
    <n v="24694.95"/>
    <n v="0.14000000000000001"/>
    <n v="21791.52"/>
    <n v="6733.42"/>
    <n v="16.03"/>
    <s v="UPI"/>
    <x v="3"/>
    <b v="0"/>
    <x v="4"/>
    <n v="10"/>
  </r>
  <r>
    <s v="ORD-04029"/>
    <x v="1128"/>
    <x v="1128"/>
    <s v="CUST20995"/>
    <s v="Deepa Shah"/>
    <n v="34"/>
    <s v="Male"/>
    <x v="2"/>
    <s v="Chandigarh"/>
    <x v="1"/>
    <s v="Face Cream"/>
    <n v="2"/>
    <n v="346.2"/>
    <n v="0.18"/>
    <n v="627.35"/>
    <n v="286.41000000000003"/>
    <n v="60.58"/>
    <s v="UPI"/>
    <x v="2"/>
    <b v="0"/>
    <x v="1"/>
    <n v="4"/>
  </r>
  <r>
    <s v="ORD-03288"/>
    <x v="1129"/>
    <x v="1129"/>
    <s v="CUST96629"/>
    <s v="Karan Gupta"/>
    <n v="14"/>
    <s v="Female"/>
    <x v="4"/>
    <s v="Chennai"/>
    <x v="5"/>
    <s v="Headphones"/>
    <n v="8"/>
    <n v="24941.15"/>
    <n v="0.38"/>
    <n v="134271.79"/>
    <n v="19098.95"/>
    <n v="79.77"/>
    <s v="Debit Card"/>
    <x v="2"/>
    <b v="0"/>
    <x v="1"/>
    <n v="4"/>
  </r>
  <r>
    <s v="ORD-02314"/>
    <x v="595"/>
    <x v="595"/>
    <s v="CUST99949"/>
    <s v="Karan Mishra"/>
    <n v="36"/>
    <s v="Other"/>
    <x v="3"/>
    <s v="Kolkata"/>
    <x v="0"/>
    <s v="Cooking Oil"/>
    <n v="7"/>
    <n v="490.56"/>
    <n v="0.36"/>
    <n v="2209.98"/>
    <n v="120.11"/>
    <n v="92.2"/>
    <s v="Net Banking"/>
    <x v="0"/>
    <b v="0"/>
    <x v="4"/>
    <n v="2"/>
  </r>
  <r>
    <s v="ORD-04092"/>
    <x v="1130"/>
    <x v="1130"/>
    <s v="CUST89947"/>
    <s v="Ananya Chatterjee"/>
    <n v="19"/>
    <s v="Other"/>
    <x v="3"/>
    <s v="Guwahati"/>
    <x v="0"/>
    <s v="Tea"/>
    <n v="5"/>
    <n v="398.96"/>
    <n v="0.3"/>
    <n v="1473.23"/>
    <n v="123.43"/>
    <n v="103.58"/>
    <s v="Cash on Delivery"/>
    <x v="0"/>
    <b v="1"/>
    <x v="0"/>
    <n v="1"/>
  </r>
  <r>
    <s v="ORD-00308"/>
    <x v="1131"/>
    <x v="1131"/>
    <s v="CUST07042"/>
    <s v="Priya Sharma"/>
    <n v="27"/>
    <s v="Female"/>
    <x v="2"/>
    <s v="Ludhiana"/>
    <x v="1"/>
    <s v="Shampoo"/>
    <n v="4"/>
    <n v="1944.29"/>
    <n v="0.17"/>
    <n v="8759.65"/>
    <n v="5237.3500000000004"/>
    <n v="87.31"/>
    <s v="UPI"/>
    <x v="0"/>
    <b v="0"/>
    <x v="1"/>
    <n v="4"/>
  </r>
  <r>
    <s v="ORD-00887"/>
    <x v="148"/>
    <x v="148"/>
    <s v="CUST50884"/>
    <s v="Sanjay Pillai"/>
    <n v="49"/>
    <s v="Other"/>
    <x v="3"/>
    <s v="Patna"/>
    <x v="6"/>
    <s v="Yoga Mat"/>
    <n v="10"/>
    <n v="12708.22"/>
    <n v="0.28000000000000003"/>
    <n v="91510.11"/>
    <n v="20206.87"/>
    <n v="100.24"/>
    <s v="EMI"/>
    <x v="3"/>
    <b v="0"/>
    <x v="1"/>
    <n v="3"/>
  </r>
  <r>
    <s v="ORD-00397"/>
    <x v="1132"/>
    <x v="1132"/>
    <s v="CUST17107"/>
    <s v="Ritu Pillai"/>
    <n v="20"/>
    <s v="Other"/>
    <x v="3"/>
    <s v="Guwahati"/>
    <x v="1"/>
    <s v="Face Cream"/>
    <n v="8"/>
    <n v="950.66"/>
    <n v="0.32"/>
    <n v="7094.52"/>
    <n v="3770.8"/>
    <n v="84.8"/>
    <s v="Debit Card"/>
    <x v="1"/>
    <b v="0"/>
    <x v="1"/>
    <n v="7"/>
  </r>
  <r>
    <s v="ORD-00955"/>
    <x v="1133"/>
    <x v="1133"/>
    <s v="CUST63974"/>
    <s v="Kavya Gupta"/>
    <n v="30"/>
    <s v="Male"/>
    <x v="3"/>
    <s v="Kolkata"/>
    <x v="6"/>
    <s v="Dumbbells"/>
    <n v="3"/>
    <n v="14253.13"/>
    <n v="0.13"/>
    <n v="45619.3"/>
    <n v="11131.02"/>
    <n v="67.22"/>
    <s v="EMI"/>
    <x v="4"/>
    <b v="0"/>
    <x v="3"/>
    <n v="3"/>
  </r>
  <r>
    <s v="ORD-00875"/>
    <x v="886"/>
    <x v="886"/>
    <s v="CUST89431"/>
    <s v="Sanjay Bose"/>
    <n v="43"/>
    <s v="Female"/>
    <x v="4"/>
    <s v="Kochi"/>
    <x v="4"/>
    <s v="Jeans"/>
    <n v="9"/>
    <n v="2667.5"/>
    <n v="0.11"/>
    <n v="20759.02"/>
    <n v="8438.9"/>
    <n v="78.87"/>
    <s v="Cash on Delivery"/>
    <x v="0"/>
    <b v="0"/>
    <x v="1"/>
    <n v="3"/>
  </r>
  <r>
    <s v="ORD-01740"/>
    <x v="1134"/>
    <x v="1134"/>
    <s v="CUST21895"/>
    <s v="Sanjay Reddy"/>
    <n v="56"/>
    <s v="Male"/>
    <x v="4"/>
    <s v="Hyderabad"/>
    <x v="4"/>
    <s v="Jeans"/>
    <n v="2"/>
    <n v="2432.6"/>
    <n v="0.26"/>
    <n v="3968.93"/>
    <n v="1931.36"/>
    <n v="84.81"/>
    <s v="Net Banking"/>
    <x v="1"/>
    <b v="0"/>
    <x v="1"/>
    <n v="8"/>
  </r>
  <r>
    <s v="ORD-00169"/>
    <x v="252"/>
    <x v="252"/>
    <s v="CUST14141"/>
    <s v="Nikhil Das"/>
    <n v="43"/>
    <s v="Male"/>
    <x v="0"/>
    <s v="Raipur"/>
    <x v="4"/>
    <s v="T-Shirt"/>
    <n v="2"/>
    <n v="3471.87"/>
    <n v="0.15"/>
    <n v="5928.17"/>
    <n v="1972.09"/>
    <n v="48.98"/>
    <s v="Credit Card"/>
    <x v="4"/>
    <b v="0"/>
    <x v="4"/>
    <n v="4"/>
  </r>
  <r>
    <s v="ORD-00626"/>
    <x v="1135"/>
    <x v="1135"/>
    <s v="CUST10712"/>
    <s v="Rohan Kapoor"/>
    <n v="38"/>
    <s v="Female"/>
    <x v="2"/>
    <s v="Chandigarh"/>
    <x v="0"/>
    <s v="Dal (1kg)"/>
    <n v="4"/>
    <n v="372.01"/>
    <n v="0.37"/>
    <n v="823.95"/>
    <n v="59.95"/>
    <n v="38.479999999999997"/>
    <s v="EMI"/>
    <x v="2"/>
    <b v="0"/>
    <x v="2"/>
    <n v="8"/>
  </r>
  <r>
    <s v="ORD-01142"/>
    <x v="480"/>
    <x v="480"/>
    <s v="CUST59363"/>
    <s v="Sunita Mehta"/>
    <n v="12"/>
    <s v="Female"/>
    <x v="1"/>
    <s v="Surat"/>
    <x v="5"/>
    <s v="Headphones"/>
    <n v="10"/>
    <n v="49305.3"/>
    <n v="0.37"/>
    <n v="431186.13"/>
    <n v="48008.959999999999"/>
    <n v="69"/>
    <s v="UPI"/>
    <x v="1"/>
    <b v="0"/>
    <x v="3"/>
    <n v="7"/>
  </r>
  <r>
    <s v="ORD-02077"/>
    <x v="3"/>
    <x v="3"/>
    <s v="CUST06928"/>
    <s v="Rahul Bhat"/>
    <n v="29"/>
    <s v="Other"/>
    <x v="1"/>
    <s v="Surat"/>
    <x v="4"/>
    <s v="T-Shirt"/>
    <n v="1"/>
    <n v="332.88"/>
    <n v="0.4"/>
    <n v="306.13"/>
    <n v="129.76"/>
    <n v="83.16"/>
    <s v="Debit Card"/>
    <x v="3"/>
    <b v="0"/>
    <x v="1"/>
    <n v="6"/>
  </r>
  <r>
    <s v="ORD-02987"/>
    <x v="637"/>
    <x v="637"/>
    <s v="CUST78771"/>
    <s v="Nikhil Gupta"/>
    <n v="39"/>
    <s v="Female"/>
    <x v="1"/>
    <s v="Surat"/>
    <x v="0"/>
    <s v="Sugar"/>
    <n v="8"/>
    <n v="455.06"/>
    <n v="0.01"/>
    <n v="5619.54"/>
    <n v="561.84"/>
    <n v="83.7"/>
    <s v="Net Banking"/>
    <x v="0"/>
    <b v="0"/>
    <x v="1"/>
    <n v="10"/>
  </r>
  <r>
    <s v="ORD-03554"/>
    <x v="1136"/>
    <x v="1136"/>
    <s v="CUST02299"/>
    <s v="Nisha Patel"/>
    <n v="51"/>
    <s v="Female"/>
    <x v="4"/>
    <s v="Kochi"/>
    <x v="6"/>
    <s v="Dumbbells"/>
    <n v="9"/>
    <n v="560.77"/>
    <n v="0.19"/>
    <n v="4861.13"/>
    <n v="1118.77"/>
    <n v="78.58"/>
    <s v="Credit Card"/>
    <x v="3"/>
    <b v="0"/>
    <x v="1"/>
    <n v="1"/>
  </r>
  <r>
    <s v="ORD-03655"/>
    <x v="899"/>
    <x v="899"/>
    <s v="CUST44723"/>
    <s v="Ritu Singh"/>
    <n v="42"/>
    <s v="Male"/>
    <x v="1"/>
    <s v="Ahmedabad"/>
    <x v="2"/>
    <s v="Sofa"/>
    <n v="10"/>
    <n v="15954.1"/>
    <n v="0.05"/>
    <n v="267926.31"/>
    <n v="76735.56"/>
    <n v="54.78"/>
    <s v="Debit Card"/>
    <x v="4"/>
    <b v="0"/>
    <x v="1"/>
    <n v="1"/>
  </r>
  <r>
    <s v="ORD-02465"/>
    <x v="1137"/>
    <x v="1137"/>
    <s v="CUST74998"/>
    <s v="Kavya Bhat"/>
    <n v="25"/>
    <s v="Female"/>
    <x v="2"/>
    <s v="Delhi"/>
    <x v="4"/>
    <s v="Kurta"/>
    <n v="1"/>
    <n v="336.77"/>
    <n v="0.25"/>
    <n v="197.49"/>
    <n v="67.260000000000005"/>
    <n v="67.650000000000006"/>
    <s v="UPI"/>
    <x v="1"/>
    <b v="0"/>
    <x v="1"/>
    <n v="0"/>
  </r>
  <r>
    <s v="ORD-04187"/>
    <x v="1138"/>
    <x v="1138"/>
    <s v="CUST58320"/>
    <s v="Pooja Sharma"/>
    <n v="34"/>
    <s v="Other"/>
    <x v="1"/>
    <s v="Ahmedabad"/>
    <x v="2"/>
    <s v="Sofa"/>
    <n v="8"/>
    <n v="14656.38"/>
    <n v="0.05"/>
    <n v="100424.49"/>
    <n v="22861.06"/>
    <n v="54.81"/>
    <s v="Debit Card"/>
    <x v="4"/>
    <b v="0"/>
    <x v="1"/>
    <n v="6"/>
  </r>
  <r>
    <s v="ORD-00094"/>
    <x v="467"/>
    <x v="467"/>
    <s v="CUST12581"/>
    <s v="Sanjay Gupta"/>
    <n v="56"/>
    <s v="Female"/>
    <x v="1"/>
    <s v="Ahmedabad"/>
    <x v="4"/>
    <s v="Kurta"/>
    <n v="5"/>
    <n v="1920.61"/>
    <n v="0.27"/>
    <n v="5697.27"/>
    <n v="2295.66"/>
    <n v="69.180000000000007"/>
    <s v="Credit Card"/>
    <x v="1"/>
    <b v="0"/>
    <x v="1"/>
    <n v="10"/>
  </r>
  <r>
    <s v="ORD-03410"/>
    <x v="1139"/>
    <x v="1139"/>
    <s v="CUST69094"/>
    <s v="Kavya Chatterjee"/>
    <n v="41"/>
    <s v="Male"/>
    <x v="3"/>
    <s v="Kolkata"/>
    <x v="4"/>
    <s v="Jeans"/>
    <n v="2"/>
    <n v="3049.88"/>
    <n v="0.02"/>
    <n v="5433.3"/>
    <n v="1313.05"/>
    <n v="83.88"/>
    <s v="EMI"/>
    <x v="2"/>
    <b v="0"/>
    <x v="2"/>
    <n v="6"/>
  </r>
  <r>
    <s v="ORD-03917"/>
    <x v="329"/>
    <x v="329"/>
    <s v="CUST40587"/>
    <s v="Shreya Mehta"/>
    <n v="11"/>
    <s v="Female"/>
    <x v="2"/>
    <s v="Amritsar"/>
    <x v="2"/>
    <s v="Chair"/>
    <n v="9"/>
    <n v="27363.22"/>
    <n v="0.28999999999999998"/>
    <n v="296392"/>
    <n v="50443.65"/>
    <n v="53.56"/>
    <s v="UPI"/>
    <x v="0"/>
    <b v="0"/>
    <x v="1"/>
    <n v="5"/>
  </r>
  <r>
    <s v="ORD-01482"/>
    <x v="575"/>
    <x v="575"/>
    <s v="CUST43427"/>
    <s v="Pooja Patel"/>
    <n v="25"/>
    <s v="Female"/>
    <x v="4"/>
    <s v="Bangalore"/>
    <x v="1"/>
    <s v="Lipstick"/>
    <n v="5"/>
    <n v="2139.2800000000002"/>
    <n v="0.28999999999999998"/>
    <n v="6723.8"/>
    <n v="3518.82"/>
    <n v="60.66"/>
    <s v="Debit Card"/>
    <x v="1"/>
    <b v="0"/>
    <x v="1"/>
    <n v="7"/>
  </r>
  <r>
    <s v="ORD-02055"/>
    <x v="1140"/>
    <x v="1140"/>
    <s v="CUST92237"/>
    <s v="Arjun Patel"/>
    <n v="33"/>
    <s v="Other"/>
    <x v="4"/>
    <s v="Chennai"/>
    <x v="5"/>
    <s v="Smartwatch"/>
    <n v="7"/>
    <n v="54204.800000000003"/>
    <n v="0.01"/>
    <n v="574778.48"/>
    <n v="66152.73"/>
    <n v="87.36"/>
    <s v="EMI"/>
    <x v="4"/>
    <b v="0"/>
    <x v="1"/>
    <n v="8"/>
  </r>
  <r>
    <s v="ORD-03552"/>
    <x v="1136"/>
    <x v="1136"/>
    <s v="CUST47390"/>
    <s v="Ananya Das"/>
    <n v="22"/>
    <s v="Other"/>
    <x v="1"/>
    <s v="Ahmedabad"/>
    <x v="5"/>
    <s v="Laptop"/>
    <n v="10"/>
    <n v="58117.48"/>
    <n v="0.32"/>
    <n v="569729.38"/>
    <n v="56329.27"/>
    <n v="66.819999999999993"/>
    <s v="Debit Card"/>
    <x v="4"/>
    <b v="0"/>
    <x v="1"/>
    <n v="3"/>
  </r>
  <r>
    <s v="ORD-00147"/>
    <x v="1141"/>
    <x v="1141"/>
    <s v="CUST66395"/>
    <s v="Arjun Sharma"/>
    <n v="15"/>
    <s v="Male"/>
    <x v="4"/>
    <s v="Hyderabad"/>
    <x v="1"/>
    <s v="Perfume"/>
    <n v="3"/>
    <n v="584.36"/>
    <n v="0.36"/>
    <n v="1260.05"/>
    <n v="445.33"/>
    <n v="92.76"/>
    <s v="Credit Card"/>
    <x v="2"/>
    <b v="0"/>
    <x v="4"/>
    <n v="4"/>
  </r>
  <r>
    <s v="ORD-03721"/>
    <x v="681"/>
    <x v="681"/>
    <s v="CUST98311"/>
    <s v="Aarav Mishra"/>
    <n v="58"/>
    <s v="Other"/>
    <x v="3"/>
    <s v="Patna"/>
    <x v="4"/>
    <s v="Kurta"/>
    <n v="5"/>
    <n v="1827.87"/>
    <n v="0.17"/>
    <n v="14497.49"/>
    <n v="4727.66"/>
    <n v="91.8"/>
    <s v="Credit Card"/>
    <x v="1"/>
    <b v="0"/>
    <x v="1"/>
    <n v="5"/>
  </r>
  <r>
    <s v="ORD-02238"/>
    <x v="909"/>
    <x v="909"/>
    <s v="CUST61636"/>
    <s v="Karan Singh"/>
    <n v="55"/>
    <s v="Female"/>
    <x v="4"/>
    <s v="Kochi"/>
    <x v="5"/>
    <s v="Smartwatch"/>
    <n v="4"/>
    <n v="32640.78"/>
    <n v="0.24"/>
    <n v="122369.56"/>
    <n v="13905.31"/>
    <n v="46.2"/>
    <s v="UPI"/>
    <x v="0"/>
    <b v="1"/>
    <x v="0"/>
    <n v="9"/>
  </r>
  <r>
    <s v="ORD-00193"/>
    <x v="1142"/>
    <x v="1142"/>
    <s v="CUST20505"/>
    <s v="Amit Kapoor"/>
    <n v="21"/>
    <s v="Other"/>
    <x v="1"/>
    <s v="Pune"/>
    <x v="2"/>
    <s v="Wardrobe"/>
    <n v="6"/>
    <n v="2910.04"/>
    <n v="0.13"/>
    <n v="15810.15"/>
    <n v="5082.4799999999996"/>
    <n v="63.67"/>
    <s v="Credit Card"/>
    <x v="1"/>
    <b v="0"/>
    <x v="4"/>
    <n v="4"/>
  </r>
  <r>
    <s v="ORD-00722"/>
    <x v="1143"/>
    <x v="1143"/>
    <s v="CUST22239"/>
    <s v="Kavya Joshi"/>
    <n v="23"/>
    <s v="Female"/>
    <x v="1"/>
    <s v="Mumbai"/>
    <x v="5"/>
    <s v="Smartwatch"/>
    <n v="8"/>
    <n v="19009.3"/>
    <n v="0"/>
    <n v="113780.49"/>
    <n v="11022.35"/>
    <n v="57.37"/>
    <s v="UPI"/>
    <x v="1"/>
    <b v="0"/>
    <x v="1"/>
    <n v="2"/>
  </r>
  <r>
    <s v="ORD-03234"/>
    <x v="661"/>
    <x v="661"/>
    <s v="CUST23301"/>
    <s v="Sanjay Mishra"/>
    <n v="40"/>
    <s v="Male"/>
    <x v="2"/>
    <s v="Chandigarh"/>
    <x v="0"/>
    <s v="Dal (1kg)"/>
    <n v="7"/>
    <n v="230.21"/>
    <n v="0.35"/>
    <n v="1210"/>
    <n v="147.47"/>
    <n v="21.34"/>
    <s v="UPI"/>
    <x v="3"/>
    <b v="0"/>
    <x v="2"/>
    <n v="4"/>
  </r>
  <r>
    <s v="ORD-00363"/>
    <x v="10"/>
    <x v="10"/>
    <s v="CUST26055"/>
    <s v="Ananya Kapoor"/>
    <n v="49"/>
    <s v="Female"/>
    <x v="3"/>
    <s v="Bhubaneswar"/>
    <x v="1"/>
    <s v="Shampoo"/>
    <n v="7"/>
    <n v="1638.61"/>
    <n v="0.04"/>
    <n v="15243.16"/>
    <n v="6526.33"/>
    <n v="72.09"/>
    <s v="Cash on Delivery"/>
    <x v="3"/>
    <b v="0"/>
    <x v="4"/>
    <n v="8"/>
  </r>
  <r>
    <s v="ORD-03203"/>
    <x v="1144"/>
    <x v="1144"/>
    <s v="CUST79007"/>
    <s v="Rahul Chatterjee"/>
    <n v="47"/>
    <s v="Other"/>
    <x v="2"/>
    <s v="Amritsar"/>
    <x v="2"/>
    <s v="Bookshelf"/>
    <n v="5"/>
    <n v="30014.400000000001"/>
    <n v="0.11"/>
    <n v="131495.04999999999"/>
    <n v="42093.32"/>
    <n v="-3.11"/>
    <s v="Credit Card"/>
    <x v="0"/>
    <b v="0"/>
    <x v="1"/>
    <n v="2"/>
  </r>
  <r>
    <s v="ORD-00431"/>
    <x v="501"/>
    <x v="501"/>
    <s v="CUST12471"/>
    <s v="Shreya Bhat"/>
    <n v="40"/>
    <s v="Male"/>
    <x v="3"/>
    <s v="Kolkata"/>
    <x v="4"/>
    <s v="Kurta"/>
    <n v="5"/>
    <n v="3727.28"/>
    <n v="0.39"/>
    <n v="2837.9"/>
    <n v="877.47"/>
    <n v="53.25"/>
    <s v="UPI"/>
    <x v="0"/>
    <b v="0"/>
    <x v="1"/>
    <n v="7"/>
  </r>
  <r>
    <s v="ORD-00442"/>
    <x v="862"/>
    <x v="862"/>
    <s v="CUST98850"/>
    <s v="Deepa Verma"/>
    <n v="49"/>
    <s v="Female"/>
    <x v="3"/>
    <s v="Guwahati"/>
    <x v="4"/>
    <s v="Jacket"/>
    <n v="6"/>
    <n v="831.4"/>
    <n v="0.21"/>
    <n v="4736.01"/>
    <n v="1752.33"/>
    <n v="85.94"/>
    <s v="UPI"/>
    <x v="0"/>
    <b v="0"/>
    <x v="1"/>
    <n v="1"/>
  </r>
  <r>
    <s v="ORD-03366"/>
    <x v="136"/>
    <x v="136"/>
    <s v="CUST68537"/>
    <s v="Rohan Pillai"/>
    <n v="29"/>
    <s v="Female"/>
    <x v="4"/>
    <s v="Kochi"/>
    <x v="4"/>
    <s v="Saree"/>
    <n v="5"/>
    <n v="1297.55"/>
    <n v="0.12"/>
    <n v="5012.78"/>
    <n v="1781.1"/>
    <n v="72.34"/>
    <s v="Credit Card"/>
    <x v="0"/>
    <b v="0"/>
    <x v="3"/>
    <n v="9"/>
  </r>
  <r>
    <s v="ORD-01892"/>
    <x v="113"/>
    <x v="113"/>
    <s v="CUST98022"/>
    <s v="Rahul Reddy"/>
    <n v="51"/>
    <s v="Other"/>
    <x v="1"/>
    <s v="Surat"/>
    <x v="1"/>
    <s v="Shampoo"/>
    <n v="7"/>
    <n v="1556.32"/>
    <n v="0.13"/>
    <n v="12767.61"/>
    <n v="6509.98"/>
    <n v="58.7"/>
    <s v="UPI"/>
    <x v="1"/>
    <b v="0"/>
    <x v="1"/>
    <n v="9"/>
  </r>
  <r>
    <s v="ORD-01106"/>
    <x v="841"/>
    <x v="841"/>
    <s v="CUST22860"/>
    <s v="Shreya Patel"/>
    <n v="33"/>
    <s v="Other"/>
    <x v="1"/>
    <s v="Ahmedabad"/>
    <x v="1"/>
    <s v="Shampoo"/>
    <n v="8"/>
    <n v="2335.3200000000002"/>
    <n v="0.26"/>
    <n v="20223.59"/>
    <n v="8084.22"/>
    <n v="94.12"/>
    <s v="UPI"/>
    <x v="0"/>
    <b v="1"/>
    <x v="0"/>
    <n v="2"/>
  </r>
  <r>
    <s v="ORD-01362"/>
    <x v="1145"/>
    <x v="1145"/>
    <s v="CUST75771"/>
    <s v="Deepa Das"/>
    <n v="49"/>
    <s v="Male"/>
    <x v="3"/>
    <s v="Kolkata"/>
    <x v="6"/>
    <s v="Football"/>
    <n v="2"/>
    <n v="3995.9"/>
    <n v="0.28000000000000003"/>
    <n v="6264.27"/>
    <n v="1979.87"/>
    <n v="89.09"/>
    <s v="Debit Card"/>
    <x v="1"/>
    <b v="0"/>
    <x v="1"/>
    <n v="7"/>
  </r>
  <r>
    <s v="ORD-01581"/>
    <x v="1146"/>
    <x v="1146"/>
    <s v="CUST13351"/>
    <s v="Meera Patel"/>
    <n v="37"/>
    <s v="Female"/>
    <x v="1"/>
    <s v="Mumbai"/>
    <x v="3"/>
    <s v="Biography"/>
    <n v="7"/>
    <n v="762.53"/>
    <n v="0.39"/>
    <n v="2355.0100000000002"/>
    <n v="1196.24"/>
    <n v="65.27"/>
    <s v="EMI"/>
    <x v="2"/>
    <b v="0"/>
    <x v="3"/>
    <n v="5"/>
  </r>
  <r>
    <s v="ORD-00152"/>
    <x v="526"/>
    <x v="526"/>
    <s v="CUST55982"/>
    <s v="Meera Bose"/>
    <n v="33"/>
    <s v="Male"/>
    <x v="0"/>
    <s v="Nagpur"/>
    <x v="6"/>
    <s v="Yoga Mat"/>
    <n v="3"/>
    <n v="13678.04"/>
    <n v="0.12"/>
    <n v="35996.57"/>
    <n v="7972.68"/>
    <n v="67.88"/>
    <s v="Credit Card"/>
    <x v="2"/>
    <b v="0"/>
    <x v="1"/>
    <n v="8"/>
  </r>
  <r>
    <s v="ORD-03040"/>
    <x v="1099"/>
    <x v="1099"/>
    <s v="CUST92392"/>
    <s v="Karan Mishra"/>
    <n v="39"/>
    <s v="Female"/>
    <x v="3"/>
    <s v="Patna"/>
    <x v="1"/>
    <s v="Sunscreen"/>
    <n v="5"/>
    <n v="781.43"/>
    <n v="0.3"/>
    <n v="3859.69"/>
    <n v="2172.08"/>
    <n v="63.85"/>
    <s v="EMI"/>
    <x v="0"/>
    <b v="0"/>
    <x v="1"/>
    <n v="8"/>
  </r>
  <r>
    <s v="ORD-01709"/>
    <x v="290"/>
    <x v="290"/>
    <s v="CUST24292"/>
    <s v="Kavya Kumar"/>
    <n v="38"/>
    <s v="Male"/>
    <x v="2"/>
    <s v="Chandigarh"/>
    <x v="2"/>
    <s v="Desk"/>
    <n v="6"/>
    <n v="33340.199999999997"/>
    <n v="0.09"/>
    <n v="161632.18"/>
    <n v="59885"/>
    <n v="37.520000000000003"/>
    <s v="Credit Card"/>
    <x v="0"/>
    <b v="0"/>
    <x v="3"/>
    <n v="7"/>
  </r>
  <r>
    <s v="ORD-04130"/>
    <x v="923"/>
    <x v="923"/>
    <s v="CUST33881"/>
    <s v="Priya Gupta"/>
    <n v="39"/>
    <s v="Male"/>
    <x v="0"/>
    <s v="Indore"/>
    <x v="1"/>
    <s v="Sunscreen"/>
    <n v="8"/>
    <n v="1289.19"/>
    <n v="0.15"/>
    <n v="9301.9500000000007"/>
    <n v="4080.67"/>
    <n v="43.57"/>
    <s v="EMI"/>
    <x v="4"/>
    <b v="0"/>
    <x v="3"/>
    <n v="2"/>
  </r>
  <r>
    <s v="ORD-02290"/>
    <x v="1147"/>
    <x v="1147"/>
    <s v="CUST57859"/>
    <s v="Arjun Chatterjee"/>
    <n v="33"/>
    <s v="Male"/>
    <x v="4"/>
    <s v="Bangalore"/>
    <x v="2"/>
    <s v="Wardrobe"/>
    <n v="10"/>
    <n v="29389.24"/>
    <n v="0.04"/>
    <n v="314322.83"/>
    <n v="104400.15"/>
    <n v="66.52"/>
    <s v="Cash on Delivery"/>
    <x v="4"/>
    <b v="0"/>
    <x v="1"/>
    <n v="6"/>
  </r>
  <r>
    <s v="ORD-03083"/>
    <x v="85"/>
    <x v="85"/>
    <s v="CUST78430"/>
    <s v="Rahul Pillai"/>
    <n v="51"/>
    <s v="Male"/>
    <x v="1"/>
    <s v="Mumbai"/>
    <x v="1"/>
    <s v="Face Cream"/>
    <n v="4"/>
    <n v="173.98"/>
    <n v="0.25"/>
    <n v="855.12"/>
    <n v="447.82"/>
    <n v="73.28"/>
    <s v="Cash on Delivery"/>
    <x v="4"/>
    <b v="0"/>
    <x v="1"/>
    <n v="7"/>
  </r>
  <r>
    <s v="ORD-01556"/>
    <x v="414"/>
    <x v="414"/>
    <s v="CUST84287"/>
    <s v="Rohan Gupta"/>
    <n v="46"/>
    <s v="Other"/>
    <x v="1"/>
    <s v="Ahmedabad"/>
    <x v="3"/>
    <s v="Cook Book"/>
    <n v="2"/>
    <n v="756.72"/>
    <n v="0.33"/>
    <n v="749.27"/>
    <n v="238.75"/>
    <n v="80.16"/>
    <s v="UPI"/>
    <x v="3"/>
    <b v="0"/>
    <x v="1"/>
    <n v="2"/>
  </r>
  <r>
    <s v="ORD-03820"/>
    <x v="1148"/>
    <x v="1148"/>
    <s v="CUST00780"/>
    <s v="Sanjay Nair"/>
    <n v="42"/>
    <s v="Male"/>
    <x v="0"/>
    <s v="Raipur"/>
    <x v="3"/>
    <s v="Self-Help Book"/>
    <n v="1"/>
    <n v="329.58"/>
    <n v="0.11"/>
    <n v="558.63"/>
    <n v="235.62"/>
    <n v="62.65"/>
    <s v="Net Banking"/>
    <x v="4"/>
    <b v="0"/>
    <x v="1"/>
    <n v="10"/>
  </r>
  <r>
    <s v="ORD-02483"/>
    <x v="1149"/>
    <x v="1149"/>
    <s v="CUST37391"/>
    <s v="Vikram Singh"/>
    <n v="25"/>
    <s v="Other"/>
    <x v="0"/>
    <s v="Raipur"/>
    <x v="5"/>
    <s v="Camera"/>
    <n v="3"/>
    <n v="6718.83"/>
    <n v="0.21"/>
    <n v="17014.88"/>
    <n v="2013.32"/>
    <n v="59.88"/>
    <s v="Debit Card"/>
    <x v="0"/>
    <b v="0"/>
    <x v="1"/>
    <n v="1"/>
  </r>
  <r>
    <s v="ORD-00360"/>
    <x v="863"/>
    <x v="863"/>
    <s v="CUST65000"/>
    <s v="Vikram Chatterjee"/>
    <n v="23"/>
    <s v="Female"/>
    <x v="3"/>
    <s v="Kolkata"/>
    <x v="0"/>
    <s v="Rice (5kg)"/>
    <n v="1"/>
    <n v="362.29"/>
    <n v="0.22"/>
    <n v="379.74"/>
    <n v="23.08"/>
    <n v="80.099999999999994"/>
    <s v="UPI"/>
    <x v="0"/>
    <b v="0"/>
    <x v="1"/>
    <n v="8"/>
  </r>
  <r>
    <s v="ORD-02864"/>
    <x v="1150"/>
    <x v="1150"/>
    <s v="CUST39044"/>
    <s v="Arjun Kapoor"/>
    <n v="42"/>
    <s v="Female"/>
    <x v="2"/>
    <s v="Chandigarh"/>
    <x v="1"/>
    <s v="Face Cream"/>
    <n v="5"/>
    <n v="2006.42"/>
    <n v="0.04"/>
    <n v="17279.23"/>
    <n v="8223.67"/>
    <n v="34.08"/>
    <s v="Cash on Delivery"/>
    <x v="0"/>
    <b v="0"/>
    <x v="1"/>
    <n v="3"/>
  </r>
  <r>
    <s v="ORD-02366"/>
    <x v="1151"/>
    <x v="1151"/>
    <s v="CUST55712"/>
    <s v="Shreya Bose"/>
    <n v="39"/>
    <s v="Other"/>
    <x v="4"/>
    <s v="Chennai"/>
    <x v="1"/>
    <s v="Hair Oil"/>
    <n v="7"/>
    <n v="128.30000000000001"/>
    <n v="0.24"/>
    <n v="712.63"/>
    <n v="385.99"/>
    <n v="51.66"/>
    <s v="Cash on Delivery"/>
    <x v="4"/>
    <b v="0"/>
    <x v="3"/>
    <n v="4"/>
  </r>
  <r>
    <s v="ORD-02439"/>
    <x v="1071"/>
    <x v="1071"/>
    <s v="CUST05236"/>
    <s v="Meera Rao"/>
    <n v="15"/>
    <s v="Female"/>
    <x v="0"/>
    <s v="Raipur"/>
    <x v="4"/>
    <s v="Saree"/>
    <n v="10"/>
    <n v="1673.29"/>
    <n v="0.06"/>
    <n v="12137.21"/>
    <n v="4599.2"/>
    <n v="66.5"/>
    <s v="Credit Card"/>
    <x v="2"/>
    <b v="0"/>
    <x v="1"/>
    <n v="2"/>
  </r>
  <r>
    <s v="ORD-01672"/>
    <x v="577"/>
    <x v="577"/>
    <s v="CUST15767"/>
    <s v="Pooja Shah"/>
    <n v="15"/>
    <s v="Other"/>
    <x v="3"/>
    <s v="Kolkata"/>
    <x v="4"/>
    <s v="Jacket"/>
    <n v="1"/>
    <n v="2361.4"/>
    <n v="0.32"/>
    <n v="1313.73"/>
    <n v="339.86"/>
    <n v="57.6"/>
    <s v="Credit Card"/>
    <x v="0"/>
    <b v="0"/>
    <x v="1"/>
    <n v="3"/>
  </r>
  <r>
    <s v="ORD-01368"/>
    <x v="947"/>
    <x v="947"/>
    <s v="CUST02383"/>
    <s v="Meera Bhat"/>
    <n v="32"/>
    <s v="Female"/>
    <x v="3"/>
    <s v="Kolkata"/>
    <x v="1"/>
    <s v="Sunscreen"/>
    <n v="10"/>
    <n v="1927.01"/>
    <n v="0.23"/>
    <n v="14983.29"/>
    <n v="6280.5"/>
    <n v="52.73"/>
    <s v="Cash on Delivery"/>
    <x v="0"/>
    <b v="0"/>
    <x v="1"/>
    <n v="9"/>
  </r>
  <r>
    <s v="ORD-04112"/>
    <x v="45"/>
    <x v="45"/>
    <s v="CUST28483"/>
    <s v="Pooja Gupta"/>
    <n v="23"/>
    <s v="Other"/>
    <x v="0"/>
    <s v="Nagpur"/>
    <x v="4"/>
    <s v="Jacket"/>
    <n v="8"/>
    <n v="3689.55"/>
    <n v="0.36"/>
    <n v="22365.27"/>
    <n v="6339.32"/>
    <n v="82.16"/>
    <s v="Debit Card"/>
    <x v="2"/>
    <b v="0"/>
    <x v="2"/>
    <n v="4"/>
  </r>
  <r>
    <s v="ORD-02943"/>
    <x v="187"/>
    <x v="187"/>
    <s v="CUST64972"/>
    <s v="Arjun Das"/>
    <n v="41"/>
    <s v="Male"/>
    <x v="2"/>
    <s v="Amritsar"/>
    <x v="6"/>
    <s v="Dumbbells"/>
    <n v="9"/>
    <n v="6912.54"/>
    <n v="0.01"/>
    <n v="98451.07"/>
    <n v="24585.48"/>
    <n v="74.650000000000006"/>
    <s v="Credit Card"/>
    <x v="1"/>
    <b v="0"/>
    <x v="1"/>
    <n v="6"/>
  </r>
  <r>
    <s v="ORD-00353"/>
    <x v="794"/>
    <x v="794"/>
    <s v="CUST09451"/>
    <s v="Arjun Iyer"/>
    <n v="35"/>
    <s v="Male"/>
    <x v="4"/>
    <s v="Bangalore"/>
    <x v="2"/>
    <s v="Desk"/>
    <n v="4"/>
    <n v="14963.38"/>
    <n v="0.04"/>
    <n v="67902.84"/>
    <n v="22163.23"/>
    <n v="68.709999999999994"/>
    <s v="Cash on Delivery"/>
    <x v="0"/>
    <b v="0"/>
    <x v="1"/>
    <n v="8"/>
  </r>
  <r>
    <s v="ORD-00520"/>
    <x v="1152"/>
    <x v="1152"/>
    <s v="CUST37089"/>
    <s v="Meera Kapoor"/>
    <n v="49"/>
    <s v="Other"/>
    <x v="1"/>
    <s v="Mumbai"/>
    <x v="3"/>
    <s v="Fiction Novel"/>
    <n v="1"/>
    <n v="1155.8800000000001"/>
    <n v="0.37"/>
    <n v="743.9"/>
    <n v="208.47"/>
    <n v="59.74"/>
    <s v="Debit Card"/>
    <x v="2"/>
    <b v="0"/>
    <x v="1"/>
    <n v="1"/>
  </r>
  <r>
    <s v="ORD-00930"/>
    <x v="163"/>
    <x v="163"/>
    <s v="CUST93704"/>
    <s v="Aarav Gupta"/>
    <n v="46"/>
    <s v="Male"/>
    <x v="4"/>
    <s v="Bangalore"/>
    <x v="5"/>
    <s v="Smartphone"/>
    <n v="4"/>
    <n v="69413.05"/>
    <n v="0.19"/>
    <n v="236615.76"/>
    <n v="20189.990000000002"/>
    <n v="74.25"/>
    <s v="EMI"/>
    <x v="3"/>
    <b v="0"/>
    <x v="3"/>
    <n v="7"/>
  </r>
  <r>
    <s v="ORD-03564"/>
    <x v="698"/>
    <x v="698"/>
    <s v="CUST37631"/>
    <s v="Karan Singh"/>
    <n v="12"/>
    <s v="Other"/>
    <x v="1"/>
    <s v="Ahmedabad"/>
    <x v="4"/>
    <s v="Jacket"/>
    <n v="6"/>
    <n v="3699.24"/>
    <n v="0.33"/>
    <n v="17538.68"/>
    <n v="6519.53"/>
    <n v="44.19"/>
    <s v="Net Banking"/>
    <x v="3"/>
    <b v="0"/>
    <x v="1"/>
    <n v="6"/>
  </r>
  <r>
    <s v="ORD-01710"/>
    <x v="290"/>
    <x v="290"/>
    <s v="CUST45078"/>
    <s v="Priya Reddy"/>
    <n v="36"/>
    <s v="Male"/>
    <x v="2"/>
    <s v="Chandigarh"/>
    <x v="5"/>
    <s v="Smartwatch"/>
    <n v="1"/>
    <n v="21382.9"/>
    <n v="0.19"/>
    <n v="18387.23"/>
    <n v="1757.16"/>
    <n v="13.65"/>
    <s v="Cash on Delivery"/>
    <x v="1"/>
    <b v="0"/>
    <x v="1"/>
    <n v="6"/>
  </r>
  <r>
    <s v="ORD-02303"/>
    <x v="1153"/>
    <x v="1153"/>
    <s v="CUST73687"/>
    <s v="Shreya Iyer"/>
    <n v="35"/>
    <s v="Male"/>
    <x v="1"/>
    <s v="Pune"/>
    <x v="2"/>
    <s v="Bed Frame"/>
    <n v="6"/>
    <n v="4727.2"/>
    <n v="0.3"/>
    <n v="22747.1"/>
    <n v="6128.52"/>
    <n v="85.09"/>
    <s v="Net Banking"/>
    <x v="1"/>
    <b v="0"/>
    <x v="4"/>
    <n v="9"/>
  </r>
  <r>
    <s v="ORD-02596"/>
    <x v="554"/>
    <x v="554"/>
    <s v="CUST81623"/>
    <s v="Nikhil Mehta"/>
    <n v="23"/>
    <s v="Other"/>
    <x v="0"/>
    <s v="Raipur"/>
    <x v="3"/>
    <s v="Fiction Novel"/>
    <n v="4"/>
    <n v="246.31"/>
    <n v="0.32"/>
    <n v="670.92"/>
    <n v="214.73"/>
    <n v="54.41"/>
    <s v="UPI"/>
    <x v="0"/>
    <b v="0"/>
    <x v="1"/>
    <n v="9"/>
  </r>
  <r>
    <s v="ORD-01373"/>
    <x v="1154"/>
    <x v="1154"/>
    <s v="CUST56843"/>
    <s v="Aarav Singh"/>
    <n v="31"/>
    <s v="Female"/>
    <x v="2"/>
    <s v="Delhi"/>
    <x v="5"/>
    <s v="Smartphone"/>
    <n v="2"/>
    <n v="20652.77"/>
    <n v="0.17"/>
    <n v="36063.910000000003"/>
    <n v="2449.77"/>
    <n v="46.55"/>
    <s v="Credit Card"/>
    <x v="4"/>
    <b v="0"/>
    <x v="1"/>
    <n v="3"/>
  </r>
  <r>
    <s v="ORD-01358"/>
    <x v="1145"/>
    <x v="1145"/>
    <s v="CUST24273"/>
    <s v="Ananya Singh"/>
    <n v="34"/>
    <s v="Female"/>
    <x v="4"/>
    <s v="Kochi"/>
    <x v="4"/>
    <s v="Jeans"/>
    <n v="2"/>
    <n v="3281.01"/>
    <n v="0.19"/>
    <n v="5549.01"/>
    <n v="1625.36"/>
    <n v="83.74"/>
    <s v="Credit Card"/>
    <x v="3"/>
    <b v="0"/>
    <x v="1"/>
    <n v="9"/>
  </r>
  <r>
    <s v="ORD-02472"/>
    <x v="1155"/>
    <x v="1155"/>
    <s v="CUST85179"/>
    <s v="Shreya Iyer"/>
    <n v="40"/>
    <s v="Male"/>
    <x v="0"/>
    <s v="Indore"/>
    <x v="4"/>
    <s v="Kurta"/>
    <n v="8"/>
    <n v="3539.5"/>
    <n v="0.23"/>
    <n v="17882.7"/>
    <n v="6353.82"/>
    <n v="60.26"/>
    <s v="Net Banking"/>
    <x v="2"/>
    <b v="0"/>
    <x v="3"/>
    <n v="9"/>
  </r>
  <r>
    <s v="ORD-03876"/>
    <x v="1156"/>
    <x v="1156"/>
    <s v="CUST87444"/>
    <s v="Karan Kumar"/>
    <n v="32"/>
    <s v="Female"/>
    <x v="3"/>
    <s v="Guwahati"/>
    <x v="5"/>
    <s v="Laptop"/>
    <n v="0"/>
    <n v="60299.29"/>
    <n v="7.0000000000000007E-2"/>
    <n v="91325.87"/>
    <n v="12487.67"/>
    <n v="49.76"/>
    <s v="UPI"/>
    <x v="4"/>
    <b v="0"/>
    <x v="1"/>
    <n v="4"/>
  </r>
  <r>
    <s v="ORD-02435"/>
    <x v="1157"/>
    <x v="1157"/>
    <s v="CUST20967"/>
    <s v="Amit Sharma"/>
    <n v="36"/>
    <s v="Female"/>
    <x v="0"/>
    <s v="Indore"/>
    <x v="6"/>
    <s v="Cricket Bat"/>
    <n v="9"/>
    <n v="8072.68"/>
    <n v="0.11"/>
    <n v="55849.13"/>
    <n v="10192.200000000001"/>
    <n v="56.59"/>
    <s v="UPI"/>
    <x v="4"/>
    <b v="0"/>
    <x v="1"/>
    <n v="8"/>
  </r>
  <r>
    <s v="ORD-02722"/>
    <x v="593"/>
    <x v="593"/>
    <s v="CUST57029"/>
    <s v="Meera Reddy"/>
    <n v="28"/>
    <s v="Male"/>
    <x v="3"/>
    <s v="Patna"/>
    <x v="0"/>
    <s v="Cooking Oil"/>
    <n v="10"/>
    <n v="241.98"/>
    <n v="0.28000000000000003"/>
    <n v="2282.59"/>
    <n v="137.71"/>
    <n v="54.31"/>
    <s v="Credit Card"/>
    <x v="1"/>
    <b v="0"/>
    <x v="3"/>
    <n v="4"/>
  </r>
  <r>
    <s v="ORD-01260"/>
    <x v="933"/>
    <x v="933"/>
    <s v="CUST55880"/>
    <s v="Aarav Mishra"/>
    <n v="32"/>
    <s v="Male"/>
    <x v="3"/>
    <s v="Kolkata"/>
    <x v="1"/>
    <s v="Shampoo"/>
    <n v="3"/>
    <n v="676.4"/>
    <n v="0.31"/>
    <n v="2011.95"/>
    <n v="671.9"/>
    <n v="89.11"/>
    <s v="EMI"/>
    <x v="0"/>
    <b v="0"/>
    <x v="1"/>
    <n v="7"/>
  </r>
  <r>
    <s v="ORD-03688"/>
    <x v="1158"/>
    <x v="1158"/>
    <s v="CUST87861"/>
    <s v="Sanjay Mishra"/>
    <n v="18"/>
    <s v="Other"/>
    <x v="3"/>
    <s v="Patna"/>
    <x v="2"/>
    <s v="Sofa"/>
    <n v="3"/>
    <n v="27654.89"/>
    <n v="7.0000000000000007E-2"/>
    <n v="139972.32999999999"/>
    <n v="47884.94"/>
    <n v="88.4"/>
    <s v="UPI"/>
    <x v="0"/>
    <b v="0"/>
    <x v="1"/>
    <n v="7"/>
  </r>
  <r>
    <s v="ORD-03284"/>
    <x v="212"/>
    <x v="212"/>
    <s v="CUST26543"/>
    <s v="Nikhil Mishra"/>
    <n v="37"/>
    <s v="Male"/>
    <x v="4"/>
    <s v="Bangalore"/>
    <x v="1"/>
    <s v="Lipstick"/>
    <n v="3"/>
    <n v="1910.31"/>
    <n v="0.38"/>
    <n v="3118.32"/>
    <n v="1686.07"/>
    <n v="72.569999999999993"/>
    <s v="Cash on Delivery"/>
    <x v="1"/>
    <b v="0"/>
    <x v="2"/>
    <n v="8"/>
  </r>
  <r>
    <s v="ORD-02889"/>
    <x v="983"/>
    <x v="983"/>
    <s v="CUST93642"/>
    <s v="Karan Singh"/>
    <n v="33"/>
    <s v="Female"/>
    <x v="2"/>
    <s v="Chandigarh"/>
    <x v="2"/>
    <s v="Sofa"/>
    <n v="5"/>
    <n v="11967.38"/>
    <n v="7.0000000000000007E-2"/>
    <n v="17838.52"/>
    <n v="3429.62"/>
    <n v="76.83"/>
    <s v="Debit Card"/>
    <x v="4"/>
    <b v="0"/>
    <x v="3"/>
    <n v="2"/>
  </r>
  <r>
    <s v="ORD-02509"/>
    <x v="460"/>
    <x v="460"/>
    <s v="CUST45867"/>
    <s v="Shreya Rao"/>
    <n v="25"/>
    <s v="Male"/>
    <x v="2"/>
    <s v="Amritsar"/>
    <x v="4"/>
    <s v="Dress"/>
    <n v="10"/>
    <n v="1001.16"/>
    <n v="0.39"/>
    <n v="4877.97"/>
    <n v="1751.33"/>
    <n v="70.650000000000006"/>
    <s v="Credit Card"/>
    <x v="0"/>
    <b v="0"/>
    <x v="1"/>
    <n v="2"/>
  </r>
  <r>
    <s v="ORD-03833"/>
    <x v="1159"/>
    <x v="1159"/>
    <s v="CUST19407"/>
    <s v="Shreya Kapoor"/>
    <n v="39"/>
    <s v="Other"/>
    <x v="1"/>
    <s v="Surat"/>
    <x v="6"/>
    <s v="Dumbbells"/>
    <n v="9"/>
    <n v="7643.25"/>
    <n v="0.12"/>
    <n v="102057.62"/>
    <n v="26038.27"/>
    <n v="62.54"/>
    <s v="Debit Card"/>
    <x v="0"/>
    <b v="0"/>
    <x v="1"/>
    <n v="7"/>
  </r>
  <r>
    <s v="ORD-02473"/>
    <x v="1155"/>
    <x v="1155"/>
    <s v="CUST36383"/>
    <s v="Sunita Chatterjee"/>
    <n v="47"/>
    <s v="Male"/>
    <x v="3"/>
    <s v="Guwahati"/>
    <x v="4"/>
    <s v="Jacket"/>
    <n v="8"/>
    <n v="2955.05"/>
    <n v="0.21"/>
    <n v="23271.279999999999"/>
    <n v="7242.27"/>
    <n v="69.25"/>
    <s v="UPI"/>
    <x v="2"/>
    <b v="0"/>
    <x v="1"/>
    <n v="1"/>
  </r>
  <r>
    <s v="ORD-02225"/>
    <x v="481"/>
    <x v="481"/>
    <s v="CUST76092"/>
    <s v="Amit Iyer"/>
    <n v="33"/>
    <s v="Other"/>
    <x v="1"/>
    <s v="Surat"/>
    <x v="0"/>
    <s v="Tea"/>
    <n v="6"/>
    <n v="497.75"/>
    <n v="0.39"/>
    <n v="2474.96"/>
    <n v="216.67"/>
    <n v="65.8"/>
    <s v="Cash on Delivery"/>
    <x v="4"/>
    <b v="0"/>
    <x v="2"/>
    <n v="3"/>
  </r>
  <r>
    <s v="ORD-01943"/>
    <x v="311"/>
    <x v="311"/>
    <s v="CUST27635"/>
    <s v="Arjun Chatterjee"/>
    <n v="36"/>
    <s v="Female"/>
    <x v="1"/>
    <s v="Ahmedabad"/>
    <x v="6"/>
    <s v="Tennis Racket"/>
    <n v="4"/>
    <n v="9134.3700000000008"/>
    <n v="0.28999999999999998"/>
    <n v="34788.58"/>
    <n v="8944.34"/>
    <n v="65.47"/>
    <s v="Net Banking"/>
    <x v="1"/>
    <b v="0"/>
    <x v="1"/>
    <n v="4"/>
  </r>
  <r>
    <s v="ORD-02312"/>
    <x v="927"/>
    <x v="927"/>
    <s v="CUST81714"/>
    <s v="Rohan Kumar"/>
    <n v="32"/>
    <s v="Female"/>
    <x v="3"/>
    <s v="Patna"/>
    <x v="1"/>
    <s v="Shampoo"/>
    <n v="10"/>
    <n v="909.09"/>
    <n v="0.28999999999999998"/>
    <n v="6829.99"/>
    <n v="3214.22"/>
    <n v="86.69"/>
    <s v="Cash on Delivery"/>
    <x v="3"/>
    <b v="0"/>
    <x v="1"/>
    <n v="4"/>
  </r>
  <r>
    <s v="ORD-01416"/>
    <x v="512"/>
    <x v="512"/>
    <s v="CUST53700"/>
    <s v="Aditya Chatterjee"/>
    <n v="35"/>
    <s v="Other"/>
    <x v="2"/>
    <s v="Ludhiana"/>
    <x v="0"/>
    <s v="Tea"/>
    <n v="4"/>
    <n v="98.95"/>
    <n v="0.15"/>
    <n v="365.47"/>
    <n v="31.72"/>
    <n v="78.47"/>
    <s v="Net Banking"/>
    <x v="4"/>
    <b v="1"/>
    <x v="0"/>
    <n v="4"/>
  </r>
  <r>
    <s v="ORD-03584"/>
    <x v="498"/>
    <x v="498"/>
    <s v="CUST44948"/>
    <s v="Meera Bose"/>
    <n v="29"/>
    <s v="Female"/>
    <x v="1"/>
    <s v="Mumbai"/>
    <x v="3"/>
    <s v="Self-Help Book"/>
    <n v="8"/>
    <n v="807.8"/>
    <n v="0.01"/>
    <n v="10104.81"/>
    <n v="3435.69"/>
    <n v="55.12"/>
    <s v="Net Banking"/>
    <x v="1"/>
    <b v="1"/>
    <x v="0"/>
    <n v="10"/>
  </r>
  <r>
    <s v="ORD-02320"/>
    <x v="412"/>
    <x v="412"/>
    <s v="CUST01629"/>
    <s v="Sanjay Patel"/>
    <n v="20"/>
    <s v="Male"/>
    <x v="2"/>
    <s v="Amritsar"/>
    <x v="2"/>
    <s v="Desk"/>
    <n v="9"/>
    <n v="14626.63"/>
    <n v="0.32"/>
    <n v="81959.990000000005"/>
    <n v="31885.26"/>
    <n v="43.74"/>
    <s v="Net Banking"/>
    <x v="1"/>
    <b v="0"/>
    <x v="1"/>
    <n v="1"/>
  </r>
  <r>
    <s v="ORD-00477"/>
    <x v="1160"/>
    <x v="1160"/>
    <s v="CUST11769"/>
    <s v="Kavya Rao"/>
    <n v="29"/>
    <s v="Female"/>
    <x v="2"/>
    <s v="Chandigarh"/>
    <x v="0"/>
    <s v="Dal (1kg)"/>
    <n v="9"/>
    <n v="171.9"/>
    <n v="0.03"/>
    <n v="1613.26"/>
    <n v="139.65"/>
    <n v="79.37"/>
    <s v="Debit Card"/>
    <x v="0"/>
    <b v="0"/>
    <x v="1"/>
    <n v="9"/>
  </r>
  <r>
    <s v="ORD-01470"/>
    <x v="744"/>
    <x v="744"/>
    <s v="CUST64854"/>
    <s v="Ananya Mehta"/>
    <n v="15"/>
    <s v="Male"/>
    <x v="0"/>
    <s v="Indore"/>
    <x v="1"/>
    <s v="Lipstick"/>
    <n v="5"/>
    <n v="1406.35"/>
    <n v="0.15"/>
    <n v="5360.98"/>
    <n v="3427.48"/>
    <n v="71.58"/>
    <s v="Cash on Delivery"/>
    <x v="0"/>
    <b v="0"/>
    <x v="3"/>
    <n v="1"/>
  </r>
  <r>
    <s v="ORD-02902"/>
    <x v="640"/>
    <x v="640"/>
    <s v="CUST92378"/>
    <s v="Aarav Patel"/>
    <n v="37"/>
    <s v="Other"/>
    <x v="0"/>
    <s v="Nagpur"/>
    <x v="6"/>
    <s v="Cycle"/>
    <n v="1"/>
    <n v="5089.72"/>
    <n v="0.06"/>
    <n v="8297.84"/>
    <n v="2163.06"/>
    <n v="48.55"/>
    <s v="Cash on Delivery"/>
    <x v="0"/>
    <b v="0"/>
    <x v="1"/>
    <n v="6"/>
  </r>
  <r>
    <s v="ORD-02493"/>
    <x v="232"/>
    <x v="232"/>
    <s v="CUST53174"/>
    <s v="Priya Bose"/>
    <n v="33"/>
    <s v="Male"/>
    <x v="3"/>
    <s v="Patna"/>
    <x v="0"/>
    <s v="Dal (1kg)"/>
    <n v="8"/>
    <n v="117.88"/>
    <n v="0.37"/>
    <n v="478.16"/>
    <n v="41.29"/>
    <n v="88.62"/>
    <s v="Net Banking"/>
    <x v="4"/>
    <b v="1"/>
    <x v="0"/>
    <n v="3"/>
  </r>
  <r>
    <s v="ORD-01625"/>
    <x v="656"/>
    <x v="656"/>
    <s v="CUST55070"/>
    <s v="Nikhil Verma"/>
    <n v="38"/>
    <s v="Female"/>
    <x v="1"/>
    <s v="Mumbai"/>
    <x v="4"/>
    <s v="Saree"/>
    <n v="9"/>
    <n v="3852.76"/>
    <n v="0.08"/>
    <n v="26003.08"/>
    <n v="7426.65"/>
    <n v="50.19"/>
    <s v="Credit Card"/>
    <x v="1"/>
    <b v="0"/>
    <x v="1"/>
    <n v="9"/>
  </r>
  <r>
    <s v="ORD-00641"/>
    <x v="769"/>
    <x v="769"/>
    <s v="CUST42461"/>
    <s v="Vikram Verma"/>
    <n v="26"/>
    <s v="Other"/>
    <x v="0"/>
    <s v="Indore"/>
    <x v="6"/>
    <s v="Cycle"/>
    <n v="10"/>
    <n v="2882"/>
    <n v="0.03"/>
    <n v="25085.42"/>
    <n v="5947.27"/>
    <n v="58.31"/>
    <s v="EMI"/>
    <x v="1"/>
    <b v="0"/>
    <x v="1"/>
    <n v="9"/>
  </r>
  <r>
    <s v="ORD-01828"/>
    <x v="1161"/>
    <x v="1161"/>
    <s v="CUST21183"/>
    <s v="Karan Joshi"/>
    <n v="50"/>
    <s v="Male"/>
    <x v="3"/>
    <s v="Patna"/>
    <x v="2"/>
    <s v="Wardrobe"/>
    <n v="6"/>
    <n v="14556.36"/>
    <n v="0.03"/>
    <n v="99451.13"/>
    <n v="38970.92"/>
    <n v="88.32"/>
    <s v="EMI"/>
    <x v="0"/>
    <b v="0"/>
    <x v="1"/>
    <n v="9"/>
  </r>
  <r>
    <s v="ORD-01958"/>
    <x v="882"/>
    <x v="882"/>
    <s v="CUST44438"/>
    <s v="Rahul Mehta"/>
    <n v="27"/>
    <s v="Other"/>
    <x v="1"/>
    <s v="Surat"/>
    <x v="0"/>
    <s v="Flour"/>
    <n v="7"/>
    <n v="92.16"/>
    <n v="0.12"/>
    <n v="864.08"/>
    <n v="53.74"/>
    <n v="65.930000000000007"/>
    <s v="Cash on Delivery"/>
    <x v="0"/>
    <b v="0"/>
    <x v="1"/>
    <n v="2"/>
  </r>
  <r>
    <s v="ORD-00380"/>
    <x v="430"/>
    <x v="430"/>
    <s v="CUST14649"/>
    <s v="Karan Verma"/>
    <n v="34"/>
    <s v="Other"/>
    <x v="0"/>
    <s v="Bhopal"/>
    <x v="6"/>
    <s v="Tennis Racket"/>
    <n v="3"/>
    <n v="6440.36"/>
    <n v="7.0000000000000007E-2"/>
    <n v="22706.45"/>
    <n v="4999.3999999999996"/>
    <n v="42.43"/>
    <s v="Credit Card"/>
    <x v="2"/>
    <b v="0"/>
    <x v="1"/>
    <n v="8"/>
  </r>
  <r>
    <s v="ORD-00184"/>
    <x v="209"/>
    <x v="209"/>
    <s v="CUST00684"/>
    <s v="Ananya Das"/>
    <n v="27"/>
    <s v="Other"/>
    <x v="4"/>
    <s v="Kochi"/>
    <x v="2"/>
    <s v="Wardrobe"/>
    <n v="2"/>
    <n v="25170.77"/>
    <n v="0.27"/>
    <n v="36389.699999999997"/>
    <n v="9365.3799999999992"/>
    <n v="87.67"/>
    <s v="Cash on Delivery"/>
    <x v="0"/>
    <b v="0"/>
    <x v="1"/>
    <n v="10"/>
  </r>
  <r>
    <s v="ORD-04024"/>
    <x v="1162"/>
    <x v="1162"/>
    <s v="CUST40456"/>
    <s v="Karan Gupta"/>
    <n v="50"/>
    <s v="Female"/>
    <x v="0"/>
    <s v="Indore"/>
    <x v="5"/>
    <s v="Headphones"/>
    <n v="4"/>
    <n v="40360.699999999997"/>
    <n v="0.05"/>
    <n v="182429.15"/>
    <n v="25030.400000000001"/>
    <n v="36.28"/>
    <s v="Debit Card"/>
    <x v="4"/>
    <b v="0"/>
    <x v="1"/>
    <n v="10"/>
  </r>
  <r>
    <s v="ORD-02964"/>
    <x v="115"/>
    <x v="115"/>
    <s v="CUST46382"/>
    <s v="Aarav Das"/>
    <n v="39"/>
    <s v="Male"/>
    <x v="1"/>
    <s v="Surat"/>
    <x v="6"/>
    <s v="Cycle"/>
    <n v="8"/>
    <n v="3387.86"/>
    <n v="0.24"/>
    <n v="29752.47"/>
    <n v="7208.56"/>
    <n v="47.15"/>
    <s v="Cash on Delivery"/>
    <x v="1"/>
    <b v="1"/>
    <x v="0"/>
    <n v="7"/>
  </r>
  <r>
    <s v="ORD-04070"/>
    <x v="1163"/>
    <x v="1163"/>
    <s v="CUST44343"/>
    <s v="Rohan Sharma"/>
    <n v="24"/>
    <s v="Male"/>
    <x v="3"/>
    <s v="Bhubaneswar"/>
    <x v="4"/>
    <s v="Jeans"/>
    <n v="5"/>
    <n v="1995.56"/>
    <n v="0.39"/>
    <n v="1555.54"/>
    <n v="614.77"/>
    <n v="64.19"/>
    <s v="Debit Card"/>
    <x v="3"/>
    <b v="0"/>
    <x v="1"/>
    <n v="3"/>
  </r>
  <r>
    <s v="ORD-00899"/>
    <x v="706"/>
    <x v="706"/>
    <s v="CUST12934"/>
    <s v="Ananya Joshi"/>
    <n v="20"/>
    <s v="Other"/>
    <x v="1"/>
    <s v="Mumbai"/>
    <x v="4"/>
    <s v="Dress"/>
    <n v="4"/>
    <n v="781.53"/>
    <n v="0.03"/>
    <n v="2842.15"/>
    <n v="1255.07"/>
    <n v="61.02"/>
    <s v="UPI"/>
    <x v="1"/>
    <b v="0"/>
    <x v="1"/>
    <n v="7"/>
  </r>
  <r>
    <s v="ORD-01931"/>
    <x v="1164"/>
    <x v="1164"/>
    <s v="CUST56329"/>
    <s v="Amit Shah"/>
    <n v="36"/>
    <s v="Other"/>
    <x v="0"/>
    <s v="Indore"/>
    <x v="5"/>
    <s v="Laptop"/>
    <n v="9"/>
    <n v="58361.52"/>
    <n v="0.14000000000000001"/>
    <n v="656523.77"/>
    <n v="75288.800000000003"/>
    <n v="48.7"/>
    <s v="Cash on Delivery"/>
    <x v="0"/>
    <b v="0"/>
    <x v="1"/>
    <n v="6"/>
  </r>
  <r>
    <s v="ORD-01271"/>
    <x v="28"/>
    <x v="28"/>
    <s v="CUST89833"/>
    <s v="Shreya Chatterjee"/>
    <n v="50"/>
    <s v="Other"/>
    <x v="0"/>
    <s v="Raipur"/>
    <x v="3"/>
    <s v="Biography"/>
    <n v="9"/>
    <n v="303.27999999999997"/>
    <n v="0.16"/>
    <n v="2822.94"/>
    <n v="1428.88"/>
    <n v="66.69"/>
    <s v="EMI"/>
    <x v="0"/>
    <b v="0"/>
    <x v="3"/>
    <n v="6"/>
  </r>
  <r>
    <s v="ORD-02502"/>
    <x v="692"/>
    <x v="692"/>
    <s v="CUST57769"/>
    <s v="Kavya Shah"/>
    <n v="21"/>
    <s v="Female"/>
    <x v="2"/>
    <s v="Amritsar"/>
    <x v="5"/>
    <s v="Tablet"/>
    <n v="5"/>
    <n v="48591.01"/>
    <n v="0.14000000000000001"/>
    <n v="155853.93"/>
    <n v="14342.24"/>
    <n v="67.81"/>
    <s v="Debit Card"/>
    <x v="1"/>
    <b v="0"/>
    <x v="1"/>
    <n v="2"/>
  </r>
  <r>
    <s v="ORD-02471"/>
    <x v="1165"/>
    <x v="1165"/>
    <s v="CUST13297"/>
    <s v="Nikhil Gupta"/>
    <n v="35"/>
    <s v="Other"/>
    <x v="0"/>
    <s v="Indore"/>
    <x v="0"/>
    <s v="Sugar"/>
    <n v="1"/>
    <n v="211.63"/>
    <n v="0.34"/>
    <n v="100.19"/>
    <n v="8.8000000000000007"/>
    <n v="38.35"/>
    <s v="Net Banking"/>
    <x v="0"/>
    <b v="0"/>
    <x v="1"/>
    <n v="6"/>
  </r>
  <r>
    <s v="ORD-00278"/>
    <x v="182"/>
    <x v="182"/>
    <s v="CUST14008"/>
    <s v="Sanjay Reddy"/>
    <n v="37"/>
    <s v="Other"/>
    <x v="3"/>
    <s v="Guwahati"/>
    <x v="1"/>
    <s v="Perfume"/>
    <n v="4"/>
    <n v="206.46"/>
    <n v="0.08"/>
    <n v="835.93"/>
    <n v="232.93"/>
    <n v="62.51"/>
    <s v="Debit Card"/>
    <x v="4"/>
    <b v="0"/>
    <x v="1"/>
    <n v="9"/>
  </r>
  <r>
    <s v="ORD-01585"/>
    <x v="128"/>
    <x v="128"/>
    <s v="CUST80517"/>
    <s v="Meera Pillai"/>
    <n v="25"/>
    <s v="Female"/>
    <x v="3"/>
    <s v="Patna"/>
    <x v="6"/>
    <s v="Yoga Mat"/>
    <n v="6"/>
    <n v="12768.97"/>
    <n v="0.03"/>
    <n v="54563.15"/>
    <n v="14418.02"/>
    <n v="94.15"/>
    <s v="Debit Card"/>
    <x v="1"/>
    <b v="0"/>
    <x v="1"/>
    <n v="2"/>
  </r>
  <r>
    <s v="ORD-03822"/>
    <x v="1166"/>
    <x v="1166"/>
    <s v="CUST66429"/>
    <s v="Ritu Iyer"/>
    <n v="20"/>
    <s v="Female"/>
    <x v="1"/>
    <s v="Ahmedabad"/>
    <x v="3"/>
    <s v="Fiction Novel"/>
    <n v="9"/>
    <n v="872.17"/>
    <n v="0.28000000000000003"/>
    <n v="9875.31"/>
    <n v="3131.98"/>
    <n v="23.1"/>
    <s v="Cash on Delivery"/>
    <x v="3"/>
    <b v="0"/>
    <x v="1"/>
    <n v="4"/>
  </r>
  <r>
    <s v="ORD-01043"/>
    <x v="482"/>
    <x v="482"/>
    <s v="CUST85718"/>
    <s v="Amit Rao"/>
    <n v="44"/>
    <s v="Female"/>
    <x v="4"/>
    <s v="Bangalore"/>
    <x v="6"/>
    <s v="Dumbbells"/>
    <n v="1"/>
    <n v="736.98"/>
    <n v="0.23"/>
    <n v="690.69"/>
    <n v="150.91999999999999"/>
    <n v="65.86"/>
    <s v="Credit Card"/>
    <x v="4"/>
    <b v="1"/>
    <x v="0"/>
    <n v="7"/>
  </r>
  <r>
    <s v="ORD-03219"/>
    <x v="1167"/>
    <x v="1167"/>
    <s v="CUST75320"/>
    <s v="Ananya Bose"/>
    <n v="33"/>
    <s v="Male"/>
    <x v="3"/>
    <s v="Patna"/>
    <x v="1"/>
    <s v="Hair Oil"/>
    <n v="4"/>
    <n v="1214.7"/>
    <n v="0.35"/>
    <n v="3082.23"/>
    <n v="1134.31"/>
    <n v="101.88"/>
    <s v="EMI"/>
    <x v="2"/>
    <b v="0"/>
    <x v="1"/>
    <n v="4"/>
  </r>
  <r>
    <s v="ORD-01774"/>
    <x v="302"/>
    <x v="302"/>
    <s v="CUST82194"/>
    <s v="Meera Joshi"/>
    <n v="28"/>
    <s v="Other"/>
    <x v="3"/>
    <s v="Guwahati"/>
    <x v="1"/>
    <s v="Hair Oil"/>
    <n v="2"/>
    <n v="2223.4699999999998"/>
    <n v="0.28000000000000003"/>
    <n v="3216.13"/>
    <n v="1585.85"/>
    <n v="71.53"/>
    <s v="Debit Card"/>
    <x v="1"/>
    <b v="0"/>
    <x v="1"/>
    <n v="10"/>
  </r>
  <r>
    <s v="ORD-00137"/>
    <x v="442"/>
    <x v="442"/>
    <s v="CUST00764"/>
    <s v="Karan Bose"/>
    <n v="40"/>
    <s v="Male"/>
    <x v="1"/>
    <s v="Surat"/>
    <x v="4"/>
    <s v="Jeans"/>
    <n v="7"/>
    <n v="2365.37"/>
    <n v="0.23"/>
    <n v="11584.23"/>
    <n v="4400.45"/>
    <n v="58.83"/>
    <s v="Net Banking"/>
    <x v="1"/>
    <b v="0"/>
    <x v="1"/>
    <n v="3"/>
  </r>
  <r>
    <s v="ORD-02072"/>
    <x v="1064"/>
    <x v="1064"/>
    <s v="CUST80210"/>
    <s v="Arjun Pillai"/>
    <n v="47"/>
    <s v="Other"/>
    <x v="3"/>
    <s v="Bhubaneswar"/>
    <x v="0"/>
    <s v="Sugar"/>
    <n v="9"/>
    <n v="402.48"/>
    <n v="0.34"/>
    <n v="3545.6"/>
    <n v="235.12"/>
    <n v="108.84"/>
    <s v="Credit Card"/>
    <x v="1"/>
    <b v="0"/>
    <x v="1"/>
    <n v="1"/>
  </r>
  <r>
    <s v="ORD-00212"/>
    <x v="1168"/>
    <x v="1168"/>
    <s v="CUST28918"/>
    <s v="Amit Gupta"/>
    <n v="27"/>
    <s v="Female"/>
    <x v="0"/>
    <s v="Nagpur"/>
    <x v="0"/>
    <s v="Flour"/>
    <n v="3"/>
    <n v="263.48"/>
    <n v="0.27"/>
    <n v="622.58000000000004"/>
    <n v="55.39"/>
    <n v="77.89"/>
    <s v="Debit Card"/>
    <x v="3"/>
    <b v="0"/>
    <x v="4"/>
    <n v="3"/>
  </r>
  <r>
    <s v="ORD-00984"/>
    <x v="426"/>
    <x v="426"/>
    <s v="CUST55320"/>
    <s v="Amit Bose"/>
    <n v="36"/>
    <s v="Female"/>
    <x v="1"/>
    <s v="Ahmedabad"/>
    <x v="1"/>
    <s v="Hair Oil"/>
    <n v="8"/>
    <n v="1335.25"/>
    <n v="0.12"/>
    <n v="9435.3799999999992"/>
    <n v="4980.08"/>
    <n v="64.56"/>
    <s v="Net Banking"/>
    <x v="3"/>
    <b v="0"/>
    <x v="3"/>
    <n v="1"/>
  </r>
  <r>
    <s v="ORD-03746"/>
    <x v="1169"/>
    <x v="1169"/>
    <s v="CUST06683"/>
    <s v="Ananya Mishra"/>
    <n v="19"/>
    <s v="Female"/>
    <x v="4"/>
    <s v="Hyderabad"/>
    <x v="0"/>
    <s v="Dal (1kg)"/>
    <n v="9"/>
    <n v="293.41000000000003"/>
    <n v="0.09"/>
    <n v="4375.33"/>
    <n v="353.37"/>
    <n v="78.569999999999993"/>
    <s v="EMI"/>
    <x v="1"/>
    <b v="0"/>
    <x v="1"/>
    <n v="8"/>
  </r>
  <r>
    <s v="ORD-00340"/>
    <x v="203"/>
    <x v="203"/>
    <s v="CUST72613"/>
    <s v="Kavya Kapoor"/>
    <n v="34"/>
    <s v="Other"/>
    <x v="4"/>
    <s v="Bangalore"/>
    <x v="1"/>
    <s v="Lipstick"/>
    <n v="9"/>
    <n v="444.71"/>
    <n v="0.03"/>
    <n v="4995.33"/>
    <n v="3217.96"/>
    <n v="88.85"/>
    <s v="UPI"/>
    <x v="0"/>
    <b v="0"/>
    <x v="1"/>
    <n v="6"/>
  </r>
  <r>
    <s v="ORD-03546"/>
    <x v="392"/>
    <x v="392"/>
    <s v="CUST33381"/>
    <s v="Deepa Kumar"/>
    <n v="30"/>
    <s v="Other"/>
    <x v="3"/>
    <s v="Guwahati"/>
    <x v="5"/>
    <s v="Tablet"/>
    <n v="6"/>
    <n v="68505.67"/>
    <n v="0.28000000000000003"/>
    <n v="367164.54"/>
    <n v="51349.21"/>
    <n v="111.8"/>
    <s v="EMI"/>
    <x v="4"/>
    <b v="0"/>
    <x v="1"/>
    <n v="1"/>
  </r>
  <r>
    <s v="ORD-03786"/>
    <x v="154"/>
    <x v="154"/>
    <s v="CUST30148"/>
    <s v="Vikram Patel"/>
    <n v="29"/>
    <s v="Male"/>
    <x v="1"/>
    <s v="Ahmedabad"/>
    <x v="4"/>
    <s v="T-Shirt"/>
    <n v="7"/>
    <n v="3302.83"/>
    <n v="7.0000000000000007E-2"/>
    <n v="35762.76"/>
    <n v="10582.26"/>
    <n v="67.27"/>
    <s v="Debit Card"/>
    <x v="3"/>
    <b v="0"/>
    <x v="4"/>
    <n v="3"/>
  </r>
  <r>
    <s v="ORD-03662"/>
    <x v="1170"/>
    <x v="1170"/>
    <s v="CUST72198"/>
    <s v="Ritu Shah"/>
    <n v="22"/>
    <s v="Female"/>
    <x v="1"/>
    <s v="Ahmedabad"/>
    <x v="3"/>
    <s v="Self-Help Book"/>
    <n v="1"/>
    <n v="824.98"/>
    <n v="0.04"/>
    <n v="1484.35"/>
    <n v="718.2"/>
    <n v="58.06"/>
    <s v="EMI"/>
    <x v="1"/>
    <b v="0"/>
    <x v="1"/>
    <n v="3"/>
  </r>
  <r>
    <s v="ORD-02558"/>
    <x v="836"/>
    <x v="836"/>
    <s v="CUST46065"/>
    <s v="Ananya Rao"/>
    <n v="37"/>
    <s v="Other"/>
    <x v="1"/>
    <s v="Pune"/>
    <x v="2"/>
    <s v="Desk"/>
    <n v="5"/>
    <n v="9906.7099999999991"/>
    <n v="0.34"/>
    <n v="6687.73"/>
    <n v="1816.22"/>
    <n v="51.63"/>
    <s v="EMI"/>
    <x v="0"/>
    <b v="0"/>
    <x v="1"/>
    <n v="8"/>
  </r>
  <r>
    <s v="ORD-02482"/>
    <x v="1149"/>
    <x v="1149"/>
    <s v="CUST15107"/>
    <s v="Pooja Rao"/>
    <n v="41"/>
    <s v="Other"/>
    <x v="4"/>
    <s v="Kochi"/>
    <x v="6"/>
    <s v="Football"/>
    <n v="5"/>
    <n v="2414.2800000000002"/>
    <n v="0.09"/>
    <n v="1901.73"/>
    <n v="492.59"/>
    <n v="53.13"/>
    <s v="UPI"/>
    <x v="2"/>
    <b v="0"/>
    <x v="1"/>
    <n v="6"/>
  </r>
  <r>
    <s v="ORD-03570"/>
    <x v="1171"/>
    <x v="1171"/>
    <s v="CUST46618"/>
    <s v="Nisha Sharma"/>
    <n v="38"/>
    <s v="Female"/>
    <x v="0"/>
    <s v="Nagpur"/>
    <x v="3"/>
    <s v="Comic Book"/>
    <n v="9"/>
    <n v="1349.22"/>
    <n v="0.35"/>
    <n v="10275.52"/>
    <n v="4070.89"/>
    <n v="35.54"/>
    <s v="Cash on Delivery"/>
    <x v="0"/>
    <b v="0"/>
    <x v="1"/>
    <n v="3"/>
  </r>
  <r>
    <s v="ORD-03377"/>
    <x v="167"/>
    <x v="167"/>
    <s v="CUST63612"/>
    <s v="Rohan Iyer"/>
    <n v="49"/>
    <s v="Male"/>
    <x v="4"/>
    <s v="Hyderabad"/>
    <x v="5"/>
    <s v="Camera"/>
    <n v="9"/>
    <n v="15045.24"/>
    <n v="0.38"/>
    <n v="72139.33"/>
    <n v="9548.15"/>
    <n v="70.61"/>
    <s v="Debit Card"/>
    <x v="4"/>
    <b v="0"/>
    <x v="1"/>
    <n v="6"/>
  </r>
  <r>
    <s v="ORD-04064"/>
    <x v="1066"/>
    <x v="1066"/>
    <s v="CUST01728"/>
    <s v="Vikram Nair"/>
    <n v="38"/>
    <s v="Female"/>
    <x v="4"/>
    <s v="Bangalore"/>
    <x v="0"/>
    <s v="Rice (5kg)"/>
    <n v="10"/>
    <n v="86.55"/>
    <n v="0.27"/>
    <n v="746.03"/>
    <n v="63.53"/>
    <n v="71.97"/>
    <s v="Cash on Delivery"/>
    <x v="0"/>
    <b v="0"/>
    <x v="1"/>
    <n v="5"/>
  </r>
  <r>
    <s v="ORD-02770"/>
    <x v="150"/>
    <x v="150"/>
    <s v="CUST50030"/>
    <s v="Karan Patel"/>
    <n v="11"/>
    <s v="Male"/>
    <x v="2"/>
    <s v="Amritsar"/>
    <x v="0"/>
    <s v="Cooking Oil"/>
    <n v="4"/>
    <n v="201.51"/>
    <n v="0.18"/>
    <n v="1001.11"/>
    <n v="75.38"/>
    <n v="28.85"/>
    <s v="EMI"/>
    <x v="3"/>
    <b v="0"/>
    <x v="3"/>
    <n v="9"/>
  </r>
  <r>
    <s v="ORD-03629"/>
    <x v="603"/>
    <x v="603"/>
    <s v="CUST18225"/>
    <s v="Ritu Kumar"/>
    <n v="11"/>
    <s v="Female"/>
    <x v="3"/>
    <s v="Bhubaneswar"/>
    <x v="5"/>
    <s v="Tablet"/>
    <n v="2"/>
    <n v="73369.399999999994"/>
    <n v="0.04"/>
    <n v="252848.3"/>
    <n v="40757.279999999999"/>
    <n v="78.31"/>
    <s v="EMI"/>
    <x v="1"/>
    <b v="0"/>
    <x v="1"/>
    <n v="3"/>
  </r>
  <r>
    <s v="ORD-00792"/>
    <x v="1172"/>
    <x v="1172"/>
    <s v="CUST76017"/>
    <s v="Rohan Reddy"/>
    <n v="39"/>
    <s v="Male"/>
    <x v="1"/>
    <s v="Surat"/>
    <x v="4"/>
    <s v="Jacket"/>
    <n v="3"/>
    <n v="487.67"/>
    <n v="0.18"/>
    <n v="822.61"/>
    <n v="342.21"/>
    <n v="83.7"/>
    <s v="Cash on Delivery"/>
    <x v="0"/>
    <b v="0"/>
    <x v="1"/>
    <n v="7"/>
  </r>
  <r>
    <s v="ORD-01760"/>
    <x v="1173"/>
    <x v="1173"/>
    <s v="CUST10245"/>
    <s v="Vikram Mehta"/>
    <n v="45"/>
    <s v="Other"/>
    <x v="0"/>
    <s v="Bhopal"/>
    <x v="1"/>
    <s v="Sunscreen"/>
    <n v="3"/>
    <n v="1152.55"/>
    <n v="0.19"/>
    <n v="3015.35"/>
    <n v="955.16"/>
    <n v="65.06"/>
    <s v="Cash on Delivery"/>
    <x v="4"/>
    <b v="0"/>
    <x v="1"/>
    <n v="2"/>
  </r>
  <r>
    <s v="ORD-01846"/>
    <x v="1174"/>
    <x v="1174"/>
    <s v="CUST07057"/>
    <s v="Karan Joshi"/>
    <n v="30"/>
    <s v="Female"/>
    <x v="0"/>
    <s v="Bhopal"/>
    <x v="5"/>
    <s v="Headphones"/>
    <n v="2"/>
    <n v="58913.07"/>
    <n v="0.37"/>
    <n v="86706.37"/>
    <n v="9273.59"/>
    <n v="54.91"/>
    <s v="Cash on Delivery"/>
    <x v="3"/>
    <b v="0"/>
    <x v="4"/>
    <n v="3"/>
  </r>
  <r>
    <s v="ORD-03700"/>
    <x v="834"/>
    <x v="834"/>
    <s v="CUST90578"/>
    <s v="Amit Reddy"/>
    <n v="30"/>
    <s v="Male"/>
    <x v="3"/>
    <s v="Patna"/>
    <x v="2"/>
    <s v="Sofa"/>
    <n v="9"/>
    <n v="10404.799999999999"/>
    <n v="0.35"/>
    <n v="103669.31"/>
    <n v="24976.75"/>
    <n v="83.45"/>
    <s v="Credit Card"/>
    <x v="4"/>
    <b v="0"/>
    <x v="1"/>
    <n v="6"/>
  </r>
  <r>
    <s v="ORD-01198"/>
    <x v="1175"/>
    <x v="1175"/>
    <s v="CUST90801"/>
    <s v="Vikram Joshi"/>
    <n v="8"/>
    <s v="Other"/>
    <x v="4"/>
    <s v="Hyderabad"/>
    <x v="1"/>
    <s v="Lipstick"/>
    <n v="8"/>
    <n v="955.87"/>
    <n v="0.36"/>
    <n v="6752.84"/>
    <n v="2339.64"/>
    <n v="64.84"/>
    <s v="Credit Card"/>
    <x v="3"/>
    <b v="0"/>
    <x v="1"/>
    <n v="8"/>
  </r>
  <r>
    <s v="ORD-03617"/>
    <x v="1176"/>
    <x v="1176"/>
    <s v="CUST82513"/>
    <s v="Meera Nair"/>
    <n v="29"/>
    <s v="Male"/>
    <x v="2"/>
    <s v="Ludhiana"/>
    <x v="5"/>
    <s v="Headphones"/>
    <n v="10"/>
    <n v="74580.77"/>
    <n v="0.23"/>
    <n v="804932.74"/>
    <n v="82687.350000000006"/>
    <n v="42.09"/>
    <s v="Debit Card"/>
    <x v="0"/>
    <b v="0"/>
    <x v="1"/>
    <n v="10"/>
  </r>
  <r>
    <s v="ORD-02962"/>
    <x v="115"/>
    <x v="115"/>
    <s v="CUST66452"/>
    <s v="Rohan Reddy"/>
    <n v="33"/>
    <s v="Female"/>
    <x v="2"/>
    <s v="Chandigarh"/>
    <x v="6"/>
    <s v="Yoga Mat"/>
    <n v="7"/>
    <n v="8842.83"/>
    <n v="0.34"/>
    <n v="62506.61"/>
    <n v="13120.8"/>
    <n v="39.72"/>
    <s v="Credit Card"/>
    <x v="0"/>
    <b v="0"/>
    <x v="1"/>
    <n v="8"/>
  </r>
  <r>
    <s v="ORD-01908"/>
    <x v="274"/>
    <x v="274"/>
    <s v="CUST76107"/>
    <s v="Rohan Kumar"/>
    <n v="34"/>
    <s v="Other"/>
    <x v="4"/>
    <s v="Kochi"/>
    <x v="6"/>
    <s v="Cycle"/>
    <n v="3"/>
    <n v="12939.84"/>
    <n v="0.06"/>
    <n v="52303.18"/>
    <n v="13163.15"/>
    <n v="55.28"/>
    <s v="Cash on Delivery"/>
    <x v="4"/>
    <b v="1"/>
    <x v="0"/>
    <n v="3"/>
  </r>
  <r>
    <s v="ORD-01791"/>
    <x v="227"/>
    <x v="227"/>
    <s v="CUST01822"/>
    <s v="Priya Reddy"/>
    <n v="46"/>
    <s v="Female"/>
    <x v="1"/>
    <s v="Ahmedabad"/>
    <x v="3"/>
    <s v="Textbook"/>
    <n v="9"/>
    <n v="1062.8699999999999"/>
    <n v="0.06"/>
    <n v="10261.94"/>
    <n v="4417.8500000000004"/>
    <n v="54.68"/>
    <s v="EMI"/>
    <x v="4"/>
    <b v="0"/>
    <x v="1"/>
    <n v="8"/>
  </r>
  <r>
    <s v="ORD-01345"/>
    <x v="1093"/>
    <x v="1093"/>
    <s v="CUST45352"/>
    <s v="Rahul Mehta"/>
    <n v="34"/>
    <s v="Female"/>
    <x v="2"/>
    <s v="Ludhiana"/>
    <x v="5"/>
    <s v="Smartphone"/>
    <n v="3"/>
    <n v="59808.51"/>
    <n v="0.34"/>
    <n v="150513.04"/>
    <n v="13600.78"/>
    <n v="53.15"/>
    <s v="EMI"/>
    <x v="0"/>
    <b v="0"/>
    <x v="1"/>
    <n v="4"/>
  </r>
  <r>
    <s v="ORD-01806"/>
    <x v="1177"/>
    <x v="1177"/>
    <s v="CUST55100"/>
    <s v="Rohan Rao"/>
    <n v="44"/>
    <s v="Male"/>
    <x v="1"/>
    <s v="Pune"/>
    <x v="5"/>
    <s v="Laptop"/>
    <n v="8"/>
    <n v="33693.65"/>
    <n v="0.27"/>
    <n v="241104.48"/>
    <n v="26410.1"/>
    <n v="80.849999999999994"/>
    <s v="EMI"/>
    <x v="2"/>
    <b v="0"/>
    <x v="1"/>
    <n v="4"/>
  </r>
  <r>
    <s v="ORD-01817"/>
    <x v="1178"/>
    <x v="1178"/>
    <s v="CUST33739"/>
    <s v="Vikram Iyer"/>
    <n v="33"/>
    <s v="Other"/>
    <x v="2"/>
    <s v="Chandigarh"/>
    <x v="3"/>
    <s v="Textbook"/>
    <n v="10"/>
    <n v="1209.42"/>
    <n v="0.39"/>
    <n v="9490.36"/>
    <n v="4575.74"/>
    <n v="31.85"/>
    <s v="Credit Card"/>
    <x v="0"/>
    <b v="0"/>
    <x v="1"/>
    <n v="6"/>
  </r>
  <r>
    <s v="ORD-02608"/>
    <x v="295"/>
    <x v="295"/>
    <s v="CUST97191"/>
    <s v="Rahul Kapoor"/>
    <n v="27"/>
    <s v="Male"/>
    <x v="4"/>
    <s v="Chennai"/>
    <x v="4"/>
    <s v="Saree"/>
    <n v="7"/>
    <n v="3168.59"/>
    <n v="0.27"/>
    <n v="16375.14"/>
    <n v="4441.7299999999996"/>
    <n v="88.78"/>
    <s v="UPI"/>
    <x v="0"/>
    <b v="0"/>
    <x v="1"/>
    <n v="9"/>
  </r>
  <r>
    <s v="ORD-03745"/>
    <x v="1169"/>
    <x v="1169"/>
    <s v="CUST90657"/>
    <s v="Nisha Rao"/>
    <n v="3"/>
    <s v="Male"/>
    <x v="3"/>
    <s v="Kolkata"/>
    <x v="3"/>
    <s v="Self-Help Book"/>
    <n v="7"/>
    <n v="1488.69"/>
    <n v="0.23"/>
    <n v="14606.35"/>
    <n v="5456.52"/>
    <n v="50.25"/>
    <s v="Cash on Delivery"/>
    <x v="1"/>
    <b v="0"/>
    <x v="4"/>
    <n v="8"/>
  </r>
  <r>
    <s v="ORD-00825"/>
    <x v="1179"/>
    <x v="1179"/>
    <s v="CUST51985"/>
    <s v="Sunita Rao"/>
    <n v="27"/>
    <s v="Female"/>
    <x v="2"/>
    <s v="Amritsar"/>
    <x v="4"/>
    <s v="Kurta"/>
    <n v="4"/>
    <n v="2117.62"/>
    <n v="0.34"/>
    <n v="4971.68"/>
    <n v="1716.37"/>
    <n v="33.130000000000003"/>
    <s v="Credit Card"/>
    <x v="1"/>
    <b v="0"/>
    <x v="1"/>
    <n v="7"/>
  </r>
  <r>
    <s v="ORD-02399"/>
    <x v="217"/>
    <x v="217"/>
    <s v="CUST55942"/>
    <s v="Meera Singh"/>
    <n v="46"/>
    <s v="Other"/>
    <x v="4"/>
    <s v="Kochi"/>
    <x v="5"/>
    <s v="Headphones"/>
    <n v="8"/>
    <n v="45292.92"/>
    <n v="0.39"/>
    <n v="211771.49"/>
    <n v="23511.040000000001"/>
    <n v="58.92"/>
    <s v="Credit Card"/>
    <x v="2"/>
    <b v="0"/>
    <x v="1"/>
    <n v="6"/>
  </r>
  <r>
    <s v="ORD-00991"/>
    <x v="1180"/>
    <x v="1180"/>
    <s v="CUST03567"/>
    <s v="Shreya Chatterjee"/>
    <n v="17"/>
    <s v="Female"/>
    <x v="2"/>
    <s v="Amritsar"/>
    <x v="4"/>
    <s v="Jacket"/>
    <n v="4"/>
    <n v="2764.14"/>
    <n v="0.15"/>
    <n v="10170.200000000001"/>
    <n v="3035.34"/>
    <n v="56.28"/>
    <s v="UPI"/>
    <x v="4"/>
    <b v="0"/>
    <x v="1"/>
    <n v="7"/>
  </r>
  <r>
    <s v="ORD-03915"/>
    <x v="897"/>
    <x v="897"/>
    <s v="CUST79020"/>
    <s v="Priya Verma"/>
    <n v="35"/>
    <s v="Female"/>
    <x v="1"/>
    <s v="Ahmedabad"/>
    <x v="4"/>
    <s v="Jacket"/>
    <n v="1"/>
    <n v="2372.34"/>
    <n v="0.22"/>
    <n v="2718.27"/>
    <n v="745.68"/>
    <n v="55.26"/>
    <s v="UPI"/>
    <x v="0"/>
    <b v="1"/>
    <x v="0"/>
    <n v="3"/>
  </r>
  <r>
    <s v="ORD-00818"/>
    <x v="199"/>
    <x v="199"/>
    <s v="CUST07023"/>
    <s v="Deepa Patel"/>
    <n v="46"/>
    <s v="Other"/>
    <x v="2"/>
    <s v="Chandigarh"/>
    <x v="0"/>
    <s v="Tea"/>
    <n v="3"/>
    <n v="437.4"/>
    <n v="0.24"/>
    <n v="697.7"/>
    <n v="69.739999999999995"/>
    <n v="36.51"/>
    <s v="Cash on Delivery"/>
    <x v="0"/>
    <b v="1"/>
    <x v="0"/>
    <n v="3"/>
  </r>
  <r>
    <s v="ORD-00937"/>
    <x v="1058"/>
    <x v="1058"/>
    <s v="CUST46314"/>
    <s v="Nikhil Gupta"/>
    <n v="39"/>
    <s v="Other"/>
    <x v="1"/>
    <s v="Ahmedabad"/>
    <x v="2"/>
    <s v="Bed Frame"/>
    <n v="5"/>
    <n v="20432.759999999998"/>
    <n v="0.34"/>
    <n v="61498.27"/>
    <n v="12694.42"/>
    <n v="49.26"/>
    <s v="UPI"/>
    <x v="2"/>
    <b v="0"/>
    <x v="4"/>
    <n v="7"/>
  </r>
  <r>
    <s v="ORD-01069"/>
    <x v="664"/>
    <x v="664"/>
    <s v="CUST92885"/>
    <s v="Nisha Kapoor"/>
    <n v="32"/>
    <s v="Female"/>
    <x v="4"/>
    <s v="Chennai"/>
    <x v="5"/>
    <s v="Tablet"/>
    <n v="9"/>
    <n v="18229.89"/>
    <n v="0.19"/>
    <n v="166334.16"/>
    <n v="22099.86"/>
    <n v="42.76"/>
    <s v="EMI"/>
    <x v="3"/>
    <b v="1"/>
    <x v="0"/>
    <n v="2"/>
  </r>
  <r>
    <s v="ORD-03613"/>
    <x v="1176"/>
    <x v="1176"/>
    <s v="CUST46029"/>
    <s v="Shreya Sharma"/>
    <n v="24"/>
    <s v="Other"/>
    <x v="3"/>
    <s v="Bhubaneswar"/>
    <x v="1"/>
    <s v="Lipstick"/>
    <n v="10"/>
    <n v="1772.45"/>
    <n v="0.25"/>
    <n v="19172.07"/>
    <n v="8733.2199999999993"/>
    <n v="67.290000000000006"/>
    <s v="UPI"/>
    <x v="1"/>
    <b v="0"/>
    <x v="1"/>
    <n v="5"/>
  </r>
  <r>
    <s v="ORD-03744"/>
    <x v="195"/>
    <x v="195"/>
    <s v="CUST99332"/>
    <s v="Priya Shah"/>
    <n v="31"/>
    <s v="Male"/>
    <x v="1"/>
    <s v="Ahmedabad"/>
    <x v="6"/>
    <s v="Football"/>
    <n v="10"/>
    <n v="2344.6999999999998"/>
    <n v="0.37"/>
    <n v="24013.4"/>
    <n v="8412.7900000000009"/>
    <n v="44.13"/>
    <s v="Debit Card"/>
    <x v="0"/>
    <b v="0"/>
    <x v="1"/>
    <n v="1"/>
  </r>
  <r>
    <s v="ORD-01392"/>
    <x v="257"/>
    <x v="257"/>
    <s v="CUST84604"/>
    <s v="Ritu Bhat"/>
    <n v="55"/>
    <s v="Other"/>
    <x v="1"/>
    <s v="Surat"/>
    <x v="3"/>
    <s v="Self-Help Book"/>
    <n v="4"/>
    <n v="1424.02"/>
    <n v="0.18"/>
    <n v="4662.1099999999997"/>
    <n v="2041.88"/>
    <n v="54.87"/>
    <s v="EMI"/>
    <x v="0"/>
    <b v="1"/>
    <x v="0"/>
    <n v="8"/>
  </r>
  <r>
    <s v="ORD-01018"/>
    <x v="96"/>
    <x v="96"/>
    <s v="CUST44454"/>
    <s v="Arjun Mehta"/>
    <n v="32"/>
    <s v="Other"/>
    <x v="0"/>
    <s v="Bhopal"/>
    <x v="1"/>
    <s v="Face Cream"/>
    <n v="4"/>
    <n v="1615.32"/>
    <n v="0.23"/>
    <n v="5821.33"/>
    <n v="2423.94"/>
    <n v="39.79"/>
    <s v="Debit Card"/>
    <x v="0"/>
    <b v="0"/>
    <x v="1"/>
    <n v="8"/>
  </r>
  <r>
    <s v="ORD-02461"/>
    <x v="1181"/>
    <x v="1181"/>
    <s v="CUST40699"/>
    <s v="Aarav Iyer"/>
    <n v="39"/>
    <s v="Female"/>
    <x v="2"/>
    <s v="Delhi"/>
    <x v="2"/>
    <s v="Wardrobe"/>
    <n v="10"/>
    <n v="8976.94"/>
    <n v="0.1"/>
    <n v="59488.18"/>
    <n v="14335.73"/>
    <n v="53.25"/>
    <s v="UPI"/>
    <x v="1"/>
    <b v="0"/>
    <x v="1"/>
    <n v="3"/>
  </r>
  <r>
    <s v="ORD-03162"/>
    <x v="141"/>
    <x v="141"/>
    <s v="CUST64139"/>
    <s v="Aarav Reddy"/>
    <n v="45"/>
    <s v="Other"/>
    <x v="1"/>
    <s v="Ahmedabad"/>
    <x v="4"/>
    <s v="Saree"/>
    <n v="4"/>
    <n v="3292.57"/>
    <n v="0.28000000000000003"/>
    <n v="11158.23"/>
    <n v="3813.16"/>
    <n v="38.43"/>
    <s v="UPI"/>
    <x v="3"/>
    <b v="1"/>
    <x v="0"/>
    <n v="2"/>
  </r>
  <r>
    <s v="ORD-00408"/>
    <x v="875"/>
    <x v="875"/>
    <s v="CUST53614"/>
    <s v="Aditya Bhat"/>
    <n v="25"/>
    <s v="Other"/>
    <x v="2"/>
    <s v="Chandigarh"/>
    <x v="4"/>
    <s v="Saree"/>
    <n v="1"/>
    <n v="338.51"/>
    <n v="0.27"/>
    <n v="309.08999999999997"/>
    <n v="73.930000000000007"/>
    <n v="31.18"/>
    <s v="UPI"/>
    <x v="2"/>
    <b v="0"/>
    <x v="1"/>
    <n v="9"/>
  </r>
  <r>
    <s v="ORD-03774"/>
    <x v="38"/>
    <x v="38"/>
    <s v="CUST67934"/>
    <s v="Shreya Verma"/>
    <n v="13"/>
    <s v="Male"/>
    <x v="4"/>
    <s v="Kochi"/>
    <x v="5"/>
    <s v="Smartphone"/>
    <n v="7"/>
    <n v="65719.06"/>
    <n v="0.19"/>
    <n v="568045.49"/>
    <n v="73500.33"/>
    <n v="74.03"/>
    <s v="Cash on Delivery"/>
    <x v="2"/>
    <b v="0"/>
    <x v="1"/>
    <n v="5"/>
  </r>
  <r>
    <s v="ORD-03936"/>
    <x v="375"/>
    <x v="375"/>
    <s v="CUST41339"/>
    <s v="Nikhil Reddy"/>
    <n v="34"/>
    <s v="Other"/>
    <x v="2"/>
    <s v="Amritsar"/>
    <x v="1"/>
    <s v="Face Cream"/>
    <n v="10"/>
    <n v="1495.3"/>
    <n v="0.02"/>
    <n v="21442.1"/>
    <n v="8864.0400000000009"/>
    <n v="49.29"/>
    <s v="Net Banking"/>
    <x v="1"/>
    <b v="0"/>
    <x v="1"/>
    <n v="3"/>
  </r>
  <r>
    <s v="ORD-00332"/>
    <x v="1182"/>
    <x v="1182"/>
    <s v="CUST41074"/>
    <s v="Vikram Kumar"/>
    <n v="15"/>
    <s v="Female"/>
    <x v="3"/>
    <s v="Guwahati"/>
    <x v="0"/>
    <s v="Flour"/>
    <n v="9"/>
    <n v="156.94999999999999"/>
    <n v="0.25"/>
    <n v="1244.96"/>
    <n v="125.48"/>
    <n v="101.17"/>
    <s v="Debit Card"/>
    <x v="0"/>
    <b v="0"/>
    <x v="1"/>
    <n v="7"/>
  </r>
  <r>
    <s v="ORD-03979"/>
    <x v="974"/>
    <x v="974"/>
    <s v="CUST11949"/>
    <s v="Rohan Iyer"/>
    <n v="31"/>
    <s v="Female"/>
    <x v="0"/>
    <s v="Bhopal"/>
    <x v="3"/>
    <s v="Biography"/>
    <n v="10"/>
    <n v="1101.3699999999999"/>
    <n v="0.36"/>
    <n v="8920.66"/>
    <n v="4181.57"/>
    <n v="53.45"/>
    <s v="EMI"/>
    <x v="1"/>
    <b v="0"/>
    <x v="1"/>
    <n v="10"/>
  </r>
  <r>
    <s v="ORD-02583"/>
    <x v="1183"/>
    <x v="1183"/>
    <s v="CUST12302"/>
    <s v="Ananya Bose"/>
    <n v="36"/>
    <s v="Other"/>
    <x v="3"/>
    <s v="Bhubaneswar"/>
    <x v="4"/>
    <s v="Kurta"/>
    <n v="2"/>
    <n v="3753.91"/>
    <n v="0.2"/>
    <n v="5209.29"/>
    <n v="1157.2"/>
    <n v="78.02"/>
    <s v="UPI"/>
    <x v="1"/>
    <b v="0"/>
    <x v="1"/>
    <n v="4"/>
  </r>
  <r>
    <s v="ORD-00168"/>
    <x v="252"/>
    <x v="252"/>
    <s v="CUST93790"/>
    <s v="Nisha Singh"/>
    <n v="33"/>
    <s v="Female"/>
    <x v="0"/>
    <s v="Indore"/>
    <x v="4"/>
    <s v="Jeans"/>
    <n v="2"/>
    <n v="344.95"/>
    <n v="0.01"/>
    <n v="675.21"/>
    <n v="315.70999999999998"/>
    <n v="45.42"/>
    <s v="UPI"/>
    <x v="0"/>
    <b v="0"/>
    <x v="1"/>
    <n v="3"/>
  </r>
  <r>
    <s v="ORD-03195"/>
    <x v="714"/>
    <x v="714"/>
    <s v="CUST34227"/>
    <s v="Karan Verma"/>
    <n v="31"/>
    <s v="Female"/>
    <x v="4"/>
    <s v="Hyderabad"/>
    <x v="1"/>
    <s v="Sunscreen"/>
    <n v="10"/>
    <n v="1369.42"/>
    <n v="0.21"/>
    <n v="14115.57"/>
    <n v="6057.11"/>
    <n v="77.84"/>
    <s v="Net Banking"/>
    <x v="4"/>
    <b v="0"/>
    <x v="3"/>
    <n v="1"/>
  </r>
  <r>
    <s v="ORD-03568"/>
    <x v="1171"/>
    <x v="1171"/>
    <s v="CUST25934"/>
    <s v="Ananya Patel"/>
    <n v="23"/>
    <s v="Other"/>
    <x v="2"/>
    <s v="Chandigarh"/>
    <x v="1"/>
    <s v="Hair Oil"/>
    <n v="1"/>
    <n v="1431.02"/>
    <n v="0.25"/>
    <n v="1421.67"/>
    <n v="657.95"/>
    <n v="43.1"/>
    <s v="Debit Card"/>
    <x v="3"/>
    <b v="0"/>
    <x v="3"/>
    <n v="7"/>
  </r>
  <r>
    <s v="ORD-03574"/>
    <x v="804"/>
    <x v="804"/>
    <s v="CUST89268"/>
    <s v="Sanjay Bose"/>
    <n v="30"/>
    <s v="Other"/>
    <x v="2"/>
    <s v="Ludhiana"/>
    <x v="2"/>
    <s v="Wardrobe"/>
    <n v="6"/>
    <n v="17399.759999999998"/>
    <n v="0.22"/>
    <n v="137113.34"/>
    <n v="33401.93"/>
    <n v="68.400000000000006"/>
    <s v="UPI"/>
    <x v="2"/>
    <b v="0"/>
    <x v="1"/>
    <n v="6"/>
  </r>
  <r>
    <s v="ORD-00297"/>
    <x v="938"/>
    <x v="938"/>
    <s v="CUST79842"/>
    <s v="Aditya Sharma"/>
    <n v="26"/>
    <s v="Other"/>
    <x v="1"/>
    <s v="Mumbai"/>
    <x v="6"/>
    <s v="Yoga Mat"/>
    <n v="7"/>
    <n v="2073.13"/>
    <n v="0.36"/>
    <n v="10684.14"/>
    <n v="1902.76"/>
    <n v="39.270000000000003"/>
    <s v="UPI"/>
    <x v="0"/>
    <b v="1"/>
    <x v="0"/>
    <n v="2"/>
  </r>
  <r>
    <s v="ORD-01214"/>
    <x v="1184"/>
    <x v="1184"/>
    <s v="CUST35473"/>
    <s v="Rahul Iyer"/>
    <n v="26"/>
    <s v="Male"/>
    <x v="2"/>
    <s v="Amritsar"/>
    <x v="6"/>
    <s v="Cycle"/>
    <n v="3"/>
    <n v="9622.0499999999993"/>
    <n v="0.13"/>
    <n v="36572.47"/>
    <n v="7201.38"/>
    <n v="38.22"/>
    <s v="Credit Card"/>
    <x v="4"/>
    <b v="0"/>
    <x v="1"/>
    <n v="3"/>
  </r>
  <r>
    <s v="ORD-00576"/>
    <x v="1048"/>
    <x v="1048"/>
    <s v="CUST60901"/>
    <s v="Amit Mishra"/>
    <n v="38"/>
    <s v="Male"/>
    <x v="2"/>
    <s v="Delhi"/>
    <x v="2"/>
    <s v="Bookshelf"/>
    <n v="10"/>
    <n v="2950.98"/>
    <n v="0.23"/>
    <n v="23921.040000000001"/>
    <n v="3847.48"/>
    <n v="-4.29"/>
    <s v="Credit Card"/>
    <x v="0"/>
    <b v="0"/>
    <x v="1"/>
    <n v="9"/>
  </r>
  <r>
    <s v="ORD-00320"/>
    <x v="492"/>
    <x v="492"/>
    <s v="CUST42313"/>
    <s v="Karan Das"/>
    <n v="34"/>
    <s v="Other"/>
    <x v="2"/>
    <s v="Chandigarh"/>
    <x v="2"/>
    <s v="Chair"/>
    <n v="1"/>
    <n v="5675.07"/>
    <n v="0.05"/>
    <n v="6213.75"/>
    <n v="1926.22"/>
    <n v="53.4"/>
    <s v="Credit Card"/>
    <x v="4"/>
    <b v="1"/>
    <x v="0"/>
    <n v="4"/>
  </r>
  <r>
    <s v="ORD-04068"/>
    <x v="1185"/>
    <x v="1185"/>
    <s v="CUST38940"/>
    <s v="Aditya Kumar"/>
    <n v="35"/>
    <s v="Male"/>
    <x v="0"/>
    <s v="Nagpur"/>
    <x v="2"/>
    <s v="Desk"/>
    <n v="1"/>
    <n v="15458.12"/>
    <n v="0.11"/>
    <n v="13583.09"/>
    <n v="3718.13"/>
    <n v="49.57"/>
    <s v="EMI"/>
    <x v="3"/>
    <b v="1"/>
    <x v="0"/>
    <n v="5"/>
  </r>
  <r>
    <s v="ORD-00831"/>
    <x v="1101"/>
    <x v="1101"/>
    <s v="CUST89108"/>
    <s v="Ananya Kumar"/>
    <n v="41"/>
    <s v="Other"/>
    <x v="2"/>
    <s v="Ludhiana"/>
    <x v="4"/>
    <s v="Dress"/>
    <n v="3"/>
    <n v="1065.3800000000001"/>
    <n v="0.01"/>
    <n v="2521.39"/>
    <n v="658.85"/>
    <n v="38.14"/>
    <s v="Debit Card"/>
    <x v="3"/>
    <b v="0"/>
    <x v="1"/>
    <n v="3"/>
  </r>
  <r>
    <s v="ORD-00663"/>
    <x v="434"/>
    <x v="434"/>
    <s v="CUST83467"/>
    <s v="Shreya Rao"/>
    <n v="41"/>
    <s v="Other"/>
    <x v="1"/>
    <s v="Pune"/>
    <x v="0"/>
    <s v="Dal (1kg)"/>
    <n v="1"/>
    <n v="462.13"/>
    <n v="0.38"/>
    <n v="250.84"/>
    <n v="21.71"/>
    <n v="65.959999999999994"/>
    <s v="EMI"/>
    <x v="0"/>
    <b v="1"/>
    <x v="0"/>
    <n v="10"/>
  </r>
  <r>
    <s v="ORD-01197"/>
    <x v="250"/>
    <x v="250"/>
    <s v="CUST79216"/>
    <s v="Arjun Mehta"/>
    <n v="25"/>
    <s v="Female"/>
    <x v="4"/>
    <s v="Bangalore"/>
    <x v="4"/>
    <s v="Jeans"/>
    <n v="2"/>
    <n v="1500.45"/>
    <n v="0.33"/>
    <n v="2399.5100000000002"/>
    <n v="625.12"/>
    <n v="70.56"/>
    <s v="EMI"/>
    <x v="4"/>
    <b v="0"/>
    <x v="1"/>
    <n v="9"/>
  </r>
  <r>
    <s v="ORD-03301"/>
    <x v="709"/>
    <x v="709"/>
    <s v="CUST23165"/>
    <s v="Rohan Kumar"/>
    <n v="35"/>
    <s v="Female"/>
    <x v="1"/>
    <s v="Pune"/>
    <x v="2"/>
    <s v="Chair"/>
    <n v="6"/>
    <n v="9674.09"/>
    <n v="0.13"/>
    <n v="45840.04"/>
    <n v="10521.95"/>
    <n v="82.91"/>
    <s v="Credit Card"/>
    <x v="1"/>
    <b v="0"/>
    <x v="1"/>
    <n v="4"/>
  </r>
  <r>
    <s v="ORD-01301"/>
    <x v="323"/>
    <x v="323"/>
    <s v="CUST03306"/>
    <s v="Meera Iyer"/>
    <n v="34"/>
    <s v="Female"/>
    <x v="1"/>
    <s v="Pune"/>
    <x v="4"/>
    <s v="Dress"/>
    <n v="6"/>
    <n v="851.31"/>
    <n v="0.03"/>
    <n v="6109.24"/>
    <n v="2057.4299999999998"/>
    <n v="55.78"/>
    <s v="Cash on Delivery"/>
    <x v="0"/>
    <b v="0"/>
    <x v="1"/>
    <n v="1"/>
  </r>
  <r>
    <s v="ORD-02652"/>
    <x v="1113"/>
    <x v="1113"/>
    <s v="CUST68660"/>
    <s v="Nisha Kumar"/>
    <n v="33"/>
    <s v="Other"/>
    <x v="2"/>
    <s v="Chandigarh"/>
    <x v="5"/>
    <s v="Headphones"/>
    <n v="1"/>
    <n v="23168.240000000002"/>
    <n v="0.12"/>
    <n v="22315.35"/>
    <n v="1911.92"/>
    <n v="65.2"/>
    <s v="Credit Card"/>
    <x v="3"/>
    <b v="0"/>
    <x v="3"/>
    <n v="2"/>
  </r>
  <r>
    <s v="ORD-03334"/>
    <x v="1088"/>
    <x v="1088"/>
    <s v="CUST68810"/>
    <s v="Karan Bose"/>
    <n v="37"/>
    <s v="Male"/>
    <x v="2"/>
    <s v="Ludhiana"/>
    <x v="3"/>
    <s v="Comic Book"/>
    <n v="2"/>
    <n v="478.86"/>
    <n v="0.24"/>
    <n v="581.38"/>
    <n v="256.04000000000002"/>
    <n v="27.77"/>
    <s v="Credit Card"/>
    <x v="1"/>
    <b v="1"/>
    <x v="0"/>
    <n v="2"/>
  </r>
  <r>
    <s v="ORD-03776"/>
    <x v="152"/>
    <x v="152"/>
    <s v="CUST73430"/>
    <s v="Sanjay Nair"/>
    <n v="33"/>
    <s v="Female"/>
    <x v="4"/>
    <s v="Hyderabad"/>
    <x v="5"/>
    <s v="Laptop"/>
    <n v="7"/>
    <n v="51364.38"/>
    <n v="0.28999999999999998"/>
    <n v="439744.01"/>
    <n v="43544.12"/>
    <n v="63.03"/>
    <s v="Credit Card"/>
    <x v="2"/>
    <b v="1"/>
    <x v="0"/>
    <n v="5"/>
  </r>
  <r>
    <s v="ORD-00536"/>
    <x v="1186"/>
    <x v="1186"/>
    <s v="CUST36425"/>
    <s v="Nikhil Bose"/>
    <n v="20"/>
    <s v="Female"/>
    <x v="2"/>
    <s v="Ludhiana"/>
    <x v="4"/>
    <s v="Jacket"/>
    <n v="10"/>
    <n v="3376.68"/>
    <n v="0.25"/>
    <n v="25205.24"/>
    <n v="7511.03"/>
    <n v="52.49"/>
    <s v="EMI"/>
    <x v="3"/>
    <b v="0"/>
    <x v="1"/>
    <n v="6"/>
  </r>
  <r>
    <s v="ORD-02061"/>
    <x v="1187"/>
    <x v="1187"/>
    <s v="CUST88965"/>
    <s v="Nisha Nair"/>
    <n v="28"/>
    <s v="Male"/>
    <x v="3"/>
    <s v="Patna"/>
    <x v="6"/>
    <s v="Dumbbells"/>
    <n v="10"/>
    <n v="6754.43"/>
    <n v="0.27"/>
    <n v="62381.81"/>
    <n v="13614.67"/>
    <n v="90.67"/>
    <s v="UPI"/>
    <x v="3"/>
    <b v="1"/>
    <x v="0"/>
    <n v="5"/>
  </r>
  <r>
    <s v="ORD-01588"/>
    <x v="992"/>
    <x v="992"/>
    <s v="CUST52878"/>
    <s v="Karan Das"/>
    <n v="25"/>
    <s v="Female"/>
    <x v="3"/>
    <s v="Patna"/>
    <x v="2"/>
    <s v="Bookshelf"/>
    <n v="1"/>
    <n v="22660.17"/>
    <n v="0.02"/>
    <n v="14757.73"/>
    <n v="4052.14"/>
    <n v="91.15"/>
    <s v="Cash on Delivery"/>
    <x v="2"/>
    <b v="0"/>
    <x v="2"/>
    <n v="10"/>
  </r>
  <r>
    <s v="ORD-00333"/>
    <x v="1182"/>
    <x v="1182"/>
    <s v="CUST88068"/>
    <s v="Priya Kumar"/>
    <n v="28"/>
    <s v="Male"/>
    <x v="4"/>
    <s v="Chennai"/>
    <x v="0"/>
    <s v="Tea"/>
    <n v="10"/>
    <n v="162.52000000000001"/>
    <n v="0.09"/>
    <n v="1867.23"/>
    <n v="150.49"/>
    <n v="86.74"/>
    <s v="Net Banking"/>
    <x v="1"/>
    <b v="0"/>
    <x v="1"/>
    <n v="10"/>
  </r>
  <r>
    <s v="ORD-02953"/>
    <x v="1188"/>
    <x v="1188"/>
    <s v="CUST69533"/>
    <s v="Amit Kumar"/>
    <n v="31"/>
    <s v="Other"/>
    <x v="0"/>
    <s v="Raipur"/>
    <x v="4"/>
    <s v="Jeans"/>
    <n v="1"/>
    <n v="362.3"/>
    <n v="0.37"/>
    <n v="319.67"/>
    <n v="152.66"/>
    <n v="52.96"/>
    <s v="Credit Card"/>
    <x v="2"/>
    <b v="0"/>
    <x v="1"/>
    <n v="3"/>
  </r>
  <r>
    <s v="ORD-01264"/>
    <x v="1189"/>
    <x v="1189"/>
    <s v="CUST96144"/>
    <s v="Rohan Singh"/>
    <n v="3"/>
    <s v="Female"/>
    <x v="2"/>
    <s v="Chandigarh"/>
    <x v="6"/>
    <s v="Cricket Bat"/>
    <n v="5"/>
    <n v="4265.04"/>
    <n v="0.06"/>
    <n v="24870.66"/>
    <n v="5110.16"/>
    <n v="40.03"/>
    <s v="Net Banking"/>
    <x v="2"/>
    <b v="0"/>
    <x v="1"/>
    <n v="6"/>
  </r>
  <r>
    <s v="ORD-02904"/>
    <x v="640"/>
    <x v="640"/>
    <s v="CUST88828"/>
    <s v="Pooja Reddy"/>
    <n v="41"/>
    <s v="Female"/>
    <x v="2"/>
    <s v="Amritsar"/>
    <x v="0"/>
    <s v="Sugar"/>
    <n v="9"/>
    <n v="193.51"/>
    <n v="0.35"/>
    <n v="2061"/>
    <n v="255.36"/>
    <n v="60.83"/>
    <s v="Debit Card"/>
    <x v="1"/>
    <b v="0"/>
    <x v="4"/>
    <n v="3"/>
  </r>
  <r>
    <s v="ORD-02919"/>
    <x v="822"/>
    <x v="822"/>
    <s v="CUST99491"/>
    <s v="Deepa Shah"/>
    <n v="48"/>
    <s v="Other"/>
    <x v="1"/>
    <s v="Ahmedabad"/>
    <x v="1"/>
    <s v="Sunscreen"/>
    <n v="10"/>
    <n v="1834.25"/>
    <n v="0.11"/>
    <n v="24185.57"/>
    <n v="12598.93"/>
    <n v="80.64"/>
    <s v="UPI"/>
    <x v="4"/>
    <b v="0"/>
    <x v="1"/>
    <n v="8"/>
  </r>
  <r>
    <s v="ORD-01655"/>
    <x v="572"/>
    <x v="572"/>
    <s v="CUST92097"/>
    <s v="Ritu Das"/>
    <n v="6"/>
    <s v="Male"/>
    <x v="4"/>
    <s v="Bangalore"/>
    <x v="4"/>
    <s v="Jacket"/>
    <n v="4"/>
    <n v="2590.6999999999998"/>
    <n v="0.01"/>
    <n v="8555.42"/>
    <n v="3097.74"/>
    <n v="67.930000000000007"/>
    <s v="Net Banking"/>
    <x v="2"/>
    <b v="0"/>
    <x v="1"/>
    <n v="9"/>
  </r>
  <r>
    <s v="ORD-02612"/>
    <x v="1190"/>
    <x v="1190"/>
    <s v="CUST04336"/>
    <s v="Vikram Rao"/>
    <n v="46"/>
    <s v="Other"/>
    <x v="3"/>
    <s v="Kolkata"/>
    <x v="2"/>
    <s v="Desk"/>
    <n v="5"/>
    <n v="25731.5"/>
    <n v="0.15"/>
    <n v="25153.93"/>
    <n v="6532.8"/>
    <n v="67.790000000000006"/>
    <s v="UPI"/>
    <x v="3"/>
    <b v="0"/>
    <x v="1"/>
    <n v="2"/>
  </r>
  <r>
    <s v="ORD-00938"/>
    <x v="1058"/>
    <x v="1058"/>
    <s v="CUST93635"/>
    <s v="Ritu Nair"/>
    <n v="38"/>
    <s v="Female"/>
    <x v="3"/>
    <s v="Bhubaneswar"/>
    <x v="1"/>
    <s v="Hair Oil"/>
    <n v="3"/>
    <n v="892.77"/>
    <n v="0.28000000000000003"/>
    <n v="1753.17"/>
    <n v="830.67"/>
    <n v="58.34"/>
    <s v="Net Banking"/>
    <x v="3"/>
    <b v="0"/>
    <x v="2"/>
    <n v="7"/>
  </r>
  <r>
    <s v="ORD-03313"/>
    <x v="1037"/>
    <x v="1037"/>
    <s v="CUST96995"/>
    <s v="Aarav Sharma"/>
    <n v="34"/>
    <s v="Female"/>
    <x v="4"/>
    <s v="Kochi"/>
    <x v="5"/>
    <s v="Laptop"/>
    <n v="5"/>
    <n v="9244.7800000000007"/>
    <n v="0.33"/>
    <n v="27641.06"/>
    <n v="3683.19"/>
    <n v="66.349999999999994"/>
    <s v="Credit Card"/>
    <x v="0"/>
    <b v="0"/>
    <x v="1"/>
    <n v="7"/>
  </r>
  <r>
    <s v="ORD-04097"/>
    <x v="1191"/>
    <x v="1191"/>
    <s v="CUST91716"/>
    <s v="Priya Reddy"/>
    <n v="38"/>
    <s v="Female"/>
    <x v="2"/>
    <s v="Chandigarh"/>
    <x v="4"/>
    <s v="Kurta"/>
    <n v="4"/>
    <n v="485.84"/>
    <n v="0.21"/>
    <n v="1531.45"/>
    <n v="454.16"/>
    <n v="69.77"/>
    <s v="EMI"/>
    <x v="0"/>
    <b v="0"/>
    <x v="4"/>
    <n v="1"/>
  </r>
  <r>
    <s v="ORD-02965"/>
    <x v="115"/>
    <x v="115"/>
    <s v="CUST90321"/>
    <s v="Karan Bose"/>
    <n v="23"/>
    <s v="Female"/>
    <x v="4"/>
    <s v="Kochi"/>
    <x v="3"/>
    <s v="Biography"/>
    <n v="3"/>
    <n v="224.89"/>
    <n v="0.21"/>
    <n v="1128.03"/>
    <n v="458.02"/>
    <n v="65.2"/>
    <s v="UPI"/>
    <x v="2"/>
    <b v="0"/>
    <x v="3"/>
    <n v="6"/>
  </r>
  <r>
    <s v="ORD-00521"/>
    <x v="1152"/>
    <x v="1152"/>
    <s v="CUST03527"/>
    <s v="Arjun Rao"/>
    <n v="16"/>
    <s v="Male"/>
    <x v="3"/>
    <s v="Bhubaneswar"/>
    <x v="4"/>
    <s v="Saree"/>
    <n v="8"/>
    <n v="3254.74"/>
    <n v="0.38"/>
    <n v="17118.02"/>
    <n v="5544.03"/>
    <n v="75.02"/>
    <s v="Credit Card"/>
    <x v="3"/>
    <b v="1"/>
    <x v="0"/>
    <n v="4"/>
  </r>
  <r>
    <s v="ORD-02257"/>
    <x v="369"/>
    <x v="369"/>
    <s v="CUST98457"/>
    <s v="Nikhil Nair"/>
    <n v="45"/>
    <s v="Other"/>
    <x v="2"/>
    <s v="Ludhiana"/>
    <x v="5"/>
    <s v="Tablet"/>
    <n v="4"/>
    <n v="37633.82"/>
    <n v="0.33"/>
    <n v="125197.09"/>
    <n v="14972.92"/>
    <n v="53.12"/>
    <s v="UPI"/>
    <x v="2"/>
    <b v="0"/>
    <x v="1"/>
    <n v="2"/>
  </r>
  <r>
    <s v="ORD-00561"/>
    <x v="1192"/>
    <x v="1192"/>
    <s v="CUST12729"/>
    <s v="Amit Kumar"/>
    <n v="36"/>
    <s v="Male"/>
    <x v="3"/>
    <s v="Guwahati"/>
    <x v="3"/>
    <s v="Comic Book"/>
    <n v="8"/>
    <n v="224.05"/>
    <n v="0.35"/>
    <n v="1031.47"/>
    <n v="454.3"/>
    <n v="63.62"/>
    <s v="Cash on Delivery"/>
    <x v="0"/>
    <b v="0"/>
    <x v="1"/>
    <n v="6"/>
  </r>
  <r>
    <s v="ORD-04197"/>
    <x v="445"/>
    <x v="445"/>
    <s v="CUST98908"/>
    <s v="Rohan Sharma"/>
    <n v="33"/>
    <s v="Female"/>
    <x v="1"/>
    <s v="Mumbai"/>
    <x v="0"/>
    <s v="Sugar"/>
    <n v="1"/>
    <n v="51.21"/>
    <n v="0.14000000000000001"/>
    <n v="42.95"/>
    <n v="2.98"/>
    <n v="49.87"/>
    <s v="EMI"/>
    <x v="2"/>
    <b v="0"/>
    <x v="2"/>
    <n v="8"/>
  </r>
  <r>
    <s v="ORD-02512"/>
    <x v="1193"/>
    <x v="1193"/>
    <s v="CUST90307"/>
    <s v="Nisha Mehta"/>
    <n v="33"/>
    <s v="Female"/>
    <x v="2"/>
    <s v="Delhi"/>
    <x v="4"/>
    <s v="Jacket"/>
    <n v="4"/>
    <n v="1099.8399999999999"/>
    <n v="0.38"/>
    <n v="2509.02"/>
    <n v="890.82"/>
    <n v="49.1"/>
    <s v="Debit Card"/>
    <x v="4"/>
    <b v="0"/>
    <x v="3"/>
    <n v="8"/>
  </r>
  <r>
    <s v="ORD-00961"/>
    <x v="644"/>
    <x v="644"/>
    <s v="CUST15494"/>
    <s v="Aarav Nair"/>
    <n v="33"/>
    <s v="Male"/>
    <x v="3"/>
    <s v="Bhubaneswar"/>
    <x v="0"/>
    <s v="Sugar"/>
    <n v="1"/>
    <n v="314.79000000000002"/>
    <n v="0.34"/>
    <n v="241.87"/>
    <n v="12.49"/>
    <n v="85.01"/>
    <s v="UPI"/>
    <x v="3"/>
    <b v="0"/>
    <x v="1"/>
    <n v="2"/>
  </r>
  <r>
    <s v="ORD-01161"/>
    <x v="1119"/>
    <x v="1119"/>
    <s v="CUST99492"/>
    <s v="Deepa Das"/>
    <n v="22"/>
    <s v="Male"/>
    <x v="1"/>
    <s v="Surat"/>
    <x v="0"/>
    <s v="Cooking Oil"/>
    <n v="4"/>
    <n v="246.85"/>
    <n v="0.34"/>
    <n v="775.23"/>
    <n v="66.87"/>
    <n v="76.63"/>
    <s v="Cash on Delivery"/>
    <x v="0"/>
    <b v="1"/>
    <x v="0"/>
    <n v="3"/>
  </r>
  <r>
    <s v="ORD-02518"/>
    <x v="1194"/>
    <x v="1194"/>
    <s v="CUST08264"/>
    <s v="Shreya Rao"/>
    <n v="44"/>
    <s v="Male"/>
    <x v="4"/>
    <s v="Kochi"/>
    <x v="3"/>
    <s v="Fiction Novel"/>
    <n v="3"/>
    <n v="893.48"/>
    <n v="0.25"/>
    <n v="1609.93"/>
    <n v="529.42999999999995"/>
    <n v="71.12"/>
    <s v="UPI"/>
    <x v="0"/>
    <b v="0"/>
    <x v="1"/>
    <n v="8"/>
  </r>
  <r>
    <s v="ORD-01776"/>
    <x v="1000"/>
    <x v="1000"/>
    <s v="CUST91761"/>
    <s v="Priya Patel"/>
    <n v="27"/>
    <s v="Female"/>
    <x v="3"/>
    <s v="Bhubaneswar"/>
    <x v="6"/>
    <s v="Dumbbells"/>
    <n v="10"/>
    <n v="5565.04"/>
    <n v="0.32"/>
    <n v="39181"/>
    <n v="7825.8"/>
    <n v="71.62"/>
    <s v="Credit Card"/>
    <x v="2"/>
    <b v="0"/>
    <x v="1"/>
    <n v="3"/>
  </r>
  <r>
    <s v="ORD-02954"/>
    <x v="1188"/>
    <x v="1188"/>
    <s v="CUST48148"/>
    <s v="Sunita Joshi"/>
    <n v="37"/>
    <s v="Other"/>
    <x v="1"/>
    <s v="Ahmedabad"/>
    <x v="3"/>
    <s v="Fiction Novel"/>
    <n v="4"/>
    <n v="258.16000000000003"/>
    <n v="0.2"/>
    <n v="1147.42"/>
    <n v="452.37"/>
    <n v="71.77"/>
    <s v="Net Banking"/>
    <x v="1"/>
    <b v="1"/>
    <x v="0"/>
    <n v="7"/>
  </r>
  <r>
    <s v="ORD-01442"/>
    <x v="1195"/>
    <x v="1195"/>
    <s v="CUST07818"/>
    <s v="Rahul Mehta"/>
    <n v="49"/>
    <s v="Female"/>
    <x v="1"/>
    <s v="Surat"/>
    <x v="3"/>
    <s v="Cook Book"/>
    <n v="10"/>
    <n v="1078.3599999999999"/>
    <n v="0.39"/>
    <n v="5300.77"/>
    <n v="2043.67"/>
    <n v="59.94"/>
    <s v="Credit Card"/>
    <x v="4"/>
    <b v="0"/>
    <x v="1"/>
    <n v="2"/>
  </r>
  <r>
    <s v="ORD-02480"/>
    <x v="1196"/>
    <x v="1196"/>
    <s v="CUST00142"/>
    <s v="Arjun Sharma"/>
    <n v="24"/>
    <s v="Female"/>
    <x v="4"/>
    <s v="Kochi"/>
    <x v="0"/>
    <s v="Sugar"/>
    <n v="5"/>
    <n v="256.82"/>
    <n v="0.05"/>
    <n v="1034.27"/>
    <n v="102.49"/>
    <n v="85.67"/>
    <s v="UPI"/>
    <x v="1"/>
    <b v="0"/>
    <x v="2"/>
    <n v="6"/>
  </r>
  <r>
    <s v="ORD-03130"/>
    <x v="1197"/>
    <x v="1197"/>
    <s v="CUST42331"/>
    <s v="Deepa Pillai"/>
    <n v="27"/>
    <s v="Other"/>
    <x v="2"/>
    <s v="Delhi"/>
    <x v="0"/>
    <s v="Sugar"/>
    <n v="2"/>
    <n v="188.27"/>
    <n v="0.27"/>
    <n v="372.56"/>
    <n v="23.33"/>
    <n v="48.93"/>
    <s v="Cash on Delivery"/>
    <x v="1"/>
    <b v="0"/>
    <x v="1"/>
    <n v="8"/>
  </r>
  <r>
    <s v="ORD-01332"/>
    <x v="876"/>
    <x v="876"/>
    <s v="CUST68136"/>
    <s v="Sunita Verma"/>
    <n v="26"/>
    <s v="Female"/>
    <x v="3"/>
    <s v="Guwahati"/>
    <x v="1"/>
    <s v="Lipstick"/>
    <n v="9"/>
    <n v="296.29000000000002"/>
    <n v="0.39"/>
    <n v="2124.79"/>
    <n v="1395.29"/>
    <n v="84.16"/>
    <s v="Debit Card"/>
    <x v="2"/>
    <b v="0"/>
    <x v="1"/>
    <n v="10"/>
  </r>
  <r>
    <s v="ORD-02126"/>
    <x v="648"/>
    <x v="648"/>
    <s v="CUST82300"/>
    <s v="Aditya Verma"/>
    <n v="54"/>
    <s v="Other"/>
    <x v="1"/>
    <s v="Pune"/>
    <x v="1"/>
    <s v="Sunscreen"/>
    <n v="2"/>
    <n v="1392.89"/>
    <n v="0.22"/>
    <n v="3170.9"/>
    <n v="1551.48"/>
    <n v="64.72"/>
    <s v="UPI"/>
    <x v="0"/>
    <b v="0"/>
    <x v="3"/>
    <n v="3"/>
  </r>
  <r>
    <s v="ORD-00017"/>
    <x v="1091"/>
    <x v="1091"/>
    <s v="CUST24691"/>
    <s v="Pooja Reddy"/>
    <n v="40"/>
    <s v="Female"/>
    <x v="1"/>
    <s v="Ahmedabad"/>
    <x v="2"/>
    <s v="Desk"/>
    <n v="5"/>
    <n v="5040.09"/>
    <n v="0.17"/>
    <n v="16406.419999999998"/>
    <n v="4616.87"/>
    <n v="51.71"/>
    <s v="UPI"/>
    <x v="0"/>
    <b v="0"/>
    <x v="1"/>
    <n v="9"/>
  </r>
  <r>
    <s v="ORD-03471"/>
    <x v="1198"/>
    <x v="1198"/>
    <s v="CUST34890"/>
    <s v="Sanjay Kapoor"/>
    <n v="64"/>
    <s v="Other"/>
    <x v="4"/>
    <s v="Kochi"/>
    <x v="4"/>
    <s v="Saree"/>
    <n v="10"/>
    <n v="649.39"/>
    <n v="0.08"/>
    <n v="6250.27"/>
    <n v="1461.59"/>
    <n v="89.12"/>
    <s v="Net Banking"/>
    <x v="1"/>
    <b v="0"/>
    <x v="1"/>
    <n v="1"/>
  </r>
  <r>
    <s v="ORD-01132"/>
    <x v="812"/>
    <x v="812"/>
    <s v="CUST78632"/>
    <s v="Pooja Kumar"/>
    <n v="42"/>
    <s v="Other"/>
    <x v="0"/>
    <s v="Indore"/>
    <x v="2"/>
    <s v="Bed Frame"/>
    <n v="1"/>
    <n v="28223.81"/>
    <n v="0.01"/>
    <n v="41826.379999999997"/>
    <n v="10977.5"/>
    <n v="68.34"/>
    <s v="Net Banking"/>
    <x v="2"/>
    <b v="0"/>
    <x v="1"/>
    <n v="8"/>
  </r>
  <r>
    <s v="ORD-04116"/>
    <x v="1199"/>
    <x v="1199"/>
    <s v="CUST40250"/>
    <s v="Karan Joshi"/>
    <n v="42"/>
    <s v="Female"/>
    <x v="0"/>
    <s v="Indore"/>
    <x v="1"/>
    <s v="Lipstick"/>
    <n v="4"/>
    <n v="2248.41"/>
    <n v="0.28999999999999998"/>
    <n v="6511.18"/>
    <n v="3980.78"/>
    <n v="20.27"/>
    <s v="EMI"/>
    <x v="0"/>
    <b v="0"/>
    <x v="3"/>
    <n v="1"/>
  </r>
  <r>
    <s v="ORD-00658"/>
    <x v="406"/>
    <x v="406"/>
    <s v="CUST16403"/>
    <s v="Ananya Sharma"/>
    <n v="22"/>
    <s v="Other"/>
    <x v="4"/>
    <s v="Chennai"/>
    <x v="0"/>
    <s v="Flour"/>
    <n v="7"/>
    <n v="388.2"/>
    <n v="0.05"/>
    <n v="2233.08"/>
    <n v="175.74"/>
    <n v="74.16"/>
    <s v="EMI"/>
    <x v="3"/>
    <b v="0"/>
    <x v="2"/>
    <n v="4"/>
  </r>
  <r>
    <s v="ORD-01656"/>
    <x v="572"/>
    <x v="572"/>
    <s v="CUST94727"/>
    <s v="Karan Singh"/>
    <n v="30"/>
    <s v="Female"/>
    <x v="3"/>
    <s v="Guwahati"/>
    <x v="4"/>
    <s v="Dress"/>
    <n v="5"/>
    <n v="2059.67"/>
    <n v="0.04"/>
    <n v="9298.94"/>
    <n v="5107.08"/>
    <n v="80.05"/>
    <s v="Credit Card"/>
    <x v="2"/>
    <b v="0"/>
    <x v="1"/>
    <n v="3"/>
  </r>
  <r>
    <s v="ORD-03442"/>
    <x v="478"/>
    <x v="478"/>
    <s v="CUST90404"/>
    <s v="Pooja Das"/>
    <n v="38"/>
    <s v="Male"/>
    <x v="4"/>
    <s v="Chennai"/>
    <x v="2"/>
    <s v="Chair"/>
    <n v="3"/>
    <n v="23851.040000000001"/>
    <n v="0.2"/>
    <n v="59295.25"/>
    <n v="20111.349999999999"/>
    <n v="64.77"/>
    <s v="Cash on Delivery"/>
    <x v="1"/>
    <b v="0"/>
    <x v="1"/>
    <n v="4"/>
  </r>
  <r>
    <s v="ORD-03180"/>
    <x v="627"/>
    <x v="627"/>
    <s v="CUST65855"/>
    <s v="Deepa Sharma"/>
    <n v="28"/>
    <s v="Other"/>
    <x v="4"/>
    <s v="Chennai"/>
    <x v="1"/>
    <s v="Hair Oil"/>
    <n v="8"/>
    <n v="1575.79"/>
    <n v="0.24"/>
    <n v="9914.18"/>
    <n v="4246.21"/>
    <n v="73.87"/>
    <s v="Cash on Delivery"/>
    <x v="2"/>
    <b v="0"/>
    <x v="1"/>
    <n v="4"/>
  </r>
  <r>
    <s v="ORD-00393"/>
    <x v="1200"/>
    <x v="1200"/>
    <s v="CUST84712"/>
    <s v="Arjun Mishra"/>
    <n v="27"/>
    <s v="Female"/>
    <x v="1"/>
    <s v="Surat"/>
    <x v="4"/>
    <s v="Saree"/>
    <n v="1"/>
    <n v="1409.39"/>
    <n v="0.1"/>
    <n v="1762.59"/>
    <n v="761.88"/>
    <n v="58.09"/>
    <s v="UPI"/>
    <x v="0"/>
    <b v="0"/>
    <x v="1"/>
    <n v="3"/>
  </r>
  <r>
    <s v="ORD-01696"/>
    <x v="11"/>
    <x v="11"/>
    <s v="CUST42627"/>
    <s v="Shreya Verma"/>
    <n v="41"/>
    <s v="Male"/>
    <x v="2"/>
    <s v="Chandigarh"/>
    <x v="3"/>
    <s v="Comic Book"/>
    <n v="2"/>
    <n v="921.77"/>
    <n v="0.34"/>
    <n v="1063.82"/>
    <n v="488.6"/>
    <n v="72.61"/>
    <s v="Credit Card"/>
    <x v="2"/>
    <b v="0"/>
    <x v="1"/>
    <n v="1"/>
  </r>
  <r>
    <s v="ORD-01296"/>
    <x v="1118"/>
    <x v="1118"/>
    <s v="CUST28222"/>
    <s v="Nisha Pillai"/>
    <n v="27"/>
    <s v="Female"/>
    <x v="1"/>
    <s v="Surat"/>
    <x v="5"/>
    <s v="Laptop"/>
    <n v="3"/>
    <n v="54652.78"/>
    <n v="0.01"/>
    <n v="192332.91"/>
    <n v="11105.11"/>
    <n v="56.52"/>
    <s v="Debit Card"/>
    <x v="4"/>
    <b v="0"/>
    <x v="1"/>
    <n v="9"/>
  </r>
  <r>
    <s v="ORD-00844"/>
    <x v="538"/>
    <x v="538"/>
    <s v="CUST33448"/>
    <s v="Rahul Joshi"/>
    <n v="48"/>
    <s v="Other"/>
    <x v="4"/>
    <s v="Hyderabad"/>
    <x v="4"/>
    <s v="Saree"/>
    <n v="2"/>
    <n v="2685.53"/>
    <n v="0.16"/>
    <n v="3463.77"/>
    <n v="1147.8599999999999"/>
    <n v="69.17"/>
    <s v="Cash on Delivery"/>
    <x v="3"/>
    <b v="1"/>
    <x v="0"/>
    <n v="6"/>
  </r>
  <r>
    <s v="ORD-01428"/>
    <x v="1201"/>
    <x v="1201"/>
    <s v="CUST77645"/>
    <s v="Ananya Bhat"/>
    <n v="35"/>
    <s v="Female"/>
    <x v="1"/>
    <s v="Surat"/>
    <x v="3"/>
    <s v="Fiction Novel"/>
    <n v="10"/>
    <n v="268.47000000000003"/>
    <n v="0.24"/>
    <n v="1754.08"/>
    <n v="598.80999999999995"/>
    <n v="69.44"/>
    <s v="Credit Card"/>
    <x v="1"/>
    <b v="0"/>
    <x v="1"/>
    <n v="6"/>
  </r>
  <r>
    <s v="ORD-01590"/>
    <x v="992"/>
    <x v="992"/>
    <s v="CUST86639"/>
    <s v="Sanjay Bose"/>
    <n v="32"/>
    <s v="Male"/>
    <x v="1"/>
    <s v="Mumbai"/>
    <x v="1"/>
    <s v="Face Cream"/>
    <n v="7"/>
    <n v="1768.37"/>
    <n v="0.03"/>
    <n v="7423.51"/>
    <n v="3260.02"/>
    <n v="49.67"/>
    <s v="EMI"/>
    <x v="3"/>
    <b v="1"/>
    <x v="0"/>
    <n v="2"/>
  </r>
  <r>
    <s v="ORD-03472"/>
    <x v="1198"/>
    <x v="1198"/>
    <s v="CUST99763"/>
    <s v="Meera Kumar"/>
    <n v="14"/>
    <s v="Female"/>
    <x v="4"/>
    <s v="Kochi"/>
    <x v="1"/>
    <s v="Sunscreen"/>
    <n v="6"/>
    <n v="2380.9499999999998"/>
    <n v="0.37"/>
    <n v="9957.1200000000008"/>
    <n v="3205.02"/>
    <n v="104.41"/>
    <s v="UPI"/>
    <x v="1"/>
    <b v="0"/>
    <x v="3"/>
    <n v="8"/>
  </r>
  <r>
    <s v="ORD-00181"/>
    <x v="1202"/>
    <x v="1202"/>
    <s v="CUST09112"/>
    <s v="Sanjay Gupta"/>
    <n v="47"/>
    <s v="Other"/>
    <x v="0"/>
    <s v="Nagpur"/>
    <x v="1"/>
    <s v="Sunscreen"/>
    <n v="10"/>
    <n v="1799.76"/>
    <n v="0.15"/>
    <n v="15785.6"/>
    <n v="5681.65"/>
    <n v="56.65"/>
    <s v="Credit Card"/>
    <x v="2"/>
    <b v="0"/>
    <x v="1"/>
    <n v="1"/>
  </r>
  <r>
    <s v="ORD-01632"/>
    <x v="1203"/>
    <x v="1203"/>
    <s v="CUST95874"/>
    <s v="Aditya Bhat"/>
    <n v="41"/>
    <s v="Female"/>
    <x v="3"/>
    <s v="Bhubaneswar"/>
    <x v="6"/>
    <s v="Football"/>
    <n v="8"/>
    <n v="6352.95"/>
    <n v="0.12"/>
    <n v="31396.560000000001"/>
    <n v="5551.7"/>
    <n v="90.42"/>
    <s v="Net Banking"/>
    <x v="4"/>
    <b v="1"/>
    <x v="0"/>
    <n v="9"/>
  </r>
  <r>
    <s v="ORD-01293"/>
    <x v="205"/>
    <x v="205"/>
    <s v="CUST71906"/>
    <s v="Nikhil Iyer"/>
    <n v="39"/>
    <s v="Other"/>
    <x v="2"/>
    <s v="Chandigarh"/>
    <x v="1"/>
    <s v="Face Cream"/>
    <n v="2"/>
    <n v="853.19"/>
    <n v="0.28999999999999998"/>
    <n v="1266.22"/>
    <n v="518.13"/>
    <n v="54.57"/>
    <s v="Net Banking"/>
    <x v="0"/>
    <b v="0"/>
    <x v="1"/>
    <n v="3"/>
  </r>
  <r>
    <s v="ORD-02271"/>
    <x v="12"/>
    <x v="12"/>
    <s v="CUST64969"/>
    <s v="Amit Gupta"/>
    <n v="37"/>
    <s v="Other"/>
    <x v="3"/>
    <s v="Kolkata"/>
    <x v="5"/>
    <s v="Headphones"/>
    <n v="7"/>
    <n v="44012.800000000003"/>
    <n v="0.02"/>
    <n v="388387"/>
    <n v="49485.75"/>
    <n v="89.27"/>
    <s v="Cash on Delivery"/>
    <x v="4"/>
    <b v="0"/>
    <x v="1"/>
    <n v="7"/>
  </r>
  <r>
    <s v="ORD-03525"/>
    <x v="200"/>
    <x v="200"/>
    <s v="CUST05396"/>
    <s v="Rahul Mehta"/>
    <n v="42"/>
    <s v="Other"/>
    <x v="4"/>
    <s v="Hyderabad"/>
    <x v="0"/>
    <s v="Flour"/>
    <n v="2"/>
    <n v="389.26"/>
    <n v="0.24"/>
    <n v="771.78"/>
    <n v="80.459999999999994"/>
    <n v="71.53"/>
    <s v="Debit Card"/>
    <x v="2"/>
    <b v="0"/>
    <x v="1"/>
    <n v="3"/>
  </r>
  <r>
    <s v="ORD-03683"/>
    <x v="1204"/>
    <x v="1204"/>
    <s v="CUST23854"/>
    <s v="Karan Nair"/>
    <n v="42"/>
    <s v="Female"/>
    <x v="2"/>
    <s v="Delhi"/>
    <x v="6"/>
    <s v="Dumbbells"/>
    <n v="1"/>
    <n v="9307.0300000000007"/>
    <n v="0.19"/>
    <n v="13905.79"/>
    <n v="3331.01"/>
    <n v="47.05"/>
    <s v="EMI"/>
    <x v="3"/>
    <b v="0"/>
    <x v="1"/>
    <n v="1"/>
  </r>
  <r>
    <s v="ORD-00555"/>
    <x v="1205"/>
    <x v="1205"/>
    <s v="CUST68739"/>
    <s v="Deepa Chatterjee"/>
    <n v="27"/>
    <s v="Other"/>
    <x v="1"/>
    <s v="Surat"/>
    <x v="5"/>
    <s v="Camera"/>
    <n v="5"/>
    <n v="56264.15"/>
    <n v="0.28000000000000003"/>
    <n v="197944.28"/>
    <n v="23405.15"/>
    <n v="58.56"/>
    <s v="Credit Card"/>
    <x v="2"/>
    <b v="0"/>
    <x v="1"/>
    <n v="8"/>
  </r>
  <r>
    <s v="ORD-03016"/>
    <x v="289"/>
    <x v="289"/>
    <s v="CUST64559"/>
    <s v="Kavya Joshi"/>
    <n v="25"/>
    <s v="Male"/>
    <x v="4"/>
    <s v="Hyderabad"/>
    <x v="3"/>
    <s v="Textbook"/>
    <n v="7"/>
    <n v="654.28"/>
    <n v="0.3"/>
    <n v="4385.24"/>
    <n v="1478.39"/>
    <n v="57.8"/>
    <s v="EMI"/>
    <x v="0"/>
    <b v="0"/>
    <x v="1"/>
    <n v="6"/>
  </r>
  <r>
    <s v="ORD-02284"/>
    <x v="456"/>
    <x v="456"/>
    <s v="CUST37893"/>
    <s v="Deepa Rao"/>
    <n v="30"/>
    <s v="Male"/>
    <x v="3"/>
    <s v="Patna"/>
    <x v="5"/>
    <s v="Camera"/>
    <n v="8"/>
    <n v="32204.55"/>
    <n v="0.02"/>
    <n v="332387.03999999998"/>
    <n v="37369.29"/>
    <n v="86.45"/>
    <s v="UPI"/>
    <x v="0"/>
    <b v="0"/>
    <x v="1"/>
    <n v="6"/>
  </r>
  <r>
    <s v="ORD-03157"/>
    <x v="763"/>
    <x v="763"/>
    <s v="CUST79492"/>
    <s v="Sanjay Bhat"/>
    <n v="24"/>
    <s v="Male"/>
    <x v="2"/>
    <s v="Ludhiana"/>
    <x v="6"/>
    <s v="Tennis Racket"/>
    <n v="1"/>
    <n v="13020.42"/>
    <n v="0.2"/>
    <n v="14018.12"/>
    <n v="3020.91"/>
    <n v="61.72"/>
    <s v="EMI"/>
    <x v="3"/>
    <b v="0"/>
    <x v="1"/>
    <n v="1"/>
  </r>
  <r>
    <s v="ORD-03392"/>
    <x v="132"/>
    <x v="132"/>
    <s v="CUST98375"/>
    <s v="Nikhil Kapoor"/>
    <n v="43"/>
    <s v="Male"/>
    <x v="3"/>
    <s v="Patna"/>
    <x v="5"/>
    <s v="Smartwatch"/>
    <n v="10"/>
    <n v="61190.11"/>
    <n v="0.19"/>
    <n v="507797.13"/>
    <n v="61885.87"/>
    <n v="74.94"/>
    <s v="Debit Card"/>
    <x v="4"/>
    <b v="1"/>
    <x v="0"/>
    <n v="1"/>
  </r>
  <r>
    <s v="ORD-02810"/>
    <x v="304"/>
    <x v="304"/>
    <s v="CUST60489"/>
    <s v="Karan Das"/>
    <n v="27"/>
    <s v="Other"/>
    <x v="4"/>
    <s v="Kochi"/>
    <x v="4"/>
    <s v="T-Shirt"/>
    <n v="2"/>
    <n v="1416.76"/>
    <n v="0.08"/>
    <n v="3388.3"/>
    <n v="1544.37"/>
    <n v="52.35"/>
    <s v="Net Banking"/>
    <x v="2"/>
    <b v="0"/>
    <x v="1"/>
    <n v="6"/>
  </r>
  <r>
    <s v="ORD-00993"/>
    <x v="1180"/>
    <x v="1180"/>
    <s v="CUST44486"/>
    <s v="Rahul Kapoor"/>
    <n v="47"/>
    <s v="Other"/>
    <x v="1"/>
    <s v="Surat"/>
    <x v="3"/>
    <s v="Self-Help Book"/>
    <n v="1"/>
    <n v="246.87"/>
    <n v="0.39"/>
    <n v="147.13"/>
    <n v="63.7"/>
    <n v="81.45"/>
    <s v="Debit Card"/>
    <x v="4"/>
    <b v="0"/>
    <x v="1"/>
    <n v="3"/>
  </r>
  <r>
    <s v="ORD-03359"/>
    <x v="1206"/>
    <x v="1206"/>
    <s v="CUST32879"/>
    <s v="Deepa Shah"/>
    <n v="49"/>
    <s v="Male"/>
    <x v="3"/>
    <s v="Guwahati"/>
    <x v="1"/>
    <s v="Face Cream"/>
    <n v="10"/>
    <n v="1236.98"/>
    <n v="0.08"/>
    <n v="8816.24"/>
    <n v="3251.41"/>
    <n v="62.69"/>
    <s v="UPI"/>
    <x v="3"/>
    <b v="0"/>
    <x v="3"/>
    <n v="9"/>
  </r>
  <r>
    <s v="ORD-02602"/>
    <x v="1207"/>
    <x v="1207"/>
    <s v="CUST51085"/>
    <s v="Deepa Reddy"/>
    <n v="30"/>
    <s v="Male"/>
    <x v="4"/>
    <s v="Chennai"/>
    <x v="6"/>
    <s v="Cycle"/>
    <n v="8"/>
    <n v="11980.53"/>
    <n v="0.03"/>
    <n v="84384.27"/>
    <n v="25026.93"/>
    <n v="61.24"/>
    <s v="Credit Card"/>
    <x v="3"/>
    <b v="0"/>
    <x v="1"/>
    <n v="3"/>
  </r>
  <r>
    <s v="ORD-00171"/>
    <x v="252"/>
    <x v="252"/>
    <s v="CUST76866"/>
    <s v="Rohan Pillai"/>
    <n v="42"/>
    <s v="Female"/>
    <x v="0"/>
    <s v="Indore"/>
    <x v="6"/>
    <s v="Tennis Racket"/>
    <n v="7"/>
    <n v="3287.47"/>
    <n v="0.13"/>
    <n v="20381.48"/>
    <n v="5046.53"/>
    <n v="38.67"/>
    <s v="EMI"/>
    <x v="0"/>
    <b v="0"/>
    <x v="1"/>
    <n v="7"/>
  </r>
  <r>
    <s v="ORD-00687"/>
    <x v="687"/>
    <x v="687"/>
    <s v="CUST92441"/>
    <s v="Nikhil Kumar"/>
    <n v="41"/>
    <s v="Female"/>
    <x v="2"/>
    <s v="Delhi"/>
    <x v="5"/>
    <s v="Headphones"/>
    <n v="2"/>
    <n v="33488.83"/>
    <n v="0.15"/>
    <n v="43647.67"/>
    <n v="5482.23"/>
    <n v="46.65"/>
    <s v="EMI"/>
    <x v="3"/>
    <b v="0"/>
    <x v="1"/>
    <n v="6"/>
  </r>
  <r>
    <s v="ORD-02294"/>
    <x v="1208"/>
    <x v="1208"/>
    <s v="CUST45988"/>
    <s v="Sanjay Das"/>
    <n v="33"/>
    <s v="Male"/>
    <x v="2"/>
    <s v="Amritsar"/>
    <x v="1"/>
    <s v="Hair Oil"/>
    <n v="7"/>
    <n v="437.18"/>
    <n v="0.02"/>
    <n v="3874.82"/>
    <n v="1697.95"/>
    <n v="54.03"/>
    <s v="Cash on Delivery"/>
    <x v="3"/>
    <b v="0"/>
    <x v="1"/>
    <n v="8"/>
  </r>
  <r>
    <s v="ORD-02358"/>
    <x v="145"/>
    <x v="145"/>
    <s v="CUST18994"/>
    <s v="Priya Rao"/>
    <n v="34"/>
    <s v="Other"/>
    <x v="4"/>
    <s v="Bangalore"/>
    <x v="3"/>
    <s v="Self-Help Book"/>
    <n v="7"/>
    <n v="1297.73"/>
    <n v="0.09"/>
    <n v="8533.6299999999992"/>
    <n v="3189.67"/>
    <n v="93.17"/>
    <s v="UPI"/>
    <x v="0"/>
    <b v="0"/>
    <x v="1"/>
    <n v="5"/>
  </r>
  <r>
    <s v="ORD-03764"/>
    <x v="976"/>
    <x v="976"/>
    <s v="CUST98746"/>
    <s v="Deepa Bhat"/>
    <n v="8"/>
    <s v="Female"/>
    <x v="4"/>
    <s v="Hyderabad"/>
    <x v="5"/>
    <s v="Smartwatch"/>
    <n v="7"/>
    <n v="76987.289999999994"/>
    <n v="0.37"/>
    <n v="593268.71"/>
    <n v="84490.85"/>
    <n v="41.74"/>
    <s v="Net Banking"/>
    <x v="4"/>
    <b v="0"/>
    <x v="1"/>
    <n v="1"/>
  </r>
  <r>
    <s v="ORD-03720"/>
    <x v="681"/>
    <x v="681"/>
    <s v="CUST38522"/>
    <s v="Nikhil Gupta"/>
    <n v="33"/>
    <s v="Male"/>
    <x v="4"/>
    <s v="Bangalore"/>
    <x v="1"/>
    <s v="Shampoo"/>
    <n v="8"/>
    <n v="548.41999999999996"/>
    <n v="0.06"/>
    <n v="7473.19"/>
    <n v="4783.7"/>
    <n v="67.67"/>
    <s v="Debit Card"/>
    <x v="0"/>
    <b v="0"/>
    <x v="3"/>
    <n v="4"/>
  </r>
  <r>
    <s v="ORD-03005"/>
    <x v="352"/>
    <x v="352"/>
    <s v="CUST48500"/>
    <s v="Sunita Mehta"/>
    <n v="30"/>
    <s v="Other"/>
    <x v="3"/>
    <s v="Bhubaneswar"/>
    <x v="3"/>
    <s v="Fiction Novel"/>
    <n v="7"/>
    <n v="748.66"/>
    <n v="0.03"/>
    <n v="7011.74"/>
    <n v="2220.64"/>
    <n v="86.38"/>
    <s v="UPI"/>
    <x v="2"/>
    <b v="0"/>
    <x v="1"/>
    <n v="7"/>
  </r>
  <r>
    <s v="ORD-03696"/>
    <x v="1095"/>
    <x v="1095"/>
    <s v="CUST19992"/>
    <s v="Kavya Reddy"/>
    <n v="22"/>
    <s v="Other"/>
    <x v="2"/>
    <s v="Amritsar"/>
    <x v="2"/>
    <s v="Desk"/>
    <n v="1"/>
    <n v="24499.78"/>
    <n v="0.05"/>
    <n v="38719.410000000003"/>
    <n v="9078.7900000000009"/>
    <n v="41.62"/>
    <s v="Cash on Delivery"/>
    <x v="0"/>
    <b v="0"/>
    <x v="1"/>
    <n v="8"/>
  </r>
  <r>
    <s v="ORD-00720"/>
    <x v="1209"/>
    <x v="1209"/>
    <s v="CUST10417"/>
    <s v="Ananya Verma"/>
    <n v="61"/>
    <s v="Male"/>
    <x v="2"/>
    <s v="Delhi"/>
    <x v="0"/>
    <s v="Tea"/>
    <n v="8"/>
    <n v="463.67"/>
    <n v="0.39"/>
    <n v="1629.41"/>
    <n v="107.01"/>
    <n v="45.72"/>
    <s v="Net Banking"/>
    <x v="0"/>
    <b v="0"/>
    <x v="1"/>
    <n v="10"/>
  </r>
  <r>
    <s v="ORD-02517"/>
    <x v="1194"/>
    <x v="1194"/>
    <s v="CUST41813"/>
    <s v="Rohan Shah"/>
    <n v="21"/>
    <s v="Other"/>
    <x v="4"/>
    <s v="Kochi"/>
    <x v="3"/>
    <s v="Biography"/>
    <n v="4"/>
    <n v="1305.05"/>
    <n v="7.0000000000000007E-2"/>
    <n v="4009.71"/>
    <n v="758.37"/>
    <n v="39.85"/>
    <s v="UPI"/>
    <x v="3"/>
    <b v="0"/>
    <x v="2"/>
    <n v="3"/>
  </r>
  <r>
    <s v="ORD-00526"/>
    <x v="703"/>
    <x v="703"/>
    <s v="CUST44854"/>
    <s v="Aditya Sharma"/>
    <n v="26"/>
    <s v="Other"/>
    <x v="0"/>
    <s v="Indore"/>
    <x v="3"/>
    <s v="Cook Book"/>
    <n v="3"/>
    <n v="1190.8499999999999"/>
    <n v="0.12"/>
    <n v="3828.22"/>
    <n v="1665.32"/>
    <n v="77.790000000000006"/>
    <s v="Credit Card"/>
    <x v="0"/>
    <b v="0"/>
    <x v="1"/>
    <n v="3"/>
  </r>
  <r>
    <s v="ORD-00670"/>
    <x v="1210"/>
    <x v="1210"/>
    <s v="CUST29205"/>
    <s v="Nisha Sharma"/>
    <n v="18"/>
    <s v="Female"/>
    <x v="0"/>
    <s v="Nagpur"/>
    <x v="2"/>
    <s v="Bookshelf"/>
    <n v="9"/>
    <n v="33383.42"/>
    <n v="0.18"/>
    <n v="235297.53"/>
    <n v="79526.38"/>
    <n v="58.3"/>
    <s v="UPI"/>
    <x v="3"/>
    <b v="0"/>
    <x v="1"/>
    <n v="3"/>
  </r>
  <r>
    <s v="ORD-03328"/>
    <x v="157"/>
    <x v="157"/>
    <s v="CUST92130"/>
    <s v="Nisha Pillai"/>
    <n v="19"/>
    <s v="Other"/>
    <x v="2"/>
    <s v="Ludhiana"/>
    <x v="4"/>
    <s v="Jacket"/>
    <n v="2"/>
    <n v="350.76"/>
    <n v="0.26"/>
    <n v="437.15"/>
    <n v="113.04"/>
    <n v="72.77"/>
    <s v="Credit Card"/>
    <x v="3"/>
    <b v="0"/>
    <x v="3"/>
    <n v="9"/>
  </r>
  <r>
    <s v="ORD-02597"/>
    <x v="1211"/>
    <x v="1211"/>
    <s v="CUST48131"/>
    <s v="Arjun Kumar"/>
    <n v="34"/>
    <s v="Other"/>
    <x v="0"/>
    <s v="Nagpur"/>
    <x v="4"/>
    <s v="Dress"/>
    <n v="5"/>
    <n v="3467.44"/>
    <n v="0.22"/>
    <n v="15431.87"/>
    <n v="4362.76"/>
    <n v="70.28"/>
    <s v="Credit Card"/>
    <x v="4"/>
    <b v="0"/>
    <x v="1"/>
    <n v="1"/>
  </r>
  <r>
    <s v="ORD-00999"/>
    <x v="808"/>
    <x v="808"/>
    <s v="CUST40323"/>
    <s v="Rohan Rao"/>
    <n v="39"/>
    <s v="Male"/>
    <x v="4"/>
    <s v="Kochi"/>
    <x v="0"/>
    <s v="Sugar"/>
    <n v="3"/>
    <n v="105.18"/>
    <n v="0.02"/>
    <n v="322.97000000000003"/>
    <n v="31.12"/>
    <n v="57.45"/>
    <s v="Net Banking"/>
    <x v="1"/>
    <b v="0"/>
    <x v="1"/>
    <n v="8"/>
  </r>
  <r>
    <s v="ORD-03827"/>
    <x v="798"/>
    <x v="798"/>
    <s v="CUST03364"/>
    <s v="Arjun Gupta"/>
    <n v="44"/>
    <s v="Male"/>
    <x v="2"/>
    <s v="Amritsar"/>
    <x v="1"/>
    <s v="Shampoo"/>
    <n v="4"/>
    <n v="467.13"/>
    <n v="0.35"/>
    <n v="2125.39"/>
    <n v="857.43"/>
    <n v="18.28"/>
    <s v="UPI"/>
    <x v="2"/>
    <b v="0"/>
    <x v="4"/>
    <n v="3"/>
  </r>
  <r>
    <s v="ORD-03474"/>
    <x v="1082"/>
    <x v="1082"/>
    <s v="CUST68381"/>
    <s v="Deepa Joshi"/>
    <n v="36"/>
    <s v="Male"/>
    <x v="4"/>
    <s v="Chennai"/>
    <x v="6"/>
    <s v="Cricket Bat"/>
    <n v="8"/>
    <n v="10455.969999999999"/>
    <n v="0.38"/>
    <n v="58029.61"/>
    <n v="11501.7"/>
    <n v="55.15"/>
    <s v="Credit Card"/>
    <x v="3"/>
    <b v="0"/>
    <x v="1"/>
    <n v="10"/>
  </r>
  <r>
    <s v="ORD-02421"/>
    <x v="1100"/>
    <x v="1100"/>
    <s v="CUST94458"/>
    <s v="Ritu Pillai"/>
    <n v="42"/>
    <s v="Male"/>
    <x v="4"/>
    <s v="Hyderabad"/>
    <x v="5"/>
    <s v="Smartphone"/>
    <n v="4"/>
    <n v="76493.84"/>
    <n v="0.09"/>
    <n v="272766.46000000002"/>
    <n v="29631.74"/>
    <n v="60.2"/>
    <s v="Cash on Delivery"/>
    <x v="2"/>
    <b v="0"/>
    <x v="1"/>
    <n v="3"/>
  </r>
  <r>
    <s v="ORD-00054"/>
    <x v="198"/>
    <x v="198"/>
    <s v="CUST65539"/>
    <s v="Meera Patel"/>
    <n v="37"/>
    <s v="Other"/>
    <x v="3"/>
    <s v="Guwahati"/>
    <x v="2"/>
    <s v="Chair"/>
    <n v="5"/>
    <n v="27804.49"/>
    <n v="0.3"/>
    <n v="77191.05"/>
    <n v="24198.91"/>
    <n v="77.819999999999993"/>
    <s v="UPI"/>
    <x v="0"/>
    <b v="0"/>
    <x v="1"/>
    <n v="4"/>
  </r>
  <r>
    <s v="ORD-02745"/>
    <x v="184"/>
    <x v="184"/>
    <s v="CUST89552"/>
    <s v="Sanjay Mishra"/>
    <n v="51"/>
    <s v="Male"/>
    <x v="1"/>
    <s v="Ahmedabad"/>
    <x v="2"/>
    <s v="Wardrobe"/>
    <n v="7"/>
    <n v="9306.42"/>
    <n v="0.37"/>
    <n v="66850.759999999995"/>
    <n v="15497.67"/>
    <n v="63.06"/>
    <s v="Debit Card"/>
    <x v="2"/>
    <b v="1"/>
    <x v="0"/>
    <n v="4"/>
  </r>
  <r>
    <s v="ORD-03803"/>
    <x v="499"/>
    <x v="499"/>
    <s v="CUST18219"/>
    <s v="Pooja Singh"/>
    <n v="40"/>
    <s v="Other"/>
    <x v="4"/>
    <s v="Kochi"/>
    <x v="5"/>
    <s v="Smartwatch"/>
    <n v="5"/>
    <n v="14932.93"/>
    <n v="0.35"/>
    <n v="77317.66"/>
    <n v="5613.46"/>
    <n v="85.87"/>
    <s v="UPI"/>
    <x v="3"/>
    <b v="0"/>
    <x v="1"/>
    <n v="9"/>
  </r>
  <r>
    <s v="ORD-01825"/>
    <x v="285"/>
    <x v="285"/>
    <s v="CUST98135"/>
    <s v="Aarav Mehta"/>
    <n v="17"/>
    <s v="Other"/>
    <x v="4"/>
    <s v="Bangalore"/>
    <x v="0"/>
    <s v="Dal (1kg)"/>
    <n v="2"/>
    <n v="57.7"/>
    <n v="0.13"/>
    <n v="117.1"/>
    <n v="5.26"/>
    <n v="69.540000000000006"/>
    <s v="Cash on Delivery"/>
    <x v="2"/>
    <b v="0"/>
    <x v="2"/>
    <n v="4"/>
  </r>
  <r>
    <s v="ORD-03007"/>
    <x v="1212"/>
    <x v="1212"/>
    <s v="CUST57212"/>
    <s v="Amit Sharma"/>
    <n v="51"/>
    <s v="Male"/>
    <x v="1"/>
    <s v="Surat"/>
    <x v="6"/>
    <s v="Football"/>
    <n v="5"/>
    <n v="590.97"/>
    <n v="0.32"/>
    <n v="599.04999999999995"/>
    <n v="132.99"/>
    <n v="70.58"/>
    <s v="Credit Card"/>
    <x v="0"/>
    <b v="0"/>
    <x v="1"/>
    <n v="4"/>
  </r>
  <r>
    <s v="ORD-02587"/>
    <x v="407"/>
    <x v="407"/>
    <s v="CUST42705"/>
    <s v="Rahul Das"/>
    <n v="39"/>
    <s v="Other"/>
    <x v="3"/>
    <s v="Guwahati"/>
    <x v="0"/>
    <s v="Sugar"/>
    <n v="6"/>
    <n v="253.83"/>
    <n v="0.19"/>
    <n v="1077.3399999999999"/>
    <n v="92.56"/>
    <n v="70.48"/>
    <s v="UPI"/>
    <x v="3"/>
    <b v="0"/>
    <x v="4"/>
    <n v="1"/>
  </r>
  <r>
    <s v="ORD-03614"/>
    <x v="1176"/>
    <x v="1176"/>
    <s v="CUST04682"/>
    <s v="Vikram Patel"/>
    <n v="38"/>
    <s v="Female"/>
    <x v="4"/>
    <s v="Chennai"/>
    <x v="4"/>
    <s v="T-Shirt"/>
    <n v="3"/>
    <n v="1489.86"/>
    <n v="0.2"/>
    <n v="4679.3100000000004"/>
    <n v="2296.34"/>
    <n v="74.38"/>
    <s v="Cash on Delivery"/>
    <x v="4"/>
    <b v="0"/>
    <x v="3"/>
    <n v="10"/>
  </r>
  <r>
    <s v="ORD-03494"/>
    <x v="1213"/>
    <x v="1213"/>
    <s v="CUST06002"/>
    <s v="Nisha Gupta"/>
    <n v="41"/>
    <s v="Other"/>
    <x v="4"/>
    <s v="Kochi"/>
    <x v="3"/>
    <s v="Fiction Novel"/>
    <n v="6"/>
    <n v="1461.81"/>
    <n v="0.04"/>
    <n v="9112.7099999999991"/>
    <n v="3389.16"/>
    <n v="67.03"/>
    <s v="Debit Card"/>
    <x v="0"/>
    <b v="0"/>
    <x v="1"/>
    <n v="4"/>
  </r>
  <r>
    <s v="ORD-03984"/>
    <x v="653"/>
    <x v="653"/>
    <s v="CUST54260"/>
    <s v="Ananya Singh"/>
    <n v="10"/>
    <s v="Other"/>
    <x v="3"/>
    <s v="Patna"/>
    <x v="6"/>
    <s v="Football"/>
    <n v="9"/>
    <n v="2515.48"/>
    <n v="0.28000000000000003"/>
    <n v="22131.200000000001"/>
    <n v="4682.26"/>
    <n v="80.27"/>
    <s v="EMI"/>
    <x v="1"/>
    <b v="0"/>
    <x v="4"/>
    <n v="1"/>
  </r>
  <r>
    <s v="ORD-01832"/>
    <x v="748"/>
    <x v="748"/>
    <s v="CUST40044"/>
    <s v="Meera Bhat"/>
    <n v="25"/>
    <s v="Female"/>
    <x v="0"/>
    <s v="Indore"/>
    <x v="6"/>
    <s v="Yoga Mat"/>
    <n v="5"/>
    <n v="2358.9499999999998"/>
    <n v="0.27"/>
    <n v="9997.67"/>
    <n v="1971.24"/>
    <n v="32.520000000000003"/>
    <s v="Cash on Delivery"/>
    <x v="0"/>
    <b v="0"/>
    <x v="2"/>
    <n v="9"/>
  </r>
  <r>
    <s v="ORD-03161"/>
    <x v="855"/>
    <x v="855"/>
    <s v="CUST77629"/>
    <s v="Shreya Iyer"/>
    <n v="36"/>
    <s v="Other"/>
    <x v="4"/>
    <s v="Kochi"/>
    <x v="0"/>
    <s v="Sugar"/>
    <n v="2"/>
    <n v="384.04"/>
    <n v="0.03"/>
    <n v="819.11"/>
    <n v="70.23"/>
    <n v="67.84"/>
    <s v="UPI"/>
    <x v="3"/>
    <b v="0"/>
    <x v="1"/>
    <n v="5"/>
  </r>
  <r>
    <s v="ORD-01193"/>
    <x v="249"/>
    <x v="249"/>
    <s v="CUST13957"/>
    <s v="Aditya Das"/>
    <n v="28"/>
    <s v="Female"/>
    <x v="3"/>
    <s v="Guwahati"/>
    <x v="2"/>
    <s v="Bed Frame"/>
    <n v="10"/>
    <n v="8582.4"/>
    <n v="0.22"/>
    <n v="82620.44"/>
    <n v="29287.56"/>
    <n v="68.430000000000007"/>
    <s v="EMI"/>
    <x v="2"/>
    <b v="0"/>
    <x v="1"/>
    <n v="8"/>
  </r>
  <r>
    <s v="ORD-04108"/>
    <x v="891"/>
    <x v="891"/>
    <s v="CUST02996"/>
    <s v="Sunita Mehta"/>
    <n v="42"/>
    <s v="Male"/>
    <x v="4"/>
    <s v="Chennai"/>
    <x v="4"/>
    <s v="Jacket"/>
    <n v="5"/>
    <n v="3079.53"/>
    <n v="0.11"/>
    <n v="2711.38"/>
    <n v="987.61"/>
    <n v="68.17"/>
    <s v="Credit Card"/>
    <x v="1"/>
    <b v="0"/>
    <x v="3"/>
    <n v="1"/>
  </r>
  <r>
    <s v="ORD-02875"/>
    <x v="105"/>
    <x v="105"/>
    <s v="CUST97371"/>
    <s v="Sunita Chatterjee"/>
    <n v="50"/>
    <s v="Other"/>
    <x v="4"/>
    <s v="Bangalore"/>
    <x v="3"/>
    <s v="Textbook"/>
    <n v="1"/>
    <n v="430.84"/>
    <n v="0.37"/>
    <n v="479.27"/>
    <n v="212.94"/>
    <n v="47.32"/>
    <s v="UPI"/>
    <x v="3"/>
    <b v="0"/>
    <x v="1"/>
    <n v="7"/>
  </r>
  <r>
    <s v="ORD-01889"/>
    <x v="1035"/>
    <x v="1035"/>
    <s v="CUST95351"/>
    <s v="Amit Bhat"/>
    <n v="40"/>
    <s v="Male"/>
    <x v="2"/>
    <s v="Amritsar"/>
    <x v="6"/>
    <s v="Yoga Mat"/>
    <n v="5"/>
    <n v="7694.53"/>
    <n v="0.2"/>
    <n v="39253.99"/>
    <n v="7429.11"/>
    <n v="45.05"/>
    <s v="Net Banking"/>
    <x v="3"/>
    <b v="1"/>
    <x v="0"/>
    <n v="2"/>
  </r>
  <r>
    <s v="ORD-03814"/>
    <x v="676"/>
    <x v="676"/>
    <s v="CUST84704"/>
    <s v="Nikhil Kumar"/>
    <n v="60"/>
    <s v="Other"/>
    <x v="4"/>
    <s v="Kochi"/>
    <x v="3"/>
    <s v="Biography"/>
    <n v="9"/>
    <n v="1373"/>
    <n v="0.06"/>
    <n v="17944.78"/>
    <n v="4726.75"/>
    <n v="32.78"/>
    <s v="Cash on Delivery"/>
    <x v="1"/>
    <b v="0"/>
    <x v="1"/>
    <n v="8"/>
  </r>
  <r>
    <s v="ORD-03899"/>
    <x v="180"/>
    <x v="180"/>
    <s v="CUST68293"/>
    <s v="Deepa Singh"/>
    <n v="42"/>
    <s v="Other"/>
    <x v="3"/>
    <s v="Guwahati"/>
    <x v="2"/>
    <s v="Desk"/>
    <n v="8"/>
    <n v="32976.81"/>
    <n v="0.11"/>
    <n v="345009.69"/>
    <n v="104290.26"/>
    <n v="89.17"/>
    <s v="Debit Card"/>
    <x v="2"/>
    <b v="1"/>
    <x v="0"/>
    <n v="2"/>
  </r>
  <r>
    <s v="ORD-04063"/>
    <x v="1066"/>
    <x v="1066"/>
    <s v="CUST86629"/>
    <s v="Priya Bhat"/>
    <n v="8"/>
    <s v="Female"/>
    <x v="4"/>
    <s v="Chennai"/>
    <x v="2"/>
    <s v="Bed Frame"/>
    <n v="8"/>
    <n v="24455.4"/>
    <n v="0.02"/>
    <n v="218854.99"/>
    <n v="70450.23"/>
    <n v="72.02"/>
    <s v="EMI"/>
    <x v="3"/>
    <b v="0"/>
    <x v="1"/>
    <n v="5"/>
  </r>
  <r>
    <s v="ORD-02859"/>
    <x v="299"/>
    <x v="299"/>
    <s v="CUST98103"/>
    <s v="Nisha Reddy"/>
    <n v="30"/>
    <s v="Female"/>
    <x v="0"/>
    <s v="Nagpur"/>
    <x v="6"/>
    <s v="Cycle"/>
    <n v="7"/>
    <n v="5477.01"/>
    <n v="0.23"/>
    <n v="47648.68"/>
    <n v="10592.45"/>
    <n v="58.19"/>
    <s v="EMI"/>
    <x v="4"/>
    <b v="0"/>
    <x v="1"/>
    <n v="1"/>
  </r>
  <r>
    <s v="ORD-03258"/>
    <x v="17"/>
    <x v="17"/>
    <s v="CUST96311"/>
    <s v="Ritu Chatterjee"/>
    <n v="35"/>
    <s v="Other"/>
    <x v="2"/>
    <s v="Chandigarh"/>
    <x v="2"/>
    <s v="Desk"/>
    <n v="2"/>
    <n v="19200.919999999998"/>
    <n v="0.3"/>
    <n v="29270.92"/>
    <n v="9828.67"/>
    <n v="57.73"/>
    <s v="Cash on Delivery"/>
    <x v="4"/>
    <b v="0"/>
    <x v="1"/>
    <n v="4"/>
  </r>
  <r>
    <s v="ORD-03938"/>
    <x v="375"/>
    <x v="375"/>
    <s v="CUST11052"/>
    <s v="Rahul Gupta"/>
    <n v="42"/>
    <s v="Female"/>
    <x v="0"/>
    <s v="Nagpur"/>
    <x v="2"/>
    <s v="Wardrobe"/>
    <n v="4"/>
    <n v="16102.25"/>
    <n v="0.05"/>
    <n v="99545.13"/>
    <n v="31612.91"/>
    <n v="51.44"/>
    <s v="Net Banking"/>
    <x v="0"/>
    <b v="0"/>
    <x v="1"/>
    <n v="3"/>
  </r>
  <r>
    <s v="ORD-01276"/>
    <x v="1214"/>
    <x v="1214"/>
    <s v="CUST57127"/>
    <s v="Sunita Joshi"/>
    <n v="30"/>
    <s v="Female"/>
    <x v="3"/>
    <s v="Bhubaneswar"/>
    <x v="3"/>
    <s v="Fiction Novel"/>
    <n v="5"/>
    <n v="1321.61"/>
    <n v="0.39"/>
    <n v="6316.69"/>
    <n v="1989.53"/>
    <n v="80.34"/>
    <s v="UPI"/>
    <x v="3"/>
    <b v="0"/>
    <x v="3"/>
    <n v="1"/>
  </r>
  <r>
    <s v="ORD-00739"/>
    <x v="489"/>
    <x v="489"/>
    <s v="CUST79943"/>
    <s v="Meera Kapoor"/>
    <n v="49"/>
    <s v="Male"/>
    <x v="2"/>
    <s v="Ludhiana"/>
    <x v="4"/>
    <s v="Saree"/>
    <n v="5"/>
    <n v="836.99"/>
    <n v="0.39"/>
    <n v="1880.14"/>
    <n v="686.79"/>
    <n v="30.4"/>
    <s v="EMI"/>
    <x v="3"/>
    <b v="0"/>
    <x v="1"/>
    <n v="8"/>
  </r>
  <r>
    <s v="ORD-03845"/>
    <x v="556"/>
    <x v="556"/>
    <s v="CUST16479"/>
    <s v="Priya Verma"/>
    <n v="21"/>
    <s v="Male"/>
    <x v="0"/>
    <s v="Raipur"/>
    <x v="6"/>
    <s v="Football"/>
    <n v="5"/>
    <n v="12528.36"/>
    <n v="0.21"/>
    <n v="80527.42"/>
    <n v="9443.81"/>
    <n v="90.11"/>
    <s v="EMI"/>
    <x v="3"/>
    <b v="0"/>
    <x v="1"/>
    <n v="7"/>
  </r>
  <r>
    <s v="ORD-00992"/>
    <x v="1180"/>
    <x v="1180"/>
    <s v="CUST50288"/>
    <s v="Sanjay Kumar"/>
    <n v="29"/>
    <s v="Female"/>
    <x v="0"/>
    <s v="Indore"/>
    <x v="4"/>
    <s v="Jeans"/>
    <n v="10"/>
    <n v="2005.76"/>
    <n v="0.22"/>
    <n v="15986.56"/>
    <n v="5111.22"/>
    <n v="51.92"/>
    <s v="Debit Card"/>
    <x v="0"/>
    <b v="0"/>
    <x v="1"/>
    <n v="10"/>
  </r>
  <r>
    <s v="ORD-02051"/>
    <x v="989"/>
    <x v="989"/>
    <s v="CUST76675"/>
    <s v="Rohan Kapoor"/>
    <n v="51"/>
    <s v="Male"/>
    <x v="4"/>
    <s v="Chennai"/>
    <x v="0"/>
    <s v="Flour"/>
    <n v="1"/>
    <n v="341.43"/>
    <n v="0.34"/>
    <n v="376.21"/>
    <n v="32.950000000000003"/>
    <n v="85.56"/>
    <s v="Credit Card"/>
    <x v="2"/>
    <b v="0"/>
    <x v="3"/>
    <n v="7"/>
  </r>
  <r>
    <s v="ORD-03996"/>
    <x v="377"/>
    <x v="377"/>
    <s v="CUST21024"/>
    <s v="Karan Iyer"/>
    <n v="33"/>
    <s v="Other"/>
    <x v="1"/>
    <s v="Pune"/>
    <x v="5"/>
    <s v="Camera"/>
    <n v="2"/>
    <n v="79639.72"/>
    <n v="0.34"/>
    <n v="134225.29"/>
    <n v="11600.84"/>
    <n v="87.92"/>
    <s v="Net Banking"/>
    <x v="0"/>
    <b v="0"/>
    <x v="1"/>
    <n v="4"/>
  </r>
  <r>
    <s v="ORD-01177"/>
    <x v="1215"/>
    <x v="1215"/>
    <s v="CUST30988"/>
    <s v="Nikhil Kumar"/>
    <n v="18"/>
    <s v="Male"/>
    <x v="4"/>
    <s v="Chennai"/>
    <x v="4"/>
    <s v="T-Shirt"/>
    <n v="1"/>
    <n v="1289.4000000000001"/>
    <n v="0.33"/>
    <n v="1062.19"/>
    <n v="406.18"/>
    <n v="102.55"/>
    <s v="UPI"/>
    <x v="0"/>
    <b v="0"/>
    <x v="1"/>
    <n v="3"/>
  </r>
  <r>
    <s v="ORD-00048"/>
    <x v="19"/>
    <x v="19"/>
    <s v="CUST66040"/>
    <s v="Amit Chatterjee"/>
    <n v="39"/>
    <s v="Female"/>
    <x v="1"/>
    <s v="Surat"/>
    <x v="2"/>
    <s v="Wardrobe"/>
    <n v="2"/>
    <n v="27360.86"/>
    <n v="0.37"/>
    <n v="23527.01"/>
    <n v="6855.56"/>
    <n v="58.81"/>
    <s v="UPI"/>
    <x v="2"/>
    <b v="0"/>
    <x v="3"/>
    <n v="4"/>
  </r>
  <r>
    <s v="ORD-00606"/>
    <x v="807"/>
    <x v="807"/>
    <s v="CUST28576"/>
    <s v="Rohan Singh"/>
    <n v="41"/>
    <s v="Female"/>
    <x v="4"/>
    <s v="Bangalore"/>
    <x v="3"/>
    <s v="Cook Book"/>
    <n v="7"/>
    <n v="1438.1"/>
    <n v="0.3"/>
    <n v="6674.12"/>
    <n v="3006.9"/>
    <n v="76.06"/>
    <s v="Credit Card"/>
    <x v="0"/>
    <b v="0"/>
    <x v="1"/>
    <n v="3"/>
  </r>
  <r>
    <s v="ORD-03939"/>
    <x v="375"/>
    <x v="375"/>
    <s v="CUST03602"/>
    <s v="Aarav Bose"/>
    <n v="15"/>
    <s v="Male"/>
    <x v="4"/>
    <s v="Kochi"/>
    <x v="2"/>
    <s v="Bookshelf"/>
    <n v="2"/>
    <n v="29932.19"/>
    <n v="0.21"/>
    <n v="83916.22"/>
    <n v="32124.06"/>
    <n v="76.91"/>
    <s v="Net Banking"/>
    <x v="3"/>
    <b v="1"/>
    <x v="0"/>
    <n v="10"/>
  </r>
  <r>
    <s v="ORD-03994"/>
    <x v="287"/>
    <x v="287"/>
    <s v="CUST52703"/>
    <s v="Nisha Iyer"/>
    <n v="36"/>
    <s v="Other"/>
    <x v="3"/>
    <s v="Patna"/>
    <x v="1"/>
    <s v="Sunscreen"/>
    <n v="3"/>
    <n v="1494.83"/>
    <n v="0.26"/>
    <n v="3664.34"/>
    <n v="2210.9299999999998"/>
    <n v="96.38"/>
    <s v="Net Banking"/>
    <x v="4"/>
    <b v="0"/>
    <x v="1"/>
    <n v="8"/>
  </r>
  <r>
    <s v="ORD-00673"/>
    <x v="125"/>
    <x v="125"/>
    <s v="CUST95082"/>
    <s v="Pooja Pillai"/>
    <n v="47"/>
    <s v="Female"/>
    <x v="4"/>
    <s v="Kochi"/>
    <x v="2"/>
    <s v="Bookshelf"/>
    <n v="6"/>
    <n v="14372.23"/>
    <n v="0.35"/>
    <n v="39890.370000000003"/>
    <n v="9362.8700000000008"/>
    <n v="62.14"/>
    <s v="Cash on Delivery"/>
    <x v="4"/>
    <b v="0"/>
    <x v="3"/>
    <n v="1"/>
  </r>
  <r>
    <s v="ORD-00488"/>
    <x v="52"/>
    <x v="52"/>
    <s v="CUST37691"/>
    <s v="Vikram Iyer"/>
    <n v="6"/>
    <s v="Female"/>
    <x v="1"/>
    <s v="Pune"/>
    <x v="0"/>
    <s v="Dal (1kg)"/>
    <n v="5"/>
    <n v="237.36"/>
    <n v="0.18"/>
    <n v="1026.71"/>
    <n v="69.95"/>
    <n v="52.18"/>
    <s v="EMI"/>
    <x v="0"/>
    <b v="0"/>
    <x v="1"/>
    <n v="9"/>
  </r>
  <r>
    <s v="ORD-00300"/>
    <x v="938"/>
    <x v="938"/>
    <s v="CUST03819"/>
    <s v="Aarav Sharma"/>
    <n v="33"/>
    <s v="Male"/>
    <x v="4"/>
    <s v="Hyderabad"/>
    <x v="0"/>
    <s v="Dal (1kg)"/>
    <n v="10"/>
    <n v="107.2"/>
    <n v="0.33"/>
    <n v="906.06"/>
    <n v="68.75"/>
    <n v="76.37"/>
    <s v="UPI"/>
    <x v="0"/>
    <b v="1"/>
    <x v="0"/>
    <n v="5"/>
  </r>
  <r>
    <s v="ORD-02840"/>
    <x v="1062"/>
    <x v="1062"/>
    <s v="CUST58515"/>
    <s v="Sunita Chatterjee"/>
    <n v="56"/>
    <s v="Female"/>
    <x v="2"/>
    <s v="Ludhiana"/>
    <x v="1"/>
    <s v="Sunscreen"/>
    <n v="3"/>
    <n v="2042.61"/>
    <n v="0.3"/>
    <n v="6276.07"/>
    <n v="1964"/>
    <n v="43.44"/>
    <s v="Credit Card"/>
    <x v="2"/>
    <b v="1"/>
    <x v="0"/>
    <n v="7"/>
  </r>
  <r>
    <s v="ORD-03537"/>
    <x v="1216"/>
    <x v="1216"/>
    <s v="CUST44168"/>
    <s v="Sunita Shah"/>
    <n v="27"/>
    <s v="Male"/>
    <x v="2"/>
    <s v="Ludhiana"/>
    <x v="6"/>
    <s v="Football"/>
    <n v="3"/>
    <n v="7222.19"/>
    <n v="0.14000000000000001"/>
    <n v="26770.77"/>
    <n v="4462.6899999999996"/>
    <n v="53.66"/>
    <s v="UPI"/>
    <x v="2"/>
    <b v="1"/>
    <x v="0"/>
    <n v="10"/>
  </r>
  <r>
    <s v="ORD-02383"/>
    <x v="201"/>
    <x v="201"/>
    <s v="CUST86276"/>
    <s v="Aarav Chatterjee"/>
    <n v="33"/>
    <s v="Female"/>
    <x v="2"/>
    <s v="Chandigarh"/>
    <x v="1"/>
    <s v="Sunscreen"/>
    <n v="5"/>
    <n v="240.15"/>
    <n v="0.22"/>
    <n v="946.09"/>
    <n v="433.08"/>
    <n v="72.989999999999995"/>
    <s v="Cash on Delivery"/>
    <x v="0"/>
    <b v="0"/>
    <x v="1"/>
    <n v="2"/>
  </r>
  <r>
    <s v="ORD-01930"/>
    <x v="1164"/>
    <x v="1164"/>
    <s v="CUST18686"/>
    <s v="Nisha Nair"/>
    <n v="31"/>
    <s v="Male"/>
    <x v="1"/>
    <s v="Pune"/>
    <x v="5"/>
    <s v="Smartwatch"/>
    <n v="6"/>
    <n v="38455.1"/>
    <n v="0.3"/>
    <n v="229987.15"/>
    <n v="31419.38"/>
    <n v="73.75"/>
    <s v="Credit Card"/>
    <x v="0"/>
    <b v="0"/>
    <x v="1"/>
    <n v="10"/>
  </r>
  <r>
    <s v="ORD-03183"/>
    <x v="1217"/>
    <x v="1217"/>
    <s v="CUST13349"/>
    <s v="Rohan Pillai"/>
    <n v="32"/>
    <s v="Other"/>
    <x v="4"/>
    <s v="Bangalore"/>
    <x v="2"/>
    <s v="Bookshelf"/>
    <n v="5"/>
    <n v="12843.58"/>
    <n v="0.22"/>
    <n v="54184.88"/>
    <n v="11377.39"/>
    <n v="67.77"/>
    <s v="Debit Card"/>
    <x v="1"/>
    <b v="1"/>
    <x v="0"/>
    <n v="4"/>
  </r>
  <r>
    <s v="ORD-02855"/>
    <x v="299"/>
    <x v="299"/>
    <s v="CUST40126"/>
    <s v="Vikram Bhat"/>
    <n v="35"/>
    <s v="Male"/>
    <x v="4"/>
    <s v="Hyderabad"/>
    <x v="3"/>
    <s v="Comic Book"/>
    <n v="7"/>
    <n v="1017.23"/>
    <n v="0.04"/>
    <n v="11341.51"/>
    <n v="5245.65"/>
    <n v="86.02"/>
    <s v="Debit Card"/>
    <x v="1"/>
    <b v="0"/>
    <x v="1"/>
    <n v="3"/>
  </r>
  <r>
    <s v="ORD-03256"/>
    <x v="17"/>
    <x v="17"/>
    <s v="CUST28145"/>
    <s v="Kavya Nair"/>
    <n v="56"/>
    <s v="Other"/>
    <x v="3"/>
    <s v="Bhubaneswar"/>
    <x v="0"/>
    <s v="Flour"/>
    <n v="10"/>
    <n v="220.19"/>
    <n v="0.34"/>
    <n v="1171.24"/>
    <n v="111.88"/>
    <n v="89.4"/>
    <s v="EMI"/>
    <x v="1"/>
    <b v="0"/>
    <x v="1"/>
    <n v="9"/>
  </r>
  <r>
    <s v="ORD-00107"/>
    <x v="740"/>
    <x v="740"/>
    <s v="CUST65665"/>
    <s v="Aarav Reddy"/>
    <n v="42"/>
    <s v="Male"/>
    <x v="2"/>
    <s v="Chandigarh"/>
    <x v="3"/>
    <s v="Fiction Novel"/>
    <n v="6"/>
    <n v="1324.58"/>
    <n v="0.04"/>
    <n v="5636.59"/>
    <n v="2151.6799999999998"/>
    <n v="32.81"/>
    <s v="Net Banking"/>
    <x v="4"/>
    <b v="0"/>
    <x v="1"/>
    <n v="5"/>
  </r>
  <r>
    <s v="ORD-00607"/>
    <x v="1218"/>
    <x v="1218"/>
    <s v="CUST28390"/>
    <s v="Nikhil Bose"/>
    <n v="26"/>
    <s v="Other"/>
    <x v="2"/>
    <s v="Delhi"/>
    <x v="1"/>
    <s v="Face Cream"/>
    <n v="8"/>
    <n v="2212.58"/>
    <n v="0.27"/>
    <n v="13305.74"/>
    <n v="8573.91"/>
    <n v="56.29"/>
    <s v="UPI"/>
    <x v="0"/>
    <b v="0"/>
    <x v="1"/>
    <n v="1"/>
  </r>
  <r>
    <s v="ORD-02533"/>
    <x v="14"/>
    <x v="14"/>
    <s v="CUST12043"/>
    <s v="Vikram Patel"/>
    <n v="35"/>
    <s v="Female"/>
    <x v="1"/>
    <s v="Mumbai"/>
    <x v="1"/>
    <s v="Lipstick"/>
    <n v="6"/>
    <n v="2135.86"/>
    <n v="0.17"/>
    <n v="10370.780000000001"/>
    <n v="5319.35"/>
    <n v="62.28"/>
    <s v="UPI"/>
    <x v="3"/>
    <b v="0"/>
    <x v="1"/>
    <n v="8"/>
  </r>
  <r>
    <s v="ORD-01222"/>
    <x v="211"/>
    <x v="211"/>
    <s v="CUST75358"/>
    <s v="Ritu Kapoor"/>
    <n v="48"/>
    <s v="Female"/>
    <x v="1"/>
    <s v="Pune"/>
    <x v="0"/>
    <s v="Flour"/>
    <n v="5"/>
    <n v="207.03"/>
    <n v="0.1"/>
    <n v="234.91"/>
    <n v="17.95"/>
    <n v="59.41"/>
    <s v="Net Banking"/>
    <x v="0"/>
    <b v="0"/>
    <x v="1"/>
    <n v="3"/>
  </r>
  <r>
    <s v="ORD-03974"/>
    <x v="306"/>
    <x v="306"/>
    <s v="CUST86540"/>
    <s v="Pooja Singh"/>
    <n v="38"/>
    <s v="Female"/>
    <x v="4"/>
    <s v="Hyderabad"/>
    <x v="4"/>
    <s v="Saree"/>
    <n v="2"/>
    <n v="3110.73"/>
    <n v="0.31"/>
    <n v="5626.31"/>
    <n v="2678.85"/>
    <n v="48.57"/>
    <s v="Cash on Delivery"/>
    <x v="3"/>
    <b v="0"/>
    <x v="1"/>
    <n v="3"/>
  </r>
  <r>
    <s v="ORD-03165"/>
    <x v="141"/>
    <x v="141"/>
    <s v="CUST41533"/>
    <s v="Sunita Iyer"/>
    <n v="40"/>
    <s v="Male"/>
    <x v="3"/>
    <s v="Guwahati"/>
    <x v="4"/>
    <s v="Saree"/>
    <n v="9"/>
    <n v="2536.02"/>
    <n v="0.14000000000000001"/>
    <n v="21413.39"/>
    <n v="5628.93"/>
    <n v="110.12"/>
    <s v="Net Banking"/>
    <x v="0"/>
    <b v="0"/>
    <x v="1"/>
    <n v="8"/>
  </r>
  <r>
    <s v="ORD-00079"/>
    <x v="587"/>
    <x v="587"/>
    <s v="CUST80503"/>
    <s v="Sunita Bhat"/>
    <n v="32"/>
    <s v="Other"/>
    <x v="0"/>
    <s v="Raipur"/>
    <x v="3"/>
    <s v="Biography"/>
    <n v="10"/>
    <n v="1068.22"/>
    <n v="0.28000000000000003"/>
    <n v="6120.48"/>
    <n v="1959.21"/>
    <n v="71.19"/>
    <s v="Net Banking"/>
    <x v="1"/>
    <b v="0"/>
    <x v="1"/>
    <n v="10"/>
  </r>
  <r>
    <s v="ORD-00032"/>
    <x v="272"/>
    <x v="272"/>
    <s v="CUST11636"/>
    <s v="Deepa Rao"/>
    <n v="33"/>
    <s v="Female"/>
    <x v="4"/>
    <s v="Chennai"/>
    <x v="4"/>
    <s v="Jacket"/>
    <n v="5"/>
    <n v="982.12"/>
    <n v="0.14000000000000001"/>
    <n v="3024.95"/>
    <n v="1479.25"/>
    <n v="87.03"/>
    <s v="Debit Card"/>
    <x v="4"/>
    <b v="0"/>
    <x v="3"/>
    <n v="6"/>
  </r>
  <r>
    <s v="ORD-02726"/>
    <x v="22"/>
    <x v="22"/>
    <s v="CUST09504"/>
    <s v="Sunita Kumar"/>
    <n v="34"/>
    <s v="Other"/>
    <x v="1"/>
    <s v="Mumbai"/>
    <x v="0"/>
    <s v="Dal (1kg)"/>
    <n v="6"/>
    <n v="66.94"/>
    <n v="0.24"/>
    <n v="432.75"/>
    <n v="44.13"/>
    <n v="58.7"/>
    <s v="Cash on Delivery"/>
    <x v="3"/>
    <b v="1"/>
    <x v="0"/>
    <n v="8"/>
  </r>
  <r>
    <s v="ORD-03946"/>
    <x v="699"/>
    <x v="699"/>
    <s v="CUST42531"/>
    <s v="Deepa Das"/>
    <n v="43"/>
    <s v="Male"/>
    <x v="1"/>
    <s v="Pune"/>
    <x v="2"/>
    <s v="Bookshelf"/>
    <n v="5"/>
    <n v="10461.44"/>
    <n v="0.36"/>
    <n v="47377.21"/>
    <n v="9996.02"/>
    <n v="42.47"/>
    <s v="Debit Card"/>
    <x v="0"/>
    <b v="0"/>
    <x v="1"/>
    <n v="8"/>
  </r>
  <r>
    <s v="ORD-02717"/>
    <x v="934"/>
    <x v="934"/>
    <s v="CUST63078"/>
    <s v="Arjun Mehta"/>
    <n v="43"/>
    <s v="Other"/>
    <x v="2"/>
    <s v="Delhi"/>
    <x v="2"/>
    <s v="Sofa"/>
    <n v="10"/>
    <n v="19976.93"/>
    <n v="0.21"/>
    <n v="225188.99"/>
    <n v="74873.399999999994"/>
    <n v="56.52"/>
    <s v="UPI"/>
    <x v="2"/>
    <b v="0"/>
    <x v="1"/>
    <n v="3"/>
  </r>
  <r>
    <s v="ORD-01735"/>
    <x v="1219"/>
    <x v="1219"/>
    <s v="CUST25514"/>
    <s v="Nikhil Bhat"/>
    <n v="49"/>
    <s v="Male"/>
    <x v="2"/>
    <s v="Ludhiana"/>
    <x v="5"/>
    <s v="Headphones"/>
    <n v="6"/>
    <n v="56561.21"/>
    <n v="0.28000000000000003"/>
    <n v="224338.28"/>
    <n v="29151.1"/>
    <n v="44.91"/>
    <s v="EMI"/>
    <x v="0"/>
    <b v="0"/>
    <x v="2"/>
    <n v="6"/>
  </r>
  <r>
    <s v="ORD-00390"/>
    <x v="1220"/>
    <x v="1220"/>
    <s v="CUST27791"/>
    <s v="Karan Patel"/>
    <n v="36"/>
    <s v="Male"/>
    <x v="1"/>
    <s v="Ahmedabad"/>
    <x v="5"/>
    <s v="Headphones"/>
    <n v="5"/>
    <n v="75995.31"/>
    <n v="7.0000000000000007E-2"/>
    <n v="97596.74"/>
    <n v="12634.7"/>
    <n v="57.66"/>
    <s v="Net Banking"/>
    <x v="3"/>
    <b v="0"/>
    <x v="1"/>
    <n v="6"/>
  </r>
  <r>
    <s v="ORD-02136"/>
    <x v="1008"/>
    <x v="1008"/>
    <s v="CUST11127"/>
    <s v="Karan Singh"/>
    <n v="20"/>
    <s v="Female"/>
    <x v="3"/>
    <s v="Kolkata"/>
    <x v="2"/>
    <s v="Bed Frame"/>
    <n v="2"/>
    <n v="31495.21"/>
    <n v="0.33"/>
    <n v="64795.12"/>
    <n v="24291.07"/>
    <n v="75.12"/>
    <s v="Cash on Delivery"/>
    <x v="3"/>
    <b v="0"/>
    <x v="1"/>
    <n v="2"/>
  </r>
  <r>
    <s v="ORD-00045"/>
    <x v="1087"/>
    <x v="1087"/>
    <s v="CUST28149"/>
    <s v="Amit Nair"/>
    <n v="35"/>
    <s v="Male"/>
    <x v="1"/>
    <s v="Ahmedabad"/>
    <x v="1"/>
    <s v="Sunscreen"/>
    <n v="4"/>
    <n v="1072.98"/>
    <n v="0.33"/>
    <n v="2172.2399999999998"/>
    <n v="728.67"/>
    <n v="54.1"/>
    <s v="Net Banking"/>
    <x v="3"/>
    <b v="0"/>
    <x v="1"/>
    <n v="8"/>
  </r>
  <r>
    <s v="ORD-01988"/>
    <x v="1221"/>
    <x v="1221"/>
    <s v="CUST56529"/>
    <s v="Sunita Bose"/>
    <n v="29"/>
    <s v="Other"/>
    <x v="0"/>
    <s v="Bhopal"/>
    <x v="6"/>
    <s v="Yoga Mat"/>
    <n v="3"/>
    <n v="1982.04"/>
    <n v="0.26"/>
    <n v="6584.46"/>
    <n v="1776.74"/>
    <n v="74.510000000000005"/>
    <s v="Net Banking"/>
    <x v="4"/>
    <b v="1"/>
    <x v="0"/>
    <n v="2"/>
  </r>
  <r>
    <s v="ORD-01960"/>
    <x v="488"/>
    <x v="488"/>
    <s v="CUST87825"/>
    <s v="Karan Kumar"/>
    <n v="35"/>
    <s v="Female"/>
    <x v="4"/>
    <s v="Chennai"/>
    <x v="0"/>
    <s v="Tea"/>
    <n v="4"/>
    <n v="88.31"/>
    <n v="0.38"/>
    <n v="308.14999999999998"/>
    <n v="28.01"/>
    <n v="51.4"/>
    <s v="EMI"/>
    <x v="0"/>
    <b v="1"/>
    <x v="0"/>
    <n v="5"/>
  </r>
  <r>
    <s v="ORD-02327"/>
    <x v="1222"/>
    <x v="1222"/>
    <s v="CUST19975"/>
    <s v="Priya Kumar"/>
    <n v="23"/>
    <s v="Other"/>
    <x v="0"/>
    <s v="Raipur"/>
    <x v="2"/>
    <s v="Chair"/>
    <n v="8"/>
    <n v="14019.33"/>
    <n v="0.14000000000000001"/>
    <n v="89382.21"/>
    <n v="25883.45"/>
    <n v="54.76"/>
    <s v="Cash on Delivery"/>
    <x v="1"/>
    <b v="0"/>
    <x v="3"/>
    <n v="4"/>
  </r>
  <r>
    <s v="ORD-03030"/>
    <x v="276"/>
    <x v="276"/>
    <s v="CUST86844"/>
    <s v="Pooja Iyer"/>
    <n v="28"/>
    <s v="Male"/>
    <x v="0"/>
    <s v="Indore"/>
    <x v="4"/>
    <s v="Saree"/>
    <n v="9"/>
    <n v="3487.12"/>
    <n v="0.33"/>
    <n v="31127.41"/>
    <n v="10643.66"/>
    <n v="62.57"/>
    <s v="Cash on Delivery"/>
    <x v="2"/>
    <b v="0"/>
    <x v="1"/>
    <n v="7"/>
  </r>
  <r>
    <s v="ORD-03531"/>
    <x v="718"/>
    <x v="718"/>
    <s v="CUST79922"/>
    <s v="Arjun Joshi"/>
    <n v="25"/>
    <s v="Other"/>
    <x v="0"/>
    <s v="Raipur"/>
    <x v="1"/>
    <s v="Shampoo"/>
    <n v="7"/>
    <n v="140.28"/>
    <n v="0.09"/>
    <n v="1117.68"/>
    <n v="498.94"/>
    <n v="53.41"/>
    <s v="Debit Card"/>
    <x v="4"/>
    <b v="0"/>
    <x v="4"/>
    <n v="3"/>
  </r>
  <r>
    <s v="ORD-00708"/>
    <x v="164"/>
    <x v="164"/>
    <s v="CUST56942"/>
    <s v="Deepa Kumar"/>
    <n v="40"/>
    <s v="Other"/>
    <x v="1"/>
    <s v="Ahmedabad"/>
    <x v="3"/>
    <s v="Biography"/>
    <n v="2"/>
    <n v="1299.05"/>
    <n v="0.27"/>
    <n v="1164.72"/>
    <n v="514.4"/>
    <n v="72.209999999999994"/>
    <s v="Net Banking"/>
    <x v="2"/>
    <b v="0"/>
    <x v="1"/>
    <n v="10"/>
  </r>
  <r>
    <s v="ORD-00811"/>
    <x v="1223"/>
    <x v="1223"/>
    <s v="CUST59025"/>
    <s v="Ananya Bose"/>
    <n v="35"/>
    <s v="Female"/>
    <x v="1"/>
    <s v="Pune"/>
    <x v="6"/>
    <s v="Cricket Bat"/>
    <n v="9"/>
    <n v="14339.86"/>
    <n v="0.04"/>
    <n v="107237.51"/>
    <n v="27378.18"/>
    <n v="59.88"/>
    <s v="Cash on Delivery"/>
    <x v="1"/>
    <b v="0"/>
    <x v="1"/>
    <n v="7"/>
  </r>
  <r>
    <s v="ORD-02632"/>
    <x v="283"/>
    <x v="283"/>
    <s v="CUST24212"/>
    <s v="Nikhil Joshi"/>
    <n v="44"/>
    <s v="Male"/>
    <x v="0"/>
    <s v="Indore"/>
    <x v="3"/>
    <s v="Biography"/>
    <n v="5"/>
    <n v="488.16"/>
    <n v="0.06"/>
    <n v="418.25"/>
    <n v="197.75"/>
    <n v="62.93"/>
    <s v="EMI"/>
    <x v="3"/>
    <b v="0"/>
    <x v="1"/>
    <n v="7"/>
  </r>
  <r>
    <s v="ORD-03666"/>
    <x v="286"/>
    <x v="286"/>
    <s v="CUST44030"/>
    <s v="Aditya Sharma"/>
    <n v="19"/>
    <s v="Female"/>
    <x v="2"/>
    <s v="Amritsar"/>
    <x v="4"/>
    <s v="Dress"/>
    <n v="1"/>
    <n v="1396.08"/>
    <n v="0.02"/>
    <n v="2286.71"/>
    <n v="826.31"/>
    <n v="32.4"/>
    <s v="Credit Card"/>
    <x v="3"/>
    <b v="0"/>
    <x v="1"/>
    <n v="4"/>
  </r>
  <r>
    <s v="ORD-03215"/>
    <x v="321"/>
    <x v="321"/>
    <s v="CUST12249"/>
    <s v="Vikram Bhat"/>
    <n v="21"/>
    <s v="Male"/>
    <x v="2"/>
    <s v="Delhi"/>
    <x v="6"/>
    <s v="Football"/>
    <n v="7"/>
    <n v="3704.66"/>
    <n v="0.33"/>
    <n v="18963.560000000001"/>
    <n v="3880.05"/>
    <n v="61.03"/>
    <s v="EMI"/>
    <x v="0"/>
    <b v="0"/>
    <x v="1"/>
    <n v="10"/>
  </r>
  <r>
    <s v="ORD-03132"/>
    <x v="366"/>
    <x v="366"/>
    <s v="CUST70495"/>
    <s v="Rahul Reddy"/>
    <n v="40"/>
    <s v="Other"/>
    <x v="0"/>
    <s v="Bhopal"/>
    <x v="3"/>
    <s v="Self-Help Book"/>
    <n v="3"/>
    <n v="662.97"/>
    <n v="0.22"/>
    <n v="1602.1"/>
    <n v="682.08"/>
    <n v="60.4"/>
    <s v="UPI"/>
    <x v="0"/>
    <b v="0"/>
    <x v="1"/>
    <n v="8"/>
  </r>
  <r>
    <s v="ORD-02586"/>
    <x v="1224"/>
    <x v="1224"/>
    <s v="CUST42525"/>
    <s v="Kavya Patel"/>
    <n v="25"/>
    <s v="Female"/>
    <x v="1"/>
    <s v="Ahmedabad"/>
    <x v="1"/>
    <s v="Shampoo"/>
    <n v="0"/>
    <n v="633.38"/>
    <n v="0.04"/>
    <n v="637.16"/>
    <n v="306.98"/>
    <n v="63.48"/>
    <s v="EMI"/>
    <x v="2"/>
    <b v="0"/>
    <x v="1"/>
    <n v="7"/>
  </r>
  <r>
    <s v="ORD-04103"/>
    <x v="450"/>
    <x v="450"/>
    <s v="CUST86891"/>
    <s v="Sanjay Mehta"/>
    <n v="53"/>
    <s v="Female"/>
    <x v="2"/>
    <s v="Delhi"/>
    <x v="6"/>
    <s v="Tennis Racket"/>
    <n v="6"/>
    <n v="6418.63"/>
    <n v="0.12"/>
    <n v="31683.87"/>
    <n v="6743.34"/>
    <n v="60.52"/>
    <s v="Credit Card"/>
    <x v="0"/>
    <b v="0"/>
    <x v="1"/>
    <n v="5"/>
  </r>
  <r>
    <s v="ORD-03116"/>
    <x v="987"/>
    <x v="987"/>
    <s v="CUST84463"/>
    <s v="Arjun Chatterjee"/>
    <n v="14"/>
    <s v="Male"/>
    <x v="0"/>
    <s v="Raipur"/>
    <x v="0"/>
    <s v="Sugar"/>
    <n v="2"/>
    <n v="120.67"/>
    <n v="0.21"/>
    <n v="311.52999999999997"/>
    <n v="18.16"/>
    <n v="59.48"/>
    <s v="Cash on Delivery"/>
    <x v="1"/>
    <b v="0"/>
    <x v="1"/>
    <n v="10"/>
  </r>
  <r>
    <s v="ORD-00851"/>
    <x v="1225"/>
    <x v="1225"/>
    <s v="CUST39419"/>
    <s v="Aditya Nair"/>
    <n v="48"/>
    <s v="Female"/>
    <x v="4"/>
    <s v="Kochi"/>
    <x v="2"/>
    <s v="Bookshelf"/>
    <n v="1"/>
    <n v="6917.97"/>
    <n v="0.23"/>
    <n v="4191.1499999999996"/>
    <n v="1571.77"/>
    <n v="96.28"/>
    <s v="EMI"/>
    <x v="1"/>
    <b v="0"/>
    <x v="1"/>
    <n v="5"/>
  </r>
  <r>
    <s v="ORD-01297"/>
    <x v="1226"/>
    <x v="1226"/>
    <s v="CUST93424"/>
    <s v="Aditya Kapoor"/>
    <n v="33"/>
    <s v="Male"/>
    <x v="4"/>
    <s v="Kochi"/>
    <x v="4"/>
    <s v="Dress"/>
    <n v="9"/>
    <n v="1576.8"/>
    <n v="0.31"/>
    <n v="14192.8"/>
    <n v="7027.01"/>
    <n v="63.25"/>
    <s v="UPI"/>
    <x v="3"/>
    <b v="0"/>
    <x v="1"/>
    <n v="6"/>
  </r>
  <r>
    <s v="ORD-04065"/>
    <x v="1066"/>
    <x v="1066"/>
    <s v="CUST38659"/>
    <s v="Aditya Kapoor"/>
    <n v="45"/>
    <s v="Female"/>
    <x v="3"/>
    <s v="Patna"/>
    <x v="5"/>
    <s v="Camera"/>
    <n v="1"/>
    <n v="60978.400000000001"/>
    <n v="0.18"/>
    <n v="58454.57"/>
    <n v="4430.2700000000004"/>
    <n v="89.37"/>
    <s v="Cash on Delivery"/>
    <x v="0"/>
    <b v="0"/>
    <x v="1"/>
    <n v="3"/>
  </r>
  <r>
    <s v="ORD-01732"/>
    <x v="411"/>
    <x v="411"/>
    <s v="CUST51801"/>
    <s v="Shreya Gupta"/>
    <n v="18"/>
    <s v="Male"/>
    <x v="4"/>
    <s v="Bangalore"/>
    <x v="3"/>
    <s v="Fiction Novel"/>
    <n v="999"/>
    <n v="709.64"/>
    <n v="0.16"/>
    <n v="533420.31000000006"/>
    <n v="141347.64000000001"/>
    <n v="82.77"/>
    <s v="Debit Card"/>
    <x v="3"/>
    <b v="1"/>
    <x v="0"/>
    <n v="2"/>
  </r>
  <r>
    <s v="ORD-00258"/>
    <x v="967"/>
    <x v="967"/>
    <s v="CUST53446"/>
    <s v="Pooja Patel"/>
    <n v="25"/>
    <s v="Male"/>
    <x v="3"/>
    <s v="Kolkata"/>
    <x v="3"/>
    <s v="Fiction Novel"/>
    <n v="8"/>
    <n v="885.34"/>
    <n v="0.21"/>
    <n v="7887.35"/>
    <n v="4410.62"/>
    <n v="92.67"/>
    <s v="EMI"/>
    <x v="0"/>
    <b v="0"/>
    <x v="1"/>
    <n v="10"/>
  </r>
  <r>
    <s v="ORD-03737"/>
    <x v="1227"/>
    <x v="1227"/>
    <s v="CUST37666"/>
    <s v="Ananya Shah"/>
    <n v="39"/>
    <s v="Other"/>
    <x v="1"/>
    <s v="Pune"/>
    <x v="1"/>
    <s v="Perfume"/>
    <n v="1"/>
    <n v="1139.19"/>
    <n v="0.02"/>
    <n v="2138.54"/>
    <n v="958.64"/>
    <n v="47.9"/>
    <s v="EMI"/>
    <x v="3"/>
    <b v="0"/>
    <x v="1"/>
    <n v="6"/>
  </r>
  <r>
    <s v="ORD-03105"/>
    <x v="562"/>
    <x v="562"/>
    <s v="CUST41278"/>
    <s v="Amit Singh"/>
    <n v="4"/>
    <s v="Female"/>
    <x v="1"/>
    <s v="Surat"/>
    <x v="4"/>
    <s v="T-Shirt"/>
    <n v="10"/>
    <n v="3436.98"/>
    <n v="0.13"/>
    <n v="36428.870000000003"/>
    <n v="12821.7"/>
    <n v="64.09"/>
    <s v="Net Banking"/>
    <x v="2"/>
    <b v="0"/>
    <x v="1"/>
    <n v="8"/>
  </r>
  <r>
    <s v="ORD-02816"/>
    <x v="427"/>
    <x v="427"/>
    <s v="CUST17433"/>
    <s v="Aarav Reddy"/>
    <n v="32"/>
    <s v="Female"/>
    <x v="2"/>
    <s v="Chandigarh"/>
    <x v="2"/>
    <s v="Desk"/>
    <n v="9"/>
    <n v="16799.04"/>
    <n v="0.32"/>
    <n v="158612.18"/>
    <n v="38942.269999999997"/>
    <n v="38.06"/>
    <s v="Net Banking"/>
    <x v="4"/>
    <b v="1"/>
    <x v="0"/>
    <n v="3"/>
  </r>
  <r>
    <s v="ORD-01067"/>
    <x v="405"/>
    <x v="405"/>
    <s v="CUST21073"/>
    <s v="Ananya Gupta"/>
    <n v="28"/>
    <s v="Female"/>
    <x v="0"/>
    <s v="Nagpur"/>
    <x v="5"/>
    <s v="Headphones"/>
    <n v="8"/>
    <n v="55099.88"/>
    <n v="0.08"/>
    <n v="534701.88"/>
    <n v="62826.35"/>
    <n v="64.28"/>
    <s v="UPI"/>
    <x v="1"/>
    <b v="0"/>
    <x v="3"/>
    <n v="2"/>
  </r>
  <r>
    <s v="ORD-01706"/>
    <x v="332"/>
    <x v="332"/>
    <s v="CUST04976"/>
    <s v="Meera Kumar"/>
    <n v="49"/>
    <s v="Male"/>
    <x v="3"/>
    <s v="Guwahati"/>
    <x v="3"/>
    <s v="Fiction Novel"/>
    <n v="7"/>
    <n v="367.79"/>
    <n v="0.06"/>
    <n v="2017.48"/>
    <n v="811.84"/>
    <n v="81.31"/>
    <s v="Cash on Delivery"/>
    <x v="0"/>
    <b v="0"/>
    <x v="4"/>
    <n v="8"/>
  </r>
  <r>
    <s v="ORD-02419"/>
    <x v="1228"/>
    <x v="1228"/>
    <s v="CUST71186"/>
    <s v="Ananya Chatterjee"/>
    <n v="30"/>
    <s v="Male"/>
    <x v="0"/>
    <s v="Nagpur"/>
    <x v="6"/>
    <s v="Cycle"/>
    <n v="2"/>
    <n v="9107.15"/>
    <n v="0.1"/>
    <n v="14915.74"/>
    <n v="3305.13"/>
    <n v="61.84"/>
    <s v="Cash on Delivery"/>
    <x v="4"/>
    <b v="0"/>
    <x v="1"/>
    <n v="1"/>
  </r>
  <r>
    <s v="ORD-01646"/>
    <x v="914"/>
    <x v="914"/>
    <s v="CUST16475"/>
    <s v="Nisha Reddy"/>
    <n v="37"/>
    <s v="Male"/>
    <x v="0"/>
    <s v="Nagpur"/>
    <x v="1"/>
    <s v="Face Cream"/>
    <n v="8"/>
    <n v="2293.23"/>
    <n v="0.01"/>
    <n v="15979.96"/>
    <n v="7902.58"/>
    <n v="42.27"/>
    <s v="EMI"/>
    <x v="0"/>
    <b v="0"/>
    <x v="1"/>
    <n v="2"/>
  </r>
  <r>
    <s v="ORD-02927"/>
    <x v="858"/>
    <x v="858"/>
    <s v="CUST53444"/>
    <s v="Nisha Mehta"/>
    <n v="38"/>
    <s v="Female"/>
    <x v="1"/>
    <s v="Mumbai"/>
    <x v="6"/>
    <s v="Tennis Racket"/>
    <n v="10"/>
    <n v="12849.18"/>
    <n v="0.17"/>
    <n v="162026.23999999999"/>
    <n v="55613.66"/>
    <n v="50.59"/>
    <s v="UPI"/>
    <x v="4"/>
    <b v="1"/>
    <x v="0"/>
    <n v="6"/>
  </r>
  <r>
    <s v="ORD-00703"/>
    <x v="998"/>
    <x v="998"/>
    <s v="CUST23905"/>
    <s v="Vikram Joshi"/>
    <n v="27"/>
    <s v="Female"/>
    <x v="1"/>
    <s v="Ahmedabad"/>
    <x v="1"/>
    <s v="Face Cream"/>
    <n v="8"/>
    <n v="577.09"/>
    <n v="0.31"/>
    <n v="1937.2"/>
    <n v="752.28"/>
    <n v="44.38"/>
    <s v="EMI"/>
    <x v="0"/>
    <b v="0"/>
    <x v="1"/>
    <n v="3"/>
  </r>
  <r>
    <s v="ORD-00719"/>
    <x v="616"/>
    <x v="616"/>
    <s v="CUST77326"/>
    <s v="Deepa Sharma"/>
    <n v="41"/>
    <s v="Female"/>
    <x v="2"/>
    <s v="Delhi"/>
    <x v="2"/>
    <s v="Wardrobe"/>
    <n v="5"/>
    <n v="13802.21"/>
    <n v="0.01"/>
    <n v="49453.99"/>
    <n v="11156.02"/>
    <n v="53.42"/>
    <s v="Net Banking"/>
    <x v="2"/>
    <b v="0"/>
    <x v="1"/>
    <n v="2"/>
  </r>
  <r>
    <s v="ORD-02689"/>
    <x v="344"/>
    <x v="344"/>
    <s v="CUST30478"/>
    <s v="Shreya Kapoor"/>
    <n v="39"/>
    <s v="Female"/>
    <x v="1"/>
    <s v="Ahmedabad"/>
    <x v="6"/>
    <s v="Dumbbells"/>
    <n v="5"/>
    <n v="7209.98"/>
    <n v="0.1"/>
    <n v="44585.53"/>
    <n v="6266.72"/>
    <n v="101.5"/>
    <s v="Net Banking"/>
    <x v="0"/>
    <b v="0"/>
    <x v="1"/>
    <n v="8"/>
  </r>
  <r>
    <s v="ORD-03636"/>
    <x v="497"/>
    <x v="497"/>
    <s v="CUST94587"/>
    <s v="Vikram Singh"/>
    <n v="5"/>
    <s v="Male"/>
    <x v="4"/>
    <s v="Chennai"/>
    <x v="5"/>
    <s v="Laptop"/>
    <n v="8"/>
    <n v="29438.87"/>
    <n v="0.27"/>
    <n v="265801.33"/>
    <n v="17629.48"/>
    <n v="66.34"/>
    <s v="EMI"/>
    <x v="3"/>
    <b v="0"/>
    <x v="1"/>
    <n v="10"/>
  </r>
  <r>
    <s v="ORD-04174"/>
    <x v="1229"/>
    <x v="1229"/>
    <s v="CUST60428"/>
    <s v="Deepa Pillai"/>
    <n v="17"/>
    <s v="Other"/>
    <x v="4"/>
    <s v="Kochi"/>
    <x v="2"/>
    <s v="Bed Frame"/>
    <n v="5"/>
    <n v="22094.81"/>
    <n v="0.05"/>
    <n v="95653.07"/>
    <n v="32975.78"/>
    <n v="89.18"/>
    <s v="Net Banking"/>
    <x v="0"/>
    <b v="0"/>
    <x v="1"/>
    <n v="3"/>
  </r>
  <r>
    <s v="ORD-03142"/>
    <x v="1230"/>
    <x v="1230"/>
    <s v="CUST26022"/>
    <s v="Rahul Bose"/>
    <n v="27"/>
    <s v="Other"/>
    <x v="0"/>
    <s v="Raipur"/>
    <x v="5"/>
    <s v="Smartwatch"/>
    <n v="5"/>
    <n v="21332.99"/>
    <n v="0.06"/>
    <n v="21555.19"/>
    <n v="2209.4899999999998"/>
    <n v="64.819999999999993"/>
    <s v="Net Banking"/>
    <x v="2"/>
    <b v="0"/>
    <x v="1"/>
    <n v="5"/>
  </r>
  <r>
    <s v="ORD-03076"/>
    <x v="1231"/>
    <x v="1231"/>
    <s v="CUST49954"/>
    <s v="Shreya Iyer"/>
    <n v="37"/>
    <s v="Other"/>
    <x v="1"/>
    <s v="Ahmedabad"/>
    <x v="6"/>
    <s v="Yoga Mat"/>
    <n v="8"/>
    <n v="11625.18"/>
    <n v="0.01"/>
    <n v="129797.26"/>
    <n v="30345.040000000001"/>
    <n v="35.4"/>
    <s v="Cash on Delivery"/>
    <x v="4"/>
    <b v="1"/>
    <x v="0"/>
    <n v="10"/>
  </r>
  <r>
    <s v="ORD-02882"/>
    <x v="601"/>
    <x v="601"/>
    <s v="CUST50309"/>
    <s v="Deepa Joshi"/>
    <n v="32"/>
    <s v="Male"/>
    <x v="0"/>
    <s v="Indore"/>
    <x v="1"/>
    <s v="Lipstick"/>
    <n v="6"/>
    <n v="458.32"/>
    <n v="0.39"/>
    <n v="2879.46"/>
    <n v="1655.48"/>
    <n v="66.8"/>
    <s v="UPI"/>
    <x v="1"/>
    <b v="0"/>
    <x v="1"/>
    <n v="4"/>
  </r>
  <r>
    <s v="ORD-04023"/>
    <x v="1232"/>
    <x v="1232"/>
    <s v="CUST25803"/>
    <s v="Pooja Patel"/>
    <n v="30"/>
    <s v="Other"/>
    <x v="4"/>
    <s v="Chennai"/>
    <x v="5"/>
    <s v="Headphones"/>
    <n v="9"/>
    <n v="59350.94"/>
    <n v="0.39"/>
    <n v="398128.01"/>
    <n v="49023.97"/>
    <n v="67.319999999999993"/>
    <s v="Credit Card"/>
    <x v="3"/>
    <b v="0"/>
    <x v="2"/>
    <n v="3"/>
  </r>
  <r>
    <s v="ORD-03957"/>
    <x v="1233"/>
    <x v="1233"/>
    <s v="CUST42062"/>
    <s v="Pooja Joshi"/>
    <n v="33"/>
    <s v="Other"/>
    <x v="0"/>
    <s v="Bhopal"/>
    <x v="0"/>
    <s v="Flour"/>
    <n v="3"/>
    <n v="428.57"/>
    <n v="0.38"/>
    <n v="1124.8"/>
    <n v="97.77"/>
    <n v="52.97"/>
    <s v="EMI"/>
    <x v="2"/>
    <b v="0"/>
    <x v="3"/>
    <n v="6"/>
  </r>
  <r>
    <s v="ORD-03482"/>
    <x v="319"/>
    <x v="319"/>
    <s v="CUST84959"/>
    <s v="Pooja Verma"/>
    <n v="24"/>
    <s v="Other"/>
    <x v="0"/>
    <s v="Nagpur"/>
    <x v="4"/>
    <s v="Saree"/>
    <n v="8"/>
    <n v="1195.52"/>
    <n v="0.21"/>
    <n v="11174.44"/>
    <n v="4209.57"/>
    <n v="36.909999999999997"/>
    <s v="UPI"/>
    <x v="0"/>
    <b v="0"/>
    <x v="1"/>
    <n v="9"/>
  </r>
  <r>
    <s v="ORD-00972"/>
    <x v="256"/>
    <x v="256"/>
    <s v="CUST58228"/>
    <s v="Arjun Das"/>
    <n v="34"/>
    <s v="Male"/>
    <x v="3"/>
    <s v="Patna"/>
    <x v="1"/>
    <s v="Lipstick"/>
    <n v="3"/>
    <n v="1728.65"/>
    <n v="0.09"/>
    <n v="5386.67"/>
    <n v="2960.24"/>
    <n v="87"/>
    <s v="Debit Card"/>
    <x v="0"/>
    <b v="0"/>
    <x v="1"/>
    <n v="1"/>
  </r>
  <r>
    <s v="ORD-03460"/>
    <x v="667"/>
    <x v="667"/>
    <s v="CUST25321"/>
    <s v="Rahul Pillai"/>
    <n v="32"/>
    <s v="Other"/>
    <x v="0"/>
    <s v="Indore"/>
    <x v="4"/>
    <s v="Kurta"/>
    <n v="7"/>
    <n v="1122.22"/>
    <n v="0.17"/>
    <n v="7195.72"/>
    <n v="2557.08"/>
    <n v="47.28"/>
    <s v="Cash on Delivery"/>
    <x v="1"/>
    <b v="0"/>
    <x v="1"/>
    <n v="8"/>
  </r>
  <r>
    <s v="ORD-02189"/>
    <x v="268"/>
    <x v="268"/>
    <s v="CUST72195"/>
    <s v="Rahul Shah"/>
    <n v="39"/>
    <s v="Male"/>
    <x v="3"/>
    <s v="Guwahati"/>
    <x v="1"/>
    <s v="Lipstick"/>
    <n v="6"/>
    <n v="553.63"/>
    <n v="0.36"/>
    <n v="2469.37"/>
    <n v="684.81"/>
    <n v="53.3"/>
    <s v="Debit Card"/>
    <x v="1"/>
    <b v="0"/>
    <x v="4"/>
    <n v="4"/>
  </r>
  <r>
    <s v="ORD-00231"/>
    <x v="396"/>
    <x v="396"/>
    <s v="CUST27455"/>
    <s v="Ritu Bose"/>
    <n v="29"/>
    <s v="Female"/>
    <x v="3"/>
    <s v="Kolkata"/>
    <x v="3"/>
    <s v="Self-Help Book"/>
    <n v="3"/>
    <n v="859.03"/>
    <n v="7.0000000000000007E-2"/>
    <n v="3048.93"/>
    <n v="1479.26"/>
    <n v="81.27"/>
    <s v="UPI"/>
    <x v="2"/>
    <b v="0"/>
    <x v="1"/>
    <n v="7"/>
  </r>
  <r>
    <s v="ORD-03591"/>
    <x v="1105"/>
    <x v="1105"/>
    <s v="CUST08962"/>
    <s v="Vikram Pillai"/>
    <n v="48"/>
    <s v="Other"/>
    <x v="2"/>
    <s v="Ludhiana"/>
    <x v="0"/>
    <s v="Cooking Oil"/>
    <n v="4"/>
    <n v="266.5"/>
    <n v="0.2"/>
    <n v="1241.25"/>
    <n v="67.67"/>
    <n v="73.91"/>
    <s v="Net Banking"/>
    <x v="2"/>
    <b v="1"/>
    <x v="0"/>
    <n v="8"/>
  </r>
  <r>
    <s v="ORD-00954"/>
    <x v="1133"/>
    <x v="1133"/>
    <s v="CUST75813"/>
    <s v="Aditya Singh"/>
    <n v="21"/>
    <s v="Male"/>
    <x v="4"/>
    <s v="Chennai"/>
    <x v="2"/>
    <s v="Chair"/>
    <n v="5"/>
    <n v="10002.31"/>
    <n v="0.4"/>
    <n v="30147.32"/>
    <n v="7265.89"/>
    <n v="45.96"/>
    <s v="Cash on Delivery"/>
    <x v="4"/>
    <b v="0"/>
    <x v="2"/>
    <n v="6"/>
  </r>
  <r>
    <s v="ORD-02240"/>
    <x v="69"/>
    <x v="69"/>
    <s v="CUST70797"/>
    <s v="Sunita Bhat"/>
    <n v="20"/>
    <s v="Female"/>
    <x v="2"/>
    <s v="Delhi"/>
    <x v="2"/>
    <s v="Sofa"/>
    <n v="3"/>
    <n v="18846.39"/>
    <n v="0.36"/>
    <n v="38600"/>
    <n v="11313.95"/>
    <n v="56.75"/>
    <s v="Cash on Delivery"/>
    <x v="1"/>
    <b v="0"/>
    <x v="1"/>
    <n v="4"/>
  </r>
  <r>
    <s v="ORD-03889"/>
    <x v="561"/>
    <x v="561"/>
    <s v="CUST81355"/>
    <s v="Rahul Singh"/>
    <n v="25"/>
    <s v="Male"/>
    <x v="1"/>
    <s v="Pune"/>
    <x v="4"/>
    <s v="Kurta"/>
    <n v="3"/>
    <n v="2244.17"/>
    <n v="0.28000000000000003"/>
    <n v="8279.0400000000009"/>
    <n v="2388.36"/>
    <n v="62.4"/>
    <s v="Credit Card"/>
    <x v="3"/>
    <b v="0"/>
    <x v="1"/>
    <n v="3"/>
  </r>
  <r>
    <s v="ORD-01543"/>
    <x v="1234"/>
    <x v="1234"/>
    <s v="CUST69055"/>
    <s v="Amit Pillai"/>
    <n v="37"/>
    <s v="Female"/>
    <x v="0"/>
    <s v="Indore"/>
    <x v="4"/>
    <s v="T-Shirt"/>
    <n v="2"/>
    <n v="2623.58"/>
    <n v="0.37"/>
    <n v="2762.31"/>
    <n v="713.47"/>
    <n v="62.67"/>
    <s v="Credit Card"/>
    <x v="4"/>
    <b v="1"/>
    <x v="0"/>
    <n v="3"/>
  </r>
  <r>
    <s v="ORD-01216"/>
    <x v="752"/>
    <x v="752"/>
    <s v="CUST87398"/>
    <s v="Rahul Rao"/>
    <n v="24"/>
    <s v="Other"/>
    <x v="2"/>
    <s v="Ludhiana"/>
    <x v="3"/>
    <s v="Textbook"/>
    <n v="7"/>
    <n v="902.94"/>
    <n v="7.0000000000000007E-2"/>
    <n v="8693.5300000000007"/>
    <n v="4021.37"/>
    <n v="58.45"/>
    <s v="Debit Card"/>
    <x v="2"/>
    <b v="0"/>
    <x v="1"/>
    <n v="4"/>
  </r>
  <r>
    <s v="ORD-02143"/>
    <x v="1235"/>
    <x v="1235"/>
    <s v="CUST46675"/>
    <s v="Pooja Rao"/>
    <n v="12"/>
    <s v="Male"/>
    <x v="0"/>
    <s v="Bhopal"/>
    <x v="5"/>
    <s v="Headphones"/>
    <n v="10"/>
    <n v="30900.53"/>
    <n v="0.18"/>
    <n v="388463.02"/>
    <n v="37366.199999999997"/>
    <n v="64.67"/>
    <s v="EMI"/>
    <x v="4"/>
    <b v="1"/>
    <x v="0"/>
    <n v="6"/>
  </r>
  <r>
    <s v="ORD-01621"/>
    <x v="656"/>
    <x v="656"/>
    <s v="CUST91294"/>
    <s v="Karan Kumar"/>
    <n v="32"/>
    <s v="Female"/>
    <x v="4"/>
    <s v="Bangalore"/>
    <x v="3"/>
    <s v="Self-Help Book"/>
    <n v="8"/>
    <n v="1023.77"/>
    <n v="0.35"/>
    <n v="4221.3599999999997"/>
    <n v="1605.93"/>
    <n v="33.93"/>
    <s v="Credit Card"/>
    <x v="3"/>
    <b v="0"/>
    <x v="3"/>
    <n v="4"/>
  </r>
  <r>
    <s v="ORD-04182"/>
    <x v="1236"/>
    <x v="1236"/>
    <s v="CUST64358"/>
    <s v="Deepa Chatterjee"/>
    <n v="38"/>
    <s v="Other"/>
    <x v="2"/>
    <s v="Ludhiana"/>
    <x v="0"/>
    <s v="Flour"/>
    <n v="9"/>
    <n v="65.349999999999994"/>
    <n v="0"/>
    <n v="550.66999999999996"/>
    <n v="52.12"/>
    <n v="35.68"/>
    <s v="Net Banking"/>
    <x v="1"/>
    <b v="0"/>
    <x v="1"/>
    <n v="3"/>
  </r>
  <r>
    <s v="ORD-00437"/>
    <x v="239"/>
    <x v="239"/>
    <s v="CUST55232"/>
    <s v="Rahul Nair"/>
    <n v="4"/>
    <s v="Male"/>
    <x v="4"/>
    <s v="Hyderabad"/>
    <x v="1"/>
    <s v="Shampoo"/>
    <n v="5"/>
    <n v="1799.48"/>
    <n v="0.27"/>
    <n v="7877.59"/>
    <n v="3429.6"/>
    <n v="68.34"/>
    <s v="UPI"/>
    <x v="0"/>
    <b v="0"/>
    <x v="1"/>
    <n v="2"/>
  </r>
  <r>
    <s v="ORD-01604"/>
    <x v="529"/>
    <x v="529"/>
    <s v="CUST18532"/>
    <s v="Deepa Kumar"/>
    <n v="33"/>
    <s v="Other"/>
    <x v="4"/>
    <s v="Kochi"/>
    <x v="4"/>
    <s v="Jacket"/>
    <n v="6"/>
    <n v="2208.63"/>
    <n v="0.22"/>
    <n v="8220.7099999999991"/>
    <n v="2656.63"/>
    <n v="50.49"/>
    <s v="Credit Card"/>
    <x v="0"/>
    <b v="0"/>
    <x v="1"/>
    <n v="1"/>
  </r>
  <r>
    <s v="ORD-00821"/>
    <x v="1237"/>
    <x v="1237"/>
    <s v="CUST07868"/>
    <s v="Aarav Pillai"/>
    <n v="34"/>
    <s v="Other"/>
    <x v="2"/>
    <s v="Chandigarh"/>
    <x v="0"/>
    <s v="Flour"/>
    <n v="4"/>
    <n v="249.86"/>
    <n v="0.17"/>
    <n v="572.04"/>
    <n v="50.92"/>
    <n v="67.97"/>
    <s v="Credit Card"/>
    <x v="1"/>
    <b v="0"/>
    <x v="1"/>
    <n v="3"/>
  </r>
  <r>
    <s v="ORD-03794"/>
    <x v="27"/>
    <x v="27"/>
    <s v="CUST94259"/>
    <s v="Ritu Patel"/>
    <n v="45"/>
    <s v="Other"/>
    <x v="3"/>
    <s v="Patna"/>
    <x v="1"/>
    <s v="Sunscreen"/>
    <n v="5"/>
    <n v="1542.35"/>
    <n v="0.39"/>
    <n v="8050.97"/>
    <n v="2791.48"/>
    <n v="68"/>
    <s v="UPI"/>
    <x v="0"/>
    <b v="0"/>
    <x v="1"/>
    <n v="3"/>
  </r>
  <r>
    <s v="ORD-00282"/>
    <x v="361"/>
    <x v="361"/>
    <s v="CUST51993"/>
    <s v="Ritu Kapoor"/>
    <n v="53"/>
    <s v="Other"/>
    <x v="3"/>
    <s v="Bhubaneswar"/>
    <x v="1"/>
    <s v="Hair Oil"/>
    <n v="3"/>
    <n v="842.68"/>
    <n v="0.35"/>
    <n v="2239.4899999999998"/>
    <n v="716.54"/>
    <n v="89.81"/>
    <s v="UPI"/>
    <x v="2"/>
    <b v="0"/>
    <x v="1"/>
    <n v="10"/>
  </r>
  <r>
    <s v="ORD-01982"/>
    <x v="634"/>
    <x v="634"/>
    <s v="CUST60037"/>
    <s v="Shreya Singh"/>
    <n v="45"/>
    <s v="Other"/>
    <x v="4"/>
    <s v="Chennai"/>
    <x v="3"/>
    <s v="Cook Book"/>
    <n v="2"/>
    <n v="567.24"/>
    <n v="0.14000000000000001"/>
    <n v="1366.97"/>
    <n v="547.22"/>
    <n v="86.26"/>
    <s v="Net Banking"/>
    <x v="2"/>
    <b v="0"/>
    <x v="1"/>
    <n v="3"/>
  </r>
  <r>
    <s v="ORD-01249"/>
    <x v="712"/>
    <x v="712"/>
    <s v="CUST24069"/>
    <s v="Vikram Chatterjee"/>
    <n v="58"/>
    <s v="Female"/>
    <x v="2"/>
    <s v="Ludhiana"/>
    <x v="6"/>
    <s v="Dumbbells"/>
    <n v="10"/>
    <n v="4548.04"/>
    <n v="0.13"/>
    <n v="54271.82"/>
    <n v="14354.18"/>
    <n v="56.47"/>
    <s v="UPI"/>
    <x v="3"/>
    <b v="0"/>
    <x v="1"/>
    <n v="10"/>
  </r>
  <r>
    <s v="ORD-01494"/>
    <x v="830"/>
    <x v="830"/>
    <s v="CUST49312"/>
    <s v="Shreya Das"/>
    <n v="34"/>
    <s v="Other"/>
    <x v="2"/>
    <s v="Amritsar"/>
    <x v="6"/>
    <s v="Cycle"/>
    <n v="6"/>
    <n v="4549.08"/>
    <n v="0.16"/>
    <n v="21213.25"/>
    <n v="2811.21"/>
    <n v="61.26"/>
    <s v="Cash on Delivery"/>
    <x v="3"/>
    <b v="0"/>
    <x v="4"/>
    <n v="9"/>
  </r>
  <r>
    <s v="ORD-03255"/>
    <x v="17"/>
    <x v="17"/>
    <s v="CUST68003"/>
    <s v="Pooja Nair"/>
    <n v="38"/>
    <s v="Other"/>
    <x v="2"/>
    <s v="Amritsar"/>
    <x v="5"/>
    <s v="Smartphone"/>
    <n v="7"/>
    <n v="45852.67"/>
    <n v="0.17"/>
    <n v="273026.12"/>
    <n v="30112.39"/>
    <n v="26.23"/>
    <s v="EMI"/>
    <x v="0"/>
    <b v="0"/>
    <x v="1"/>
    <n v="6"/>
  </r>
  <r>
    <s v="ORD-03287"/>
    <x v="720"/>
    <x v="720"/>
    <s v="CUST45543"/>
    <s v="Arjun Gupta"/>
    <n v="5"/>
    <s v="Male"/>
    <x v="2"/>
    <s v="Amritsar"/>
    <x v="0"/>
    <s v="Dal (1kg)"/>
    <n v="1"/>
    <n v="430.64"/>
    <n v="0.35"/>
    <n v="270.60000000000002"/>
    <n v="25.24"/>
    <n v="54.23"/>
    <s v="Credit Card"/>
    <x v="3"/>
    <b v="0"/>
    <x v="1"/>
    <n v="4"/>
  </r>
  <r>
    <s v="ORD-01027"/>
    <x v="1238"/>
    <x v="1238"/>
    <s v="CUST39229"/>
    <s v="Rohan Iyer"/>
    <n v="39"/>
    <s v="Male"/>
    <x v="4"/>
    <s v="Hyderabad"/>
    <x v="3"/>
    <s v="Fiction Novel"/>
    <n v="7"/>
    <n v="790.89"/>
    <n v="0.23"/>
    <n v="5121.1000000000004"/>
    <n v="2369.15"/>
    <n v="74.08"/>
    <s v="Debit Card"/>
    <x v="0"/>
    <b v="0"/>
    <x v="3"/>
    <n v="2"/>
  </r>
  <r>
    <s v="ORD-02372"/>
    <x v="1239"/>
    <x v="1239"/>
    <s v="CUST49286"/>
    <s v="Shreya Chatterjee"/>
    <n v="34"/>
    <s v="Female"/>
    <x v="0"/>
    <s v="Bhopal"/>
    <x v="6"/>
    <s v="Yoga Mat"/>
    <n v="6"/>
    <n v="9589.48"/>
    <n v="0.15"/>
    <n v="48651.38"/>
    <n v="11292.58"/>
    <n v="25.65"/>
    <s v="EMI"/>
    <x v="0"/>
    <b v="1"/>
    <x v="0"/>
    <n v="2"/>
  </r>
  <r>
    <s v="ORD-01210"/>
    <x v="1240"/>
    <x v="1240"/>
    <s v="CUST18457"/>
    <s v="Rohan Das"/>
    <n v="35"/>
    <s v="Female"/>
    <x v="0"/>
    <s v="Raipur"/>
    <x v="2"/>
    <s v="Wardrobe"/>
    <n v="3"/>
    <n v="21424.67"/>
    <n v="0.06"/>
    <n v="89031.360000000001"/>
    <n v="26411.55"/>
    <n v="50.15"/>
    <s v="Debit Card"/>
    <x v="2"/>
    <b v="0"/>
    <x v="1"/>
    <n v="100"/>
  </r>
  <r>
    <s v="ORD-03956"/>
    <x v="1233"/>
    <x v="1233"/>
    <s v="CUST78830"/>
    <s v="Ritu Singh"/>
    <n v="36"/>
    <s v="Female"/>
    <x v="1"/>
    <s v="Ahmedabad"/>
    <x v="2"/>
    <s v="Sofa"/>
    <n v="10"/>
    <n v="3353.32"/>
    <n v="0.24"/>
    <n v="34535.760000000002"/>
    <n v="8625.6200000000008"/>
    <n v="64.38"/>
    <s v="Credit Card"/>
    <x v="2"/>
    <b v="0"/>
    <x v="1"/>
    <n v="1"/>
  </r>
  <r>
    <s v="ORD-01136"/>
    <x v="792"/>
    <x v="792"/>
    <s v="CUST75145"/>
    <s v="Nisha Das"/>
    <n v="29"/>
    <s v="Female"/>
    <x v="1"/>
    <s v="Mumbai"/>
    <x v="1"/>
    <s v="Sunscreen"/>
    <n v="4"/>
    <n v="801.79"/>
    <n v="0.15"/>
    <n v="3581.26"/>
    <n v="1505.99"/>
    <n v="60.89"/>
    <s v="Debit Card"/>
    <x v="1"/>
    <b v="0"/>
    <x v="1"/>
    <n v="5"/>
  </r>
  <r>
    <s v="ORD-03515"/>
    <x v="1097"/>
    <x v="1097"/>
    <s v="CUST85880"/>
    <s v="Aditya Chatterjee"/>
    <n v="38"/>
    <s v="Female"/>
    <x v="0"/>
    <s v="Nagpur"/>
    <x v="1"/>
    <s v="Lipstick"/>
    <n v="9"/>
    <n v="1996.05"/>
    <n v="0.21"/>
    <n v="24431.83"/>
    <n v="12158.15"/>
    <n v="78.33"/>
    <s v="Debit Card"/>
    <x v="2"/>
    <b v="0"/>
    <x v="1"/>
    <n v="9"/>
  </r>
  <r>
    <s v="ORD-00302"/>
    <x v="1241"/>
    <x v="1241"/>
    <s v="CUST45098"/>
    <s v="Ritu Singh"/>
    <n v="34"/>
    <s v="Female"/>
    <x v="0"/>
    <s v="Nagpur"/>
    <x v="5"/>
    <s v="Smartphone"/>
    <n v="3"/>
    <n v="7852.34"/>
    <n v="0.26"/>
    <n v="16893.75"/>
    <n v="1987.72"/>
    <n v="55.88"/>
    <s v="EMI"/>
    <x v="0"/>
    <b v="0"/>
    <x v="1"/>
    <n v="3"/>
  </r>
  <r>
    <s v="ORD-03127"/>
    <x v="350"/>
    <x v="350"/>
    <s v="CUST95818"/>
    <s v="Meera Nair"/>
    <n v="37"/>
    <s v="Other"/>
    <x v="4"/>
    <s v="Hyderabad"/>
    <x v="5"/>
    <s v="Tablet"/>
    <n v="2"/>
    <n v="73717.77"/>
    <n v="0.14000000000000001"/>
    <n v="145540.46"/>
    <n v="16844.099999999999"/>
    <n v="84.06"/>
    <s v="Credit Card"/>
    <x v="2"/>
    <b v="0"/>
    <x v="1"/>
    <n v="7"/>
  </r>
  <r>
    <s v="ORD-03245"/>
    <x v="525"/>
    <x v="525"/>
    <s v="CUST51623"/>
    <s v="Deepa Mehta"/>
    <n v="57"/>
    <s v="Male"/>
    <x v="1"/>
    <s v="Ahmedabad"/>
    <x v="3"/>
    <s v="Textbook"/>
    <n v="8"/>
    <n v="784.92"/>
    <n v="0.2"/>
    <n v="4517.75"/>
    <n v="1812.28"/>
    <n v="66.510000000000005"/>
    <s v="Net Banking"/>
    <x v="3"/>
    <b v="0"/>
    <x v="4"/>
    <n v="5"/>
  </r>
  <r>
    <s v="ORD-02263"/>
    <x v="598"/>
    <x v="598"/>
    <s v="CUST80227"/>
    <s v="Karan Joshi"/>
    <n v="37"/>
    <s v="Male"/>
    <x v="2"/>
    <s v="Amritsar"/>
    <x v="0"/>
    <s v="Dal (1kg)"/>
    <n v="3"/>
    <n v="466.4"/>
    <n v="0.19"/>
    <n v="1143.9000000000001"/>
    <n v="83.86"/>
    <n v="52.43"/>
    <s v="EMI"/>
    <x v="1"/>
    <b v="0"/>
    <x v="1"/>
    <n v="10"/>
  </r>
  <r>
    <s v="ORD-00852"/>
    <x v="1225"/>
    <x v="1225"/>
    <s v="CUST80007"/>
    <s v="Arjun Mishra"/>
    <n v="25"/>
    <s v="Other"/>
    <x v="1"/>
    <s v="Ahmedabad"/>
    <x v="4"/>
    <s v="Dress"/>
    <n v="2"/>
    <n v="1329.5"/>
    <n v="0.28000000000000003"/>
    <n v="1346.05"/>
    <n v="364.15"/>
    <n v="72.34"/>
    <s v="Cash on Delivery"/>
    <x v="2"/>
    <b v="0"/>
    <x v="2"/>
    <n v="9"/>
  </r>
  <r>
    <s v="ORD-02724"/>
    <x v="138"/>
    <x v="138"/>
    <s v="CUST36410"/>
    <s v="Deepa Rao"/>
    <n v="37"/>
    <s v="Male"/>
    <x v="4"/>
    <s v="Kochi"/>
    <x v="5"/>
    <s v="Laptop"/>
    <n v="2"/>
    <n v="35502.949999999997"/>
    <n v="0.33"/>
    <n v="63960.07"/>
    <n v="8566.02"/>
    <n v="90.85"/>
    <s v="Credit Card"/>
    <x v="0"/>
    <b v="0"/>
    <x v="1"/>
    <n v="9"/>
  </r>
  <r>
    <s v="ORD-04027"/>
    <x v="1242"/>
    <x v="1242"/>
    <s v="CUST22444"/>
    <s v="Meera Iyer"/>
    <n v="41"/>
    <s v="Female"/>
    <x v="2"/>
    <s v="Chandigarh"/>
    <x v="4"/>
    <s v="Kurta"/>
    <n v="5"/>
    <n v="720.42"/>
    <n v="0.21"/>
    <n v="3357.38"/>
    <n v="988.15"/>
    <n v="51.08"/>
    <s v="UPI"/>
    <x v="4"/>
    <b v="1"/>
    <x v="0"/>
    <n v="8"/>
  </r>
  <r>
    <s v="ORD-00081"/>
    <x v="587"/>
    <x v="587"/>
    <s v="CUST60867"/>
    <s v="Deepa Sharma"/>
    <n v="34"/>
    <s v="Male"/>
    <x v="0"/>
    <s v="Indore"/>
    <x v="5"/>
    <s v="Laptop"/>
    <n v="9"/>
    <n v="61637.72"/>
    <n v="0.28999999999999998"/>
    <n v="298694.87"/>
    <n v="29985.13"/>
    <n v="20.79"/>
    <s v="EMI"/>
    <x v="2"/>
    <b v="0"/>
    <x v="3"/>
    <n v="5"/>
  </r>
  <r>
    <s v="ORD-00884"/>
    <x v="1243"/>
    <x v="1243"/>
    <s v="CUST13555"/>
    <s v="Aarav Kapoor"/>
    <n v="54"/>
    <s v="Other"/>
    <x v="2"/>
    <s v="Delhi"/>
    <x v="2"/>
    <s v="Bed Frame"/>
    <n v="6"/>
    <n v="32916.71"/>
    <n v="0.08"/>
    <n v="176331.64"/>
    <n v="48719.54"/>
    <n v="48.18"/>
    <s v="Debit Card"/>
    <x v="1"/>
    <b v="0"/>
    <x v="1"/>
    <n v="3"/>
  </r>
  <r>
    <s v="ORD-01962"/>
    <x v="488"/>
    <x v="488"/>
    <s v="CUST39536"/>
    <s v="Sunita Rao"/>
    <n v="53"/>
    <s v="Female"/>
    <x v="2"/>
    <s v="Ludhiana"/>
    <x v="3"/>
    <s v="Cook Book"/>
    <n v="6"/>
    <n v="308.33"/>
    <n v="0.17"/>
    <n v="2120.2800000000002"/>
    <n v="875.63"/>
    <n v="48.94"/>
    <s v="Credit Card"/>
    <x v="2"/>
    <b v="0"/>
    <x v="1"/>
    <n v="5"/>
  </r>
  <r>
    <s v="ORD-03308"/>
    <x v="130"/>
    <x v="130"/>
    <s v="CUST41593"/>
    <s v="Sanjay Bose"/>
    <n v="24"/>
    <s v="Other"/>
    <x v="0"/>
    <s v="Raipur"/>
    <x v="2"/>
    <s v="Chair"/>
    <n v="10"/>
    <n v="23621.89"/>
    <n v="0.03"/>
    <n v="192313.69"/>
    <n v="56375.97"/>
    <n v="73.91"/>
    <s v="UPI"/>
    <x v="3"/>
    <b v="0"/>
    <x v="1"/>
    <n v="2"/>
  </r>
  <r>
    <s v="ORD-03542"/>
    <x v="1244"/>
    <x v="1244"/>
    <s v="CUST99848"/>
    <s v="Nisha Chatterjee"/>
    <n v="15"/>
    <s v="Other"/>
    <x v="2"/>
    <s v="Delhi"/>
    <x v="3"/>
    <s v="Fiction Novel"/>
    <n v="1"/>
    <n v="886.23"/>
    <n v="0.09"/>
    <n v="1242.55"/>
    <n v="479.18"/>
    <n v="71.069999999999993"/>
    <s v="Credit Card"/>
    <x v="3"/>
    <b v="0"/>
    <x v="1"/>
    <n v="2"/>
  </r>
  <r>
    <s v="ORD-00980"/>
    <x v="1245"/>
    <x v="1245"/>
    <s v="CUST55402"/>
    <s v="Arjun Patel"/>
    <n v="43"/>
    <s v="Female"/>
    <x v="3"/>
    <s v="Guwahati"/>
    <x v="6"/>
    <s v="Yoga Mat"/>
    <n v="4"/>
    <n v="9423.81"/>
    <n v="0.4"/>
    <n v="23341.98"/>
    <n v="3961.16"/>
    <n v="92.67"/>
    <s v="EMI"/>
    <x v="1"/>
    <b v="0"/>
    <x v="1"/>
    <n v="1"/>
  </r>
  <r>
    <s v="ORD-02627"/>
    <x v="423"/>
    <x v="423"/>
    <s v="CUST23490"/>
    <s v="Meera Reddy"/>
    <n v="29"/>
    <s v="Male"/>
    <x v="2"/>
    <s v="Delhi"/>
    <x v="6"/>
    <s v="Dumbbells"/>
    <n v="5"/>
    <n v="11924.73"/>
    <n v="0.28999999999999998"/>
    <n v="39073.019999999997"/>
    <n v="7762.52"/>
    <n v="63.8"/>
    <s v="UPI"/>
    <x v="3"/>
    <b v="0"/>
    <x v="1"/>
    <n v="9"/>
  </r>
  <r>
    <s v="ORD-02553"/>
    <x v="263"/>
    <x v="263"/>
    <s v="CUST10304"/>
    <s v="Pooja Reddy"/>
    <n v="53"/>
    <s v="Female"/>
    <x v="2"/>
    <s v="Amritsar"/>
    <x v="0"/>
    <s v="Tea"/>
    <n v="1"/>
    <n v="114.17"/>
    <n v="0.1"/>
    <n v="90.79"/>
    <n v="8.1"/>
    <n v="44.85"/>
    <s v="EMI"/>
    <x v="2"/>
    <b v="0"/>
    <x v="1"/>
    <n v="9"/>
  </r>
  <r>
    <s v="ORD-00216"/>
    <x v="772"/>
    <x v="772"/>
    <s v="CUST86362"/>
    <s v="Rahul Bose"/>
    <n v="44"/>
    <s v="Male"/>
    <x v="1"/>
    <s v="Surat"/>
    <x v="4"/>
    <s v="Jacket"/>
    <n v="1"/>
    <n v="1784.28"/>
    <n v="7.0000000000000007E-2"/>
    <n v="2034.49"/>
    <n v="543.72"/>
    <n v="26.17"/>
    <s v="Debit Card"/>
    <x v="0"/>
    <b v="0"/>
    <x v="1"/>
    <n v="10"/>
  </r>
  <r>
    <s v="ORD-03247"/>
    <x v="62"/>
    <x v="62"/>
    <s v="CUST92610"/>
    <s v="Rahul Chatterjee"/>
    <n v="36"/>
    <s v="Other"/>
    <x v="2"/>
    <s v="Delhi"/>
    <x v="1"/>
    <s v="Perfume"/>
    <n v="7"/>
    <n v="2068.81"/>
    <n v="0.28000000000000003"/>
    <n v="7932.49"/>
    <n v="3524.81"/>
    <n v="40.22"/>
    <s v="Credit Card"/>
    <x v="3"/>
    <b v="0"/>
    <x v="4"/>
    <n v="5"/>
  </r>
  <r>
    <s v="ORD-00839"/>
    <x v="1068"/>
    <x v="1068"/>
    <s v="CUST85913"/>
    <s v="Pooja Pillai"/>
    <n v="31"/>
    <s v="Male"/>
    <x v="4"/>
    <s v="Chennai"/>
    <x v="2"/>
    <s v="Bookshelf"/>
    <n v="6"/>
    <n v="2676.31"/>
    <n v="0.08"/>
    <n v="10381.040000000001"/>
    <n v="3229.7"/>
    <n v="70.150000000000006"/>
    <s v="Net Banking"/>
    <x v="4"/>
    <b v="0"/>
    <x v="4"/>
    <n v="10"/>
  </r>
  <r>
    <s v="ORD-03063"/>
    <x v="690"/>
    <x v="690"/>
    <s v="CUST46790"/>
    <s v="Nikhil Rao"/>
    <n v="14"/>
    <s v="Female"/>
    <x v="3"/>
    <s v="Kolkata"/>
    <x v="2"/>
    <s v="Bookshelf"/>
    <n v="2"/>
    <n v="12069"/>
    <n v="0.33"/>
    <n v="20925.93"/>
    <n v="6044.5"/>
    <n v="67"/>
    <s v="Debit Card"/>
    <x v="1"/>
    <b v="0"/>
    <x v="2"/>
    <n v="6"/>
  </r>
  <r>
    <s v="ORD-03985"/>
    <x v="1246"/>
    <x v="1246"/>
    <s v="CUST56825"/>
    <s v="Nisha Das"/>
    <n v="41"/>
    <s v="Other"/>
    <x v="4"/>
    <s v="Hyderabad"/>
    <x v="5"/>
    <s v="Camera"/>
    <n v="1"/>
    <n v="39155.85"/>
    <n v="0.34"/>
    <n v="30626"/>
    <n v="4110.3500000000004"/>
    <n v="83.36"/>
    <s v="Credit Card"/>
    <x v="2"/>
    <b v="1"/>
    <x v="0"/>
    <n v="9"/>
  </r>
  <r>
    <s v="ORD-01915"/>
    <x v="1247"/>
    <x v="1247"/>
    <s v="CUST50959"/>
    <s v="Rahul Kapoor"/>
    <n v="35"/>
    <s v="Male"/>
    <x v="2"/>
    <s v="Chandigarh"/>
    <x v="6"/>
    <s v="Dumbbells"/>
    <n v="8"/>
    <n v="13974.28"/>
    <n v="0.21"/>
    <n v="125535.27"/>
    <n v="26988.18"/>
    <n v="63.87"/>
    <s v="UPI"/>
    <x v="2"/>
    <b v="0"/>
    <x v="2"/>
    <n v="3"/>
  </r>
  <r>
    <s v="ORD-02706"/>
    <x v="339"/>
    <x v="339"/>
    <s v="CUST55586"/>
    <s v="Karan Singh"/>
    <n v="25"/>
    <s v="Other"/>
    <x v="3"/>
    <s v="Kolkata"/>
    <x v="4"/>
    <s v="T-Shirt"/>
    <n v="3"/>
    <n v="3828.11"/>
    <n v="0.2"/>
    <n v="10968.02"/>
    <n v="3716.33"/>
    <n v="90.35"/>
    <s v="Cash on Delivery"/>
    <x v="2"/>
    <b v="0"/>
    <x v="1"/>
    <n v="7"/>
  </r>
  <r>
    <s v="ORD-01687"/>
    <x v="1248"/>
    <x v="1248"/>
    <s v="CUST88552"/>
    <s v="Vikram Singh"/>
    <n v="48"/>
    <s v="Male"/>
    <x v="1"/>
    <s v="Mumbai"/>
    <x v="1"/>
    <s v="Face Cream"/>
    <n v="9"/>
    <n v="2217.86"/>
    <n v="0.24"/>
    <n v="11510.54"/>
    <n v="6314.77"/>
    <n v="50.57"/>
    <s v="Net Banking"/>
    <x v="0"/>
    <b v="0"/>
    <x v="1"/>
    <n v="3"/>
  </r>
  <r>
    <s v="ORD-01530"/>
    <x v="1249"/>
    <x v="1249"/>
    <s v="CUST71272"/>
    <s v="Shreya Verma"/>
    <n v="10"/>
    <s v="Female"/>
    <x v="0"/>
    <s v="Indore"/>
    <x v="3"/>
    <s v="Biography"/>
    <n v="10"/>
    <n v="585.04"/>
    <n v="0.23"/>
    <n v="3609.86"/>
    <n v="1772.37"/>
    <n v="44.39"/>
    <s v="Credit Card"/>
    <x v="3"/>
    <b v="0"/>
    <x v="1"/>
    <n v="10"/>
  </r>
  <r>
    <s v="ORD-00635"/>
    <x v="84"/>
    <x v="84"/>
    <s v="CUST99442"/>
    <s v="Priya Singh"/>
    <n v="15"/>
    <s v="Male"/>
    <x v="0"/>
    <s v="Raipur"/>
    <x v="1"/>
    <s v="Lipstick"/>
    <n v="5"/>
    <n v="453.47"/>
    <n v="0.26"/>
    <n v="1615.85"/>
    <n v="704.58"/>
    <n v="30.43"/>
    <s v="Net Banking"/>
    <x v="4"/>
    <b v="0"/>
    <x v="1"/>
    <n v="6"/>
  </r>
  <r>
    <s v="ORD-03013"/>
    <x v="1250"/>
    <x v="1250"/>
    <s v="CUST43350"/>
    <s v="Karan Bose"/>
    <n v="47"/>
    <s v="Male"/>
    <x v="2"/>
    <s v="Delhi"/>
    <x v="3"/>
    <s v="Fiction Novel"/>
    <n v="1"/>
    <n v="657.4"/>
    <n v="0.21"/>
    <n v="1050.25"/>
    <n v="432.13"/>
    <n v="66.819999999999993"/>
    <s v="UPI"/>
    <x v="1"/>
    <b v="0"/>
    <x v="1"/>
    <n v="8"/>
  </r>
  <r>
    <s v="ORD-03561"/>
    <x v="1251"/>
    <x v="1251"/>
    <s v="CUST09606"/>
    <s v="Karan Kapoor"/>
    <n v="26"/>
    <s v="Female"/>
    <x v="1"/>
    <s v="Pune"/>
    <x v="6"/>
    <s v="Tennis Racket"/>
    <n v="1"/>
    <n v="13730.08"/>
    <n v="0.33"/>
    <n v="11658.53"/>
    <n v="2595.3000000000002"/>
    <n v="49.66"/>
    <s v="UPI"/>
    <x v="3"/>
    <b v="1"/>
    <x v="0"/>
    <n v="5"/>
  </r>
  <r>
    <s v="ORD-03475"/>
    <x v="1082"/>
    <x v="1082"/>
    <s v="CUST36492"/>
    <s v="Arjun Chatterjee"/>
    <n v="51"/>
    <s v="Other"/>
    <x v="0"/>
    <s v="Nagpur"/>
    <x v="5"/>
    <s v="Camera"/>
    <n v="3"/>
    <n v="18251.7"/>
    <n v="0.04"/>
    <n v="57280.67"/>
    <n v="7183.26"/>
    <n v="47.7"/>
    <s v="EMI"/>
    <x v="0"/>
    <b v="0"/>
    <x v="1"/>
    <n v="10"/>
  </r>
  <r>
    <s v="ORD-03639"/>
    <x v="497"/>
    <x v="497"/>
    <s v="CUST46406"/>
    <s v="Ananya Das"/>
    <n v="44"/>
    <s v="Male"/>
    <x v="1"/>
    <s v="Mumbai"/>
    <x v="1"/>
    <s v="Shampoo"/>
    <n v="1"/>
    <n v="1276.8900000000001"/>
    <n v="0.14000000000000001"/>
    <n v="1679.21"/>
    <n v="753.07"/>
    <n v="91.51"/>
    <s v="UPI"/>
    <x v="3"/>
    <b v="0"/>
    <x v="1"/>
    <n v="1"/>
  </r>
  <r>
    <s v="ORD-04067"/>
    <x v="1185"/>
    <x v="1185"/>
    <s v="CUST49069"/>
    <s v="Ritu Iyer"/>
    <n v="43"/>
    <s v="Female"/>
    <x v="2"/>
    <s v="Amritsar"/>
    <x v="4"/>
    <s v="Jacket"/>
    <n v="2"/>
    <n v="899.53"/>
    <n v="0.23"/>
    <n v="1788.88"/>
    <n v="523.65"/>
    <n v="68.44"/>
    <s v="Cash on Delivery"/>
    <x v="1"/>
    <b v="0"/>
    <x v="4"/>
    <n v="10"/>
  </r>
  <r>
    <s v="ORD-01539"/>
    <x v="166"/>
    <x v="166"/>
    <s v="CUST68441"/>
    <s v="Aditya Shah"/>
    <n v="52"/>
    <s v="Male"/>
    <x v="4"/>
    <s v="Hyderabad"/>
    <x v="3"/>
    <s v="Comic Book"/>
    <n v="2"/>
    <n v="1067.1300000000001"/>
    <n v="0.35"/>
    <n v="1180.6099999999999"/>
    <n v="481.98"/>
    <n v="91.57"/>
    <s v="Debit Card"/>
    <x v="3"/>
    <b v="0"/>
    <x v="1"/>
    <n v="10"/>
  </r>
  <r>
    <s v="ORD-01254"/>
    <x v="1092"/>
    <x v="1092"/>
    <s v="CUST21375"/>
    <s v="Aditya Joshi"/>
    <n v="38"/>
    <s v="Female"/>
    <x v="3"/>
    <s v="Guwahati"/>
    <x v="5"/>
    <s v="Camera"/>
    <n v="10"/>
    <n v="14508.42"/>
    <n v="0.2"/>
    <n v="157988.20000000001"/>
    <n v="19642.09"/>
    <n v="83.47"/>
    <s v="Cash on Delivery"/>
    <x v="4"/>
    <b v="0"/>
    <x v="1"/>
    <n v="8"/>
  </r>
  <r>
    <s v="ORD-00426"/>
    <x v="501"/>
    <x v="501"/>
    <s v="CUST45896"/>
    <s v="Shreya Chatterjee"/>
    <n v="29"/>
    <s v="Male"/>
    <x v="0"/>
    <s v="Bhopal"/>
    <x v="1"/>
    <s v="Sunscreen"/>
    <n v="9"/>
    <n v="267.99"/>
    <n v="0.08"/>
    <n v="2666.59"/>
    <n v="1181.3699999999999"/>
    <n v="39.67"/>
    <s v="Net Banking"/>
    <x v="4"/>
    <b v="0"/>
    <x v="3"/>
    <n v="4"/>
  </r>
  <r>
    <s v="ORD-03000"/>
    <x v="1252"/>
    <x v="1252"/>
    <s v="CUST14868"/>
    <s v="Shreya Joshi"/>
    <n v="32"/>
    <s v="Other"/>
    <x v="4"/>
    <s v="Chennai"/>
    <x v="6"/>
    <s v="Cycle"/>
    <n v="7"/>
    <n v="12914.01"/>
    <n v="0.22"/>
    <n v="122070.77"/>
    <n v="24152.84"/>
    <n v="53.5"/>
    <s v="EMI"/>
    <x v="2"/>
    <b v="0"/>
    <x v="1"/>
    <n v="7"/>
  </r>
  <r>
    <s v="ORD-04007"/>
    <x v="1253"/>
    <x v="1253"/>
    <s v="CUST26263"/>
    <s v="Arjun Singh"/>
    <n v="150"/>
    <s v="Male"/>
    <x v="4"/>
    <s v="Hyderabad"/>
    <x v="3"/>
    <s v="Self-Help Book"/>
    <n v="4"/>
    <n v="1464.19"/>
    <n v="0.04"/>
    <n v="7046.17"/>
    <n v="3076.89"/>
    <n v="76.930000000000007"/>
    <s v="EMI"/>
    <x v="2"/>
    <b v="0"/>
    <x v="1"/>
    <n v="8"/>
  </r>
  <r>
    <s v="ORD-00230"/>
    <x v="1254"/>
    <x v="1254"/>
    <s v="CUST62810"/>
    <s v="Meera Kumar"/>
    <n v="31"/>
    <s v="Female"/>
    <x v="2"/>
    <s v="Delhi"/>
    <x v="6"/>
    <s v="Football"/>
    <n v="6"/>
    <n v="13425.83"/>
    <n v="0.09"/>
    <n v="83316.58"/>
    <n v="14180.23"/>
    <n v="54.3"/>
    <s v="Net Banking"/>
    <x v="1"/>
    <b v="0"/>
    <x v="1"/>
    <n v="8"/>
  </r>
  <r>
    <s v="ORD-02318"/>
    <x v="215"/>
    <x v="215"/>
    <s v="CUST67509"/>
    <s v="Vikram Pillai"/>
    <n v="32"/>
    <s v="Male"/>
    <x v="4"/>
    <s v="Hyderabad"/>
    <x v="2"/>
    <s v="Bed Frame"/>
    <n v="3"/>
    <n v="18611.53"/>
    <n v="0.04"/>
    <n v="52590.42"/>
    <n v="13887.81"/>
    <n v="99.49"/>
    <s v="Debit Card"/>
    <x v="0"/>
    <b v="0"/>
    <x v="1"/>
    <n v="4"/>
  </r>
  <r>
    <s v="ORD-04055"/>
    <x v="221"/>
    <x v="221"/>
    <s v="CUST17101"/>
    <s v="Nikhil Bhat"/>
    <n v="30"/>
    <s v="Female"/>
    <x v="4"/>
    <s v="Kochi"/>
    <x v="5"/>
    <s v="Smartwatch"/>
    <n v="9"/>
    <n v="7482.02"/>
    <n v="0.01"/>
    <n v="79475.61"/>
    <n v="9278.4500000000007"/>
    <n v="68.05"/>
    <s v="Debit Card"/>
    <x v="0"/>
    <b v="1"/>
    <x v="0"/>
    <n v="10"/>
  </r>
  <r>
    <s v="ORD-03090"/>
    <x v="1255"/>
    <x v="1255"/>
    <s v="CUST80368"/>
    <s v="Sunita Das"/>
    <n v="63"/>
    <s v="Male"/>
    <x v="0"/>
    <s v="Indore"/>
    <x v="6"/>
    <s v="Dumbbells"/>
    <n v="8"/>
    <n v="12368.25"/>
    <n v="0.22"/>
    <n v="109073.66"/>
    <n v="19645.66"/>
    <n v="21.52"/>
    <s v="Cash on Delivery"/>
    <x v="0"/>
    <b v="0"/>
    <x v="1"/>
    <n v="1"/>
  </r>
  <r>
    <s v="ORD-02152"/>
    <x v="1256"/>
    <x v="1256"/>
    <s v="CUST59332"/>
    <s v="Nikhil Chatterjee"/>
    <n v="33"/>
    <s v="Female"/>
    <x v="3"/>
    <s v="Patna"/>
    <x v="1"/>
    <s v="Hair Oil"/>
    <n v="8"/>
    <n v="1706.51"/>
    <n v="0.21"/>
    <n v="20065.84"/>
    <n v="6411.9"/>
    <n v="85.58"/>
    <s v="Cash on Delivery"/>
    <x v="0"/>
    <b v="0"/>
    <x v="1"/>
    <n v="2"/>
  </r>
  <r>
    <s v="ORD-01327"/>
    <x v="959"/>
    <x v="959"/>
    <s v="CUST26929"/>
    <s v="Rohan Kapoor"/>
    <n v="25"/>
    <s v="Female"/>
    <x v="3"/>
    <s v="Guwahati"/>
    <x v="3"/>
    <s v="Textbook"/>
    <n v="6"/>
    <n v="729.34"/>
    <n v="0.04"/>
    <n v="5901.9"/>
    <n v="2786.64"/>
    <n v="104.25"/>
    <s v="Net Banking"/>
    <x v="1"/>
    <b v="0"/>
    <x v="1"/>
    <n v="3"/>
  </r>
  <r>
    <s v="ORD-01206"/>
    <x v="149"/>
    <x v="149"/>
    <s v="CUST64199"/>
    <s v="Rahul Chatterjee"/>
    <n v="34"/>
    <s v="Female"/>
    <x v="2"/>
    <s v="Chandigarh"/>
    <x v="6"/>
    <s v="Dumbbells"/>
    <n v="7"/>
    <n v="10917.25"/>
    <n v="0.27"/>
    <n v="71889.86"/>
    <n v="15066.86"/>
    <n v="40.78"/>
    <s v="Cash on Delivery"/>
    <x v="0"/>
    <b v="0"/>
    <x v="1"/>
    <n v="3"/>
  </r>
  <r>
    <s v="ORD-03569"/>
    <x v="1171"/>
    <x v="1171"/>
    <s v="CUST54474"/>
    <s v="Nisha Das"/>
    <n v="38"/>
    <s v="Male"/>
    <x v="4"/>
    <s v="Kochi"/>
    <x v="5"/>
    <s v="Camera"/>
    <n v="3"/>
    <n v="12872.17"/>
    <n v="7.0000000000000007E-2"/>
    <n v="43511.94"/>
    <n v="5535.12"/>
    <n v="64.47"/>
    <s v="Debit Card"/>
    <x v="3"/>
    <b v="1"/>
    <x v="0"/>
    <n v="1"/>
  </r>
  <r>
    <s v="ORD-00877"/>
    <x v="886"/>
    <x v="886"/>
    <s v="CUST26337"/>
    <s v="Aarav Bhat"/>
    <n v="32"/>
    <s v="Male"/>
    <x v="1"/>
    <s v="Mumbai"/>
    <x v="0"/>
    <s v="Dal (1kg)"/>
    <n v="1"/>
    <n v="50.26"/>
    <n v="0.13"/>
    <n v="39.450000000000003"/>
    <n v="1.56"/>
    <n v="76.23"/>
    <s v="Debit Card"/>
    <x v="4"/>
    <b v="0"/>
    <x v="1"/>
    <n v="7"/>
  </r>
  <r>
    <s v="ORD-00475"/>
    <x v="1125"/>
    <x v="1125"/>
    <s v="CUST88974"/>
    <s v="Arjun Reddy"/>
    <n v="48"/>
    <s v="Other"/>
    <x v="3"/>
    <s v="Patna"/>
    <x v="4"/>
    <s v="Saree"/>
    <n v="6"/>
    <n v="3799.36"/>
    <n v="0.28000000000000003"/>
    <n v="19572.07"/>
    <n v="5911.72"/>
    <n v="88.51"/>
    <s v="Net Banking"/>
    <x v="0"/>
    <b v="0"/>
    <x v="4"/>
    <n v="5"/>
  </r>
  <r>
    <s v="ORD-01480"/>
    <x v="1257"/>
    <x v="1257"/>
    <s v="CUST85847"/>
    <s v="Ananya Das"/>
    <n v="47"/>
    <s v="Male"/>
    <x v="2"/>
    <s v="Ludhiana"/>
    <x v="4"/>
    <s v="Jacket"/>
    <n v="7"/>
    <n v="1774.08"/>
    <n v="0.21"/>
    <n v="8124.61"/>
    <n v="3210.86"/>
    <n v="46.79"/>
    <s v="Net Banking"/>
    <x v="4"/>
    <b v="0"/>
    <x v="1"/>
    <n v="3"/>
  </r>
  <r>
    <s v="ORD-01053"/>
    <x v="1017"/>
    <x v="1017"/>
    <s v="CUST27057"/>
    <s v="Arjun Pillai"/>
    <n v="58"/>
    <s v="Other"/>
    <x v="1"/>
    <s v="Mumbai"/>
    <x v="2"/>
    <s v="Wardrobe"/>
    <n v="3"/>
    <n v="10104.68"/>
    <n v="0.39"/>
    <n v="21793.75"/>
    <n v="6667.44"/>
    <n v="61.07"/>
    <s v="Net Banking"/>
    <x v="1"/>
    <b v="1"/>
    <x v="0"/>
    <n v="10"/>
  </r>
  <r>
    <s v="ORD-00570"/>
    <x v="473"/>
    <x v="473"/>
    <s v="CUST24704"/>
    <s v="Kavya Iyer"/>
    <n v="47"/>
    <s v="Other"/>
    <x v="4"/>
    <s v="Chennai"/>
    <x v="6"/>
    <s v="Cricket Bat"/>
    <n v="1"/>
    <n v="13770.41"/>
    <n v="7.0000000000000007E-2"/>
    <n v="14059.26"/>
    <n v="2621.88"/>
    <n v="56.12"/>
    <s v="UPI"/>
    <x v="4"/>
    <b v="0"/>
    <x v="3"/>
    <n v="7"/>
  </r>
  <r>
    <s v="ORD-00106"/>
    <x v="740"/>
    <x v="740"/>
    <s v="CUST55820"/>
    <s v="Deepa Reddy"/>
    <n v="24"/>
    <s v="Other"/>
    <x v="1"/>
    <s v="Pune"/>
    <x v="3"/>
    <s v="Comic Book"/>
    <n v="1"/>
    <n v="747.6"/>
    <n v="0.35"/>
    <n v="467.87"/>
    <n v="188.11"/>
    <n v="49.6"/>
    <s v="Debit Card"/>
    <x v="4"/>
    <b v="0"/>
    <x v="1"/>
    <n v="9"/>
  </r>
  <r>
    <s v="ORD-02202"/>
    <x v="543"/>
    <x v="543"/>
    <s v="CUST31801"/>
    <s v="Karan Joshi"/>
    <n v="25"/>
    <s v="Male"/>
    <x v="3"/>
    <s v="Patna"/>
    <x v="0"/>
    <s v="Dal (1kg)"/>
    <n v="5"/>
    <n v="51.58"/>
    <n v="0.3"/>
    <n v="237.06"/>
    <n v="24.71"/>
    <n v="82.67"/>
    <s v="Credit Card"/>
    <x v="3"/>
    <b v="1"/>
    <x v="0"/>
    <n v="6"/>
  </r>
  <r>
    <s v="ORD-03436"/>
    <x v="435"/>
    <x v="435"/>
    <s v="CUST95683"/>
    <s v="Nikhil Kapoor"/>
    <n v="42"/>
    <s v="Other"/>
    <x v="2"/>
    <s v="Amritsar"/>
    <x v="5"/>
    <s v="Laptop"/>
    <n v="1"/>
    <n v="74101.95"/>
    <n v="0.38"/>
    <n v="43145.98"/>
    <n v="5536.43"/>
    <n v="47.69"/>
    <s v="EMI"/>
    <x v="0"/>
    <b v="0"/>
    <x v="2"/>
    <n v="7"/>
  </r>
  <r>
    <s v="ORD-00254"/>
    <x v="996"/>
    <x v="996"/>
    <s v="CUST17284"/>
    <s v="Nikhil Bhat"/>
    <n v="44"/>
    <s v="Other"/>
    <x v="1"/>
    <s v="Surat"/>
    <x v="0"/>
    <s v="Rice (5kg)"/>
    <n v="4"/>
    <n v="270.70999999999998"/>
    <n v="7.0000000000000007E-2"/>
    <n v="1316.63"/>
    <n v="117.56"/>
    <n v="77.760000000000005"/>
    <s v="Net Banking"/>
    <x v="3"/>
    <b v="0"/>
    <x v="4"/>
    <n v="3"/>
  </r>
  <r>
    <s v="ORD-01972"/>
    <x v="1258"/>
    <x v="1258"/>
    <s v="CUST38989"/>
    <s v="Shreya Pillai"/>
    <n v="47"/>
    <s v="Female"/>
    <x v="1"/>
    <s v="Pune"/>
    <x v="0"/>
    <s v="Rice (5kg)"/>
    <n v="2"/>
    <n v="209.57"/>
    <n v="0.4"/>
    <n v="406.36"/>
    <n v="24.52"/>
    <n v="47.01"/>
    <s v="EMI"/>
    <x v="0"/>
    <b v="0"/>
    <x v="1"/>
    <n v="8"/>
  </r>
  <r>
    <s v="ORD-01423"/>
    <x v="1259"/>
    <x v="1259"/>
    <s v="CUST36676"/>
    <s v="Aditya Kapoor"/>
    <n v="35"/>
    <s v="Male"/>
    <x v="2"/>
    <s v="Ludhiana"/>
    <x v="0"/>
    <s v="Dal (1kg)"/>
    <n v="6"/>
    <n v="204.17"/>
    <n v="0.32"/>
    <n v="703.05"/>
    <n v="59.99"/>
    <n v="27.12"/>
    <s v="Debit Card"/>
    <x v="2"/>
    <b v="0"/>
    <x v="1"/>
    <n v="1"/>
  </r>
  <r>
    <s v="ORD-01287"/>
    <x v="343"/>
    <x v="343"/>
    <s v="CUST98013"/>
    <s v="Shreya Bose"/>
    <n v="52"/>
    <s v="Male"/>
    <x v="0"/>
    <s v="Indore"/>
    <x v="1"/>
    <s v="Lipstick"/>
    <n v="2"/>
    <n v="725.19"/>
    <n v="0.38"/>
    <n v="1066.1600000000001"/>
    <n v="607.29999999999995"/>
    <n v="27.53"/>
    <s v="UPI"/>
    <x v="3"/>
    <b v="0"/>
    <x v="4"/>
    <n v="10"/>
  </r>
  <r>
    <s v="ORD-02196"/>
    <x v="244"/>
    <x v="244"/>
    <s v="CUST89124"/>
    <s v="Ananya Sharma"/>
    <n v="18"/>
    <s v="Other"/>
    <x v="2"/>
    <s v="Amritsar"/>
    <x v="1"/>
    <s v="Sunscreen"/>
    <n v="1"/>
    <n v="1639.28"/>
    <n v="0.06"/>
    <n v="1994.57"/>
    <n v="1129.1600000000001"/>
    <n v="33.72"/>
    <s v="Credit Card"/>
    <x v="1"/>
    <b v="0"/>
    <x v="1"/>
    <n v="7"/>
  </r>
  <r>
    <s v="ORD-03462"/>
    <x v="667"/>
    <x v="667"/>
    <s v="CUST54484"/>
    <s v="Sanjay Joshi"/>
    <n v="24"/>
    <s v="Other"/>
    <x v="0"/>
    <s v="Bhopal"/>
    <x v="2"/>
    <s v="Chair"/>
    <n v="8"/>
    <n v="6926.63"/>
    <n v="0.2"/>
    <n v="48142.68"/>
    <n v="9087.93"/>
    <n v="44.2"/>
    <s v="Net Banking"/>
    <x v="1"/>
    <b v="0"/>
    <x v="1"/>
    <n v="6"/>
  </r>
  <r>
    <s v="ORD-03148"/>
    <x v="158"/>
    <x v="158"/>
    <s v="CUST35235"/>
    <s v="Meera Shah"/>
    <n v="39"/>
    <s v="Female"/>
    <x v="1"/>
    <s v="Surat"/>
    <x v="6"/>
    <s v="Cricket Bat"/>
    <n v="5"/>
    <n v="5613.08"/>
    <n v="0.01"/>
    <n v="6520.08"/>
    <n v="1789.36"/>
    <n v="81.58"/>
    <s v="UPI"/>
    <x v="3"/>
    <b v="0"/>
    <x v="3"/>
    <n v="3"/>
  </r>
  <r>
    <s v="ORD-01764"/>
    <x v="999"/>
    <x v="999"/>
    <s v="CUST85243"/>
    <s v="Meera Mehta"/>
    <n v="34"/>
    <s v="Male"/>
    <x v="2"/>
    <s v="Delhi"/>
    <x v="0"/>
    <s v="Tea"/>
    <n v="10"/>
    <n v="459.8"/>
    <n v="0.32"/>
    <n v="3495.22"/>
    <n v="314"/>
    <n v="45.01"/>
    <s v="UPI"/>
    <x v="4"/>
    <b v="0"/>
    <x v="1"/>
    <n v="6"/>
  </r>
  <r>
    <s v="ORD-02436"/>
    <x v="1157"/>
    <x v="1157"/>
    <s v="CUST21059"/>
    <s v="Sanjay Gupta"/>
    <n v="31"/>
    <s v="Other"/>
    <x v="4"/>
    <s v="Bangalore"/>
    <x v="0"/>
    <s v="Flour"/>
    <n v="9"/>
    <n v="51.92"/>
    <n v="0.31"/>
    <n v="278.98"/>
    <n v="26.11"/>
    <n v="58.05"/>
    <s v="Debit Card"/>
    <x v="3"/>
    <b v="0"/>
    <x v="1"/>
    <n v="8"/>
  </r>
  <r>
    <s v="ORD-01313"/>
    <x v="1260"/>
    <x v="1260"/>
    <s v="CUST70748"/>
    <s v="Ananya Kumar"/>
    <n v="46"/>
    <s v="Male"/>
    <x v="0"/>
    <s v="Bhopal"/>
    <x v="5"/>
    <s v="Laptop"/>
    <n v="10"/>
    <n v="25085.8"/>
    <n v="0.25"/>
    <n v="207921.9"/>
    <n v="24463.52"/>
    <n v="67.239999999999995"/>
    <s v="UPI"/>
    <x v="0"/>
    <b v="0"/>
    <x v="2"/>
    <n v="4"/>
  </r>
  <r>
    <s v="ORD-03681"/>
    <x v="1070"/>
    <x v="1070"/>
    <s v="CUST54460"/>
    <s v="Karan Mishra"/>
    <n v="35"/>
    <s v="Other"/>
    <x v="4"/>
    <s v="Bangalore"/>
    <x v="4"/>
    <s v="Jacket"/>
    <n v="2"/>
    <n v="2532.85"/>
    <n v="0.05"/>
    <n v="6919.55"/>
    <n v="2112.7800000000002"/>
    <n v="67.930000000000007"/>
    <s v="UPI"/>
    <x v="1"/>
    <b v="0"/>
    <x v="1"/>
    <n v="2"/>
  </r>
  <r>
    <s v="ORD-03671"/>
    <x v="650"/>
    <x v="650"/>
    <s v="CUST25446"/>
    <s v="Meera Joshi"/>
    <n v="40"/>
    <s v="Other"/>
    <x v="2"/>
    <s v="Amritsar"/>
    <x v="1"/>
    <s v="Perfume"/>
    <n v="9"/>
    <n v="1744.29"/>
    <n v="0.18"/>
    <n v="21619.82"/>
    <n v="8141.08"/>
    <n v="64.2"/>
    <s v="Debit Card"/>
    <x v="1"/>
    <b v="0"/>
    <x v="3"/>
    <n v="4"/>
  </r>
  <r>
    <s v="ORD-02673"/>
    <x v="625"/>
    <x v="625"/>
    <s v="CUST85212"/>
    <s v="Ananya Bhat"/>
    <n v="36"/>
    <s v="Female"/>
    <x v="4"/>
    <s v="Kochi"/>
    <x v="2"/>
    <s v="Chair"/>
    <n v="7"/>
    <n v="4557.2700000000004"/>
    <n v="0.2"/>
    <n v="31187.49"/>
    <n v="9092.43"/>
    <n v="65.62"/>
    <s v="UPI"/>
    <x v="0"/>
    <b v="0"/>
    <x v="1"/>
    <n v="10"/>
  </r>
  <r>
    <s v="ORD-02564"/>
    <x v="869"/>
    <x v="869"/>
    <s v="CUST30884"/>
    <s v="Priya Singh"/>
    <n v="34"/>
    <s v="Other"/>
    <x v="3"/>
    <s v="Patna"/>
    <x v="4"/>
    <s v="Dress"/>
    <n v="1"/>
    <n v="3320.34"/>
    <n v="0.13"/>
    <n v="2592.3000000000002"/>
    <n v="1110.93"/>
    <n v="91.86"/>
    <s v="Credit Card"/>
    <x v="2"/>
    <b v="0"/>
    <x v="1"/>
    <n v="6"/>
  </r>
  <r>
    <s v="ORD-02405"/>
    <x v="1261"/>
    <x v="1261"/>
    <s v="CUST00698"/>
    <s v="Nikhil Joshi"/>
    <n v="46"/>
    <s v="Female"/>
    <x v="0"/>
    <s v="Raipur"/>
    <x v="1"/>
    <s v="Face Cream"/>
    <n v="10"/>
    <n v="1470.73"/>
    <n v="0.21"/>
    <n v="9648.06"/>
    <n v="5328.61"/>
    <n v="34.42"/>
    <s v="UPI"/>
    <x v="1"/>
    <b v="0"/>
    <x v="1"/>
    <n v="8"/>
  </r>
  <r>
    <s v="ORD-00391"/>
    <x v="1220"/>
    <x v="1220"/>
    <s v="CUST29649"/>
    <s v="Rahul Kapoor"/>
    <n v="42"/>
    <s v="Female"/>
    <x v="0"/>
    <s v="Bhopal"/>
    <x v="6"/>
    <s v="Yoga Mat"/>
    <n v="3"/>
    <n v="13341.26"/>
    <n v="0.15"/>
    <n v="48831.45"/>
    <n v="11505.37"/>
    <n v="59.51"/>
    <s v="Net Banking"/>
    <x v="1"/>
    <b v="0"/>
    <x v="1"/>
    <n v="1"/>
  </r>
  <r>
    <s v="ORD-02449"/>
    <x v="312"/>
    <x v="312"/>
    <s v="CUST58842"/>
    <s v="Aarav Iyer"/>
    <n v="16"/>
    <s v="Male"/>
    <x v="1"/>
    <s v="Ahmedabad"/>
    <x v="5"/>
    <s v="Smartwatch"/>
    <n v="4"/>
    <n v="78431.710000000006"/>
    <n v="0.06"/>
    <n v="265701.03000000003"/>
    <n v="29588.2"/>
    <n v="70.58"/>
    <s v="UPI"/>
    <x v="4"/>
    <b v="0"/>
    <x v="4"/>
    <n v="10"/>
  </r>
  <r>
    <s v="ORD-03813"/>
    <x v="1262"/>
    <x v="1262"/>
    <s v="CUST58830"/>
    <s v="Rahul Reddy"/>
    <n v="18"/>
    <s v="Other"/>
    <x v="4"/>
    <s v="Hyderabad"/>
    <x v="6"/>
    <s v="Tennis Racket"/>
    <n v="5"/>
    <n v="2795.92"/>
    <n v="0.32"/>
    <n v="2822.44"/>
    <n v="697.8"/>
    <n v="71.72"/>
    <s v="Cash on Delivery"/>
    <x v="3"/>
    <b v="0"/>
    <x v="1"/>
    <n v="7"/>
  </r>
  <r>
    <s v="ORD-03835"/>
    <x v="1024"/>
    <x v="1024"/>
    <s v="CUST19222"/>
    <s v="Nikhil Reddy"/>
    <n v="59"/>
    <s v="Other"/>
    <x v="0"/>
    <s v="Indore"/>
    <x v="1"/>
    <s v="Sunscreen"/>
    <n v="4"/>
    <n v="575.05999999999995"/>
    <n v="0.02"/>
    <n v="3788.19"/>
    <n v="1608.33"/>
    <n v="74.42"/>
    <s v="Debit Card"/>
    <x v="3"/>
    <b v="0"/>
    <x v="3"/>
    <n v="7"/>
  </r>
  <r>
    <s v="ORD-00007"/>
    <x v="1098"/>
    <x v="1098"/>
    <s v="CUST36722"/>
    <s v="Pooja Nair"/>
    <n v="40"/>
    <s v="Male"/>
    <x v="1"/>
    <s v="Mumbai"/>
    <x v="4"/>
    <s v="Saree"/>
    <n v="8"/>
    <n v="3870.61"/>
    <n v="0.06"/>
    <n v="21825.83"/>
    <n v="9142"/>
    <n v="72.61"/>
    <s v="Net Banking"/>
    <x v="4"/>
    <b v="1"/>
    <x v="0"/>
    <n v="2"/>
  </r>
  <r>
    <s v="ORD-02298"/>
    <x v="1263"/>
    <x v="1263"/>
    <s v="CUST36266"/>
    <s v="Ritu Verma"/>
    <n v="31"/>
    <s v="Other"/>
    <x v="3"/>
    <s v="Guwahati"/>
    <x v="6"/>
    <s v="Yoga Mat"/>
    <n v="10"/>
    <n v="4545.91"/>
    <n v="0.01"/>
    <n v="55303.33"/>
    <n v="13195.84"/>
    <n v="71.77"/>
    <s v="EMI"/>
    <x v="0"/>
    <b v="0"/>
    <x v="1"/>
    <n v="9"/>
  </r>
  <r>
    <s v="ORD-03553"/>
    <x v="1136"/>
    <x v="1136"/>
    <s v="CUST14583"/>
    <s v="Arjun Joshi"/>
    <n v="38"/>
    <s v="Female"/>
    <x v="1"/>
    <s v="Mumbai"/>
    <x v="5"/>
    <s v="Tablet"/>
    <n v="2"/>
    <n v="50847.56"/>
    <n v="0.28999999999999998"/>
    <n v="99290.01"/>
    <n v="11766.04"/>
    <n v="62.35"/>
    <s v="Debit Card"/>
    <x v="1"/>
    <b v="0"/>
    <x v="1"/>
    <n v="3"/>
  </r>
  <r>
    <s v="ORD-00661"/>
    <x v="1264"/>
    <x v="1264"/>
    <s v="CUST14505"/>
    <s v="Vikram Chatterjee"/>
    <n v="15"/>
    <s v="Male"/>
    <x v="1"/>
    <s v="Surat"/>
    <x v="1"/>
    <s v="Shampoo"/>
    <n v="3"/>
    <n v="1818.6"/>
    <n v="0.34"/>
    <n v="2901.08"/>
    <n v="1203.53"/>
    <n v="54.2"/>
    <s v="Net Banking"/>
    <x v="1"/>
    <b v="0"/>
    <x v="1"/>
    <n v="8"/>
  </r>
  <r>
    <s v="ORD-03950"/>
    <x v="973"/>
    <x v="973"/>
    <s v="CUST58511"/>
    <s v="Ananya Pillai"/>
    <n v="59"/>
    <s v="Female"/>
    <x v="0"/>
    <s v="Indore"/>
    <x v="2"/>
    <s v="Wardrobe"/>
    <n v="10"/>
    <n v="4875.22"/>
    <n v="0.39"/>
    <n v="49256.25"/>
    <n v="15655.19"/>
    <n v="54.49"/>
    <s v="UPI"/>
    <x v="4"/>
    <b v="0"/>
    <x v="1"/>
    <n v="10"/>
  </r>
  <r>
    <s v="ORD-02353"/>
    <x v="553"/>
    <x v="553"/>
    <s v="CUST90384"/>
    <s v="Arjun Verma"/>
    <n v="36"/>
    <s v="Female"/>
    <x v="0"/>
    <s v="Nagpur"/>
    <x v="2"/>
    <s v="Wardrobe"/>
    <n v="2"/>
    <n v="24650.720000000001"/>
    <n v="0.23"/>
    <n v="33579.519999999997"/>
    <n v="8642.75"/>
    <n v="35.1"/>
    <s v="Debit Card"/>
    <x v="1"/>
    <b v="0"/>
    <x v="1"/>
    <n v="2"/>
  </r>
  <r>
    <s v="ORD-00185"/>
    <x v="1265"/>
    <x v="1265"/>
    <s v="CUST40829"/>
    <s v="Nikhil Bhat"/>
    <n v="37"/>
    <s v="Female"/>
    <x v="0"/>
    <s v="Nagpur"/>
    <x v="6"/>
    <s v="Football"/>
    <n v="8"/>
    <n v="7246.65"/>
    <n v="0.34"/>
    <n v="43301.82"/>
    <n v="7525.66"/>
    <n v="68.12"/>
    <s v="Net Banking"/>
    <x v="3"/>
    <b v="1"/>
    <x v="0"/>
    <n v="1"/>
  </r>
  <r>
    <s v="ORD-02549"/>
    <x v="263"/>
    <x v="263"/>
    <s v="CUST27551"/>
    <s v="Deepa Chatterjee"/>
    <n v="48"/>
    <s v="Female"/>
    <x v="4"/>
    <s v="Bangalore"/>
    <x v="6"/>
    <s v="Cycle"/>
    <n v="4"/>
    <n v="13669.75"/>
    <n v="0.17"/>
    <n v="43819.54"/>
    <n v="8792.51"/>
    <n v="72.709999999999994"/>
    <s v="Net Banking"/>
    <x v="0"/>
    <b v="1"/>
    <x v="0"/>
    <n v="10"/>
  </r>
  <r>
    <s v="ORD-02351"/>
    <x v="553"/>
    <x v="553"/>
    <s v="CUST84589"/>
    <s v="Ritu Joshi"/>
    <n v="55"/>
    <s v="Other"/>
    <x v="0"/>
    <s v="Bhopal"/>
    <x v="5"/>
    <s v="Tablet"/>
    <n v="10"/>
    <n v="13324.53"/>
    <n v="0.06"/>
    <n v="123315.72"/>
    <n v="14023.48"/>
    <n v="55.67"/>
    <s v="UPI"/>
    <x v="1"/>
    <b v="0"/>
    <x v="1"/>
    <n v="4"/>
  </r>
  <r>
    <s v="ORD-01202"/>
    <x v="800"/>
    <x v="800"/>
    <s v="CUST40333"/>
    <s v="Sunita Verma"/>
    <n v="39"/>
    <s v="Female"/>
    <x v="3"/>
    <s v="Patna"/>
    <x v="5"/>
    <s v="Smartwatch"/>
    <n v="9"/>
    <n v="72194.399999999994"/>
    <n v="0.15"/>
    <n v="787787.19"/>
    <n v="113907.22"/>
    <n v="83.94"/>
    <s v="Credit Card"/>
    <x v="0"/>
    <b v="0"/>
    <x v="1"/>
    <n v="5"/>
  </r>
  <r>
    <s v="ORD-03380"/>
    <x v="1266"/>
    <x v="1266"/>
    <s v="CUST31806"/>
    <s v="Sanjay Bose"/>
    <n v="35"/>
    <s v="Other"/>
    <x v="3"/>
    <s v="Kolkata"/>
    <x v="5"/>
    <s v="Smartphone"/>
    <n v="2"/>
    <n v="12932.65"/>
    <n v="0.1"/>
    <n v="23560.5"/>
    <n v="2257.37"/>
    <n v="92.17"/>
    <s v="EMI"/>
    <x v="0"/>
    <b v="1"/>
    <x v="0"/>
    <n v="2"/>
  </r>
  <r>
    <s v="ORD-00274"/>
    <x v="169"/>
    <x v="169"/>
    <s v="CUST60735"/>
    <s v="Aditya Reddy"/>
    <n v="35"/>
    <s v="Male"/>
    <x v="1"/>
    <s v="Surat"/>
    <x v="4"/>
    <s v="Kurta"/>
    <n v="4"/>
    <n v="729.42"/>
    <n v="7.0000000000000007E-2"/>
    <n v="3601.48"/>
    <n v="1162.92"/>
    <n v="76.61"/>
    <s v="EMI"/>
    <x v="2"/>
    <b v="0"/>
    <x v="1"/>
    <n v="3"/>
  </r>
  <r>
    <s v="ORD-01689"/>
    <x v="479"/>
    <x v="479"/>
    <s v="CUST51141"/>
    <s v="Kavya Verma"/>
    <n v="28"/>
    <s v="Female"/>
    <x v="1"/>
    <s v="Mumbai"/>
    <x v="2"/>
    <s v="Wardrobe"/>
    <n v="4"/>
    <n v="9575.92"/>
    <n v="0.13"/>
    <n v="30650.77"/>
    <n v="8465.15"/>
    <n v="71.900000000000006"/>
    <s v="UPI"/>
    <x v="4"/>
    <b v="0"/>
    <x v="1"/>
    <n v="5"/>
  </r>
  <r>
    <s v="ORD-01424"/>
    <x v="1259"/>
    <x v="1259"/>
    <s v="CUST12417"/>
    <s v="Sanjay Kumar"/>
    <n v="54"/>
    <s v="Other"/>
    <x v="0"/>
    <s v="Bhopal"/>
    <x v="4"/>
    <s v="Dress"/>
    <n v="2"/>
    <n v="3491.48"/>
    <n v="0.16"/>
    <n v="4903.58"/>
    <n v="1061.0899999999999"/>
    <n v="82.05"/>
    <s v="Debit Card"/>
    <x v="3"/>
    <b v="0"/>
    <x v="1"/>
    <n v="9"/>
  </r>
  <r>
    <s v="ORD-02753"/>
    <x v="1267"/>
    <x v="1267"/>
    <s v="CUST30170"/>
    <s v="Vikram Iyer"/>
    <n v="47"/>
    <s v="Other"/>
    <x v="2"/>
    <s v="Chandigarh"/>
    <x v="2"/>
    <s v="Bookshelf"/>
    <n v="7"/>
    <n v="10705.21"/>
    <n v="0.35"/>
    <n v="75316.070000000007"/>
    <n v="14354.3"/>
    <n v="39.520000000000003"/>
    <s v="UPI"/>
    <x v="0"/>
    <b v="0"/>
    <x v="1"/>
    <n v="6"/>
  </r>
  <r>
    <s v="ORD-02165"/>
    <x v="721"/>
    <x v="721"/>
    <s v="CUST76665"/>
    <s v="Meera Kumar"/>
    <n v="41"/>
    <s v="Other"/>
    <x v="4"/>
    <s v="Kochi"/>
    <x v="4"/>
    <s v="T-Shirt"/>
    <n v="3"/>
    <n v="3296.83"/>
    <n v="0.21"/>
    <n v="11607.78"/>
    <n v="3249.52"/>
    <n v="63.52"/>
    <s v="Cash on Delivery"/>
    <x v="0"/>
    <b v="0"/>
    <x v="2"/>
    <n v="8"/>
  </r>
  <r>
    <s v="ORD-01284"/>
    <x v="1268"/>
    <x v="1268"/>
    <s v="CUST80616"/>
    <s v="Nisha Gupta"/>
    <n v="50"/>
    <s v="Other"/>
    <x v="4"/>
    <s v="Hyderabad"/>
    <x v="6"/>
    <s v="Cricket Bat"/>
    <n v="9"/>
    <n v="10928.77"/>
    <n v="0.26"/>
    <n v="93398.29"/>
    <n v="13807.62"/>
    <n v="73.25"/>
    <s v="EMI"/>
    <x v="0"/>
    <b v="0"/>
    <x v="1"/>
    <n v="2"/>
  </r>
  <r>
    <s v="ORD-02416"/>
    <x v="1006"/>
    <x v="1006"/>
    <s v="CUST19301"/>
    <s v="Sanjay Shah"/>
    <n v="35"/>
    <s v="Male"/>
    <x v="3"/>
    <s v="Patna"/>
    <x v="6"/>
    <s v="Tennis Racket"/>
    <n v="1"/>
    <n v="11954.34"/>
    <n v="0.15"/>
    <n v="9288.4"/>
    <n v="2396.12"/>
    <n v="82.67"/>
    <s v="Net Banking"/>
    <x v="1"/>
    <b v="0"/>
    <x v="1"/>
    <n v="3"/>
  </r>
  <r>
    <s v="ORD-01768"/>
    <x v="1269"/>
    <x v="1269"/>
    <s v="CUST56693"/>
    <s v="Amit Bhat"/>
    <n v="50"/>
    <s v="Male"/>
    <x v="0"/>
    <s v="Indore"/>
    <x v="4"/>
    <s v="T-Shirt"/>
    <n v="7"/>
    <n v="3304.59"/>
    <n v="0.12"/>
    <n v="18587.240000000002"/>
    <n v="8409.65"/>
    <n v="54.71"/>
    <s v="Debit Card"/>
    <x v="3"/>
    <b v="0"/>
    <x v="1"/>
    <n v="9"/>
  </r>
  <r>
    <s v="ORD-02936"/>
    <x v="1270"/>
    <x v="1270"/>
    <s v="CUST18941"/>
    <s v="Ananya Mishra"/>
    <n v="30"/>
    <s v="Female"/>
    <x v="4"/>
    <s v="Chennai"/>
    <x v="0"/>
    <s v="Cooking Oil"/>
    <n v="9"/>
    <n v="452.13"/>
    <n v="0.25"/>
    <n v="4808.83"/>
    <n v="248.08"/>
    <n v="97.53"/>
    <s v="Debit Card"/>
    <x v="4"/>
    <b v="1"/>
    <x v="0"/>
    <n v="9"/>
  </r>
  <r>
    <s v="ORD-03817"/>
    <x v="1148"/>
    <x v="1148"/>
    <s v="CUST73190"/>
    <s v="Ananya Rao"/>
    <n v="55"/>
    <s v="Male"/>
    <x v="1"/>
    <s v="Mumbai"/>
    <x v="5"/>
    <s v="Tablet"/>
    <n v="3"/>
    <n v="56831.24"/>
    <n v="0.19"/>
    <n v="238477.33"/>
    <n v="35537.620000000003"/>
    <n v="65.069999999999993"/>
    <s v="Net Banking"/>
    <x v="4"/>
    <b v="0"/>
    <x v="1"/>
    <n v="6"/>
  </r>
  <r>
    <s v="ORD-00828"/>
    <x v="1271"/>
    <x v="1271"/>
    <s v="CUST36600"/>
    <s v="Karan Iyer"/>
    <n v="16"/>
    <s v="Male"/>
    <x v="4"/>
    <s v="Kochi"/>
    <x v="0"/>
    <s v="Sugar"/>
    <n v="6"/>
    <n v="322.95"/>
    <n v="0.32"/>
    <n v="1085.3499999999999"/>
    <n v="97.61"/>
    <n v="72.44"/>
    <s v="Credit Card"/>
    <x v="3"/>
    <b v="0"/>
    <x v="1"/>
    <n v="6"/>
  </r>
  <r>
    <s v="ORD-02169"/>
    <x v="260"/>
    <x v="260"/>
    <s v="CUST26086"/>
    <s v="Aarav Verma"/>
    <n v="45"/>
    <s v="Male"/>
    <x v="1"/>
    <s v="Ahmedabad"/>
    <x v="4"/>
    <s v="Jeans"/>
    <n v="3"/>
    <n v="3376.07"/>
    <n v="7.0000000000000007E-2"/>
    <n v="13544.47"/>
    <n v="5495.51"/>
    <n v="69.599999999999994"/>
    <s v="EMI"/>
    <x v="1"/>
    <b v="0"/>
    <x v="1"/>
    <n v="3"/>
  </r>
  <r>
    <s v="ORD-02309"/>
    <x v="723"/>
    <x v="723"/>
    <s v="CUST06929"/>
    <s v="Priya Verma"/>
    <n v="24"/>
    <s v="Other"/>
    <x v="0"/>
    <s v="Raipur"/>
    <x v="2"/>
    <s v="Desk"/>
    <n v="3"/>
    <n v="34037.07"/>
    <n v="0.1"/>
    <n v="115980.74"/>
    <n v="26885.75"/>
    <n v="49.16"/>
    <s v="UPI"/>
    <x v="3"/>
    <b v="0"/>
    <x v="1"/>
    <n v="8"/>
  </r>
  <r>
    <s v="ORD-01056"/>
    <x v="76"/>
    <x v="76"/>
    <s v="CUST25647"/>
    <s v="Meera Pillai"/>
    <n v="30"/>
    <s v="Other"/>
    <x v="2"/>
    <s v="Delhi"/>
    <x v="3"/>
    <s v="Textbook"/>
    <n v="6"/>
    <n v="1073.03"/>
    <n v="0.26"/>
    <n v="5286.85"/>
    <n v="1947.67"/>
    <n v="45.82"/>
    <s v="Credit Card"/>
    <x v="0"/>
    <b v="1"/>
    <x v="0"/>
    <n v="3"/>
  </r>
  <r>
    <s v="ORD-00981"/>
    <x v="1245"/>
    <x v="1245"/>
    <s v="CUST13256"/>
    <s v="Pooja Kumar"/>
    <n v="30"/>
    <s v="Male"/>
    <x v="0"/>
    <s v="Indore"/>
    <x v="6"/>
    <s v="Cricket Bat"/>
    <n v="1"/>
    <n v="12561.13"/>
    <n v="0.13"/>
    <n v="10989.14"/>
    <n v="2498.7800000000002"/>
    <n v="68.19"/>
    <s v="Debit Card"/>
    <x v="0"/>
    <b v="0"/>
    <x v="1"/>
    <n v="7"/>
  </r>
  <r>
    <s v="ORD-03778"/>
    <x v="161"/>
    <x v="161"/>
    <s v="CUST84717"/>
    <s v="Amit Reddy"/>
    <n v="25"/>
    <s v="Other"/>
    <x v="4"/>
    <s v="Hyderabad"/>
    <x v="2"/>
    <s v="Sofa"/>
    <n v="4"/>
    <n v="28275.08"/>
    <n v="0.24"/>
    <n v="147352.35"/>
    <n v="53042.720000000001"/>
    <n v="97.32"/>
    <s v="Cash on Delivery"/>
    <x v="3"/>
    <b v="0"/>
    <x v="1"/>
    <n v="2"/>
  </r>
  <r>
    <s v="ORD-04186"/>
    <x v="1138"/>
    <x v="1138"/>
    <s v="CUST56795"/>
    <s v="Meera Das"/>
    <n v="26"/>
    <s v="Other"/>
    <x v="2"/>
    <s v="Amritsar"/>
    <x v="6"/>
    <s v="Tennis Racket"/>
    <n v="1"/>
    <n v="5533.14"/>
    <n v="0.17"/>
    <n v="4162.6899999999996"/>
    <n v="628.33000000000004"/>
    <n v="62.44"/>
    <s v="EMI"/>
    <x v="2"/>
    <b v="0"/>
    <x v="3"/>
    <n v="6"/>
  </r>
  <r>
    <s v="ORD-02967"/>
    <x v="978"/>
    <x v="978"/>
    <s v="CUST52334"/>
    <s v="Nisha Patel"/>
    <n v="33"/>
    <s v="Male"/>
    <x v="4"/>
    <s v="Hyderabad"/>
    <x v="5"/>
    <s v="Camera"/>
    <n v="2"/>
    <n v="56614.17"/>
    <n v="0.28000000000000003"/>
    <n v="144440.74"/>
    <n v="23219.18"/>
    <n v="57.08"/>
    <s v="Credit Card"/>
    <x v="4"/>
    <b v="0"/>
    <x v="3"/>
    <n v="10"/>
  </r>
  <r>
    <s v="ORD-02790"/>
    <x v="1272"/>
    <x v="1272"/>
    <s v="CUST65266"/>
    <s v="Arjun Mishra"/>
    <n v="54"/>
    <s v="Female"/>
    <x v="1"/>
    <s v="Mumbai"/>
    <x v="4"/>
    <s v="T-Shirt"/>
    <n v="8"/>
    <n v="567.16999999999996"/>
    <n v="0.08"/>
    <n v="6261.36"/>
    <n v="1397.16"/>
    <n v="86.75"/>
    <s v="UPI"/>
    <x v="2"/>
    <b v="0"/>
    <x v="4"/>
    <n v="9"/>
  </r>
  <r>
    <s v="ORD-00721"/>
    <x v="1209"/>
    <x v="1209"/>
    <s v="CUST21865"/>
    <s v="Deepa Patel"/>
    <n v="38"/>
    <s v="Female"/>
    <x v="0"/>
    <s v="Indore"/>
    <x v="4"/>
    <s v="T-Shirt"/>
    <n v="3"/>
    <n v="388.2"/>
    <n v="0.11"/>
    <n v="726"/>
    <n v="291.01"/>
    <n v="45.27"/>
    <s v="UPI"/>
    <x v="2"/>
    <b v="0"/>
    <x v="1"/>
    <n v="10"/>
  </r>
  <r>
    <s v="ORD-00469"/>
    <x v="1273"/>
    <x v="1273"/>
    <s v="CUST18174"/>
    <s v="Meera Reddy"/>
    <n v="36"/>
    <s v="Male"/>
    <x v="2"/>
    <s v="Amritsar"/>
    <x v="0"/>
    <s v="Sugar"/>
    <n v="7"/>
    <n v="118.71"/>
    <n v="0.24"/>
    <n v="795.47"/>
    <n v="48.6"/>
    <n v="62.14"/>
    <s v="UPI"/>
    <x v="1"/>
    <b v="0"/>
    <x v="1"/>
    <n v="1"/>
  </r>
  <r>
    <s v="ORD-01859"/>
    <x v="175"/>
    <x v="175"/>
    <s v="CUST93119"/>
    <s v="Nisha Joshi"/>
    <n v="46"/>
    <s v="Female"/>
    <x v="1"/>
    <s v="Ahmedabad"/>
    <x v="0"/>
    <s v="Cooking Oil"/>
    <n v="4"/>
    <n v="330.31"/>
    <n v="0.23"/>
    <n v="1343.96"/>
    <n v="143.62"/>
    <n v="54.53"/>
    <s v="UPI"/>
    <x v="3"/>
    <b v="0"/>
    <x v="1"/>
    <n v="9"/>
  </r>
  <r>
    <s v="ORD-02093"/>
    <x v="614"/>
    <x v="614"/>
    <s v="CUST94639"/>
    <s v="Arjun Singh"/>
    <n v="33"/>
    <s v="Male"/>
    <x v="0"/>
    <s v="Raipur"/>
    <x v="0"/>
    <s v="Sugar"/>
    <n v="8"/>
    <n v="369.94"/>
    <n v="0.26"/>
    <n v="3428.74"/>
    <n v="224.86"/>
    <n v="71.66"/>
    <s v="EMI"/>
    <x v="3"/>
    <b v="0"/>
    <x v="1"/>
    <n v="5"/>
  </r>
  <r>
    <s v="ORD-01778"/>
    <x v="1274"/>
    <x v="1274"/>
    <s v="CUST75473"/>
    <s v="Nisha Kapoor"/>
    <n v="41"/>
    <s v="Other"/>
    <x v="3"/>
    <s v="Patna"/>
    <x v="3"/>
    <s v="Textbook"/>
    <n v="8"/>
    <n v="1067.22"/>
    <n v="0.26"/>
    <n v="5458.98"/>
    <n v="2138.94"/>
    <n v="104.44"/>
    <s v="Debit Card"/>
    <x v="2"/>
    <b v="0"/>
    <x v="3"/>
    <n v="4"/>
  </r>
  <r>
    <s v="ORD-03046"/>
    <x v="795"/>
    <x v="795"/>
    <s v="CUST98613"/>
    <s v="Sanjay Mehta"/>
    <n v="23"/>
    <s v="Male"/>
    <x v="3"/>
    <s v="Guwahati"/>
    <x v="2"/>
    <s v="Desk"/>
    <n v="7"/>
    <n v="15156.04"/>
    <n v="0.15"/>
    <n v="114775.93"/>
    <n v="33669.82"/>
    <n v="85.32"/>
    <s v="Debit Card"/>
    <x v="1"/>
    <b v="0"/>
    <x v="1"/>
    <n v="5"/>
  </r>
  <r>
    <s v="ORD-00127"/>
    <x v="1275"/>
    <x v="1275"/>
    <s v="CUST88548"/>
    <s v="Shreya Mishra"/>
    <n v="30"/>
    <s v="Other"/>
    <x v="3"/>
    <s v="Guwahati"/>
    <x v="1"/>
    <s v="Hair Oil"/>
    <n v="3"/>
    <n v="1886.27"/>
    <n v="0.33"/>
    <n v="3436.09"/>
    <n v="1565.04"/>
    <n v="95.79"/>
    <s v="Net Banking"/>
    <x v="3"/>
    <b v="0"/>
    <x v="1"/>
    <n v="3"/>
  </r>
  <r>
    <s v="ORD-03705"/>
    <x v="1276"/>
    <x v="1276"/>
    <s v="CUST12809"/>
    <s v="Ritu Reddy"/>
    <n v="17"/>
    <s v="Male"/>
    <x v="2"/>
    <s v="Delhi"/>
    <x v="1"/>
    <s v="Perfume"/>
    <n v="6"/>
    <n v="1898.74"/>
    <n v="0.34"/>
    <n v="10406.290000000001"/>
    <n v="5251.12"/>
    <n v="29.46"/>
    <s v="Credit Card"/>
    <x v="0"/>
    <b v="0"/>
    <x v="1"/>
    <n v="10"/>
  </r>
  <r>
    <s v="ORD-01987"/>
    <x v="1221"/>
    <x v="1221"/>
    <s v="CUST54169"/>
    <s v="Meera Pillai"/>
    <n v="23"/>
    <s v="Male"/>
    <x v="1"/>
    <s v="Mumbai"/>
    <x v="5"/>
    <s v="Headphones"/>
    <n v="6"/>
    <n v="5871.14"/>
    <n v="0.18"/>
    <n v="43719.56"/>
    <n v="4755.5"/>
    <n v="68.010000000000005"/>
    <s v="Debit Card"/>
    <x v="3"/>
    <b v="0"/>
    <x v="1"/>
    <n v="5"/>
  </r>
  <r>
    <s v="ORD-00652"/>
    <x v="1277"/>
    <x v="1277"/>
    <s v="CUST29202"/>
    <s v="Rohan Chatterjee"/>
    <n v="41"/>
    <s v="Male"/>
    <x v="2"/>
    <s v="Delhi"/>
    <x v="4"/>
    <s v="Kurta"/>
    <n v="8"/>
    <n v="1138.0899999999999"/>
    <n v="0.36"/>
    <n v="5187.76"/>
    <n v="1423.15"/>
    <n v="52.7"/>
    <s v="Net Banking"/>
    <x v="2"/>
    <b v="0"/>
    <x v="1"/>
    <n v="9"/>
  </r>
  <r>
    <s v="ORD-00235"/>
    <x v="966"/>
    <x v="966"/>
    <s v="CUST75902"/>
    <s v="Kavya Das"/>
    <n v="1"/>
    <s v="Female"/>
    <x v="4"/>
    <s v="Hyderabad"/>
    <x v="2"/>
    <s v="Sofa"/>
    <n v="9"/>
    <n v="5556.57"/>
    <n v="0.21"/>
    <n v="63448.11"/>
    <n v="17305.03"/>
    <n v="66.44"/>
    <s v="Credit Card"/>
    <x v="2"/>
    <b v="0"/>
    <x v="1"/>
    <n v="10"/>
  </r>
  <r>
    <s v="ORD-01405"/>
    <x v="353"/>
    <x v="353"/>
    <s v="CUST15111"/>
    <s v="Sunita Patel"/>
    <n v="43"/>
    <s v="Other"/>
    <x v="0"/>
    <s v="Bhopal"/>
    <x v="4"/>
    <s v="Dress"/>
    <n v="10"/>
    <n v="3186.14"/>
    <n v="0.28000000000000003"/>
    <n v="22148.240000000002"/>
    <n v="6072.78"/>
    <n v="50.45"/>
    <s v="UPI"/>
    <x v="4"/>
    <b v="0"/>
    <x v="3"/>
    <n v="9"/>
  </r>
  <r>
    <s v="ORD-03407"/>
    <x v="1278"/>
    <x v="1278"/>
    <s v="CUST97699"/>
    <s v="Nisha Shah"/>
    <n v="40"/>
    <s v="Female"/>
    <x v="1"/>
    <s v="Ahmedabad"/>
    <x v="0"/>
    <s v="Cooking Oil"/>
    <n v="7"/>
    <n v="173.44"/>
    <n v="0.05"/>
    <n v="1132.82"/>
    <n v="55.67"/>
    <n v="58.19"/>
    <s v="EMI"/>
    <x v="0"/>
    <b v="0"/>
    <x v="1"/>
    <n v="9"/>
  </r>
  <r>
    <s v="ORD-03850"/>
    <x v="556"/>
    <x v="556"/>
    <s v="CUST65624"/>
    <s v="Arjun Das"/>
    <n v="38"/>
    <s v="Female"/>
    <x v="3"/>
    <s v="Patna"/>
    <x v="6"/>
    <s v="Yoga Mat"/>
    <n v="3"/>
    <n v="6269.53"/>
    <n v="0.24"/>
    <n v="23681.14"/>
    <n v="4768.1099999999997"/>
    <n v="85.33"/>
    <s v="Net Banking"/>
    <x v="2"/>
    <b v="0"/>
    <x v="1"/>
    <n v="9"/>
  </r>
  <r>
    <s v="ORD-00199"/>
    <x v="1279"/>
    <x v="1279"/>
    <s v="CUST55694"/>
    <s v="Aarav Bhat"/>
    <n v="39"/>
    <s v="Female"/>
    <x v="2"/>
    <s v="Chandigarh"/>
    <x v="6"/>
    <s v="Dumbbells"/>
    <n v="2"/>
    <n v="2591.38"/>
    <n v="0.13"/>
    <n v="4195.59"/>
    <n v="758.43"/>
    <n v="65.22"/>
    <s v="Debit Card"/>
    <x v="0"/>
    <b v="0"/>
    <x v="1"/>
    <n v="3"/>
  </r>
  <r>
    <s v="ORD-03865"/>
    <x v="535"/>
    <x v="535"/>
    <s v="CUST15771"/>
    <s v="Ananya Sharma"/>
    <n v="30"/>
    <s v="Male"/>
    <x v="2"/>
    <s v="Amritsar"/>
    <x v="4"/>
    <s v="Jacket"/>
    <n v="8"/>
    <n v="621.6"/>
    <n v="0.38"/>
    <n v="4928.83"/>
    <n v="1949.33"/>
    <n v="65.22"/>
    <s v="Debit Card"/>
    <x v="1"/>
    <b v="0"/>
    <x v="1"/>
    <n v="3"/>
  </r>
  <r>
    <s v="ORD-02095"/>
    <x v="1280"/>
    <x v="1280"/>
    <s v="CUST53657"/>
    <s v="Meera Nair"/>
    <n v="0"/>
    <s v="Other"/>
    <x v="1"/>
    <s v="Surat"/>
    <x v="5"/>
    <s v="Smartphone"/>
    <n v="1"/>
    <n v="48337.97"/>
    <n v="0.32"/>
    <n v="44955.59"/>
    <n v="5471.73"/>
    <n v="70.75"/>
    <s v="Cash on Delivery"/>
    <x v="0"/>
    <b v="0"/>
    <x v="3"/>
    <n v="2"/>
  </r>
  <r>
    <s v="ORD-01643"/>
    <x v="874"/>
    <x v="874"/>
    <s v="CUST47779"/>
    <s v="Vikram Iyer"/>
    <n v="16"/>
    <s v="Other"/>
    <x v="3"/>
    <s v="Guwahati"/>
    <x v="4"/>
    <s v="Jacket"/>
    <n v="2"/>
    <n v="2623.07"/>
    <n v="0.38"/>
    <n v="3223.71"/>
    <n v="1450.69"/>
    <n v="53.01"/>
    <s v="EMI"/>
    <x v="3"/>
    <b v="0"/>
    <x v="1"/>
    <n v="5"/>
  </r>
  <r>
    <s v="ORD-03810"/>
    <x v="1103"/>
    <x v="1103"/>
    <s v="CUST08609"/>
    <s v="Arjun Rao"/>
    <n v="23"/>
    <s v="Female"/>
    <x v="1"/>
    <s v="Mumbai"/>
    <x v="5"/>
    <s v="Smartphone"/>
    <n v="10"/>
    <n v="57591.46"/>
    <n v="0.13"/>
    <n v="797146.87"/>
    <n v="88464.11"/>
    <n v="76.680000000000007"/>
    <s v="EMI"/>
    <x v="3"/>
    <b v="1"/>
    <x v="0"/>
    <n v="6"/>
  </r>
  <r>
    <s v="ORD-00775"/>
    <x v="613"/>
    <x v="613"/>
    <s v="CUST05760"/>
    <s v="Deepa Verma"/>
    <n v="34"/>
    <s v="Other"/>
    <x v="2"/>
    <s v="Chandigarh"/>
    <x v="3"/>
    <s v="Textbook"/>
    <n v="3"/>
    <n v="446.15"/>
    <n v="0.33"/>
    <n v="591.1"/>
    <n v="239.69"/>
    <n v="53.12"/>
    <s v="Debit Card"/>
    <x v="0"/>
    <b v="0"/>
    <x v="4"/>
    <n v="3"/>
  </r>
  <r>
    <s v="ORD-01098"/>
    <x v="1084"/>
    <x v="1084"/>
    <s v="CUST73609"/>
    <s v="Nisha Das"/>
    <n v="38"/>
    <s v="Other"/>
    <x v="0"/>
    <s v="Bhopal"/>
    <x v="5"/>
    <s v="Tablet"/>
    <n v="3"/>
    <n v="54861.77"/>
    <n v="0.25"/>
    <n v="147965.94"/>
    <n v="19461.73"/>
    <n v="30.94"/>
    <s v="Cash on Delivery"/>
    <x v="1"/>
    <b v="0"/>
    <x v="3"/>
    <n v="2"/>
  </r>
  <r>
    <s v="ORD-02186"/>
    <x v="268"/>
    <x v="268"/>
    <s v="CUST37457"/>
    <s v="Pooja Singh"/>
    <n v="35"/>
    <s v="Other"/>
    <x v="0"/>
    <s v="Raipur"/>
    <x v="1"/>
    <s v="Sunscreen"/>
    <n v="1"/>
    <n v="2306.84"/>
    <n v="7.0000000000000007E-2"/>
    <n v="3142.24"/>
    <n v="1403.38"/>
    <n v="57.67"/>
    <s v="Credit Card"/>
    <x v="1"/>
    <b v="0"/>
    <x v="1"/>
    <n v="10"/>
  </r>
  <r>
    <s v="ORD-02455"/>
    <x v="571"/>
    <x v="571"/>
    <s v="CUST78730"/>
    <s v="Ananya Shah"/>
    <n v="30"/>
    <s v="Male"/>
    <x v="2"/>
    <s v="Delhi"/>
    <x v="1"/>
    <s v="Perfume"/>
    <n v="9"/>
    <n v="489.2"/>
    <n v="0.11"/>
    <n v="3465.11"/>
    <n v="1799.02"/>
    <n v="53.71"/>
    <s v="EMI"/>
    <x v="1"/>
    <b v="0"/>
    <x v="1"/>
    <n v="1"/>
  </r>
  <r>
    <s v="ORD-01364"/>
    <x v="370"/>
    <x v="370"/>
    <s v="CUST64778"/>
    <s v="Nisha Bose"/>
    <n v="26"/>
    <s v="Female"/>
    <x v="2"/>
    <s v="Delhi"/>
    <x v="0"/>
    <s v="Dal (1kg)"/>
    <n v="1"/>
    <n v="110.62"/>
    <n v="0.3"/>
    <n v="75.53"/>
    <n v="6.99"/>
    <n v="52.75"/>
    <s v="EMI"/>
    <x v="0"/>
    <b v="1"/>
    <x v="0"/>
    <n v="9"/>
  </r>
  <r>
    <s v="ORD-00694"/>
    <x v="1281"/>
    <x v="1281"/>
    <s v="CUST85469"/>
    <s v="Pooja Bose"/>
    <n v="40"/>
    <s v="Other"/>
    <x v="0"/>
    <s v="Bhopal"/>
    <x v="6"/>
    <s v="Dumbbells"/>
    <n v="3"/>
    <n v="1501.94"/>
    <n v="0.1"/>
    <n v="3166.64"/>
    <n v="579.91999999999996"/>
    <n v="43.07"/>
    <s v="Net Banking"/>
    <x v="2"/>
    <b v="0"/>
    <x v="1"/>
    <n v="5"/>
  </r>
  <r>
    <s v="ORD-03055"/>
    <x v="391"/>
    <x v="391"/>
    <s v="CUST44516"/>
    <s v="Ananya Iyer"/>
    <n v="30"/>
    <s v="Male"/>
    <x v="3"/>
    <s v="Guwahati"/>
    <x v="0"/>
    <s v="Rice (5kg)"/>
    <n v="1"/>
    <n v="228.52"/>
    <n v="0.09"/>
    <n v="307.76"/>
    <n v="24.8"/>
    <n v="61.3"/>
    <s v="Cash on Delivery"/>
    <x v="4"/>
    <b v="0"/>
    <x v="1"/>
    <n v="6"/>
  </r>
  <r>
    <s v="ORD-00043"/>
    <x v="904"/>
    <x v="904"/>
    <s v="CUST34094"/>
    <s v="Ananya Pillai"/>
    <n v="34"/>
    <s v="Other"/>
    <x v="3"/>
    <s v="Guwahati"/>
    <x v="2"/>
    <s v="Chair"/>
    <n v="9"/>
    <n v="20878.86"/>
    <n v="0"/>
    <n v="146912.47"/>
    <n v="46428.4"/>
    <n v="74.599999999999994"/>
    <s v="Credit Card"/>
    <x v="3"/>
    <b v="0"/>
    <x v="3"/>
    <n v="4"/>
  </r>
  <r>
    <s v="ORD-03051"/>
    <x v="1282"/>
    <x v="1282"/>
    <s v="CUST77025"/>
    <s v="Pooja Chatterjee"/>
    <n v="18"/>
    <s v="Female"/>
    <x v="1"/>
    <s v="Mumbai"/>
    <x v="6"/>
    <s v="Football"/>
    <n v="9"/>
    <n v="10111.780000000001"/>
    <n v="0.32"/>
    <n v="83964.06"/>
    <n v="20724.63"/>
    <n v="28.35"/>
    <s v="Credit Card"/>
    <x v="2"/>
    <b v="1"/>
    <x v="0"/>
    <n v="1"/>
  </r>
  <r>
    <s v="ORD-01095"/>
    <x v="103"/>
    <x v="103"/>
    <s v="CUST71557"/>
    <s v="Nikhil Sharma"/>
    <n v="17"/>
    <s v="Other"/>
    <x v="0"/>
    <s v="Bhopal"/>
    <x v="1"/>
    <s v="Hair Oil"/>
    <n v="1"/>
    <n v="860.28"/>
    <n v="0.25"/>
    <n v="905.35"/>
    <n v="407.45"/>
    <n v="84.23"/>
    <s v="Debit Card"/>
    <x v="3"/>
    <b v="0"/>
    <x v="1"/>
    <n v="9"/>
  </r>
  <r>
    <s v="ORD-01448"/>
    <x v="1283"/>
    <x v="1283"/>
    <s v="CUST01241"/>
    <s v="Ritu Singh"/>
    <n v="21"/>
    <s v="Male"/>
    <x v="4"/>
    <s v="Hyderabad"/>
    <x v="5"/>
    <s v="Smartwatch"/>
    <n v="7"/>
    <n v="71550.38"/>
    <n v="0.26"/>
    <n v="327610.96999999997"/>
    <n v="28214.57"/>
    <n v="95.86"/>
    <s v="Debit Card"/>
    <x v="0"/>
    <b v="0"/>
    <x v="4"/>
    <n v="8"/>
  </r>
  <r>
    <s v="ORD-03120"/>
    <x v="379"/>
    <x v="379"/>
    <s v="CUST93065"/>
    <s v="Rohan Bhat"/>
    <n v="42"/>
    <s v="Female"/>
    <x v="0"/>
    <s v="Bhopal"/>
    <x v="3"/>
    <s v="Textbook"/>
    <n v="8"/>
    <n v="919.94"/>
    <n v="0.39"/>
    <n v="5037.13"/>
    <n v="2359.89"/>
    <n v="74.61"/>
    <s v="Credit Card"/>
    <x v="0"/>
    <b v="0"/>
    <x v="4"/>
    <n v="9"/>
  </r>
  <r>
    <s v="ORD-00249"/>
    <x v="351"/>
    <x v="351"/>
    <s v="CUST09291"/>
    <s v="Arjun Mehta"/>
    <n v="46"/>
    <s v="Female"/>
    <x v="1"/>
    <s v="Mumbai"/>
    <x v="3"/>
    <s v="Biography"/>
    <n v="6"/>
    <n v="877.7"/>
    <n v="0.34"/>
    <n v="3376.89"/>
    <n v="1107.53"/>
    <n v="53.93"/>
    <s v="Credit Card"/>
    <x v="2"/>
    <b v="0"/>
    <x v="3"/>
    <n v="1"/>
  </r>
  <r>
    <s v="ORD-00709"/>
    <x v="164"/>
    <x v="164"/>
    <s v="CUST65141"/>
    <s v="Pooja Patel"/>
    <n v="9"/>
    <s v="Female"/>
    <x v="2"/>
    <s v="Amritsar"/>
    <x v="4"/>
    <s v="Kurta"/>
    <n v="7"/>
    <n v="1944.27"/>
    <n v="0.09"/>
    <n v="8367.7199999999993"/>
    <n v="3099.18"/>
    <n v="41.07"/>
    <s v="EMI"/>
    <x v="2"/>
    <b v="1"/>
    <x v="0"/>
    <n v="9"/>
  </r>
  <r>
    <s v="ORD-01180"/>
    <x v="1284"/>
    <x v="1284"/>
    <s v="CUST50029"/>
    <s v="Aditya Nair"/>
    <n v="47"/>
    <s v="Male"/>
    <x v="3"/>
    <s v="Kolkata"/>
    <x v="6"/>
    <s v="Yoga Mat"/>
    <n v="10"/>
    <n v="11322.84"/>
    <n v="0.32"/>
    <n v="101284.81"/>
    <n v="16342.96"/>
    <n v="65.25"/>
    <s v="Net Banking"/>
    <x v="1"/>
    <b v="0"/>
    <x v="1"/>
    <n v="8"/>
  </r>
  <r>
    <s v="ORD-03451"/>
    <x v="879"/>
    <x v="879"/>
    <s v="CUST41962"/>
    <s v="Meera Verma"/>
    <n v="25"/>
    <s v="Other"/>
    <x v="1"/>
    <s v="Ahmedabad"/>
    <x v="5"/>
    <s v="Headphones"/>
    <n v="6"/>
    <n v="29123.87"/>
    <n v="0.27"/>
    <n v="151990.82999999999"/>
    <n v="18816.93"/>
    <n v="65.28"/>
    <s v="Credit Card"/>
    <x v="4"/>
    <b v="1"/>
    <x v="0"/>
    <n v="3"/>
  </r>
  <r>
    <s v="ORD-02127"/>
    <x v="648"/>
    <x v="648"/>
    <s v="CUST94881"/>
    <s v="Aditya Das"/>
    <n v="24"/>
    <s v="Female"/>
    <x v="4"/>
    <s v="Bangalore"/>
    <x v="3"/>
    <s v="Self-Help Book"/>
    <n v="5"/>
    <n v="1265.3599999999999"/>
    <n v="0.03"/>
    <n v="8924.6299999999992"/>
    <n v="3374.31"/>
    <n v="72.97"/>
    <s v="Cash on Delivery"/>
    <x v="3"/>
    <b v="0"/>
    <x v="1"/>
    <n v="5"/>
  </r>
  <r>
    <s v="ORD-01450"/>
    <x v="1285"/>
    <x v="1285"/>
    <s v="CUST04445"/>
    <s v="Rahul Shah"/>
    <n v="55"/>
    <s v="Other"/>
    <x v="2"/>
    <s v="Amritsar"/>
    <x v="1"/>
    <s v="Shampoo"/>
    <n v="8"/>
    <n v="2387.85"/>
    <n v="0.03"/>
    <n v="16986.77"/>
    <n v="9892.56"/>
    <n v="51.89"/>
    <s v="Cash on Delivery"/>
    <x v="2"/>
    <b v="0"/>
    <x v="3"/>
    <n v="1"/>
  </r>
  <r>
    <s v="ORD-03628"/>
    <x v="686"/>
    <x v="686"/>
    <s v="CUST29710"/>
    <s v="Aarav Mehta"/>
    <n v="30"/>
    <s v="Male"/>
    <x v="2"/>
    <s v="Chandigarh"/>
    <x v="2"/>
    <s v="Desk"/>
    <n v="7"/>
    <n v="3546.07"/>
    <n v="0.36"/>
    <n v="24765.72"/>
    <n v="7503.38"/>
    <n v="51.04"/>
    <s v="Debit Card"/>
    <x v="2"/>
    <b v="0"/>
    <x v="1"/>
    <n v="9"/>
  </r>
  <r>
    <s v="ORD-02448"/>
    <x v="312"/>
    <x v="312"/>
    <s v="CUST48568"/>
    <s v="Priya Chatterjee"/>
    <n v="37"/>
    <s v="Other"/>
    <x v="4"/>
    <s v="Hyderabad"/>
    <x v="3"/>
    <s v="Biography"/>
    <n v="1"/>
    <n v="1315.36"/>
    <n v="0.14000000000000001"/>
    <n v="962.09"/>
    <n v="365.81"/>
    <n v="67.33"/>
    <s v="Cash on Delivery"/>
    <x v="2"/>
    <b v="1"/>
    <x v="0"/>
    <n v="2"/>
  </r>
  <r>
    <s v="ORD-00224"/>
    <x v="1034"/>
    <x v="1034"/>
    <s v="CUST28783"/>
    <s v="Rahul Rao"/>
    <n v="25"/>
    <s v="Female"/>
    <x v="1"/>
    <s v="Ahmedabad"/>
    <x v="0"/>
    <s v="Cooking Oil"/>
    <n v="2"/>
    <n v="62.44"/>
    <n v="0.3"/>
    <n v="90.55"/>
    <n v="8.3699999999999992"/>
    <n v="56.9"/>
    <s v="Credit Card"/>
    <x v="1"/>
    <b v="1"/>
    <x v="0"/>
    <n v="7"/>
  </r>
  <r>
    <s v="ORD-03193"/>
    <x v="714"/>
    <x v="714"/>
    <s v="CUST32406"/>
    <s v="Deepa Singh"/>
    <n v="34"/>
    <s v="Other"/>
    <x v="1"/>
    <s v="Pune"/>
    <x v="1"/>
    <s v="Perfume"/>
    <n v="7"/>
    <n v="2256.81"/>
    <n v="0.2"/>
    <n v="13177.14"/>
    <n v="8944.51"/>
    <n v="59.68"/>
    <s v="UPI"/>
    <x v="2"/>
    <b v="0"/>
    <x v="1"/>
    <n v="10"/>
  </r>
  <r>
    <s v="ORD-00690"/>
    <x v="1072"/>
    <x v="1072"/>
    <s v="CUST28753"/>
    <s v="Priya Verma"/>
    <n v="34"/>
    <s v="Other"/>
    <x v="1"/>
    <s v="Ahmedabad"/>
    <x v="6"/>
    <s v="Cycle"/>
    <n v="4"/>
    <n v="12892.31"/>
    <n v="0.01"/>
    <n v="32649.55"/>
    <n v="7568.86"/>
    <n v="62.34"/>
    <s v="UPI"/>
    <x v="0"/>
    <b v="0"/>
    <x v="1"/>
    <n v="3"/>
  </r>
  <r>
    <s v="ORD-00665"/>
    <x v="434"/>
    <x v="434"/>
    <s v="CUST66018"/>
    <s v="Aditya Joshi"/>
    <n v="29"/>
    <s v="Female"/>
    <x v="2"/>
    <s v="Amritsar"/>
    <x v="0"/>
    <s v="Cooking Oil"/>
    <n v="8"/>
    <n v="421.35"/>
    <n v="0.33"/>
    <n v="1863.59"/>
    <n v="143.5"/>
    <n v="62.73"/>
    <s v="UPI"/>
    <x v="4"/>
    <b v="1"/>
    <x v="0"/>
    <n v="7"/>
  </r>
  <r>
    <s v="ORD-03860"/>
    <x v="777"/>
    <x v="777"/>
    <s v="CUST32006"/>
    <s v="Priya Bose"/>
    <n v="16"/>
    <s v="Male"/>
    <x v="2"/>
    <s v="Chandigarh"/>
    <x v="0"/>
    <s v="Dal (1kg)"/>
    <n v="5"/>
    <n v="390.62"/>
    <n v="0.13"/>
    <n v="2661.75"/>
    <n v="149.41"/>
    <n v="72.2"/>
    <s v="UPI"/>
    <x v="1"/>
    <b v="0"/>
    <x v="1"/>
    <n v="5"/>
  </r>
  <r>
    <s v="ORD-01877"/>
    <x v="942"/>
    <x v="942"/>
    <s v="CUST48958"/>
    <s v="Ritu Sharma"/>
    <n v="39"/>
    <s v="Male"/>
    <x v="4"/>
    <s v="Bangalore"/>
    <x v="3"/>
    <s v="Fiction Novel"/>
    <n v="1"/>
    <n v="801.96"/>
    <n v="0.04"/>
    <n v="1115.18"/>
    <n v="461.7"/>
    <n v="65.930000000000007"/>
    <s v="Cash on Delivery"/>
    <x v="1"/>
    <b v="0"/>
    <x v="1"/>
    <n v="2"/>
  </r>
  <r>
    <s v="ORD-03189"/>
    <x v="944"/>
    <x v="944"/>
    <s v="CUST05334"/>
    <s v="Shreya Joshi"/>
    <n v="31"/>
    <s v="Male"/>
    <x v="2"/>
    <s v="Ludhiana"/>
    <x v="3"/>
    <s v="Biography"/>
    <n v="9"/>
    <n v="991.57"/>
    <n v="0.36"/>
    <n v="6481.41"/>
    <n v="2354.0500000000002"/>
    <n v="85.05"/>
    <s v="Debit Card"/>
    <x v="4"/>
    <b v="0"/>
    <x v="1"/>
    <n v="4"/>
  </r>
  <r>
    <s v="ORD-01437"/>
    <x v="1286"/>
    <x v="1286"/>
    <s v="CUST07360"/>
    <s v="Meera Kapoor"/>
    <n v="34"/>
    <s v="Other"/>
    <x v="1"/>
    <s v="Pune"/>
    <x v="3"/>
    <s v="Biography"/>
    <n v="10"/>
    <n v="1010.53"/>
    <n v="0.01"/>
    <n v="9699.8700000000008"/>
    <n v="4504.03"/>
    <n v="38.090000000000003"/>
    <s v="Credit Card"/>
    <x v="0"/>
    <b v="0"/>
    <x v="2"/>
    <n v="1"/>
  </r>
  <r>
    <s v="ORD-03003"/>
    <x v="352"/>
    <x v="352"/>
    <s v="CUST08739"/>
    <s v="Meera Kapoor"/>
    <n v="34"/>
    <s v="Other"/>
    <x v="4"/>
    <s v="Chennai"/>
    <x v="5"/>
    <s v="Headphones"/>
    <n v="10"/>
    <n v="76450.070000000007"/>
    <n v="0.02"/>
    <n v="1182709.24"/>
    <n v="198109.98"/>
    <n v="72.05"/>
    <s v="Net Banking"/>
    <x v="3"/>
    <b v="0"/>
    <x v="1"/>
    <n v="3"/>
  </r>
  <r>
    <s v="ORD-03345"/>
    <x v="558"/>
    <x v="558"/>
    <s v="CUST37057"/>
    <s v="Kavya Kapoor"/>
    <n v="53"/>
    <s v="Female"/>
    <x v="2"/>
    <s v="Amritsar"/>
    <x v="5"/>
    <s v="Headphones"/>
    <n v="1"/>
    <n v="23254.63"/>
    <n v="0.01"/>
    <n v="20122.419999999998"/>
    <n v="2165.17"/>
    <n v="35.380000000000003"/>
    <s v="Debit Card"/>
    <x v="1"/>
    <b v="0"/>
    <x v="1"/>
    <n v="7"/>
  </r>
  <r>
    <s v="ORD-04129"/>
    <x v="342"/>
    <x v="342"/>
    <s v="CUST74208"/>
    <s v="Kavya Bose"/>
    <n v="12"/>
    <s v="Male"/>
    <x v="2"/>
    <s v="Delhi"/>
    <x v="5"/>
    <s v="Laptop"/>
    <n v="2"/>
    <n v="20309.39"/>
    <n v="0.15"/>
    <n v="30407.42"/>
    <n v="3438.98"/>
    <n v="38.43"/>
    <s v="Debit Card"/>
    <x v="3"/>
    <b v="0"/>
    <x v="1"/>
    <n v="4"/>
  </r>
  <r>
    <s v="ORD-03173"/>
    <x v="196"/>
    <x v="196"/>
    <s v="CUST89046"/>
    <s v="Shreya Mishra"/>
    <n v="44"/>
    <s v="Female"/>
    <x v="1"/>
    <s v="Pune"/>
    <x v="6"/>
    <s v="Football"/>
    <n v="4"/>
    <n v="12573.57"/>
    <n v="0.38"/>
    <n v="32140.85"/>
    <n v="8492.7199999999993"/>
    <n v="47"/>
    <s v="Credit Card"/>
    <x v="0"/>
    <b v="0"/>
    <x v="1"/>
    <n v="4"/>
  </r>
  <r>
    <s v="ORD-00429"/>
    <x v="501"/>
    <x v="501"/>
    <s v="CUST64265"/>
    <s v="Ritu Iyer"/>
    <n v="43"/>
    <s v="Other"/>
    <x v="2"/>
    <s v="Chandigarh"/>
    <x v="1"/>
    <s v="Hair Oil"/>
    <n v="10"/>
    <n v="353.1"/>
    <n v="0.21"/>
    <n v="3859.71"/>
    <n v="2002.38"/>
    <n v="60.45"/>
    <s v="Debit Card"/>
    <x v="3"/>
    <b v="0"/>
    <x v="1"/>
    <n v="8"/>
  </r>
  <r>
    <s v="ORD-03332"/>
    <x v="608"/>
    <x v="608"/>
    <s v="CUST93234"/>
    <s v="Aditya Patel"/>
    <n v="20"/>
    <s v="Female"/>
    <x v="0"/>
    <s v="Bhopal"/>
    <x v="5"/>
    <s v="Laptop"/>
    <n v="9"/>
    <n v="19431.419999999998"/>
    <n v="0.21"/>
    <n v="144718.35999999999"/>
    <n v="17340.490000000002"/>
    <n v="58.66"/>
    <s v="UPI"/>
    <x v="3"/>
    <b v="0"/>
    <x v="4"/>
    <n v="9"/>
  </r>
  <r>
    <s v="ORD-02074"/>
    <x v="679"/>
    <x v="679"/>
    <s v="CUST45847"/>
    <s v="Ananya Bose"/>
    <n v="53"/>
    <s v="Other"/>
    <x v="3"/>
    <s v="Guwahati"/>
    <x v="0"/>
    <s v="Cooking Oil"/>
    <n v="1"/>
    <n v="365.27"/>
    <n v="0.16"/>
    <n v="496.1"/>
    <n v="27.14"/>
    <n v="70.650000000000006"/>
    <s v="Net Banking"/>
    <x v="2"/>
    <b v="0"/>
    <x v="3"/>
    <n v="2"/>
  </r>
  <r>
    <s v="ORD-02787"/>
    <x v="926"/>
    <x v="926"/>
    <s v="CUST78026"/>
    <s v="Amit Nair"/>
    <n v="31"/>
    <s v="Female"/>
    <x v="0"/>
    <s v="Raipur"/>
    <x v="5"/>
    <s v="Tablet"/>
    <n v="3"/>
    <n v="57936.22"/>
    <n v="0.01"/>
    <n v="270335.19"/>
    <n v="40002.800000000003"/>
    <n v="70.989999999999995"/>
    <s v="Net Banking"/>
    <x v="4"/>
    <b v="1"/>
    <x v="0"/>
    <n v="3"/>
  </r>
  <r>
    <s v="ORD-02623"/>
    <x v="1287"/>
    <x v="1287"/>
    <s v="CUST26102"/>
    <s v="Vikram Rao"/>
    <n v="24"/>
    <s v="Female"/>
    <x v="1"/>
    <s v="Surat"/>
    <x v="0"/>
    <s v="Rice (5kg)"/>
    <n v="9"/>
    <n v="278.27"/>
    <n v="0.36"/>
    <n v="1742.13"/>
    <n v="147.02000000000001"/>
    <n v="66.790000000000006"/>
    <s v="UPI"/>
    <x v="2"/>
    <b v="1"/>
    <x v="0"/>
    <n v="3"/>
  </r>
  <r>
    <s v="ORD-01963"/>
    <x v="488"/>
    <x v="488"/>
    <s v="CUST48981"/>
    <s v="Rahul Bhat"/>
    <n v="34"/>
    <s v="Female"/>
    <x v="1"/>
    <s v="Ahmedabad"/>
    <x v="4"/>
    <s v="Saree"/>
    <n v="6"/>
    <n v="3595.66"/>
    <n v="0.08"/>
    <n v="28857.83"/>
    <n v="14157.85"/>
    <n v="33.61"/>
    <s v="Net Banking"/>
    <x v="0"/>
    <b v="0"/>
    <x v="1"/>
    <n v="5"/>
  </r>
  <r>
    <s v="ORD-02140"/>
    <x v="1288"/>
    <x v="1288"/>
    <s v="CUST21643"/>
    <s v="Shreya Mehta"/>
    <n v="26"/>
    <s v="Female"/>
    <x v="2"/>
    <s v="Amritsar"/>
    <x v="3"/>
    <s v="Fiction Novel"/>
    <n v="6"/>
    <n v="868.63"/>
    <n v="0.18"/>
    <n v="5798"/>
    <n v="3070"/>
    <n v="44.25"/>
    <s v="Net Banking"/>
    <x v="2"/>
    <b v="0"/>
    <x v="4"/>
    <n v="7"/>
  </r>
  <r>
    <s v="ORD-01017"/>
    <x v="96"/>
    <x v="96"/>
    <s v="CUST14507"/>
    <s v="Meera Mishra"/>
    <n v="39"/>
    <s v="Female"/>
    <x v="3"/>
    <s v="Patna"/>
    <x v="3"/>
    <s v="Self-Help Book"/>
    <n v="2"/>
    <n v="742.65"/>
    <n v="0.39"/>
    <n v="1191.31"/>
    <n v="548.78"/>
    <n v="71.69"/>
    <s v="UPI"/>
    <x v="2"/>
    <b v="0"/>
    <x v="1"/>
    <n v="7"/>
  </r>
  <r>
    <s v="ORD-01728"/>
    <x v="411"/>
    <x v="411"/>
    <s v="CUST08152"/>
    <s v="Arjun Pillai"/>
    <n v="14"/>
    <s v="Female"/>
    <x v="3"/>
    <s v="Kolkata"/>
    <x v="1"/>
    <s v="Sunscreen"/>
    <n v="5"/>
    <n v="2361.0700000000002"/>
    <n v="0.36"/>
    <n v="6532.57"/>
    <n v="2671.52"/>
    <n v="102.42"/>
    <s v="Credit Card"/>
    <x v="2"/>
    <b v="0"/>
    <x v="1"/>
    <n v="1"/>
  </r>
  <r>
    <s v="ORD-02277"/>
    <x v="921"/>
    <x v="921"/>
    <s v="CUST41635"/>
    <s v="Priya Pillai"/>
    <n v="22"/>
    <s v="Female"/>
    <x v="2"/>
    <s v="Amritsar"/>
    <x v="5"/>
    <s v="Laptop"/>
    <n v="4"/>
    <n v="63972.59"/>
    <n v="0.28000000000000003"/>
    <n v="208355.63"/>
    <n v="16914.36"/>
    <n v="37.35"/>
    <s v="UPI"/>
    <x v="4"/>
    <b v="0"/>
    <x v="3"/>
    <n v="7"/>
  </r>
  <r>
    <s v="ORD-03550"/>
    <x v="968"/>
    <x v="968"/>
    <s v="CUST71158"/>
    <s v="Ananya Bose"/>
    <n v="10"/>
    <s v="Other"/>
    <x v="2"/>
    <s v="Amritsar"/>
    <x v="3"/>
    <s v="Textbook"/>
    <n v="4"/>
    <n v="306.02"/>
    <n v="0.39"/>
    <n v="1006.23"/>
    <n v="419.1"/>
    <n v="74.930000000000007"/>
    <s v="Debit Card"/>
    <x v="0"/>
    <b v="0"/>
    <x v="1"/>
    <n v="9"/>
  </r>
  <r>
    <s v="ORD-02675"/>
    <x v="625"/>
    <x v="625"/>
    <s v="CUST02795"/>
    <s v="Karan Mehta"/>
    <n v="36"/>
    <s v="Other"/>
    <x v="4"/>
    <s v="Bangalore"/>
    <x v="0"/>
    <s v="Cooking Oil"/>
    <n v="9"/>
    <n v="57.61"/>
    <n v="0.28999999999999998"/>
    <n v="449.35"/>
    <n v="35.51"/>
    <n v="88.76"/>
    <s v="EMI"/>
    <x v="4"/>
    <b v="0"/>
    <x v="1"/>
    <n v="4"/>
  </r>
  <r>
    <s v="ORD-01124"/>
    <x v="939"/>
    <x v="939"/>
    <s v="CUST87218"/>
    <s v="Vikram Patel"/>
    <n v="34"/>
    <s v="Other"/>
    <x v="0"/>
    <s v="Indore"/>
    <x v="2"/>
    <s v="Desk"/>
    <n v="1"/>
    <n v="21498.18"/>
    <n v="0.38"/>
    <n v="20079.84"/>
    <n v="4432.74"/>
    <n v="52.5"/>
    <s v="Debit Card"/>
    <x v="4"/>
    <b v="0"/>
    <x v="3"/>
    <n v="1"/>
  </r>
  <r>
    <s v="ORD-02920"/>
    <x v="822"/>
    <x v="822"/>
    <s v="CUST13418"/>
    <s v="Aarav Pillai"/>
    <n v="26"/>
    <s v="Other"/>
    <x v="4"/>
    <s v="Kochi"/>
    <x v="3"/>
    <s v="Self-Help Book"/>
    <n v="6"/>
    <n v="254.61"/>
    <n v="0.35"/>
    <n v="1558.67"/>
    <n v="563.70000000000005"/>
    <n v="74.55"/>
    <s v="UPI"/>
    <x v="2"/>
    <b v="0"/>
    <x v="3"/>
    <n v="7"/>
  </r>
  <r>
    <s v="ORD-03057"/>
    <x v="931"/>
    <x v="931"/>
    <s v="CUST99865"/>
    <s v="Nikhil Reddy"/>
    <n v="23"/>
    <s v="Other"/>
    <x v="3"/>
    <s v="Patna"/>
    <x v="5"/>
    <s v="Laptop"/>
    <n v="10"/>
    <n v="67990.05"/>
    <n v="0.1"/>
    <n v="962865.37"/>
    <n v="103582.22"/>
    <n v="91.72"/>
    <s v="UPI"/>
    <x v="0"/>
    <b v="0"/>
    <x v="1"/>
    <n v="8"/>
  </r>
  <r>
    <s v="ORD-00598"/>
    <x v="341"/>
    <x v="341"/>
    <s v="CUST89742"/>
    <s v="Vikram Sharma"/>
    <n v="29"/>
    <s v="Female"/>
    <x v="3"/>
    <s v="Guwahati"/>
    <x v="3"/>
    <s v="Biography"/>
    <n v="4"/>
    <n v="1449.53"/>
    <n v="0.39"/>
    <n v="3044.42"/>
    <n v="1101.47"/>
    <n v="58.44"/>
    <s v="UPI"/>
    <x v="0"/>
    <b v="0"/>
    <x v="1"/>
    <n v="7"/>
  </r>
  <r>
    <s v="ORD-01726"/>
    <x v="1289"/>
    <x v="1289"/>
    <s v="CUST66954"/>
    <s v="Kavya Singh"/>
    <n v="28"/>
    <s v="Female"/>
    <x v="3"/>
    <s v="Kolkata"/>
    <x v="2"/>
    <s v="Bed Frame"/>
    <n v="3"/>
    <n v="22715.24"/>
    <n v="0.26"/>
    <n v="47070.16"/>
    <n v="14935.41"/>
    <n v="83.56"/>
    <s v="UPI"/>
    <x v="2"/>
    <b v="0"/>
    <x v="1"/>
    <n v="8"/>
  </r>
  <r>
    <s v="ORD-03498"/>
    <x v="1290"/>
    <x v="1290"/>
    <s v="CUST03536"/>
    <s v="Karan Das"/>
    <n v="55"/>
    <s v="Male"/>
    <x v="1"/>
    <s v="Pune"/>
    <x v="1"/>
    <s v="Face Cream"/>
    <n v="1"/>
    <n v="356.08"/>
    <n v="0.16"/>
    <n v="293.48"/>
    <n v="113.23"/>
    <n v="49.34"/>
    <s v="UPI"/>
    <x v="0"/>
    <b v="0"/>
    <x v="1"/>
    <n v="8"/>
  </r>
  <r>
    <s v="ORD-00588"/>
    <x v="1057"/>
    <x v="1057"/>
    <s v="CUST24071"/>
    <s v="Pooja Joshi"/>
    <n v="40"/>
    <s v="Male"/>
    <x v="1"/>
    <s v="Ahmedabad"/>
    <x v="1"/>
    <s v="Shampoo"/>
    <n v="3"/>
    <n v="2164.7199999999998"/>
    <n v="0.31"/>
    <n v="3914.75"/>
    <n v="2019.53"/>
    <n v="42.56"/>
    <s v="Cash on Delivery"/>
    <x v="4"/>
    <b v="0"/>
    <x v="4"/>
    <n v="7"/>
  </r>
  <r>
    <s v="ORD-00667"/>
    <x v="463"/>
    <x v="463"/>
    <s v="CUST93755"/>
    <s v="Amit Nair"/>
    <n v="47"/>
    <s v="Female"/>
    <x v="4"/>
    <s v="Kochi"/>
    <x v="1"/>
    <s v="Shampoo"/>
    <n v="8"/>
    <n v="155.44"/>
    <n v="0.23"/>
    <n v="882.09"/>
    <n v="419.32"/>
    <n v="56.84"/>
    <s v="Debit Card"/>
    <x v="2"/>
    <b v="0"/>
    <x v="1"/>
    <n v="7"/>
  </r>
  <r>
    <s v="ORD-00018"/>
    <x v="1091"/>
    <x v="1091"/>
    <s v="CUST36404"/>
    <s v="Pooja Iyer"/>
    <n v="13"/>
    <s v="Other"/>
    <x v="1"/>
    <s v="Pune"/>
    <x v="5"/>
    <s v="Laptop"/>
    <n v="9"/>
    <n v="77654.78"/>
    <n v="0.22"/>
    <n v="381614.84"/>
    <n v="51058.62"/>
    <n v="52.7"/>
    <s v="Credit Card"/>
    <x v="3"/>
    <b v="0"/>
    <x v="3"/>
    <n v="10"/>
  </r>
  <r>
    <s v="ORD-02708"/>
    <x v="1291"/>
    <x v="1291"/>
    <s v="CUST34073"/>
    <s v="Amit Sharma"/>
    <n v="27"/>
    <s v="Male"/>
    <x v="4"/>
    <s v="Chennai"/>
    <x v="3"/>
    <s v="Textbook"/>
    <n v="3"/>
    <n v="435.38"/>
    <n v="0.27"/>
    <n v="1015.42"/>
    <n v="374.01"/>
    <n v="46.53"/>
    <s v="Net Banking"/>
    <x v="4"/>
    <b v="0"/>
    <x v="1"/>
    <n v="10"/>
  </r>
  <r>
    <s v="ORD-01956"/>
    <x v="882"/>
    <x v="882"/>
    <s v="CUST35857"/>
    <s v="Nisha Patel"/>
    <n v="48"/>
    <s v="Other"/>
    <x v="3"/>
    <s v="Kolkata"/>
    <x v="1"/>
    <s v="Face Cream"/>
    <n v="2"/>
    <n v="722.06"/>
    <n v="0.2"/>
    <n v="2091.67"/>
    <n v="471.88"/>
    <n v="87.98"/>
    <s v="Net Banking"/>
    <x v="1"/>
    <b v="0"/>
    <x v="4"/>
    <n v="3"/>
  </r>
  <r>
    <s v="ORD-02113"/>
    <x v="734"/>
    <x v="734"/>
    <s v="CUST19165"/>
    <s v="Aditya Kapoor"/>
    <n v="28"/>
    <s v="Female"/>
    <x v="4"/>
    <s v="Hyderabad"/>
    <x v="0"/>
    <s v="Cooking Oil"/>
    <n v="3"/>
    <n v="187.48"/>
    <n v="0.13"/>
    <n v="717.47"/>
    <n v="70.37"/>
    <n v="77.819999999999993"/>
    <s v="EMI"/>
    <x v="4"/>
    <b v="0"/>
    <x v="1"/>
    <n v="10"/>
  </r>
  <r>
    <s v="ORD-01255"/>
    <x v="1092"/>
    <x v="1092"/>
    <s v="CUST86441"/>
    <s v="Kavya Patel"/>
    <n v="36"/>
    <s v="Male"/>
    <x v="2"/>
    <s v="Amritsar"/>
    <x v="5"/>
    <s v="Smartphone"/>
    <n v="1"/>
    <n v="60275.27"/>
    <n v="0.06"/>
    <n v="74194.61"/>
    <n v="8194.66"/>
    <n v="64.8"/>
    <s v="Net Banking"/>
    <x v="2"/>
    <b v="0"/>
    <x v="2"/>
    <n v="1"/>
  </r>
  <r>
    <s v="ORD-03575"/>
    <x v="1292"/>
    <x v="1292"/>
    <s v="CUST61605"/>
    <s v="Kavya Reddy"/>
    <n v="46"/>
    <s v="Female"/>
    <x v="3"/>
    <s v="Guwahati"/>
    <x v="6"/>
    <s v="Yoga Mat"/>
    <n v="7"/>
    <n v="13076.37"/>
    <n v="0.06"/>
    <n v="136693.89000000001"/>
    <n v="34072.35"/>
    <n v="89.88"/>
    <s v="Credit Card"/>
    <x v="1"/>
    <b v="0"/>
    <x v="1"/>
    <n v="8"/>
  </r>
  <r>
    <s v="ORD-03837"/>
    <x v="241"/>
    <x v="241"/>
    <s v="CUST54910"/>
    <s v="Rahul Bhat"/>
    <n v="29"/>
    <s v="Female"/>
    <x v="3"/>
    <s v="Patna"/>
    <x v="6"/>
    <s v="Tennis Racket"/>
    <n v="1"/>
    <n v="14799.57"/>
    <n v="0.31"/>
    <n v="18615.04"/>
    <n v="2577.83"/>
    <n v="93.94"/>
    <s v="Net Banking"/>
    <x v="4"/>
    <b v="0"/>
    <x v="3"/>
    <n v="4"/>
  </r>
  <r>
    <s v="ORD-02205"/>
    <x v="1293"/>
    <x v="1293"/>
    <s v="CUST91054"/>
    <s v="Shreya Chatterjee"/>
    <n v="14"/>
    <s v="Other"/>
    <x v="2"/>
    <s v="Ludhiana"/>
    <x v="1"/>
    <s v="Face Cream"/>
    <n v="4"/>
    <n v="894.71"/>
    <n v="0.06"/>
    <n v="4573.8"/>
    <n v="2107.23"/>
    <n v="40.06"/>
    <s v="Debit Card"/>
    <x v="4"/>
    <b v="1"/>
    <x v="0"/>
    <n v="3"/>
  </r>
  <r>
    <s v="ORD-01498"/>
    <x v="605"/>
    <x v="605"/>
    <s v="CUST49593"/>
    <s v="Arjun Kapoor"/>
    <n v="29"/>
    <s v="Male"/>
    <x v="2"/>
    <s v="Delhi"/>
    <x v="1"/>
    <s v="Hair Oil"/>
    <n v="1"/>
    <n v="1351.86"/>
    <n v="0.02"/>
    <n v="984.4"/>
    <n v="308.39"/>
    <n v="59.52"/>
    <s v="Credit Card"/>
    <x v="2"/>
    <b v="0"/>
    <x v="1"/>
    <n v="8"/>
  </r>
  <r>
    <s v="ORD-01344"/>
    <x v="1093"/>
    <x v="1093"/>
    <s v="CUST50875"/>
    <s v="Aditya Sharma"/>
    <n v="24"/>
    <s v="Male"/>
    <x v="1"/>
    <s v="Surat"/>
    <x v="6"/>
    <s v="Tennis Racket"/>
    <n v="3"/>
    <n v="13785.98"/>
    <n v="0.06"/>
    <n v="45600.79"/>
    <n v="9994.7800000000007"/>
    <n v="77.7"/>
    <s v="Cash on Delivery"/>
    <x v="1"/>
    <b v="0"/>
    <x v="1"/>
    <n v="8"/>
  </r>
  <r>
    <s v="ORD-01770"/>
    <x v="1294"/>
    <x v="1294"/>
    <s v="CUST16064"/>
    <s v="Ananya Pillai"/>
    <n v="53"/>
    <s v="Other"/>
    <x v="1"/>
    <s v="Surat"/>
    <x v="2"/>
    <s v="Bookshelf"/>
    <n v="2"/>
    <n v="26063.7"/>
    <n v="0.01"/>
    <n v="55430.07"/>
    <n v="15320.6"/>
    <n v="52.28"/>
    <s v="Cash on Delivery"/>
    <x v="0"/>
    <b v="0"/>
    <x v="1"/>
    <n v="2"/>
  </r>
  <r>
    <s v="ORD-02414"/>
    <x v="1006"/>
    <x v="1006"/>
    <s v="CUST28757"/>
    <s v="Meera Kapoor"/>
    <n v="43"/>
    <s v="Other"/>
    <x v="0"/>
    <s v="Bhopal"/>
    <x v="3"/>
    <s v="Textbook"/>
    <n v="6"/>
    <n v="1444.95"/>
    <n v="0.19"/>
    <n v="6041.34"/>
    <n v="2352.1999999999998"/>
    <n v="58.8"/>
    <s v="UPI"/>
    <x v="0"/>
    <b v="0"/>
    <x v="1"/>
    <n v="4"/>
  </r>
  <r>
    <s v="ORD-00646"/>
    <x v="831"/>
    <x v="831"/>
    <s v="CUST29116"/>
    <s v="Shreya Gupta"/>
    <n v="30"/>
    <s v="Male"/>
    <x v="3"/>
    <s v="Guwahati"/>
    <x v="6"/>
    <s v="Football"/>
    <n v="7"/>
    <n v="14669.86"/>
    <n v="0.03"/>
    <n v="88163.95"/>
    <n v="19639.12"/>
    <n v="61"/>
    <s v="EMI"/>
    <x v="1"/>
    <b v="0"/>
    <x v="1"/>
    <n v="2"/>
  </r>
  <r>
    <s v="ORD-00457"/>
    <x v="214"/>
    <x v="214"/>
    <s v="CUST62741"/>
    <s v="Meera Pillai"/>
    <n v="39"/>
    <s v="Male"/>
    <x v="1"/>
    <s v="Pune"/>
    <x v="3"/>
    <s v="Comic Book"/>
    <n v="6"/>
    <n v="214.61"/>
    <n v="0.1"/>
    <n v="1705.11"/>
    <n v="803.75"/>
    <n v="59.79"/>
    <s v="Net Banking"/>
    <x v="4"/>
    <b v="1"/>
    <x v="0"/>
    <n v="5"/>
  </r>
  <r>
    <s v="ORD-02034"/>
    <x v="915"/>
    <x v="915"/>
    <s v="CUST52824"/>
    <s v="Sanjay Rao"/>
    <n v="45"/>
    <s v="Male"/>
    <x v="3"/>
    <s v="Bhubaneswar"/>
    <x v="4"/>
    <s v="Kurta"/>
    <n v="3"/>
    <n v="3907.45"/>
    <n v="7.0000000000000007E-2"/>
    <n v="16325.84"/>
    <n v="7720.27"/>
    <n v="94.28"/>
    <s v="EMI"/>
    <x v="2"/>
    <b v="0"/>
    <x v="1"/>
    <n v="5"/>
  </r>
  <r>
    <s v="ORD-01319"/>
    <x v="279"/>
    <x v="279"/>
    <s v="CUST97277"/>
    <s v="Pooja Pillai"/>
    <n v="31"/>
    <s v="Other"/>
    <x v="3"/>
    <s v="Guwahati"/>
    <x v="0"/>
    <s v="Sugar"/>
    <n v="1"/>
    <n v="446.2"/>
    <n v="0.12"/>
    <n v="424.33"/>
    <n v="36.33"/>
    <n v="85.34"/>
    <s v="Cash on Delivery"/>
    <x v="2"/>
    <b v="0"/>
    <x v="1"/>
    <n v="7"/>
  </r>
  <r>
    <s v="ORD-03381"/>
    <x v="1266"/>
    <x v="1266"/>
    <s v="CUST00337"/>
    <s v="Aditya Mishra"/>
    <n v="44"/>
    <s v="Other"/>
    <x v="4"/>
    <s v="Kochi"/>
    <x v="6"/>
    <s v="Cycle"/>
    <n v="2"/>
    <n v="2101.38"/>
    <n v="0.37"/>
    <n v="2358.4299999999998"/>
    <n v="543.20000000000005"/>
    <n v="90.14"/>
    <s v="Credit Card"/>
    <x v="4"/>
    <b v="1"/>
    <x v="0"/>
    <n v="6"/>
  </r>
  <r>
    <s v="ORD-00813"/>
    <x v="1055"/>
    <x v="1055"/>
    <s v="CUST99023"/>
    <s v="Nikhil Nair"/>
    <n v="29"/>
    <s v="Female"/>
    <x v="2"/>
    <s v="Amritsar"/>
    <x v="2"/>
    <s v="Bookshelf"/>
    <n v="3"/>
    <n v="6110.59"/>
    <n v="0.37"/>
    <n v="8446.52"/>
    <n v="2197.3000000000002"/>
    <n v="23.22"/>
    <s v="Net Banking"/>
    <x v="0"/>
    <b v="0"/>
    <x v="1"/>
    <n v="9"/>
  </r>
  <r>
    <s v="ORD-00309"/>
    <x v="1295"/>
    <x v="1295"/>
    <s v="CUST17538"/>
    <s v="Amit Verma"/>
    <n v="27"/>
    <s v="Female"/>
    <x v="2"/>
    <s v="Delhi"/>
    <x v="3"/>
    <s v="Textbook"/>
    <n v="1"/>
    <n v="255.93"/>
    <n v="0.37"/>
    <n v="191.35"/>
    <n v="73.83"/>
    <n v="46.7"/>
    <s v="Cash on Delivery"/>
    <x v="1"/>
    <b v="0"/>
    <x v="3"/>
    <n v="10"/>
  </r>
  <r>
    <s v="ORD-01007"/>
    <x v="437"/>
    <x v="437"/>
    <s v="CUST38810"/>
    <s v="Pooja Patel"/>
    <n v="9"/>
    <s v="Male"/>
    <x v="2"/>
    <s v="Amritsar"/>
    <x v="1"/>
    <s v="Perfume"/>
    <n v="5"/>
    <n v="1211.8699999999999"/>
    <n v="0.13"/>
    <n v="6847.04"/>
    <n v="3005.89"/>
    <n v="58.29"/>
    <s v="Cash on Delivery"/>
    <x v="2"/>
    <b v="0"/>
    <x v="1"/>
    <n v="2"/>
  </r>
  <r>
    <s v="ORD-03273"/>
    <x v="1296"/>
    <x v="1296"/>
    <s v="CUST10941"/>
    <s v="Karan Shah"/>
    <n v="38"/>
    <s v="Female"/>
    <x v="2"/>
    <s v="Delhi"/>
    <x v="2"/>
    <s v="Wardrobe"/>
    <n v="5"/>
    <n v="10929.41"/>
    <n v="0.11"/>
    <n v="46559.15"/>
    <n v="13560.07"/>
    <n v="34.1"/>
    <s v="UPI"/>
    <x v="2"/>
    <b v="0"/>
    <x v="3"/>
    <n v="10"/>
  </r>
  <r>
    <s v="ORD-04066"/>
    <x v="1066"/>
    <x v="1066"/>
    <s v="CUST43387"/>
    <s v="Rahul Das"/>
    <n v="19"/>
    <s v="Female"/>
    <x v="3"/>
    <s v="Guwahati"/>
    <x v="1"/>
    <s v="Hair Oil"/>
    <n v="4"/>
    <n v="2333"/>
    <n v="0.37"/>
    <n v="6101.49"/>
    <n v="1874.65"/>
    <n v="119.62"/>
    <s v="Credit Card"/>
    <x v="0"/>
    <b v="0"/>
    <x v="1"/>
    <n v="3"/>
  </r>
  <r>
    <s v="ORD-04013"/>
    <x v="961"/>
    <x v="961"/>
    <s v="CUST80488"/>
    <s v="Ananya Chatterjee"/>
    <n v="18"/>
    <s v="Male"/>
    <x v="4"/>
    <s v="Hyderabad"/>
    <x v="0"/>
    <s v="Rice (5kg)"/>
    <n v="4"/>
    <n v="497.25"/>
    <n v="0.32"/>
    <n v="1775.14"/>
    <n v="168.64"/>
    <n v="81.5"/>
    <s v="Credit Card"/>
    <x v="4"/>
    <b v="0"/>
    <x v="2"/>
    <n v="3"/>
  </r>
  <r>
    <s v="ORD-01218"/>
    <x v="877"/>
    <x v="877"/>
    <s v="CUST69231"/>
    <s v="Pooja Bose"/>
    <n v="40"/>
    <s v="Male"/>
    <x v="2"/>
    <s v="Amritsar"/>
    <x v="1"/>
    <s v="Perfume"/>
    <n v="2"/>
    <n v="2060.77"/>
    <n v="0.24"/>
    <n v="3603.29"/>
    <n v="1268.67"/>
    <n v="69.45"/>
    <s v="EMI"/>
    <x v="3"/>
    <b v="0"/>
    <x v="1"/>
    <n v="2"/>
  </r>
  <r>
    <s v="ORD-03199"/>
    <x v="254"/>
    <x v="254"/>
    <s v="CUST93632"/>
    <s v="Rohan Bose"/>
    <n v="61"/>
    <s v="Female"/>
    <x v="1"/>
    <s v="Pune"/>
    <x v="1"/>
    <s v="Shampoo"/>
    <n v="8"/>
    <n v="1354.9"/>
    <n v="0.31"/>
    <n v="8717.93"/>
    <n v="4918.95"/>
    <n v="41.01"/>
    <s v="UPI"/>
    <x v="0"/>
    <b v="0"/>
    <x v="1"/>
    <n v="1"/>
  </r>
  <r>
    <s v="ORD-03446"/>
    <x v="1297"/>
    <x v="1297"/>
    <s v="CUST54039"/>
    <s v="Vikram Shah"/>
    <n v="48"/>
    <s v="Male"/>
    <x v="2"/>
    <s v="Ludhiana"/>
    <x v="2"/>
    <s v="Desk"/>
    <n v="7"/>
    <n v="34101.69"/>
    <n v="0.16"/>
    <n v="221777.76"/>
    <n v="50413.18"/>
    <n v="63.76"/>
    <s v="Credit Card"/>
    <x v="4"/>
    <b v="0"/>
    <x v="1"/>
    <n v="5"/>
  </r>
  <r>
    <s v="ORD-04162"/>
    <x v="248"/>
    <x v="248"/>
    <s v="CUST14967"/>
    <s v="Kavya Kumar"/>
    <n v="15"/>
    <s v="Other"/>
    <x v="2"/>
    <s v="Delhi"/>
    <x v="0"/>
    <s v="Sugar"/>
    <n v="10"/>
    <n v="273.14"/>
    <n v="0.28000000000000003"/>
    <n v="1532.4"/>
    <n v="100.08"/>
    <n v="54.94"/>
    <s v="EMI"/>
    <x v="2"/>
    <b v="0"/>
    <x v="1"/>
    <n v="5"/>
  </r>
  <r>
    <s v="ORD-01886"/>
    <x v="1007"/>
    <x v="1007"/>
    <s v="CUST07676"/>
    <s v="Pooja Sharma"/>
    <n v="39"/>
    <s v="Other"/>
    <x v="1"/>
    <s v="Pune"/>
    <x v="6"/>
    <s v="Dumbbells"/>
    <n v="3"/>
    <n v="3135.03"/>
    <n v="0.09"/>
    <n v="11451.49"/>
    <n v="2694.43"/>
    <n v="82.19"/>
    <s v="Debit Card"/>
    <x v="4"/>
    <b v="1"/>
    <x v="0"/>
    <n v="3"/>
  </r>
  <r>
    <s v="ORD-03026"/>
    <x v="276"/>
    <x v="276"/>
    <s v="CUST65223"/>
    <s v="Karan Bose"/>
    <n v="52"/>
    <s v="Male"/>
    <x v="1"/>
    <s v="Mumbai"/>
    <x v="4"/>
    <s v="Jacket"/>
    <n v="5"/>
    <n v="1505.76"/>
    <n v="0.17"/>
    <n v="9211.7199999999993"/>
    <n v="3763.52"/>
    <n v="52.62"/>
    <s v="Cash on Delivery"/>
    <x v="0"/>
    <b v="0"/>
    <x v="2"/>
    <n v="6"/>
  </r>
  <r>
    <s v="ORD-02957"/>
    <x v="83"/>
    <x v="83"/>
    <s v="CUST77083"/>
    <s v="Priya Chatterjee"/>
    <n v="60"/>
    <s v="Female"/>
    <x v="3"/>
    <s v="Patna"/>
    <x v="0"/>
    <s v="Tea"/>
    <n v="9"/>
    <n v="462.67"/>
    <n v="0.04"/>
    <n v="6520.25"/>
    <n v="574.64"/>
    <n v="60.51"/>
    <s v="Debit Card"/>
    <x v="3"/>
    <b v="0"/>
    <x v="1"/>
    <n v="8"/>
  </r>
  <r>
    <s v="ORD-03687"/>
    <x v="1298"/>
    <x v="1298"/>
    <s v="CUST45246"/>
    <s v="Priya Verma"/>
    <n v="30"/>
    <s v="Other"/>
    <x v="4"/>
    <s v="Chennai"/>
    <x v="4"/>
    <s v="Jeans"/>
    <n v="2"/>
    <n v="511.88"/>
    <n v="0.33"/>
    <n v="1034.06"/>
    <n v="311.79000000000002"/>
    <n v="75.89"/>
    <s v="Net Banking"/>
    <x v="4"/>
    <b v="0"/>
    <x v="1"/>
    <n v="7"/>
  </r>
  <r>
    <s v="ORD-01238"/>
    <x v="246"/>
    <x v="246"/>
    <s v="CUST00512"/>
    <s v="Karan Pillai"/>
    <n v="31"/>
    <s v="Other"/>
    <x v="0"/>
    <s v="Raipur"/>
    <x v="6"/>
    <s v="Football"/>
    <n v="4"/>
    <n v="10424.370000000001"/>
    <n v="0.04"/>
    <n v="54861.75"/>
    <n v="13787.38"/>
    <n v="52.02"/>
    <s v="UPI"/>
    <x v="0"/>
    <b v="0"/>
    <x v="1"/>
    <n v="1"/>
  </r>
  <r>
    <s v="ORD-01226"/>
    <x v="958"/>
    <x v="958"/>
    <s v="CUST93943"/>
    <s v="Aditya Kumar"/>
    <n v="51"/>
    <s v="Female"/>
    <x v="1"/>
    <s v="Mumbai"/>
    <x v="2"/>
    <s v="Desk"/>
    <n v="3"/>
    <n v="7678.25"/>
    <n v="0.06"/>
    <n v="32400.33"/>
    <n v="9162.5400000000009"/>
    <n v="49.32"/>
    <s v="Credit Card"/>
    <x v="0"/>
    <b v="0"/>
    <x v="2"/>
    <n v="4"/>
  </r>
  <r>
    <s v="ORD-02385"/>
    <x v="201"/>
    <x v="201"/>
    <s v="CUST01228"/>
    <s v="Nikhil Bose"/>
    <n v="27"/>
    <s v="Other"/>
    <x v="1"/>
    <s v="Mumbai"/>
    <x v="0"/>
    <s v="Cooking Oil"/>
    <n v="5"/>
    <n v="69.84"/>
    <n v="0.3"/>
    <n v="256.11"/>
    <n v="21.93"/>
    <n v="48.03"/>
    <s v="Debit Card"/>
    <x v="4"/>
    <b v="0"/>
    <x v="1"/>
    <n v="5"/>
  </r>
  <r>
    <s v="ORD-00920"/>
    <x v="1299"/>
    <x v="1299"/>
    <s v="CUST85930"/>
    <s v="Pooja Shah"/>
    <n v="33"/>
    <s v="Other"/>
    <x v="3"/>
    <s v="Guwahati"/>
    <x v="4"/>
    <s v="Dress"/>
    <n v="1"/>
    <n v="1520.56"/>
    <n v="0.38"/>
    <n v="857.74"/>
    <n v="372.68"/>
    <n v="82.69"/>
    <s v="Cash on Delivery"/>
    <x v="0"/>
    <b v="1"/>
    <x v="0"/>
    <n v="8"/>
  </r>
  <r>
    <s v="ORD-01929"/>
    <x v="815"/>
    <x v="815"/>
    <s v="CUST34607"/>
    <s v="Amit Das"/>
    <n v="15"/>
    <s v="Other"/>
    <x v="3"/>
    <s v="Guwahati"/>
    <x v="2"/>
    <s v="Bed Frame"/>
    <n v="3"/>
    <n v="20759.259999999998"/>
    <n v="0.28000000000000003"/>
    <n v="64376.44"/>
    <n v="13716.94"/>
    <n v="81.77"/>
    <s v="Net Banking"/>
    <x v="0"/>
    <b v="0"/>
    <x v="1"/>
    <n v="10"/>
  </r>
  <r>
    <s v="ORD-01619"/>
    <x v="355"/>
    <x v="355"/>
    <s v="CUST88221"/>
    <s v="Sunita Verma"/>
    <n v="36"/>
    <s v="Other"/>
    <x v="2"/>
    <s v="Chandigarh"/>
    <x v="0"/>
    <s v="Dal (1kg)"/>
    <n v="3"/>
    <n v="113.16"/>
    <n v="0.21"/>
    <n v="223.33"/>
    <n v="19.47"/>
    <n v="50.52"/>
    <s v="Cash on Delivery"/>
    <x v="0"/>
    <b v="0"/>
    <x v="1"/>
    <n v="3"/>
  </r>
  <r>
    <s v="ORD-00085"/>
    <x v="111"/>
    <x v="111"/>
    <s v="CUST18248"/>
    <s v="Ananya Mehta"/>
    <n v="48"/>
    <s v="Other"/>
    <x v="3"/>
    <s v="Patna"/>
    <x v="6"/>
    <s v="Football"/>
    <n v="2"/>
    <n v="4104.3100000000004"/>
    <n v="0.08"/>
    <n v="5892.6"/>
    <n v="1384.77"/>
    <n v="72.459999999999994"/>
    <s v="EMI"/>
    <x v="4"/>
    <b v="0"/>
    <x v="1"/>
    <n v="6"/>
  </r>
  <r>
    <s v="ORD-02824"/>
    <x v="204"/>
    <x v="204"/>
    <s v="CUST94776"/>
    <s v="Ananya Mishra"/>
    <n v="41"/>
    <s v="Other"/>
    <x v="2"/>
    <s v="Delhi"/>
    <x v="4"/>
    <s v="Jacket"/>
    <n v="6"/>
    <n v="1809.68"/>
    <n v="0.31"/>
    <n v="12448.65"/>
    <n v="4684.8500000000004"/>
    <n v="37.159999999999997"/>
    <s v="Cash on Delivery"/>
    <x v="4"/>
    <b v="0"/>
    <x v="1"/>
    <n v="4"/>
  </r>
  <r>
    <s v="ORD-00674"/>
    <x v="125"/>
    <x v="125"/>
    <s v="CUST87680"/>
    <s v="Meera Kapoor"/>
    <n v="9"/>
    <s v="Other"/>
    <x v="2"/>
    <s v="Amritsar"/>
    <x v="2"/>
    <s v="Bookshelf"/>
    <n v="3"/>
    <n v="22435.51"/>
    <n v="0.11"/>
    <n v="45857.22"/>
    <n v="14691.15"/>
    <n v="19.239999999999998"/>
    <s v="Debit Card"/>
    <x v="1"/>
    <b v="0"/>
    <x v="1"/>
    <n v="5"/>
  </r>
  <r>
    <s v="ORD-03338"/>
    <x v="988"/>
    <x v="988"/>
    <s v="CUST84437"/>
    <s v="Karan Chatterjee"/>
    <n v="34"/>
    <s v="Male"/>
    <x v="4"/>
    <s v="Bangalore"/>
    <x v="4"/>
    <s v="T-Shirt"/>
    <n v="5"/>
    <n v="416.65"/>
    <n v="0.01"/>
    <n v="1999.94"/>
    <n v="825.09"/>
    <n v="59.89"/>
    <s v="EMI"/>
    <x v="1"/>
    <b v="0"/>
    <x v="1"/>
    <n v="5"/>
  </r>
  <r>
    <s v="ORD-04084"/>
    <x v="229"/>
    <x v="229"/>
    <s v="CUST03465"/>
    <s v="Deepa Mehta"/>
    <n v="39"/>
    <s v="Female"/>
    <x v="1"/>
    <s v="Mumbai"/>
    <x v="4"/>
    <s v="Dress"/>
    <n v="9"/>
    <n v="3359.16"/>
    <n v="0.06"/>
    <n v="30905.25"/>
    <n v="7947.77"/>
    <n v="64.84"/>
    <s v="UPI"/>
    <x v="1"/>
    <b v="0"/>
    <x v="1"/>
    <n v="6"/>
  </r>
  <r>
    <s v="ORD-02733"/>
    <x v="234"/>
    <x v="234"/>
    <s v="CUST12771"/>
    <s v="Meera Singh"/>
    <n v="40"/>
    <s v="Female"/>
    <x v="1"/>
    <s v="Surat"/>
    <x v="3"/>
    <s v="Textbook"/>
    <n v="5"/>
    <n v="971.23"/>
    <n v="0.35"/>
    <n v="3832.92"/>
    <n v="1442.59"/>
    <n v="59.73"/>
    <s v="Cash on Delivery"/>
    <x v="4"/>
    <b v="0"/>
    <x v="1"/>
    <n v="4"/>
  </r>
  <r>
    <s v="ORD-04080"/>
    <x v="962"/>
    <x v="962"/>
    <s v="CUST09163"/>
    <s v="Sunita Pillai"/>
    <n v="34"/>
    <s v="Other"/>
    <x v="3"/>
    <s v="Patna"/>
    <x v="0"/>
    <s v="Cooking Oil"/>
    <n v="2"/>
    <n v="275.55"/>
    <n v="0.02"/>
    <n v="545.95000000000005"/>
    <n v="40.630000000000003"/>
    <n v="75.84"/>
    <s v="Debit Card"/>
    <x v="2"/>
    <b v="0"/>
    <x v="1"/>
    <n v="3"/>
  </r>
  <r>
    <s v="ORD-01089"/>
    <x v="1106"/>
    <x v="1106"/>
    <s v="CUST29692"/>
    <s v="Priya Mehta"/>
    <n v="36"/>
    <s v="Female"/>
    <x v="3"/>
    <s v="Guwahati"/>
    <x v="2"/>
    <s v="Bookshelf"/>
    <n v="5"/>
    <n v="4812.43"/>
    <n v="0.27"/>
    <n v="22526.71"/>
    <n v="6783.1"/>
    <n v="109.38"/>
    <s v="Cash on Delivery"/>
    <x v="2"/>
    <b v="0"/>
    <x v="1"/>
    <n v="4"/>
  </r>
  <r>
    <s v="ORD-00620"/>
    <x v="477"/>
    <x v="477"/>
    <s v="CUST68733"/>
    <s v="Amit Patel"/>
    <n v="55"/>
    <s v="Male"/>
    <x v="4"/>
    <s v="Hyderabad"/>
    <x v="0"/>
    <s v="Dal (1kg)"/>
    <n v="9"/>
    <n v="410.87"/>
    <n v="0.09"/>
    <n v="3133.82"/>
    <n v="346.09"/>
    <n v="74.58"/>
    <s v="Debit Card"/>
    <x v="1"/>
    <b v="1"/>
    <x v="0"/>
    <n v="6"/>
  </r>
  <r>
    <s v="ORD-03140"/>
    <x v="1300"/>
    <x v="1300"/>
    <s v="CUST76392"/>
    <s v="Rohan Kapoor"/>
    <n v="14"/>
    <s v="Other"/>
    <x v="4"/>
    <s v="Bangalore"/>
    <x v="2"/>
    <s v="Desk"/>
    <n v="9"/>
    <n v="18114.900000000001"/>
    <n v="0.35"/>
    <n v="131109.37"/>
    <n v="44210.57"/>
    <n v="60.14"/>
    <s v="Debit Card"/>
    <x v="0"/>
    <b v="0"/>
    <x v="3"/>
    <n v="10"/>
  </r>
  <r>
    <s v="ORD-02960"/>
    <x v="511"/>
    <x v="511"/>
    <s v="CUST73492"/>
    <s v="Ritu Patel"/>
    <n v="35"/>
    <s v="Female"/>
    <x v="4"/>
    <s v="Chennai"/>
    <x v="0"/>
    <s v="Dal (1kg)"/>
    <n v="8"/>
    <n v="421.42"/>
    <n v="0.14000000000000001"/>
    <n v="4774.2700000000004"/>
    <n v="467.76"/>
    <n v="84.51"/>
    <s v="Cash on Delivery"/>
    <x v="0"/>
    <b v="0"/>
    <x v="4"/>
    <n v="8"/>
  </r>
  <r>
    <s v="ORD-01215"/>
    <x v="752"/>
    <x v="752"/>
    <s v="CUST92946"/>
    <s v="Aarav Mehta"/>
    <n v="38"/>
    <s v="Male"/>
    <x v="3"/>
    <s v="Bhubaneswar"/>
    <x v="1"/>
    <s v="Shampoo"/>
    <n v="5"/>
    <n v="205.05"/>
    <n v="0.37"/>
    <n v="875.73"/>
    <n v="336.22"/>
    <n v="58.05"/>
    <s v="Debit Card"/>
    <x v="4"/>
    <b v="1"/>
    <x v="0"/>
    <n v="10"/>
  </r>
  <r>
    <s v="ORD-01703"/>
    <x v="332"/>
    <x v="332"/>
    <s v="CUST78614"/>
    <s v="Arjun Iyer"/>
    <n v="47"/>
    <s v="Female"/>
    <x v="1"/>
    <s v="Pune"/>
    <x v="4"/>
    <s v="Dress"/>
    <n v="4"/>
    <n v="1960.32"/>
    <n v="0.03"/>
    <n v="7027.87"/>
    <n v="2732.62"/>
    <n v="65.849999999999994"/>
    <s v="Debit Card"/>
    <x v="3"/>
    <b v="0"/>
    <x v="1"/>
    <n v="1"/>
  </r>
  <r>
    <s v="ORD-02066"/>
    <x v="641"/>
    <x v="641"/>
    <s v="CUST80371"/>
    <s v="Pooja Pillai"/>
    <n v="22"/>
    <s v="Male"/>
    <x v="1"/>
    <s v="Pune"/>
    <x v="0"/>
    <s v="Cooking Oil"/>
    <n v="4"/>
    <n v="291.88"/>
    <n v="0.37"/>
    <n v="1107.6199999999999"/>
    <n v="79.28"/>
    <n v="60.21"/>
    <s v="EMI"/>
    <x v="3"/>
    <b v="1"/>
    <x v="0"/>
    <n v="1"/>
  </r>
  <r>
    <s v="ORD-00784"/>
    <x v="1301"/>
    <x v="1301"/>
    <s v="CUST57890"/>
    <s v="Ritu Das"/>
    <n v="21"/>
    <s v="Other"/>
    <x v="0"/>
    <s v="Bhopal"/>
    <x v="3"/>
    <s v="Textbook"/>
    <n v="3"/>
    <n v="1412.16"/>
    <n v="0.21"/>
    <n v="3187.62"/>
    <n v="1429.35"/>
    <n v="53.18"/>
    <s v="Debit Card"/>
    <x v="3"/>
    <b v="1"/>
    <x v="0"/>
    <n v="1"/>
  </r>
  <r>
    <s v="ORD-03278"/>
    <x v="71"/>
    <x v="71"/>
    <s v="CUST28845"/>
    <s v="Rohan Singh"/>
    <n v="36"/>
    <s v="Other"/>
    <x v="0"/>
    <s v="Indore"/>
    <x v="0"/>
    <s v="Cooking Oil"/>
    <n v="3"/>
    <n v="362.83"/>
    <n v="0.33"/>
    <n v="704.3"/>
    <n v="51.58"/>
    <n v="40.17"/>
    <s v="Credit Card"/>
    <x v="3"/>
    <b v="0"/>
    <x v="1"/>
    <n v="3"/>
  </r>
  <r>
    <s v="ORD-02693"/>
    <x v="383"/>
    <x v="383"/>
    <s v="CUST31367"/>
    <s v="Sunita Pillai"/>
    <n v="57"/>
    <s v="Female"/>
    <x v="3"/>
    <s v="Kolkata"/>
    <x v="0"/>
    <s v="Sugar"/>
    <n v="3"/>
    <n v="451.94"/>
    <n v="7.0000000000000007E-2"/>
    <n v="1470.9"/>
    <n v="132.82"/>
    <n v="72.180000000000007"/>
    <s v="Debit Card"/>
    <x v="3"/>
    <b v="0"/>
    <x v="4"/>
    <n v="8"/>
  </r>
  <r>
    <s v="ORD-02996"/>
    <x v="1302"/>
    <x v="1302"/>
    <s v="CUST44301"/>
    <s v="Kavya Iyer"/>
    <n v="44"/>
    <s v="Other"/>
    <x v="0"/>
    <s v="Raipur"/>
    <x v="4"/>
    <s v="Kurta"/>
    <n v="6"/>
    <n v="2551.46"/>
    <n v="0.28000000000000003"/>
    <n v="16184.75"/>
    <n v="5763.29"/>
    <n v="52.45"/>
    <s v="Credit Card"/>
    <x v="4"/>
    <b v="0"/>
    <x v="1"/>
    <n v="8"/>
  </r>
  <r>
    <s v="ORD-01580"/>
    <x v="1303"/>
    <x v="1303"/>
    <s v="CUST43143"/>
    <s v="Sanjay Bose"/>
    <n v="46"/>
    <s v="Female"/>
    <x v="4"/>
    <s v="Kochi"/>
    <x v="6"/>
    <s v="Cycle"/>
    <n v="3"/>
    <n v="11079.73"/>
    <n v="0.28000000000000003"/>
    <n v="19386.16"/>
    <n v="3946.3"/>
    <n v="44.65"/>
    <s v="Debit Card"/>
    <x v="4"/>
    <b v="0"/>
    <x v="1"/>
    <n v="5"/>
  </r>
  <r>
    <s v="ORD-03204"/>
    <x v="156"/>
    <x v="156"/>
    <s v="CUST20726"/>
    <s v="Pooja Rao"/>
    <n v="30"/>
    <s v="Male"/>
    <x v="1"/>
    <s v="Mumbai"/>
    <x v="5"/>
    <s v="Laptop"/>
    <n v="1"/>
    <n v="48359.17"/>
    <n v="0.06"/>
    <n v="51500.800000000003"/>
    <n v="6586.38"/>
    <n v="81.7"/>
    <s v="Net Banking"/>
    <x v="0"/>
    <b v="0"/>
    <x v="1"/>
    <n v="9"/>
  </r>
  <r>
    <s v="ORD-04102"/>
    <x v="450"/>
    <x v="450"/>
    <s v="CUST19687"/>
    <s v="Shreya Reddy"/>
    <n v="25"/>
    <s v="Other"/>
    <x v="3"/>
    <s v="Guwahati"/>
    <x v="5"/>
    <s v="Headphones"/>
    <n v="6"/>
    <n v="76147.08"/>
    <n v="0.3"/>
    <n v="275656.14"/>
    <n v="33935.620000000003"/>
    <n v="79.39"/>
    <s v="Net Banking"/>
    <x v="2"/>
    <b v="0"/>
    <x v="2"/>
    <n v="5"/>
  </r>
  <r>
    <s v="ORD-02530"/>
    <x v="297"/>
    <x v="297"/>
    <s v="CUST03671"/>
    <s v="Rohan Mehta"/>
    <n v="21"/>
    <s v="Female"/>
    <x v="2"/>
    <s v="Chandigarh"/>
    <x v="4"/>
    <s v="Jacket"/>
    <n v="8"/>
    <n v="3811.17"/>
    <n v="0.21"/>
    <n v="25749.39"/>
    <n v="11463.62"/>
    <n v="63.21"/>
    <s v="Cash on Delivery"/>
    <x v="3"/>
    <b v="0"/>
    <x v="1"/>
    <n v="5"/>
  </r>
  <r>
    <s v="ORD-02995"/>
    <x v="756"/>
    <x v="756"/>
    <s v="CUST01120"/>
    <s v="Nikhil Sharma"/>
    <n v="19"/>
    <s v="Female"/>
    <x v="4"/>
    <s v="Hyderabad"/>
    <x v="1"/>
    <s v="Shampoo"/>
    <n v="1"/>
    <n v="581.9"/>
    <n v="0.39"/>
    <n v="573.91"/>
    <n v="321.44"/>
    <n v="61.08"/>
    <s v="Cash on Delivery"/>
    <x v="1"/>
    <b v="0"/>
    <x v="1"/>
    <n v="2"/>
  </r>
  <r>
    <s v="ORD-02396"/>
    <x v="443"/>
    <x v="443"/>
    <s v="CUST15736"/>
    <s v="Deepa Kapoor"/>
    <n v="33"/>
    <s v="Other"/>
    <x v="3"/>
    <s v="Bhubaneswar"/>
    <x v="2"/>
    <s v="Chair"/>
    <n v="3"/>
    <n v="4404.99"/>
    <n v="0.04"/>
    <n v="10146.469999999999"/>
    <n v="2903.13"/>
    <n v="93.9"/>
    <s v="Debit Card"/>
    <x v="0"/>
    <b v="0"/>
    <x v="4"/>
    <n v="5"/>
  </r>
  <r>
    <s v="ORD-00625"/>
    <x v="1135"/>
    <x v="1135"/>
    <s v="CUST00251"/>
    <s v="Aditya Nair"/>
    <n v="14"/>
    <s v="Male"/>
    <x v="0"/>
    <s v="Raipur"/>
    <x v="0"/>
    <s v="Tea"/>
    <n v="7"/>
    <n v="478.47"/>
    <n v="0.19"/>
    <n v="2419.6999999999998"/>
    <n v="144.22"/>
    <n v="78.900000000000006"/>
    <s v="UPI"/>
    <x v="0"/>
    <b v="0"/>
    <x v="1"/>
    <n v="8"/>
  </r>
  <r>
    <s v="ORD-01366"/>
    <x v="1304"/>
    <x v="1304"/>
    <s v="CUST19666"/>
    <s v="Amit Sharma"/>
    <n v="21"/>
    <s v="Other"/>
    <x v="1"/>
    <s v="Ahmedabad"/>
    <x v="5"/>
    <s v="Headphones"/>
    <n v="10"/>
    <n v="69111.009999999995"/>
    <n v="0.18"/>
    <n v="610027.66"/>
    <n v="80887.73"/>
    <n v="59.74"/>
    <s v="UPI"/>
    <x v="4"/>
    <b v="0"/>
    <x v="1"/>
    <n v="2"/>
  </r>
  <r>
    <s v="ORD-02221"/>
    <x v="1305"/>
    <x v="1305"/>
    <s v="CUST03778"/>
    <s v="Sanjay Gupta"/>
    <n v="39"/>
    <s v="Male"/>
    <x v="4"/>
    <s v="Chennai"/>
    <x v="4"/>
    <s v="Dress"/>
    <n v="2"/>
    <n v="2544.65"/>
    <n v="0.09"/>
    <n v="5282.35"/>
    <n v="1652.06"/>
    <n v="68.22"/>
    <s v="Debit Card"/>
    <x v="0"/>
    <b v="0"/>
    <x v="1"/>
    <n v="3"/>
  </r>
  <r>
    <s v="ORD-02182"/>
    <x v="345"/>
    <x v="345"/>
    <s v="CUST10127"/>
    <s v="Sunita Pillai"/>
    <n v="39"/>
    <s v="Other"/>
    <x v="3"/>
    <s v="Guwahati"/>
    <x v="5"/>
    <s v="Laptop"/>
    <n v="9"/>
    <n v="56874.87"/>
    <n v="0.3"/>
    <n v="478142.34"/>
    <n v="58158.93"/>
    <n v="63.71"/>
    <s v="Net Banking"/>
    <x v="2"/>
    <b v="1"/>
    <x v="0"/>
    <n v="2"/>
  </r>
  <r>
    <s v="ORD-02494"/>
    <x v="232"/>
    <x v="232"/>
    <s v="CUST57358"/>
    <s v="Sanjay Pillai"/>
    <n v="11"/>
    <s v="Male"/>
    <x v="0"/>
    <s v="Bhopal"/>
    <x v="5"/>
    <s v="Smartphone"/>
    <n v="5"/>
    <n v="75416.45"/>
    <n v="0.26"/>
    <n v="239407.24"/>
    <n v="34252.660000000003"/>
    <n v="50.75"/>
    <s v="Credit Card"/>
    <x v="0"/>
    <b v="0"/>
    <x v="1"/>
    <n v="5"/>
  </r>
  <r>
    <s v="ORD-03684"/>
    <x v="1204"/>
    <x v="1204"/>
    <s v="CUST27580"/>
    <s v="Ananya Shah"/>
    <n v="37"/>
    <s v="Female"/>
    <x v="1"/>
    <s v="Mumbai"/>
    <x v="0"/>
    <s v="Flour"/>
    <n v="9"/>
    <n v="362.34"/>
    <n v="0.16"/>
    <n v="4473.38"/>
    <n v="319.47000000000003"/>
    <n v="62.52"/>
    <s v="Debit Card"/>
    <x v="0"/>
    <b v="0"/>
    <x v="1"/>
    <n v="5"/>
  </r>
  <r>
    <s v="ORD-02893"/>
    <x v="813"/>
    <x v="813"/>
    <s v="CUST15263"/>
    <s v="Arjun Mehta"/>
    <n v="36"/>
    <s v="Female"/>
    <x v="4"/>
    <s v="Hyderabad"/>
    <x v="5"/>
    <s v="Tablet"/>
    <n v="9"/>
    <n v="39846.870000000003"/>
    <n v="0.24"/>
    <n v="452014.92"/>
    <n v="43093.98"/>
    <n v="51.7"/>
    <s v="UPI"/>
    <x v="2"/>
    <b v="0"/>
    <x v="1"/>
    <n v="3"/>
  </r>
  <r>
    <s v="ORD-03643"/>
    <x v="790"/>
    <x v="790"/>
    <s v="CUST93078"/>
    <s v="Rohan Nair"/>
    <n v="47"/>
    <s v="Female"/>
    <x v="1"/>
    <s v="Surat"/>
    <x v="3"/>
    <s v="Fiction Novel"/>
    <n v="7"/>
    <n v="377"/>
    <n v="0.23"/>
    <n v="3325.2"/>
    <n v="1638.79"/>
    <n v="55.63"/>
    <s v="EMI"/>
    <x v="1"/>
    <b v="0"/>
    <x v="1"/>
    <n v="7"/>
  </r>
  <r>
    <s v="ORD-00355"/>
    <x v="54"/>
    <x v="54"/>
    <s v="CUST29275"/>
    <s v="Sunita Nair"/>
    <n v="28"/>
    <s v="Other"/>
    <x v="4"/>
    <s v="Chennai"/>
    <x v="0"/>
    <s v="Cooking Oil"/>
    <n v="6"/>
    <n v="457.1"/>
    <n v="0.17"/>
    <n v="3525.53"/>
    <n v="394.03"/>
    <n v="69.69"/>
    <s v="UPI"/>
    <x v="3"/>
    <b v="0"/>
    <x v="1"/>
    <n v="8"/>
  </r>
  <r>
    <s v="ORD-02634"/>
    <x v="283"/>
    <x v="283"/>
    <s v="CUST87463"/>
    <s v="Aditya Kapoor"/>
    <n v="18"/>
    <s v="Female"/>
    <x v="4"/>
    <s v="Kochi"/>
    <x v="4"/>
    <s v="Kurta"/>
    <n v="9"/>
    <n v="630.66999999999996"/>
    <n v="0.34"/>
    <n v="4097.13"/>
    <n v="1593.87"/>
    <n v="69.77"/>
    <s v="EMI"/>
    <x v="0"/>
    <b v="0"/>
    <x v="1"/>
    <n v="6"/>
  </r>
  <r>
    <s v="ORD-01268"/>
    <x v="1306"/>
    <x v="1306"/>
    <s v="CUST13250"/>
    <s v="Ritu Mehta"/>
    <n v="33"/>
    <s v="Female"/>
    <x v="3"/>
    <s v="Kolkata"/>
    <x v="1"/>
    <s v="Shampoo"/>
    <n v="10"/>
    <n v="1776.76"/>
    <n v="0.09"/>
    <n v="24043.07"/>
    <n v="7186.83"/>
    <n v="76.78"/>
    <s v="EMI"/>
    <x v="1"/>
    <b v="0"/>
    <x v="3"/>
    <n v="8"/>
  </r>
  <r>
    <s v="ORD-03154"/>
    <x v="763"/>
    <x v="763"/>
    <s v="CUST59117"/>
    <s v="Nisha Joshi"/>
    <n v="42"/>
    <s v="Female"/>
    <x v="1"/>
    <s v="Surat"/>
    <x v="0"/>
    <s v="Cooking Oil"/>
    <n v="8"/>
    <n v="424.28"/>
    <n v="0.38"/>
    <n v="2407.56"/>
    <n v="178.57"/>
    <n v="64.599999999999994"/>
    <s v="UPI"/>
    <x v="0"/>
    <b v="0"/>
    <x v="1"/>
    <n v="4"/>
  </r>
  <r>
    <s v="ORD-00459"/>
    <x v="214"/>
    <x v="214"/>
    <s v="CUST05833"/>
    <s v="Pooja Mehta"/>
    <n v="28"/>
    <s v="Male"/>
    <x v="3"/>
    <s v="Bhubaneswar"/>
    <x v="6"/>
    <s v="Yoga Mat"/>
    <n v="7"/>
    <n v="10622.1"/>
    <n v="0.23"/>
    <n v="72296.800000000003"/>
    <n v="14967.8"/>
    <n v="76.84"/>
    <s v="Cash on Delivery"/>
    <x v="0"/>
    <b v="0"/>
    <x v="1"/>
    <n v="10"/>
  </r>
  <r>
    <s v="ORD-00009"/>
    <x v="1098"/>
    <x v="1098"/>
    <s v="CUST92855"/>
    <s v="Rahul Chatterjee"/>
    <n v="57"/>
    <s v="Female"/>
    <x v="0"/>
    <s v="Indore"/>
    <x v="5"/>
    <s v="Smartphone"/>
    <n v="7"/>
    <n v="7248.51"/>
    <n v="0.04"/>
    <n v="35721.050000000003"/>
    <n v="2520.31"/>
    <n v="54.45"/>
    <s v="Cash on Delivery"/>
    <x v="4"/>
    <b v="0"/>
    <x v="3"/>
    <n v="3"/>
  </r>
  <r>
    <s v="ORD-02167"/>
    <x v="1307"/>
    <x v="1307"/>
    <s v="CUST40588"/>
    <s v="Nisha Reddy"/>
    <n v="12"/>
    <s v="Other"/>
    <x v="3"/>
    <s v="Guwahati"/>
    <x v="6"/>
    <s v="Cycle"/>
    <n v="1"/>
    <n v="14470.85"/>
    <n v="0.3"/>
    <n v="15068.8"/>
    <n v="2928.52"/>
    <n v="80.56"/>
    <s v="Cash on Delivery"/>
    <x v="4"/>
    <b v="0"/>
    <x v="1"/>
    <n v="10"/>
  </r>
  <r>
    <s v="ORD-03848"/>
    <x v="556"/>
    <x v="556"/>
    <s v="CUST92309"/>
    <s v="Aditya Shah"/>
    <n v="35"/>
    <s v="Male"/>
    <x v="4"/>
    <s v="Bangalore"/>
    <x v="1"/>
    <s v="Perfume"/>
    <n v="2"/>
    <n v="423.08"/>
    <n v="0.25"/>
    <n v="1086.7"/>
    <n v="513.6"/>
    <n v="65.64"/>
    <s v="Cash on Delivery"/>
    <x v="1"/>
    <b v="0"/>
    <x v="1"/>
    <n v="6"/>
  </r>
  <r>
    <s v="ORD-02898"/>
    <x v="813"/>
    <x v="813"/>
    <s v="CUST27445"/>
    <s v="Rohan Joshi"/>
    <n v="26"/>
    <s v="Male"/>
    <x v="4"/>
    <s v="Kochi"/>
    <x v="2"/>
    <s v="Desk"/>
    <n v="3"/>
    <n v="28004.75"/>
    <n v="0.31"/>
    <n v="94421.01"/>
    <n v="29532.44"/>
    <n v="43.07"/>
    <s v="Net Banking"/>
    <x v="3"/>
    <b v="0"/>
    <x v="1"/>
    <n v="6"/>
  </r>
  <r>
    <s v="ORD-03727"/>
    <x v="724"/>
    <x v="724"/>
    <s v="CUST15010"/>
    <s v="Ananya Rao"/>
    <n v="18"/>
    <s v="Other"/>
    <x v="0"/>
    <s v="Raipur"/>
    <x v="1"/>
    <s v="Face Cream"/>
    <n v="5"/>
    <n v="2311.7399999999998"/>
    <n v="0.4"/>
    <n v="2656.59"/>
    <n v="685.77"/>
    <n v="57.12"/>
    <s v="Debit Card"/>
    <x v="3"/>
    <b v="0"/>
    <x v="1"/>
    <n v="8"/>
  </r>
  <r>
    <s v="ORD-01542"/>
    <x v="941"/>
    <x v="941"/>
    <s v="CUST20530"/>
    <s v="Kavya Sharma"/>
    <n v="20"/>
    <s v="Other"/>
    <x v="1"/>
    <s v="Pune"/>
    <x v="0"/>
    <s v="Tea"/>
    <n v="9"/>
    <n v="291.31"/>
    <n v="0.13"/>
    <n v="2013.93"/>
    <n v="153.84"/>
    <n v="74.73"/>
    <s v="EMI"/>
    <x v="0"/>
    <b v="1"/>
    <x v="0"/>
    <n v="2"/>
  </r>
  <r>
    <s v="ORD-02431"/>
    <x v="1308"/>
    <x v="1308"/>
    <s v="CUST33602"/>
    <s v="Ananya Chatterjee"/>
    <n v="31"/>
    <s v="Male"/>
    <x v="1"/>
    <s v="Mumbai"/>
    <x v="4"/>
    <s v="Dress"/>
    <n v="9"/>
    <n v="2890.57"/>
    <n v="0.09"/>
    <n v="22605.25"/>
    <n v="10028.129999999999"/>
    <n v="70.61"/>
    <s v="EMI"/>
    <x v="4"/>
    <b v="0"/>
    <x v="4"/>
    <n v="9"/>
  </r>
  <r>
    <s v="ORD-00716"/>
    <x v="1309"/>
    <x v="1309"/>
    <s v="CUST94113"/>
    <s v="Priya Pillai"/>
    <n v="19"/>
    <s v="Other"/>
    <x v="0"/>
    <s v="Raipur"/>
    <x v="5"/>
    <s v="Headphones"/>
    <n v="1"/>
    <n v="40524.35"/>
    <n v="0.12"/>
    <n v="24819.03"/>
    <n v="3365.1"/>
    <n v="36.229999999999997"/>
    <s v="UPI"/>
    <x v="0"/>
    <b v="1"/>
    <x v="0"/>
    <n v="3"/>
  </r>
  <r>
    <s v="ORD-00444"/>
    <x v="862"/>
    <x v="862"/>
    <s v="CUST81670"/>
    <s v="Sunita Joshi"/>
    <n v="31"/>
    <s v="Male"/>
    <x v="0"/>
    <s v="Bhopal"/>
    <x v="3"/>
    <s v="Fiction Novel"/>
    <n v="4"/>
    <n v="1113.43"/>
    <n v="0.15"/>
    <n v="4962.42"/>
    <n v="2141.31"/>
    <n v="34.15"/>
    <s v="EMI"/>
    <x v="4"/>
    <b v="0"/>
    <x v="1"/>
    <n v="7"/>
  </r>
  <r>
    <s v="ORD-02815"/>
    <x v="427"/>
    <x v="427"/>
    <s v="CUST75268"/>
    <s v="Karan Rao"/>
    <n v="30"/>
    <s v="Other"/>
    <x v="1"/>
    <s v="Pune"/>
    <x v="6"/>
    <s v="Yoga Mat"/>
    <n v="3"/>
    <n v="6620.8"/>
    <n v="0.27"/>
    <n v="22527.03"/>
    <n v="3790.08"/>
    <n v="89.03"/>
    <s v="EMI"/>
    <x v="2"/>
    <b v="0"/>
    <x v="1"/>
    <n v="8"/>
  </r>
  <r>
    <s v="ORD-04069"/>
    <x v="1185"/>
    <x v="1185"/>
    <s v="CUST61722"/>
    <s v="Karan Joshi"/>
    <n v="54"/>
    <s v="Other"/>
    <x v="0"/>
    <s v="Nagpur"/>
    <x v="5"/>
    <s v="Smartwatch"/>
    <n v="2"/>
    <n v="11751.86"/>
    <n v="0.26"/>
    <n v="19687.8"/>
    <n v="2001.28"/>
    <n v="73.23"/>
    <s v="Net Banking"/>
    <x v="2"/>
    <b v="0"/>
    <x v="1"/>
    <n v="5"/>
  </r>
  <r>
    <s v="ORD-03630"/>
    <x v="603"/>
    <x v="603"/>
    <s v="CUST62637"/>
    <s v="Aditya Gupta"/>
    <n v="27"/>
    <s v="Male"/>
    <x v="3"/>
    <s v="Kolkata"/>
    <x v="0"/>
    <s v="Sugar"/>
    <n v="1"/>
    <n v="373.86"/>
    <n v="0.25"/>
    <n v="400.65"/>
    <n v="34.770000000000003"/>
    <n v="90.23"/>
    <s v="Net Banking"/>
    <x v="2"/>
    <b v="0"/>
    <x v="4"/>
    <n v="1"/>
  </r>
  <r>
    <s v="ORD-02063"/>
    <x v="736"/>
    <x v="736"/>
    <s v="CUST13406"/>
    <s v="Rahul Kumar"/>
    <n v="18"/>
    <s v="Male"/>
    <x v="4"/>
    <s v="Hyderabad"/>
    <x v="0"/>
    <s v="Cooking Oil"/>
    <n v="4"/>
    <n v="122.82"/>
    <n v="0.04"/>
    <n v="681.47"/>
    <n v="47.66"/>
    <n v="66.72"/>
    <s v="Net Banking"/>
    <x v="1"/>
    <b v="0"/>
    <x v="1"/>
    <n v="10"/>
  </r>
  <r>
    <s v="ORD-00192"/>
    <x v="1142"/>
    <x v="1142"/>
    <s v="CUST62597"/>
    <s v="Ritu Mishra"/>
    <n v="51"/>
    <s v="Male"/>
    <x v="4"/>
    <s v="Chennai"/>
    <x v="5"/>
    <s v="Camera"/>
    <n v="5"/>
    <n v="25706.78"/>
    <n v="0.21"/>
    <n v="121013.9"/>
    <n v="12672.89"/>
    <n v="90.75"/>
    <s v="EMI"/>
    <x v="3"/>
    <b v="1"/>
    <x v="0"/>
    <n v="8"/>
  </r>
  <r>
    <s v="ORD-02097"/>
    <x v="1310"/>
    <x v="1310"/>
    <s v="CUST68451"/>
    <s v="Priya Nair"/>
    <n v="31"/>
    <s v="Female"/>
    <x v="1"/>
    <s v="Mumbai"/>
    <x v="5"/>
    <s v="Tablet"/>
    <n v="8"/>
    <n v="38458.65"/>
    <n v="0.01"/>
    <n v="393796.17"/>
    <n v="61743.21"/>
    <n v="78.22"/>
    <s v="UPI"/>
    <x v="0"/>
    <b v="1"/>
    <x v="0"/>
    <n v="6"/>
  </r>
  <r>
    <s v="ORD-00425"/>
    <x v="135"/>
    <x v="135"/>
    <s v="CUST69172"/>
    <s v="Pooja Sharma"/>
    <n v="30"/>
    <s v="Female"/>
    <x v="1"/>
    <s v="Mumbai"/>
    <x v="5"/>
    <s v="Camera"/>
    <n v="6"/>
    <n v="65523.97"/>
    <n v="0.22"/>
    <n v="395580.05"/>
    <n v="39810.19"/>
    <n v="79"/>
    <s v="Cash on Delivery"/>
    <x v="4"/>
    <b v="0"/>
    <x v="1"/>
    <n v="7"/>
  </r>
  <r>
    <s v="ORD-01073"/>
    <x v="664"/>
    <x v="664"/>
    <s v="CUST74821"/>
    <s v="Deepa Nair"/>
    <n v="24"/>
    <s v="Other"/>
    <x v="1"/>
    <s v="Mumbai"/>
    <x v="4"/>
    <s v="Jeans"/>
    <n v="5"/>
    <n v="1564.77"/>
    <n v="0.08"/>
    <n v="9104.3799999999992"/>
    <n v="2408.11"/>
    <n v="46.89"/>
    <s v="UPI"/>
    <x v="3"/>
    <b v="0"/>
    <x v="1"/>
    <n v="4"/>
  </r>
  <r>
    <s v="ORD-01644"/>
    <x v="1311"/>
    <x v="1311"/>
    <s v="CUST20877"/>
    <s v="Vikram Gupta"/>
    <n v="36"/>
    <s v="Male"/>
    <x v="2"/>
    <s v="Delhi"/>
    <x v="5"/>
    <s v="Camera"/>
    <n v="6"/>
    <n v="72040.03"/>
    <n v="0.01"/>
    <n v="368787.75"/>
    <n v="39292.14"/>
    <n v="53.76"/>
    <s v="Cash on Delivery"/>
    <x v="1"/>
    <b v="0"/>
    <x v="4"/>
    <n v="9"/>
  </r>
  <r>
    <s v="ORD-01390"/>
    <x v="257"/>
    <x v="257"/>
    <s v="CUST50244"/>
    <s v="Shreya Bose"/>
    <n v="45"/>
    <s v="Other"/>
    <x v="2"/>
    <s v="Ludhiana"/>
    <x v="5"/>
    <s v="Smartwatch"/>
    <n v="6"/>
    <n v="15447.02"/>
    <n v="0.04"/>
    <n v="95920.86"/>
    <n v="5842.37"/>
    <n v="80.209999999999994"/>
    <s v="Cash on Delivery"/>
    <x v="0"/>
    <b v="0"/>
    <x v="2"/>
    <n v="5"/>
  </r>
  <r>
    <s v="ORD-00182"/>
    <x v="1312"/>
    <x v="1312"/>
    <s v="CUST63049"/>
    <s v="Arjun Reddy"/>
    <n v="61"/>
    <s v="Male"/>
    <x v="3"/>
    <s v="Kolkata"/>
    <x v="6"/>
    <s v="Yoga Mat"/>
    <n v="9"/>
    <n v="2019.71"/>
    <n v="0.21"/>
    <n v="14642.06"/>
    <n v="3698.35"/>
    <n v="55.65"/>
    <s v="UPI"/>
    <x v="3"/>
    <b v="0"/>
    <x v="1"/>
    <n v="3"/>
  </r>
  <r>
    <s v="ORD-01681"/>
    <x v="1313"/>
    <x v="1313"/>
    <s v="CUST96522"/>
    <s v="Karan Gupta"/>
    <n v="56"/>
    <s v="Other"/>
    <x v="1"/>
    <s v="Ahmedabad"/>
    <x v="2"/>
    <s v="Sofa"/>
    <n v="2"/>
    <n v="27991.06"/>
    <n v="0.24"/>
    <n v="34746.07"/>
    <n v="12370.47"/>
    <n v="77.48"/>
    <s v="EMI"/>
    <x v="3"/>
    <b v="1"/>
    <x v="0"/>
    <n v="6"/>
  </r>
  <r>
    <s v="ORD-02568"/>
    <x v="1314"/>
    <x v="1314"/>
    <s v="CUST63565"/>
    <s v="Vikram Mehta"/>
    <n v="24"/>
    <s v="Other"/>
    <x v="0"/>
    <s v="Nagpur"/>
    <x v="3"/>
    <s v="Comic Book"/>
    <n v="9"/>
    <n v="493.03"/>
    <n v="0.21"/>
    <n v="3326.77"/>
    <n v="1860.71"/>
    <n v="83.24"/>
    <s v="Debit Card"/>
    <x v="0"/>
    <b v="0"/>
    <x v="1"/>
    <n v="8"/>
  </r>
  <r>
    <s v="ORD-03369"/>
    <x v="136"/>
    <x v="136"/>
    <s v="CUST12624"/>
    <s v="Sunita Chatterjee"/>
    <n v="25"/>
    <s v="Male"/>
    <x v="2"/>
    <s v="Delhi"/>
    <x v="2"/>
    <s v="Sofa"/>
    <n v="10"/>
    <n v="26482.959999999999"/>
    <n v="0.39"/>
    <n v="159573.04"/>
    <n v="39420.71"/>
    <n v="31.73"/>
    <s v="Cash on Delivery"/>
    <x v="4"/>
    <b v="0"/>
    <x v="1"/>
    <n v="9"/>
  </r>
  <r>
    <s v="ORD-00788"/>
    <x v="1029"/>
    <x v="1029"/>
    <s v="CUST62453"/>
    <s v="Pooja Joshi"/>
    <n v="26"/>
    <s v="Female"/>
    <x v="1"/>
    <s v="Mumbai"/>
    <x v="0"/>
    <s v="Rice (5kg)"/>
    <n v="7"/>
    <n v="79.95"/>
    <n v="0.03"/>
    <n v="404.31"/>
    <n v="30.99"/>
    <n v="45.31"/>
    <s v="EMI"/>
    <x v="3"/>
    <b v="0"/>
    <x v="4"/>
    <n v="2"/>
  </r>
  <r>
    <s v="ORD-01351"/>
    <x v="1315"/>
    <x v="1315"/>
    <s v="CUST05251"/>
    <s v="Kavya Singh"/>
    <n v="31"/>
    <s v="Female"/>
    <x v="2"/>
    <s v="Chandigarh"/>
    <x v="2"/>
    <s v="Chair"/>
    <n v="2"/>
    <n v="11559.97"/>
    <n v="0.37"/>
    <n v="19813.12"/>
    <n v="6537.8"/>
    <n v="64.47"/>
    <s v="Credit Card"/>
    <x v="1"/>
    <b v="0"/>
    <x v="1"/>
    <n v="6"/>
  </r>
  <r>
    <s v="ORD-01491"/>
    <x v="778"/>
    <x v="778"/>
    <s v="CUST70333"/>
    <s v="Sunita Bose"/>
    <n v="43"/>
    <s v="Male"/>
    <x v="2"/>
    <s v="Chandigarh"/>
    <x v="1"/>
    <s v="Sunscreen"/>
    <n v="8"/>
    <n v="902.95"/>
    <n v="0.02"/>
    <n v="6609.67"/>
    <n v="3273.83"/>
    <n v="49.46"/>
    <s v="Debit Card"/>
    <x v="1"/>
    <b v="0"/>
    <x v="1"/>
    <n v="4"/>
  </r>
  <r>
    <s v="ORD-03649"/>
    <x v="552"/>
    <x v="552"/>
    <s v="CUST00250"/>
    <s v="Arjun Kapoor"/>
    <n v="33"/>
    <s v="Other"/>
    <x v="3"/>
    <s v="Patna"/>
    <x v="4"/>
    <s v="Dress"/>
    <n v="5"/>
    <n v="3459.1"/>
    <n v="0.09"/>
    <n v="5625.2"/>
    <n v="2101.1"/>
    <n v="59.55"/>
    <s v="Debit Card"/>
    <x v="2"/>
    <b v="0"/>
    <x v="1"/>
    <n v="7"/>
  </r>
  <r>
    <s v="ORD-04153"/>
    <x v="1316"/>
    <x v="1316"/>
    <s v="CUST73466"/>
    <s v="Aditya Pillai"/>
    <n v="24"/>
    <s v="Male"/>
    <x v="1"/>
    <s v="Pune"/>
    <x v="0"/>
    <s v="Dal (1kg)"/>
    <n v="10"/>
    <n v="390.96"/>
    <n v="0.37"/>
    <n v="2025.46"/>
    <n v="195.36"/>
    <n v="83.81"/>
    <s v="Credit Card"/>
    <x v="3"/>
    <b v="0"/>
    <x v="1"/>
    <n v="1"/>
  </r>
  <r>
    <s v="ORD-01601"/>
    <x v="722"/>
    <x v="722"/>
    <s v="CUST25228"/>
    <s v="Meera Kumar"/>
    <n v="45"/>
    <s v="Female"/>
    <x v="0"/>
    <s v="Raipur"/>
    <x v="1"/>
    <s v="Sunscreen"/>
    <n v="8"/>
    <n v="1478.6"/>
    <n v="7.0000000000000007E-2"/>
    <n v="8581.43"/>
    <n v="3617.51"/>
    <n v="72.319999999999993"/>
    <s v="UPI"/>
    <x v="3"/>
    <b v="0"/>
    <x v="1"/>
    <n v="8"/>
  </r>
  <r>
    <s v="ORD-04168"/>
    <x v="786"/>
    <x v="786"/>
    <s v="CUST39751"/>
    <s v="Meera Iyer"/>
    <n v="34"/>
    <s v="Female"/>
    <x v="1"/>
    <s v="Ahmedabad"/>
    <x v="6"/>
    <s v="Tennis Racket"/>
    <n v="2"/>
    <n v="10972.39"/>
    <n v="0.3"/>
    <n v="11894.53"/>
    <n v="2981.58"/>
    <n v="43.93"/>
    <s v="EMI"/>
    <x v="3"/>
    <b v="0"/>
    <x v="1"/>
    <n v="10"/>
  </r>
  <r>
    <s v="ORD-02540"/>
    <x v="1317"/>
    <x v="1317"/>
    <s v="CUST48928"/>
    <s v="Aditya Shah"/>
    <n v="14"/>
    <s v="Female"/>
    <x v="2"/>
    <s v="Amritsar"/>
    <x v="3"/>
    <s v="Textbook"/>
    <n v="5"/>
    <n v="1137.99"/>
    <n v="0.18"/>
    <n v="3823.42"/>
    <n v="1103.46"/>
    <n v="47.49"/>
    <s v="Credit Card"/>
    <x v="0"/>
    <b v="0"/>
    <x v="1"/>
    <n v="6"/>
  </r>
  <r>
    <s v="ORD-04193"/>
    <x v="445"/>
    <x v="445"/>
    <s v="CUST18192"/>
    <s v="Nikhil Bose"/>
    <n v="25"/>
    <s v="Female"/>
    <x v="3"/>
    <s v="Patna"/>
    <x v="1"/>
    <s v="Perfume"/>
    <n v="5"/>
    <n v="724.63"/>
    <n v="0.1"/>
    <n v="3163.89"/>
    <n v="1918.69"/>
    <n v="48.49"/>
    <s v="Credit Card"/>
    <x v="1"/>
    <b v="0"/>
    <x v="1"/>
    <n v="6"/>
  </r>
  <r>
    <s v="ORD-02432"/>
    <x v="1318"/>
    <x v="1318"/>
    <s v="CUST26395"/>
    <s v="Amit Kumar"/>
    <n v="33"/>
    <s v="Other"/>
    <x v="0"/>
    <s v="Nagpur"/>
    <x v="4"/>
    <s v="T-Shirt"/>
    <n v="4"/>
    <n v="2693.03"/>
    <n v="0.24"/>
    <n v="8454.01"/>
    <n v="2808.17"/>
    <n v="71.64"/>
    <s v="Debit Card"/>
    <x v="0"/>
    <b v="0"/>
    <x v="1"/>
    <n v="3"/>
  </r>
  <r>
    <s v="ORD-00059"/>
    <x v="73"/>
    <x v="73"/>
    <s v="CUST44752"/>
    <s v="Rahul Chatterjee"/>
    <n v="17"/>
    <s v="Male"/>
    <x v="3"/>
    <s v="Kolkata"/>
    <x v="2"/>
    <s v="Sofa"/>
    <n v="8"/>
    <n v="16934.64"/>
    <n v="0.35"/>
    <n v="65194.48"/>
    <n v="16163.86"/>
    <n v="73.23"/>
    <s v="Debit Card"/>
    <x v="1"/>
    <b v="1"/>
    <x v="0"/>
    <n v="4"/>
  </r>
  <r>
    <s v="ORD-00523"/>
    <x v="399"/>
    <x v="399"/>
    <s v="CUST62159"/>
    <s v="Priya Verma"/>
    <n v="24"/>
    <s v="Female"/>
    <x v="2"/>
    <s v="Delhi"/>
    <x v="0"/>
    <s v="Flour"/>
    <n v="9"/>
    <n v="418.36"/>
    <n v="0.05"/>
    <n v="3968.83"/>
    <n v="273.7"/>
    <n v="69.239999999999995"/>
    <s v="Net Banking"/>
    <x v="0"/>
    <b v="0"/>
    <x v="1"/>
    <n v="7"/>
  </r>
  <r>
    <s v="ORD-01901"/>
    <x v="1319"/>
    <x v="1319"/>
    <s v="CUST72800"/>
    <s v="Vikram Rao"/>
    <n v="46"/>
    <s v="Other"/>
    <x v="3"/>
    <s v="Kolkata"/>
    <x v="3"/>
    <s v="Biography"/>
    <n v="2"/>
    <n v="231.44"/>
    <n v="0.36"/>
    <n v="417.99"/>
    <n v="155.21"/>
    <n v="103.55"/>
    <s v="EMI"/>
    <x v="0"/>
    <b v="0"/>
    <x v="3"/>
    <n v="8"/>
  </r>
  <r>
    <s v="ORD-04180"/>
    <x v="1014"/>
    <x v="1014"/>
    <s v="CUST01003"/>
    <s v="Priya Pillai"/>
    <n v="28"/>
    <s v="Female"/>
    <x v="0"/>
    <s v="Bhopal"/>
    <x v="0"/>
    <s v="Sugar"/>
    <n v="10"/>
    <n v="194.61"/>
    <n v="0.27"/>
    <n v="1329.87"/>
    <n v="143.25"/>
    <n v="23.86"/>
    <s v="EMI"/>
    <x v="3"/>
    <b v="0"/>
    <x v="1"/>
    <n v="5"/>
  </r>
  <r>
    <s v="ORD-02827"/>
    <x v="1320"/>
    <x v="1320"/>
    <s v="CUST71925"/>
    <s v="Deepa Shah"/>
    <n v="32"/>
    <s v="Female"/>
    <x v="1"/>
    <s v="Ahmedabad"/>
    <x v="1"/>
    <s v="Perfume"/>
    <n v="3"/>
    <n v="975.85"/>
    <n v="0.14000000000000001"/>
    <n v="3386.22"/>
    <n v="2179.66"/>
    <n v="87.45"/>
    <s v="Credit Card"/>
    <x v="3"/>
    <b v="0"/>
    <x v="4"/>
    <n v="10"/>
  </r>
  <r>
    <s v="ORD-03493"/>
    <x v="1213"/>
    <x v="1213"/>
    <s v="CUST44061"/>
    <s v="Kavya Rao"/>
    <n v="29"/>
    <s v="Female"/>
    <x v="1"/>
    <s v="Ahmedabad"/>
    <x v="1"/>
    <s v="Lipstick"/>
    <n v="1"/>
    <n v="848.25"/>
    <n v="0.04"/>
    <n v="894.07"/>
    <n v="422.93"/>
    <n v="74.23"/>
    <s v="Cash on Delivery"/>
    <x v="1"/>
    <b v="0"/>
    <x v="1"/>
    <n v="9"/>
  </r>
  <r>
    <s v="ORD-03484"/>
    <x v="1321"/>
    <x v="1321"/>
    <s v="CUST42985"/>
    <s v="Rohan Chatterjee"/>
    <n v="35"/>
    <s v="Female"/>
    <x v="0"/>
    <s v="Nagpur"/>
    <x v="5"/>
    <s v="Camera"/>
    <n v="9"/>
    <n v="70923.399999999994"/>
    <n v="0.34"/>
    <n v="506257.71"/>
    <n v="52952.38"/>
    <n v="42.34"/>
    <s v="UPI"/>
    <x v="3"/>
    <b v="0"/>
    <x v="1"/>
    <n v="3"/>
  </r>
  <r>
    <s v="ORD-00123"/>
    <x v="913"/>
    <x v="913"/>
    <s v="CUST54173"/>
    <s v="Meera Chatterjee"/>
    <n v="58"/>
    <s v="Other"/>
    <x v="1"/>
    <s v="Ahmedabad"/>
    <x v="0"/>
    <s v="Sugar"/>
    <n v="1"/>
    <n v="373.23"/>
    <n v="0.32"/>
    <n v="203.4"/>
    <n v="19.53"/>
    <n v="44.95"/>
    <s v="EMI"/>
    <x v="0"/>
    <b v="0"/>
    <x v="1"/>
    <n v="6"/>
  </r>
  <r>
    <s v="ORD-01002"/>
    <x v="808"/>
    <x v="808"/>
    <s v="CUST22154"/>
    <s v="Ananya Patel"/>
    <n v="19"/>
    <s v="Female"/>
    <x v="1"/>
    <s v="Mumbai"/>
    <x v="3"/>
    <s v="Self-Help Book"/>
    <n v="6"/>
    <n v="1364.16"/>
    <n v="0.39"/>
    <n v="5115.87"/>
    <n v="1835.6"/>
    <n v="62.5"/>
    <s v="UPI"/>
    <x v="2"/>
    <b v="0"/>
    <x v="2"/>
    <n v="2"/>
  </r>
  <r>
    <s v="ORD-01374"/>
    <x v="1154"/>
    <x v="1154"/>
    <s v="CUST68198"/>
    <s v="Rahul Chatterjee"/>
    <n v="13"/>
    <s v="Male"/>
    <x v="0"/>
    <s v="Raipur"/>
    <x v="5"/>
    <s v="Laptop"/>
    <n v="7"/>
    <n v="48956.77"/>
    <n v="0.24"/>
    <n v="279788.19"/>
    <n v="38368.449999999997"/>
    <n v="86.46"/>
    <s v="Net Banking"/>
    <x v="2"/>
    <b v="0"/>
    <x v="1"/>
    <n v="9"/>
  </r>
  <r>
    <s v="ORD-00917"/>
    <x v="109"/>
    <x v="109"/>
    <s v="CUST45413"/>
    <s v="Aditya Singh"/>
    <n v="14"/>
    <s v="Female"/>
    <x v="2"/>
    <s v="Chandigarh"/>
    <x v="6"/>
    <s v="Cricket Bat"/>
    <n v="10"/>
    <n v="10161.64"/>
    <n v="0.01"/>
    <n v="88906.61"/>
    <n v="14067.58"/>
    <n v="19.18"/>
    <s v="EMI"/>
    <x v="1"/>
    <b v="0"/>
    <x v="1"/>
    <n v="9"/>
  </r>
  <r>
    <s v="ORD-00827"/>
    <x v="1271"/>
    <x v="1271"/>
    <s v="CUST71416"/>
    <s v="Aditya Kapoor"/>
    <n v="43"/>
    <s v="Female"/>
    <x v="4"/>
    <s v="Kochi"/>
    <x v="5"/>
    <s v="Headphones"/>
    <n v="2"/>
    <n v="43066.95"/>
    <n v="0.25"/>
    <n v="50066.36"/>
    <n v="6929.76"/>
    <n v="69.88"/>
    <s v="Net Banking"/>
    <x v="3"/>
    <b v="0"/>
    <x v="1"/>
    <n v="7"/>
  </r>
  <r>
    <s v="ORD-00527"/>
    <x v="703"/>
    <x v="703"/>
    <s v="CUST81582"/>
    <s v="Karan Pillai"/>
    <n v="46"/>
    <s v="Male"/>
    <x v="3"/>
    <s v="Bhubaneswar"/>
    <x v="5"/>
    <s v="Tablet"/>
    <n v="1"/>
    <n v="39870.46"/>
    <n v="0.14000000000000001"/>
    <n v="42279.37"/>
    <n v="4768.46"/>
    <n v="76.58"/>
    <s v="Debit Card"/>
    <x v="2"/>
    <b v="0"/>
    <x v="1"/>
    <n v="1"/>
  </r>
  <r>
    <s v="ORD-02423"/>
    <x v="1322"/>
    <x v="1322"/>
    <s v="CUST98860"/>
    <s v="Nikhil Nair"/>
    <n v="16"/>
    <s v="Female"/>
    <x v="4"/>
    <s v="Kochi"/>
    <x v="4"/>
    <s v="T-Shirt"/>
    <n v="6"/>
    <n v="3572.55"/>
    <n v="0.21"/>
    <n v="17702.509999999998"/>
    <n v="4881.96"/>
    <n v="72.400000000000006"/>
    <s v="Net Banking"/>
    <x v="3"/>
    <b v="0"/>
    <x v="1"/>
    <n v="7"/>
  </r>
  <r>
    <s v="ORD-02002"/>
    <x v="264"/>
    <x v="264"/>
    <s v="CUST93495"/>
    <s v="Karan Mehta"/>
    <n v="24"/>
    <s v="Other"/>
    <x v="0"/>
    <s v="Nagpur"/>
    <x v="5"/>
    <s v="Smartphone"/>
    <n v="4"/>
    <n v="79903.31"/>
    <n v="0.19"/>
    <n v="381040.75"/>
    <n v="46291.37"/>
    <n v="49.66"/>
    <s v="Credit Card"/>
    <x v="3"/>
    <b v="0"/>
    <x v="1"/>
    <n v="9"/>
  </r>
  <r>
    <s v="ORD-01547"/>
    <x v="801"/>
    <x v="801"/>
    <s v="CUST82417"/>
    <s v="Deepa Reddy"/>
    <n v="32"/>
    <s v="Female"/>
    <x v="4"/>
    <s v="Chennai"/>
    <x v="1"/>
    <s v="Hair Oil"/>
    <n v="8"/>
    <n v="1747.96"/>
    <n v="0.04"/>
    <n v="10534.51"/>
    <n v="5549.08"/>
    <n v="70.95"/>
    <s v="UPI"/>
    <x v="1"/>
    <b v="0"/>
    <x v="1"/>
    <n v="9"/>
  </r>
  <r>
    <s v="ORD-02671"/>
    <x v="395"/>
    <x v="395"/>
    <s v="CUST19942"/>
    <s v="Deepa Joshi"/>
    <n v="29"/>
    <s v="Other"/>
    <x v="1"/>
    <s v="Mumbai"/>
    <x v="3"/>
    <s v="Cook Book"/>
    <n v="7"/>
    <n v="286.55"/>
    <n v="0.19"/>
    <n v="1865.14"/>
    <n v="943.5"/>
    <n v="60.27"/>
    <s v="Cash on Delivery"/>
    <x v="4"/>
    <b v="0"/>
    <x v="4"/>
    <n v="1"/>
  </r>
  <r>
    <s v="ORD-01137"/>
    <x v="318"/>
    <x v="318"/>
    <s v="CUST09710"/>
    <s v="Nikhil Reddy"/>
    <n v="24"/>
    <s v="Other"/>
    <x v="0"/>
    <s v="Raipur"/>
    <x v="4"/>
    <s v="Dress"/>
    <n v="10"/>
    <n v="3901.77"/>
    <n v="0.23"/>
    <n v="39791.15"/>
    <n v="11924.12"/>
    <n v="26.2"/>
    <s v="Credit Card"/>
    <x v="0"/>
    <b v="0"/>
    <x v="1"/>
    <n v="3"/>
  </r>
  <r>
    <s v="ORD-02688"/>
    <x v="683"/>
    <x v="683"/>
    <s v="CUST01507"/>
    <s v="Ritu Kapoor"/>
    <n v="30"/>
    <s v="Female"/>
    <x v="1"/>
    <s v="Mumbai"/>
    <x v="3"/>
    <s v="Comic Book"/>
    <n v="1"/>
    <n v="1377.62"/>
    <n v="0.12"/>
    <n v="1266.17"/>
    <n v="565.49"/>
    <n v="53.93"/>
    <s v="Credit Card"/>
    <x v="2"/>
    <b v="0"/>
    <x v="4"/>
    <n v="3"/>
  </r>
  <r>
    <s v="ORD-03878"/>
    <x v="1156"/>
    <x v="1156"/>
    <s v="CUST09035"/>
    <s v="Priya Mehta"/>
    <n v="35"/>
    <s v="Male"/>
    <x v="2"/>
    <s v="Chandigarh"/>
    <x v="2"/>
    <s v="Desk"/>
    <n v="3"/>
    <n v="19778.53"/>
    <n v="0.22"/>
    <n v="67218.58"/>
    <n v="15015.41"/>
    <n v="30.24"/>
    <s v="UPI"/>
    <x v="0"/>
    <b v="0"/>
    <x v="1"/>
    <n v="5"/>
  </r>
  <r>
    <s v="ORD-00279"/>
    <x v="182"/>
    <x v="182"/>
    <s v="CUST43418"/>
    <s v="Priya Gupta"/>
    <n v="47"/>
    <s v="Male"/>
    <x v="3"/>
    <s v="Kolkata"/>
    <x v="4"/>
    <s v="Saree"/>
    <n v="5"/>
    <n v="1209.8399999999999"/>
    <n v="0.26"/>
    <n v="5409.13"/>
    <n v="1839.27"/>
    <n v="70.069999999999993"/>
    <s v="Credit Card"/>
    <x v="4"/>
    <b v="0"/>
    <x v="1"/>
    <n v="7"/>
  </r>
  <r>
    <s v="ORD-02890"/>
    <x v="1323"/>
    <x v="1323"/>
    <s v="CUST22330"/>
    <s v="Aarav Sharma"/>
    <n v="61"/>
    <s v="Female"/>
    <x v="3"/>
    <s v="Guwahati"/>
    <x v="1"/>
    <s v="Face Cream"/>
    <n v="1"/>
    <n v="830.66"/>
    <n v="0.15"/>
    <n v="1004.6"/>
    <n v="465.76"/>
    <n v="56.2"/>
    <s v="Cash on Delivery"/>
    <x v="1"/>
    <b v="0"/>
    <x v="4"/>
    <n v="10"/>
  </r>
  <r>
    <s v="ORD-00883"/>
    <x v="1243"/>
    <x v="1243"/>
    <s v="CUST25736"/>
    <s v="Rohan Bose"/>
    <n v="43"/>
    <s v="Other"/>
    <x v="2"/>
    <s v="Amritsar"/>
    <x v="1"/>
    <s v="Hair Oil"/>
    <n v="9"/>
    <n v="1071.8800000000001"/>
    <n v="0.21"/>
    <n v="6143.09"/>
    <n v="3577.85"/>
    <n v="64.180000000000007"/>
    <s v="Debit Card"/>
    <x v="1"/>
    <b v="0"/>
    <x v="1"/>
    <n v="9"/>
  </r>
  <r>
    <s v="ORD-00738"/>
    <x v="489"/>
    <x v="489"/>
    <s v="CUST90925"/>
    <s v="Amit Iyer"/>
    <n v="45"/>
    <s v="Male"/>
    <x v="0"/>
    <s v="Indore"/>
    <x v="6"/>
    <s v="Cricket Bat"/>
    <n v="2"/>
    <n v="2618.63"/>
    <n v="0.37"/>
    <n v="2183.04"/>
    <n v="381.86"/>
    <n v="63.43"/>
    <s v="EMI"/>
    <x v="4"/>
    <b v="0"/>
    <x v="1"/>
    <n v="10"/>
  </r>
  <r>
    <s v="ORD-03295"/>
    <x v="457"/>
    <x v="457"/>
    <s v="CUST19218"/>
    <s v="Aditya Verma"/>
    <n v="41"/>
    <s v="Female"/>
    <x v="2"/>
    <s v="Amritsar"/>
    <x v="6"/>
    <s v="Cricket Bat"/>
    <n v="5"/>
    <n v="7855.23"/>
    <n v="0.26"/>
    <n v="24768.639999999999"/>
    <n v="5747.72"/>
    <n v="37.97"/>
    <s v="Credit Card"/>
    <x v="4"/>
    <b v="1"/>
    <x v="0"/>
    <n v="2"/>
  </r>
  <r>
    <s v="ORD-02609"/>
    <x v="295"/>
    <x v="295"/>
    <s v="CUST96498"/>
    <s v="Meera Kapoor"/>
    <n v="34"/>
    <s v="Female"/>
    <x v="4"/>
    <s v="Chennai"/>
    <x v="4"/>
    <s v="Kurta"/>
    <n v="1"/>
    <n v="398.12"/>
    <n v="0.2"/>
    <n v="370.05"/>
    <n v="160.84"/>
    <n v="61.44"/>
    <s v="Debit Card"/>
    <x v="1"/>
    <b v="0"/>
    <x v="1"/>
    <n v="3"/>
  </r>
  <r>
    <s v="ORD-00295"/>
    <x v="1085"/>
    <x v="1085"/>
    <s v="CUST86265"/>
    <s v="Nikhil Verma"/>
    <n v="30"/>
    <s v="Male"/>
    <x v="3"/>
    <s v="Kolkata"/>
    <x v="3"/>
    <s v="Cook Book"/>
    <n v="6"/>
    <n v="717.06"/>
    <n v="0.14000000000000001"/>
    <n v="4062.73"/>
    <n v="993.44"/>
    <n v="65.95"/>
    <s v="EMI"/>
    <x v="0"/>
    <b v="0"/>
    <x v="1"/>
    <n v="4"/>
  </r>
  <r>
    <s v="ORD-00505"/>
    <x v="1324"/>
    <x v="1324"/>
    <s v="CUST37735"/>
    <s v="Kavya Mehta"/>
    <n v="51"/>
    <s v="Other"/>
    <x v="3"/>
    <s v="Bhubaneswar"/>
    <x v="5"/>
    <s v="Tablet"/>
    <n v="8"/>
    <n v="43322.03"/>
    <n v="0.27"/>
    <n v="257970.06"/>
    <n v="20962.59"/>
    <n v="81.23"/>
    <s v="Credit Card"/>
    <x v="1"/>
    <b v="0"/>
    <x v="3"/>
    <n v="3"/>
  </r>
  <r>
    <s v="ORD-01660"/>
    <x v="1325"/>
    <x v="1325"/>
    <s v="CUST07883"/>
    <s v="Aditya Joshi"/>
    <n v="35"/>
    <s v="Female"/>
    <x v="0"/>
    <s v="Nagpur"/>
    <x v="6"/>
    <s v="Yoga Mat"/>
    <n v="3"/>
    <n v="14314.59"/>
    <n v="0.28000000000000003"/>
    <n v="24565.05"/>
    <n v="6700.1"/>
    <n v="49.08"/>
    <s v="Debit Card"/>
    <x v="3"/>
    <b v="1"/>
    <x v="0"/>
    <n v="7"/>
  </r>
  <r>
    <s v="ORD-02120"/>
    <x v="710"/>
    <x v="710"/>
    <s v="CUST74638"/>
    <s v="Rohan Verma"/>
    <n v="40"/>
    <s v="Male"/>
    <x v="3"/>
    <s v="Guwahati"/>
    <x v="0"/>
    <s v="Flour"/>
    <n v="8"/>
    <n v="473.04"/>
    <n v="0.33"/>
    <n v="4049.28"/>
    <n v="301.36"/>
    <n v="76.099999999999994"/>
    <s v="Cash on Delivery"/>
    <x v="1"/>
    <b v="0"/>
    <x v="1"/>
    <n v="9"/>
  </r>
  <r>
    <s v="ORD-01718"/>
    <x v="820"/>
    <x v="820"/>
    <s v="CUST91928"/>
    <s v="Vikram Kapoor"/>
    <n v="39"/>
    <s v="Male"/>
    <x v="1"/>
    <s v="Surat"/>
    <x v="6"/>
    <s v="Football"/>
    <n v="7"/>
    <n v="6522.84"/>
    <n v="0.09"/>
    <n v="37840.550000000003"/>
    <n v="7201.91"/>
    <n v="45.29"/>
    <s v="EMI"/>
    <x v="0"/>
    <b v="1"/>
    <x v="0"/>
    <n v="3"/>
  </r>
  <r>
    <s v="ORD-02730"/>
    <x v="929"/>
    <x v="929"/>
    <s v="CUST20266"/>
    <s v="Sanjay Bose"/>
    <n v="11"/>
    <s v="Female"/>
    <x v="0"/>
    <s v="Bhopal"/>
    <x v="3"/>
    <s v="Biography"/>
    <n v="4"/>
    <n v="1044.75"/>
    <n v="0.05"/>
    <n v="6061.68"/>
    <n v="2610.2800000000002"/>
    <n v="55.23"/>
    <s v="Cash on Delivery"/>
    <x v="0"/>
    <b v="0"/>
    <x v="1"/>
    <n v="6"/>
  </r>
  <r>
    <s v="ORD-01183"/>
    <x v="663"/>
    <x v="663"/>
    <s v="CUST36587"/>
    <s v="Amit Rao"/>
    <n v="9"/>
    <s v="Male"/>
    <x v="3"/>
    <s v="Kolkata"/>
    <x v="2"/>
    <s v="Desk"/>
    <n v="2"/>
    <n v="27005.32"/>
    <n v="0.13"/>
    <n v="70592.55"/>
    <n v="21121.9"/>
    <n v="60.02"/>
    <s v="Credit Card"/>
    <x v="0"/>
    <b v="0"/>
    <x v="1"/>
    <n v="6"/>
  </r>
  <r>
    <s v="ORD-00548"/>
    <x v="743"/>
    <x v="743"/>
    <s v="CUST25946"/>
    <s v="Aarav Gupta"/>
    <n v="27"/>
    <s v="Female"/>
    <x v="0"/>
    <s v="Indore"/>
    <x v="0"/>
    <s v="Cooking Oil"/>
    <n v="1"/>
    <n v="387.88"/>
    <n v="0.39"/>
    <n v="293.72000000000003"/>
    <n v="15.64"/>
    <n v="65.680000000000007"/>
    <s v="Credit Card"/>
    <x v="2"/>
    <b v="0"/>
    <x v="1"/>
    <n v="7"/>
  </r>
  <r>
    <s v="ORD-00004"/>
    <x v="597"/>
    <x v="597"/>
    <s v="CUST59539"/>
    <s v="Aarav Rao"/>
    <n v="43"/>
    <s v="Male"/>
    <x v="0"/>
    <s v="Raipur"/>
    <x v="1"/>
    <s v="Shampoo"/>
    <n v="1"/>
    <n v="2179.09"/>
    <n v="0.26"/>
    <n v="1240"/>
    <n v="548.45000000000005"/>
    <n v="71"/>
    <s v="Debit Card"/>
    <x v="1"/>
    <b v="0"/>
    <x v="2"/>
    <n v="9"/>
  </r>
  <r>
    <s v="ORD-00979"/>
    <x v="1245"/>
    <x v="1245"/>
    <s v="CUST08503"/>
    <s v="Sanjay Iyer"/>
    <n v="48"/>
    <s v="Other"/>
    <x v="4"/>
    <s v="Bangalore"/>
    <x v="1"/>
    <s v="Perfume"/>
    <n v="5"/>
    <n v="357.2"/>
    <n v="0.25"/>
    <n v="1350.29"/>
    <n v="473.38"/>
    <n v="95.58"/>
    <s v="UPI"/>
    <x v="0"/>
    <b v="0"/>
    <x v="1"/>
    <n v="8"/>
  </r>
  <r>
    <s v="ORD-01144"/>
    <x v="548"/>
    <x v="548"/>
    <s v="CUST45935"/>
    <s v="Aarav Kumar"/>
    <n v="15"/>
    <s v="Other"/>
    <x v="3"/>
    <s v="Patna"/>
    <x v="6"/>
    <s v="Football"/>
    <n v="9"/>
    <n v="12309.47"/>
    <n v="0.39"/>
    <n v="88216.48"/>
    <n v="23774.29"/>
    <n v="64.349999999999994"/>
    <s v="EMI"/>
    <x v="1"/>
    <b v="0"/>
    <x v="1"/>
    <n v="4"/>
  </r>
  <r>
    <s v="ORD-04114"/>
    <x v="253"/>
    <x v="253"/>
    <s v="CUST90879"/>
    <s v="Aarav Pillai"/>
    <n v="38"/>
    <s v="Other"/>
    <x v="1"/>
    <s v="Pune"/>
    <x v="4"/>
    <s v="Jacket"/>
    <n v="8"/>
    <n v="2242.21"/>
    <n v="0.08"/>
    <n v="15849.85"/>
    <n v="5745.26"/>
    <n v="58.08"/>
    <s v="UPI"/>
    <x v="0"/>
    <b v="0"/>
    <x v="3"/>
    <n v="5"/>
  </r>
  <r>
    <s v="ORD-03044"/>
    <x v="265"/>
    <x v="265"/>
    <s v="CUST65535"/>
    <s v="Vikram Joshi"/>
    <n v="31"/>
    <s v="Other"/>
    <x v="4"/>
    <s v="Kochi"/>
    <x v="0"/>
    <s v="Dal (1kg)"/>
    <n v="6"/>
    <n v="180.04"/>
    <n v="0.37"/>
    <n v="955.97"/>
    <n v="84.65"/>
    <n v="65.569999999999993"/>
    <s v="EMI"/>
    <x v="3"/>
    <b v="0"/>
    <x v="3"/>
    <n v="7"/>
  </r>
  <r>
    <s v="ORD-01574"/>
    <x v="1104"/>
    <x v="1104"/>
    <s v="CUST51745"/>
    <s v="Sanjay Mishra"/>
    <n v="34"/>
    <s v="Other"/>
    <x v="1"/>
    <s v="Surat"/>
    <x v="6"/>
    <s v="Tennis Racket"/>
    <n v="10"/>
    <n v="8246.76"/>
    <n v="0.28999999999999998"/>
    <n v="47232.4"/>
    <n v="10000.85"/>
    <n v="76.69"/>
    <s v="Net Banking"/>
    <x v="0"/>
    <b v="0"/>
    <x v="1"/>
    <n v="3"/>
  </r>
  <r>
    <s v="ORD-02571"/>
    <x v="774"/>
    <x v="774"/>
    <s v="CUST27786"/>
    <s v="Nikhil Shah"/>
    <n v="27"/>
    <s v="Male"/>
    <x v="0"/>
    <s v="Nagpur"/>
    <x v="0"/>
    <s v="Tea"/>
    <n v="2"/>
    <n v="419.88"/>
    <n v="0.03"/>
    <n v="701.1"/>
    <n v="57.86"/>
    <n v="49.02"/>
    <s v="Cash on Delivery"/>
    <x v="3"/>
    <b v="0"/>
    <x v="4"/>
    <n v="7"/>
  </r>
  <r>
    <s v="ORD-03212"/>
    <x v="364"/>
    <x v="364"/>
    <s v="CUST59899"/>
    <s v="Shreya Kapoor"/>
    <n v="37"/>
    <s v="Male"/>
    <x v="1"/>
    <s v="Surat"/>
    <x v="0"/>
    <s v="Sugar"/>
    <n v="3"/>
    <n v="309.69"/>
    <n v="0.18"/>
    <n v="839.42"/>
    <n v="69.64"/>
    <n v="50.8"/>
    <s v="UPI"/>
    <x v="4"/>
    <b v="0"/>
    <x v="1"/>
    <n v="1"/>
  </r>
  <r>
    <s v="ORD-00836"/>
    <x v="1326"/>
    <x v="1326"/>
    <s v="CUST64754"/>
    <s v="Pooja Reddy"/>
    <n v="52"/>
    <s v="Other"/>
    <x v="1"/>
    <s v="Pune"/>
    <x v="6"/>
    <s v="Football"/>
    <n v="4"/>
    <n v="9859.42"/>
    <n v="0.1"/>
    <n v="30461.87"/>
    <n v="8214.61"/>
    <n v="75.89"/>
    <s v="Net Banking"/>
    <x v="1"/>
    <b v="0"/>
    <x v="1"/>
    <n v="7"/>
  </r>
  <r>
    <s v="ORD-00198"/>
    <x v="1279"/>
    <x v="1279"/>
    <s v="CUST42117"/>
    <s v="Pooja Gupta"/>
    <n v="34"/>
    <s v="Other"/>
    <x v="4"/>
    <s v="Chennai"/>
    <x v="2"/>
    <s v="Desk"/>
    <n v="9"/>
    <n v="20805.29"/>
    <n v="0.24"/>
    <n v="146348.29999999999"/>
    <n v="36051.94"/>
    <n v="59.05"/>
    <s v="UPI"/>
    <x v="1"/>
    <b v="0"/>
    <x v="1"/>
    <n v="7"/>
  </r>
  <r>
    <s v="ORD-00612"/>
    <x v="1327"/>
    <x v="1327"/>
    <s v="CUST14600"/>
    <s v="Sanjay Kumar"/>
    <n v="46"/>
    <s v="Other"/>
    <x v="1"/>
    <s v="Surat"/>
    <x v="6"/>
    <s v="Dumbbells"/>
    <n v="2"/>
    <n v="1417.62"/>
    <n v="0.33"/>
    <n v="1983.4"/>
    <n v="404.4"/>
    <n v="38.22"/>
    <s v="UPI"/>
    <x v="4"/>
    <b v="0"/>
    <x v="1"/>
    <n v="4"/>
  </r>
  <r>
    <s v="ORD-02525"/>
    <x v="1328"/>
    <x v="1328"/>
    <s v="CUST46864"/>
    <s v="Aditya Patel"/>
    <n v="26"/>
    <s v="Female"/>
    <x v="0"/>
    <s v="Raipur"/>
    <x v="4"/>
    <s v="Jeans"/>
    <n v="8"/>
    <n v="2369.91"/>
    <n v="0.35"/>
    <n v="12912.46"/>
    <n v="4497.08"/>
    <n v="59.82"/>
    <s v="Debit Card"/>
    <x v="4"/>
    <b v="0"/>
    <x v="1"/>
    <n v="10"/>
  </r>
  <r>
    <s v="ORD-02913"/>
    <x v="1329"/>
    <x v="1329"/>
    <s v="CUST21693"/>
    <s v="Deepa Kumar"/>
    <n v="43"/>
    <s v="Other"/>
    <x v="2"/>
    <s v="Ludhiana"/>
    <x v="1"/>
    <s v="Perfume"/>
    <n v="4"/>
    <n v="623.29999999999995"/>
    <n v="0.32"/>
    <n v="3062.97"/>
    <n v="1736.95"/>
    <n v="52.12"/>
    <s v="UPI"/>
    <x v="3"/>
    <b v="0"/>
    <x v="1"/>
    <n v="3"/>
  </r>
  <r>
    <s v="ORD-01803"/>
    <x v="539"/>
    <x v="539"/>
    <s v="CUST75917"/>
    <s v="Nikhil Iyer"/>
    <n v="48"/>
    <s v="Female"/>
    <x v="2"/>
    <s v="Amritsar"/>
    <x v="0"/>
    <s v="Sugar"/>
    <n v="1"/>
    <n v="259.95"/>
    <n v="0.3"/>
    <n v="210.74"/>
    <n v="16.68"/>
    <n v="40.85"/>
    <s v="Net Banking"/>
    <x v="0"/>
    <b v="0"/>
    <x v="1"/>
    <n v="9"/>
  </r>
  <r>
    <s v="ORD-01141"/>
    <x v="480"/>
    <x v="480"/>
    <s v="CUST04487"/>
    <s v="Meera Verma"/>
    <n v="34"/>
    <s v="Female"/>
    <x v="1"/>
    <s v="Ahmedabad"/>
    <x v="3"/>
    <s v="Biography"/>
    <n v="7"/>
    <n v="846.48"/>
    <n v="0.2"/>
    <n v="6420.7"/>
    <n v="2975.81"/>
    <n v="30.99"/>
    <s v="Credit Card"/>
    <x v="0"/>
    <b v="0"/>
    <x v="1"/>
    <n v="1"/>
  </r>
  <r>
    <s v="ORD-01022"/>
    <x v="1330"/>
    <x v="1330"/>
    <s v="CUST91541"/>
    <s v="Aarav Sharma"/>
    <n v="23"/>
    <s v="Other"/>
    <x v="0"/>
    <s v="Indore"/>
    <x v="4"/>
    <s v="Jacket"/>
    <n v="9"/>
    <n v="2816.32"/>
    <n v="0.13"/>
    <n v="29155.08"/>
    <n v="5473.17"/>
    <n v="58.3"/>
    <s v="Debit Card"/>
    <x v="0"/>
    <b v="0"/>
    <x v="3"/>
    <n v="3"/>
  </r>
  <r>
    <s v="ORD-03638"/>
    <x v="497"/>
    <x v="497"/>
    <s v="CUST06952"/>
    <s v="Deepa Pillai"/>
    <n v="42"/>
    <s v="Other"/>
    <x v="4"/>
    <s v="Bangalore"/>
    <x v="2"/>
    <s v="Bookshelf"/>
    <n v="4"/>
    <n v="15880.17"/>
    <n v="0.08"/>
    <n v="96311.3"/>
    <n v="34839.089999999997"/>
    <n v="69.260000000000005"/>
    <s v="Debit Card"/>
    <x v="2"/>
    <b v="0"/>
    <x v="1"/>
    <n v="4"/>
  </r>
  <r>
    <s v="ORD-03505"/>
    <x v="1331"/>
    <x v="1331"/>
    <s v="CUST59852"/>
    <s v="Nikhil Das"/>
    <n v="25"/>
    <s v="Male"/>
    <x v="0"/>
    <s v="Indore"/>
    <x v="0"/>
    <s v="Tea"/>
    <n v="7"/>
    <n v="126.08"/>
    <n v="0.08"/>
    <n v="1012.38"/>
    <n v="81.39"/>
    <n v="55.37"/>
    <s v="Credit Card"/>
    <x v="3"/>
    <b v="0"/>
    <x v="1"/>
    <n v="9"/>
  </r>
  <r>
    <s v="ORD-02440"/>
    <x v="1071"/>
    <x v="1071"/>
    <s v="CUST91846"/>
    <s v="Karan Nair"/>
    <n v="48"/>
    <s v="Other"/>
    <x v="2"/>
    <s v="Amritsar"/>
    <x v="6"/>
    <s v="Tennis Racket"/>
    <n v="2"/>
    <n v="1682.52"/>
    <n v="0.04"/>
    <n v="3162.9"/>
    <n v="650.21"/>
    <n v="69.290000000000006"/>
    <s v="Debit Card"/>
    <x v="3"/>
    <b v="0"/>
    <x v="1"/>
    <n v="2"/>
  </r>
  <r>
    <s v="ORD-01819"/>
    <x v="1178"/>
    <x v="1178"/>
    <s v="CUST63222"/>
    <s v="Priya Reddy"/>
    <n v="39"/>
    <s v="Female"/>
    <x v="3"/>
    <s v="Bhubaneswar"/>
    <x v="2"/>
    <s v="Desk"/>
    <n v="3"/>
    <n v="5315.14"/>
    <n v="0.2"/>
    <n v="17403.330000000002"/>
    <n v="5876.17"/>
    <n v="97.08"/>
    <s v="Credit Card"/>
    <x v="1"/>
    <b v="0"/>
    <x v="1"/>
    <n v="6"/>
  </r>
  <r>
    <s v="ORD-02785"/>
    <x v="948"/>
    <x v="948"/>
    <s v="CUST80688"/>
    <s v="Rahul Gupta"/>
    <n v="17"/>
    <s v="Female"/>
    <x v="2"/>
    <s v="Delhi"/>
    <x v="6"/>
    <s v="Dumbbells"/>
    <n v="4"/>
    <n v="14577.36"/>
    <n v="0.33"/>
    <n v="50624.06"/>
    <n v="7342.63"/>
    <n v="51.26"/>
    <s v="Credit Card"/>
    <x v="2"/>
    <b v="0"/>
    <x v="1"/>
    <n v="6"/>
  </r>
  <r>
    <s v="ORD-03793"/>
    <x v="1332"/>
    <x v="1332"/>
    <s v="CUST34536"/>
    <s v="Priya Nair"/>
    <n v="27"/>
    <s v="Female"/>
    <x v="4"/>
    <s v="Hyderabad"/>
    <x v="1"/>
    <s v="Sunscreen"/>
    <n v="7"/>
    <n v="1042.17"/>
    <n v="0.38"/>
    <n v="7279.6"/>
    <n v="3363.37"/>
    <n v="71.040000000000006"/>
    <s v="EMI"/>
    <x v="1"/>
    <b v="0"/>
    <x v="2"/>
    <n v="5"/>
  </r>
  <r>
    <s v="ORD-02711"/>
    <x v="466"/>
    <x v="466"/>
    <s v="CUST25704"/>
    <s v="Kavya Iyer"/>
    <n v="0"/>
    <s v="Female"/>
    <x v="4"/>
    <s v="Kochi"/>
    <x v="1"/>
    <s v="Face Cream"/>
    <n v="10"/>
    <n v="1958.8"/>
    <n v="0.39"/>
    <n v="14393.92"/>
    <n v="7311.62"/>
    <n v="56.07"/>
    <s v="UPI"/>
    <x v="1"/>
    <b v="0"/>
    <x v="1"/>
    <n v="7"/>
  </r>
  <r>
    <s v="ORD-03507"/>
    <x v="771"/>
    <x v="771"/>
    <s v="CUST15344"/>
    <s v="Deepa Singh"/>
    <n v="53"/>
    <s v="Male"/>
    <x v="1"/>
    <s v="Surat"/>
    <x v="4"/>
    <s v="Dress"/>
    <n v="7"/>
    <n v="2771.26"/>
    <n v="0.15"/>
    <n v="21782.06"/>
    <n v="8460.2099999999991"/>
    <n v="35.65"/>
    <s v="Credit Card"/>
    <x v="1"/>
    <b v="0"/>
    <x v="1"/>
    <n v="7"/>
  </r>
  <r>
    <s v="ORD-02636"/>
    <x v="283"/>
    <x v="283"/>
    <s v="CUST87391"/>
    <s v="Meera Das"/>
    <n v="26"/>
    <s v="Other"/>
    <x v="2"/>
    <s v="Ludhiana"/>
    <x v="1"/>
    <s v="Hair Oil"/>
    <n v="3"/>
    <n v="1142.82"/>
    <n v="0.23"/>
    <n v="2958.07"/>
    <n v="1291.21"/>
    <n v="53.34"/>
    <s v="Cash on Delivery"/>
    <x v="1"/>
    <b v="1"/>
    <x v="0"/>
    <n v="9"/>
  </r>
  <r>
    <s v="ORD-03103"/>
    <x v="551"/>
    <x v="551"/>
    <s v="CUST01278"/>
    <s v="Aarav Verma"/>
    <n v="18"/>
    <s v="Other"/>
    <x v="3"/>
    <s v="Patna"/>
    <x v="1"/>
    <s v="Lipstick"/>
    <n v="6"/>
    <n v="993.05"/>
    <n v="0.01"/>
    <n v="7148.92"/>
    <n v="2268.41"/>
    <n v="82.4"/>
    <s v="UPI"/>
    <x v="1"/>
    <b v="0"/>
    <x v="1"/>
    <n v="1"/>
  </r>
  <r>
    <s v="ORD-03650"/>
    <x v="552"/>
    <x v="552"/>
    <s v="CUST58829"/>
    <s v="Sanjay Kapoor"/>
    <n v="57"/>
    <s v="Female"/>
    <x v="0"/>
    <s v="Bhopal"/>
    <x v="3"/>
    <s v="Fiction Novel"/>
    <n v="8"/>
    <n v="1190.92"/>
    <n v="0.22"/>
    <n v="14021.08"/>
    <n v="5817.67"/>
    <n v="76.180000000000007"/>
    <s v="UPI"/>
    <x v="0"/>
    <b v="1"/>
    <x v="0"/>
    <n v="1"/>
  </r>
  <r>
    <s v="ORD-01571"/>
    <x v="684"/>
    <x v="684"/>
    <s v="CUST56653"/>
    <s v="Nisha Sharma"/>
    <n v="30"/>
    <s v="Male"/>
    <x v="0"/>
    <s v="Raipur"/>
    <x v="4"/>
    <s v="T-Shirt"/>
    <n v="8"/>
    <n v="3931.3"/>
    <n v="0.21"/>
    <n v="17747.79"/>
    <n v="5566.53"/>
    <n v="73.66"/>
    <s v="UPI"/>
    <x v="0"/>
    <b v="1"/>
    <x v="0"/>
    <n v="5"/>
  </r>
  <r>
    <s v="ORD-00063"/>
    <x v="516"/>
    <x v="516"/>
    <s v="CUST82089"/>
    <s v="Ritu Gupta"/>
    <n v="20"/>
    <s v="Female"/>
    <x v="1"/>
    <s v="Mumbai"/>
    <x v="3"/>
    <s v="Self-Help Book"/>
    <n v="4"/>
    <n v="1208.46"/>
    <n v="0.01"/>
    <n v="3212.12"/>
    <n v="1192.21"/>
    <n v="60.86"/>
    <s v="Credit Card"/>
    <x v="0"/>
    <b v="0"/>
    <x v="1"/>
    <n v="10"/>
  </r>
  <r>
    <s v="ORD-02696"/>
    <x v="383"/>
    <x v="383"/>
    <s v="CUST64855"/>
    <s v="Sunita Shah"/>
    <n v="46"/>
    <s v="Other"/>
    <x v="1"/>
    <s v="Ahmedabad"/>
    <x v="3"/>
    <s v="Comic Book"/>
    <n v="2"/>
    <n v="1077.1099999999999"/>
    <n v="0.3"/>
    <n v="1827.02"/>
    <n v="727.8"/>
    <n v="61.35"/>
    <s v="UPI"/>
    <x v="1"/>
    <b v="0"/>
    <x v="1"/>
    <n v="6"/>
  </r>
  <r>
    <s v="ORD-00714"/>
    <x v="1309"/>
    <x v="1309"/>
    <s v="CUST61590"/>
    <s v="Amit Reddy"/>
    <n v="47"/>
    <s v="Other"/>
    <x v="4"/>
    <s v="Kochi"/>
    <x v="0"/>
    <s v="Rice (5kg)"/>
    <n v="7"/>
    <n v="368.78"/>
    <n v="0.12"/>
    <n v="1528.79"/>
    <n v="127.54"/>
    <n v="66.03"/>
    <s v="UPI"/>
    <x v="2"/>
    <b v="0"/>
    <x v="1"/>
    <n v="9"/>
  </r>
  <r>
    <s v="ORD-00753"/>
    <x v="226"/>
    <x v="226"/>
    <s v="CUST57450"/>
    <s v="Kavya Sharma"/>
    <n v="31"/>
    <s v="Male"/>
    <x v="2"/>
    <s v="Delhi"/>
    <x v="1"/>
    <s v="Face Cream"/>
    <n v="8"/>
    <n v="1138.01"/>
    <n v="0.11"/>
    <n v="5468.92"/>
    <n v="1289.6600000000001"/>
    <n v="49.38"/>
    <s v="Net Banking"/>
    <x v="3"/>
    <b v="0"/>
    <x v="1"/>
    <n v="2"/>
  </r>
  <r>
    <s v="ORD-01223"/>
    <x v="211"/>
    <x v="211"/>
    <s v="CUST92686"/>
    <s v="Sanjay Bose"/>
    <n v="39"/>
    <s v="Female"/>
    <x v="4"/>
    <s v="Chennai"/>
    <x v="2"/>
    <s v="Bookshelf"/>
    <n v="7"/>
    <n v="20357.47"/>
    <n v="0.03"/>
    <n v="174471.77"/>
    <n v="45868.32"/>
    <n v="75.400000000000006"/>
    <s v="Credit Card"/>
    <x v="2"/>
    <b v="0"/>
    <x v="1"/>
    <n v="9"/>
  </r>
  <r>
    <s v="ORD-03378"/>
    <x v="167"/>
    <x v="167"/>
    <s v="CUST54270"/>
    <s v="Arjun Sharma"/>
    <n v="40"/>
    <s v="Male"/>
    <x v="4"/>
    <s v="Hyderabad"/>
    <x v="2"/>
    <s v="Wardrobe"/>
    <n v="9"/>
    <n v="13849.98"/>
    <n v="0.25"/>
    <n v="72465.97"/>
    <n v="23060.68"/>
    <n v="47.19"/>
    <s v="UPI"/>
    <x v="3"/>
    <b v="0"/>
    <x v="1"/>
    <n v="5"/>
  </r>
  <r>
    <s v="ORD-00809"/>
    <x v="918"/>
    <x v="918"/>
    <s v="CUST99388"/>
    <s v="Ritu Kapoor"/>
    <n v="33"/>
    <s v="Male"/>
    <x v="4"/>
    <s v="Chennai"/>
    <x v="4"/>
    <s v="Jeans"/>
    <n v="999"/>
    <n v="3280.13"/>
    <n v="0.03"/>
    <n v="2586345.13"/>
    <n v="921794.6"/>
    <n v="83.69"/>
    <s v="EMI"/>
    <x v="4"/>
    <b v="1"/>
    <x v="0"/>
    <n v="7"/>
  </r>
  <r>
    <s v="ORD-02106"/>
    <x v="1333"/>
    <x v="1333"/>
    <s v="CUST15065"/>
    <s v="Amit Verma"/>
    <n v="36"/>
    <s v="Female"/>
    <x v="0"/>
    <s v="Nagpur"/>
    <x v="6"/>
    <s v="Cricket Bat"/>
    <n v="6"/>
    <n v="7187.46"/>
    <n v="0.27"/>
    <n v="45280.94"/>
    <n v="7760.51"/>
    <n v="48.71"/>
    <s v="EMI"/>
    <x v="0"/>
    <b v="0"/>
    <x v="1"/>
    <n v="5"/>
  </r>
  <r>
    <s v="ORD-01928"/>
    <x v="815"/>
    <x v="815"/>
    <s v="CUST06307"/>
    <s v="Ananya Reddy"/>
    <n v="56"/>
    <s v="Male"/>
    <x v="4"/>
    <s v="Bangalore"/>
    <x v="6"/>
    <s v="Cycle"/>
    <n v="1"/>
    <n v="9069.14"/>
    <n v="0.28999999999999998"/>
    <n v="8752.76"/>
    <n v="1861.72"/>
    <n v="32.619999999999997"/>
    <s v="Debit Card"/>
    <x v="2"/>
    <b v="0"/>
    <x v="2"/>
    <n v="5"/>
  </r>
  <r>
    <s v="ORD-01189"/>
    <x v="1334"/>
    <x v="1334"/>
    <s v="CUST03077"/>
    <s v="Amit Pillai"/>
    <n v="34"/>
    <s v="Female"/>
    <x v="0"/>
    <s v="Nagpur"/>
    <x v="0"/>
    <s v="Tea"/>
    <n v="10"/>
    <n v="203.58"/>
    <n v="0.01"/>
    <n v="2770.83"/>
    <n v="255.25"/>
    <n v="18.95"/>
    <s v="Debit Card"/>
    <x v="0"/>
    <b v="0"/>
    <x v="1"/>
    <n v="6"/>
  </r>
  <r>
    <s v="ORD-01971"/>
    <x v="1258"/>
    <x v="1258"/>
    <s v="CUST35736"/>
    <s v="Pooja Verma"/>
    <n v="28"/>
    <s v="Other"/>
    <x v="0"/>
    <s v="Nagpur"/>
    <x v="2"/>
    <s v="Chair"/>
    <n v="10"/>
    <n v="28073.85"/>
    <n v="0.05"/>
    <n v="383279"/>
    <n v="108417.14"/>
    <n v="54.05"/>
    <s v="EMI"/>
    <x v="4"/>
    <b v="0"/>
    <x v="1"/>
    <n v="8"/>
  </r>
  <r>
    <s v="ORD-03270"/>
    <x v="1335"/>
    <x v="1335"/>
    <s v="CUST56619"/>
    <s v="Rohan Sharma"/>
    <n v="32"/>
    <s v="Male"/>
    <x v="3"/>
    <s v="Bhubaneswar"/>
    <x v="4"/>
    <s v="Dress"/>
    <n v="5"/>
    <n v="1851.88"/>
    <n v="0.28999999999999998"/>
    <n v="6571.19"/>
    <n v="2703.37"/>
    <n v="85.66"/>
    <s v="Credit Card"/>
    <x v="0"/>
    <b v="1"/>
    <x v="0"/>
    <n v="2"/>
  </r>
  <r>
    <s v="ORD-01447"/>
    <x v="1336"/>
    <x v="1336"/>
    <s v="CUST92723"/>
    <s v="Priya Patel"/>
    <n v="42"/>
    <s v="Other"/>
    <x v="1"/>
    <s v="Pune"/>
    <x v="2"/>
    <s v="Bed Frame"/>
    <n v="5"/>
    <n v="5397.15"/>
    <n v="0.35"/>
    <n v="15752.78"/>
    <n v="4521.5"/>
    <n v="33.64"/>
    <s v="EMI"/>
    <x v="1"/>
    <b v="0"/>
    <x v="1"/>
    <n v="3"/>
  </r>
  <r>
    <s v="ORD-00717"/>
    <x v="616"/>
    <x v="616"/>
    <s v="CUST23500"/>
    <s v="Rahul Chatterjee"/>
    <n v="47"/>
    <s v="Other"/>
    <x v="4"/>
    <s v="Chennai"/>
    <x v="2"/>
    <s v="Bookshelf"/>
    <n v="5"/>
    <n v="20390.29"/>
    <n v="7.0000000000000007E-2"/>
    <n v="66216.67"/>
    <n v="23720.97"/>
    <n v="102.38"/>
    <s v="UPI"/>
    <x v="0"/>
    <b v="0"/>
    <x v="1"/>
    <n v="3"/>
  </r>
  <r>
    <s v="ORD-01883"/>
    <x v="1032"/>
    <x v="1032"/>
    <s v="CUST03672"/>
    <s v="Amit Shah"/>
    <n v="24"/>
    <s v="Male"/>
    <x v="1"/>
    <s v="Pune"/>
    <x v="2"/>
    <s v="Bookshelf"/>
    <n v="9"/>
    <n v="11907.81"/>
    <n v="0.18"/>
    <n v="119048.66"/>
    <n v="42582.04"/>
    <n v="73.86"/>
    <s v="Cash on Delivery"/>
    <x v="1"/>
    <b v="0"/>
    <x v="1"/>
    <n v="10"/>
  </r>
  <r>
    <s v="ORD-01300"/>
    <x v="323"/>
    <x v="323"/>
    <s v="CUST98101"/>
    <s v="Deepa Bose"/>
    <n v="30"/>
    <s v="Female"/>
    <x v="1"/>
    <s v="Pune"/>
    <x v="0"/>
    <s v="Sugar"/>
    <n v="6"/>
    <n v="303.35000000000002"/>
    <n v="0.13"/>
    <n v="2102.56"/>
    <n v="144.04"/>
    <n v="55.2"/>
    <s v="Credit Card"/>
    <x v="4"/>
    <b v="1"/>
    <x v="0"/>
    <n v="3"/>
  </r>
  <r>
    <s v="ORD-01676"/>
    <x v="1112"/>
    <x v="1112"/>
    <s v="CUST65261"/>
    <s v="Shreya Chatterjee"/>
    <n v="30"/>
    <s v="Other"/>
    <x v="0"/>
    <s v="Indore"/>
    <x v="2"/>
    <s v="Sofa"/>
    <n v="3"/>
    <n v="30465.56"/>
    <n v="0.24"/>
    <n v="48391.98"/>
    <n v="16835.509999999998"/>
    <n v="57.1"/>
    <s v="Cash on Delivery"/>
    <x v="1"/>
    <b v="0"/>
    <x v="1"/>
    <n v="3"/>
  </r>
  <r>
    <s v="ORD-00987"/>
    <x v="922"/>
    <x v="922"/>
    <s v="CUST04483"/>
    <s v="Priya Joshi"/>
    <n v="29"/>
    <s v="Male"/>
    <x v="0"/>
    <s v="Nagpur"/>
    <x v="2"/>
    <s v="Wardrobe"/>
    <n v="4"/>
    <n v="7372.62"/>
    <n v="0.11"/>
    <n v="32182.82"/>
    <n v="11067.17"/>
    <n v="75.03"/>
    <s v="EMI"/>
    <x v="3"/>
    <b v="0"/>
    <x v="1"/>
    <n v="9"/>
  </r>
  <r>
    <s v="ORD-00141"/>
    <x v="1337"/>
    <x v="1337"/>
    <s v="CUST83686"/>
    <s v="Ananya Iyer"/>
    <n v="42"/>
    <s v="Other"/>
    <x v="3"/>
    <s v="Guwahati"/>
    <x v="1"/>
    <s v="Face Cream"/>
    <n v="9"/>
    <n v="900.37"/>
    <n v="0.12"/>
    <n v="6635.38"/>
    <n v="2823.39"/>
    <n v="81.17"/>
    <s v="Cash on Delivery"/>
    <x v="1"/>
    <b v="0"/>
    <x v="1"/>
    <n v="2"/>
  </r>
  <r>
    <s v="ORD-01924"/>
    <x v="1338"/>
    <x v="1338"/>
    <s v="CUST39294"/>
    <s v="Amit Reddy"/>
    <n v="30"/>
    <s v="Female"/>
    <x v="4"/>
    <s v="Chennai"/>
    <x v="0"/>
    <s v="Sugar"/>
    <n v="1"/>
    <n v="306.95999999999998"/>
    <n v="0.37"/>
    <n v="278.33"/>
    <n v="24.24"/>
    <n v="44.4"/>
    <s v="UPI"/>
    <x v="4"/>
    <b v="0"/>
    <x v="1"/>
    <n v="3"/>
  </r>
  <r>
    <s v="ORD-03134"/>
    <x v="1339"/>
    <x v="1339"/>
    <s v="CUST94057"/>
    <s v="Kavya Bose"/>
    <n v="29"/>
    <s v="Male"/>
    <x v="4"/>
    <s v="Bangalore"/>
    <x v="6"/>
    <s v="Cycle"/>
    <n v="5"/>
    <n v="11278.57"/>
    <n v="0.2"/>
    <n v="57170.080000000002"/>
    <n v="13004.09"/>
    <n v="76.709999999999994"/>
    <s v="Debit Card"/>
    <x v="3"/>
    <b v="0"/>
    <x v="3"/>
    <n v="4"/>
  </r>
  <r>
    <s v="ORD-01112"/>
    <x v="259"/>
    <x v="259"/>
    <s v="CUST48929"/>
    <s v="Kavya Reddy"/>
    <n v="21"/>
    <s v="Other"/>
    <x v="1"/>
    <s v="Pune"/>
    <x v="2"/>
    <s v="Sofa"/>
    <n v="10"/>
    <n v="29768.42"/>
    <n v="0.21"/>
    <n v="404913.22"/>
    <n v="105876.32"/>
    <n v="66.42"/>
    <s v="Cash on Delivery"/>
    <x v="1"/>
    <b v="0"/>
    <x v="1"/>
    <n v="8"/>
  </r>
  <r>
    <s v="ORD-00378"/>
    <x v="430"/>
    <x v="430"/>
    <s v="CUST11134"/>
    <s v="Arjun Singh"/>
    <n v="34"/>
    <s v="Other"/>
    <x v="3"/>
    <s v="Guwahati"/>
    <x v="5"/>
    <s v="Smartwatch"/>
    <n v="9"/>
    <n v="16985.93"/>
    <n v="0.21"/>
    <n v="184331.59"/>
    <n v="16161.85"/>
    <n v="75.650000000000006"/>
    <s v="Cash on Delivery"/>
    <x v="1"/>
    <b v="0"/>
    <x v="4"/>
    <n v="9"/>
  </r>
  <r>
    <s v="ORD-01800"/>
    <x v="368"/>
    <x v="368"/>
    <s v="CUST93477"/>
    <s v="Sunita Joshi"/>
    <n v="29"/>
    <s v="Female"/>
    <x v="4"/>
    <s v="Kochi"/>
    <x v="3"/>
    <s v="Self-Help Book"/>
    <n v="1"/>
    <n v="1151.01"/>
    <n v="0.17"/>
    <n v="1165.98"/>
    <n v="528.79"/>
    <n v="79.86"/>
    <s v="Net Banking"/>
    <x v="1"/>
    <b v="0"/>
    <x v="1"/>
    <n v="1"/>
  </r>
  <r>
    <s v="ORD-01637"/>
    <x v="1340"/>
    <x v="1340"/>
    <s v="CUST05372"/>
    <s v="Ritu Shah"/>
    <n v="18"/>
    <s v="Other"/>
    <x v="0"/>
    <s v="Indore"/>
    <x v="3"/>
    <s v="Comic Book"/>
    <n v="5"/>
    <n v="679.37"/>
    <n v="0.17"/>
    <n v="1782.03"/>
    <n v="915.89"/>
    <n v="55.83"/>
    <s v="EMI"/>
    <x v="3"/>
    <b v="0"/>
    <x v="1"/>
    <n v="8"/>
  </r>
  <r>
    <s v="ORD-04113"/>
    <x v="45"/>
    <x v="45"/>
    <s v="CUST10274"/>
    <s v="Arjun Gupta"/>
    <n v="13"/>
    <s v="Other"/>
    <x v="0"/>
    <s v="Bhopal"/>
    <x v="0"/>
    <s v="Rice (5kg)"/>
    <n v="8"/>
    <n v="185.5"/>
    <n v="0.28999999999999998"/>
    <n v="1001.02"/>
    <n v="79.89"/>
    <n v="48.43"/>
    <s v="Debit Card"/>
    <x v="1"/>
    <b v="0"/>
    <x v="2"/>
    <n v="6"/>
  </r>
  <r>
    <s v="ORD-00500"/>
    <x v="811"/>
    <x v="811"/>
    <s v="CUST80941"/>
    <s v="Ananya Sharma"/>
    <n v="56"/>
    <s v="Male"/>
    <x v="4"/>
    <s v="Chennai"/>
    <x v="6"/>
    <s v="Yoga Mat"/>
    <n v="10"/>
    <n v="10625.78"/>
    <n v="0.17"/>
    <n v="105870.48"/>
    <n v="26797.52"/>
    <n v="51.49"/>
    <s v="Cash on Delivery"/>
    <x v="1"/>
    <b v="0"/>
    <x v="1"/>
    <n v="8"/>
  </r>
  <r>
    <s v="ORD-02067"/>
    <x v="1341"/>
    <x v="1341"/>
    <s v="CUST70593"/>
    <s v="Shreya Nair"/>
    <n v="34"/>
    <s v="Male"/>
    <x v="1"/>
    <s v="Surat"/>
    <x v="5"/>
    <s v="Smartwatch"/>
    <n v="5"/>
    <n v="38796.6"/>
    <n v="0.21"/>
    <n v="209644.29"/>
    <n v="25458.48"/>
    <n v="62.35"/>
    <s v="UPI"/>
    <x v="2"/>
    <b v="0"/>
    <x v="3"/>
    <n v="8"/>
  </r>
  <r>
    <s v="ORD-01280"/>
    <x v="70"/>
    <x v="70"/>
    <s v="CUST18652"/>
    <s v="Rahul Iyer"/>
    <n v="21"/>
    <s v="Other"/>
    <x v="0"/>
    <s v="Nagpur"/>
    <x v="4"/>
    <s v="Dress"/>
    <n v="2"/>
    <n v="3825.43"/>
    <n v="0.38"/>
    <n v="5477.43"/>
    <n v="1454.06"/>
    <n v="57.72"/>
    <s v="Cash on Delivery"/>
    <x v="0"/>
    <b v="0"/>
    <x v="1"/>
    <n v="2"/>
  </r>
  <r>
    <s v="ORD-00145"/>
    <x v="1342"/>
    <x v="1342"/>
    <s v="CUST49284"/>
    <s v="Meera Bhat"/>
    <n v="25"/>
    <s v="Male"/>
    <x v="4"/>
    <s v="Kochi"/>
    <x v="5"/>
    <s v="Camera"/>
    <n v="6"/>
    <n v="35454.89"/>
    <n v="0.15"/>
    <n v="175411.87"/>
    <n v="19968.599999999999"/>
    <n v="54.28"/>
    <s v="Credit Card"/>
    <x v="1"/>
    <b v="0"/>
    <x v="1"/>
    <n v="1"/>
  </r>
  <r>
    <s v="ORD-03921"/>
    <x v="329"/>
    <x v="329"/>
    <s v="CUST65997"/>
    <s v="Rahul Chatterjee"/>
    <n v="41"/>
    <s v="Other"/>
    <x v="3"/>
    <s v="Guwahati"/>
    <x v="0"/>
    <s v="Tea"/>
    <n v="3"/>
    <n v="392.38"/>
    <n v="0.12"/>
    <n v="1567.64"/>
    <n v="108.65"/>
    <n v="81.44"/>
    <s v="Cash on Delivery"/>
    <x v="2"/>
    <b v="0"/>
    <x v="2"/>
    <n v="5"/>
  </r>
  <r>
    <s v="ORD-02335"/>
    <x v="288"/>
    <x v="288"/>
    <s v="CUST67913"/>
    <s v="Priya Shah"/>
    <n v="27"/>
    <s v="Female"/>
    <x v="1"/>
    <s v="Pune"/>
    <x v="5"/>
    <s v="Laptop"/>
    <n v="3"/>
    <n v="79758.61"/>
    <n v="0.33"/>
    <n v="167128.85999999999"/>
    <n v="19212.28"/>
    <n v="56.24"/>
    <s v="Debit Card"/>
    <x v="4"/>
    <b v="0"/>
    <x v="3"/>
    <n v="2"/>
  </r>
  <r>
    <s v="ORD-00367"/>
    <x v="1343"/>
    <x v="1343"/>
    <s v="CUST80217"/>
    <s v="Meera Mishra"/>
    <n v="53"/>
    <s v="Female"/>
    <x v="4"/>
    <s v="Chennai"/>
    <x v="0"/>
    <s v="Cooking Oil"/>
    <n v="9"/>
    <n v="324.66000000000003"/>
    <n v="0.14000000000000001"/>
    <n v="3440.59"/>
    <n v="225.96"/>
    <n v="74.78"/>
    <s v="Debit Card"/>
    <x v="4"/>
    <b v="1"/>
    <x v="0"/>
    <n v="5"/>
  </r>
  <r>
    <s v="ORD-03343"/>
    <x v="1344"/>
    <x v="1344"/>
    <s v="CUST67045"/>
    <s v="Amit Kapoor"/>
    <n v="54"/>
    <s v="Male"/>
    <x v="0"/>
    <s v="Indore"/>
    <x v="5"/>
    <s v="Tablet"/>
    <n v="5"/>
    <n v="39863.480000000003"/>
    <n v="0.33"/>
    <n v="99121.04"/>
    <n v="11921.37"/>
    <n v="75.459999999999994"/>
    <s v="Cash on Delivery"/>
    <x v="2"/>
    <b v="0"/>
    <x v="3"/>
    <n v="10"/>
  </r>
  <r>
    <s v="ORD-01675"/>
    <x v="1112"/>
    <x v="1112"/>
    <s v="CUST33813"/>
    <s v="Nikhil Reddy"/>
    <n v="36"/>
    <s v="Other"/>
    <x v="1"/>
    <s v="Pune"/>
    <x v="1"/>
    <s v="Perfume"/>
    <n v="5"/>
    <n v="1392.93"/>
    <n v="0.4"/>
    <n v="3575.81"/>
    <n v="1461.67"/>
    <n v="71.760000000000005"/>
    <s v="Net Banking"/>
    <x v="0"/>
    <b v="0"/>
    <x v="1"/>
    <n v="10"/>
  </r>
  <r>
    <s v="ORD-02430"/>
    <x v="1308"/>
    <x v="1308"/>
    <s v="CUST93527"/>
    <s v="Deepa Verma"/>
    <n v="28"/>
    <s v="Other"/>
    <x v="4"/>
    <s v="Bangalore"/>
    <x v="1"/>
    <s v="Sunscreen"/>
    <n v="9"/>
    <n v="113.69"/>
    <n v="0.22"/>
    <n v="699.53"/>
    <n v="335.72"/>
    <n v="40.1"/>
    <s v="UPI"/>
    <x v="1"/>
    <b v="1"/>
    <x v="0"/>
    <n v="7"/>
  </r>
  <r>
    <s v="ORD-02619"/>
    <x v="1345"/>
    <x v="1345"/>
    <s v="CUST88761"/>
    <s v="Meera Kumar"/>
    <n v="50"/>
    <s v="Female"/>
    <x v="0"/>
    <s v="Raipur"/>
    <x v="4"/>
    <s v="T-Shirt"/>
    <n v="6"/>
    <n v="1362.12"/>
    <n v="0.04"/>
    <n v="7638.08"/>
    <n v="3612.77"/>
    <n v="61.28"/>
    <s v="Credit Card"/>
    <x v="2"/>
    <b v="0"/>
    <x v="1"/>
    <n v="8"/>
  </r>
  <r>
    <s v="ORD-00967"/>
    <x v="21"/>
    <x v="21"/>
    <s v="CUST90596"/>
    <s v="Ananya Sharma"/>
    <n v="21"/>
    <s v="Male"/>
    <x v="3"/>
    <s v="Guwahati"/>
    <x v="1"/>
    <s v="Hair Oil"/>
    <n v="2"/>
    <n v="119.38"/>
    <n v="0.13"/>
    <n v="236.95"/>
    <n v="137.69"/>
    <n v="86.43"/>
    <s v="EMI"/>
    <x v="0"/>
    <b v="0"/>
    <x v="2"/>
    <n v="10"/>
  </r>
  <r>
    <s v="ORD-02226"/>
    <x v="919"/>
    <x v="919"/>
    <s v="CUST46124"/>
    <s v="Rahul Mehta"/>
    <n v="26"/>
    <s v="Male"/>
    <x v="2"/>
    <s v="Amritsar"/>
    <x v="3"/>
    <s v="Cook Book"/>
    <n v="9"/>
    <n v="830.37"/>
    <n v="0.25"/>
    <n v="6671.85"/>
    <n v="3182.54"/>
    <n v="37.06"/>
    <s v="Cash on Delivery"/>
    <x v="3"/>
    <b v="0"/>
    <x v="1"/>
    <n v="2"/>
  </r>
  <r>
    <s v="ORD-02599"/>
    <x v="1211"/>
    <x v="1211"/>
    <s v="CUST92468"/>
    <s v="Sunita Nair"/>
    <n v="39"/>
    <s v="Female"/>
    <x v="3"/>
    <s v="Kolkata"/>
    <x v="2"/>
    <s v="Desk"/>
    <n v="7"/>
    <n v="12553.02"/>
    <n v="0.22"/>
    <n v="71332.69"/>
    <n v="19645.47"/>
    <n v="85.94"/>
    <s v="EMI"/>
    <x v="0"/>
    <b v="0"/>
    <x v="1"/>
    <n v="1"/>
  </r>
  <r>
    <s v="ORD-04127"/>
    <x v="342"/>
    <x v="342"/>
    <s v="CUST07792"/>
    <s v="Priya Joshi"/>
    <n v="34"/>
    <s v="Male"/>
    <x v="1"/>
    <s v="Surat"/>
    <x v="1"/>
    <s v="Lipstick"/>
    <n v="4"/>
    <n v="1854.35"/>
    <n v="0.04"/>
    <n v="6462.23"/>
    <n v="3552.01"/>
    <n v="32.770000000000003"/>
    <s v="Net Banking"/>
    <x v="1"/>
    <b v="0"/>
    <x v="1"/>
    <n v="2"/>
  </r>
  <r>
    <s v="ORD-00238"/>
    <x v="725"/>
    <x v="725"/>
    <s v="CUST04066"/>
    <s v="Nisha Reddy"/>
    <n v="32"/>
    <s v="Other"/>
    <x v="2"/>
    <s v="Delhi"/>
    <x v="6"/>
    <s v="Football"/>
    <n v="10"/>
    <n v="14961.46"/>
    <n v="0.01"/>
    <n v="161945.63"/>
    <n v="26205.1"/>
    <n v="35.42"/>
    <s v="Net Banking"/>
    <x v="3"/>
    <b v="0"/>
    <x v="1"/>
    <n v="3"/>
  </r>
  <r>
    <s v="ORD-02334"/>
    <x v="288"/>
    <x v="288"/>
    <s v="CUST20367"/>
    <s v="Karan Gupta"/>
    <n v="21"/>
    <s v="Other"/>
    <x v="4"/>
    <s v="Kochi"/>
    <x v="6"/>
    <s v="Cricket Bat"/>
    <n v="5"/>
    <n v="13397.51"/>
    <n v="0.34"/>
    <n v="43451.18"/>
    <n v="7788.1"/>
    <n v="73.66"/>
    <s v="Net Banking"/>
    <x v="2"/>
    <b v="0"/>
    <x v="1"/>
    <n v="5"/>
  </r>
  <r>
    <s v="ORD-01019"/>
    <x v="96"/>
    <x v="96"/>
    <s v="CUST72581"/>
    <s v="Sunita Kapoor"/>
    <n v="35"/>
    <s v="Other"/>
    <x v="0"/>
    <s v="Nagpur"/>
    <x v="3"/>
    <s v="Textbook"/>
    <n v="2"/>
    <n v="1240.07"/>
    <n v="0.27"/>
    <n v="2086.4899999999998"/>
    <n v="966.59"/>
    <n v="50.83"/>
    <s v="Cash on Delivery"/>
    <x v="2"/>
    <b v="0"/>
    <x v="1"/>
    <n v="9"/>
  </r>
  <r>
    <s v="ORD-02346"/>
    <x v="789"/>
    <x v="789"/>
    <s v="CUST57309"/>
    <s v="Meera Bose"/>
    <n v="14"/>
    <s v="Female"/>
    <x v="2"/>
    <s v="Amritsar"/>
    <x v="5"/>
    <s v="Camera"/>
    <n v="4"/>
    <n v="15142.49"/>
    <n v="0.12"/>
    <n v="54212.43"/>
    <n v="5733.17"/>
    <n v="98.24"/>
    <s v="EMI"/>
    <x v="3"/>
    <b v="0"/>
    <x v="2"/>
    <n v="6"/>
  </r>
  <r>
    <s v="ORD-03762"/>
    <x v="1346"/>
    <x v="1346"/>
    <s v="CUST95973"/>
    <s v="Nikhil Singh"/>
    <n v="36"/>
    <s v="Male"/>
    <x v="3"/>
    <s v="Bhubaneswar"/>
    <x v="1"/>
    <s v="Face Cream"/>
    <n v="5"/>
    <n v="506.32"/>
    <n v="0.23"/>
    <n v="3615.35"/>
    <n v="1883.1"/>
    <n v="101.92"/>
    <s v="Cash on Delivery"/>
    <x v="0"/>
    <b v="0"/>
    <x v="2"/>
    <n v="8"/>
  </r>
  <r>
    <s v="ORD-02935"/>
    <x v="1270"/>
    <x v="1270"/>
    <s v="CUST75718"/>
    <s v="Aarav Das"/>
    <n v="27"/>
    <s v="Female"/>
    <x v="2"/>
    <s v="Delhi"/>
    <x v="6"/>
    <s v="Dumbbells"/>
    <n v="1"/>
    <n v="8268.89"/>
    <n v="0.21"/>
    <n v="14813.92"/>
    <n v="3926.85"/>
    <n v="52.82"/>
    <s v="EMI"/>
    <x v="0"/>
    <b v="0"/>
    <x v="1"/>
    <n v="7"/>
  </r>
  <r>
    <s v="ORD-01146"/>
    <x v="548"/>
    <x v="548"/>
    <s v="CUST14306"/>
    <s v="Pooja Verma"/>
    <n v="32"/>
    <s v="Female"/>
    <x v="0"/>
    <s v="Bhopal"/>
    <x v="4"/>
    <s v="Jeans"/>
    <n v="3"/>
    <n v="2929.95"/>
    <n v="0.06"/>
    <n v="12682.78"/>
    <n v="4420.51"/>
    <n v="33.4"/>
    <s v="Cash on Delivery"/>
    <x v="3"/>
    <b v="0"/>
    <x v="3"/>
    <n v="10"/>
  </r>
  <r>
    <s v="ORD-03466"/>
    <x v="1347"/>
    <x v="1347"/>
    <s v="CUST49074"/>
    <s v="Rohan Kumar"/>
    <n v="27"/>
    <s v="Male"/>
    <x v="4"/>
    <s v="Chennai"/>
    <x v="4"/>
    <s v="Dress"/>
    <n v="5"/>
    <n v="1140.3900000000001"/>
    <n v="0.08"/>
    <n v="5942.91"/>
    <n v="2945.59"/>
    <n v="66.62"/>
    <s v="Debit Card"/>
    <x v="4"/>
    <b v="1"/>
    <x v="0"/>
    <n v="2"/>
  </r>
  <r>
    <s v="ORD-00306"/>
    <x v="588"/>
    <x v="588"/>
    <s v="CUST49089"/>
    <s v="Meera Pillai"/>
    <n v="32"/>
    <s v="Male"/>
    <x v="2"/>
    <s v="Amritsar"/>
    <x v="4"/>
    <s v="Dress"/>
    <n v="1"/>
    <n v="2507.91"/>
    <n v="0.28999999999999998"/>
    <n v="2231.21"/>
    <n v="589.57000000000005"/>
    <n v="42.69"/>
    <s v="EMI"/>
    <x v="3"/>
    <b v="0"/>
    <x v="1"/>
    <n v="3"/>
  </r>
  <r>
    <s v="ORD-04001"/>
    <x v="165"/>
    <x v="165"/>
    <s v="CUST65012"/>
    <s v="Sanjay Bose"/>
    <n v="39"/>
    <s v="Male"/>
    <x v="4"/>
    <s v="Kochi"/>
    <x v="4"/>
    <s v="Dress"/>
    <n v="6"/>
    <n v="633.62"/>
    <n v="0.11"/>
    <n v="4634.74"/>
    <n v="1771.15"/>
    <n v="66.09"/>
    <s v="Debit Card"/>
    <x v="3"/>
    <b v="0"/>
    <x v="1"/>
    <n v="3"/>
  </r>
  <r>
    <s v="ORD-03305"/>
    <x v="1348"/>
    <x v="1348"/>
    <s v="CUST44322"/>
    <s v="Rahul Joshi"/>
    <n v="59"/>
    <s v="Male"/>
    <x v="2"/>
    <s v="Amritsar"/>
    <x v="5"/>
    <s v="Smartphone"/>
    <n v="9"/>
    <n v="45871.33"/>
    <n v="0.21"/>
    <n v="349237.43"/>
    <n v="41287.550000000003"/>
    <n v="42.69"/>
    <s v="EMI"/>
    <x v="4"/>
    <b v="0"/>
    <x v="4"/>
    <n v="9"/>
  </r>
  <r>
    <s v="ORD-01454"/>
    <x v="1349"/>
    <x v="1349"/>
    <s v="CUST23242"/>
    <s v="Meera Singh"/>
    <n v="43"/>
    <s v="Female"/>
    <x v="2"/>
    <s v="Ludhiana"/>
    <x v="6"/>
    <s v="Cricket Bat"/>
    <n v="3"/>
    <n v="6413.38"/>
    <n v="0.13"/>
    <n v="14627.15"/>
    <n v="3690.83"/>
    <n v="28.34"/>
    <s v="Cash on Delivery"/>
    <x v="1"/>
    <b v="0"/>
    <x v="4"/>
    <n v="2"/>
  </r>
  <r>
    <s v="ORD-02968"/>
    <x v="978"/>
    <x v="978"/>
    <s v="CUST30076"/>
    <s v="Priya Singh"/>
    <n v="21"/>
    <s v="Male"/>
    <x v="3"/>
    <s v="Guwahati"/>
    <x v="4"/>
    <s v="Kurta"/>
    <n v="8"/>
    <n v="306.88"/>
    <n v="0.19"/>
    <n v="2993.13"/>
    <n v="1019.95"/>
    <n v="53.78"/>
    <s v="Credit Card"/>
    <x v="0"/>
    <b v="1"/>
    <x v="0"/>
    <n v="8"/>
  </r>
  <r>
    <s v="ORD-04121"/>
    <x v="1350"/>
    <x v="1350"/>
    <s v="CUST46430"/>
    <s v="Arjun Iyer"/>
    <n v="42"/>
    <s v="Male"/>
    <x v="3"/>
    <s v="Guwahati"/>
    <x v="5"/>
    <s v="Laptop"/>
    <n v="7"/>
    <n v="26719.46"/>
    <n v="0.32"/>
    <n v="125839.81"/>
    <n v="16743.79"/>
    <n v="87.4"/>
    <s v="Credit Card"/>
    <x v="4"/>
    <b v="0"/>
    <x v="1"/>
    <n v="9"/>
  </r>
  <r>
    <s v="ORD-01496"/>
    <x v="830"/>
    <x v="830"/>
    <s v="CUST57725"/>
    <s v="Kavya Nair"/>
    <n v="43"/>
    <s v="Other"/>
    <x v="2"/>
    <s v="Ludhiana"/>
    <x v="1"/>
    <s v="Hair Oil"/>
    <n v="2"/>
    <n v="870.66"/>
    <n v="0.04"/>
    <n v="1465.34"/>
    <n v="696.19"/>
    <n v="29.61"/>
    <s v="Credit Card"/>
    <x v="4"/>
    <b v="1"/>
    <x v="0"/>
    <n v="10"/>
  </r>
  <r>
    <s v="ORD-00890"/>
    <x v="148"/>
    <x v="148"/>
    <s v="CUST21364"/>
    <s v="Arjun Shah"/>
    <n v="33"/>
    <s v="Other"/>
    <x v="4"/>
    <s v="Hyderabad"/>
    <x v="5"/>
    <s v="Tablet"/>
    <n v="1"/>
    <n v="41541.620000000003"/>
    <n v="0.18"/>
    <n v="29525.13"/>
    <n v="3792.31"/>
    <n v="88.25"/>
    <s v="Net Banking"/>
    <x v="3"/>
    <b v="0"/>
    <x v="3"/>
    <n v="6"/>
  </r>
  <r>
    <s v="ORD-03736"/>
    <x v="1227"/>
    <x v="1227"/>
    <s v="CUST82654"/>
    <s v="Deepa Verma"/>
    <n v="28"/>
    <s v="Other"/>
    <x v="0"/>
    <s v="Nagpur"/>
    <x v="0"/>
    <s v="Dal (1kg)"/>
    <n v="5"/>
    <n v="303.44"/>
    <n v="0.06"/>
    <n v="2686.06"/>
    <n v="221.12"/>
    <n v="32.81"/>
    <s v="UPI"/>
    <x v="2"/>
    <b v="0"/>
    <x v="1"/>
    <n v="9"/>
  </r>
  <r>
    <s v="ORD-02939"/>
    <x v="1270"/>
    <x v="1270"/>
    <s v="CUST99269"/>
    <s v="Ananya Mishra"/>
    <n v="42"/>
    <s v="Other"/>
    <x v="2"/>
    <s v="Chandigarh"/>
    <x v="5"/>
    <s v="Headphones"/>
    <n v="3"/>
    <n v="28197.79"/>
    <n v="0.16"/>
    <n v="103938.59"/>
    <n v="17181.509999999998"/>
    <n v="73.989999999999995"/>
    <s v="Credit Card"/>
    <x v="2"/>
    <b v="0"/>
    <x v="4"/>
    <n v="1"/>
  </r>
  <r>
    <s v="ORD-01481"/>
    <x v="575"/>
    <x v="575"/>
    <s v="CUST71792"/>
    <s v="Nikhil Kumar"/>
    <n v="34"/>
    <s v="Other"/>
    <x v="1"/>
    <s v="Ahmedabad"/>
    <x v="4"/>
    <s v="Jeans"/>
    <n v="5"/>
    <n v="2473.16"/>
    <n v="0.34"/>
    <n v="1735.97"/>
    <n v="545.85"/>
    <n v="67.959999999999994"/>
    <s v="Cash on Delivery"/>
    <x v="1"/>
    <b v="1"/>
    <x v="0"/>
    <n v="10"/>
  </r>
  <r>
    <s v="ORD-01427"/>
    <x v="1201"/>
    <x v="1201"/>
    <s v="CUST62447"/>
    <s v="Aditya Mehta"/>
    <n v="25"/>
    <s v="Other"/>
    <x v="4"/>
    <s v="Kochi"/>
    <x v="4"/>
    <s v="Kurta"/>
    <n v="3"/>
    <n v="1683.92"/>
    <n v="0.01"/>
    <n v="5129.49"/>
    <n v="1700.69"/>
    <n v="84.8"/>
    <s v="Cash on Delivery"/>
    <x v="0"/>
    <b v="0"/>
    <x v="2"/>
    <n v="8"/>
  </r>
  <r>
    <s v="ORD-01514"/>
    <x v="1063"/>
    <x v="1063"/>
    <s v="CUST41703"/>
    <s v="Ritu Nair"/>
    <n v="34"/>
    <s v="Female"/>
    <x v="3"/>
    <s v="Guwahati"/>
    <x v="2"/>
    <s v="Chair"/>
    <n v="8"/>
    <n v="15110.2"/>
    <n v="7.0000000000000007E-2"/>
    <n v="77607.19"/>
    <n v="18792.98"/>
    <n v="87.16"/>
    <s v="UPI"/>
    <x v="2"/>
    <b v="0"/>
    <x v="1"/>
    <n v="6"/>
  </r>
  <r>
    <s v="ORD-00654"/>
    <x v="652"/>
    <x v="652"/>
    <s v="CUST92572"/>
    <s v="Rohan Kapoor"/>
    <n v="36"/>
    <s v="Female"/>
    <x v="0"/>
    <s v="Nagpur"/>
    <x v="2"/>
    <s v="Wardrobe"/>
    <n v="6"/>
    <n v="29603.47"/>
    <n v="0.09"/>
    <n v="131775.14000000001"/>
    <n v="31425.24"/>
    <n v="72.709999999999994"/>
    <s v="Cash on Delivery"/>
    <x v="2"/>
    <b v="0"/>
    <x v="1"/>
    <n v="2"/>
  </r>
  <r>
    <s v="ORD-01501"/>
    <x v="1351"/>
    <x v="1351"/>
    <s v="CUST09268"/>
    <s v="Meera Iyer"/>
    <n v="47"/>
    <s v="Other"/>
    <x v="4"/>
    <s v="Chennai"/>
    <x v="5"/>
    <s v="Camera"/>
    <n v="4"/>
    <n v="32627.08"/>
    <n v="0.15"/>
    <n v="92706.13"/>
    <n v="13307.57"/>
    <n v="72.28"/>
    <s v="Debit Card"/>
    <x v="0"/>
    <b v="1"/>
    <x v="0"/>
    <n v="8"/>
  </r>
  <r>
    <s v="ORD-00631"/>
    <x v="1352"/>
    <x v="1352"/>
    <s v="CUST25609"/>
    <s v="Ananya Sharma"/>
    <n v="60"/>
    <s v="Male"/>
    <x v="2"/>
    <s v="Amritsar"/>
    <x v="3"/>
    <s v="Biography"/>
    <n v="4"/>
    <n v="902.54"/>
    <n v="0.33"/>
    <n v="1938.35"/>
    <n v="751.4"/>
    <n v="75.5"/>
    <s v="EMI"/>
    <x v="4"/>
    <b v="0"/>
    <x v="1"/>
    <n v="2"/>
  </r>
  <r>
    <s v="ORD-01235"/>
    <x v="246"/>
    <x v="246"/>
    <s v="CUST68009"/>
    <s v="Karan Patel"/>
    <n v="30"/>
    <s v="Female"/>
    <x v="3"/>
    <s v="Kolkata"/>
    <x v="0"/>
    <s v="Dal (1kg)"/>
    <n v="10"/>
    <n v="359.56"/>
    <n v="0.08"/>
    <n v="4470.5600000000004"/>
    <n v="416.18"/>
    <n v="62.31"/>
    <s v="Debit Card"/>
    <x v="4"/>
    <b v="1"/>
    <x v="0"/>
    <n v="9"/>
  </r>
  <r>
    <s v="ORD-03504"/>
    <x v="1331"/>
    <x v="1331"/>
    <s v="CUST34451"/>
    <s v="Nikhil Iyer"/>
    <n v="31"/>
    <s v="Other"/>
    <x v="1"/>
    <s v="Mumbai"/>
    <x v="6"/>
    <s v="Dumbbells"/>
    <n v="7"/>
    <n v="1704.58"/>
    <n v="0.39"/>
    <n v="10255.26"/>
    <n v="3143.81"/>
    <n v="60.24"/>
    <s v="Cash on Delivery"/>
    <x v="4"/>
    <b v="0"/>
    <x v="1"/>
    <n v="4"/>
  </r>
  <r>
    <s v="ORD-04190"/>
    <x v="1353"/>
    <x v="1353"/>
    <s v="CUST01943"/>
    <s v="Amit Reddy"/>
    <n v="21"/>
    <s v="Other"/>
    <x v="2"/>
    <s v="Ludhiana"/>
    <x v="6"/>
    <s v="Cricket Bat"/>
    <n v="6"/>
    <n v="5492.54"/>
    <n v="0.09"/>
    <n v="25243.43"/>
    <n v="6104.49"/>
    <n v="71.5"/>
    <s v="EMI"/>
    <x v="1"/>
    <b v="0"/>
    <x v="1"/>
    <n v="1"/>
  </r>
  <r>
    <s v="ORD-01579"/>
    <x v="1354"/>
    <x v="1354"/>
    <s v="CUST34002"/>
    <s v="Shreya Das"/>
    <n v="12"/>
    <s v="Male"/>
    <x v="4"/>
    <s v="Chennai"/>
    <x v="5"/>
    <s v="Tablet"/>
    <n v="5"/>
    <n v="64878.879999999997"/>
    <n v="0.37"/>
    <n v="154831"/>
    <n v="19600.91"/>
    <n v="55.95"/>
    <s v="Net Banking"/>
    <x v="4"/>
    <b v="0"/>
    <x v="1"/>
    <n v="8"/>
  </r>
  <r>
    <s v="ORD-01804"/>
    <x v="1177"/>
    <x v="1177"/>
    <s v="CUST98137"/>
    <s v="Amit Mishra"/>
    <n v="21"/>
    <s v="Female"/>
    <x v="2"/>
    <s v="Delhi"/>
    <x v="3"/>
    <s v="Self-Help Book"/>
    <n v="1"/>
    <n v="268.61"/>
    <n v="0.02"/>
    <n v="281.45999999999998"/>
    <n v="81.290000000000006"/>
    <n v="49.64"/>
    <s v="EMI"/>
    <x v="1"/>
    <b v="0"/>
    <x v="1"/>
    <n v="1"/>
  </r>
  <r>
    <s v="ORD-03541"/>
    <x v="1244"/>
    <x v="1244"/>
    <s v="CUST20196"/>
    <s v="Nikhil Patel"/>
    <n v="39"/>
    <s v="Female"/>
    <x v="0"/>
    <s v="Raipur"/>
    <x v="1"/>
    <s v="Sunscreen"/>
    <n v="5"/>
    <n v="2034.91"/>
    <n v="0.36"/>
    <n v="7446.29"/>
    <n v="2266.42"/>
    <n v="51.38"/>
    <s v="Cash on Delivery"/>
    <x v="0"/>
    <b v="0"/>
    <x v="1"/>
    <n v="7"/>
  </r>
  <r>
    <s v="ORD-03750"/>
    <x v="451"/>
    <x v="451"/>
    <s v="CUST58867"/>
    <s v="Meera Das"/>
    <n v="47"/>
    <s v="Other"/>
    <x v="0"/>
    <s v="Raipur"/>
    <x v="1"/>
    <s v="Sunscreen"/>
    <n v="9"/>
    <n v="2060.87"/>
    <n v="0.1"/>
    <n v="28144"/>
    <n v="10192.200000000001"/>
    <n v="37.799999999999997"/>
    <s v="Cash on Delivery"/>
    <x v="2"/>
    <b v="0"/>
    <x v="2"/>
    <n v="4"/>
  </r>
  <r>
    <s v="ORD-01104"/>
    <x v="1355"/>
    <x v="1355"/>
    <s v="CUST46318"/>
    <s v="Vikram Shah"/>
    <n v="21"/>
    <s v="Other"/>
    <x v="1"/>
    <s v="Surat"/>
    <x v="5"/>
    <s v="Laptop"/>
    <n v="2"/>
    <n v="78594.039999999994"/>
    <n v="0.05"/>
    <n v="193777.03"/>
    <n v="25135.71"/>
    <n v="35.32"/>
    <s v="Credit Card"/>
    <x v="0"/>
    <b v="0"/>
    <x v="1"/>
    <n v="8"/>
  </r>
  <r>
    <s v="ORD-00567"/>
    <x v="397"/>
    <x v="397"/>
    <s v="CUST22945"/>
    <s v="Meera Kumar"/>
    <n v="52"/>
    <s v="Female"/>
    <x v="4"/>
    <s v="Kochi"/>
    <x v="3"/>
    <s v="Fiction Novel"/>
    <n v="9"/>
    <n v="955.64"/>
    <n v="0.15"/>
    <n v="8375.59"/>
    <n v="2836.26"/>
    <n v="75.790000000000006"/>
    <s v="Credit Card"/>
    <x v="2"/>
    <b v="0"/>
    <x v="2"/>
    <n v="9"/>
  </r>
  <r>
    <s v="ORD-01662"/>
    <x v="1356"/>
    <x v="1356"/>
    <s v="CUST29153"/>
    <s v="Deepa Iyer"/>
    <n v="26"/>
    <s v="Other"/>
    <x v="0"/>
    <s v="Raipur"/>
    <x v="1"/>
    <s v="Face Cream"/>
    <n v="6"/>
    <n v="779.63"/>
    <n v="0.18"/>
    <n v="3057.53"/>
    <n v="1544.23"/>
    <n v="28.85"/>
    <s v="EMI"/>
    <x v="3"/>
    <b v="1"/>
    <x v="0"/>
    <n v="9"/>
  </r>
  <r>
    <s v="ORD-03139"/>
    <x v="1357"/>
    <x v="1357"/>
    <s v="CUST16592"/>
    <s v="Sunita Iyer"/>
    <n v="22"/>
    <s v="Other"/>
    <x v="1"/>
    <s v="Surat"/>
    <x v="2"/>
    <s v="Bed Frame"/>
    <n v="6"/>
    <n v="8704.76"/>
    <n v="0.23"/>
    <n v="52701.51"/>
    <n v="16266.5"/>
    <n v="67.260000000000005"/>
    <s v="Credit Card"/>
    <x v="4"/>
    <b v="0"/>
    <x v="2"/>
    <n v="9"/>
  </r>
  <r>
    <s v="ORD-03409"/>
    <x v="1139"/>
    <x v="1139"/>
    <s v="CUST78204"/>
    <s v="Meera Patel"/>
    <n v="52"/>
    <s v="Female"/>
    <x v="0"/>
    <s v="Nagpur"/>
    <x v="5"/>
    <s v="Smartphone"/>
    <n v="10"/>
    <n v="9943.85"/>
    <n v="0.05"/>
    <n v="93726.28"/>
    <n v="11320.82"/>
    <n v="33.450000000000003"/>
    <s v="UPI"/>
    <x v="2"/>
    <b v="1"/>
    <x v="0"/>
    <n v="6"/>
  </r>
  <r>
    <s v="ORD-02418"/>
    <x v="1358"/>
    <x v="1358"/>
    <s v="CUST18934"/>
    <s v="Sunita Kumar"/>
    <n v="14"/>
    <s v="Male"/>
    <x v="1"/>
    <s v="Pune"/>
    <x v="6"/>
    <s v="Football"/>
    <n v="2"/>
    <n v="1772.04"/>
    <n v="0.27"/>
    <n v="2303.4"/>
    <n v="352.8"/>
    <n v="47.87"/>
    <s v="Cash on Delivery"/>
    <x v="3"/>
    <b v="0"/>
    <x v="1"/>
    <n v="8"/>
  </r>
  <r>
    <s v="ORD-01612"/>
    <x v="1359"/>
    <x v="1359"/>
    <s v="CUST27676"/>
    <s v="Meera Bose"/>
    <n v="33"/>
    <s v="Female"/>
    <x v="2"/>
    <s v="Chandigarh"/>
    <x v="0"/>
    <s v="Sugar"/>
    <n v="6"/>
    <n v="377.46"/>
    <n v="0.31"/>
    <n v="1187.1600000000001"/>
    <n v="62.24"/>
    <n v="64.09"/>
    <s v="Net Banking"/>
    <x v="3"/>
    <b v="0"/>
    <x v="4"/>
    <n v="5"/>
  </r>
  <r>
    <s v="ORD-03761"/>
    <x v="1360"/>
    <x v="1360"/>
    <s v="CUST71732"/>
    <s v="Ritu Gupta"/>
    <n v="27"/>
    <s v="Female"/>
    <x v="4"/>
    <s v="Bangalore"/>
    <x v="0"/>
    <s v="Cooking Oil"/>
    <n v="1"/>
    <n v="389.09"/>
    <n v="0.33"/>
    <n v="384.54"/>
    <n v="33.54"/>
    <n v="93.62"/>
    <s v="Credit Card"/>
    <x v="1"/>
    <b v="0"/>
    <x v="1"/>
    <n v="3"/>
  </r>
  <r>
    <s v="ORD-00569"/>
    <x v="473"/>
    <x v="473"/>
    <s v="CUST30901"/>
    <s v="Ananya Kumar"/>
    <n v="49"/>
    <s v="Male"/>
    <x v="0"/>
    <s v="Nagpur"/>
    <x v="4"/>
    <s v="Dress"/>
    <n v="9"/>
    <n v="1086.28"/>
    <n v="0.01"/>
    <n v="10096.41"/>
    <n v="2991.15"/>
    <n v="60.79"/>
    <s v="UPI"/>
    <x v="1"/>
    <b v="0"/>
    <x v="4"/>
    <n v="5"/>
  </r>
  <r>
    <s v="ORD-02038"/>
    <x v="536"/>
    <x v="536"/>
    <s v="CUST04354"/>
    <s v="Meera Verma"/>
    <n v="50"/>
    <s v="Other"/>
    <x v="3"/>
    <s v="Bhubaneswar"/>
    <x v="1"/>
    <s v="Face Cream"/>
    <n v="2"/>
    <n v="884.91"/>
    <n v="0.28999999999999998"/>
    <n v="2004.25"/>
    <n v="1116.42"/>
    <n v="82.19"/>
    <s v="Credit Card"/>
    <x v="3"/>
    <b v="0"/>
    <x v="4"/>
    <n v="3"/>
  </r>
  <r>
    <s v="ORD-01570"/>
    <x v="684"/>
    <x v="684"/>
    <s v="CUST84183"/>
    <s v="Amit Shah"/>
    <n v="21"/>
    <s v="Male"/>
    <x v="2"/>
    <s v="Amritsar"/>
    <x v="5"/>
    <s v="Smartwatch"/>
    <n v="9"/>
    <n v="53847.63"/>
    <n v="0.31"/>
    <n v="246850.13"/>
    <n v="37649.519999999997"/>
    <n v="59.17"/>
    <s v="UPI"/>
    <x v="2"/>
    <b v="0"/>
    <x v="1"/>
    <n v="2"/>
  </r>
  <r>
    <s v="ORD-03115"/>
    <x v="987"/>
    <x v="987"/>
    <s v="CUST63946"/>
    <s v="Amit Sharma"/>
    <n v="45"/>
    <s v="Other"/>
    <x v="2"/>
    <s v="Ludhiana"/>
    <x v="4"/>
    <s v="Kurta"/>
    <n v="6"/>
    <n v="828.79"/>
    <n v="0.19"/>
    <n v="4849.25"/>
    <n v="1887.14"/>
    <n v="32.64"/>
    <s v="EMI"/>
    <x v="1"/>
    <b v="0"/>
    <x v="3"/>
    <n v="6"/>
  </r>
  <r>
    <s v="ORD-00826"/>
    <x v="1179"/>
    <x v="1179"/>
    <s v="CUST30306"/>
    <s v="Amit Joshi"/>
    <n v="22"/>
    <s v="Other"/>
    <x v="4"/>
    <s v="Chennai"/>
    <x v="1"/>
    <s v="Sunscreen"/>
    <n v="8"/>
    <n v="920.84"/>
    <n v="0.23"/>
    <n v="4710.2"/>
    <n v="2543.38"/>
    <n v="46.86"/>
    <s v="Credit Card"/>
    <x v="1"/>
    <b v="0"/>
    <x v="1"/>
    <n v="8"/>
  </r>
  <r>
    <s v="ORD-01160"/>
    <x v="1119"/>
    <x v="1119"/>
    <s v="CUST00213"/>
    <s v="Shreya Chatterjee"/>
    <n v="24"/>
    <s v="Female"/>
    <x v="2"/>
    <s v="Ludhiana"/>
    <x v="3"/>
    <s v="Cook Book"/>
    <n v="4"/>
    <n v="514.84"/>
    <n v="0.08"/>
    <n v="2778.42"/>
    <n v="1048.18"/>
    <n v="49.45"/>
    <s v="Debit Card"/>
    <x v="1"/>
    <b v="0"/>
    <x v="1"/>
    <n v="7"/>
  </r>
  <r>
    <s v="ORD-04043"/>
    <x v="1076"/>
    <x v="1076"/>
    <s v="CUST23084"/>
    <s v="Vikram Patel"/>
    <n v="28"/>
    <s v="Other"/>
    <x v="2"/>
    <s v="Ludhiana"/>
    <x v="3"/>
    <s v="Textbook"/>
    <n v="2"/>
    <n v="1282.6300000000001"/>
    <n v="0.28999999999999998"/>
    <n v="1929.76"/>
    <n v="782.47"/>
    <n v="19.68"/>
    <s v="Debit Card"/>
    <x v="2"/>
    <b v="0"/>
    <x v="1"/>
    <n v="6"/>
  </r>
  <r>
    <s v="ORD-01352"/>
    <x v="86"/>
    <x v="86"/>
    <s v="CUST17309"/>
    <s v="Sunita Singh"/>
    <n v="31"/>
    <s v="Female"/>
    <x v="3"/>
    <s v="Bhubaneswar"/>
    <x v="3"/>
    <s v="Fiction Novel"/>
    <n v="1"/>
    <n v="1491.06"/>
    <n v="0.04"/>
    <n v="1674.24"/>
    <n v="498.53"/>
    <n v="77.849999999999994"/>
    <s v="Debit Card"/>
    <x v="0"/>
    <b v="0"/>
    <x v="1"/>
    <n v="10"/>
  </r>
  <r>
    <s v="ORD-00223"/>
    <x v="1034"/>
    <x v="1034"/>
    <s v="CUST38820"/>
    <s v="Rahul Verma"/>
    <n v="34"/>
    <s v="Male"/>
    <x v="3"/>
    <s v="Guwahati"/>
    <x v="6"/>
    <s v="Cricket Bat"/>
    <n v="3"/>
    <n v="567.58000000000004"/>
    <n v="0.18"/>
    <n v="1455.2"/>
    <n v="417.04"/>
    <n v="71.540000000000006"/>
    <s v="UPI"/>
    <x v="1"/>
    <b v="0"/>
    <x v="2"/>
    <n v="7"/>
  </r>
  <r>
    <s v="ORD-01797"/>
    <x v="1361"/>
    <x v="1361"/>
    <s v="CUST91049"/>
    <s v="Arjun Bhat"/>
    <n v="30"/>
    <s v="Female"/>
    <x v="0"/>
    <s v="Nagpur"/>
    <x v="5"/>
    <s v="Smartphone"/>
    <n v="7"/>
    <n v="56508.01"/>
    <n v="0.17"/>
    <n v="346370.5"/>
    <n v="51195.31"/>
    <n v="55.94"/>
    <s v="EMI"/>
    <x v="4"/>
    <b v="0"/>
    <x v="3"/>
    <n v="5"/>
  </r>
  <r>
    <s v="ORD-01143"/>
    <x v="548"/>
    <x v="548"/>
    <s v="CUST25482"/>
    <s v="Karan Reddy"/>
    <n v="44"/>
    <s v="Other"/>
    <x v="0"/>
    <s v="Indore"/>
    <x v="3"/>
    <s v="Textbook"/>
    <n v="9"/>
    <n v="1098.3800000000001"/>
    <n v="0.3"/>
    <n v="8954.36"/>
    <n v="4025.08"/>
    <n v="53.61"/>
    <s v="EMI"/>
    <x v="2"/>
    <b v="0"/>
    <x v="1"/>
    <n v="2"/>
  </r>
  <r>
    <s v="ORD-03370"/>
    <x v="421"/>
    <x v="421"/>
    <s v="CUST29187"/>
    <s v="Vikram Bhat"/>
    <n v="38"/>
    <s v="Female"/>
    <x v="4"/>
    <s v="Kochi"/>
    <x v="0"/>
    <s v="Sugar"/>
    <n v="4"/>
    <n v="447.49"/>
    <n v="0.26"/>
    <n v="1195.23"/>
    <n v="126.56"/>
    <n v="87.92"/>
    <s v="Credit Card"/>
    <x v="1"/>
    <b v="0"/>
    <x v="4"/>
    <n v="3"/>
  </r>
  <r>
    <s v="ORD-02090"/>
    <x v="614"/>
    <x v="614"/>
    <s v="CUST03478"/>
    <s v="Sunita Mishra"/>
    <n v="33"/>
    <s v="Female"/>
    <x v="0"/>
    <s v="Nagpur"/>
    <x v="3"/>
    <s v="Comic Book"/>
    <n v="5"/>
    <n v="1491.38"/>
    <n v="0.11"/>
    <n v="2043.42"/>
    <n v="838.22"/>
    <n v="72.14"/>
    <s v="UPI"/>
    <x v="1"/>
    <b v="0"/>
    <x v="1"/>
    <n v="3"/>
  </r>
  <r>
    <s v="ORD-03176"/>
    <x v="66"/>
    <x v="66"/>
    <s v="CUST24094"/>
    <s v="Amit Bose"/>
    <n v="42"/>
    <s v="Other"/>
    <x v="0"/>
    <s v="Indore"/>
    <x v="6"/>
    <s v="Dumbbells"/>
    <n v="5"/>
    <n v="10121.780000000001"/>
    <n v="0.14000000000000001"/>
    <n v="46514.29"/>
    <n v="14209.66"/>
    <n v="67.27"/>
    <s v="Net Banking"/>
    <x v="4"/>
    <b v="0"/>
    <x v="1"/>
    <n v="6"/>
  </r>
  <r>
    <s v="ORD-00965"/>
    <x v="21"/>
    <x v="21"/>
    <s v="CUST01123"/>
    <s v="Sunita Das"/>
    <n v="37"/>
    <s v="Male"/>
    <x v="4"/>
    <s v="Kochi"/>
    <x v="2"/>
    <s v="Bed Frame"/>
    <n v="4"/>
    <n v="14435.97"/>
    <n v="0.01"/>
    <n v="62179.839999999997"/>
    <n v="17618.77"/>
    <n v="57.05"/>
    <s v="Net Banking"/>
    <x v="0"/>
    <b v="0"/>
    <x v="1"/>
    <n v="7"/>
  </r>
  <r>
    <s v="ORD-00900"/>
    <x v="706"/>
    <x v="706"/>
    <s v="CUST52346"/>
    <s v="Shreya Gupta"/>
    <n v="39"/>
    <s v="Other"/>
    <x v="1"/>
    <s v="Ahmedabad"/>
    <x v="5"/>
    <s v="Smartphone"/>
    <n v="3"/>
    <n v="76079.41"/>
    <n v="7.0000000000000007E-2"/>
    <n v="168287.61"/>
    <n v="15094"/>
    <n v="31.95"/>
    <s v="UPI"/>
    <x v="3"/>
    <b v="1"/>
    <x v="0"/>
    <n v="8"/>
  </r>
  <r>
    <s v="ORD-00250"/>
    <x v="351"/>
    <x v="351"/>
    <s v="CUST60360"/>
    <s v="Aditya Pillai"/>
    <n v="54"/>
    <s v="Female"/>
    <x v="0"/>
    <s v="Indore"/>
    <x v="1"/>
    <s v="Sunscreen"/>
    <n v="5"/>
    <n v="1643.32"/>
    <n v="0.11"/>
    <n v="9008.4699999999993"/>
    <n v="4000.95"/>
    <n v="84.55"/>
    <s v="Cash on Delivery"/>
    <x v="2"/>
    <b v="0"/>
    <x v="1"/>
    <n v="4"/>
  </r>
  <r>
    <s v="ORD-01805"/>
    <x v="1177"/>
    <x v="1177"/>
    <s v="CUST13304"/>
    <s v="Sanjay Nair"/>
    <n v="44"/>
    <s v="Other"/>
    <x v="4"/>
    <s v="Hyderabad"/>
    <x v="6"/>
    <s v="Cycle"/>
    <n v="3"/>
    <n v="10264.85"/>
    <n v="0.09"/>
    <n v="30609.29"/>
    <n v="8490.6299999999992"/>
    <n v="39.51"/>
    <s v="Net Banking"/>
    <x v="1"/>
    <b v="0"/>
    <x v="1"/>
    <n v="8"/>
  </r>
  <r>
    <s v="ORD-00462"/>
    <x v="1362"/>
    <x v="1362"/>
    <s v="CUST21355"/>
    <s v="Rohan Singh"/>
    <n v="15"/>
    <s v="Male"/>
    <x v="2"/>
    <s v="Chandigarh"/>
    <x v="2"/>
    <s v="Bookshelf"/>
    <n v="6"/>
    <n v="13817.71"/>
    <n v="0.04"/>
    <n v="89542.82"/>
    <n v="19508.64"/>
    <n v="43.47"/>
    <s v="Net Banking"/>
    <x v="1"/>
    <b v="0"/>
    <x v="1"/>
    <n v="3"/>
  </r>
  <r>
    <s v="ORD-03206"/>
    <x v="292"/>
    <x v="292"/>
    <s v="CUST74267"/>
    <s v="Deepa Bhat"/>
    <n v="29"/>
    <s v="Male"/>
    <x v="0"/>
    <s v="Raipur"/>
    <x v="5"/>
    <s v="Tablet"/>
    <n v="1"/>
    <n v="75894.5"/>
    <n v="0.12"/>
    <n v="69743.960000000006"/>
    <n v="8164.31"/>
    <n v="36.14"/>
    <s v="UPI"/>
    <x v="4"/>
    <b v="0"/>
    <x v="1"/>
    <n v="5"/>
  </r>
  <r>
    <s v="ORD-03680"/>
    <x v="123"/>
    <x v="123"/>
    <s v="CUST34978"/>
    <s v="Arjun Mishra"/>
    <n v="19"/>
    <s v="Female"/>
    <x v="2"/>
    <s v="Chandigarh"/>
    <x v="0"/>
    <s v="Sugar"/>
    <n v="4"/>
    <n v="237.91"/>
    <n v="0.2"/>
    <n v="1123.6099999999999"/>
    <n v="104.78"/>
    <n v="61.7"/>
    <s v="Credit Card"/>
    <x v="1"/>
    <b v="1"/>
    <x v="0"/>
    <n v="4"/>
  </r>
  <r>
    <s v="ORD-03072"/>
    <x v="759"/>
    <x v="759"/>
    <s v="CUST71775"/>
    <s v="Aditya Joshi"/>
    <n v="25"/>
    <s v="Male"/>
    <x v="4"/>
    <s v="Hyderabad"/>
    <x v="1"/>
    <s v="Hair Oil"/>
    <n v="6"/>
    <n v="1067.32"/>
    <n v="0.1"/>
    <n v="9986.14"/>
    <n v="3581.4"/>
    <n v="84.82"/>
    <s v="EMI"/>
    <x v="2"/>
    <b v="1"/>
    <x v="0"/>
    <n v="9"/>
  </r>
  <r>
    <s v="ORD-01964"/>
    <x v="1363"/>
    <x v="1363"/>
    <s v="CUST41576"/>
    <s v="Vikram Das"/>
    <n v="38"/>
    <s v="Female"/>
    <x v="1"/>
    <s v="Pune"/>
    <x v="3"/>
    <s v="Biography"/>
    <n v="10"/>
    <n v="550.80999999999995"/>
    <n v="7.0000000000000007E-2"/>
    <n v="6670.17"/>
    <n v="3295.18"/>
    <n v="67.61"/>
    <s v="Cash on Delivery"/>
    <x v="2"/>
    <b v="0"/>
    <x v="1"/>
    <n v="4"/>
  </r>
  <r>
    <s v="ORD-00889"/>
    <x v="148"/>
    <x v="148"/>
    <s v="CUST13240"/>
    <s v="Arjun Das"/>
    <n v="41"/>
    <s v="Other"/>
    <x v="0"/>
    <s v="Nagpur"/>
    <x v="0"/>
    <s v="Sugar"/>
    <n v="2"/>
    <n v="184.78"/>
    <n v="0.02"/>
    <n v="289.36"/>
    <n v="22.18"/>
    <n v="44.84"/>
    <s v="Debit Card"/>
    <x v="4"/>
    <b v="0"/>
    <x v="1"/>
    <n v="9"/>
  </r>
  <r>
    <s v="ORD-00712"/>
    <x v="255"/>
    <x v="255"/>
    <s v="CUST65830"/>
    <s v="Rohan Shah"/>
    <n v="7"/>
    <s v="Other"/>
    <x v="1"/>
    <s v="Pune"/>
    <x v="6"/>
    <s v="Tennis Racket"/>
    <n v="3"/>
    <n v="843.33"/>
    <n v="0.23"/>
    <n v="1489.34"/>
    <n v="371.2"/>
    <n v="44.35"/>
    <s v="Net Banking"/>
    <x v="1"/>
    <b v="0"/>
    <x v="1"/>
    <n v="1"/>
  </r>
  <r>
    <s v="ORD-03528"/>
    <x v="962"/>
    <x v="962"/>
    <s v="CUST06064"/>
    <s v="Meera Mishra"/>
    <n v="26"/>
    <s v="Other"/>
    <x v="4"/>
    <s v="Bangalore"/>
    <x v="3"/>
    <s v="Comic Book"/>
    <n v="7"/>
    <n v="1296.3599999999999"/>
    <n v="0.33"/>
    <n v="7811.5"/>
    <n v="2621.95"/>
    <n v="93.81"/>
    <s v="Debit Card"/>
    <x v="0"/>
    <b v="0"/>
    <x v="1"/>
    <n v="10"/>
  </r>
  <r>
    <s v="ORD-02845"/>
    <x v="95"/>
    <x v="95"/>
    <s v="CUST08284"/>
    <s v="Rohan Mishra"/>
    <n v="19"/>
    <s v="Male"/>
    <x v="1"/>
    <s v="Mumbai"/>
    <x v="3"/>
    <s v="Comic Book"/>
    <n v="9"/>
    <n v="1391.1"/>
    <n v="0.09"/>
    <n v="19579.439999999999"/>
    <n v="8225.4500000000007"/>
    <n v="57.35"/>
    <s v="Debit Card"/>
    <x v="1"/>
    <b v="0"/>
    <x v="4"/>
    <n v="5"/>
  </r>
  <r>
    <s v="ORD-04009"/>
    <x v="1253"/>
    <x v="1253"/>
    <s v="CUST19149"/>
    <s v="Meera Reddy"/>
    <n v="41"/>
    <s v="Other"/>
    <x v="4"/>
    <s v="Hyderabad"/>
    <x v="2"/>
    <s v="Sofa"/>
    <n v="10"/>
    <n v="24673.9"/>
    <n v="0.26"/>
    <n v="227656.87"/>
    <n v="85641.84"/>
    <n v="82.09"/>
    <s v="Debit Card"/>
    <x v="0"/>
    <b v="0"/>
    <x v="1"/>
    <n v="8"/>
  </r>
  <r>
    <s v="ORD-00492"/>
    <x v="57"/>
    <x v="57"/>
    <s v="CUST93700"/>
    <s v="Deepa Chatterjee"/>
    <n v="26"/>
    <s v="Other"/>
    <x v="2"/>
    <s v="Amritsar"/>
    <x v="6"/>
    <s v="Football"/>
    <n v="7"/>
    <n v="8179.73"/>
    <n v="0.1"/>
    <n v="61790.38"/>
    <n v="13078.48"/>
    <n v="40.31"/>
    <s v="Credit Card"/>
    <x v="4"/>
    <b v="0"/>
    <x v="1"/>
    <n v="1"/>
  </r>
  <r>
    <s v="ORD-00124"/>
    <x v="913"/>
    <x v="913"/>
    <s v="CUST06506"/>
    <s v="Vikram Mishra"/>
    <n v="32"/>
    <s v="Female"/>
    <x v="1"/>
    <s v="Mumbai"/>
    <x v="5"/>
    <s v="Tablet"/>
    <n v="10"/>
    <n v="53531.64"/>
    <n v="0.13"/>
    <n v="400722.8"/>
    <n v="51938.51"/>
    <n v="58.35"/>
    <s v="Cash on Delivery"/>
    <x v="2"/>
    <b v="1"/>
    <x v="0"/>
    <n v="10"/>
  </r>
  <r>
    <s v="ORD-02333"/>
    <x v="288"/>
    <x v="288"/>
    <s v="CUST56340"/>
    <s v="Pooja Mehta"/>
    <n v="26"/>
    <s v="Male"/>
    <x v="2"/>
    <s v="Amritsar"/>
    <x v="3"/>
    <s v="Fiction Novel"/>
    <n v="2"/>
    <n v="1065.57"/>
    <n v="0.21"/>
    <n v="2076.0500000000002"/>
    <n v="1101.49"/>
    <n v="25.68"/>
    <s v="EMI"/>
    <x v="2"/>
    <b v="0"/>
    <x v="1"/>
    <n v="6"/>
  </r>
  <r>
    <s v="ORD-00618"/>
    <x v="444"/>
    <x v="444"/>
    <s v="CUST23090"/>
    <s v="Kavya Iyer"/>
    <n v="43"/>
    <s v="Other"/>
    <x v="1"/>
    <s v="Mumbai"/>
    <x v="3"/>
    <s v="Fiction Novel"/>
    <n v="5"/>
    <n v="1447.22"/>
    <n v="0.08"/>
    <n v="4844.51"/>
    <n v="2794.08"/>
    <n v="69.42"/>
    <s v="UPI"/>
    <x v="1"/>
    <b v="0"/>
    <x v="1"/>
    <n v="2"/>
  </r>
  <r>
    <s v="ORD-01562"/>
    <x v="701"/>
    <x v="701"/>
    <s v="CUST52989"/>
    <s v="Meera Bose"/>
    <n v="37"/>
    <s v="Female"/>
    <x v="0"/>
    <s v="Nagpur"/>
    <x v="0"/>
    <s v="Tea"/>
    <n v="10"/>
    <n v="114.63"/>
    <n v="0.27"/>
    <n v="544.49"/>
    <n v="42.94"/>
    <n v="49.31"/>
    <s v="EMI"/>
    <x v="2"/>
    <b v="0"/>
    <x v="1"/>
    <n v="8"/>
  </r>
  <r>
    <s v="ORD-02524"/>
    <x v="1328"/>
    <x v="1328"/>
    <s v="CUST02441"/>
    <s v="Sunita Bhat"/>
    <n v="54"/>
    <s v="Male"/>
    <x v="4"/>
    <s v="Bangalore"/>
    <x v="6"/>
    <s v="Cycle"/>
    <n v="3"/>
    <n v="6013.86"/>
    <n v="0.01"/>
    <n v="16119.22"/>
    <n v="3536.03"/>
    <n v="79.16"/>
    <s v="EMI"/>
    <x v="0"/>
    <b v="0"/>
    <x v="4"/>
    <n v="3"/>
  </r>
  <r>
    <s v="ORD-03445"/>
    <x v="1297"/>
    <x v="1297"/>
    <s v="CUST68712"/>
    <s v="Sunita Kapoor"/>
    <n v="10"/>
    <s v="Other"/>
    <x v="0"/>
    <s v="Nagpur"/>
    <x v="1"/>
    <s v="Sunscreen"/>
    <n v="4"/>
    <n v="2410.81"/>
    <n v="0.23"/>
    <n v="8079.65"/>
    <n v="4194.49"/>
    <n v="53.44"/>
    <s v="Cash on Delivery"/>
    <x v="2"/>
    <b v="0"/>
    <x v="1"/>
    <n v="5"/>
  </r>
  <r>
    <s v="ORD-01977"/>
    <x v="1364"/>
    <x v="1364"/>
    <s v="CUST02433"/>
    <s v="Arjun Gupta"/>
    <n v="27"/>
    <s v="Other"/>
    <x v="2"/>
    <s v="Ludhiana"/>
    <x v="2"/>
    <s v="Wardrobe"/>
    <n v="2"/>
    <n v="14453.77"/>
    <n v="0.22"/>
    <n v="32603.05"/>
    <n v="8034.59"/>
    <n v="53.68"/>
    <s v="UPI"/>
    <x v="1"/>
    <b v="0"/>
    <x v="1"/>
    <n v="9"/>
  </r>
  <r>
    <s v="ORD-00562"/>
    <x v="1192"/>
    <x v="1192"/>
    <s v="CUST35414"/>
    <s v="Rohan Joshi"/>
    <n v="39"/>
    <s v="Female"/>
    <x v="1"/>
    <s v="Surat"/>
    <x v="1"/>
    <s v="Lipstick"/>
    <n v="6"/>
    <n v="1280.8399999999999"/>
    <n v="0.23"/>
    <n v="5974.92"/>
    <n v="2678.22"/>
    <n v="72.989999999999995"/>
    <s v="Net Banking"/>
    <x v="0"/>
    <b v="0"/>
    <x v="1"/>
    <n v="1"/>
  </r>
  <r>
    <s v="ORD-01698"/>
    <x v="11"/>
    <x v="11"/>
    <s v="CUST81725"/>
    <s v="Nikhil Singh"/>
    <n v="29"/>
    <s v="Other"/>
    <x v="3"/>
    <s v="Bhubaneswar"/>
    <x v="2"/>
    <s v="Sofa"/>
    <n v="4"/>
    <n v="30087.03"/>
    <n v="0.2"/>
    <n v="73826.31"/>
    <n v="20501.91"/>
    <n v="80.38"/>
    <s v="Debit Card"/>
    <x v="4"/>
    <b v="0"/>
    <x v="1"/>
    <n v="7"/>
  </r>
  <r>
    <s v="ORD-00765"/>
    <x v="275"/>
    <x v="275"/>
    <s v="CUST44683"/>
    <s v="Rohan Patel"/>
    <n v="26"/>
    <s v="Other"/>
    <x v="2"/>
    <s v="Chandigarh"/>
    <x v="2"/>
    <s v="Bed Frame"/>
    <n v="1"/>
    <n v="19060.919999999998"/>
    <n v="0.31"/>
    <n v="9008.82"/>
    <n v="2392.71"/>
    <n v="30.32"/>
    <s v="Net Banking"/>
    <x v="3"/>
    <b v="0"/>
    <x v="1"/>
    <n v="4"/>
  </r>
  <r>
    <s v="ORD-02155"/>
    <x v="873"/>
    <x v="873"/>
    <s v="CUST14965"/>
    <s v="Rohan Pillai"/>
    <n v="36"/>
    <s v="Female"/>
    <x v="4"/>
    <s v="Chennai"/>
    <x v="6"/>
    <s v="Tennis Racket"/>
    <n v="5"/>
    <n v="10085.52"/>
    <n v="0.04"/>
    <n v="65977.61"/>
    <n v="14440.37"/>
    <n v="73.11"/>
    <s v="UPI"/>
    <x v="3"/>
    <b v="1"/>
    <x v="0"/>
    <n v="5"/>
  </r>
  <r>
    <s v="ORD-00696"/>
    <x v="1365"/>
    <x v="1365"/>
    <s v="CUST46839"/>
    <s v="Aditya Sharma"/>
    <n v="31"/>
    <s v="Other"/>
    <x v="0"/>
    <s v="Bhopal"/>
    <x v="6"/>
    <s v="Dumbbells"/>
    <n v="8"/>
    <n v="12118.96"/>
    <n v="0.09"/>
    <n v="73900.27"/>
    <n v="14318.27"/>
    <n v="77.48"/>
    <s v="Cash on Delivery"/>
    <x v="0"/>
    <b v="0"/>
    <x v="1"/>
    <n v="10"/>
  </r>
  <r>
    <s v="ORD-01267"/>
    <x v="1306"/>
    <x v="1306"/>
    <s v="CUST48930"/>
    <s v="Nikhil Nair"/>
    <n v="32"/>
    <s v="Other"/>
    <x v="4"/>
    <s v="Hyderabad"/>
    <x v="1"/>
    <s v="Shampoo"/>
    <n v="2"/>
    <n v="434.45"/>
    <n v="0.32"/>
    <n v="753.9"/>
    <n v="264.33999999999997"/>
    <n v="66.45"/>
    <s v="Net Banking"/>
    <x v="2"/>
    <b v="1"/>
    <x v="0"/>
    <n v="3"/>
  </r>
  <r>
    <s v="ORD-01951"/>
    <x v="474"/>
    <x v="474"/>
    <s v="CUST38752"/>
    <s v="Pooja Sharma"/>
    <n v="52"/>
    <s v="Female"/>
    <x v="4"/>
    <s v="Bangalore"/>
    <x v="4"/>
    <s v="Jeans"/>
    <n v="5"/>
    <n v="3102.98"/>
    <n v="0.11"/>
    <n v="20951.580000000002"/>
    <n v="8948.8799999999992"/>
    <n v="34.130000000000003"/>
    <s v="UPI"/>
    <x v="1"/>
    <b v="0"/>
    <x v="1"/>
    <n v="8"/>
  </r>
  <r>
    <s v="ORD-02802"/>
    <x v="393"/>
    <x v="393"/>
    <s v="CUST45496"/>
    <s v="Shreya Pillai"/>
    <n v="38"/>
    <s v="Other"/>
    <x v="4"/>
    <s v="Chennai"/>
    <x v="1"/>
    <s v="Sunscreen"/>
    <n v="1"/>
    <n v="2094.6999999999998"/>
    <n v="0.36"/>
    <n v="1650.79"/>
    <n v="699.91"/>
    <n v="51.65"/>
    <s v="Credit Card"/>
    <x v="3"/>
    <b v="1"/>
    <x v="0"/>
    <n v="10"/>
  </r>
  <r>
    <s v="ORD-03202"/>
    <x v="254"/>
    <x v="254"/>
    <s v="CUST22113"/>
    <s v="Sunita Chatterjee"/>
    <n v="44"/>
    <s v="Other"/>
    <x v="2"/>
    <s v="Chandigarh"/>
    <x v="5"/>
    <s v="Smartphone"/>
    <n v="6"/>
    <n v="44612.23"/>
    <n v="0.05"/>
    <n v="267791.02"/>
    <n v="30140.48"/>
    <n v="34"/>
    <s v="Cash on Delivery"/>
    <x v="0"/>
    <b v="0"/>
    <x v="1"/>
    <n v="8"/>
  </r>
  <r>
    <s v="ORD-02299"/>
    <x v="1263"/>
    <x v="1263"/>
    <s v="CUST52655"/>
    <s v="Ritu Verma"/>
    <n v="30"/>
    <s v="Female"/>
    <x v="4"/>
    <s v="Bangalore"/>
    <x v="0"/>
    <s v="Rice (5kg)"/>
    <n v="3"/>
    <n v="236.04"/>
    <n v="0.01"/>
    <n v="832.73"/>
    <n v="49.56"/>
    <n v="57.97"/>
    <s v="Credit Card"/>
    <x v="0"/>
    <b v="1"/>
    <x v="0"/>
    <n v="8"/>
  </r>
  <r>
    <s v="ORD-02203"/>
    <x v="1366"/>
    <x v="1366"/>
    <s v="CUST79474"/>
    <s v="Ananya Rao"/>
    <n v="58"/>
    <s v="Female"/>
    <x v="4"/>
    <s v="Bangalore"/>
    <x v="1"/>
    <s v="Lipstick"/>
    <n v="5"/>
    <n v="2364.2399999999998"/>
    <n v="0.37"/>
    <n v="9797.68"/>
    <n v="5022.54"/>
    <n v="82.56"/>
    <s v="Net Banking"/>
    <x v="0"/>
    <b v="0"/>
    <x v="1"/>
    <n v="4"/>
  </r>
  <r>
    <s v="ORD-02020"/>
    <x v="440"/>
    <x v="440"/>
    <s v="CUST31285"/>
    <s v="Ananya Patel"/>
    <n v="33"/>
    <s v="Other"/>
    <x v="1"/>
    <s v="Pune"/>
    <x v="0"/>
    <s v="Flour"/>
    <n v="8"/>
    <n v="267.91000000000003"/>
    <n v="0.03"/>
    <n v="2920.99"/>
    <n v="292.83999999999997"/>
    <n v="61.35"/>
    <s v="Cash on Delivery"/>
    <x v="3"/>
    <b v="0"/>
    <x v="1"/>
    <n v="1"/>
  </r>
  <r>
    <s v="ORD-02729"/>
    <x v="929"/>
    <x v="929"/>
    <s v="CUST02485"/>
    <s v="Ananya Bhat"/>
    <n v="45"/>
    <s v="Female"/>
    <x v="4"/>
    <s v="Hyderabad"/>
    <x v="0"/>
    <s v="Sugar"/>
    <n v="8"/>
    <n v="85.59"/>
    <n v="0.25"/>
    <n v="545.76"/>
    <n v="41.46"/>
    <n v="75.34"/>
    <s v="Net Banking"/>
    <x v="2"/>
    <b v="0"/>
    <x v="1"/>
    <n v="9"/>
  </r>
  <r>
    <s v="ORD-03881"/>
    <x v="530"/>
    <x v="530"/>
    <s v="CUST11708"/>
    <s v="Arjun Sharma"/>
    <n v="37"/>
    <s v="Other"/>
    <x v="2"/>
    <s v="Amritsar"/>
    <x v="6"/>
    <s v="Football"/>
    <n v="9"/>
    <n v="6043.66"/>
    <n v="0.35"/>
    <n v="50068.82"/>
    <n v="12593.51"/>
    <n v="35.57"/>
    <s v="Debit Card"/>
    <x v="3"/>
    <b v="0"/>
    <x v="3"/>
    <n v="1"/>
  </r>
  <r>
    <s v="ORD-00358"/>
    <x v="54"/>
    <x v="54"/>
    <s v="CUST25786"/>
    <s v="Nikhil Verma"/>
    <n v="33"/>
    <s v="Male"/>
    <x v="0"/>
    <s v="Nagpur"/>
    <x v="4"/>
    <s v="Kurta"/>
    <n v="9"/>
    <n v="1720.87"/>
    <n v="7.0000000000000007E-2"/>
    <n v="18041.55"/>
    <n v="5490.24"/>
    <n v="62.42"/>
    <s v="Credit Card"/>
    <x v="4"/>
    <b v="0"/>
    <x v="3"/>
    <n v="8"/>
  </r>
  <r>
    <s v="ORD-02955"/>
    <x v="83"/>
    <x v="83"/>
    <s v="CUST34816"/>
    <s v="Arjun Bhat"/>
    <n v="41"/>
    <s v="Other"/>
    <x v="3"/>
    <s v="Guwahati"/>
    <x v="4"/>
    <s v="Saree"/>
    <n v="6"/>
    <n v="1234.8599999999999"/>
    <n v="0.13"/>
    <n v="10211.19"/>
    <n v="4328.1000000000004"/>
    <n v="63.86"/>
    <s v="EMI"/>
    <x v="3"/>
    <b v="0"/>
    <x v="1"/>
    <n v="3"/>
  </r>
  <r>
    <s v="ORD-03032"/>
    <x v="50"/>
    <x v="50"/>
    <s v="CUST90825"/>
    <s v="Rahul Gupta"/>
    <n v="30"/>
    <s v="Other"/>
    <x v="4"/>
    <s v="Chennai"/>
    <x v="0"/>
    <s v="Dal (1kg)"/>
    <n v="3"/>
    <n v="394.17"/>
    <n v="0.1"/>
    <n v="1466.75"/>
    <n v="91.2"/>
    <n v="58.94"/>
    <s v="Net Banking"/>
    <x v="1"/>
    <b v="0"/>
    <x v="1"/>
    <n v="1"/>
  </r>
  <r>
    <s v="ORD-03487"/>
    <x v="207"/>
    <x v="207"/>
    <s v="CUST26096"/>
    <s v="Shreya Shah"/>
    <n v="39"/>
    <s v="Other"/>
    <x v="1"/>
    <s v="Surat"/>
    <x v="3"/>
    <s v="Comic Book"/>
    <n v="4"/>
    <n v="288.31"/>
    <n v="0.08"/>
    <n v="1146.19"/>
    <n v="424.38"/>
    <n v="65.73"/>
    <s v="Net Banking"/>
    <x v="0"/>
    <b v="0"/>
    <x v="1"/>
    <n v="7"/>
  </r>
  <r>
    <s v="ORD-03074"/>
    <x v="515"/>
    <x v="515"/>
    <s v="CUST55244"/>
    <s v="Ananya Bose"/>
    <n v="24"/>
    <s v="Male"/>
    <x v="2"/>
    <s v="Ludhiana"/>
    <x v="4"/>
    <s v="T-Shirt"/>
    <n v="7"/>
    <n v="3670.29"/>
    <n v="0.27"/>
    <n v="26206.04"/>
    <n v="9315.2199999999993"/>
    <n v="40.44"/>
    <s v="UPI"/>
    <x v="4"/>
    <b v="0"/>
    <x v="3"/>
    <n v="9"/>
  </r>
  <r>
    <s v="ORD-00311"/>
    <x v="654"/>
    <x v="654"/>
    <s v="CUST95800"/>
    <s v="Priya Das"/>
    <n v="23"/>
    <s v="Female"/>
    <x v="3"/>
    <s v="Kolkata"/>
    <x v="2"/>
    <s v="Desk"/>
    <n v="10"/>
    <n v="13553.87"/>
    <n v="0.13"/>
    <n v="143129.65"/>
    <n v="32317.75"/>
    <n v="87.72"/>
    <s v="Cash on Delivery"/>
    <x v="0"/>
    <b v="0"/>
    <x v="1"/>
    <n v="9"/>
  </r>
  <r>
    <s v="ORD-03580"/>
    <x v="623"/>
    <x v="623"/>
    <s v="CUST38004"/>
    <s v="Aarav Nair"/>
    <n v="27"/>
    <s v="Other"/>
    <x v="4"/>
    <s v="Kochi"/>
    <x v="4"/>
    <s v="Saree"/>
    <n v="9"/>
    <n v="2254.39"/>
    <n v="0.32"/>
    <n v="17631.009999999998"/>
    <n v="5765.83"/>
    <n v="101.76"/>
    <s v="Debit Card"/>
    <x v="2"/>
    <b v="1"/>
    <x v="0"/>
    <n v="8"/>
  </r>
  <r>
    <s v="ORD-01308"/>
    <x v="124"/>
    <x v="124"/>
    <s v="CUST81370"/>
    <s v="Amit Sharma"/>
    <n v="39"/>
    <s v="Other"/>
    <x v="1"/>
    <s v="Pune"/>
    <x v="4"/>
    <s v="Jeans"/>
    <n v="10"/>
    <n v="1816.68"/>
    <n v="0.15"/>
    <n v="18053.22"/>
    <n v="7198.9"/>
    <n v="61.69"/>
    <s v="Credit Card"/>
    <x v="1"/>
    <b v="0"/>
    <x v="3"/>
    <n v="2"/>
  </r>
  <r>
    <s v="ORD-00128"/>
    <x v="495"/>
    <x v="495"/>
    <s v="CUST31223"/>
    <s v="Vikram Chatterjee"/>
    <n v="26"/>
    <s v="Female"/>
    <x v="2"/>
    <s v="Ludhiana"/>
    <x v="0"/>
    <s v="Flour"/>
    <n v="5"/>
    <n v="458.64"/>
    <n v="0.35"/>
    <n v="273.05"/>
    <n v="23.39"/>
    <n v="42.91"/>
    <s v="Cash on Delivery"/>
    <x v="1"/>
    <b v="0"/>
    <x v="1"/>
    <n v="4"/>
  </r>
  <r>
    <s v="ORD-03477"/>
    <x v="1367"/>
    <x v="1367"/>
    <s v="CUST49962"/>
    <s v="Priya Chatterjee"/>
    <n v="35"/>
    <s v="Other"/>
    <x v="2"/>
    <s v="Ludhiana"/>
    <x v="5"/>
    <s v="Tablet"/>
    <n v="5"/>
    <n v="54916.9"/>
    <n v="0.4"/>
    <n v="177362.61"/>
    <n v="24965.38"/>
    <n v="46.27"/>
    <s v="Credit Card"/>
    <x v="1"/>
    <b v="0"/>
    <x v="4"/>
    <n v="8"/>
  </r>
  <r>
    <s v="ORD-01831"/>
    <x v="748"/>
    <x v="748"/>
    <s v="CUST23447"/>
    <s v="Arjun Sharma"/>
    <n v="17"/>
    <s v="Male"/>
    <x v="0"/>
    <s v="Nagpur"/>
    <x v="4"/>
    <s v="Kurta"/>
    <n v="4"/>
    <n v="2766.72"/>
    <n v="0.34"/>
    <n v="8239.18"/>
    <n v="3180.32"/>
    <n v="51.11"/>
    <s v="Net Banking"/>
    <x v="1"/>
    <b v="0"/>
    <x v="1"/>
    <n v="7"/>
  </r>
  <r>
    <s v="ORD-03785"/>
    <x v="154"/>
    <x v="154"/>
    <s v="CUST16284"/>
    <s v="Ananya Iyer"/>
    <n v="40"/>
    <s v="Female"/>
    <x v="3"/>
    <s v="Bhubaneswar"/>
    <x v="0"/>
    <s v="Dal (1kg)"/>
    <n v="3"/>
    <n v="316.44"/>
    <n v="0.33"/>
    <n v="1181.33"/>
    <n v="72.84"/>
    <n v="95.3"/>
    <s v="Debit Card"/>
    <x v="0"/>
    <b v="0"/>
    <x v="1"/>
    <n v="1"/>
  </r>
  <r>
    <s v="ORD-00660"/>
    <x v="1368"/>
    <x v="1368"/>
    <s v="CUST65041"/>
    <s v="Priya Rao"/>
    <n v="36"/>
    <s v="Female"/>
    <x v="4"/>
    <s v="Bangalore"/>
    <x v="0"/>
    <s v="Dal (1kg)"/>
    <n v="5"/>
    <n v="425.46"/>
    <n v="0.08"/>
    <n v="1535.18"/>
    <n v="99.18"/>
    <n v="73.11"/>
    <s v="UPI"/>
    <x v="1"/>
    <b v="0"/>
    <x v="1"/>
    <n v="9"/>
  </r>
  <r>
    <s v="ORD-02979"/>
    <x v="1369"/>
    <x v="1369"/>
    <s v="CUST09411"/>
    <s v="Arjun Singh"/>
    <n v="39"/>
    <s v="Female"/>
    <x v="4"/>
    <s v="Chennai"/>
    <x v="6"/>
    <s v="Tennis Racket"/>
    <n v="4"/>
    <n v="1405.49"/>
    <n v="0.31"/>
    <n v="5675.34"/>
    <n v="1445.6"/>
    <n v="69.73"/>
    <s v="EMI"/>
    <x v="0"/>
    <b v="0"/>
    <x v="1"/>
    <n v="6"/>
  </r>
  <r>
    <s v="ORD-01674"/>
    <x v="577"/>
    <x v="577"/>
    <s v="CUST09628"/>
    <s v="Sunita Mehta"/>
    <n v="38"/>
    <s v="Female"/>
    <x v="4"/>
    <s v="Hyderabad"/>
    <x v="2"/>
    <s v="Bed Frame"/>
    <n v="9"/>
    <n v="18712.5"/>
    <n v="0.28000000000000003"/>
    <n v="98718.080000000002"/>
    <n v="31705.16"/>
    <n v="69.33"/>
    <s v="Cash on Delivery"/>
    <x v="2"/>
    <b v="0"/>
    <x v="1"/>
    <n v="7"/>
  </r>
  <r>
    <s v="ORD-03129"/>
    <x v="1370"/>
    <x v="1370"/>
    <s v="CUST31428"/>
    <s v="Karan Chatterjee"/>
    <n v="29"/>
    <s v="Other"/>
    <x v="1"/>
    <s v="Pune"/>
    <x v="2"/>
    <s v="Bed Frame"/>
    <n v="6"/>
    <n v="5060.62"/>
    <n v="0.26"/>
    <n v="28677.01"/>
    <n v="10234.549999999999"/>
    <n v="79.73"/>
    <s v="Cash on Delivery"/>
    <x v="0"/>
    <b v="1"/>
    <x v="0"/>
    <n v="8"/>
  </r>
  <r>
    <s v="ORD-01531"/>
    <x v="1249"/>
    <x v="1249"/>
    <s v="CUST67021"/>
    <s v="Kavya Pillai"/>
    <n v="44"/>
    <s v="Female"/>
    <x v="1"/>
    <s v="Surat"/>
    <x v="2"/>
    <s v="Bed Frame"/>
    <n v="1"/>
    <n v="3623.08"/>
    <n v="0.17"/>
    <n v="2627.42"/>
    <n v="856.29"/>
    <n v="74.400000000000006"/>
    <s v="Debit Card"/>
    <x v="3"/>
    <b v="0"/>
    <x v="2"/>
    <n v="3"/>
  </r>
  <r>
    <s v="ORD-02713"/>
    <x v="466"/>
    <x v="466"/>
    <s v="CUST44605"/>
    <s v="Rohan Gupta"/>
    <n v="30"/>
    <s v="Female"/>
    <x v="1"/>
    <s v="Surat"/>
    <x v="2"/>
    <s v="Bed Frame"/>
    <n v="4"/>
    <n v="23122.77"/>
    <n v="0.34"/>
    <n v="75992.62"/>
    <n v="25870.080000000002"/>
    <n v="83.74"/>
    <s v="EMI"/>
    <x v="2"/>
    <b v="0"/>
    <x v="1"/>
    <n v="1"/>
  </r>
  <r>
    <s v="ORD-03661"/>
    <x v="1371"/>
    <x v="1371"/>
    <s v="CUST49064"/>
    <s v="Deepa Shah"/>
    <n v="30"/>
    <s v="Female"/>
    <x v="0"/>
    <s v="Nagpur"/>
    <x v="1"/>
    <s v="Hair Oil"/>
    <n v="8"/>
    <n v="1253.1199999999999"/>
    <n v="0.3"/>
    <n v="11982.36"/>
    <n v="7180.54"/>
    <n v="32.68"/>
    <s v="Net Banking"/>
    <x v="0"/>
    <b v="0"/>
    <x v="1"/>
    <n v="10"/>
  </r>
  <r>
    <s v="ORD-00044"/>
    <x v="904"/>
    <x v="904"/>
    <s v="CUST88344"/>
    <s v="Arjun Nair"/>
    <n v="21"/>
    <s v="Other"/>
    <x v="1"/>
    <s v="Mumbai"/>
    <x v="0"/>
    <s v="Cooking Oil"/>
    <n v="7"/>
    <n v="134.49"/>
    <n v="0.17"/>
    <n v="553.96"/>
    <n v="54.43"/>
    <n v="58.18"/>
    <s v="EMI"/>
    <x v="4"/>
    <b v="1"/>
    <x v="0"/>
    <n v="9"/>
  </r>
  <r>
    <s v="ORD-02505"/>
    <x v="1372"/>
    <x v="1372"/>
    <s v="CUST69354"/>
    <s v="Kavya Nair"/>
    <n v="38"/>
    <s v="Female"/>
    <x v="0"/>
    <s v="Indore"/>
    <x v="0"/>
    <s v="Dal (1kg)"/>
    <n v="10"/>
    <n v="358.19"/>
    <n v="0.01"/>
    <n v="2982.6"/>
    <n v="268.81"/>
    <n v="72.77"/>
    <s v="EMI"/>
    <x v="3"/>
    <b v="0"/>
    <x v="3"/>
    <n v="1"/>
  </r>
  <r>
    <s v="ORD-03756"/>
    <x v="574"/>
    <x v="574"/>
    <s v="CUST46771"/>
    <s v="Karan Verma"/>
    <n v="46"/>
    <s v="Other"/>
    <x v="3"/>
    <s v="Kolkata"/>
    <x v="6"/>
    <s v="Dumbbells"/>
    <n v="2"/>
    <n v="4339.24"/>
    <n v="0.04"/>
    <n v="15428.64"/>
    <n v="2162.54"/>
    <n v="103.91"/>
    <s v="Credit Card"/>
    <x v="1"/>
    <b v="0"/>
    <x v="1"/>
    <n v="2"/>
  </r>
  <r>
    <s v="ORD-02262"/>
    <x v="598"/>
    <x v="598"/>
    <s v="CUST07130"/>
    <s v="Shreya Iyer"/>
    <n v="20"/>
    <s v="Other"/>
    <x v="0"/>
    <s v="Nagpur"/>
    <x v="3"/>
    <s v="Fiction Novel"/>
    <n v="2"/>
    <n v="281.44"/>
    <n v="0.05"/>
    <n v="537.73"/>
    <n v="145.84"/>
    <n v="75.48"/>
    <s v="Cash on Delivery"/>
    <x v="3"/>
    <b v="0"/>
    <x v="1"/>
    <n v="3"/>
  </r>
  <r>
    <s v="ORD-03459"/>
    <x v="153"/>
    <x v="153"/>
    <s v="CUST64884"/>
    <s v="Meera Bose"/>
    <n v="5"/>
    <s v="Male"/>
    <x v="3"/>
    <s v="Bhubaneswar"/>
    <x v="5"/>
    <s v="Camera"/>
    <n v="9"/>
    <n v="43024.67"/>
    <n v="0.36"/>
    <n v="271258.64"/>
    <n v="27942.75"/>
    <n v="62.42"/>
    <s v="Debit Card"/>
    <x v="3"/>
    <b v="0"/>
    <x v="1"/>
    <n v="8"/>
  </r>
  <r>
    <s v="ORD-04093"/>
    <x v="1130"/>
    <x v="1130"/>
    <s v="CUST78809"/>
    <s v="Priya Reddy"/>
    <n v="38"/>
    <s v="Female"/>
    <x v="1"/>
    <s v="Ahmedabad"/>
    <x v="6"/>
    <s v="Dumbbells"/>
    <n v="10"/>
    <n v="4613.71"/>
    <n v="0.17"/>
    <n v="37689.699999999997"/>
    <n v="8096.33"/>
    <n v="57.21"/>
    <s v="Credit Card"/>
    <x v="4"/>
    <b v="0"/>
    <x v="1"/>
    <n v="8"/>
  </r>
  <r>
    <s v="ORD-01793"/>
    <x v="1121"/>
    <x v="1121"/>
    <s v="CUST72099"/>
    <s v="Aarav Das"/>
    <n v="44"/>
    <s v="Female"/>
    <x v="1"/>
    <s v="Mumbai"/>
    <x v="2"/>
    <s v="Wardrobe"/>
    <n v="10"/>
    <n v="30639.279999999999"/>
    <n v="0.33"/>
    <n v="251539.23"/>
    <n v="67740.72"/>
    <n v="51.84"/>
    <s v="UPI"/>
    <x v="4"/>
    <b v="0"/>
    <x v="1"/>
    <n v="4"/>
  </r>
  <r>
    <s v="ORD-01741"/>
    <x v="1134"/>
    <x v="1134"/>
    <s v="CUST77934"/>
    <s v="Rahul Singh"/>
    <n v="42"/>
    <s v="Other"/>
    <x v="2"/>
    <s v="Amritsar"/>
    <x v="6"/>
    <s v="Tennis Racket"/>
    <n v="8"/>
    <n v="3604.43"/>
    <n v="0.14000000000000001"/>
    <n v="22742.31"/>
    <n v="5019.1099999999997"/>
    <n v="45.29"/>
    <s v="Cash on Delivery"/>
    <x v="0"/>
    <b v="0"/>
    <x v="1"/>
    <n v="1"/>
  </r>
  <r>
    <s v="ORD-04012"/>
    <x v="1005"/>
    <x v="1005"/>
    <s v="CUST14684"/>
    <s v="Aditya Gupta"/>
    <n v="6"/>
    <s v="Other"/>
    <x v="0"/>
    <s v="Nagpur"/>
    <x v="6"/>
    <s v="Tennis Racket"/>
    <n v="2"/>
    <n v="14686.72"/>
    <n v="0.25"/>
    <n v="30972.880000000001"/>
    <n v="7672.73"/>
    <n v="59.7"/>
    <s v="Net Banking"/>
    <x v="3"/>
    <b v="0"/>
    <x v="1"/>
    <n v="8"/>
  </r>
  <r>
    <s v="ORD-02250"/>
    <x v="578"/>
    <x v="578"/>
    <s v="CUST89025"/>
    <s v="Priya Kumar"/>
    <n v="46"/>
    <s v="Female"/>
    <x v="1"/>
    <s v="Mumbai"/>
    <x v="4"/>
    <s v="Saree"/>
    <n v="2"/>
    <n v="3788.19"/>
    <n v="0.21"/>
    <n v="8490.2099999999991"/>
    <n v="2213.1"/>
    <n v="65.7"/>
    <s v="Net Banking"/>
    <x v="0"/>
    <b v="0"/>
    <x v="2"/>
    <n v="8"/>
  </r>
  <r>
    <s v="ORD-01419"/>
    <x v="199"/>
    <x v="199"/>
    <s v="CUST19497"/>
    <s v="Vikram Mehta"/>
    <n v="8"/>
    <s v="Male"/>
    <x v="1"/>
    <s v="Ahmedabad"/>
    <x v="6"/>
    <s v="Football"/>
    <n v="9"/>
    <n v="14766.84"/>
    <n v="0.35"/>
    <n v="79036.67"/>
    <n v="16949.03"/>
    <n v="34.32"/>
    <s v="UPI"/>
    <x v="1"/>
    <b v="0"/>
    <x v="1"/>
    <n v="10"/>
  </r>
  <r>
    <s v="ORD-01546"/>
    <x v="452"/>
    <x v="452"/>
    <s v="CUST16135"/>
    <s v="Nikhil Singh"/>
    <n v="39"/>
    <s v="Female"/>
    <x v="0"/>
    <s v="Indore"/>
    <x v="2"/>
    <s v="Wardrobe"/>
    <n v="8"/>
    <n v="29381.66"/>
    <n v="0.22"/>
    <n v="157614.57999999999"/>
    <n v="32492.98"/>
    <n v="48.89"/>
    <s v="UPI"/>
    <x v="4"/>
    <b v="0"/>
    <x v="1"/>
    <n v="3"/>
  </r>
  <r>
    <s v="ORD-02539"/>
    <x v="1373"/>
    <x v="1373"/>
    <s v="CUST20162"/>
    <s v="Deepa Nair"/>
    <n v="32"/>
    <s v="Female"/>
    <x v="4"/>
    <s v="Bangalore"/>
    <x v="0"/>
    <s v="Sugar"/>
    <n v="9"/>
    <n v="314.07"/>
    <n v="0.33"/>
    <n v="1512.76"/>
    <n v="125.71"/>
    <n v="61.79"/>
    <s v="UPI"/>
    <x v="4"/>
    <b v="0"/>
    <x v="1"/>
    <n v="2"/>
  </r>
  <r>
    <s v="ORD-02364"/>
    <x v="317"/>
    <x v="317"/>
    <s v="CUST13899"/>
    <s v="Rohan Mishra"/>
    <n v="40"/>
    <s v="Male"/>
    <x v="4"/>
    <s v="Hyderabad"/>
    <x v="0"/>
    <s v="Cooking Oil"/>
    <n v="1"/>
    <n v="480.83"/>
    <n v="0.03"/>
    <n v="413.43"/>
    <n v="28.39"/>
    <n v="66.81"/>
    <s v="EMI"/>
    <x v="3"/>
    <b v="1"/>
    <x v="0"/>
    <n v="10"/>
  </r>
  <r>
    <s v="ORD-04188"/>
    <x v="1353"/>
    <x v="1353"/>
    <s v="CUST03222"/>
    <s v="Pooja Bhat"/>
    <n v="34"/>
    <s v="Other"/>
    <x v="0"/>
    <s v="Bhopal"/>
    <x v="2"/>
    <s v="Chair"/>
    <n v="10"/>
    <n v="21965.61"/>
    <n v="0.25"/>
    <n v="142471.67999999999"/>
    <n v="51299.09"/>
    <n v="54.26"/>
    <s v="Net Banking"/>
    <x v="4"/>
    <b v="1"/>
    <x v="0"/>
    <n v="10"/>
  </r>
  <r>
    <s v="ORD-01004"/>
    <x v="819"/>
    <x v="819"/>
    <s v="CUST99373"/>
    <s v="Kavya Nair"/>
    <n v="67"/>
    <s v="Male"/>
    <x v="0"/>
    <s v="Raipur"/>
    <x v="0"/>
    <s v="Dal (1kg)"/>
    <n v="3"/>
    <n v="205.29"/>
    <n v="0"/>
    <n v="664.78"/>
    <n v="44.95"/>
    <n v="36.409999999999997"/>
    <s v="Net Banking"/>
    <x v="4"/>
    <b v="0"/>
    <x v="1"/>
    <n v="6"/>
  </r>
  <r>
    <s v="ORD-04020"/>
    <x v="1374"/>
    <x v="1374"/>
    <s v="CUST94098"/>
    <s v="Deepa Iyer"/>
    <n v="43"/>
    <s v="Other"/>
    <x v="4"/>
    <s v="Hyderabad"/>
    <x v="3"/>
    <s v="Self-Help Book"/>
    <n v="7"/>
    <n v="1255.05"/>
    <n v="0.06"/>
    <n v="10208.81"/>
    <n v="4389.6099999999997"/>
    <n v="46.86"/>
    <s v="Debit Card"/>
    <x v="1"/>
    <b v="0"/>
    <x v="3"/>
    <n v="10"/>
  </r>
  <r>
    <s v="ORD-02496"/>
    <x v="140"/>
    <x v="140"/>
    <s v="CUST46384"/>
    <s v="Pooja Pillai"/>
    <n v="27"/>
    <s v="Male"/>
    <x v="2"/>
    <s v="Chandigarh"/>
    <x v="5"/>
    <s v="Tablet"/>
    <n v="9"/>
    <n v="35439.71"/>
    <n v="0.1"/>
    <n v="264067.45"/>
    <n v="27911.46"/>
    <n v="45.64"/>
    <s v="Net Banking"/>
    <x v="1"/>
    <b v="0"/>
    <x v="4"/>
    <n v="6"/>
  </r>
  <r>
    <s v="ORD-01843"/>
    <x v="298"/>
    <x v="298"/>
    <s v="CUST28515"/>
    <s v="Nikhil Singh"/>
    <n v="29"/>
    <s v="Male"/>
    <x v="3"/>
    <s v="Guwahati"/>
    <x v="2"/>
    <s v="Bed Frame"/>
    <n v="2"/>
    <n v="7344.48"/>
    <n v="0.18"/>
    <n v="14733.39"/>
    <n v="4347.3100000000004"/>
    <n v="74.59"/>
    <s v="Cash on Delivery"/>
    <x v="1"/>
    <b v="0"/>
    <x v="1"/>
    <n v="4"/>
  </r>
  <r>
    <s v="ORD-03784"/>
    <x v="154"/>
    <x v="154"/>
    <s v="CUST30184"/>
    <s v="Meera Bhat"/>
    <n v="36"/>
    <s v="Other"/>
    <x v="1"/>
    <s v="Pune"/>
    <x v="4"/>
    <s v="Jacket"/>
    <n v="6"/>
    <n v="3443.27"/>
    <n v="0.34"/>
    <n v="23314.01"/>
    <n v="6106.27"/>
    <n v="43.69"/>
    <s v="EMI"/>
    <x v="0"/>
    <b v="0"/>
    <x v="1"/>
    <n v="4"/>
  </r>
  <r>
    <s v="ORD-03869"/>
    <x v="535"/>
    <x v="535"/>
    <s v="CUST15668"/>
    <s v="Nisha Bhat"/>
    <n v="17"/>
    <s v="Male"/>
    <x v="3"/>
    <s v="Kolkata"/>
    <x v="1"/>
    <s v="Hair Oil"/>
    <n v="3"/>
    <n v="1163.57"/>
    <n v="0.3"/>
    <n v="3576.96"/>
    <n v="1296.23"/>
    <n v="79.7"/>
    <s v="Credit Card"/>
    <x v="4"/>
    <b v="0"/>
    <x v="1"/>
    <n v="7"/>
  </r>
  <r>
    <s v="ORD-03225"/>
    <x v="642"/>
    <x v="642"/>
    <s v="CUST29656"/>
    <s v="Amit Bhat"/>
    <n v="30"/>
    <s v="Female"/>
    <x v="1"/>
    <s v="Mumbai"/>
    <x v="4"/>
    <s v="Saree"/>
    <n v="8"/>
    <n v="763.91"/>
    <n v="0.37"/>
    <n v="4285.91"/>
    <n v="1673.43"/>
    <n v="53.43"/>
    <s v="UPI"/>
    <x v="0"/>
    <b v="0"/>
    <x v="1"/>
    <n v="6"/>
  </r>
  <r>
    <s v="ORD-02042"/>
    <x v="586"/>
    <x v="586"/>
    <s v="CUST37864"/>
    <s v="Sanjay Kapoor"/>
    <n v="49"/>
    <s v="Other"/>
    <x v="4"/>
    <s v="Hyderabad"/>
    <x v="6"/>
    <s v="Cycle"/>
    <n v="1"/>
    <n v="3118.43"/>
    <n v="0.23"/>
    <n v="3847.49"/>
    <n v="1157.76"/>
    <n v="70.540000000000006"/>
    <s v="Credit Card"/>
    <x v="2"/>
    <b v="0"/>
    <x v="1"/>
    <n v="3"/>
  </r>
  <r>
    <s v="ORD-01184"/>
    <x v="1375"/>
    <x v="1375"/>
    <s v="CUST45729"/>
    <s v="Ananya Mishra"/>
    <n v="31"/>
    <s v="Female"/>
    <x v="3"/>
    <s v="Patna"/>
    <x v="3"/>
    <s v="Biography"/>
    <n v="8"/>
    <n v="1312.46"/>
    <n v="7.0000000000000007E-2"/>
    <n v="15181.53"/>
    <n v="6179.92"/>
    <n v="55.66"/>
    <s v="EMI"/>
    <x v="0"/>
    <b v="0"/>
    <x v="1"/>
    <n v="7"/>
  </r>
  <r>
    <s v="ORD-00366"/>
    <x v="1376"/>
    <x v="1376"/>
    <s v="CUST37493"/>
    <s v="Aditya Iyer"/>
    <n v="34"/>
    <s v="Male"/>
    <x v="4"/>
    <s v="Bangalore"/>
    <x v="3"/>
    <s v="Self-Help Book"/>
    <n v="8"/>
    <n v="1191.17"/>
    <n v="0.39"/>
    <n v="7944.27"/>
    <n v="3452.54"/>
    <n v="91.97"/>
    <s v="Net Banking"/>
    <x v="1"/>
    <b v="0"/>
    <x v="4"/>
    <n v="2"/>
  </r>
  <r>
    <s v="ORD-01921"/>
    <x v="191"/>
    <x v="191"/>
    <s v="CUST32688"/>
    <s v="Ananya Mehta"/>
    <n v="16"/>
    <s v="Male"/>
    <x v="3"/>
    <s v="Kolkata"/>
    <x v="3"/>
    <s v="Textbook"/>
    <n v="7"/>
    <n v="331.77"/>
    <n v="0.38"/>
    <n v="1662.51"/>
    <n v="587.87"/>
    <n v="93.29"/>
    <s v="Credit Card"/>
    <x v="0"/>
    <b v="0"/>
    <x v="1"/>
    <n v="2"/>
  </r>
  <r>
    <s v="ORD-04105"/>
    <x v="1031"/>
    <x v="1031"/>
    <s v="CUST23063"/>
    <s v="Rohan Rao"/>
    <n v="33"/>
    <s v="Other"/>
    <x v="3"/>
    <s v="Patna"/>
    <x v="6"/>
    <s v="Tennis Racket"/>
    <n v="8"/>
    <n v="10030.91"/>
    <n v="0.02"/>
    <n v="67222.600000000006"/>
    <n v="15466.13"/>
    <n v="100.02"/>
    <s v="EMI"/>
    <x v="0"/>
    <b v="0"/>
    <x v="1"/>
    <n v="3"/>
  </r>
  <r>
    <s v="ORD-02946"/>
    <x v="187"/>
    <x v="187"/>
    <s v="CUST34949"/>
    <s v="Sunita Sharma"/>
    <n v="29"/>
    <s v="Other"/>
    <x v="3"/>
    <s v="Bhubaneswar"/>
    <x v="3"/>
    <s v="Comic Book"/>
    <n v="5"/>
    <n v="1028.79"/>
    <n v="0.32"/>
    <n v="1058.82"/>
    <n v="441.92"/>
    <n v="77.010000000000005"/>
    <s v="Credit Card"/>
    <x v="0"/>
    <b v="1"/>
    <x v="0"/>
    <n v="3"/>
  </r>
  <r>
    <s v="ORD-03807"/>
    <x v="779"/>
    <x v="779"/>
    <s v="CUST40435"/>
    <s v="Aditya Singh"/>
    <n v="34"/>
    <s v="Male"/>
    <x v="3"/>
    <s v="Guwahati"/>
    <x v="0"/>
    <s v="Cooking Oil"/>
    <n v="10"/>
    <n v="263.05"/>
    <n v="0.28000000000000003"/>
    <n v="3446.63"/>
    <n v="252.71"/>
    <n v="60.29"/>
    <s v="Net Banking"/>
    <x v="2"/>
    <b v="0"/>
    <x v="1"/>
    <n v="9"/>
  </r>
  <r>
    <s v="ORD-02692"/>
    <x v="344"/>
    <x v="344"/>
    <s v="CUST16083"/>
    <s v="Aditya Singh"/>
    <n v="40"/>
    <s v="Female"/>
    <x v="3"/>
    <s v="Patna"/>
    <x v="0"/>
    <s v="Dal (1kg)"/>
    <n v="5"/>
    <n v="83.39"/>
    <n v="0.13"/>
    <n v="507.85"/>
    <n v="48.88"/>
    <n v="72.28"/>
    <s v="Cash on Delivery"/>
    <x v="1"/>
    <b v="0"/>
    <x v="1"/>
    <n v="8"/>
  </r>
  <r>
    <s v="ORD-02324"/>
    <x v="440"/>
    <x v="440"/>
    <s v="CUST50408"/>
    <s v="Priya Nair"/>
    <n v="44"/>
    <s v="Female"/>
    <x v="2"/>
    <s v="Chandigarh"/>
    <x v="5"/>
    <s v="Headphones"/>
    <n v="10"/>
    <n v="66222.83"/>
    <n v="0.39"/>
    <n v="364937.13"/>
    <n v="37488.21"/>
    <n v="35.08"/>
    <s v="Credit Card"/>
    <x v="0"/>
    <b v="0"/>
    <x v="1"/>
    <n v="9"/>
  </r>
  <r>
    <s v="ORD-01839"/>
    <x v="298"/>
    <x v="298"/>
    <s v="CUST27694"/>
    <s v="Arjun Shah"/>
    <n v="21"/>
    <s v="Male"/>
    <x v="4"/>
    <s v="Kochi"/>
    <x v="4"/>
    <s v="Jeans"/>
    <n v="3"/>
    <n v="3430.47"/>
    <n v="0.21"/>
    <n v="11607.03"/>
    <n v="4466.8599999999997"/>
    <n v="69.55"/>
    <s v="EMI"/>
    <x v="3"/>
    <b v="0"/>
    <x v="1"/>
    <n v="1"/>
  </r>
  <r>
    <s v="ORD-01917"/>
    <x v="1069"/>
    <x v="1069"/>
    <s v="CUST61040"/>
    <s v="Aditya Sharma"/>
    <n v="21"/>
    <s v="Male"/>
    <x v="1"/>
    <s v="Ahmedabad"/>
    <x v="0"/>
    <s v="Flour"/>
    <n v="9"/>
    <n v="150.66"/>
    <n v="0.3"/>
    <n v="1376.18"/>
    <n v="82.84"/>
    <n v="30.25"/>
    <s v="EMI"/>
    <x v="1"/>
    <b v="0"/>
    <x v="1"/>
    <n v="4"/>
  </r>
  <r>
    <s v="ORD-01495"/>
    <x v="830"/>
    <x v="830"/>
    <s v="CUST79339"/>
    <s v="Karan Nair"/>
    <n v="48"/>
    <s v="Other"/>
    <x v="4"/>
    <s v="Chennai"/>
    <x v="2"/>
    <s v="Wardrobe"/>
    <n v="3"/>
    <n v="22015.61"/>
    <n v="0.33"/>
    <n v="34539.97"/>
    <n v="5647.61"/>
    <n v="67.290000000000006"/>
    <s v="Credit Card"/>
    <x v="1"/>
    <b v="0"/>
    <x v="1"/>
    <n v="9"/>
  </r>
  <r>
    <s v="ORD-01756"/>
    <x v="856"/>
    <x v="856"/>
    <s v="CUST12665"/>
    <s v="Pooja Sharma"/>
    <n v="35"/>
    <s v="Other"/>
    <x v="0"/>
    <s v="Raipur"/>
    <x v="2"/>
    <s v="Bed Frame"/>
    <n v="1"/>
    <n v="28755.19"/>
    <n v="0.03"/>
    <n v="24177.47"/>
    <n v="5824.34"/>
    <n v="35.93"/>
    <s v="EMI"/>
    <x v="2"/>
    <b v="0"/>
    <x v="1"/>
    <n v="4"/>
  </r>
  <r>
    <s v="ORD-01151"/>
    <x v="1028"/>
    <x v="1028"/>
    <s v="CUST42604"/>
    <s v="Arjun Joshi"/>
    <n v="45"/>
    <s v="Female"/>
    <x v="3"/>
    <s v="Patna"/>
    <x v="4"/>
    <s v="Kurta"/>
    <n v="1"/>
    <n v="708.87"/>
    <n v="0.04"/>
    <n v="897.13"/>
    <n v="364.6"/>
    <n v="69.260000000000005"/>
    <s v="EMI"/>
    <x v="4"/>
    <b v="0"/>
    <x v="1"/>
    <n v="6"/>
  </r>
  <r>
    <s v="ORD-02820"/>
    <x v="805"/>
    <x v="805"/>
    <s v="CUST01567"/>
    <s v="Priya Verma"/>
    <n v="34"/>
    <s v="Male"/>
    <x v="3"/>
    <s v="Bhubaneswar"/>
    <x v="6"/>
    <s v="Football"/>
    <n v="5"/>
    <n v="635.13"/>
    <n v="0.28000000000000003"/>
    <n v="3458.05"/>
    <n v="756.53"/>
    <n v="93.5"/>
    <s v="Debit Card"/>
    <x v="0"/>
    <b v="0"/>
    <x v="1"/>
    <n v="8"/>
  </r>
  <r>
    <s v="ORD-01285"/>
    <x v="1377"/>
    <x v="1377"/>
    <s v="CUST48631"/>
    <s v="Deepa Singh"/>
    <n v="31"/>
    <s v="Male"/>
    <x v="4"/>
    <s v="Chennai"/>
    <x v="2"/>
    <s v="Sofa"/>
    <n v="10"/>
    <n v="14508.49"/>
    <n v="0.21"/>
    <n v="169261.45"/>
    <n v="50893.66"/>
    <n v="54.2"/>
    <s v="EMI"/>
    <x v="1"/>
    <b v="0"/>
    <x v="1"/>
    <n v="9"/>
  </r>
  <r>
    <s v="ORD-04185"/>
    <x v="1138"/>
    <x v="1138"/>
    <s v="CUST09877"/>
    <s v="Nisha Mehta"/>
    <n v="11"/>
    <s v="Male"/>
    <x v="4"/>
    <s v="Bangalore"/>
    <x v="4"/>
    <s v="Kurta"/>
    <n v="6"/>
    <n v="914.9"/>
    <n v="0.28999999999999998"/>
    <n v="3583.35"/>
    <n v="1511.38"/>
    <n v="91.61"/>
    <s v="Credit Card"/>
    <x v="1"/>
    <b v="0"/>
    <x v="4"/>
    <n v="6"/>
  </r>
  <r>
    <s v="ORD-01599"/>
    <x v="162"/>
    <x v="162"/>
    <s v="CUST93504"/>
    <s v="Rahul Kumar"/>
    <n v="40"/>
    <s v="Male"/>
    <x v="1"/>
    <s v="Surat"/>
    <x v="0"/>
    <s v="Sugar"/>
    <n v="1"/>
    <n v="324.69"/>
    <n v="0.21"/>
    <n v="195.27"/>
    <n v="15.34"/>
    <n v="67.290000000000006"/>
    <s v="UPI"/>
    <x v="2"/>
    <b v="1"/>
    <x v="0"/>
    <n v="6"/>
  </r>
  <r>
    <s v="ORD-03535"/>
    <x v="1378"/>
    <x v="1378"/>
    <s v="CUST89629"/>
    <s v="Ananya Joshi"/>
    <n v="30"/>
    <s v="Other"/>
    <x v="4"/>
    <s v="Bangalore"/>
    <x v="3"/>
    <s v="Biography"/>
    <n v="4"/>
    <n v="840.47"/>
    <n v="0.24"/>
    <n v="3329.19"/>
    <n v="1532.51"/>
    <n v="78.489999999999995"/>
    <s v="Credit Card"/>
    <x v="0"/>
    <b v="0"/>
    <x v="1"/>
    <n v="8"/>
  </r>
  <r>
    <s v="ORD-01314"/>
    <x v="1379"/>
    <x v="1379"/>
    <s v="CUST47839"/>
    <s v="Rahul Patel"/>
    <n v="32"/>
    <s v="Other"/>
    <x v="2"/>
    <s v="Amritsar"/>
    <x v="5"/>
    <s v="Laptop"/>
    <n v="5"/>
    <n v="69893.850000000006"/>
    <n v="0.26"/>
    <n v="364875.53"/>
    <n v="30513.58"/>
    <n v="59.78"/>
    <s v="Cash on Delivery"/>
    <x v="4"/>
    <b v="0"/>
    <x v="4"/>
    <n v="7"/>
  </r>
  <r>
    <s v="ORD-03944"/>
    <x v="699"/>
    <x v="699"/>
    <s v="CUST94187"/>
    <s v="Shreya Iyer"/>
    <n v="43"/>
    <s v="Other"/>
    <x v="2"/>
    <s v="Delhi"/>
    <x v="0"/>
    <s v="Rice (5kg)"/>
    <n v="6"/>
    <n v="294"/>
    <n v="0.01"/>
    <n v="2476.75"/>
    <n v="189.51"/>
    <n v="46.01"/>
    <s v="Credit Card"/>
    <x v="0"/>
    <b v="0"/>
    <x v="1"/>
    <n v="10"/>
  </r>
  <r>
    <s v="ORD-01959"/>
    <x v="488"/>
    <x v="488"/>
    <s v="CUST38124"/>
    <s v="Amit Sharma"/>
    <n v="48"/>
    <s v="Female"/>
    <x v="4"/>
    <s v="Hyderabad"/>
    <x v="1"/>
    <s v="Shampoo"/>
    <n v="1"/>
    <n v="2120.9299999999998"/>
    <n v="0.22"/>
    <n v="2475.08"/>
    <n v="882.31"/>
    <n v="64.27"/>
    <s v="Debit Card"/>
    <x v="1"/>
    <b v="0"/>
    <x v="1"/>
    <n v="5"/>
  </r>
  <r>
    <s v="ORD-00483"/>
    <x v="770"/>
    <x v="770"/>
    <s v="CUST65437"/>
    <s v="Deepa Verma"/>
    <n v="20"/>
    <s v="Female"/>
    <x v="0"/>
    <s v="Bhopal"/>
    <x v="1"/>
    <s v="Shampoo"/>
    <n v="7"/>
    <n v="1269.1099999999999"/>
    <n v="0.2"/>
    <n v="8655.36"/>
    <n v="3040.64"/>
    <n v="22.45"/>
    <s v="Net Banking"/>
    <x v="0"/>
    <b v="0"/>
    <x v="1"/>
    <n v="5"/>
  </r>
  <r>
    <s v="ORD-02595"/>
    <x v="554"/>
    <x v="554"/>
    <s v="CUST96722"/>
    <s v="Pooja Iyer"/>
    <n v="47"/>
    <s v="Other"/>
    <x v="1"/>
    <s v="Mumbai"/>
    <x v="2"/>
    <s v="Sofa"/>
    <n v="4"/>
    <n v="23419.55"/>
    <n v="0.31"/>
    <n v="74390.92"/>
    <n v="24893.16"/>
    <n v="60.16"/>
    <s v="Cash on Delivery"/>
    <x v="0"/>
    <b v="0"/>
    <x v="4"/>
    <n v="10"/>
  </r>
  <r>
    <s v="ORD-02128"/>
    <x v="648"/>
    <x v="648"/>
    <s v="CUST18334"/>
    <s v="Sanjay Kumar"/>
    <n v="3"/>
    <s v="Male"/>
    <x v="2"/>
    <s v="Chandigarh"/>
    <x v="0"/>
    <s v="Cooking Oil"/>
    <n v="7"/>
    <n v="371.4"/>
    <n v="0.26"/>
    <n v="2827.1"/>
    <n v="304.02"/>
    <n v="51.93"/>
    <s v="Net Banking"/>
    <x v="4"/>
    <b v="1"/>
    <x v="0"/>
    <n v="6"/>
  </r>
  <r>
    <s v="ORD-03386"/>
    <x v="753"/>
    <x v="753"/>
    <s v="CUST80775"/>
    <s v="Ritu Kumar"/>
    <n v="63"/>
    <s v="Female"/>
    <x v="0"/>
    <s v="Nagpur"/>
    <x v="1"/>
    <s v="Sunscreen"/>
    <n v="4"/>
    <n v="2223.64"/>
    <n v="0.15"/>
    <n v="6525.42"/>
    <n v="3524.54"/>
    <n v="33.24"/>
    <s v="EMI"/>
    <x v="3"/>
    <b v="0"/>
    <x v="1"/>
    <n v="9"/>
  </r>
  <r>
    <s v="ORD-02283"/>
    <x v="456"/>
    <x v="456"/>
    <s v="CUST06888"/>
    <s v="Ananya Chatterjee"/>
    <n v="44"/>
    <s v="Male"/>
    <x v="4"/>
    <s v="Kochi"/>
    <x v="4"/>
    <s v="Dress"/>
    <n v="8"/>
    <n v="598.22"/>
    <n v="0.37"/>
    <n v="3507.68"/>
    <n v="1290.6400000000001"/>
    <n v="67.180000000000007"/>
    <s v="UPI"/>
    <x v="1"/>
    <b v="0"/>
    <x v="1"/>
    <n v="7"/>
  </r>
  <r>
    <s v="ORD-03743"/>
    <x v="195"/>
    <x v="195"/>
    <s v="CUST19488"/>
    <s v="Arjun Singh"/>
    <n v="39"/>
    <s v="Male"/>
    <x v="4"/>
    <s v="Kochi"/>
    <x v="3"/>
    <s v="Biography"/>
    <n v="10"/>
    <n v="483.9"/>
    <n v="0.06"/>
    <n v="6763.93"/>
    <n v="3499.59"/>
    <n v="70.77"/>
    <s v="EMI"/>
    <x v="0"/>
    <b v="0"/>
    <x v="4"/>
    <n v="3"/>
  </r>
  <r>
    <s v="ORD-01955"/>
    <x v="1380"/>
    <x v="1380"/>
    <s v="CUST76793"/>
    <s v="Arjun Iyer"/>
    <n v="28"/>
    <s v="Male"/>
    <x v="0"/>
    <s v="Bhopal"/>
    <x v="5"/>
    <s v="Smartwatch"/>
    <n v="4"/>
    <n v="17943.13"/>
    <n v="0.05"/>
    <n v="95732.21"/>
    <n v="10497.7"/>
    <n v="76.28"/>
    <s v="Debit Card"/>
    <x v="1"/>
    <b v="0"/>
    <x v="1"/>
    <n v="3"/>
  </r>
  <r>
    <s v="ORD-00903"/>
    <x v="1381"/>
    <x v="1381"/>
    <s v="CUST30562"/>
    <s v="Shreya Bose"/>
    <n v="46"/>
    <s v="Female"/>
    <x v="1"/>
    <s v="Mumbai"/>
    <x v="0"/>
    <s v="Flour"/>
    <n v="6"/>
    <n v="442.45"/>
    <n v="0.28000000000000003"/>
    <n v="1791.03"/>
    <n v="144.22"/>
    <n v="60.22"/>
    <s v="EMI"/>
    <x v="3"/>
    <b v="0"/>
    <x v="3"/>
    <n v="1"/>
  </r>
  <r>
    <s v="ORD-03047"/>
    <x v="1382"/>
    <x v="1382"/>
    <s v="CUST16193"/>
    <s v="Kavya Kapoor"/>
    <n v="34"/>
    <s v="Other"/>
    <x v="2"/>
    <s v="Chandigarh"/>
    <x v="6"/>
    <s v="Tennis Racket"/>
    <n v="10"/>
    <n v="12222.2"/>
    <n v="0.28000000000000003"/>
    <n v="131369.75"/>
    <n v="28537.32"/>
    <n v="26.86"/>
    <s v="Debit Card"/>
    <x v="1"/>
    <b v="0"/>
    <x v="1"/>
    <n v="8"/>
  </r>
  <r>
    <s v="ORD-02998"/>
    <x v="1302"/>
    <x v="1302"/>
    <s v="CUST44251"/>
    <s v="Amit Bose"/>
    <n v="38"/>
    <s v="Female"/>
    <x v="2"/>
    <s v="Delhi"/>
    <x v="6"/>
    <s v="Cycle"/>
    <n v="7"/>
    <n v="14576.84"/>
    <n v="0.04"/>
    <n v="162740.76"/>
    <n v="34015.33"/>
    <n v="54.66"/>
    <s v="Credit Card"/>
    <x v="0"/>
    <b v="0"/>
    <x v="4"/>
    <n v="4"/>
  </r>
  <r>
    <s v="ORD-01779"/>
    <x v="1274"/>
    <x v="1274"/>
    <s v="CUST52985"/>
    <s v="Karan Mehta"/>
    <n v="12"/>
    <s v="Female"/>
    <x v="3"/>
    <s v="Patna"/>
    <x v="2"/>
    <s v="Desk"/>
    <n v="6"/>
    <n v="9814.26"/>
    <n v="0.23"/>
    <n v="39342.720000000001"/>
    <n v="8877.9500000000007"/>
    <n v="54.67"/>
    <s v="UPI"/>
    <x v="4"/>
    <b v="1"/>
    <x v="0"/>
    <n v="8"/>
  </r>
  <r>
    <s v="ORD-00832"/>
    <x v="1101"/>
    <x v="1101"/>
    <s v="CUST36178"/>
    <s v="Shreya Reddy"/>
    <n v="43"/>
    <s v="Male"/>
    <x v="4"/>
    <s v="Bangalore"/>
    <x v="2"/>
    <s v="Sofa"/>
    <n v="10"/>
    <n v="15368.38"/>
    <n v="0.3"/>
    <n v="93128.19"/>
    <n v="25001.119999999999"/>
    <n v="71.290000000000006"/>
    <s v="UPI"/>
    <x v="3"/>
    <b v="0"/>
    <x v="1"/>
    <n v="6"/>
  </r>
  <r>
    <s v="ORD-02180"/>
    <x v="345"/>
    <x v="345"/>
    <s v="CUST97256"/>
    <s v="Sanjay Sharma"/>
    <n v="50"/>
    <s v="Male"/>
    <x v="2"/>
    <s v="Ludhiana"/>
    <x v="5"/>
    <s v="Laptop"/>
    <n v="6"/>
    <n v="6117.71"/>
    <n v="0.16"/>
    <n v="40557.08"/>
    <n v="4428.08"/>
    <n v="28.16"/>
    <s v="Debit Card"/>
    <x v="0"/>
    <b v="0"/>
    <x v="4"/>
    <n v="4"/>
  </r>
  <r>
    <s v="ORD-03884"/>
    <x v="530"/>
    <x v="530"/>
    <s v="CUST63006"/>
    <s v="Karan Bose"/>
    <n v="36"/>
    <s v="Other"/>
    <x v="0"/>
    <s v="Indore"/>
    <x v="0"/>
    <s v="Flour"/>
    <n v="2"/>
    <n v="66.77"/>
    <n v="0.01"/>
    <n v="216.47"/>
    <n v="11.57"/>
    <n v="50.95"/>
    <s v="Cash on Delivery"/>
    <x v="0"/>
    <b v="0"/>
    <x v="1"/>
    <n v="8"/>
  </r>
  <r>
    <s v="ORD-00650"/>
    <x v="1383"/>
    <x v="1383"/>
    <s v="CUST76163"/>
    <s v="Karan Reddy"/>
    <n v="34"/>
    <s v="Other"/>
    <x v="4"/>
    <s v="Hyderabad"/>
    <x v="6"/>
    <s v="Cricket Bat"/>
    <n v="6"/>
    <n v="8844.24"/>
    <n v="0.21"/>
    <n v="44980.54"/>
    <n v="12774.01"/>
    <n v="53.01"/>
    <s v="Credit Card"/>
    <x v="2"/>
    <b v="0"/>
    <x v="1"/>
    <n v="1"/>
  </r>
  <r>
    <s v="ORD-00328"/>
    <x v="1036"/>
    <x v="1036"/>
    <s v="CUST60147"/>
    <s v="Pooja Nair"/>
    <n v="33"/>
    <s v="Other"/>
    <x v="2"/>
    <s v="Amritsar"/>
    <x v="5"/>
    <s v="Smartwatch"/>
    <n v="9"/>
    <n v="45918.69"/>
    <n v="0.28999999999999998"/>
    <n v="357689.69"/>
    <n v="29447.82"/>
    <n v="48.88"/>
    <s v="Net Banking"/>
    <x v="2"/>
    <b v="0"/>
    <x v="1"/>
    <n v="6"/>
  </r>
  <r>
    <s v="ORD-02273"/>
    <x v="363"/>
    <x v="363"/>
    <s v="CUST71816"/>
    <s v="Nisha Verma"/>
    <n v="36"/>
    <s v="Female"/>
    <x v="0"/>
    <s v="Nagpur"/>
    <x v="3"/>
    <s v="Textbook"/>
    <n v="9"/>
    <n v="1131.92"/>
    <n v="0.12"/>
    <n v="10966.62"/>
    <n v="3680.22"/>
    <n v="39.840000000000003"/>
    <s v="EMI"/>
    <x v="0"/>
    <b v="0"/>
    <x v="1"/>
    <n v="7"/>
  </r>
  <r>
    <s v="ORD-01865"/>
    <x v="418"/>
    <x v="418"/>
    <s v="CUST36542"/>
    <s v="Sanjay Bhat"/>
    <n v="44"/>
    <s v="Female"/>
    <x v="2"/>
    <s v="Chandigarh"/>
    <x v="5"/>
    <s v="Laptop"/>
    <n v="6"/>
    <n v="8309.27"/>
    <n v="0.28000000000000003"/>
    <n v="51030.14"/>
    <n v="6755.64"/>
    <n v="53.74"/>
    <s v="Debit Card"/>
    <x v="1"/>
    <b v="0"/>
    <x v="1"/>
    <n v="8"/>
  </r>
  <r>
    <s v="ORD-03447"/>
    <x v="695"/>
    <x v="695"/>
    <s v="CUST05925"/>
    <s v="Aditya Kapoor"/>
    <n v="53"/>
    <s v="Female"/>
    <x v="2"/>
    <s v="Amritsar"/>
    <x v="4"/>
    <s v="Kurta"/>
    <n v="9"/>
    <n v="1260.1600000000001"/>
    <n v="0.28999999999999998"/>
    <n v="9260.74"/>
    <n v="1885.34"/>
    <n v="43.16"/>
    <s v="Debit Card"/>
    <x v="0"/>
    <b v="0"/>
    <x v="1"/>
    <n v="3"/>
  </r>
  <r>
    <s v="ORD-01126"/>
    <x v="767"/>
    <x v="767"/>
    <s v="CUST35386"/>
    <s v="Meera Sharma"/>
    <n v="43"/>
    <s v="Female"/>
    <x v="2"/>
    <s v="Ludhiana"/>
    <x v="4"/>
    <s v="Jeans"/>
    <n v="7"/>
    <n v="2698.4"/>
    <n v="0.21"/>
    <n v="23690.17"/>
    <n v="9129.7000000000007"/>
    <n v="40.03"/>
    <s v="UPI"/>
    <x v="2"/>
    <b v="0"/>
    <x v="1"/>
    <n v="4"/>
  </r>
  <r>
    <s v="ORD-01509"/>
    <x v="1384"/>
    <x v="1384"/>
    <s v="CUST01750"/>
    <s v="Nikhil Pillai"/>
    <n v="49"/>
    <s v="Male"/>
    <x v="1"/>
    <s v="Mumbai"/>
    <x v="1"/>
    <s v="Face Cream"/>
    <n v="2"/>
    <n v="1889.82"/>
    <n v="0.31"/>
    <n v="2196.85"/>
    <n v="602"/>
    <n v="54.82"/>
    <s v="EMI"/>
    <x v="1"/>
    <b v="0"/>
    <x v="1"/>
    <n v="6"/>
  </r>
  <r>
    <s v="ORD-00301"/>
    <x v="1241"/>
    <x v="1241"/>
    <s v="CUST15889"/>
    <s v="Sunita Chatterjee"/>
    <n v="26"/>
    <s v="Female"/>
    <x v="0"/>
    <s v="Raipur"/>
    <x v="5"/>
    <s v="Headphones"/>
    <n v="8"/>
    <n v="40911.480000000003"/>
    <n v="0.09"/>
    <n v="361315.62"/>
    <n v="40799.74"/>
    <n v="67.150000000000006"/>
    <s v="Debit Card"/>
    <x v="4"/>
    <b v="0"/>
    <x v="1"/>
    <n v="4"/>
  </r>
  <r>
    <s v="ORD-01048"/>
    <x v="48"/>
    <x v="48"/>
    <s v="CUST60742"/>
    <s v="Aarav Nair"/>
    <n v="45"/>
    <s v="Other"/>
    <x v="2"/>
    <s v="Delhi"/>
    <x v="6"/>
    <s v="Yoga Mat"/>
    <n v="9"/>
    <n v="11805.28"/>
    <n v="0.27"/>
    <n v="86430.39"/>
    <n v="29866.83"/>
    <n v="49.92"/>
    <s v="Cash on Delivery"/>
    <x v="4"/>
    <b v="0"/>
    <x v="1"/>
    <n v="8"/>
  </r>
  <r>
    <s v="ORD-00261"/>
    <x v="657"/>
    <x v="657"/>
    <s v="CUST73139"/>
    <s v="Ananya Iyer"/>
    <n v="34"/>
    <s v="Female"/>
    <x v="4"/>
    <s v="Chennai"/>
    <x v="6"/>
    <s v="Tennis Racket"/>
    <n v="2"/>
    <n v="3013.7"/>
    <n v="0.11"/>
    <n v="5709.63"/>
    <n v="1988.95"/>
    <n v="55.35"/>
    <s v="UPI"/>
    <x v="4"/>
    <b v="0"/>
    <x v="1"/>
    <n v="10"/>
  </r>
  <r>
    <s v="ORD-02272"/>
    <x v="12"/>
    <x v="12"/>
    <s v="CUST73221"/>
    <s v="Deepa Patel"/>
    <n v="28"/>
    <s v="Male"/>
    <x v="2"/>
    <s v="Chandigarh"/>
    <x v="1"/>
    <s v="Sunscreen"/>
    <n v="10"/>
    <n v="537.83000000000004"/>
    <n v="0.23"/>
    <n v="4825.68"/>
    <n v="2340.29"/>
    <n v="51.8"/>
    <s v="Net Banking"/>
    <x v="1"/>
    <b v="0"/>
    <x v="1"/>
    <n v="10"/>
  </r>
  <r>
    <s v="ORD-03533"/>
    <x v="1378"/>
    <x v="1378"/>
    <s v="CUST80821"/>
    <s v="Nisha Pillai"/>
    <n v="27"/>
    <s v="Other"/>
    <x v="4"/>
    <s v="Hyderabad"/>
    <x v="1"/>
    <s v="Lipstick"/>
    <n v="3"/>
    <n v="1642.41"/>
    <n v="0.08"/>
    <n v="5813.31"/>
    <n v="2075.4499999999998"/>
    <n v="71.2"/>
    <s v="UPI"/>
    <x v="0"/>
    <b v="1"/>
    <x v="0"/>
    <n v="5"/>
  </r>
  <r>
    <s v="ORD-01909"/>
    <x v="432"/>
    <x v="432"/>
    <s v="CUST04537"/>
    <s v="Meera Sharma"/>
    <n v="37"/>
    <s v="Other"/>
    <x v="2"/>
    <s v="Amritsar"/>
    <x v="3"/>
    <s v="Cook Book"/>
    <n v="10"/>
    <n v="549.69000000000005"/>
    <n v="0.15"/>
    <n v="6379.06"/>
    <n v="2818.11"/>
    <n v="41.87"/>
    <s v="EMI"/>
    <x v="3"/>
    <b v="1"/>
    <x v="0"/>
    <n v="5"/>
  </r>
  <r>
    <s v="ORD-01080"/>
    <x v="381"/>
    <x v="381"/>
    <s v="CUST75006"/>
    <s v="Aditya Mehta"/>
    <n v="38"/>
    <s v="Female"/>
    <x v="0"/>
    <s v="Nagpur"/>
    <x v="1"/>
    <s v="Sunscreen"/>
    <n v="9"/>
    <n v="1894.31"/>
    <n v="0.16"/>
    <n v="22532.03"/>
    <n v="10031.98"/>
    <n v="58.22"/>
    <s v="EMI"/>
    <x v="2"/>
    <b v="0"/>
    <x v="2"/>
    <n v="4"/>
  </r>
  <r>
    <s v="ORD-00480"/>
    <x v="626"/>
    <x v="626"/>
    <s v="CUST64893"/>
    <s v="Nikhil Kumar"/>
    <n v="41"/>
    <s v="Female"/>
    <x v="1"/>
    <s v="Surat"/>
    <x v="1"/>
    <s v="Sunscreen"/>
    <n v="1"/>
    <n v="765.68"/>
    <n v="0.21"/>
    <n v="780.12"/>
    <n v="338.31"/>
    <n v="66.83"/>
    <s v="Cash on Delivery"/>
    <x v="2"/>
    <b v="0"/>
    <x v="1"/>
    <n v="1"/>
  </r>
  <r>
    <s v="ORD-03883"/>
    <x v="530"/>
    <x v="530"/>
    <s v="CUST62193"/>
    <s v="Aarav Kumar"/>
    <n v="45"/>
    <s v="Female"/>
    <x v="0"/>
    <s v="Raipur"/>
    <x v="5"/>
    <s v="Smartwatch"/>
    <n v="9"/>
    <n v="15767.46"/>
    <n v="0.02"/>
    <n v="198910.86"/>
    <n v="22958.1"/>
    <n v="44.62"/>
    <s v="Credit Card"/>
    <x v="0"/>
    <b v="1"/>
    <x v="0"/>
    <n v="6"/>
  </r>
  <r>
    <s v="ORD-01340"/>
    <x v="61"/>
    <x v="61"/>
    <s v="CUST16922"/>
    <s v="Deepa Gupta"/>
    <n v="32"/>
    <s v="Female"/>
    <x v="4"/>
    <s v="Chennai"/>
    <x v="1"/>
    <s v="Hair Oil"/>
    <n v="4"/>
    <n v="154.86000000000001"/>
    <n v="0.33"/>
    <n v="476.99"/>
    <n v="235.99"/>
    <n v="64.400000000000006"/>
    <s v="Debit Card"/>
    <x v="0"/>
    <b v="0"/>
    <x v="1"/>
    <n v="100"/>
  </r>
  <r>
    <s v="ORD-02424"/>
    <x v="1322"/>
    <x v="1322"/>
    <s v="CUST76878"/>
    <s v="Deepa Chatterjee"/>
    <n v="25"/>
    <s v="Other"/>
    <x v="4"/>
    <s v="Kochi"/>
    <x v="4"/>
    <s v="Dress"/>
    <n v="7"/>
    <n v="1668.16"/>
    <n v="0.14000000000000001"/>
    <n v="9181.91"/>
    <n v="2178.6799999999998"/>
    <n v="85.58"/>
    <s v="UPI"/>
    <x v="0"/>
    <b v="0"/>
    <x v="1"/>
    <n v="7"/>
  </r>
  <r>
    <s v="ORD-00513"/>
    <x v="719"/>
    <x v="719"/>
    <s v="CUST92623"/>
    <s v="Deepa Kapoor"/>
    <n v="44"/>
    <s v="Male"/>
    <x v="2"/>
    <s v="Delhi"/>
    <x v="4"/>
    <s v="Kurta"/>
    <n v="8"/>
    <n v="310.3"/>
    <n v="0.25"/>
    <n v="2033.35"/>
    <n v="737.69"/>
    <n v="67.739999999999995"/>
    <s v="Credit Card"/>
    <x v="3"/>
    <b v="0"/>
    <x v="1"/>
    <n v="1"/>
  </r>
  <r>
    <s v="ORD-00871"/>
    <x v="954"/>
    <x v="954"/>
    <s v="CUST03293"/>
    <s v="Nikhil Singh"/>
    <n v="56"/>
    <s v="Other"/>
    <x v="1"/>
    <s v="Ahmedabad"/>
    <x v="4"/>
    <s v="Jeans"/>
    <n v="9"/>
    <n v="3487.25"/>
    <n v="0.28000000000000003"/>
    <n v="17823.41"/>
    <n v="4665.95"/>
    <n v="82.7"/>
    <s v="Cash on Delivery"/>
    <x v="0"/>
    <b v="0"/>
    <x v="2"/>
    <n v="1"/>
  </r>
  <r>
    <s v="ORD-03951"/>
    <x v="973"/>
    <x v="973"/>
    <s v="CUST33825"/>
    <s v="Shreya Pillai"/>
    <n v="50"/>
    <s v="Other"/>
    <x v="4"/>
    <s v="Bangalore"/>
    <x v="2"/>
    <s v="Bed Frame"/>
    <n v="10"/>
    <n v="26635.98"/>
    <n v="0.06"/>
    <n v="367560.6"/>
    <n v="78146.62"/>
    <n v="68.75"/>
    <s v="UPI"/>
    <x v="0"/>
    <b v="0"/>
    <x v="2"/>
    <n v="1"/>
  </r>
  <r>
    <s v="ORD-02460"/>
    <x v="1181"/>
    <x v="1181"/>
    <s v="CUST99353"/>
    <s v="Kavya Patel"/>
    <n v="53"/>
    <s v="Other"/>
    <x v="4"/>
    <s v="Kochi"/>
    <x v="2"/>
    <s v="Sofa"/>
    <n v="8"/>
    <n v="18080.060000000001"/>
    <n v="0.05"/>
    <n v="115257.52"/>
    <n v="35354.74"/>
    <n v="73.790000000000006"/>
    <s v="Credit Card"/>
    <x v="2"/>
    <b v="0"/>
    <x v="2"/>
    <n v="8"/>
  </r>
  <r>
    <s v="ORD-03672"/>
    <x v="650"/>
    <x v="650"/>
    <s v="CUST50417"/>
    <s v="Ananya Pillai"/>
    <n v="31"/>
    <s v="Female"/>
    <x v="1"/>
    <s v="Surat"/>
    <x v="0"/>
    <s v="Dal (1kg)"/>
    <n v="9"/>
    <n v="452.08"/>
    <n v="0.37"/>
    <n v="4593.7"/>
    <n v="347.56"/>
    <n v="25.04"/>
    <s v="EMI"/>
    <x v="0"/>
    <b v="1"/>
    <x v="0"/>
    <n v="8"/>
  </r>
  <r>
    <s v="ORD-01900"/>
    <x v="1385"/>
    <x v="1385"/>
    <s v="CUST41577"/>
    <s v="Aditya Pillai"/>
    <n v="44"/>
    <s v="Other"/>
    <x v="1"/>
    <s v="Ahmedabad"/>
    <x v="5"/>
    <s v="Tablet"/>
    <n v="4"/>
    <n v="77381.070000000007"/>
    <n v="0.18"/>
    <n v="364698.74"/>
    <n v="37606.07"/>
    <n v="56.99"/>
    <s v="Net Banking"/>
    <x v="2"/>
    <b v="0"/>
    <x v="1"/>
    <n v="3"/>
  </r>
  <r>
    <s v="ORD-01401"/>
    <x v="984"/>
    <x v="984"/>
    <s v="CUST40146"/>
    <s v="Sanjay Mehta"/>
    <n v="22"/>
    <s v="Female"/>
    <x v="4"/>
    <s v="Bangalore"/>
    <x v="1"/>
    <s v="Lipstick"/>
    <n v="6"/>
    <n v="669.59"/>
    <n v="0.13"/>
    <n v="3355.53"/>
    <n v="1841.16"/>
    <n v="75.650000000000006"/>
    <s v="Net Banking"/>
    <x v="0"/>
    <b v="0"/>
    <x v="1"/>
    <n v="9"/>
  </r>
  <r>
    <s v="ORD-02311"/>
    <x v="927"/>
    <x v="927"/>
    <s v="CUST01001"/>
    <s v="Karan Sharma"/>
    <n v="44"/>
    <s v="Male"/>
    <x v="2"/>
    <s v="Amritsar"/>
    <x v="2"/>
    <s v="Bed Frame"/>
    <n v="3"/>
    <n v="27210.05"/>
    <n v="0.19"/>
    <n v="62722.39"/>
    <n v="17708.259999999998"/>
    <n v="59.37"/>
    <s v="Net Banking"/>
    <x v="3"/>
    <b v="0"/>
    <x v="1"/>
    <n v="3"/>
  </r>
  <r>
    <s v="ORD-02582"/>
    <x v="883"/>
    <x v="883"/>
    <s v="CUST82185"/>
    <s v="Ananya Shah"/>
    <n v="5"/>
    <s v="Male"/>
    <x v="2"/>
    <s v="Ludhiana"/>
    <x v="0"/>
    <s v="Dal (1kg)"/>
    <n v="7"/>
    <n v="339.27"/>
    <n v="0.26"/>
    <n v="1329.9"/>
    <n v="86.12"/>
    <n v="73.680000000000007"/>
    <s v="Credit Card"/>
    <x v="4"/>
    <b v="0"/>
    <x v="1"/>
    <n v="4"/>
  </r>
  <r>
    <s v="ORD-01062"/>
    <x v="1021"/>
    <x v="1021"/>
    <s v="CUST17327"/>
    <s v="Deepa Patel"/>
    <n v="35"/>
    <s v="Female"/>
    <x v="0"/>
    <s v="Indore"/>
    <x v="1"/>
    <s v="Face Cream"/>
    <n v="7"/>
    <n v="2147.13"/>
    <n v="0.14000000000000001"/>
    <n v="15222.32"/>
    <n v="7449.79"/>
    <n v="44.3"/>
    <s v="EMI"/>
    <x v="4"/>
    <b v="1"/>
    <x v="0"/>
    <n v="6"/>
  </r>
  <r>
    <s v="ORD-03522"/>
    <x v="15"/>
    <x v="15"/>
    <s v="CUST10582"/>
    <s v="Vikram Joshi"/>
    <n v="28"/>
    <s v="Other"/>
    <x v="2"/>
    <s v="Chandigarh"/>
    <x v="4"/>
    <s v="Jeans"/>
    <n v="3"/>
    <n v="1169.5899999999999"/>
    <n v="0.08"/>
    <n v="4785.04"/>
    <n v="1679.66"/>
    <n v="39.22"/>
    <s v="Credit Card"/>
    <x v="0"/>
    <b v="0"/>
    <x v="3"/>
    <n v="9"/>
  </r>
  <r>
    <s v="ORD-03523"/>
    <x v="15"/>
    <x v="15"/>
    <s v="CUST64913"/>
    <s v="Deepa Shah"/>
    <n v="25"/>
    <s v="Male"/>
    <x v="3"/>
    <s v="Bhubaneswar"/>
    <x v="1"/>
    <s v="Lipstick"/>
    <n v="8"/>
    <n v="2047.88"/>
    <n v="0.33"/>
    <n v="14345.76"/>
    <n v="7218"/>
    <n v="91.61"/>
    <s v="UPI"/>
    <x v="2"/>
    <b v="0"/>
    <x v="1"/>
    <n v="7"/>
  </r>
  <r>
    <s v="ORD-02775"/>
    <x v="102"/>
    <x v="102"/>
    <s v="CUST34245"/>
    <s v="Kavya Singh"/>
    <n v="24"/>
    <s v="Other"/>
    <x v="0"/>
    <s v="Raipur"/>
    <x v="0"/>
    <s v="Rice (5kg)"/>
    <n v="9"/>
    <n v="116.77"/>
    <n v="0.32"/>
    <n v="1063.93"/>
    <n v="79.45"/>
    <n v="52.95"/>
    <s v="Debit Card"/>
    <x v="0"/>
    <b v="0"/>
    <x v="1"/>
    <n v="1"/>
  </r>
  <r>
    <s v="ORD-01134"/>
    <x v="792"/>
    <x v="792"/>
    <s v="CUST08345"/>
    <s v="Deepa Bhat"/>
    <n v="46"/>
    <s v="Female"/>
    <x v="1"/>
    <s v="Pune"/>
    <x v="4"/>
    <s v="T-Shirt"/>
    <n v="1"/>
    <n v="1888.98"/>
    <n v="0.35"/>
    <n v="2013.48"/>
    <n v="657.59"/>
    <n v="53.7"/>
    <s v="Credit Card"/>
    <x v="3"/>
    <b v="0"/>
    <x v="1"/>
    <n v="7"/>
  </r>
  <r>
    <s v="ORD-00802"/>
    <x v="415"/>
    <x v="415"/>
    <s v="CUST38432"/>
    <s v="Rahul Joshi"/>
    <n v="23"/>
    <s v="Female"/>
    <x v="0"/>
    <s v="Nagpur"/>
    <x v="6"/>
    <s v="Cricket Bat"/>
    <n v="3"/>
    <n v="642.91"/>
    <n v="0.33"/>
    <n v="879.77"/>
    <n v="176.34"/>
    <n v="61.52"/>
    <s v="Debit Card"/>
    <x v="3"/>
    <b v="1"/>
    <x v="0"/>
    <n v="6"/>
  </r>
  <r>
    <s v="ORD-02178"/>
    <x v="380"/>
    <x v="380"/>
    <s v="CUST85408"/>
    <s v="Nisha Chatterjee"/>
    <n v="64"/>
    <s v="Female"/>
    <x v="4"/>
    <s v="Bangalore"/>
    <x v="3"/>
    <s v="Biography"/>
    <n v="5"/>
    <n v="923.72"/>
    <n v="0.19"/>
    <n v="4931.75"/>
    <n v="2749.25"/>
    <n v="63.68"/>
    <s v="Net Banking"/>
    <x v="3"/>
    <b v="1"/>
    <x v="0"/>
    <n v="1"/>
  </r>
  <r>
    <s v="ORD-01815"/>
    <x v="1178"/>
    <x v="1178"/>
    <s v="CUST92618"/>
    <s v="Amit Pillai"/>
    <n v="44"/>
    <s v="Other"/>
    <x v="2"/>
    <s v="Chandigarh"/>
    <x v="4"/>
    <s v="Saree"/>
    <n v="2"/>
    <n v="348.61"/>
    <n v="0.37"/>
    <n v="468.08"/>
    <n v="156.44"/>
    <n v="76.849999999999994"/>
    <s v="EMI"/>
    <x v="0"/>
    <b v="0"/>
    <x v="1"/>
    <n v="6"/>
  </r>
  <r>
    <s v="ORD-00510"/>
    <x v="719"/>
    <x v="719"/>
    <s v="CUST90008"/>
    <s v="Deepa Nair"/>
    <n v="39"/>
    <s v="Other"/>
    <x v="2"/>
    <s v="Amritsar"/>
    <x v="0"/>
    <s v="Dal (1kg)"/>
    <n v="7"/>
    <n v="406.08"/>
    <n v="0.37"/>
    <n v="2000.38"/>
    <n v="109.82"/>
    <n v="1.6"/>
    <s v="Credit Card"/>
    <x v="1"/>
    <b v="0"/>
    <x v="1"/>
    <n v="7"/>
  </r>
  <r>
    <s v="ORD-02457"/>
    <x v="1386"/>
    <x v="1386"/>
    <s v="CUST32217"/>
    <s v="Rohan Reddy"/>
    <n v="24"/>
    <s v="Female"/>
    <x v="3"/>
    <s v="Patna"/>
    <x v="6"/>
    <s v="Yoga Mat"/>
    <n v="3"/>
    <n v="8281.49"/>
    <n v="0.28000000000000003"/>
    <n v="14650.55"/>
    <n v="4700.0200000000004"/>
    <n v="73.150000000000006"/>
    <s v="UPI"/>
    <x v="0"/>
    <b v="0"/>
    <x v="1"/>
    <n v="2"/>
  </r>
  <r>
    <s v="ORD-03632"/>
    <x v="603"/>
    <x v="603"/>
    <s v="CUST07289"/>
    <s v="Priya Gupta"/>
    <n v="26"/>
    <s v="Female"/>
    <x v="3"/>
    <s v="Patna"/>
    <x v="0"/>
    <s v="Flour"/>
    <n v="2"/>
    <n v="180.86"/>
    <n v="0.04"/>
    <n v="487.22"/>
    <n v="40.04"/>
    <n v="88.04"/>
    <s v="Credit Card"/>
    <x v="2"/>
    <b v="0"/>
    <x v="1"/>
    <n v="5"/>
  </r>
  <r>
    <s v="ORD-00725"/>
    <x v="296"/>
    <x v="296"/>
    <s v="CUST53613"/>
    <s v="Sanjay Mishra"/>
    <n v="40"/>
    <s v="Male"/>
    <x v="1"/>
    <s v="Ahmedabad"/>
    <x v="0"/>
    <s v="Rice (5kg)"/>
    <n v="7"/>
    <n v="486.89"/>
    <n v="0.23"/>
    <n v="1947.86"/>
    <n v="122.41"/>
    <n v="56.74"/>
    <s v="Debit Card"/>
    <x v="1"/>
    <b v="0"/>
    <x v="1"/>
    <n v="4"/>
  </r>
  <r>
    <s v="ORD-03726"/>
    <x v="724"/>
    <x v="724"/>
    <s v="CUST30497"/>
    <s v="Aarav Rao"/>
    <n v="47"/>
    <s v="Other"/>
    <x v="4"/>
    <s v="Chennai"/>
    <x v="1"/>
    <s v="Face Cream"/>
    <n v="4"/>
    <n v="1180.8399999999999"/>
    <n v="0.39"/>
    <n v="5917.92"/>
    <n v="3098.15"/>
    <n v="55.9"/>
    <s v="EMI"/>
    <x v="0"/>
    <b v="0"/>
    <x v="1"/>
    <n v="6"/>
  </r>
  <r>
    <s v="ORD-01856"/>
    <x v="1387"/>
    <x v="1387"/>
    <s v="CUST17816"/>
    <s v="Nisha Das"/>
    <n v="22"/>
    <s v="Other"/>
    <x v="3"/>
    <s v="Guwahati"/>
    <x v="5"/>
    <s v="Laptop"/>
    <n v="9"/>
    <n v="51210.29"/>
    <n v="0.26"/>
    <n v="431521.81"/>
    <n v="47793.41"/>
    <n v="80.02"/>
    <s v="EMI"/>
    <x v="0"/>
    <b v="0"/>
    <x v="1"/>
    <n v="7"/>
  </r>
  <r>
    <s v="ORD-03831"/>
    <x v="521"/>
    <x v="521"/>
    <s v="CUST20981"/>
    <s v="Pooja Gupta"/>
    <n v="37"/>
    <s v="Male"/>
    <x v="1"/>
    <s v="Ahmedabad"/>
    <x v="6"/>
    <s v="Cricket Bat"/>
    <n v="1"/>
    <n v="9065.16"/>
    <n v="0.15"/>
    <n v="13700.29"/>
    <n v="2690"/>
    <n v="73.709999999999994"/>
    <s v="Net Banking"/>
    <x v="2"/>
    <b v="0"/>
    <x v="1"/>
    <n v="4"/>
  </r>
  <r>
    <s v="ORD-01745"/>
    <x v="80"/>
    <x v="80"/>
    <s v="CUST00928"/>
    <s v="Arjun Shah"/>
    <n v="64"/>
    <s v="Other"/>
    <x v="0"/>
    <s v="Bhopal"/>
    <x v="2"/>
    <s v="Desk"/>
    <n v="9"/>
    <n v="20253.5"/>
    <n v="7.0000000000000007E-2"/>
    <n v="175221.15"/>
    <n v="57254.45"/>
    <n v="53.7"/>
    <s v="UPI"/>
    <x v="0"/>
    <b v="0"/>
    <x v="1"/>
    <n v="2"/>
  </r>
  <r>
    <s v="ORD-00067"/>
    <x v="920"/>
    <x v="920"/>
    <s v="CUST86021"/>
    <s v="Vikram Rao"/>
    <n v="49"/>
    <s v="Female"/>
    <x v="0"/>
    <s v="Nagpur"/>
    <x v="1"/>
    <s v="Sunscreen"/>
    <n v="4"/>
    <n v="969.74"/>
    <n v="0.21"/>
    <n v="2975.27"/>
    <n v="1113.6500000000001"/>
    <n v="41.6"/>
    <s v="UPI"/>
    <x v="3"/>
    <b v="0"/>
    <x v="1"/>
    <n v="6"/>
  </r>
  <r>
    <s v="ORD-00761"/>
    <x v="1078"/>
    <x v="1078"/>
    <s v="CUST55772"/>
    <s v="Priya Reddy"/>
    <n v="27"/>
    <s v="Other"/>
    <x v="4"/>
    <s v="Kochi"/>
    <x v="0"/>
    <s v="Flour"/>
    <n v="10"/>
    <n v="315.3"/>
    <n v="0.28999999999999998"/>
    <n v="1585.06"/>
    <n v="111.69"/>
    <n v="63.67"/>
    <s v="Debit Card"/>
    <x v="3"/>
    <b v="0"/>
    <x v="3"/>
    <n v="3"/>
  </r>
  <r>
    <s v="ORD-01397"/>
    <x v="1388"/>
    <x v="1388"/>
    <s v="CUST70416"/>
    <s v="Pooja Reddy"/>
    <n v="46"/>
    <s v="Other"/>
    <x v="0"/>
    <s v="Bhopal"/>
    <x v="3"/>
    <s v="Cook Book"/>
    <n v="3"/>
    <n v="1314.32"/>
    <n v="0.37"/>
    <n v="2667.9"/>
    <n v="1110.8900000000001"/>
    <n v="44.79"/>
    <s v="Cash on Delivery"/>
    <x v="0"/>
    <b v="0"/>
    <x v="2"/>
    <n v="5"/>
  </r>
  <r>
    <s v="ORD-01622"/>
    <x v="656"/>
    <x v="656"/>
    <s v="CUST32470"/>
    <s v="Deepa Rao"/>
    <n v="44"/>
    <s v="Male"/>
    <x v="0"/>
    <s v="Raipur"/>
    <x v="4"/>
    <s v="Kurta"/>
    <n v="7"/>
    <n v="2270"/>
    <n v="0.09"/>
    <n v="11066.01"/>
    <n v="3221.05"/>
    <n v="55.24"/>
    <s v="Cash on Delivery"/>
    <x v="1"/>
    <b v="0"/>
    <x v="1"/>
    <n v="8"/>
  </r>
  <r>
    <s v="ORD-00611"/>
    <x v="1389"/>
    <x v="1389"/>
    <s v="CUST98921"/>
    <s v="Pooja Joshi"/>
    <n v="54"/>
    <s v="Male"/>
    <x v="4"/>
    <s v="Kochi"/>
    <x v="2"/>
    <s v="Sofa"/>
    <n v="10"/>
    <n v="2744.45"/>
    <n v="0.38"/>
    <n v="17674.13"/>
    <n v="7107.97"/>
    <n v="63.51"/>
    <s v="Cash on Delivery"/>
    <x v="2"/>
    <b v="0"/>
    <x v="1"/>
    <n v="1"/>
  </r>
  <r>
    <s v="ORD-00679"/>
    <x v="1390"/>
    <x v="1390"/>
    <s v="CUST52083"/>
    <s v="Sunita Reddy"/>
    <n v="37"/>
    <s v="Other"/>
    <x v="3"/>
    <s v="Patna"/>
    <x v="1"/>
    <s v="Perfume"/>
    <n v="9"/>
    <n v="1906.76"/>
    <n v="0.36"/>
    <n v="8390.58"/>
    <n v="3960.36"/>
    <n v="91.4"/>
    <s v="Net Banking"/>
    <x v="2"/>
    <b v="0"/>
    <x v="4"/>
    <n v="3"/>
  </r>
  <r>
    <s v="ORD-02788"/>
    <x v="926"/>
    <x v="926"/>
    <s v="CUST95526"/>
    <s v="Karan Sharma"/>
    <n v="43"/>
    <s v="Male"/>
    <x v="2"/>
    <s v="Ludhiana"/>
    <x v="6"/>
    <s v="Yoga Mat"/>
    <n v="1"/>
    <n v="3242.71"/>
    <n v="0.34"/>
    <n v="3023"/>
    <n v="605.12"/>
    <n v="37.04"/>
    <s v="Cash on Delivery"/>
    <x v="0"/>
    <b v="0"/>
    <x v="1"/>
    <n v="2"/>
  </r>
  <r>
    <s v="ORD-00373"/>
    <x v="557"/>
    <x v="557"/>
    <s v="CUST27217"/>
    <s v="Nisha Gupta"/>
    <n v="34"/>
    <s v="Male"/>
    <x v="0"/>
    <s v="Raipur"/>
    <x v="2"/>
    <s v="Desk"/>
    <n v="4"/>
    <n v="26538.28"/>
    <n v="0.28000000000000003"/>
    <n v="110728.91"/>
    <n v="35173.480000000003"/>
    <n v="70.37"/>
    <s v="UPI"/>
    <x v="0"/>
    <b v="0"/>
    <x v="1"/>
    <n v="5"/>
  </r>
  <r>
    <s v="ORD-02159"/>
    <x v="873"/>
    <x v="873"/>
    <s v="CUST82127"/>
    <s v="Vikram Joshi"/>
    <n v="20"/>
    <s v="Female"/>
    <x v="1"/>
    <s v="Surat"/>
    <x v="1"/>
    <s v="Shampoo"/>
    <n v="6"/>
    <n v="2223.4"/>
    <n v="0.39"/>
    <n v="10336.77"/>
    <n v="4822.67"/>
    <n v="54.1"/>
    <s v="UPI"/>
    <x v="4"/>
    <b v="0"/>
    <x v="1"/>
    <n v="1"/>
  </r>
  <r>
    <s v="ORD-02125"/>
    <x v="648"/>
    <x v="648"/>
    <s v="CUST56134"/>
    <s v="Pooja Nair"/>
    <n v="33"/>
    <s v="Other"/>
    <x v="0"/>
    <s v="Bhopal"/>
    <x v="0"/>
    <s v="Dal (1kg)"/>
    <n v="4"/>
    <n v="63.82"/>
    <n v="0.37"/>
    <n v="257.56"/>
    <n v="22.21"/>
    <n v="49.45"/>
    <s v="UPI"/>
    <x v="2"/>
    <b v="1"/>
    <x v="0"/>
    <n v="10"/>
  </r>
  <r>
    <s v="ORD-03360"/>
    <x v="816"/>
    <x v="816"/>
    <s v="CUST69375"/>
    <s v="Pooja Verma"/>
    <n v="37"/>
    <s v="Male"/>
    <x v="3"/>
    <s v="Kolkata"/>
    <x v="5"/>
    <s v="Headphones"/>
    <n v="3"/>
    <n v="24262.65"/>
    <n v="0.02"/>
    <n v="65587.56"/>
    <n v="9960.8700000000008"/>
    <n v="61.25"/>
    <s v="Net Banking"/>
    <x v="3"/>
    <b v="0"/>
    <x v="1"/>
    <n v="10"/>
  </r>
  <r>
    <s v="ORD-02119"/>
    <x v="710"/>
    <x v="710"/>
    <s v="CUST07014"/>
    <s v="Rohan Iyer"/>
    <n v="21"/>
    <s v="Other"/>
    <x v="0"/>
    <s v="Raipur"/>
    <x v="6"/>
    <s v="Cycle"/>
    <n v="5"/>
    <n v="11099.1"/>
    <n v="0.05"/>
    <n v="82679.97"/>
    <n v="21389.61"/>
    <n v="42.92"/>
    <s v="EMI"/>
    <x v="3"/>
    <b v="0"/>
    <x v="1"/>
    <n v="7"/>
  </r>
  <r>
    <s v="ORD-02350"/>
    <x v="553"/>
    <x v="553"/>
    <s v="CUST49485"/>
    <s v="Sanjay Verma"/>
    <n v="47"/>
    <s v="Other"/>
    <x v="1"/>
    <s v="Surat"/>
    <x v="0"/>
    <s v="Flour"/>
    <n v="2"/>
    <n v="463.54"/>
    <n v="0.14000000000000001"/>
    <n v="751.49"/>
    <n v="62.99"/>
    <n v="75.64"/>
    <s v="Net Banking"/>
    <x v="1"/>
    <b v="0"/>
    <x v="1"/>
    <n v="2"/>
  </r>
  <r>
    <s v="ORD-01153"/>
    <x v="1391"/>
    <x v="1391"/>
    <s v="CUST24181"/>
    <s v="Vikram Chatterjee"/>
    <n v="57"/>
    <s v="Other"/>
    <x v="2"/>
    <s v="Chandigarh"/>
    <x v="2"/>
    <s v="Desk"/>
    <n v="7"/>
    <n v="16753.46"/>
    <n v="0.32"/>
    <n v="120954.22"/>
    <n v="36178.46"/>
    <n v="49.72"/>
    <s v="UPI"/>
    <x v="4"/>
    <b v="0"/>
    <x v="1"/>
    <n v="4"/>
  </r>
  <r>
    <s v="ORD-01716"/>
    <x v="820"/>
    <x v="820"/>
    <s v="CUST37025"/>
    <s v="Nikhil Joshi"/>
    <n v="36"/>
    <s v="Other"/>
    <x v="2"/>
    <s v="Ludhiana"/>
    <x v="6"/>
    <s v="Cricket Bat"/>
    <n v="3"/>
    <n v="1355.28"/>
    <n v="0.1"/>
    <n v="3611.47"/>
    <n v="631.16"/>
    <n v="55.05"/>
    <s v="Debit Card"/>
    <x v="0"/>
    <b v="0"/>
    <x v="1"/>
    <n v="3"/>
  </r>
  <r>
    <s v="ORD-03983"/>
    <x v="653"/>
    <x v="653"/>
    <s v="CUST90035"/>
    <s v="Kavya Nair"/>
    <n v="34"/>
    <s v="Other"/>
    <x v="3"/>
    <s v="Patna"/>
    <x v="5"/>
    <s v="Camera"/>
    <n v="1"/>
    <n v="52760.05"/>
    <n v="0.27"/>
    <n v="53395.11"/>
    <n v="6374.3"/>
    <n v="69.78"/>
    <s v="Cash on Delivery"/>
    <x v="0"/>
    <b v="0"/>
    <x v="1"/>
    <n v="5"/>
  </r>
  <r>
    <s v="ORD-00243"/>
    <x v="1392"/>
    <x v="1392"/>
    <s v="CUST09436"/>
    <s v="Deepa Nair"/>
    <n v="30"/>
    <s v="Male"/>
    <x v="4"/>
    <s v="Hyderabad"/>
    <x v="4"/>
    <s v="Dress"/>
    <n v="3"/>
    <n v="995.86"/>
    <n v="0.13"/>
    <n v="2883.96"/>
    <n v="919.54"/>
    <n v="83.09"/>
    <s v="Debit Card"/>
    <x v="3"/>
    <b v="1"/>
    <x v="0"/>
    <n v="3"/>
  </r>
  <r>
    <s v="ORD-03502"/>
    <x v="1297"/>
    <x v="1297"/>
    <s v="CUST00188"/>
    <s v="Arjun Kumar"/>
    <n v="39"/>
    <s v="Other"/>
    <x v="3"/>
    <s v="Patna"/>
    <x v="3"/>
    <s v="Textbook"/>
    <n v="4"/>
    <n v="838.86"/>
    <n v="0.21"/>
    <n v="4823.62"/>
    <n v="1699.36"/>
    <n v="91.38"/>
    <s v="UPI"/>
    <x v="1"/>
    <b v="0"/>
    <x v="1"/>
    <n v="1"/>
  </r>
  <r>
    <s v="ORD-00215"/>
    <x v="772"/>
    <x v="772"/>
    <s v="CUST24370"/>
    <s v="Priya Bhat"/>
    <n v="32"/>
    <s v="Male"/>
    <x v="2"/>
    <s v="Amritsar"/>
    <x v="0"/>
    <s v="Cooking Oil"/>
    <n v="4"/>
    <n v="274.86"/>
    <n v="0.34"/>
    <n v="738.23"/>
    <n v="64.05"/>
    <n v="67.36"/>
    <s v="UPI"/>
    <x v="3"/>
    <b v="0"/>
    <x v="1"/>
    <n v="2"/>
  </r>
  <r>
    <s v="ORD-01261"/>
    <x v="933"/>
    <x v="933"/>
    <s v="CUST72026"/>
    <s v="Aarav Bose"/>
    <n v="42"/>
    <s v="Other"/>
    <x v="3"/>
    <s v="Guwahati"/>
    <x v="5"/>
    <s v="Smartwatch"/>
    <n v="5"/>
    <n v="69372.740000000005"/>
    <n v="0.32"/>
    <n v="68226.259999999995"/>
    <n v="9165.4"/>
    <n v="102.31"/>
    <s v="Net Banking"/>
    <x v="0"/>
    <b v="0"/>
    <x v="1"/>
    <n v="8"/>
  </r>
  <r>
    <s v="ORD-02213"/>
    <x v="1393"/>
    <x v="1393"/>
    <s v="CUST26490"/>
    <s v="Arjun Bhat"/>
    <n v="28"/>
    <s v="Female"/>
    <x v="3"/>
    <s v="Guwahati"/>
    <x v="5"/>
    <s v="Headphones"/>
    <n v="1"/>
    <n v="51058.89"/>
    <n v="0.38"/>
    <n v="41545.589999999997"/>
    <n v="5436.55"/>
    <n v="71.72"/>
    <s v="Net Banking"/>
    <x v="3"/>
    <b v="1"/>
    <x v="0"/>
    <n v="5"/>
  </r>
  <r>
    <s v="ORD-00453"/>
    <x v="1109"/>
    <x v="1109"/>
    <s v="CUST16095"/>
    <s v="Sunita Das"/>
    <n v="14"/>
    <s v="Female"/>
    <x v="1"/>
    <s v="Ahmedabad"/>
    <x v="4"/>
    <s v="T-Shirt"/>
    <n v="5"/>
    <n v="526.99"/>
    <n v="0.37"/>
    <n v="2143.91"/>
    <n v="931.96"/>
    <n v="36.770000000000003"/>
    <s v="Debit Card"/>
    <x v="3"/>
    <b v="0"/>
    <x v="1"/>
    <n v="5"/>
  </r>
  <r>
    <s v="ORD-03933"/>
    <x v="567"/>
    <x v="567"/>
    <s v="CUST65920"/>
    <s v="Vikram Bose"/>
    <n v="30"/>
    <s v="Female"/>
    <x v="2"/>
    <s v="Amritsar"/>
    <x v="2"/>
    <s v="Desk"/>
    <n v="5"/>
    <n v="5015.22"/>
    <n v="0.23"/>
    <n v="28243.5"/>
    <n v="9170.82"/>
    <n v="35.020000000000003"/>
    <s v="EMI"/>
    <x v="0"/>
    <b v="0"/>
    <x v="1"/>
    <n v="10"/>
  </r>
  <r>
    <s v="ORD-01380"/>
    <x v="446"/>
    <x v="446"/>
    <s v="CUST11106"/>
    <s v="Rohan Reddy"/>
    <n v="37"/>
    <s v="Female"/>
    <x v="1"/>
    <s v="Surat"/>
    <x v="1"/>
    <s v="Sunscreen"/>
    <n v="6"/>
    <n v="386.4"/>
    <n v="0.05"/>
    <n v="2325.2199999999998"/>
    <n v="1189.6099999999999"/>
    <n v="40.659999999999997"/>
    <s v="Credit Card"/>
    <x v="4"/>
    <b v="0"/>
    <x v="1"/>
    <n v="10"/>
  </r>
  <r>
    <s v="ORD-02865"/>
    <x v="1150"/>
    <x v="1150"/>
    <s v="CUST23967"/>
    <s v="Kavya Shah"/>
    <n v="19"/>
    <s v="Male"/>
    <x v="3"/>
    <s v="Patna"/>
    <x v="5"/>
    <s v="Smartphone"/>
    <n v="1"/>
    <n v="11340.22"/>
    <n v="0.33"/>
    <n v="11399.21"/>
    <n v="1893.42"/>
    <n v="112.08"/>
    <s v="Credit Card"/>
    <x v="0"/>
    <b v="0"/>
    <x v="4"/>
    <n v="5"/>
  </r>
  <r>
    <s v="ORD-00424"/>
    <x v="135"/>
    <x v="135"/>
    <s v="CUST80538"/>
    <s v="Rahul Kumar"/>
    <n v="50"/>
    <s v="Other"/>
    <x v="1"/>
    <s v="Surat"/>
    <x v="1"/>
    <s v="Face Cream"/>
    <n v="8"/>
    <n v="122.16"/>
    <n v="0.04"/>
    <n v="1352.85"/>
    <n v="624.96"/>
    <n v="78.739999999999995"/>
    <s v="Credit Card"/>
    <x v="4"/>
    <b v="0"/>
    <x v="1"/>
    <n v="8"/>
  </r>
  <r>
    <s v="ORD-01795"/>
    <x v="1394"/>
    <x v="1394"/>
    <s v="CUST84855"/>
    <s v="Vikram Reddy"/>
    <n v="37"/>
    <s v="Female"/>
    <x v="2"/>
    <s v="Chandigarh"/>
    <x v="1"/>
    <s v="Shampoo"/>
    <n v="1"/>
    <n v="2287.88"/>
    <n v="0.13"/>
    <n v="2605.92"/>
    <n v="984.29"/>
    <n v="61"/>
    <s v="Cash on Delivery"/>
    <x v="0"/>
    <b v="0"/>
    <x v="1"/>
    <n v="10"/>
  </r>
  <r>
    <s v="ORD-02149"/>
    <x v="284"/>
    <x v="284"/>
    <s v="CUST84198"/>
    <s v="Priya Pillai"/>
    <n v="15"/>
    <s v="Female"/>
    <x v="4"/>
    <s v="Hyderabad"/>
    <x v="6"/>
    <s v="Football"/>
    <n v="3"/>
    <n v="7029.88"/>
    <n v="0"/>
    <n v="30080.080000000002"/>
    <n v="7677.44"/>
    <n v="83.89"/>
    <s v="EMI"/>
    <x v="3"/>
    <b v="0"/>
    <x v="4"/>
    <n v="10"/>
  </r>
  <r>
    <s v="ORD-01333"/>
    <x v="876"/>
    <x v="876"/>
    <s v="CUST98551"/>
    <s v="Aarav Verma"/>
    <n v="43"/>
    <s v="Female"/>
    <x v="3"/>
    <s v="Patna"/>
    <x v="1"/>
    <s v="Face Cream"/>
    <n v="7"/>
    <n v="2072.71"/>
    <n v="0.36"/>
    <n v="11905.56"/>
    <n v="4495.7299999999996"/>
    <n v="76.63"/>
    <s v="UPI"/>
    <x v="1"/>
    <b v="0"/>
    <x v="1"/>
    <n v="9"/>
  </r>
  <r>
    <s v="ORD-02981"/>
    <x v="491"/>
    <x v="491"/>
    <s v="CUST16972"/>
    <s v="Amit Singh"/>
    <n v="59"/>
    <s v="Other"/>
    <x v="3"/>
    <s v="Kolkata"/>
    <x v="0"/>
    <s v="Dal (1kg)"/>
    <n v="1"/>
    <n v="420.19"/>
    <n v="0.04"/>
    <n v="592.96"/>
    <n v="70.709999999999994"/>
    <n v="40.340000000000003"/>
    <s v="Cash on Delivery"/>
    <x v="0"/>
    <b v="0"/>
    <x v="1"/>
    <n v="4"/>
  </r>
  <r>
    <s v="ORD-02677"/>
    <x v="1395"/>
    <x v="1395"/>
    <s v="CUST29585"/>
    <s v="Kavya Singh"/>
    <n v="28"/>
    <s v="Female"/>
    <x v="0"/>
    <s v="Indore"/>
    <x v="0"/>
    <s v="Tea"/>
    <n v="7"/>
    <n v="493.14"/>
    <n v="7.0000000000000007E-2"/>
    <n v="4089.53"/>
    <n v="366.06"/>
    <n v="60.87"/>
    <s v="Net Banking"/>
    <x v="0"/>
    <b v="0"/>
    <x v="4"/>
    <n v="2"/>
  </r>
  <r>
    <s v="ORD-01720"/>
    <x v="390"/>
    <x v="390"/>
    <s v="CUST86385"/>
    <s v="Priya Pillai"/>
    <n v="25"/>
    <s v="Other"/>
    <x v="0"/>
    <s v="Raipur"/>
    <x v="6"/>
    <s v="Dumbbells"/>
    <n v="5"/>
    <n v="5502.6"/>
    <n v="0.01"/>
    <n v="28294.84"/>
    <n v="8865.25"/>
    <n v="65.010000000000005"/>
    <s v="Cash on Delivery"/>
    <x v="2"/>
    <b v="0"/>
    <x v="1"/>
    <n v="4"/>
  </r>
  <r>
    <s v="ORD-01918"/>
    <x v="1069"/>
    <x v="1069"/>
    <s v="CUST04256"/>
    <s v="Ananya Bhat"/>
    <n v="35"/>
    <s v="Male"/>
    <x v="4"/>
    <s v="Bangalore"/>
    <x v="5"/>
    <s v="Smartphone"/>
    <n v="6"/>
    <n v="39743.58"/>
    <n v="0.06"/>
    <n v="290848.39"/>
    <n v="32188.69"/>
    <n v="78.099999999999994"/>
    <s v="UPI"/>
    <x v="1"/>
    <b v="0"/>
    <x v="1"/>
    <n v="45"/>
  </r>
  <r>
    <s v="ORD-01679"/>
    <x v="906"/>
    <x v="906"/>
    <s v="CUST27192"/>
    <s v="Karan Pillai"/>
    <n v="36"/>
    <s v="Female"/>
    <x v="4"/>
    <s v="Hyderabad"/>
    <x v="3"/>
    <s v="Textbook"/>
    <n v="7"/>
    <n v="903.3"/>
    <n v="0.22"/>
    <n v="4147.54"/>
    <n v="1984.59"/>
    <n v="55.08"/>
    <s v="UPI"/>
    <x v="3"/>
    <b v="0"/>
    <x v="1"/>
    <n v="3"/>
  </r>
  <r>
    <s v="ORD-00076"/>
    <x v="587"/>
    <x v="587"/>
    <s v="CUST67944"/>
    <s v="Vikram Singh"/>
    <n v="13"/>
    <s v="Other"/>
    <x v="0"/>
    <s v="Indore"/>
    <x v="6"/>
    <s v="Dumbbells"/>
    <n v="2"/>
    <n v="13459.3"/>
    <n v="0.24"/>
    <n v="17258.310000000001"/>
    <n v="2829"/>
    <n v="42.24"/>
    <s v="UPI"/>
    <x v="4"/>
    <b v="0"/>
    <x v="1"/>
    <n v="4"/>
  </r>
  <r>
    <s v="ORD-00684"/>
    <x v="522"/>
    <x v="522"/>
    <s v="CUST61978"/>
    <s v="Sanjay Kumar"/>
    <n v="39"/>
    <s v="Other"/>
    <x v="0"/>
    <s v="Indore"/>
    <x v="1"/>
    <s v="Face Cream"/>
    <n v="3"/>
    <n v="1239.17"/>
    <n v="0.37"/>
    <n v="1595.55"/>
    <n v="768.1"/>
    <n v="50.76"/>
    <s v="UPI"/>
    <x v="0"/>
    <b v="0"/>
    <x v="1"/>
    <n v="5"/>
  </r>
  <r>
    <s v="ORD-01786"/>
    <x v="817"/>
    <x v="817"/>
    <s v="CUST84190"/>
    <s v="Rohan Kapoor"/>
    <n v="26"/>
    <s v="Male"/>
    <x v="3"/>
    <s v="Bhubaneswar"/>
    <x v="1"/>
    <s v="Shampoo"/>
    <n v="5"/>
    <n v="2389.7800000000002"/>
    <n v="0.27"/>
    <n v="9862.27"/>
    <n v="4445.3"/>
    <n v="88.28"/>
    <s v="Credit Card"/>
    <x v="4"/>
    <b v="0"/>
    <x v="1"/>
    <n v="6"/>
  </r>
  <r>
    <s v="ORD-03011"/>
    <x v="563"/>
    <x v="563"/>
    <s v="CUST93010"/>
    <s v="Deepa Singh"/>
    <n v="35"/>
    <s v="Female"/>
    <x v="4"/>
    <s v="Hyderabad"/>
    <x v="6"/>
    <s v="Dumbbells"/>
    <n v="10"/>
    <n v="14369.58"/>
    <n v="0.19"/>
    <n v="155449.26999999999"/>
    <n v="43778.31"/>
    <n v="70.010000000000005"/>
    <s v="UPI"/>
    <x v="3"/>
    <b v="0"/>
    <x v="1"/>
    <n v="3"/>
  </r>
  <r>
    <s v="ORD-01092"/>
    <x v="903"/>
    <x v="903"/>
    <s v="CUST67703"/>
    <s v="Karan Kapoor"/>
    <n v="41"/>
    <s v="Male"/>
    <x v="4"/>
    <s v="Chennai"/>
    <x v="0"/>
    <s v="Sugar"/>
    <n v="7"/>
    <n v="299.11"/>
    <n v="0.28000000000000003"/>
    <n v="2191.0300000000002"/>
    <n v="148.75"/>
    <n v="87.79"/>
    <s v="Cash on Delivery"/>
    <x v="1"/>
    <b v="0"/>
    <x v="1"/>
    <n v="6"/>
  </r>
  <r>
    <s v="ORD-03226"/>
    <x v="1396"/>
    <x v="1396"/>
    <s v="CUST57729"/>
    <s v="Pooja Bhat"/>
    <n v="47"/>
    <s v="Male"/>
    <x v="0"/>
    <s v="Bhopal"/>
    <x v="6"/>
    <s v="Dumbbells"/>
    <n v="10"/>
    <n v="4956.92"/>
    <n v="0.26"/>
    <n v="37464.050000000003"/>
    <n v="10028.06"/>
    <n v="55.21"/>
    <s v="EMI"/>
    <x v="3"/>
    <b v="0"/>
    <x v="1"/>
    <n v="6"/>
  </r>
  <r>
    <s v="ORD-00935"/>
    <x v="1397"/>
    <x v="1397"/>
    <s v="CUST09173"/>
    <s v="Shreya Kumar"/>
    <n v="32"/>
    <s v="Female"/>
    <x v="2"/>
    <s v="Amritsar"/>
    <x v="2"/>
    <s v="Bed Frame"/>
    <n v="3"/>
    <n v="26021.42"/>
    <n v="0.06"/>
    <n v="58084.97"/>
    <n v="15110.03"/>
    <n v="29.22"/>
    <s v="Credit Card"/>
    <x v="0"/>
    <b v="0"/>
    <x v="1"/>
    <n v="1"/>
  </r>
  <r>
    <s v="ORD-01506"/>
    <x v="34"/>
    <x v="34"/>
    <s v="CUST86212"/>
    <s v="Priya Chatterjee"/>
    <n v="27"/>
    <s v="Male"/>
    <x v="3"/>
    <s v="Patna"/>
    <x v="3"/>
    <s v="Comic Book"/>
    <n v="9"/>
    <n v="1191.6199999999999"/>
    <n v="0.33"/>
    <n v="5257.68"/>
    <n v="2138.66"/>
    <n v="54.25"/>
    <s v="Net Banking"/>
    <x v="3"/>
    <b v="0"/>
    <x v="3"/>
    <n v="7"/>
  </r>
  <r>
    <s v="ORD-01833"/>
    <x v="748"/>
    <x v="748"/>
    <s v="CUST97409"/>
    <s v="Shreya Patel"/>
    <n v="27"/>
    <s v="Female"/>
    <x v="4"/>
    <s v="Hyderabad"/>
    <x v="3"/>
    <s v="Biography"/>
    <n v="5"/>
    <n v="845.02"/>
    <n v="0.38"/>
    <n v="3063.76"/>
    <n v="1423.14"/>
    <n v="65.17"/>
    <s v="EMI"/>
    <x v="0"/>
    <b v="0"/>
    <x v="1"/>
    <n v="7"/>
  </r>
  <r>
    <s v="ORD-02179"/>
    <x v="345"/>
    <x v="345"/>
    <s v="CUST70183"/>
    <s v="Rahul Sharma"/>
    <n v="34"/>
    <s v="Male"/>
    <x v="4"/>
    <s v="Chennai"/>
    <x v="4"/>
    <s v="Jeans"/>
    <n v="7"/>
    <n v="838.11"/>
    <n v="0.21"/>
    <n v="6198.3"/>
    <n v="2068.64"/>
    <n v="74.48"/>
    <s v="EMI"/>
    <x v="2"/>
    <b v="0"/>
    <x v="1"/>
    <n v="4"/>
  </r>
  <r>
    <s v="ORD-02086"/>
    <x v="751"/>
    <x v="751"/>
    <s v="CUST76981"/>
    <s v="Vikram Sharma"/>
    <n v="32"/>
    <s v="Male"/>
    <x v="1"/>
    <s v="Ahmedabad"/>
    <x v="2"/>
    <s v="Wardrobe"/>
    <n v="4"/>
    <n v="34455.300000000003"/>
    <n v="0.15"/>
    <n v="170405.41"/>
    <n v="53474.69"/>
    <n v="73.849999999999994"/>
    <s v="Cash on Delivery"/>
    <x v="4"/>
    <b v="0"/>
    <x v="1"/>
    <n v="8"/>
  </r>
  <r>
    <s v="ORD-01994"/>
    <x v="41"/>
    <x v="41"/>
    <s v="CUST77542"/>
    <s v="Kavya Kumar"/>
    <n v="29"/>
    <s v="Female"/>
    <x v="2"/>
    <s v="Delhi"/>
    <x v="1"/>
    <s v="Shampoo"/>
    <n v="1"/>
    <n v="737.47"/>
    <n v="0.08"/>
    <n v="972.44"/>
    <n v="502.12"/>
    <n v="86.32"/>
    <s v="Net Banking"/>
    <x v="0"/>
    <b v="0"/>
    <x v="1"/>
    <n v="10"/>
  </r>
  <r>
    <s v="ORD-02640"/>
    <x v="591"/>
    <x v="591"/>
    <s v="CUST79657"/>
    <s v="Vikram Nair"/>
    <n v="8"/>
    <s v="Male"/>
    <x v="4"/>
    <s v="Chennai"/>
    <x v="4"/>
    <s v="Jeans"/>
    <n v="10"/>
    <n v="1075.33"/>
    <n v="0.06"/>
    <n v="10581.42"/>
    <n v="3323.08"/>
    <n v="58.54"/>
    <s v="EMI"/>
    <x v="3"/>
    <b v="0"/>
    <x v="1"/>
    <n v="1"/>
  </r>
  <r>
    <s v="ORD-00666"/>
    <x v="434"/>
    <x v="434"/>
    <s v="CUST11287"/>
    <s v="Shreya Shah"/>
    <n v="26"/>
    <s v="Female"/>
    <x v="2"/>
    <s v="Delhi"/>
    <x v="6"/>
    <s v="Cycle"/>
    <n v="5"/>
    <n v="1900.51"/>
    <n v="0.24"/>
    <n v="5891.51"/>
    <n v="1237.06"/>
    <n v="31.46"/>
    <s v="Credit Card"/>
    <x v="4"/>
    <b v="0"/>
    <x v="1"/>
    <n v="10"/>
  </r>
  <r>
    <s v="ORD-01446"/>
    <x v="1398"/>
    <x v="1398"/>
    <s v="CUST71072"/>
    <s v="Aarav Chatterjee"/>
    <n v="34"/>
    <s v="Male"/>
    <x v="1"/>
    <s v="Mumbai"/>
    <x v="3"/>
    <s v="Biography"/>
    <n v="10"/>
    <n v="521.91"/>
    <n v="0.13"/>
    <n v="4198.2299999999996"/>
    <n v="1720.46"/>
    <n v="41.86"/>
    <s v="Debit Card"/>
    <x v="3"/>
    <b v="0"/>
    <x v="1"/>
    <n v="7"/>
  </r>
  <r>
    <s v="ORD-01573"/>
    <x v="1104"/>
    <x v="1104"/>
    <s v="CUST89799"/>
    <s v="Priya Iyer"/>
    <n v="43"/>
    <s v="Male"/>
    <x v="3"/>
    <s v="Guwahati"/>
    <x v="0"/>
    <s v="Tea"/>
    <n v="6"/>
    <n v="479.7"/>
    <n v="0.21"/>
    <n v="1769.61"/>
    <n v="138.58000000000001"/>
    <n v="81.02"/>
    <s v="Debit Card"/>
    <x v="4"/>
    <b v="0"/>
    <x v="1"/>
    <n v="4"/>
  </r>
  <r>
    <s v="ORD-02177"/>
    <x v="380"/>
    <x v="380"/>
    <s v="CUST13161"/>
    <s v="Sanjay Pillai"/>
    <n v="26"/>
    <s v="Male"/>
    <x v="0"/>
    <s v="Nagpur"/>
    <x v="6"/>
    <s v="Tennis Racket"/>
    <n v="3"/>
    <n v="13900.23"/>
    <n v="0.06"/>
    <n v="55053.72"/>
    <n v="12908.85"/>
    <n v="55.5"/>
    <s v="Credit Card"/>
    <x v="1"/>
    <b v="0"/>
    <x v="1"/>
    <n v="3"/>
  </r>
  <r>
    <s v="ORD-01727"/>
    <x v="411"/>
    <x v="411"/>
    <s v="CUST59056"/>
    <s v="Sanjay Chatterjee"/>
    <n v="48"/>
    <s v="Other"/>
    <x v="1"/>
    <s v="Pune"/>
    <x v="0"/>
    <s v="Dal (1kg)"/>
    <n v="9"/>
    <n v="220.51"/>
    <n v="0.21"/>
    <n v="1973.84"/>
    <n v="156.87"/>
    <n v="75.94"/>
    <s v="Debit Card"/>
    <x v="4"/>
    <b v="1"/>
    <x v="0"/>
    <n v="2"/>
  </r>
  <r>
    <s v="ORD-01816"/>
    <x v="1178"/>
    <x v="1178"/>
    <s v="CUST09358"/>
    <s v="Pooja Verma"/>
    <n v="47"/>
    <s v="Female"/>
    <x v="3"/>
    <s v="Kolkata"/>
    <x v="4"/>
    <s v="Dress"/>
    <n v="5"/>
    <n v="2706.32"/>
    <n v="0.18"/>
    <n v="2470.1799999999998"/>
    <n v="804.13"/>
    <n v="91.14"/>
    <s v="Credit Card"/>
    <x v="0"/>
    <b v="0"/>
    <x v="4"/>
    <n v="7"/>
  </r>
  <r>
    <s v="ORD-01231"/>
    <x v="236"/>
    <x v="236"/>
    <s v="CUST41296"/>
    <s v="Arjun Bhat"/>
    <n v="48"/>
    <s v="Female"/>
    <x v="4"/>
    <s v="Bangalore"/>
    <x v="4"/>
    <s v="Saree"/>
    <n v="2"/>
    <n v="796.71"/>
    <n v="0.25"/>
    <n v="1565.52"/>
    <n v="494.29"/>
    <n v="79.430000000000007"/>
    <s v="EMI"/>
    <x v="4"/>
    <b v="0"/>
    <x v="4"/>
    <n v="7"/>
  </r>
  <r>
    <s v="ORD-03928"/>
    <x v="388"/>
    <x v="388"/>
    <s v="CUST93025"/>
    <s v="Vikram Pillai"/>
    <n v="34"/>
    <s v="Female"/>
    <x v="1"/>
    <s v="Surat"/>
    <x v="3"/>
    <s v="Cook Book"/>
    <n v="9"/>
    <n v="545.35"/>
    <n v="0.1"/>
    <n v="6681.19"/>
    <n v="2838.94"/>
    <n v="63.95"/>
    <s v="Debit Card"/>
    <x v="3"/>
    <b v="1"/>
    <x v="0"/>
    <n v="4"/>
  </r>
  <r>
    <s v="ORD-00949"/>
    <x v="1399"/>
    <x v="1399"/>
    <s v="CUST62789"/>
    <s v="Nikhil Nair"/>
    <n v="22"/>
    <s v="Female"/>
    <x v="3"/>
    <s v="Guwahati"/>
    <x v="6"/>
    <s v="Football"/>
    <n v="1"/>
    <n v="12745.08"/>
    <n v="0.04"/>
    <n v="13997.17"/>
    <n v="3273.37"/>
    <n v="95.74"/>
    <s v="UPI"/>
    <x v="0"/>
    <b v="1"/>
    <x v="0"/>
    <n v="1"/>
  </r>
  <r>
    <s v="ORD-02969"/>
    <x v="978"/>
    <x v="978"/>
    <s v="CUST90919"/>
    <s v="Meera Pillai"/>
    <n v="39"/>
    <s v="Male"/>
    <x v="4"/>
    <s v="Chennai"/>
    <x v="5"/>
    <s v="Tablet"/>
    <n v="10"/>
    <n v="75218.460000000006"/>
    <n v="0.11"/>
    <n v="1071676.26"/>
    <n v="126516.22"/>
    <n v="87.54"/>
    <s v="Credit Card"/>
    <x v="1"/>
    <b v="0"/>
    <x v="1"/>
    <n v="6"/>
  </r>
  <r>
    <s v="ORD-02219"/>
    <x v="638"/>
    <x v="638"/>
    <s v="CUST79612"/>
    <s v="Meera Bose"/>
    <n v="55"/>
    <s v="Other"/>
    <x v="4"/>
    <s v="Kochi"/>
    <x v="4"/>
    <s v="Dress"/>
    <n v="3"/>
    <n v="2275.89"/>
    <n v="0.37"/>
    <n v="5784.15"/>
    <n v="2003.88"/>
    <n v="91.14"/>
    <s v="Credit Card"/>
    <x v="3"/>
    <b v="0"/>
    <x v="2"/>
    <n v="8"/>
  </r>
  <r>
    <s v="ORD-00356"/>
    <x v="54"/>
    <x v="54"/>
    <s v="CUST08599"/>
    <s v="Priya Gupta"/>
    <n v="35"/>
    <s v="Male"/>
    <x v="0"/>
    <s v="Indore"/>
    <x v="1"/>
    <s v="Sunscreen"/>
    <n v="9"/>
    <n v="1088.49"/>
    <n v="0.18"/>
    <n v="9801.8700000000008"/>
    <n v="3831.73"/>
    <n v="58.48"/>
    <s v="Credit Card"/>
    <x v="4"/>
    <b v="0"/>
    <x v="1"/>
    <n v="6"/>
  </r>
  <r>
    <s v="ORD-01691"/>
    <x v="231"/>
    <x v="231"/>
    <s v="CUST25926"/>
    <s v="Sunita Joshi"/>
    <n v="47"/>
    <s v="Other"/>
    <x v="0"/>
    <s v="Indore"/>
    <x v="4"/>
    <s v="Jeans"/>
    <n v="9"/>
    <n v="2676.81"/>
    <n v="0.06"/>
    <n v="20021.18"/>
    <n v="6907.31"/>
    <n v="80.489999999999995"/>
    <s v="Debit Card"/>
    <x v="4"/>
    <b v="0"/>
    <x v="1"/>
    <n v="7"/>
  </r>
  <r>
    <s v="ORD-01320"/>
    <x v="630"/>
    <x v="630"/>
    <s v="CUST49427"/>
    <s v="Nisha Bhat"/>
    <n v="27"/>
    <s v="Other"/>
    <x v="3"/>
    <s v="Bhubaneswar"/>
    <x v="4"/>
    <s v="Saree"/>
    <n v="5"/>
    <n v="1016.27"/>
    <n v="0.31"/>
    <n v="3776.28"/>
    <n v="996.28"/>
    <n v="80.84"/>
    <s v="UPI"/>
    <x v="0"/>
    <b v="0"/>
    <x v="1"/>
    <n v="8"/>
  </r>
  <r>
    <s v="ORD-03846"/>
    <x v="556"/>
    <x v="556"/>
    <s v="CUST69930"/>
    <s v="Vikram Kapoor"/>
    <n v="58"/>
    <s v="Male"/>
    <x v="4"/>
    <s v="Bangalore"/>
    <x v="6"/>
    <s v="Football"/>
    <n v="3"/>
    <n v="14603.58"/>
    <n v="0.26"/>
    <n v="55450.77"/>
    <n v="10463.09"/>
    <n v="56.67"/>
    <s v="Credit Card"/>
    <x v="3"/>
    <b v="0"/>
    <x v="1"/>
    <n v="7"/>
  </r>
  <r>
    <s v="ORD-02738"/>
    <x v="670"/>
    <x v="670"/>
    <s v="CUST25037"/>
    <s v="Shreya Joshi"/>
    <n v="40"/>
    <s v="Other"/>
    <x v="2"/>
    <s v="Chandigarh"/>
    <x v="5"/>
    <s v="Tablet"/>
    <n v="6"/>
    <n v="51056.11"/>
    <n v="0.12"/>
    <n v="301146.21999999997"/>
    <n v="46670.71"/>
    <n v="55.16"/>
    <s v="UPI"/>
    <x v="0"/>
    <b v="1"/>
    <x v="0"/>
    <n v="6"/>
  </r>
  <r>
    <s v="ORD-00448"/>
    <x v="518"/>
    <x v="518"/>
    <s v="CUST82556"/>
    <s v="Kavya Verma"/>
    <n v="45"/>
    <s v="Other"/>
    <x v="0"/>
    <s v="Raipur"/>
    <x v="0"/>
    <s v="Tea"/>
    <n v="3"/>
    <n v="338.27"/>
    <n v="0.21"/>
    <n v="1105.54"/>
    <n v="91.98"/>
    <n v="65.89"/>
    <s v="Debit Card"/>
    <x v="0"/>
    <b v="0"/>
    <x v="2"/>
    <n v="1"/>
  </r>
  <r>
    <s v="ORD-02008"/>
    <x v="216"/>
    <x v="216"/>
    <s v="CUST38535"/>
    <s v="Ritu Chatterjee"/>
    <n v="24"/>
    <s v="Female"/>
    <x v="2"/>
    <s v="Ludhiana"/>
    <x v="3"/>
    <s v="Comic Book"/>
    <n v="5"/>
    <n v="1362.67"/>
    <n v="0.35"/>
    <n v="6858.54"/>
    <n v="3271.94"/>
    <n v="53.41"/>
    <s v="Net Banking"/>
    <x v="3"/>
    <b v="0"/>
    <x v="1"/>
    <n v="7"/>
  </r>
  <r>
    <s v="ORD-03723"/>
    <x v="1400"/>
    <x v="1400"/>
    <s v="CUST40746"/>
    <s v="Meera Nair"/>
    <n v="33"/>
    <s v="Other"/>
    <x v="2"/>
    <s v="Ludhiana"/>
    <x v="2"/>
    <s v="Desk"/>
    <n v="8"/>
    <n v="24394.07"/>
    <n v="0.35"/>
    <n v="188753.55"/>
    <n v="52364.3"/>
    <n v="37.42"/>
    <s v="Cash on Delivery"/>
    <x v="4"/>
    <b v="0"/>
    <x v="1"/>
    <n v="2"/>
  </r>
  <r>
    <s v="ORD-02685"/>
    <x v="31"/>
    <x v="31"/>
    <s v="CUST44671"/>
    <s v="Aditya Pillai"/>
    <n v="22"/>
    <s v="Female"/>
    <x v="2"/>
    <s v="Delhi"/>
    <x v="4"/>
    <s v="Kurta"/>
    <n v="9"/>
    <n v="2747.04"/>
    <n v="0.28999999999999998"/>
    <n v="21056.46"/>
    <n v="7428.62"/>
    <n v="39.99"/>
    <s v="Net Banking"/>
    <x v="0"/>
    <b v="0"/>
    <x v="3"/>
    <n v="7"/>
  </r>
  <r>
    <s v="ORD-00057"/>
    <x v="198"/>
    <x v="198"/>
    <s v="CUST26450"/>
    <s v="Pooja Joshi"/>
    <n v="34"/>
    <s v="Other"/>
    <x v="4"/>
    <s v="Chennai"/>
    <x v="0"/>
    <s v="Rice (5kg)"/>
    <n v="10"/>
    <n v="104.12"/>
    <n v="0.32"/>
    <n v="491.8"/>
    <n v="20.12"/>
    <n v="81.05"/>
    <s v="Debit Card"/>
    <x v="2"/>
    <b v="0"/>
    <x v="4"/>
    <n v="7"/>
  </r>
  <r>
    <s v="ORD-00856"/>
    <x v="93"/>
    <x v="93"/>
    <s v="CUST85777"/>
    <s v="Aditya Kumar"/>
    <n v="28"/>
    <s v="Other"/>
    <x v="0"/>
    <s v="Nagpur"/>
    <x v="6"/>
    <s v="Cycle"/>
    <n v="4"/>
    <n v="11854.96"/>
    <n v="0"/>
    <n v="42761.49"/>
    <n v="9643.25"/>
    <n v="65.47"/>
    <s v="Net Banking"/>
    <x v="3"/>
    <b v="0"/>
    <x v="1"/>
    <n v="3"/>
  </r>
  <r>
    <s v="ORD-00932"/>
    <x v="1120"/>
    <x v="1120"/>
    <s v="CUST66017"/>
    <s v="Nisha Chatterjee"/>
    <n v="35"/>
    <s v="Male"/>
    <x v="4"/>
    <s v="Bangalore"/>
    <x v="5"/>
    <s v="Smartphone"/>
    <n v="4"/>
    <n v="40123"/>
    <n v="0.3"/>
    <n v="106939.95"/>
    <n v="10117.280000000001"/>
    <n v="58.87"/>
    <s v="Net Banking"/>
    <x v="0"/>
    <b v="1"/>
    <x v="0"/>
    <n v="10"/>
  </r>
  <r>
    <s v="ORD-03730"/>
    <x v="100"/>
    <x v="100"/>
    <s v="CUST49008"/>
    <s v="Kavya Reddy"/>
    <n v="24"/>
    <s v="Male"/>
    <x v="3"/>
    <s v="Bhubaneswar"/>
    <x v="5"/>
    <s v="Tablet"/>
    <n v="4"/>
    <n v="56393.82"/>
    <n v="0.37"/>
    <n v="238585.21"/>
    <n v="36073.620000000003"/>
    <n v="49.73"/>
    <s v="UPI"/>
    <x v="3"/>
    <b v="0"/>
    <x v="1"/>
    <n v="10"/>
  </r>
  <r>
    <s v="ORD-04003"/>
    <x v="1401"/>
    <x v="1401"/>
    <s v="CUST94541"/>
    <s v="Shreya Bose"/>
    <n v="42"/>
    <s v="Female"/>
    <x v="1"/>
    <s v="Mumbai"/>
    <x v="1"/>
    <s v="Lipstick"/>
    <n v="7"/>
    <n v="1565.4"/>
    <n v="0.05"/>
    <n v="13028.24"/>
    <n v="6557.25"/>
    <n v="48.19"/>
    <s v="Net Banking"/>
    <x v="0"/>
    <b v="0"/>
    <x v="1"/>
    <n v="2"/>
  </r>
  <r>
    <s v="ORD-03393"/>
    <x v="1402"/>
    <x v="1402"/>
    <s v="CUST78516"/>
    <s v="Ritu Shah"/>
    <n v="53"/>
    <s v="Male"/>
    <x v="3"/>
    <s v="Kolkata"/>
    <x v="0"/>
    <s v="Flour"/>
    <n v="8"/>
    <n v="300.87"/>
    <n v="0.35"/>
    <n v="1616.03"/>
    <n v="134.52000000000001"/>
    <n v="86.63"/>
    <s v="Debit Card"/>
    <x v="3"/>
    <b v="0"/>
    <x v="3"/>
    <n v="10"/>
  </r>
  <r>
    <s v="ORD-04140"/>
    <x v="310"/>
    <x v="310"/>
    <s v="CUST10076"/>
    <s v="Sanjay Iyer"/>
    <n v="47"/>
    <s v="Male"/>
    <x v="0"/>
    <s v="Raipur"/>
    <x v="1"/>
    <s v="Shampoo"/>
    <n v="9"/>
    <n v="173.38"/>
    <n v="0.35"/>
    <n v="967.63"/>
    <n v="355.07"/>
    <n v="33.17"/>
    <s v="Cash on Delivery"/>
    <x v="1"/>
    <b v="0"/>
    <x v="3"/>
    <n v="10"/>
  </r>
  <r>
    <s v="ORD-02578"/>
    <x v="883"/>
    <x v="883"/>
    <s v="CUST92230"/>
    <s v="Pooja Kapoor"/>
    <n v="40"/>
    <s v="Male"/>
    <x v="4"/>
    <s v="Bangalore"/>
    <x v="4"/>
    <s v="Dress"/>
    <n v="8"/>
    <n v="3588.97"/>
    <n v="0.21"/>
    <n v="25017.3"/>
    <n v="6791.82"/>
    <n v="59.97"/>
    <s v="Net Banking"/>
    <x v="1"/>
    <b v="0"/>
    <x v="1"/>
    <n v="10"/>
  </r>
  <r>
    <s v="ORD-03991"/>
    <x v="1403"/>
    <x v="1403"/>
    <s v="CUST26095"/>
    <s v="Aditya Reddy"/>
    <n v="31"/>
    <s v="Female"/>
    <x v="4"/>
    <s v="Chennai"/>
    <x v="1"/>
    <s v="Face Cream"/>
    <n v="10"/>
    <n v="1064.73"/>
    <n v="0.23"/>
    <n v="9344.7099999999991"/>
    <n v="3730.48"/>
    <n v="58.78"/>
    <s v="Credit Card"/>
    <x v="3"/>
    <b v="0"/>
    <x v="3"/>
    <n v="2"/>
  </r>
  <r>
    <s v="ORD-02080"/>
    <x v="649"/>
    <x v="649"/>
    <s v="CUST66538"/>
    <s v="Rahul Pillai"/>
    <n v="50"/>
    <s v="Other"/>
    <x v="4"/>
    <s v="Bangalore"/>
    <x v="2"/>
    <s v="Desk"/>
    <n v="5"/>
    <n v="33788.21"/>
    <n v="0.14000000000000001"/>
    <n v="211505.45"/>
    <n v="61443.22"/>
    <n v="95.75"/>
    <s v="Cash on Delivery"/>
    <x v="0"/>
    <b v="1"/>
    <x v="0"/>
    <n v="7"/>
  </r>
  <r>
    <s v="ORD-01603"/>
    <x v="722"/>
    <x v="722"/>
    <s v="CUST45758"/>
    <s v="Sanjay Nair"/>
    <n v="25"/>
    <s v="Other"/>
    <x v="1"/>
    <s v="Pune"/>
    <x v="1"/>
    <s v="Shampoo"/>
    <n v="4"/>
    <n v="2108.75"/>
    <n v="0.32"/>
    <n v="4272.12"/>
    <n v="1577.65"/>
    <n v="74.62"/>
    <s v="EMI"/>
    <x v="3"/>
    <b v="0"/>
    <x v="1"/>
    <n v="6"/>
  </r>
  <r>
    <s v="ORD-02170"/>
    <x v="260"/>
    <x v="260"/>
    <s v="CUST83068"/>
    <s v="Kavya Shah"/>
    <n v="42"/>
    <s v="Other"/>
    <x v="0"/>
    <s v="Nagpur"/>
    <x v="3"/>
    <s v="Self-Help Book"/>
    <n v="3"/>
    <n v="969.7"/>
    <n v="0.1"/>
    <n v="3355.24"/>
    <n v="1386.74"/>
    <n v="44.19"/>
    <s v="Credit Card"/>
    <x v="4"/>
    <b v="0"/>
    <x v="1"/>
    <n v="4"/>
  </r>
  <r>
    <s v="ORD-00743"/>
    <x v="489"/>
    <x v="489"/>
    <s v="CUST22966"/>
    <s v="Sunita Singh"/>
    <n v="9"/>
    <s v="Male"/>
    <x v="3"/>
    <s v="Guwahati"/>
    <x v="2"/>
    <s v="Desk"/>
    <n v="9"/>
    <n v="29323.200000000001"/>
    <n v="0.31"/>
    <n v="132224.5"/>
    <n v="30686.83"/>
    <n v="80.41"/>
    <s v="Debit Card"/>
    <x v="2"/>
    <b v="1"/>
    <x v="0"/>
    <n v="5"/>
  </r>
  <r>
    <s v="ORD-03095"/>
    <x v="173"/>
    <x v="173"/>
    <s v="CUST91267"/>
    <s v="Ritu Patel"/>
    <n v="27"/>
    <s v="Female"/>
    <x v="0"/>
    <s v="Nagpur"/>
    <x v="1"/>
    <s v="Perfume"/>
    <n v="10"/>
    <n v="427.76"/>
    <n v="0.04"/>
    <n v="4968.59"/>
    <n v="1801.67"/>
    <n v="67.38"/>
    <s v="UPI"/>
    <x v="1"/>
    <b v="0"/>
    <x v="1"/>
    <n v="1"/>
  </r>
  <r>
    <s v="ORD-02886"/>
    <x v="983"/>
    <x v="983"/>
    <s v="CUST25210"/>
    <s v="Sanjay Kumar"/>
    <n v="38"/>
    <s v="Female"/>
    <x v="0"/>
    <s v="Raipur"/>
    <x v="0"/>
    <s v="Dal (1kg)"/>
    <n v="9"/>
    <n v="458.95"/>
    <n v="0.24"/>
    <n v="5524.99"/>
    <n v="539.29999999999995"/>
    <n v="58.47"/>
    <s v="UPI"/>
    <x v="3"/>
    <b v="1"/>
    <x v="0"/>
    <n v="9"/>
  </r>
  <r>
    <s v="ORD-00810"/>
    <x v="1404"/>
    <x v="1404"/>
    <s v="CUST91471"/>
    <s v="Pooja Gupta"/>
    <n v="18"/>
    <s v="Male"/>
    <x v="4"/>
    <s v="Kochi"/>
    <x v="1"/>
    <s v="Perfume"/>
    <n v="2"/>
    <n v="586.74"/>
    <n v="0.39"/>
    <n v="617.26"/>
    <n v="319.17"/>
    <n v="83.13"/>
    <s v="Credit Card"/>
    <x v="0"/>
    <b v="0"/>
    <x v="1"/>
    <n v="6"/>
  </r>
  <r>
    <s v="ORD-00595"/>
    <x v="341"/>
    <x v="341"/>
    <s v="CUST82726"/>
    <s v="Karan Rao"/>
    <n v="15"/>
    <s v="Other"/>
    <x v="2"/>
    <s v="Amritsar"/>
    <x v="5"/>
    <s v="Laptop"/>
    <n v="6"/>
    <n v="51445.760000000002"/>
    <n v="0.28000000000000003"/>
    <n v="189220.35"/>
    <n v="22619.43"/>
    <n v="67.8"/>
    <s v="Credit Card"/>
    <x v="3"/>
    <b v="0"/>
    <x v="1"/>
    <n v="5"/>
  </r>
  <r>
    <s v="ORD-01510"/>
    <x v="1405"/>
    <x v="1405"/>
    <s v="CUST71235"/>
    <s v="Shreya Sharma"/>
    <n v="62"/>
    <s v="Female"/>
    <x v="4"/>
    <s v="Kochi"/>
    <x v="0"/>
    <s v="Flour"/>
    <n v="2"/>
    <n v="331.43"/>
    <n v="0.15"/>
    <n v="388.61"/>
    <n v="21.42"/>
    <n v="54.3"/>
    <s v="UPI"/>
    <x v="3"/>
    <b v="0"/>
    <x v="1"/>
    <n v="4"/>
  </r>
  <r>
    <s v="ORD-00878"/>
    <x v="60"/>
    <x v="60"/>
    <s v="CUST74864"/>
    <s v="Vikram Sharma"/>
    <n v="41"/>
    <s v="Female"/>
    <x v="2"/>
    <s v="Ludhiana"/>
    <x v="0"/>
    <s v="Tea"/>
    <n v="1"/>
    <n v="409.48"/>
    <n v="0.32"/>
    <n v="275.92"/>
    <n v="21.85"/>
    <n v="52.01"/>
    <s v="UPI"/>
    <x v="1"/>
    <b v="0"/>
    <x v="3"/>
    <n v="5"/>
  </r>
  <r>
    <s v="ORD-00381"/>
    <x v="1406"/>
    <x v="1406"/>
    <s v="CUST02130"/>
    <s v="Ananya Verma"/>
    <n v="29"/>
    <s v="Male"/>
    <x v="1"/>
    <s v="Surat"/>
    <x v="6"/>
    <s v="Tennis Racket"/>
    <n v="7"/>
    <n v="9615.9"/>
    <n v="0.34"/>
    <n v="53730.92"/>
    <n v="13253.84"/>
    <n v="48.62"/>
    <s v="EMI"/>
    <x v="0"/>
    <b v="1"/>
    <x v="0"/>
    <n v="8"/>
  </r>
  <r>
    <s v="ORD-02628"/>
    <x v="423"/>
    <x v="423"/>
    <s v="CUST48700"/>
    <s v="Meera Bose"/>
    <n v="30"/>
    <s v="Male"/>
    <x v="0"/>
    <s v="Nagpur"/>
    <x v="5"/>
    <s v="Smartwatch"/>
    <n v="9"/>
    <n v="65519.43"/>
    <n v="0.23"/>
    <n v="483891.6"/>
    <n v="51648.1"/>
    <n v="68.64"/>
    <s v="Credit Card"/>
    <x v="4"/>
    <b v="1"/>
    <x v="0"/>
    <n v="9"/>
  </r>
  <r>
    <s v="ORD-03708"/>
    <x v="1407"/>
    <x v="1407"/>
    <s v="CUST22717"/>
    <s v="Pooja Das"/>
    <n v="44"/>
    <s v="Female"/>
    <x v="3"/>
    <s v="Kolkata"/>
    <x v="4"/>
    <s v="Kurta"/>
    <n v="2"/>
    <n v="843.73"/>
    <n v="0.32"/>
    <n v="1839.05"/>
    <n v="660.61"/>
    <n v="92.53"/>
    <s v="UPI"/>
    <x v="1"/>
    <b v="0"/>
    <x v="1"/>
    <n v="10"/>
  </r>
  <r>
    <s v="ORD-02585"/>
    <x v="1224"/>
    <x v="1224"/>
    <s v="CUST32210"/>
    <s v="Meera Das"/>
    <n v="33"/>
    <s v="Male"/>
    <x v="4"/>
    <s v="Bangalore"/>
    <x v="0"/>
    <s v="Cooking Oil"/>
    <n v="3"/>
    <n v="443.89"/>
    <n v="0.01"/>
    <n v="1152.72"/>
    <n v="75.7"/>
    <n v="66.88"/>
    <s v="Cash on Delivery"/>
    <x v="2"/>
    <b v="0"/>
    <x v="1"/>
    <n v="9"/>
  </r>
  <r>
    <s v="ORD-01884"/>
    <x v="1408"/>
    <x v="1408"/>
    <s v="CUST42306"/>
    <s v="Shreya Sharma"/>
    <n v="62"/>
    <s v="Female"/>
    <x v="1"/>
    <s v="Pune"/>
    <x v="1"/>
    <s v="Perfume"/>
    <n v="7"/>
    <n v="519.13"/>
    <n v="0.35"/>
    <n v="3102.68"/>
    <n v="1514.19"/>
    <n v="82.54"/>
    <s v="Cash on Delivery"/>
    <x v="4"/>
    <b v="1"/>
    <x v="0"/>
    <n v="9"/>
  </r>
  <r>
    <s v="ORD-02534"/>
    <x v="14"/>
    <x v="14"/>
    <s v="CUST25928"/>
    <s v="Karan Sharma"/>
    <n v="36"/>
    <s v="Male"/>
    <x v="0"/>
    <s v="Nagpur"/>
    <x v="6"/>
    <s v="Dumbbells"/>
    <n v="8"/>
    <n v="6382.18"/>
    <n v="0.37"/>
    <n v="26872.75"/>
    <n v="3931.39"/>
    <n v="52.42"/>
    <s v="UPI"/>
    <x v="4"/>
    <b v="1"/>
    <x v="0"/>
    <n v="8"/>
  </r>
  <r>
    <s v="ORD-01827"/>
    <x v="1161"/>
    <x v="1161"/>
    <s v="CUST19509"/>
    <s v="Kavya Nair"/>
    <n v="13"/>
    <s v="Other"/>
    <x v="0"/>
    <s v="Raipur"/>
    <x v="1"/>
    <s v="Lipstick"/>
    <n v="1"/>
    <n v="2486.96"/>
    <n v="0.3"/>
    <n v="1982.36"/>
    <n v="610.55999999999995"/>
    <n v="67.349999999999994"/>
    <s v="Credit Card"/>
    <x v="3"/>
    <b v="0"/>
    <x v="1"/>
    <n v="10"/>
  </r>
  <r>
    <s v="ORD-00829"/>
    <x v="1101"/>
    <x v="1101"/>
    <s v="CUST78751"/>
    <s v="Rahul Chatterjee"/>
    <n v="42"/>
    <s v="Other"/>
    <x v="4"/>
    <s v="Chennai"/>
    <x v="2"/>
    <s v="Desk"/>
    <n v="10"/>
    <n v="25214.06"/>
    <n v="0.36"/>
    <n v="131999.09"/>
    <n v="39084.78"/>
    <n v="68.52"/>
    <s v="Credit Card"/>
    <x v="1"/>
    <b v="1"/>
    <x v="0"/>
    <n v="3"/>
  </r>
  <r>
    <s v="ORD-01220"/>
    <x v="877"/>
    <x v="877"/>
    <s v="CUST25349"/>
    <s v="Kavya Iyer"/>
    <n v="27"/>
    <s v="Male"/>
    <x v="2"/>
    <s v="Ludhiana"/>
    <x v="5"/>
    <s v="Laptop"/>
    <n v="5"/>
    <n v="42777.53"/>
    <n v="0.21"/>
    <n v="192877.7"/>
    <n v="27062.25"/>
    <n v="46.76"/>
    <s v="Debit Card"/>
    <x v="3"/>
    <b v="0"/>
    <x v="3"/>
    <n v="6"/>
  </r>
  <r>
    <s v="ORD-03491"/>
    <x v="677"/>
    <x v="677"/>
    <s v="CUST43868"/>
    <s v="Aarav Bhat"/>
    <n v="37"/>
    <s v="Male"/>
    <x v="4"/>
    <s v="Chennai"/>
    <x v="0"/>
    <s v="Cooking Oil"/>
    <n v="10"/>
    <n v="150.97"/>
    <n v="0.35"/>
    <n v="1192.31"/>
    <n v="113.82"/>
    <n v="61.55"/>
    <s v="UPI"/>
    <x v="3"/>
    <b v="0"/>
    <x v="1"/>
    <n v="7"/>
  </r>
  <r>
    <s v="ORD-04191"/>
    <x v="1353"/>
    <x v="1353"/>
    <s v="CUST42768"/>
    <s v="Nisha Singh"/>
    <n v="4"/>
    <s v="Female"/>
    <x v="1"/>
    <s v="Surat"/>
    <x v="6"/>
    <s v="Cycle"/>
    <n v="8"/>
    <n v="1646.28"/>
    <n v="0.25"/>
    <n v="7889.98"/>
    <n v="1643.93"/>
    <n v="58.56"/>
    <s v="Cash on Delivery"/>
    <x v="2"/>
    <b v="0"/>
    <x v="1"/>
    <n v="10"/>
  </r>
  <r>
    <s v="ORD-00307"/>
    <x v="1131"/>
    <x v="1131"/>
    <s v="CUST09307"/>
    <s v="Meera Shah"/>
    <n v="27"/>
    <s v="Female"/>
    <x v="4"/>
    <s v="Hyderabad"/>
    <x v="5"/>
    <s v="Camera"/>
    <n v="10"/>
    <n v="75021.17"/>
    <n v="0.13"/>
    <n v="834952.68"/>
    <n v="112520.6"/>
    <n v="68.069999999999993"/>
    <s v="EMI"/>
    <x v="4"/>
    <b v="1"/>
    <x v="0"/>
    <n v="5"/>
  </r>
  <r>
    <s v="ORD-03600"/>
    <x v="1409"/>
    <x v="1409"/>
    <s v="CUST20450"/>
    <s v="Shreya Shah"/>
    <n v="31"/>
    <s v="Female"/>
    <x v="0"/>
    <s v="Nagpur"/>
    <x v="6"/>
    <s v="Cricket Bat"/>
    <n v="4"/>
    <n v="713.59"/>
    <n v="0.08"/>
    <n v="3859.57"/>
    <n v="957"/>
    <n v="84.62"/>
    <s v="Cash on Delivery"/>
    <x v="1"/>
    <b v="0"/>
    <x v="1"/>
    <n v="8"/>
  </r>
  <r>
    <s v="ORD-03857"/>
    <x v="174"/>
    <x v="174"/>
    <s v="CUST13391"/>
    <s v="Shreya Sharma"/>
    <n v="53"/>
    <s v="Female"/>
    <x v="1"/>
    <s v="Mumbai"/>
    <x v="2"/>
    <s v="Chair"/>
    <n v="8"/>
    <n v="26914.41"/>
    <n v="0.11"/>
    <n v="255026.97"/>
    <n v="79719.78"/>
    <n v="50.27"/>
    <s v="Credit Card"/>
    <x v="1"/>
    <b v="0"/>
    <x v="1"/>
    <n v="4"/>
  </r>
  <r>
    <s v="ORD-00507"/>
    <x v="531"/>
    <x v="531"/>
    <s v="CUST46786"/>
    <s v="Aditya Shah"/>
    <n v="31"/>
    <s v="Other"/>
    <x v="4"/>
    <s v="Chennai"/>
    <x v="6"/>
    <s v="Yoga Mat"/>
    <n v="6"/>
    <n v="1678.96"/>
    <n v="0.12"/>
    <n v="10018.4"/>
    <n v="2148.34"/>
    <n v="65.84"/>
    <s v="Cash on Delivery"/>
    <x v="1"/>
    <b v="0"/>
    <x v="1"/>
    <n v="2"/>
  </r>
  <r>
    <s v="ORD-03454"/>
    <x v="1042"/>
    <x v="1042"/>
    <s v="CUST89953"/>
    <s v="Karan Rao"/>
    <n v="46"/>
    <s v="Female"/>
    <x v="1"/>
    <s v="Ahmedabad"/>
    <x v="2"/>
    <s v="Bookshelf"/>
    <n v="10"/>
    <n v="16254.1"/>
    <n v="0.26"/>
    <n v="125959.07"/>
    <n v="37227.54"/>
    <n v="70.22"/>
    <s v="UPI"/>
    <x v="0"/>
    <b v="0"/>
    <x v="1"/>
    <n v="1"/>
  </r>
  <r>
    <s v="ORD-00481"/>
    <x v="770"/>
    <x v="770"/>
    <s v="CUST68644"/>
    <s v="Sunita Verma"/>
    <n v="19"/>
    <s v="Male"/>
    <x v="2"/>
    <s v="Amritsar"/>
    <x v="4"/>
    <s v="Dress"/>
    <n v="9"/>
    <n v="2544.25"/>
    <n v="0.11"/>
    <n v="21015.96"/>
    <n v="7378.5"/>
    <n v="50.92"/>
    <s v="Net Banking"/>
    <x v="3"/>
    <b v="1"/>
    <x v="0"/>
    <n v="2"/>
  </r>
  <r>
    <s v="ORD-00609"/>
    <x v="1389"/>
    <x v="1389"/>
    <s v="CUST16346"/>
    <s v="Pooja Patel"/>
    <n v="55"/>
    <s v="Female"/>
    <x v="1"/>
    <s v="Surat"/>
    <x v="5"/>
    <s v="Camera"/>
    <n v="1"/>
    <n v="22610.21"/>
    <n v="0.08"/>
    <n v="20431.16"/>
    <n v="2517.0700000000002"/>
    <n v="48.04"/>
    <s v="Net Banking"/>
    <x v="2"/>
    <b v="0"/>
    <x v="1"/>
    <n v="5"/>
  </r>
  <r>
    <s v="ORD-02905"/>
    <x v="7"/>
    <x v="7"/>
    <s v="CUST02847"/>
    <s v="Sunita Pillai"/>
    <n v="3"/>
    <s v="Female"/>
    <x v="0"/>
    <s v="Bhopal"/>
    <x v="4"/>
    <s v="Jeans"/>
    <n v="5"/>
    <n v="3673.58"/>
    <n v="0.01"/>
    <n v="28371.45"/>
    <n v="10857.99"/>
    <n v="74.84"/>
    <s v="UPI"/>
    <x v="0"/>
    <b v="1"/>
    <x v="0"/>
    <n v="9"/>
  </r>
  <r>
    <s v="ORD-01411"/>
    <x v="6"/>
    <x v="6"/>
    <s v="CUST46708"/>
    <s v="Rahul Das"/>
    <n v="41"/>
    <s v="Male"/>
    <x v="0"/>
    <s v="Bhopal"/>
    <x v="3"/>
    <s v="Comic Book"/>
    <n v="5"/>
    <n v="293.56"/>
    <n v="0.4"/>
    <n v="988.84"/>
    <n v="397.44"/>
    <n v="61.09"/>
    <s v="Credit Card"/>
    <x v="2"/>
    <b v="0"/>
    <x v="3"/>
    <n v="5"/>
  </r>
  <r>
    <s v="ORD-01282"/>
    <x v="1268"/>
    <x v="1268"/>
    <s v="CUST23140"/>
    <s v="Ananya Verma"/>
    <n v="22"/>
    <s v="Male"/>
    <x v="0"/>
    <s v="Nagpur"/>
    <x v="6"/>
    <s v="Cycle"/>
    <n v="7"/>
    <n v="5887.32"/>
    <n v="0.27"/>
    <n v="40536.35"/>
    <n v="9596.19"/>
    <n v="68.83"/>
    <s v="Credit Card"/>
    <x v="1"/>
    <b v="0"/>
    <x v="1"/>
    <n v="8"/>
  </r>
  <r>
    <s v="ORD-01240"/>
    <x v="760"/>
    <x v="760"/>
    <s v="CUST02075"/>
    <s v="Karan Bhat"/>
    <n v="47"/>
    <s v="Female"/>
    <x v="3"/>
    <s v="Bhubaneswar"/>
    <x v="4"/>
    <s v="Jeans"/>
    <n v="5"/>
    <n v="569.89"/>
    <n v="0.22"/>
    <n v="3040.97"/>
    <n v="986.27"/>
    <n v="87.82"/>
    <s v="Cash on Delivery"/>
    <x v="1"/>
    <b v="0"/>
    <x v="1"/>
    <n v="4"/>
  </r>
  <r>
    <s v="ORD-03971"/>
    <x v="517"/>
    <x v="517"/>
    <s v="CUST63045"/>
    <s v="Shreya Patel"/>
    <n v="35"/>
    <s v="Other"/>
    <x v="3"/>
    <s v="Kolkata"/>
    <x v="1"/>
    <s v="Face Cream"/>
    <n v="2"/>
    <n v="1573.95"/>
    <n v="0.28999999999999998"/>
    <n v="3007.27"/>
    <n v="1137.44"/>
    <n v="97.85"/>
    <s v="Cash on Delivery"/>
    <x v="1"/>
    <b v="0"/>
    <x v="1"/>
    <n v="3"/>
  </r>
  <r>
    <s v="ORD-04179"/>
    <x v="1014"/>
    <x v="1014"/>
    <s v="CUST52695"/>
    <s v="Meera Mehta"/>
    <n v="47"/>
    <s v="Male"/>
    <x v="2"/>
    <s v="Chandigarh"/>
    <x v="5"/>
    <s v="Laptop"/>
    <n v="10"/>
    <n v="56887.12"/>
    <n v="0.33"/>
    <n v="320072.27"/>
    <n v="41433.480000000003"/>
    <n v="58.41"/>
    <s v="Net Banking"/>
    <x v="4"/>
    <b v="0"/>
    <x v="1"/>
    <n v="6"/>
  </r>
  <r>
    <s v="ORD-04081"/>
    <x v="1410"/>
    <x v="1410"/>
    <s v="CUST07666"/>
    <s v="Ananya Gupta"/>
    <n v="27"/>
    <s v="Other"/>
    <x v="3"/>
    <s v="Guwahati"/>
    <x v="5"/>
    <s v="Camera"/>
    <n v="3"/>
    <n v="44959.14"/>
    <n v="0.09"/>
    <n v="118547.82"/>
    <n v="8051.31"/>
    <n v="75.400000000000006"/>
    <s v="Credit Card"/>
    <x v="4"/>
    <b v="0"/>
    <x v="1"/>
    <n v="6"/>
  </r>
  <r>
    <s v="ORD-03733"/>
    <x v="757"/>
    <x v="757"/>
    <s v="CUST26791"/>
    <s v="Vikram Pillai"/>
    <n v="34"/>
    <s v="Female"/>
    <x v="3"/>
    <s v="Bhubaneswar"/>
    <x v="0"/>
    <s v="Dal (1kg)"/>
    <n v="8"/>
    <n v="164.21"/>
    <n v="0.25"/>
    <n v="1864.61"/>
    <n v="136.75"/>
    <n v="81.599999999999994"/>
    <s v="Debit Card"/>
    <x v="2"/>
    <b v="0"/>
    <x v="4"/>
    <n v="10"/>
  </r>
  <r>
    <s v="ORD-03421"/>
    <x v="428"/>
    <x v="428"/>
    <s v="CUST55778"/>
    <s v="Nisha Gupta"/>
    <n v="44"/>
    <s v="Male"/>
    <x v="1"/>
    <s v="Surat"/>
    <x v="6"/>
    <s v="Cricket Bat"/>
    <n v="9"/>
    <n v="2259.11"/>
    <n v="0.31"/>
    <n v="14997.8"/>
    <n v="3849.42"/>
    <n v="64.989999999999995"/>
    <s v="Debit Card"/>
    <x v="4"/>
    <b v="0"/>
    <x v="1"/>
    <n v="5"/>
  </r>
  <r>
    <s v="ORD-03292"/>
    <x v="1411"/>
    <x v="1411"/>
    <s v="CUST35522"/>
    <s v="Pooja Gupta"/>
    <n v="19"/>
    <s v="Other"/>
    <x v="2"/>
    <s v="Amritsar"/>
    <x v="1"/>
    <s v="Lipstick"/>
    <n v="7"/>
    <n v="1961.36"/>
    <n v="0.27"/>
    <n v="8020.15"/>
    <n v="4122.3"/>
    <n v="73.28"/>
    <s v="EMI"/>
    <x v="1"/>
    <b v="0"/>
    <x v="1"/>
    <n v="3"/>
  </r>
  <r>
    <s v="ORD-00037"/>
    <x v="237"/>
    <x v="237"/>
    <s v="CUST89513"/>
    <s v="Nisha Sharma"/>
    <n v="48"/>
    <s v="Female"/>
    <x v="3"/>
    <s v="Patna"/>
    <x v="2"/>
    <s v="Wardrobe"/>
    <n v="7"/>
    <n v="6792.29"/>
    <n v="0.32"/>
    <n v="21828"/>
    <n v="4870.2"/>
    <n v="107.06"/>
    <s v="Cash on Delivery"/>
    <x v="4"/>
    <b v="0"/>
    <x v="4"/>
    <n v="5"/>
  </r>
  <r>
    <s v="ORD-00859"/>
    <x v="1412"/>
    <x v="1412"/>
    <s v="CUST24558"/>
    <s v="Deepa Verma"/>
    <n v="13"/>
    <s v="Female"/>
    <x v="1"/>
    <s v="Mumbai"/>
    <x v="4"/>
    <s v="Jeans"/>
    <n v="6"/>
    <n v="362.57"/>
    <n v="0.02"/>
    <n v="1703.95"/>
    <n v="781.43"/>
    <n v="66.819999999999993"/>
    <s v="UPI"/>
    <x v="2"/>
    <b v="0"/>
    <x v="1"/>
    <n v="3"/>
  </r>
  <r>
    <s v="ORD-01796"/>
    <x v="1394"/>
    <x v="1394"/>
    <s v="CUST63701"/>
    <s v="Ritu Pillai"/>
    <n v="42"/>
    <s v="Male"/>
    <x v="4"/>
    <s v="Kochi"/>
    <x v="6"/>
    <s v="Dumbbells"/>
    <n v="3"/>
    <n v="14886.59"/>
    <n v="0.38"/>
    <n v="34438.410000000003"/>
    <n v="6332.53"/>
    <n v="89.5"/>
    <s v="EMI"/>
    <x v="0"/>
    <b v="0"/>
    <x v="1"/>
    <n v="3"/>
  </r>
  <r>
    <s v="ORD-01799"/>
    <x v="1361"/>
    <x v="1361"/>
    <s v="CUST98513"/>
    <s v="Priya Reddy"/>
    <n v="40"/>
    <s v="Other"/>
    <x v="3"/>
    <s v="Guwahati"/>
    <x v="5"/>
    <s v="Smartphone"/>
    <n v="6"/>
    <n v="34836.46"/>
    <n v="0.18"/>
    <n v="214950.87"/>
    <n v="36793.67"/>
    <n v="90.28"/>
    <s v="EMI"/>
    <x v="2"/>
    <b v="0"/>
    <x v="1"/>
    <n v="3"/>
  </r>
  <r>
    <s v="ORD-00454"/>
    <x v="1109"/>
    <x v="1109"/>
    <s v="CUST32184"/>
    <s v="Kavya Mishra"/>
    <n v="27"/>
    <s v="Male"/>
    <x v="3"/>
    <s v="Patna"/>
    <x v="0"/>
    <s v="Cooking Oil"/>
    <n v="1"/>
    <n v="456.21"/>
    <n v="0.05"/>
    <n v="516.4"/>
    <n v="43.61"/>
    <n v="72.680000000000007"/>
    <s v="UPI"/>
    <x v="2"/>
    <b v="0"/>
    <x v="1"/>
    <n v="2"/>
  </r>
  <r>
    <s v="ORD-01617"/>
    <x v="355"/>
    <x v="355"/>
    <s v="CUST68176"/>
    <s v="Sanjay Chatterjee"/>
    <n v="19"/>
    <s v="Male"/>
    <x v="0"/>
    <s v="Nagpur"/>
    <x v="2"/>
    <s v="Sofa"/>
    <n v="1"/>
    <n v="10289.790000000001"/>
    <n v="0.25"/>
    <n v="5945.61"/>
    <n v="1688.17"/>
    <n v="44.08"/>
    <s v="Debit Card"/>
    <x v="3"/>
    <b v="0"/>
    <x v="2"/>
    <n v="7"/>
  </r>
  <r>
    <s v="ORD-03567"/>
    <x v="1171"/>
    <x v="1171"/>
    <s v="CUST78044"/>
    <s v="Sanjay Mehta"/>
    <n v="44"/>
    <s v="Other"/>
    <x v="4"/>
    <s v="Chennai"/>
    <x v="5"/>
    <s v="Smartwatch"/>
    <n v="3"/>
    <n v="66697.679999999993"/>
    <n v="0.14000000000000001"/>
    <n v="252177.93"/>
    <n v="18032.169999999998"/>
    <n v="80.02"/>
    <s v="Cash on Delivery"/>
    <x v="2"/>
    <b v="0"/>
    <x v="1"/>
    <n v="7"/>
  </r>
  <r>
    <s v="ORD-02577"/>
    <x v="883"/>
    <x v="883"/>
    <s v="CUST41943"/>
    <s v="Sunita Nair"/>
    <n v="47"/>
    <s v="Male"/>
    <x v="2"/>
    <s v="Delhi"/>
    <x v="3"/>
    <s v="Textbook"/>
    <n v="9"/>
    <n v="1160.5999999999999"/>
    <n v="0.2"/>
    <n v="8089.96"/>
    <n v="3888.59"/>
    <n v="70.91"/>
    <s v="Net Banking"/>
    <x v="0"/>
    <b v="0"/>
    <x v="1"/>
    <n v="6"/>
  </r>
  <r>
    <s v="ORD-02129"/>
    <x v="648"/>
    <x v="648"/>
    <s v="CUST19983"/>
    <s v="Amit Chatterjee"/>
    <n v="35"/>
    <s v="Other"/>
    <x v="4"/>
    <s v="Hyderabad"/>
    <x v="3"/>
    <s v="Biography"/>
    <n v="4"/>
    <n v="278.07"/>
    <n v="0.38"/>
    <n v="1035.4000000000001"/>
    <n v="495.92"/>
    <n v="99.54"/>
    <s v="Cash on Delivery"/>
    <x v="3"/>
    <b v="0"/>
    <x v="1"/>
    <n v="2"/>
  </r>
  <r>
    <s v="ORD-03128"/>
    <x v="1370"/>
    <x v="1370"/>
    <s v="CUST69119"/>
    <s v="Rahul Gupta"/>
    <n v="39"/>
    <s v="Male"/>
    <x v="3"/>
    <s v="Kolkata"/>
    <x v="6"/>
    <s v="Cycle"/>
    <n v="5"/>
    <n v="1183.8699999999999"/>
    <n v="0.04"/>
    <n v="7684.63"/>
    <n v="1285.8599999999999"/>
    <n v="76.95"/>
    <s v="Debit Card"/>
    <x v="4"/>
    <b v="0"/>
    <x v="1"/>
    <n v="5"/>
  </r>
  <r>
    <s v="ORD-03423"/>
    <x v="1018"/>
    <x v="1018"/>
    <s v="CUST37977"/>
    <s v="Deepa Mehta"/>
    <n v="33"/>
    <s v="Male"/>
    <x v="4"/>
    <s v="Hyderabad"/>
    <x v="5"/>
    <s v="Smartwatch"/>
    <n v="5"/>
    <n v="76620.87"/>
    <n v="0.38"/>
    <n v="47511.85"/>
    <n v="5066.87"/>
    <n v="95.49"/>
    <s v="EMI"/>
    <x v="4"/>
    <b v="0"/>
    <x v="1"/>
    <n v="2"/>
  </r>
  <r>
    <s v="ORD-01707"/>
    <x v="1413"/>
    <x v="1413"/>
    <s v="CUST39127"/>
    <s v="Aditya Kumar"/>
    <n v="38"/>
    <s v="Male"/>
    <x v="4"/>
    <s v="Bangalore"/>
    <x v="1"/>
    <s v="Sunscreen"/>
    <n v="3"/>
    <n v="2463.48"/>
    <n v="0.09"/>
    <n v="5478.55"/>
    <n v="2170.17"/>
    <n v="88.35"/>
    <s v="Cash on Delivery"/>
    <x v="4"/>
    <b v="1"/>
    <x v="0"/>
    <n v="3"/>
  </r>
  <r>
    <s v="ORD-03676"/>
    <x v="307"/>
    <x v="307"/>
    <s v="CUST12575"/>
    <s v="Amit Bose"/>
    <n v="25"/>
    <s v="Male"/>
    <x v="1"/>
    <s v="Surat"/>
    <x v="0"/>
    <s v="Flour"/>
    <n v="3"/>
    <n v="451.57"/>
    <n v="0.06"/>
    <n v="2296.34"/>
    <n v="136.74"/>
    <n v="44.69"/>
    <s v="Credit Card"/>
    <x v="0"/>
    <b v="0"/>
    <x v="1"/>
    <n v="3"/>
  </r>
  <r>
    <s v="ORD-03511"/>
    <x v="1414"/>
    <x v="1414"/>
    <s v="CUST39314"/>
    <s v="Sanjay Rao"/>
    <n v="31"/>
    <s v="Female"/>
    <x v="1"/>
    <s v="Pune"/>
    <x v="2"/>
    <s v="Wardrobe"/>
    <n v="4"/>
    <n v="27844.67"/>
    <n v="0.32"/>
    <n v="87292.37"/>
    <n v="18841.849999999999"/>
    <n v="74.400000000000006"/>
    <s v="Credit Card"/>
    <x v="4"/>
    <b v="0"/>
    <x v="1"/>
    <n v="7"/>
  </r>
  <r>
    <s v="ORD-03953"/>
    <x v="1415"/>
    <x v="1415"/>
    <s v="CUST98548"/>
    <s v="Kavya Nair"/>
    <n v="40"/>
    <s v="Female"/>
    <x v="2"/>
    <s v="Delhi"/>
    <x v="4"/>
    <s v="Dress"/>
    <n v="1"/>
    <n v="2057.9"/>
    <n v="0.33"/>
    <n v="1980.21"/>
    <n v="615.19000000000005"/>
    <n v="42.69"/>
    <s v="UPI"/>
    <x v="0"/>
    <b v="0"/>
    <x v="4"/>
    <n v="10"/>
  </r>
  <r>
    <s v="ORD-02492"/>
    <x v="1002"/>
    <x v="1002"/>
    <s v="CUST41637"/>
    <s v="Nisha Mishra"/>
    <n v="20"/>
    <s v="Other"/>
    <x v="3"/>
    <s v="Bhubaneswar"/>
    <x v="2"/>
    <s v="Chair"/>
    <n v="10"/>
    <n v="22462.93"/>
    <n v="0.21"/>
    <n v="157408.35"/>
    <n v="23243.23"/>
    <n v="133.35"/>
    <s v="UPI"/>
    <x v="1"/>
    <b v="0"/>
    <x v="1"/>
    <n v="4"/>
  </r>
  <r>
    <s v="ORD-00066"/>
    <x v="920"/>
    <x v="920"/>
    <s v="CUST42917"/>
    <s v="Vikram Mehta"/>
    <n v="32"/>
    <s v="Female"/>
    <x v="2"/>
    <s v="Amritsar"/>
    <x v="6"/>
    <s v="Tennis Racket"/>
    <n v="5"/>
    <n v="8113.16"/>
    <n v="0.23"/>
    <n v="4179.58"/>
    <n v="1043.1400000000001"/>
    <n v="76.45"/>
    <s v="Credit Card"/>
    <x v="4"/>
    <b v="1"/>
    <x v="0"/>
    <n v="4"/>
  </r>
  <r>
    <s v="ORD-03742"/>
    <x v="195"/>
    <x v="195"/>
    <s v="CUST49165"/>
    <s v="Ananya Rao"/>
    <n v="39"/>
    <s v="Male"/>
    <x v="3"/>
    <s v="Kolkata"/>
    <x v="6"/>
    <s v="Tennis Racket"/>
    <n v="5"/>
    <n v="5213.22"/>
    <n v="0.05"/>
    <n v="34214.43"/>
    <n v="5897.04"/>
    <n v="85.1"/>
    <s v="Cash on Delivery"/>
    <x v="0"/>
    <b v="0"/>
    <x v="1"/>
    <n v="2"/>
  </r>
  <r>
    <s v="ORD-01044"/>
    <x v="482"/>
    <x v="482"/>
    <s v="CUST46334"/>
    <s v="Rohan Bhat"/>
    <n v="34"/>
    <s v="Other"/>
    <x v="4"/>
    <s v="Bangalore"/>
    <x v="1"/>
    <s v="Hair Oil"/>
    <n v="3"/>
    <n v="2006.91"/>
    <n v="0.1"/>
    <n v="6558.87"/>
    <n v="3118.91"/>
    <n v="65.760000000000005"/>
    <s v="Cash on Delivery"/>
    <x v="1"/>
    <b v="0"/>
    <x v="2"/>
    <n v="8"/>
  </r>
  <r>
    <s v="ORD-02107"/>
    <x v="1049"/>
    <x v="1049"/>
    <s v="CUST39752"/>
    <s v="Priya Pillai"/>
    <n v="41"/>
    <s v="Male"/>
    <x v="1"/>
    <s v="Pune"/>
    <x v="2"/>
    <s v="Wardrobe"/>
    <n v="7"/>
    <n v="7570.52"/>
    <n v="0.33"/>
    <n v="50975.7"/>
    <n v="14523.56"/>
    <n v="71.959999999999994"/>
    <s v="Debit Card"/>
    <x v="0"/>
    <b v="0"/>
    <x v="1"/>
    <n v="1"/>
  </r>
  <r>
    <s v="ORD-02043"/>
    <x v="586"/>
    <x v="586"/>
    <s v="CUST44040"/>
    <s v="Rahul Bose"/>
    <n v="31"/>
    <s v="Female"/>
    <x v="3"/>
    <s v="Bhubaneswar"/>
    <x v="1"/>
    <s v="Hair Oil"/>
    <n v="4"/>
    <n v="1974.29"/>
    <n v="0.37"/>
    <n v="8398"/>
    <n v="3117.66"/>
    <n v="87.34"/>
    <s v="Credit Card"/>
    <x v="4"/>
    <b v="1"/>
    <x v="0"/>
    <n v="9"/>
  </r>
  <r>
    <s v="ORD-03875"/>
    <x v="1156"/>
    <x v="1156"/>
    <s v="CUST84781"/>
    <s v="Vikram Nair"/>
    <n v="27"/>
    <s v="Female"/>
    <x v="4"/>
    <s v="Hyderabad"/>
    <x v="5"/>
    <s v="Camera"/>
    <n v="2"/>
    <n v="22369.95"/>
    <n v="0.35"/>
    <n v="42121.15"/>
    <n v="3831.16"/>
    <n v="69.95"/>
    <s v="Credit Card"/>
    <x v="1"/>
    <b v="0"/>
    <x v="1"/>
    <n v="7"/>
  </r>
  <r>
    <s v="ORD-00451"/>
    <x v="1416"/>
    <x v="1416"/>
    <s v="CUST68161"/>
    <s v="Shreya Chatterjee"/>
    <n v="21"/>
    <s v="Female"/>
    <x v="2"/>
    <s v="Delhi"/>
    <x v="5"/>
    <s v="Camera"/>
    <n v="6"/>
    <n v="71791.710000000006"/>
    <n v="0.22"/>
    <n v="410825.53"/>
    <n v="46770.76"/>
    <n v="45.98"/>
    <s v="EMI"/>
    <x v="2"/>
    <b v="0"/>
    <x v="1"/>
    <n v="1"/>
  </r>
  <r>
    <s v="ORD-02614"/>
    <x v="403"/>
    <x v="403"/>
    <s v="CUST00081"/>
    <s v="Karan Kumar"/>
    <n v="49"/>
    <s v="Female"/>
    <x v="1"/>
    <s v="Pune"/>
    <x v="1"/>
    <s v="Hair Oil"/>
    <n v="1"/>
    <n v="1738.61"/>
    <n v="0.33"/>
    <n v="1259.18"/>
    <n v="545.39"/>
    <n v="66.25"/>
    <s v="Cash on Delivery"/>
    <x v="1"/>
    <b v="0"/>
    <x v="1"/>
    <n v="10"/>
  </r>
  <r>
    <s v="ORD-03520"/>
    <x v="410"/>
    <x v="410"/>
    <s v="CUST13260"/>
    <s v="Karan Gupta"/>
    <n v="26"/>
    <s v="Male"/>
    <x v="2"/>
    <s v="Amritsar"/>
    <x v="5"/>
    <s v="Smartwatch"/>
    <n v="7"/>
    <n v="27748.1"/>
    <n v="0.17"/>
    <n v="209289.38"/>
    <n v="28699.09"/>
    <n v="42.72"/>
    <s v="Debit Card"/>
    <x v="4"/>
    <b v="1"/>
    <x v="0"/>
    <n v="8"/>
  </r>
  <r>
    <s v="ORD-00869"/>
    <x v="954"/>
    <x v="954"/>
    <s v="CUST63354"/>
    <s v="Rahul Mishra"/>
    <n v="54"/>
    <s v="Female"/>
    <x v="3"/>
    <s v="Bhubaneswar"/>
    <x v="5"/>
    <s v="Headphones"/>
    <n v="2"/>
    <n v="15121.18"/>
    <n v="0.11"/>
    <n v="22753.66"/>
    <n v="2384.2199999999998"/>
    <n v="94.45"/>
    <s v="Credit Card"/>
    <x v="4"/>
    <b v="0"/>
    <x v="1"/>
    <n v="8"/>
  </r>
  <r>
    <s v="ORD-01331"/>
    <x v="876"/>
    <x v="876"/>
    <s v="CUST82678"/>
    <s v="Ananya Gupta"/>
    <n v="11"/>
    <s v="Male"/>
    <x v="1"/>
    <s v="Ahmedabad"/>
    <x v="0"/>
    <s v="Dal (1kg)"/>
    <n v="8"/>
    <n v="96.84"/>
    <n v="0.35"/>
    <n v="688.57"/>
    <n v="57.78"/>
    <n v="45.37"/>
    <s v="Credit Card"/>
    <x v="4"/>
    <b v="0"/>
    <x v="1"/>
    <n v="8"/>
  </r>
  <r>
    <s v="ORD-00255"/>
    <x v="996"/>
    <x v="996"/>
    <s v="CUST21352"/>
    <s v="Nisha Verma"/>
    <n v="47"/>
    <s v="Other"/>
    <x v="2"/>
    <s v="Chandigarh"/>
    <x v="0"/>
    <s v="Rice (5kg)"/>
    <n v="2"/>
    <n v="194.68"/>
    <n v="0.03"/>
    <n v="459.04"/>
    <n v="32.11"/>
    <n v="16.100000000000001"/>
    <s v="UPI"/>
    <x v="0"/>
    <b v="0"/>
    <x v="3"/>
    <n v="4"/>
  </r>
  <r>
    <s v="ORD-03989"/>
    <x v="1417"/>
    <x v="1417"/>
    <s v="CUST67629"/>
    <s v="Shreya Kapoor"/>
    <n v="45"/>
    <s v="Male"/>
    <x v="0"/>
    <s v="Indore"/>
    <x v="0"/>
    <s v="Rice (5kg)"/>
    <n v="2"/>
    <n v="233.21"/>
    <n v="0.33"/>
    <n v="470.15"/>
    <n v="27.24"/>
    <n v="48.63"/>
    <s v="EMI"/>
    <x v="3"/>
    <b v="0"/>
    <x v="1"/>
    <n v="7"/>
  </r>
  <r>
    <s v="ORD-03031"/>
    <x v="276"/>
    <x v="276"/>
    <s v="CUST74610"/>
    <s v="Ananya Pillai"/>
    <n v="12"/>
    <s v="Other"/>
    <x v="4"/>
    <s v="Bangalore"/>
    <x v="5"/>
    <s v="Headphones"/>
    <n v="9"/>
    <n v="25108.78"/>
    <n v="0.21"/>
    <n v="361494.08"/>
    <n v="8115.37"/>
    <n v="102.24"/>
    <s v="Credit Card"/>
    <x v="4"/>
    <b v="0"/>
    <x v="1"/>
    <n v="7"/>
  </r>
  <r>
    <s v="ORD-02053"/>
    <x v="487"/>
    <x v="487"/>
    <s v="CUST33570"/>
    <s v="Deepa Bose"/>
    <n v="41"/>
    <s v="Male"/>
    <x v="4"/>
    <s v="Chennai"/>
    <x v="2"/>
    <s v="Sofa"/>
    <n v="10"/>
    <n v="21783.3"/>
    <n v="0.09"/>
    <n v="276349.78999999998"/>
    <n v="53595.22"/>
    <n v="73.39"/>
    <s v="Cash on Delivery"/>
    <x v="2"/>
    <b v="1"/>
    <x v="0"/>
    <n v="2"/>
  </r>
  <r>
    <s v="ORD-02885"/>
    <x v="983"/>
    <x v="983"/>
    <s v="CUST41002"/>
    <s v="Sanjay Pillai"/>
    <n v="18"/>
    <s v="Female"/>
    <x v="2"/>
    <s v="Amritsar"/>
    <x v="2"/>
    <s v="Bed Frame"/>
    <n v="5"/>
    <n v="31009.31"/>
    <n v="0.12"/>
    <n v="41352.35"/>
    <n v="16597.68"/>
    <n v="47.32"/>
    <s v="Cash on Delivery"/>
    <x v="2"/>
    <b v="0"/>
    <x v="1"/>
    <n v="1"/>
  </r>
  <r>
    <s v="ORD-03430"/>
    <x v="631"/>
    <x v="631"/>
    <s v="CUST08360"/>
    <s v="Nisha Singh"/>
    <n v="24"/>
    <s v="Other"/>
    <x v="4"/>
    <s v="Bangalore"/>
    <x v="3"/>
    <s v="Cook Book"/>
    <n v="2"/>
    <n v="1002.73"/>
    <n v="0"/>
    <n v="2026.66"/>
    <n v="998.39"/>
    <n v="69.02"/>
    <s v="Cash on Delivery"/>
    <x v="1"/>
    <b v="0"/>
    <x v="3"/>
    <n v="8"/>
  </r>
  <r>
    <s v="ORD-02498"/>
    <x v="140"/>
    <x v="140"/>
    <s v="CUST64162"/>
    <s v="Arjun Rao"/>
    <n v="9"/>
    <s v="Other"/>
    <x v="4"/>
    <s v="Hyderabad"/>
    <x v="0"/>
    <s v="Sugar"/>
    <n v="4"/>
    <n v="479.32"/>
    <n v="0.06"/>
    <n v="1760.95"/>
    <n v="83.73"/>
    <n v="74.489999999999995"/>
    <s v="Credit Card"/>
    <x v="2"/>
    <b v="1"/>
    <x v="0"/>
    <n v="3"/>
  </r>
  <r>
    <s v="ORD-02027"/>
    <x v="1418"/>
    <x v="1418"/>
    <s v="CUST24879"/>
    <s v="Kavya Chatterjee"/>
    <n v="50"/>
    <s v="Female"/>
    <x v="4"/>
    <s v="Chennai"/>
    <x v="2"/>
    <s v="Chair"/>
    <n v="3"/>
    <n v="16614.080000000002"/>
    <n v="0.33"/>
    <n v="50453.16"/>
    <n v="12964.62"/>
    <n v="63.05"/>
    <s v="Credit Card"/>
    <x v="3"/>
    <b v="1"/>
    <x v="0"/>
    <n v="5"/>
  </r>
  <r>
    <s v="ORD-00100"/>
    <x v="63"/>
    <x v="63"/>
    <s v="CUST38913"/>
    <s v="Rohan Nair"/>
    <n v="20"/>
    <s v="Male"/>
    <x v="4"/>
    <s v="Kochi"/>
    <x v="0"/>
    <s v="Tea"/>
    <n v="9"/>
    <n v="125.81"/>
    <n v="0.24"/>
    <n v="845.95"/>
    <n v="45.94"/>
    <n v="75.38"/>
    <s v="Debit Card"/>
    <x v="4"/>
    <b v="0"/>
    <x v="4"/>
    <n v="3"/>
  </r>
  <r>
    <s v="ORD-02412"/>
    <x v="325"/>
    <x v="325"/>
    <s v="CUST49639"/>
    <s v="Arjun Nair"/>
    <n v="34"/>
    <s v="Other"/>
    <x v="4"/>
    <s v="Chennai"/>
    <x v="0"/>
    <s v="Dal (1kg)"/>
    <n v="4"/>
    <n v="407.56"/>
    <n v="0.32"/>
    <n v="990.4"/>
    <n v="81"/>
    <n v="76.78"/>
    <s v="UPI"/>
    <x v="3"/>
    <b v="0"/>
    <x v="1"/>
    <n v="1"/>
  </r>
  <r>
    <s v="ORD-02054"/>
    <x v="1140"/>
    <x v="1140"/>
    <s v="CUST61332"/>
    <s v="Karan Iyer"/>
    <n v="51"/>
    <s v="Other"/>
    <x v="4"/>
    <s v="Bangalore"/>
    <x v="0"/>
    <s v="Sugar"/>
    <n v="10"/>
    <n v="53.46"/>
    <n v="0.05"/>
    <n v="815.23"/>
    <n v="88.15"/>
    <n v="67.319999999999993"/>
    <s v="Debit Card"/>
    <x v="4"/>
    <b v="0"/>
    <x v="3"/>
    <n v="9"/>
  </r>
  <r>
    <s v="ORD-03065"/>
    <x v="513"/>
    <x v="513"/>
    <s v="CUST41118"/>
    <s v="Rohan Bhat"/>
    <n v="47"/>
    <s v="Female"/>
    <x v="4"/>
    <s v="Kochi"/>
    <x v="6"/>
    <s v="Tennis Racket"/>
    <n v="8"/>
    <n v="11184.95"/>
    <n v="0.39"/>
    <n v="84179.79"/>
    <n v="26658.84"/>
    <n v="58.07"/>
    <s v="Net Banking"/>
    <x v="2"/>
    <b v="0"/>
    <x v="4"/>
    <n v="8"/>
  </r>
  <r>
    <s v="ORD-02085"/>
    <x v="848"/>
    <x v="848"/>
    <s v="CUST42353"/>
    <s v="Vikram Shah"/>
    <n v="53"/>
    <s v="Male"/>
    <x v="3"/>
    <s v="Guwahati"/>
    <x v="5"/>
    <s v="Laptop"/>
    <n v="6"/>
    <n v="10929.88"/>
    <n v="0.16"/>
    <n v="85653.85"/>
    <n v="12561.33"/>
    <n v="76.61"/>
    <s v="EMI"/>
    <x v="4"/>
    <b v="0"/>
    <x v="1"/>
    <n v="1"/>
  </r>
  <r>
    <s v="ORD-02145"/>
    <x v="176"/>
    <x v="176"/>
    <s v="CUST18861"/>
    <s v="Nikhil Kapoor"/>
    <n v="28"/>
    <s v="Female"/>
    <x v="1"/>
    <s v="Surat"/>
    <x v="3"/>
    <s v="Textbook"/>
    <n v="5"/>
    <n v="539.41"/>
    <n v="0.11"/>
    <n v="3571.01"/>
    <n v="1290.67"/>
    <n v="66.22"/>
    <s v="Net Banking"/>
    <x v="0"/>
    <b v="0"/>
    <x v="1"/>
    <n v="10"/>
  </r>
  <r>
    <s v="ORD-02402"/>
    <x v="1261"/>
    <x v="1261"/>
    <s v="CUST72572"/>
    <s v="Aarav Joshi"/>
    <n v="19"/>
    <s v="Male"/>
    <x v="4"/>
    <s v="Kochi"/>
    <x v="3"/>
    <s v="Self-Help Book"/>
    <n v="2"/>
    <n v="483.7"/>
    <n v="0.17"/>
    <n v="699.82"/>
    <n v="225.52"/>
    <n v="101.82"/>
    <s v="Net Banking"/>
    <x v="3"/>
    <b v="0"/>
    <x v="1"/>
    <n v="1"/>
  </r>
  <r>
    <s v="ORD-01159"/>
    <x v="1119"/>
    <x v="1119"/>
    <s v="CUST72570"/>
    <s v="Shreya Pillai"/>
    <n v="37"/>
    <s v="Female"/>
    <x v="0"/>
    <s v="Indore"/>
    <x v="0"/>
    <s v="Cooking Oil"/>
    <n v="10"/>
    <n v="134.6"/>
    <n v="0.03"/>
    <n v="1594.09"/>
    <n v="134.34"/>
    <n v="105.77"/>
    <s v="Net Banking"/>
    <x v="4"/>
    <b v="0"/>
    <x v="1"/>
    <n v="5"/>
  </r>
  <r>
    <s v="ORD-03562"/>
    <x v="1251"/>
    <x v="1251"/>
    <s v="CUST05923"/>
    <s v="Shreya Mishra"/>
    <n v="51"/>
    <s v="Male"/>
    <x v="0"/>
    <s v="Bhopal"/>
    <x v="5"/>
    <s v="Laptop"/>
    <n v="5"/>
    <n v="11709.91"/>
    <n v="0.31"/>
    <n v="50072.11"/>
    <n v="6899.28"/>
    <n v="59.01"/>
    <s v="Debit Card"/>
    <x v="2"/>
    <b v="0"/>
    <x v="3"/>
    <n v="3"/>
  </r>
  <r>
    <s v="ORD-02598"/>
    <x v="1211"/>
    <x v="1211"/>
    <s v="CUST07029"/>
    <s v="Sanjay Kumar"/>
    <n v="45"/>
    <s v="Other"/>
    <x v="2"/>
    <s v="Chandigarh"/>
    <x v="4"/>
    <s v="Kurta"/>
    <n v="8"/>
    <n v="772.69"/>
    <n v="0.15"/>
    <n v="5307.05"/>
    <n v="1907.75"/>
    <n v="77.11"/>
    <s v="Cash on Delivery"/>
    <x v="2"/>
    <b v="0"/>
    <x v="4"/>
    <n v="1"/>
  </r>
  <r>
    <s v="ORD-03064"/>
    <x v="513"/>
    <x v="513"/>
    <s v="CUST50295"/>
    <s v="Meera Verma"/>
    <n v="38"/>
    <s v="Female"/>
    <x v="2"/>
    <s v="Ludhiana"/>
    <x v="1"/>
    <s v="Sunscreen"/>
    <n v="8"/>
    <n v="1422.11"/>
    <n v="0.13"/>
    <n v="14282.97"/>
    <n v="5448.38"/>
    <n v="38.61"/>
    <s v="UPI"/>
    <x v="0"/>
    <b v="1"/>
    <x v="0"/>
    <n v="8"/>
  </r>
  <r>
    <s v="ORD-01932"/>
    <x v="1164"/>
    <x v="1164"/>
    <s v="CUST81283"/>
    <s v="Kavya Joshi"/>
    <n v="54"/>
    <s v="Female"/>
    <x v="0"/>
    <s v="Nagpur"/>
    <x v="2"/>
    <s v="Desk"/>
    <n v="8"/>
    <n v="31153.02"/>
    <n v="0.2"/>
    <n v="268467.06"/>
    <n v="50396.19"/>
    <n v="31.05"/>
    <s v="EMI"/>
    <x v="4"/>
    <b v="0"/>
    <x v="1"/>
    <n v="7"/>
  </r>
  <r>
    <s v="ORD-00241"/>
    <x v="1419"/>
    <x v="1419"/>
    <s v="CUST62809"/>
    <s v="Rahul Gupta"/>
    <n v="49"/>
    <s v="Male"/>
    <x v="3"/>
    <s v="Patna"/>
    <x v="5"/>
    <s v="Camera"/>
    <n v="2"/>
    <n v="46584.639999999999"/>
    <n v="0.32"/>
    <n v="74700.63"/>
    <n v="5374.6"/>
    <n v="75.260000000000005"/>
    <s v="UPI"/>
    <x v="4"/>
    <b v="0"/>
    <x v="1"/>
    <n v="4"/>
  </r>
  <r>
    <s v="ORD-01976"/>
    <x v="1364"/>
    <x v="1364"/>
    <s v="CUST97057"/>
    <s v="Sanjay Mishra"/>
    <n v="19"/>
    <s v="Male"/>
    <x v="4"/>
    <s v="Hyderabad"/>
    <x v="3"/>
    <s v="Biography"/>
    <n v="2"/>
    <n v="925.2"/>
    <n v="0.09"/>
    <n v="2492.19"/>
    <n v="582.47"/>
    <n v="86.46"/>
    <s v="Debit Card"/>
    <x v="1"/>
    <b v="0"/>
    <x v="3"/>
    <n v="10"/>
  </r>
  <r>
    <s v="ORD-03470"/>
    <x v="945"/>
    <x v="945"/>
    <s v="CUST49992"/>
    <s v="Ritu Pillai"/>
    <n v="47"/>
    <s v="Female"/>
    <x v="3"/>
    <s v="Guwahati"/>
    <x v="5"/>
    <s v="Laptop"/>
    <n v="7"/>
    <n v="27099.439999999999"/>
    <n v="0.32"/>
    <n v="138104.32999999999"/>
    <n v="17338.53"/>
    <n v="53.54"/>
    <s v="UPI"/>
    <x v="2"/>
    <b v="1"/>
    <x v="0"/>
    <n v="4"/>
  </r>
  <r>
    <s v="ORD-01923"/>
    <x v="1338"/>
    <x v="1338"/>
    <s v="CUST85826"/>
    <s v="Kavya Mishra"/>
    <n v="51"/>
    <s v="Male"/>
    <x v="1"/>
    <s v="Surat"/>
    <x v="0"/>
    <s v="Cooking Oil"/>
    <n v="1"/>
    <n v="478.65"/>
    <n v="0.01"/>
    <n v="646.28"/>
    <n v="61.75"/>
    <n v="46.06"/>
    <s v="EMI"/>
    <x v="0"/>
    <b v="0"/>
    <x v="3"/>
    <n v="1"/>
  </r>
  <r>
    <s v="ORD-02896"/>
    <x v="813"/>
    <x v="813"/>
    <s v="CUST37393"/>
    <s v="Shreya Mishra"/>
    <n v="24"/>
    <s v="Other"/>
    <x v="2"/>
    <s v="Amritsar"/>
    <x v="1"/>
    <s v="Sunscreen"/>
    <n v="2"/>
    <n v="1742.14"/>
    <n v="0.33"/>
    <n v="4112.8900000000003"/>
    <n v="1802.05"/>
    <n v="68.900000000000006"/>
    <s v="Net Banking"/>
    <x v="4"/>
    <b v="0"/>
    <x v="1"/>
    <n v="3"/>
  </r>
  <r>
    <s v="ORD-03536"/>
    <x v="1216"/>
    <x v="1216"/>
    <s v="CUST42326"/>
    <s v="Sunita Gupta"/>
    <n v="24"/>
    <s v="Other"/>
    <x v="2"/>
    <s v="Amritsar"/>
    <x v="4"/>
    <s v="Saree"/>
    <n v="3"/>
    <n v="2335.6"/>
    <n v="0.24"/>
    <n v="6639.76"/>
    <n v="2659.96"/>
    <n v="53.79"/>
    <s v="EMI"/>
    <x v="1"/>
    <b v="0"/>
    <x v="1"/>
    <n v="8"/>
  </r>
  <r>
    <s v="ORD-03975"/>
    <x v="306"/>
    <x v="306"/>
    <s v="CUST61274"/>
    <s v="Sunita Mishra"/>
    <n v="36"/>
    <s v="Other"/>
    <x v="3"/>
    <s v="Patna"/>
    <x v="3"/>
    <s v="Biography"/>
    <n v="2"/>
    <n v="1250.6500000000001"/>
    <n v="0.19"/>
    <n v="2194.66"/>
    <n v="1031.95"/>
    <n v="96.46"/>
    <s v="EMI"/>
    <x v="1"/>
    <b v="0"/>
    <x v="1"/>
    <n v="3"/>
  </r>
  <r>
    <s v="ORD-00908"/>
    <x v="1420"/>
    <x v="1420"/>
    <s v="CUST33667"/>
    <s v="Vikram Mehta"/>
    <n v="40"/>
    <s v="Male"/>
    <x v="2"/>
    <s v="Chandigarh"/>
    <x v="6"/>
    <s v="Football"/>
    <n v="2"/>
    <n v="660.31"/>
    <n v="0.11"/>
    <n v="1039.58"/>
    <n v="273.10000000000002"/>
    <n v="41.05"/>
    <s v="Net Banking"/>
    <x v="3"/>
    <b v="0"/>
    <x v="1"/>
    <n v="3"/>
  </r>
  <r>
    <s v="ORD-03755"/>
    <x v="802"/>
    <x v="802"/>
    <s v="CUST69679"/>
    <s v="Aarav Kumar"/>
    <n v="18"/>
    <s v="Male"/>
    <x v="1"/>
    <s v="Surat"/>
    <x v="2"/>
    <s v="Sofa"/>
    <n v="3"/>
    <n v="34248.61"/>
    <n v="0.02"/>
    <n v="172473.24"/>
    <n v="48852.27"/>
    <n v="59.95"/>
    <s v="Debit Card"/>
    <x v="0"/>
    <b v="0"/>
    <x v="1"/>
    <n v="4"/>
  </r>
  <r>
    <s v="ORD-02343"/>
    <x v="789"/>
    <x v="789"/>
    <s v="CUST93661"/>
    <s v="Ananya Pillai"/>
    <n v="19"/>
    <s v="Female"/>
    <x v="2"/>
    <s v="Delhi"/>
    <x v="2"/>
    <s v="Desk"/>
    <n v="10"/>
    <n v="12399.19"/>
    <n v="0.23"/>
    <n v="113748.97"/>
    <n v="36698.33"/>
    <n v="41.96"/>
    <s v="EMI"/>
    <x v="4"/>
    <b v="1"/>
    <x v="0"/>
    <n v="5"/>
  </r>
  <r>
    <s v="ORD-00971"/>
    <x v="1421"/>
    <x v="1421"/>
    <s v="CUST58302"/>
    <s v="Shreya Singh"/>
    <n v="24"/>
    <s v="Other"/>
    <x v="3"/>
    <s v="Patna"/>
    <x v="5"/>
    <s v="Smartphone"/>
    <n v="5"/>
    <n v="26856.73"/>
    <n v="0.19"/>
    <n v="22019.439999999999"/>
    <n v="3128.23"/>
    <n v="65.040000000000006"/>
    <s v="Debit Card"/>
    <x v="1"/>
    <b v="0"/>
    <x v="1"/>
    <n v="1"/>
  </r>
  <r>
    <s v="ORD-03402"/>
    <x v="247"/>
    <x v="247"/>
    <s v="CUST51343"/>
    <s v="Nikhil Bose"/>
    <n v="42"/>
    <s v="Female"/>
    <x v="2"/>
    <s v="Chandigarh"/>
    <x v="4"/>
    <s v="Jacket"/>
    <n v="5"/>
    <n v="3923.7"/>
    <n v="0.3"/>
    <n v="12054.36"/>
    <n v="4843.88"/>
    <n v="58.27"/>
    <s v="Net Banking"/>
    <x v="0"/>
    <b v="0"/>
    <x v="1"/>
    <n v="3"/>
  </r>
  <r>
    <s v="ORD-02715"/>
    <x v="934"/>
    <x v="934"/>
    <s v="CUST14346"/>
    <s v="Rahul Mishra"/>
    <n v="54"/>
    <s v="Female"/>
    <x v="1"/>
    <s v="Surat"/>
    <x v="3"/>
    <s v="Fiction Novel"/>
    <n v="2"/>
    <n v="200.55"/>
    <n v="0.2"/>
    <n v="357.47"/>
    <n v="109.45"/>
    <n v="52.35"/>
    <s v="Credit Card"/>
    <x v="0"/>
    <b v="1"/>
    <x v="0"/>
    <n v="2"/>
  </r>
  <r>
    <s v="ORD-00394"/>
    <x v="1422"/>
    <x v="1422"/>
    <s v="CUST71699"/>
    <s v="Karan Iyer"/>
    <n v="39"/>
    <s v="Male"/>
    <x v="2"/>
    <s v="Delhi"/>
    <x v="0"/>
    <s v="Dal (1kg)"/>
    <n v="2"/>
    <n v="99.94"/>
    <n v="0.39"/>
    <n v="144.81"/>
    <n v="11.4"/>
    <n v="47.24"/>
    <s v="EMI"/>
    <x v="4"/>
    <b v="0"/>
    <x v="1"/>
    <n v="3"/>
  </r>
  <r>
    <s v="ORD-03062"/>
    <x v="690"/>
    <x v="690"/>
    <s v="CUST25706"/>
    <s v="Arjun Bose"/>
    <n v="32"/>
    <s v="Female"/>
    <x v="0"/>
    <s v="Indore"/>
    <x v="1"/>
    <s v="Hair Oil"/>
    <n v="7"/>
    <n v="2030.6"/>
    <n v="0.32"/>
    <n v="15087.35"/>
    <n v="5363.62"/>
    <n v="45.14"/>
    <s v="Net Banking"/>
    <x v="2"/>
    <b v="0"/>
    <x v="3"/>
    <n v="4"/>
  </r>
  <r>
    <s v="ORD-00401"/>
    <x v="79"/>
    <x v="79"/>
    <s v="CUST43114"/>
    <s v="Karan Singh"/>
    <n v="35"/>
    <s v="Other"/>
    <x v="3"/>
    <s v="Patna"/>
    <x v="2"/>
    <s v="Bed Frame"/>
    <n v="3"/>
    <n v="31841.24"/>
    <n v="0.32"/>
    <n v="78919.02"/>
    <n v="21204.15"/>
    <n v="78.260000000000005"/>
    <s v="Cash on Delivery"/>
    <x v="2"/>
    <b v="1"/>
    <x v="0"/>
    <n v="6"/>
  </r>
  <r>
    <s v="ORD-00706"/>
    <x v="46"/>
    <x v="46"/>
    <s v="CUST28706"/>
    <s v="Aarav Bose"/>
    <n v="34"/>
    <s v="Female"/>
    <x v="2"/>
    <s v="Amritsar"/>
    <x v="4"/>
    <s v="Dress"/>
    <n v="3"/>
    <n v="461.34"/>
    <n v="0.16"/>
    <n v="748.84"/>
    <n v="261"/>
    <n v="36.700000000000003"/>
    <s v="UPI"/>
    <x v="4"/>
    <b v="1"/>
    <x v="0"/>
    <n v="4"/>
  </r>
  <r>
    <s v="ORD-03644"/>
    <x v="790"/>
    <x v="790"/>
    <s v="CUST85909"/>
    <s v="Aditya Mehta"/>
    <n v="26"/>
    <s v="Female"/>
    <x v="3"/>
    <s v="Patna"/>
    <x v="1"/>
    <s v="Face Cream"/>
    <n v="10"/>
    <n v="2273.9"/>
    <n v="0.21"/>
    <n v="30023.01"/>
    <n v="13458.53"/>
    <n v="83.41"/>
    <s v="EMI"/>
    <x v="4"/>
    <b v="0"/>
    <x v="1"/>
    <n v="10"/>
  </r>
  <r>
    <s v="ORD-00600"/>
    <x v="202"/>
    <x v="202"/>
    <s v="CUST85593"/>
    <s v="Aarav Mishra"/>
    <n v="33"/>
    <s v="Male"/>
    <x v="1"/>
    <s v="Pune"/>
    <x v="3"/>
    <s v="Self-Help Book"/>
    <n v="2"/>
    <n v="1462.19"/>
    <n v="0.35"/>
    <n v="2078.34"/>
    <n v="1202.05"/>
    <n v="78.540000000000006"/>
    <s v="Cash on Delivery"/>
    <x v="1"/>
    <b v="0"/>
    <x v="1"/>
    <n v="2"/>
  </r>
  <r>
    <s v="ORD-01537"/>
    <x v="166"/>
    <x v="166"/>
    <s v="CUST39925"/>
    <s v="Ritu Iyer"/>
    <n v="49"/>
    <s v="Female"/>
    <x v="4"/>
    <s v="Kochi"/>
    <x v="5"/>
    <s v="Headphones"/>
    <n v="5"/>
    <n v="40279.85"/>
    <n v="0.24"/>
    <n v="124328.85"/>
    <n v="18217.89"/>
    <n v="89.76"/>
    <s v="Net Banking"/>
    <x v="0"/>
    <b v="0"/>
    <x v="1"/>
    <n v="9"/>
  </r>
  <r>
    <s v="ORD-02665"/>
    <x v="273"/>
    <x v="273"/>
    <s v="CUST20671"/>
    <s v="Priya Mishra"/>
    <n v="10"/>
    <s v="Male"/>
    <x v="3"/>
    <s v="Guwahati"/>
    <x v="3"/>
    <s v="Comic Book"/>
    <n v="1"/>
    <n v="497.24"/>
    <n v="7.0000000000000007E-2"/>
    <n v="536.5"/>
    <n v="255"/>
    <n v="86.11"/>
    <s v="Cash on Delivery"/>
    <x v="2"/>
    <b v="0"/>
    <x v="3"/>
    <n v="8"/>
  </r>
  <r>
    <s v="ORD-00616"/>
    <x v="444"/>
    <x v="444"/>
    <s v="CUST54063"/>
    <s v="Karan Mishra"/>
    <n v="37"/>
    <s v="Female"/>
    <x v="1"/>
    <s v="Ahmedabad"/>
    <x v="0"/>
    <s v="Sugar"/>
    <n v="1"/>
    <n v="128.76"/>
    <n v="0.28999999999999998"/>
    <n v="74.650000000000006"/>
    <n v="6.89"/>
    <n v="68.06"/>
    <s v="EMI"/>
    <x v="3"/>
    <b v="0"/>
    <x v="1"/>
    <n v="1"/>
  </r>
  <r>
    <s v="ORD-00370"/>
    <x v="850"/>
    <x v="850"/>
    <s v="CUST93153"/>
    <s v="Shreya Gupta"/>
    <n v="42"/>
    <s v="Male"/>
    <x v="4"/>
    <s v="Bangalore"/>
    <x v="1"/>
    <s v="Face Cream"/>
    <n v="1"/>
    <n v="304.89"/>
    <n v="0.26"/>
    <n v="259.14"/>
    <n v="106.14"/>
    <n v="52.86"/>
    <s v="EMI"/>
    <x v="2"/>
    <b v="0"/>
    <x v="1"/>
    <n v="6"/>
  </r>
  <r>
    <s v="ORD-00680"/>
    <x v="1390"/>
    <x v="1390"/>
    <s v="CUST60413"/>
    <s v="Ritu Nair"/>
    <n v="36"/>
    <s v="Male"/>
    <x v="3"/>
    <s v="Kolkata"/>
    <x v="1"/>
    <s v="Face Cream"/>
    <n v="10"/>
    <n v="1113.9100000000001"/>
    <n v="0.25"/>
    <n v="5465.25"/>
    <n v="2411.46"/>
    <n v="46.33"/>
    <s v="Net Banking"/>
    <x v="3"/>
    <b v="0"/>
    <x v="1"/>
    <n v="9"/>
  </r>
  <r>
    <s v="ORD-00782"/>
    <x v="424"/>
    <x v="424"/>
    <s v="CUST07857"/>
    <s v="Amit Patel"/>
    <n v="34"/>
    <s v="Female"/>
    <x v="0"/>
    <s v="Nagpur"/>
    <x v="4"/>
    <s v="Kurta"/>
    <n v="1"/>
    <n v="3294.44"/>
    <n v="0.06"/>
    <n v="2065.81"/>
    <n v="808.26"/>
    <n v="41.96"/>
    <s v="EMI"/>
    <x v="2"/>
    <b v="0"/>
    <x v="1"/>
    <n v="9"/>
  </r>
  <r>
    <s v="ORD-04006"/>
    <x v="1423"/>
    <x v="1423"/>
    <s v="CUST54515"/>
    <s v="Sanjay Gupta"/>
    <n v="15"/>
    <s v="Male"/>
    <x v="4"/>
    <s v="Bangalore"/>
    <x v="3"/>
    <s v="Biography"/>
    <n v="3"/>
    <n v="895.77"/>
    <n v="0.21"/>
    <n v="2973.34"/>
    <n v="895.93"/>
    <n v="71.180000000000007"/>
    <s v="Debit Card"/>
    <x v="2"/>
    <b v="0"/>
    <x v="1"/>
    <n v="8"/>
  </r>
  <r>
    <s v="ORD-03395"/>
    <x v="206"/>
    <x v="206"/>
    <s v="CUST22022"/>
    <s v="Priya Verma"/>
    <n v="15"/>
    <s v="Female"/>
    <x v="1"/>
    <s v="Pune"/>
    <x v="5"/>
    <s v="Headphones"/>
    <n v="5"/>
    <n v="26868.19"/>
    <n v="0.1"/>
    <n v="122902.72"/>
    <n v="15109.15"/>
    <n v="47.85"/>
    <s v="Credit Card"/>
    <x v="3"/>
    <b v="0"/>
    <x v="1"/>
    <n v="7"/>
  </r>
  <r>
    <s v="ORD-02248"/>
    <x v="59"/>
    <x v="59"/>
    <s v="CUST63445"/>
    <s v="Sunita Patel"/>
    <n v="47"/>
    <s v="Male"/>
    <x v="1"/>
    <s v="Surat"/>
    <x v="6"/>
    <s v="Dumbbells"/>
    <n v="2"/>
    <n v="14129.5"/>
    <n v="0.01"/>
    <n v="34498.58"/>
    <n v="6979.34"/>
    <n v="74.75"/>
    <s v="Debit Card"/>
    <x v="0"/>
    <b v="0"/>
    <x v="1"/>
    <n v="2"/>
  </r>
  <r>
    <s v="ORD-01330"/>
    <x v="876"/>
    <x v="876"/>
    <s v="CUST93307"/>
    <s v="Rohan Rao"/>
    <n v="34"/>
    <s v="Female"/>
    <x v="2"/>
    <s v="Chandigarh"/>
    <x v="3"/>
    <s v="Cook Book"/>
    <n v="3"/>
    <n v="1298.4000000000001"/>
    <n v="0.14000000000000001"/>
    <n v="4095.91"/>
    <n v="1805.58"/>
    <n v="57.93"/>
    <s v="UPI"/>
    <x v="4"/>
    <b v="0"/>
    <x v="1"/>
    <n v="3"/>
  </r>
  <r>
    <s v="ORD-03093"/>
    <x v="68"/>
    <x v="68"/>
    <s v="CUST63058"/>
    <s v="Deepa Pillai"/>
    <n v="36"/>
    <s v="Male"/>
    <x v="4"/>
    <s v="Hyderabad"/>
    <x v="1"/>
    <s v="Shampoo"/>
    <n v="6"/>
    <n v="379.51"/>
    <n v="0.02"/>
    <n v="3520.77"/>
    <n v="1945.96"/>
    <n v="53.34"/>
    <s v="Debit Card"/>
    <x v="0"/>
    <b v="0"/>
    <x v="1"/>
    <n v="8"/>
  </r>
  <r>
    <s v="ORD-01117"/>
    <x v="1424"/>
    <x v="1424"/>
    <s v="CUST87893"/>
    <s v="Kavya Mishra"/>
    <n v="35"/>
    <s v="Other"/>
    <x v="1"/>
    <s v="Ahmedabad"/>
    <x v="0"/>
    <s v="Rice (5kg)"/>
    <n v="6"/>
    <n v="190.35"/>
    <n v="0.38"/>
    <n v="951.07"/>
    <n v="79.430000000000007"/>
    <n v="70.42"/>
    <s v="Net Banking"/>
    <x v="0"/>
    <b v="0"/>
    <x v="1"/>
    <n v="10"/>
  </r>
  <r>
    <s v="ORD-03890"/>
    <x v="561"/>
    <x v="561"/>
    <s v="CUST03009"/>
    <s v="Rahul Rao"/>
    <n v="34"/>
    <s v="Other"/>
    <x v="1"/>
    <s v="Surat"/>
    <x v="2"/>
    <s v="Chair"/>
    <n v="10"/>
    <n v="2485.94"/>
    <n v="0.21"/>
    <n v="31724.99"/>
    <n v="8743.0499999999993"/>
    <n v="48.62"/>
    <s v="UPI"/>
    <x v="2"/>
    <b v="0"/>
    <x v="1"/>
    <n v="10"/>
  </r>
  <r>
    <s v="ORD-00468"/>
    <x v="1273"/>
    <x v="1273"/>
    <s v="CUST87073"/>
    <s v="Arjun Nair"/>
    <n v="7"/>
    <s v="Male"/>
    <x v="3"/>
    <s v="Patna"/>
    <x v="2"/>
    <s v="Bookshelf"/>
    <n v="7"/>
    <n v="17299.59"/>
    <n v="0.09"/>
    <n v="138425.43"/>
    <n v="43383.64"/>
    <n v="92.91"/>
    <s v="EMI"/>
    <x v="4"/>
    <b v="0"/>
    <x v="1"/>
    <n v="3"/>
  </r>
  <r>
    <s v="ORD-02704"/>
    <x v="339"/>
    <x v="339"/>
    <s v="CUST96458"/>
    <s v="Rohan Mehta"/>
    <n v="29"/>
    <s v="Other"/>
    <x v="3"/>
    <s v="Kolkata"/>
    <x v="5"/>
    <s v="Smartwatch"/>
    <n v="1"/>
    <n v="11877.16"/>
    <n v="0.37"/>
    <n v="9956.83"/>
    <n v="1549.61"/>
    <n v="72.81"/>
    <s v="Credit Card"/>
    <x v="2"/>
    <b v="0"/>
    <x v="1"/>
    <n v="8"/>
  </r>
  <r>
    <s v="ORD-02952"/>
    <x v="1425"/>
    <x v="1425"/>
    <s v="CUST41320"/>
    <s v="Aarav Kumar"/>
    <n v="35"/>
    <s v="Female"/>
    <x v="0"/>
    <s v="Nagpur"/>
    <x v="0"/>
    <s v="Dal (1kg)"/>
    <n v="3"/>
    <n v="130.57"/>
    <n v="0.23"/>
    <n v="529.29999999999995"/>
    <n v="61.59"/>
    <n v="41.29"/>
    <s v="Net Banking"/>
    <x v="4"/>
    <b v="0"/>
    <x v="3"/>
    <n v="8"/>
  </r>
  <r>
    <s v="ORD-02003"/>
    <x v="264"/>
    <x v="264"/>
    <s v="CUST91911"/>
    <s v="Sunita Mishra"/>
    <n v="24"/>
    <s v="Other"/>
    <x v="0"/>
    <s v="Raipur"/>
    <x v="5"/>
    <s v="Smartwatch"/>
    <n v="7"/>
    <n v="72204.479999999996"/>
    <n v="0.06"/>
    <n v="746567.96"/>
    <n v="96807.83"/>
    <n v="51.76"/>
    <s v="Net Banking"/>
    <x v="2"/>
    <b v="0"/>
    <x v="1"/>
    <n v="3"/>
  </r>
  <r>
    <s v="ORD-01402"/>
    <x v="984"/>
    <x v="984"/>
    <s v="CUST90375"/>
    <s v="Kavya Iyer"/>
    <n v="42"/>
    <s v="Female"/>
    <x v="3"/>
    <s v="Bhubaneswar"/>
    <x v="0"/>
    <s v="Sugar"/>
    <n v="10"/>
    <n v="245.92"/>
    <n v="0.04"/>
    <n v="2502.84"/>
    <n v="183.09"/>
    <n v="76.22"/>
    <s v="Net Banking"/>
    <x v="1"/>
    <b v="0"/>
    <x v="2"/>
    <n v="5"/>
  </r>
  <r>
    <s v="ORD-01882"/>
    <x v="1032"/>
    <x v="1032"/>
    <s v="CUST32524"/>
    <s v="Priya Joshi"/>
    <n v="56"/>
    <s v="Male"/>
    <x v="0"/>
    <s v="Bhopal"/>
    <x v="2"/>
    <s v="Sofa"/>
    <n v="10"/>
    <n v="34008.99"/>
    <n v="0.11"/>
    <n v="426011.42"/>
    <n v="100494.87"/>
    <n v="51.53"/>
    <s v="Cash on Delivery"/>
    <x v="4"/>
    <b v="0"/>
    <x v="3"/>
    <n v="3"/>
  </r>
  <r>
    <s v="ORD-03246"/>
    <x v="1426"/>
    <x v="1426"/>
    <s v="CUST96426"/>
    <s v="Sunita Patel"/>
    <n v="46"/>
    <s v="Male"/>
    <x v="4"/>
    <s v="Chennai"/>
    <x v="4"/>
    <s v="T-Shirt"/>
    <n v="3"/>
    <n v="2706.45"/>
    <n v="0.39"/>
    <n v="4498.2299999999996"/>
    <n v="1415.33"/>
    <n v="73.84"/>
    <s v="EMI"/>
    <x v="2"/>
    <b v="1"/>
    <x v="0"/>
    <n v="8"/>
  </r>
  <r>
    <s v="ORD-01838"/>
    <x v="793"/>
    <x v="793"/>
    <s v="CUST27510"/>
    <s v="Kavya Joshi"/>
    <n v="16"/>
    <s v="Female"/>
    <x v="1"/>
    <s v="Mumbai"/>
    <x v="0"/>
    <s v="Cooking Oil"/>
    <n v="4"/>
    <n v="393.16"/>
    <n v="0.06"/>
    <n v="1961.61"/>
    <n v="197.05"/>
    <n v="79.099999999999994"/>
    <s v="UPI"/>
    <x v="1"/>
    <b v="0"/>
    <x v="1"/>
    <n v="4"/>
  </r>
  <r>
    <s v="ORD-00323"/>
    <x v="267"/>
    <x v="267"/>
    <s v="CUST57259"/>
    <s v="Nikhil Mishra"/>
    <n v="31"/>
    <s v="Male"/>
    <x v="1"/>
    <s v="Pune"/>
    <x v="3"/>
    <s v="Textbook"/>
    <n v="1"/>
    <n v="680.85"/>
    <n v="0.12"/>
    <n v="794.6"/>
    <n v="338.98"/>
    <n v="44.99"/>
    <s v="Debit Card"/>
    <x v="0"/>
    <b v="0"/>
    <x v="1"/>
    <n v="2"/>
  </r>
  <r>
    <s v="ORD-02452"/>
    <x v="607"/>
    <x v="607"/>
    <s v="CUST45573"/>
    <s v="Ananya Mishra"/>
    <n v="34"/>
    <s v="Other"/>
    <x v="3"/>
    <s v="Guwahati"/>
    <x v="1"/>
    <s v="Sunscreen"/>
    <n v="5"/>
    <n v="761.94"/>
    <n v="0.13"/>
    <n v="3027.97"/>
    <n v="1421.12"/>
    <n v="84.9"/>
    <s v="Debit Card"/>
    <x v="1"/>
    <b v="0"/>
    <x v="2"/>
    <n v="2"/>
  </r>
  <r>
    <s v="ORD-01878"/>
    <x v="679"/>
    <x v="679"/>
    <s v="CUST99942"/>
    <s v="Nisha Rao"/>
    <n v="30"/>
    <s v="Other"/>
    <x v="0"/>
    <s v="Indore"/>
    <x v="4"/>
    <s v="Saree"/>
    <n v="10"/>
    <n v="456.07"/>
    <n v="0.37"/>
    <n v="3899.94"/>
    <n v="1169.33"/>
    <n v="45"/>
    <s v="Cash on Delivery"/>
    <x v="1"/>
    <b v="0"/>
    <x v="1"/>
    <n v="9"/>
  </r>
  <r>
    <s v="ORD-00226"/>
    <x v="1427"/>
    <x v="1427"/>
    <s v="CUST29979"/>
    <s v="Karan Sharma"/>
    <n v="35"/>
    <s v="Male"/>
    <x v="0"/>
    <s v="Nagpur"/>
    <x v="5"/>
    <s v="Smartphone"/>
    <n v="10"/>
    <n v="19136.16"/>
    <n v="0"/>
    <n v="220448.39"/>
    <n v="31074.73"/>
    <n v="24.88"/>
    <s v="Debit Card"/>
    <x v="0"/>
    <b v="0"/>
    <x v="1"/>
    <n v="4"/>
  </r>
  <r>
    <s v="ORD-00535"/>
    <x v="1186"/>
    <x v="1186"/>
    <s v="CUST13641"/>
    <s v="Nikhil Sharma"/>
    <n v="48"/>
    <s v="Male"/>
    <x v="1"/>
    <s v="Mumbai"/>
    <x v="2"/>
    <s v="Bed Frame"/>
    <n v="9"/>
    <n v="17744.349999999999"/>
    <n v="0.28999999999999998"/>
    <n v="136831.28"/>
    <n v="36127.08"/>
    <n v="59.78"/>
    <s v="Credit Card"/>
    <x v="2"/>
    <b v="0"/>
    <x v="1"/>
    <n v="9"/>
  </r>
  <r>
    <s v="ORD-02832"/>
    <x v="51"/>
    <x v="51"/>
    <s v="CUST08322"/>
    <s v="Nisha Nair"/>
    <n v="33"/>
    <s v="Female"/>
    <x v="2"/>
    <s v="Amritsar"/>
    <x v="3"/>
    <s v="Fiction Novel"/>
    <n v="10"/>
    <n v="424.8"/>
    <n v="0.11"/>
    <n v="4940.07"/>
    <n v="2103.38"/>
    <n v="31.8"/>
    <s v="UPI"/>
    <x v="0"/>
    <b v="0"/>
    <x v="1"/>
    <n v="6"/>
  </r>
  <r>
    <s v="ORD-00614"/>
    <x v="1428"/>
    <x v="1428"/>
    <s v="CUST25032"/>
    <s v="Ananya Bhat"/>
    <n v="40"/>
    <s v="Other"/>
    <x v="1"/>
    <s v="Surat"/>
    <x v="0"/>
    <s v="Flour"/>
    <n v="3"/>
    <n v="219.84"/>
    <n v="0.1"/>
    <n v="463.59"/>
    <n v="43.04"/>
    <n v="73.42"/>
    <s v="Credit Card"/>
    <x v="0"/>
    <b v="0"/>
    <x v="1"/>
    <n v="3"/>
  </r>
  <r>
    <s v="ORD-01642"/>
    <x v="874"/>
    <x v="874"/>
    <s v="CUST25067"/>
    <s v="Nisha Kapoor"/>
    <n v="41"/>
    <s v="Male"/>
    <x v="1"/>
    <s v="Ahmedabad"/>
    <x v="2"/>
    <s v="Sofa"/>
    <n v="8"/>
    <n v="9398.82"/>
    <n v="0.31"/>
    <n v="49236.11"/>
    <n v="15030.83"/>
    <n v="77.650000000000006"/>
    <s v="Credit Card"/>
    <x v="2"/>
    <b v="0"/>
    <x v="1"/>
    <n v="9"/>
  </r>
  <r>
    <s v="ORD-02842"/>
    <x v="956"/>
    <x v="956"/>
    <s v="CUST23282"/>
    <s v="Vikram Sharma"/>
    <n v="26"/>
    <s v="Other"/>
    <x v="1"/>
    <s v="Mumbai"/>
    <x v="3"/>
    <s v="Self-Help Book"/>
    <n v="5"/>
    <n v="1444.85"/>
    <n v="0.05"/>
    <n v="10528.1"/>
    <n v="3958.13"/>
    <n v="62.54"/>
    <s v="UPI"/>
    <x v="0"/>
    <b v="0"/>
    <x v="1"/>
    <n v="7"/>
  </r>
  <r>
    <s v="ORD-02133"/>
    <x v="1052"/>
    <x v="1052"/>
    <s v="CUST89826"/>
    <s v="Arjun Joshi"/>
    <n v="22"/>
    <s v="Other"/>
    <x v="3"/>
    <s v="Kolkata"/>
    <x v="4"/>
    <s v="T-Shirt"/>
    <n v="7"/>
    <n v="1729.47"/>
    <n v="0.05"/>
    <n v="17045.099999999999"/>
    <n v="6459.75"/>
    <n v="79.27"/>
    <s v="Cash on Delivery"/>
    <x v="4"/>
    <b v="1"/>
    <x v="0"/>
    <n v="8"/>
  </r>
  <r>
    <s v="ORD-02809"/>
    <x v="304"/>
    <x v="304"/>
    <s v="CUST04249"/>
    <s v="Pooja Bose"/>
    <n v="31"/>
    <s v="Other"/>
    <x v="4"/>
    <s v="Kochi"/>
    <x v="2"/>
    <s v="Chair"/>
    <n v="10"/>
    <n v="17371.93"/>
    <n v="0.37"/>
    <n v="172582.04"/>
    <n v="55972.36"/>
    <n v="71.63"/>
    <s v="Net Banking"/>
    <x v="0"/>
    <b v="0"/>
    <x v="1"/>
    <n v="9"/>
  </r>
  <r>
    <s v="ORD-01074"/>
    <x v="1429"/>
    <x v="1429"/>
    <s v="CUST36338"/>
    <s v="Vikram Chatterjee"/>
    <n v="25"/>
    <s v="Female"/>
    <x v="4"/>
    <s v="Hyderabad"/>
    <x v="6"/>
    <s v="Cycle"/>
    <n v="1"/>
    <n v="8254.73"/>
    <n v="7.0000000000000007E-2"/>
    <n v="9628.89"/>
    <n v="1995.91"/>
    <n v="61.28"/>
    <s v="Debit Card"/>
    <x v="0"/>
    <b v="0"/>
    <x v="1"/>
    <n v="1"/>
  </r>
  <r>
    <s v="ORD-01413"/>
    <x v="6"/>
    <x v="6"/>
    <s v="CUST43662"/>
    <s v="Karan Sharma"/>
    <n v="34"/>
    <s v="Other"/>
    <x v="2"/>
    <s v="Ludhiana"/>
    <x v="4"/>
    <s v="Jeans"/>
    <n v="3"/>
    <n v="1238.9000000000001"/>
    <n v="0.33"/>
    <n v="2660.56"/>
    <n v="1083.58"/>
    <n v="73.53"/>
    <s v="Net Banking"/>
    <x v="1"/>
    <b v="1"/>
    <x v="0"/>
    <n v="3"/>
  </r>
  <r>
    <s v="ORD-01628"/>
    <x v="362"/>
    <x v="362"/>
    <s v="CUST55053"/>
    <s v="Arjun Iyer"/>
    <n v="28"/>
    <s v="Other"/>
    <x v="2"/>
    <s v="Amritsar"/>
    <x v="3"/>
    <s v="Textbook"/>
    <n v="5"/>
    <n v="441.77"/>
    <n v="0.12"/>
    <n v="1538.75"/>
    <n v="611.16"/>
    <n v="71.69"/>
    <s v="Credit Card"/>
    <x v="2"/>
    <b v="0"/>
    <x v="3"/>
    <n v="7"/>
  </r>
  <r>
    <s v="ORD-02866"/>
    <x v="40"/>
    <x v="40"/>
    <s v="CUST40473"/>
    <s v="Nikhil Das"/>
    <n v="31"/>
    <s v="Other"/>
    <x v="1"/>
    <s v="Pune"/>
    <x v="5"/>
    <s v="Laptop"/>
    <n v="2"/>
    <n v="44818.69"/>
    <n v="0.19"/>
    <n v="105441.04"/>
    <n v="12774.35"/>
    <n v="73.430000000000007"/>
    <s v="UPI"/>
    <x v="4"/>
    <b v="1"/>
    <x v="0"/>
    <n v="7"/>
  </r>
  <r>
    <s v="ORD-01478"/>
    <x v="26"/>
    <x v="26"/>
    <s v="CUST16528"/>
    <s v="Deepa Joshi"/>
    <n v="36"/>
    <s v="Other"/>
    <x v="4"/>
    <s v="Bangalore"/>
    <x v="2"/>
    <s v="Bed Frame"/>
    <n v="3"/>
    <n v="13116.13"/>
    <n v="0.02"/>
    <n v="39642.97"/>
    <n v="7916.06"/>
    <n v="67.37"/>
    <s v="Credit Card"/>
    <x v="0"/>
    <b v="0"/>
    <x v="1"/>
    <n v="4"/>
  </r>
  <r>
    <s v="ORD-04166"/>
    <x v="786"/>
    <x v="786"/>
    <s v="CUST73620"/>
    <s v="Rohan Reddy"/>
    <n v="18"/>
    <s v="Female"/>
    <x v="4"/>
    <s v="Bangalore"/>
    <x v="4"/>
    <s v="T-Shirt"/>
    <n v="6"/>
    <n v="841.47"/>
    <n v="0.12"/>
    <n v="4321.42"/>
    <n v="1728.55"/>
    <n v="70.62"/>
    <s v="UPI"/>
    <x v="4"/>
    <b v="0"/>
    <x v="1"/>
    <n v="2"/>
  </r>
  <r>
    <s v="ORD-00978"/>
    <x v="1430"/>
    <x v="1430"/>
    <s v="CUST97561"/>
    <s v="Vikram Nair"/>
    <n v="54"/>
    <s v="Male"/>
    <x v="4"/>
    <s v="Chennai"/>
    <x v="4"/>
    <s v="Jeans"/>
    <n v="2"/>
    <n v="3618.11"/>
    <n v="7.0000000000000007E-2"/>
    <n v="6573.5"/>
    <n v="2164.13"/>
    <n v="96.19"/>
    <s v="Credit Card"/>
    <x v="3"/>
    <b v="0"/>
    <x v="1"/>
    <n v="8"/>
  </r>
  <r>
    <s v="ORD-02389"/>
    <x v="1086"/>
    <x v="1086"/>
    <s v="CUST27494"/>
    <s v="Vikram Das"/>
    <n v="53"/>
    <s v="Female"/>
    <x v="3"/>
    <s v="Patna"/>
    <x v="4"/>
    <s v="Kurta"/>
    <n v="8"/>
    <n v="1016.23"/>
    <n v="0.3"/>
    <n v="5817.06"/>
    <n v="2314.7600000000002"/>
    <n v="66.7"/>
    <s v="EMI"/>
    <x v="3"/>
    <b v="0"/>
    <x v="1"/>
    <n v="8"/>
  </r>
  <r>
    <s v="ORD-01504"/>
    <x v="34"/>
    <x v="34"/>
    <s v="CUST34606"/>
    <s v="Aarav Shah"/>
    <n v="32"/>
    <s v="Other"/>
    <x v="1"/>
    <s v="Surat"/>
    <x v="2"/>
    <s v="Bookshelf"/>
    <n v="3"/>
    <n v="7356.31"/>
    <n v="0.1"/>
    <n v="16395.88"/>
    <n v="5855.42"/>
    <n v="78.599999999999994"/>
    <s v="EMI"/>
    <x v="4"/>
    <b v="0"/>
    <x v="1"/>
    <n v="10"/>
  </r>
  <r>
    <s v="ORD-03576"/>
    <x v="1431"/>
    <x v="1431"/>
    <s v="CUST88667"/>
    <s v="Meera Chatterjee"/>
    <n v="26"/>
    <s v="Female"/>
    <x v="3"/>
    <s v="Patna"/>
    <x v="5"/>
    <s v="Camera"/>
    <n v="4"/>
    <n v="14036.02"/>
    <n v="0.13"/>
    <n v="75324.350000000006"/>
    <n v="9113.01"/>
    <n v="97.91"/>
    <s v="Debit Card"/>
    <x v="2"/>
    <b v="0"/>
    <x v="1"/>
    <n v="3"/>
  </r>
  <r>
    <s v="ORD-02862"/>
    <x v="193"/>
    <x v="193"/>
    <s v="CUST00967"/>
    <s v="Sanjay Gupta"/>
    <n v="18"/>
    <s v="Other"/>
    <x v="2"/>
    <s v="Amritsar"/>
    <x v="4"/>
    <s v="Jeans"/>
    <n v="4"/>
    <n v="2095.23"/>
    <n v="0.14000000000000001"/>
    <n v="10189.48"/>
    <n v="2714.35"/>
    <n v="59.7"/>
    <s v="Credit Card"/>
    <x v="0"/>
    <b v="1"/>
    <x v="0"/>
    <n v="7"/>
  </r>
  <r>
    <s v="ORD-03821"/>
    <x v="1148"/>
    <x v="1148"/>
    <s v="CUST35476"/>
    <s v="Aarav Joshi"/>
    <n v="54"/>
    <s v="Female"/>
    <x v="0"/>
    <s v="Indore"/>
    <x v="3"/>
    <s v="Fiction Novel"/>
    <n v="2"/>
    <n v="588.66999999999996"/>
    <n v="0.24"/>
    <n v="1452.74"/>
    <n v="631.41"/>
    <n v="78.55"/>
    <s v="Credit Card"/>
    <x v="3"/>
    <b v="0"/>
    <x v="1"/>
    <n v="4"/>
  </r>
  <r>
    <s v="ORD-00214"/>
    <x v="1432"/>
    <x v="1432"/>
    <s v="CUST08244"/>
    <s v="Karan Patel"/>
    <n v="46"/>
    <s v="Female"/>
    <x v="0"/>
    <s v="Raipur"/>
    <x v="2"/>
    <s v="Sofa"/>
    <n v="10"/>
    <n v="7854.56"/>
    <n v="0.3"/>
    <n v="69661.009999999995"/>
    <n v="15316.65"/>
    <n v="56.25"/>
    <s v="EMI"/>
    <x v="4"/>
    <b v="0"/>
    <x v="1"/>
    <n v="3"/>
  </r>
  <r>
    <s v="ORD-01032"/>
    <x v="1433"/>
    <x v="1433"/>
    <s v="CUST73196"/>
    <s v="Arjun Sharma"/>
    <n v="26"/>
    <s v="Female"/>
    <x v="0"/>
    <s v="Nagpur"/>
    <x v="0"/>
    <s v="Sugar"/>
    <n v="9"/>
    <n v="461.35"/>
    <n v="0.05"/>
    <n v="5570.95"/>
    <n v="481.54"/>
    <n v="41.05"/>
    <s v="Cash on Delivery"/>
    <x v="2"/>
    <b v="0"/>
    <x v="4"/>
    <n v="8"/>
  </r>
  <r>
    <s v="ORD-00803"/>
    <x v="991"/>
    <x v="991"/>
    <s v="CUST99060"/>
    <s v="Amit Sharma"/>
    <n v="46"/>
    <s v="Male"/>
    <x v="4"/>
    <s v="Chennai"/>
    <x v="2"/>
    <s v="Bed Frame"/>
    <n v="6"/>
    <n v="25745.87"/>
    <n v="0.38"/>
    <n v="68168.41"/>
    <n v="19997.5"/>
    <n v="90.91"/>
    <s v="Net Banking"/>
    <x v="3"/>
    <b v="0"/>
    <x v="1"/>
    <n v="3"/>
  </r>
  <r>
    <s v="ORD-02146"/>
    <x v="176"/>
    <x v="176"/>
    <s v="CUST25921"/>
    <s v="Amit Pillai"/>
    <n v="37"/>
    <s v="Male"/>
    <x v="3"/>
    <s v="Guwahati"/>
    <x v="0"/>
    <s v="Rice (5kg)"/>
    <n v="5"/>
    <n v="421.63"/>
    <n v="0.36"/>
    <n v="1981.36"/>
    <n v="174.59"/>
    <n v="64.86"/>
    <s v="UPI"/>
    <x v="1"/>
    <b v="0"/>
    <x v="1"/>
    <n v="1"/>
  </r>
  <r>
    <s v="ORD-01517"/>
    <x v="475"/>
    <x v="475"/>
    <s v="CUST63383"/>
    <s v="Nisha Joshi"/>
    <n v="22"/>
    <s v="Female"/>
    <x v="4"/>
    <s v="Bangalore"/>
    <x v="0"/>
    <s v="Dal (1kg)"/>
    <n v="10"/>
    <n v="90.13"/>
    <n v="0.25"/>
    <n v="507.06"/>
    <n v="51.46"/>
    <n v="80.91"/>
    <s v="Credit Card"/>
    <x v="1"/>
    <b v="0"/>
    <x v="1"/>
    <n v="10"/>
  </r>
  <r>
    <s v="ORD-00560"/>
    <x v="1192"/>
    <x v="1192"/>
    <s v="CUST38172"/>
    <s v="Arjun Singh"/>
    <n v="19"/>
    <s v="Other"/>
    <x v="3"/>
    <s v="Kolkata"/>
    <x v="2"/>
    <s v="Bookshelf"/>
    <n v="5"/>
    <n v="26946.78"/>
    <n v="0.1"/>
    <n v="111598.98"/>
    <n v="37815.29"/>
    <n v="80.010000000000005"/>
    <s v="UPI"/>
    <x v="0"/>
    <b v="0"/>
    <x v="3"/>
    <n v="6"/>
  </r>
  <r>
    <s v="ORD-01638"/>
    <x v="1340"/>
    <x v="1340"/>
    <s v="CUST98630"/>
    <s v="Shreya Sharma"/>
    <n v="41"/>
    <s v="Male"/>
    <x v="4"/>
    <s v="Chennai"/>
    <x v="5"/>
    <s v="Camera"/>
    <n v="9"/>
    <n v="41722.410000000003"/>
    <n v="0.2"/>
    <n v="220158.56"/>
    <n v="25206.080000000002"/>
    <n v="62.46"/>
    <s v="UPI"/>
    <x v="3"/>
    <b v="0"/>
    <x v="1"/>
    <n v="7"/>
  </r>
  <r>
    <s v="ORD-03022"/>
    <x v="1038"/>
    <x v="1038"/>
    <s v="CUST98870"/>
    <s v="Ananya Bose"/>
    <n v="9"/>
    <s v="Other"/>
    <x v="2"/>
    <s v="Chandigarh"/>
    <x v="4"/>
    <s v="Saree"/>
    <n v="3"/>
    <n v="3517.55"/>
    <n v="0.39"/>
    <n v="8958.7000000000007"/>
    <n v="4213.2"/>
    <n v="33.93"/>
    <s v="Cash on Delivery"/>
    <x v="0"/>
    <b v="0"/>
    <x v="1"/>
    <n v="1"/>
  </r>
  <r>
    <s v="ORD-02045"/>
    <x v="586"/>
    <x v="586"/>
    <s v="CUST85893"/>
    <s v="Meera Pillai"/>
    <n v="25"/>
    <s v="Female"/>
    <x v="4"/>
    <s v="Bangalore"/>
    <x v="0"/>
    <s v="Flour"/>
    <n v="7"/>
    <n v="70.02"/>
    <n v="0.28999999999999998"/>
    <n v="494.91"/>
    <n v="44.9"/>
    <n v="75.319999999999993"/>
    <s v="UPI"/>
    <x v="3"/>
    <b v="0"/>
    <x v="2"/>
    <n v="5"/>
  </r>
  <r>
    <s v="ORD-01559"/>
    <x v="701"/>
    <x v="701"/>
    <s v="CUST73879"/>
    <s v="Aarav Sharma"/>
    <n v="34"/>
    <s v="Male"/>
    <x v="3"/>
    <s v="Bhubaneswar"/>
    <x v="0"/>
    <s v="Dal (1kg)"/>
    <n v="4"/>
    <n v="455.14"/>
    <n v="0.1"/>
    <n v="1283.42"/>
    <n v="107.49"/>
    <n v="90.27"/>
    <s v="EMI"/>
    <x v="2"/>
    <b v="1"/>
    <x v="0"/>
    <n v="10"/>
  </r>
  <r>
    <s v="ORD-00697"/>
    <x v="314"/>
    <x v="314"/>
    <s v="CUST94502"/>
    <s v="Sanjay Reddy"/>
    <n v="36"/>
    <s v="Other"/>
    <x v="2"/>
    <s v="Delhi"/>
    <x v="6"/>
    <s v="Cycle"/>
    <n v="8"/>
    <n v="11002.8"/>
    <n v="0.15"/>
    <n v="60370.7"/>
    <n v="8455.94"/>
    <n v="27.96"/>
    <s v="Credit Card"/>
    <x v="1"/>
    <b v="0"/>
    <x v="1"/>
    <n v="9"/>
  </r>
  <r>
    <s v="ORD-03249"/>
    <x v="62"/>
    <x v="62"/>
    <s v="CUST78428"/>
    <s v="Nikhil Iyer"/>
    <n v="71"/>
    <s v="Female"/>
    <x v="2"/>
    <s v="Ludhiana"/>
    <x v="4"/>
    <s v="Jacket"/>
    <n v="5"/>
    <n v="1581.85"/>
    <n v="0.31"/>
    <n v="5298.79"/>
    <n v="1912.12"/>
    <n v="37.369999999999997"/>
    <s v="Cash on Delivery"/>
    <x v="0"/>
    <b v="0"/>
    <x v="1"/>
    <n v="3"/>
  </r>
  <r>
    <s v="ORD-01970"/>
    <x v="1258"/>
    <x v="1258"/>
    <s v="CUST49802"/>
    <s v="Arjun Mishra"/>
    <n v="28"/>
    <s v="Male"/>
    <x v="2"/>
    <s v="Delhi"/>
    <x v="2"/>
    <s v="Desk"/>
    <n v="9"/>
    <n v="25541.61"/>
    <n v="0.2"/>
    <n v="282283.64"/>
    <n v="106013.67"/>
    <n v="68.959999999999994"/>
    <s v="Cash on Delivery"/>
    <x v="0"/>
    <b v="0"/>
    <x v="1"/>
    <n v="4"/>
  </r>
  <r>
    <s v="ORD-03866"/>
    <x v="535"/>
    <x v="535"/>
    <s v="CUST04103"/>
    <s v="Aditya Verma"/>
    <n v="24"/>
    <s v="Female"/>
    <x v="0"/>
    <s v="Raipur"/>
    <x v="6"/>
    <s v="Tennis Racket"/>
    <n v="1"/>
    <n v="3037.55"/>
    <n v="0.19"/>
    <n v="3582.58"/>
    <n v="700.96"/>
    <n v="40.82"/>
    <s v="Credit Card"/>
    <x v="2"/>
    <b v="0"/>
    <x v="1"/>
    <n v="3"/>
  </r>
  <r>
    <s v="ORD-00237"/>
    <x v="1434"/>
    <x v="1434"/>
    <s v="CUST46907"/>
    <s v="Sanjay Bhat"/>
    <n v="17"/>
    <s v="Male"/>
    <x v="0"/>
    <s v="Nagpur"/>
    <x v="4"/>
    <s v="T-Shirt"/>
    <n v="10"/>
    <n v="2140.31"/>
    <n v="0.03"/>
    <n v="22941.18"/>
    <n v="8449.7199999999993"/>
    <n v="73.349999999999994"/>
    <s v="Net Banking"/>
    <x v="2"/>
    <b v="0"/>
    <x v="1"/>
    <n v="3"/>
  </r>
  <r>
    <s v="ORD-01528"/>
    <x v="454"/>
    <x v="454"/>
    <s v="CUST17627"/>
    <s v="Rahul Bhat"/>
    <n v="23"/>
    <s v="Other"/>
    <x v="2"/>
    <s v="Chandigarh"/>
    <x v="2"/>
    <s v="Bookshelf"/>
    <n v="3"/>
    <n v="6001.72"/>
    <n v="0.23"/>
    <n v="11226.94"/>
    <n v="2265.7399999999998"/>
    <n v="13.26"/>
    <s v="Debit Card"/>
    <x v="0"/>
    <b v="1"/>
    <x v="0"/>
    <n v="3"/>
  </r>
  <r>
    <s v="ORD-01715"/>
    <x v="820"/>
    <x v="820"/>
    <s v="CUST08565"/>
    <s v="Kavya Das"/>
    <n v="48"/>
    <s v="Male"/>
    <x v="0"/>
    <s v="Raipur"/>
    <x v="3"/>
    <s v="Fiction Novel"/>
    <n v="2"/>
    <n v="1014.61"/>
    <n v="0.03"/>
    <n v="1625.5"/>
    <n v="685.16"/>
    <n v="49.94"/>
    <s v="UPI"/>
    <x v="1"/>
    <b v="0"/>
    <x v="1"/>
    <n v="7"/>
  </r>
  <r>
    <s v="ORD-03775"/>
    <x v="152"/>
    <x v="152"/>
    <s v="CUST11643"/>
    <s v="Aditya Verma"/>
    <n v="20"/>
    <s v="Male"/>
    <x v="2"/>
    <s v="Chandigarh"/>
    <x v="3"/>
    <s v="Textbook"/>
    <n v="2"/>
    <n v="646.61"/>
    <n v="0.22"/>
    <n v="1668.69"/>
    <n v="631.70000000000005"/>
    <n v="49.01"/>
    <s v="Credit Card"/>
    <x v="3"/>
    <b v="0"/>
    <x v="1"/>
    <n v="3"/>
  </r>
  <r>
    <s v="ORD-03518"/>
    <x v="410"/>
    <x v="410"/>
    <s v="CUST03875"/>
    <s v="Aarav Joshi"/>
    <n v="44"/>
    <s v="Male"/>
    <x v="4"/>
    <s v="Chennai"/>
    <x v="5"/>
    <s v="Camera"/>
    <n v="5"/>
    <n v="20577.009999999998"/>
    <n v="0.23"/>
    <n v="93594.28"/>
    <n v="9112.0499999999993"/>
    <n v="88.2"/>
    <s v="UPI"/>
    <x v="3"/>
    <b v="0"/>
    <x v="1"/>
    <n v="6"/>
  </r>
  <r>
    <s v="ORD-01708"/>
    <x v="290"/>
    <x v="290"/>
    <s v="CUST87498"/>
    <s v="Amit Sharma"/>
    <n v="39"/>
    <s v="Male"/>
    <x v="0"/>
    <s v="Nagpur"/>
    <x v="3"/>
    <s v="Self-Help Book"/>
    <n v="1"/>
    <n v="1394.93"/>
    <n v="0.2"/>
    <n v="1128.26"/>
    <n v="431.19"/>
    <n v="99.26"/>
    <s v="Credit Card"/>
    <x v="2"/>
    <b v="0"/>
    <x v="1"/>
    <n v="6"/>
  </r>
  <r>
    <s v="ORD-03320"/>
    <x v="1435"/>
    <x v="1435"/>
    <s v="CUST53965"/>
    <s v="Sanjay Mehta"/>
    <n v="32"/>
    <s v="Female"/>
    <x v="2"/>
    <s v="Amritsar"/>
    <x v="5"/>
    <s v="Camera"/>
    <n v="1"/>
    <n v="74269.77"/>
    <n v="0.15"/>
    <n v="58489.45"/>
    <n v="8517.07"/>
    <n v="41.46"/>
    <s v="Net Banking"/>
    <x v="1"/>
    <b v="0"/>
    <x v="2"/>
    <n v="1"/>
  </r>
  <r>
    <s v="ORD-00407"/>
    <x v="875"/>
    <x v="875"/>
    <s v="CUST62236"/>
    <s v="Nisha Das"/>
    <n v="66"/>
    <s v="Male"/>
    <x v="1"/>
    <s v="Surat"/>
    <x v="5"/>
    <s v="Tablet"/>
    <n v="5"/>
    <n v="46345.56"/>
    <n v="0.32"/>
    <n v="181476.52"/>
    <n v="25644.37"/>
    <n v="77.91"/>
    <s v="Cash on Delivery"/>
    <x v="0"/>
    <b v="0"/>
    <x v="2"/>
    <n v="10"/>
  </r>
  <r>
    <s v="ORD-03670"/>
    <x v="650"/>
    <x v="650"/>
    <s v="CUST31963"/>
    <s v="Rohan Mehta"/>
    <n v="17"/>
    <s v="Female"/>
    <x v="0"/>
    <s v="Indore"/>
    <x v="6"/>
    <s v="Football"/>
    <n v="5"/>
    <n v="5318.8"/>
    <n v="0.18"/>
    <n v="6933.26"/>
    <n v="2061.4"/>
    <n v="62.11"/>
    <s v="UPI"/>
    <x v="4"/>
    <b v="1"/>
    <x v="0"/>
    <n v="8"/>
  </r>
  <r>
    <s v="ORD-00180"/>
    <x v="1022"/>
    <x v="1022"/>
    <s v="CUST29334"/>
    <s v="Kavya Joshi"/>
    <n v="35"/>
    <s v="Other"/>
    <x v="0"/>
    <s v="Indore"/>
    <x v="6"/>
    <s v="Tennis Racket"/>
    <n v="7"/>
    <n v="2367.09"/>
    <n v="0.04"/>
    <n v="16292.28"/>
    <n v="2663.65"/>
    <n v="42.41"/>
    <s v="Credit Card"/>
    <x v="4"/>
    <b v="0"/>
    <x v="4"/>
    <n v="8"/>
  </r>
  <r>
    <s v="ORD-00579"/>
    <x v="1436"/>
    <x v="1436"/>
    <s v="CUST24871"/>
    <s v="Kavya Reddy"/>
    <n v="24"/>
    <s v="Other"/>
    <x v="2"/>
    <s v="Delhi"/>
    <x v="5"/>
    <s v="Laptop"/>
    <n v="9"/>
    <n v="34058.9"/>
    <n v="0.13"/>
    <n v="239614.28"/>
    <n v="26529.360000000001"/>
    <n v="35.69"/>
    <s v="Debit Card"/>
    <x v="1"/>
    <b v="0"/>
    <x v="2"/>
    <n v="5"/>
  </r>
  <r>
    <s v="ORD-01133"/>
    <x v="1437"/>
    <x v="1437"/>
    <s v="CUST54577"/>
    <s v="Karan Kapoor"/>
    <n v="21"/>
    <s v="Other"/>
    <x v="4"/>
    <s v="Kochi"/>
    <x v="1"/>
    <s v="Shampoo"/>
    <n v="7"/>
    <n v="1281.8599999999999"/>
    <n v="0.39"/>
    <n v="8031.28"/>
    <n v="2955.5"/>
    <n v="39.19"/>
    <s v="Credit Card"/>
    <x v="3"/>
    <b v="0"/>
    <x v="1"/>
    <n v="7"/>
  </r>
  <r>
    <s v="ORD-01758"/>
    <x v="1173"/>
    <x v="1173"/>
    <s v="CUST87654"/>
    <s v="Pooja Verma"/>
    <n v="24"/>
    <s v="Female"/>
    <x v="1"/>
    <s v="Surat"/>
    <x v="3"/>
    <s v="Fiction Novel"/>
    <n v="5"/>
    <n v="433.78"/>
    <n v="0.16"/>
    <n v="1626.67"/>
    <n v="566.47"/>
    <n v="70.39"/>
    <s v="Cash on Delivery"/>
    <x v="1"/>
    <b v="0"/>
    <x v="1"/>
    <n v="9"/>
  </r>
  <r>
    <s v="ORD-00819"/>
    <x v="622"/>
    <x v="622"/>
    <s v="CUST63893"/>
    <s v="Sanjay Singh"/>
    <n v="21"/>
    <s v="Male"/>
    <x v="4"/>
    <s v="Chennai"/>
    <x v="1"/>
    <s v="Perfume"/>
    <n v="9"/>
    <n v="1170.24"/>
    <n v="0.31"/>
    <n v="5927.64"/>
    <n v="3035.58"/>
    <n v="41.85"/>
    <s v="Cash on Delivery"/>
    <x v="3"/>
    <b v="0"/>
    <x v="1"/>
    <n v="1"/>
  </r>
  <r>
    <s v="ORD-02878"/>
    <x v="74"/>
    <x v="74"/>
    <s v="CUST98432"/>
    <s v="Karan Kapoor"/>
    <n v="68"/>
    <s v="Female"/>
    <x v="0"/>
    <s v="Indore"/>
    <x v="4"/>
    <s v="Jeans"/>
    <n v="4"/>
    <n v="824.79"/>
    <n v="0.09"/>
    <n v="4781.3500000000004"/>
    <n v="1402.58"/>
    <n v="62.47"/>
    <s v="Credit Card"/>
    <x v="4"/>
    <b v="0"/>
    <x v="3"/>
    <n v="4"/>
  </r>
  <r>
    <s v="ORD-03595"/>
    <x v="912"/>
    <x v="912"/>
    <s v="CUST20736"/>
    <s v="Kavya Das"/>
    <n v="41"/>
    <s v="Female"/>
    <x v="1"/>
    <s v="Mumbai"/>
    <x v="6"/>
    <s v="Cricket Bat"/>
    <n v="8"/>
    <n v="13545.22"/>
    <n v="0.22"/>
    <n v="148811.09"/>
    <n v="34910.449999999997"/>
    <n v="49.35"/>
    <s v="Credit Card"/>
    <x v="1"/>
    <b v="0"/>
    <x v="1"/>
    <n v="1"/>
  </r>
  <r>
    <s v="ORD-00368"/>
    <x v="850"/>
    <x v="850"/>
    <s v="CUST91300"/>
    <s v="Aarav Iyer"/>
    <n v="42"/>
    <s v="Female"/>
    <x v="1"/>
    <s v="Mumbai"/>
    <x v="1"/>
    <s v="Sunscreen"/>
    <n v="2"/>
    <n v="1372.94"/>
    <n v="0.24"/>
    <n v="2491.3200000000002"/>
    <n v="765.46"/>
    <n v="51.67"/>
    <s v="Net Banking"/>
    <x v="3"/>
    <b v="0"/>
    <x v="1"/>
    <n v="8"/>
  </r>
  <r>
    <s v="ORD-02348"/>
    <x v="1438"/>
    <x v="1438"/>
    <s v="CUST12889"/>
    <s v="Rohan Mehta"/>
    <n v="27"/>
    <s v="Female"/>
    <x v="2"/>
    <s v="Ludhiana"/>
    <x v="6"/>
    <s v="Yoga Mat"/>
    <n v="9"/>
    <n v="13142.88"/>
    <n v="0.37"/>
    <n v="69394.080000000002"/>
    <n v="16164.46"/>
    <n v="32.880000000000003"/>
    <s v="UPI"/>
    <x v="1"/>
    <b v="1"/>
    <x v="0"/>
    <n v="1"/>
  </r>
  <r>
    <s v="ORD-02993"/>
    <x v="756"/>
    <x v="756"/>
    <s v="CUST83973"/>
    <s v="Nikhil Mishra"/>
    <n v="27"/>
    <s v="Female"/>
    <x v="4"/>
    <s v="Hyderabad"/>
    <x v="5"/>
    <s v="Laptop"/>
    <n v="8"/>
    <n v="77986.06"/>
    <n v="0.21"/>
    <n v="991905.81"/>
    <n v="116835.79"/>
    <n v="63.75"/>
    <s v="UPI"/>
    <x v="2"/>
    <b v="0"/>
    <x v="2"/>
    <n v="2"/>
  </r>
  <r>
    <s v="ORD-00537"/>
    <x v="814"/>
    <x v="814"/>
    <s v="CUST15953"/>
    <s v="Arjun Verma"/>
    <n v="34"/>
    <s v="Other"/>
    <x v="1"/>
    <s v="Pune"/>
    <x v="0"/>
    <s v="Tea"/>
    <n v="8"/>
    <n v="61.46"/>
    <n v="0.02"/>
    <n v="583.26"/>
    <n v="59.31"/>
    <n v="62.95"/>
    <s v="EMI"/>
    <x v="2"/>
    <b v="0"/>
    <x v="1"/>
    <n v="3"/>
  </r>
  <r>
    <s v="ORD-00148"/>
    <x v="1141"/>
    <x v="1141"/>
    <s v="CUST87452"/>
    <s v="Rohan Verma"/>
    <n v="15"/>
    <s v="Other"/>
    <x v="0"/>
    <s v="Bhopal"/>
    <x v="1"/>
    <s v="Hair Oil"/>
    <n v="6"/>
    <n v="1264.54"/>
    <n v="0.34"/>
    <n v="5200.08"/>
    <n v="2565.09"/>
    <n v="30.54"/>
    <s v="UPI"/>
    <x v="3"/>
    <b v="0"/>
    <x v="1"/>
    <n v="5"/>
  </r>
  <r>
    <s v="ORD-00647"/>
    <x v="831"/>
    <x v="831"/>
    <s v="CUST97230"/>
    <s v="Vikram Bose"/>
    <n v="55"/>
    <s v="Other"/>
    <x v="2"/>
    <s v="Chandigarh"/>
    <x v="1"/>
    <s v="Shampoo"/>
    <n v="4"/>
    <n v="2079.0700000000002"/>
    <n v="0.31"/>
    <n v="4372.2"/>
    <n v="2080.88"/>
    <n v="20.39"/>
    <s v="UPI"/>
    <x v="2"/>
    <b v="1"/>
    <x v="0"/>
    <n v="3"/>
  </r>
  <r>
    <s v="ORD-02791"/>
    <x v="1272"/>
    <x v="1272"/>
    <s v="CUST40335"/>
    <s v="Meera Bhat"/>
    <n v="15"/>
    <s v="Female"/>
    <x v="3"/>
    <s v="Guwahati"/>
    <x v="6"/>
    <s v="Tennis Racket"/>
    <n v="7"/>
    <n v="5879.31"/>
    <n v="0.05"/>
    <n v="56376.87"/>
    <n v="7011.74"/>
    <n v="84.67"/>
    <s v="Cash on Delivery"/>
    <x v="4"/>
    <b v="0"/>
    <x v="3"/>
    <n v="7"/>
  </r>
  <r>
    <s v="ORD-00744"/>
    <x v="1439"/>
    <x v="1439"/>
    <s v="CUST45099"/>
    <s v="Aditya Shah"/>
    <n v="32"/>
    <s v="Other"/>
    <x v="2"/>
    <s v="Amritsar"/>
    <x v="0"/>
    <s v="Rice (5kg)"/>
    <n v="4"/>
    <n v="388.57"/>
    <n v="0.01"/>
    <n v="1066.73"/>
    <n v="70.45"/>
    <n v="54.83"/>
    <s v="EMI"/>
    <x v="0"/>
    <b v="1"/>
    <x v="0"/>
    <n v="5"/>
  </r>
  <r>
    <s v="ORD-02001"/>
    <x v="264"/>
    <x v="264"/>
    <s v="CUST78982"/>
    <s v="Deepa Reddy"/>
    <n v="27"/>
    <s v="Other"/>
    <x v="0"/>
    <s v="Nagpur"/>
    <x v="6"/>
    <s v="Cricket Bat"/>
    <n v="2"/>
    <n v="1793.14"/>
    <n v="0.22"/>
    <n v="4474.84"/>
    <n v="1103.43"/>
    <n v="40.65"/>
    <s v="Cash on Delivery"/>
    <x v="3"/>
    <b v="1"/>
    <x v="0"/>
    <n v="9"/>
  </r>
  <r>
    <s v="ORD-02427"/>
    <x v="528"/>
    <x v="528"/>
    <s v="CUST68738"/>
    <s v="Ananya Pillai"/>
    <n v="20"/>
    <s v="Other"/>
    <x v="4"/>
    <s v="Chennai"/>
    <x v="3"/>
    <s v="Biography"/>
    <n v="6"/>
    <n v="363.03"/>
    <n v="0"/>
    <n v="1819.63"/>
    <n v="726.19"/>
    <n v="64.27"/>
    <s v="UPI"/>
    <x v="1"/>
    <b v="0"/>
    <x v="1"/>
    <n v="7"/>
  </r>
  <r>
    <s v="ORD-00651"/>
    <x v="1277"/>
    <x v="1277"/>
    <s v="CUST22697"/>
    <s v="Sunita Verma"/>
    <n v="29"/>
    <s v="Other"/>
    <x v="3"/>
    <s v="Patna"/>
    <x v="2"/>
    <s v="Bed Frame"/>
    <n v="2"/>
    <n v="23933.02"/>
    <n v="0.38"/>
    <n v="26696.18"/>
    <n v="8116.01"/>
    <n v="88.18"/>
    <s v="Debit Card"/>
    <x v="0"/>
    <b v="0"/>
    <x v="1"/>
    <n v="3"/>
  </r>
  <r>
    <s v="ORD-04117"/>
    <x v="1199"/>
    <x v="1199"/>
    <s v="CUST68421"/>
    <s v="Karan Reddy"/>
    <n v="43"/>
    <s v="Female"/>
    <x v="2"/>
    <s v="Chandigarh"/>
    <x v="1"/>
    <s v="Shampoo"/>
    <n v="9"/>
    <n v="328.65"/>
    <n v="0.3"/>
    <n v="1975.97"/>
    <n v="543.25"/>
    <n v="41.68"/>
    <s v="Credit Card"/>
    <x v="2"/>
    <b v="0"/>
    <x v="1"/>
    <n v="9"/>
  </r>
  <r>
    <s v="ORD-00194"/>
    <x v="1142"/>
    <x v="1142"/>
    <s v="CUST96692"/>
    <s v="Aarav Joshi"/>
    <n v="35"/>
    <s v="Female"/>
    <x v="2"/>
    <s v="Delhi"/>
    <x v="6"/>
    <s v="Dumbbells"/>
    <n v="9"/>
    <n v="6747.04"/>
    <n v="7.0000000000000007E-2"/>
    <n v="53191.17"/>
    <n v="13938.07"/>
    <n v="74.53"/>
    <s v="Credit Card"/>
    <x v="0"/>
    <b v="0"/>
    <x v="1"/>
    <n v="1"/>
  </r>
  <r>
    <s v="ORD-01944"/>
    <x v="311"/>
    <x v="311"/>
    <s v="CUST18548"/>
    <s v="Rahul Bose"/>
    <n v="31"/>
    <s v="Male"/>
    <x v="3"/>
    <s v="Guwahati"/>
    <x v="1"/>
    <s v="Sunscreen"/>
    <n v="4"/>
    <n v="1176.04"/>
    <n v="0.18"/>
    <n v="6347.47"/>
    <n v="2342.58"/>
    <n v="88.08"/>
    <s v="Net Banking"/>
    <x v="2"/>
    <b v="0"/>
    <x v="1"/>
    <n v="6"/>
  </r>
  <r>
    <s v="ORD-00939"/>
    <x v="1058"/>
    <x v="1058"/>
    <s v="CUST44415"/>
    <s v="Ritu Das"/>
    <n v="27"/>
    <s v="Female"/>
    <x v="4"/>
    <s v="Chennai"/>
    <x v="3"/>
    <s v="Textbook"/>
    <n v="7"/>
    <n v="884.25"/>
    <n v="0.35"/>
    <n v="3604.7"/>
    <n v="1268.2"/>
    <n v="55.07"/>
    <s v="EMI"/>
    <x v="1"/>
    <b v="0"/>
    <x v="1"/>
    <n v="7"/>
  </r>
  <r>
    <s v="ORD-00167"/>
    <x v="1440"/>
    <x v="1440"/>
    <s v="CUST51864"/>
    <s v="Amit Mishra"/>
    <n v="27"/>
    <s v="Female"/>
    <x v="1"/>
    <s v="Surat"/>
    <x v="4"/>
    <s v="Dress"/>
    <n v="4"/>
    <n v="2696.21"/>
    <n v="0.22"/>
    <n v="8113.08"/>
    <n v="2313.16"/>
    <n v="51.64"/>
    <s v="UPI"/>
    <x v="4"/>
    <b v="0"/>
    <x v="1"/>
    <n v="3"/>
  </r>
  <r>
    <s v="ORD-00543"/>
    <x v="168"/>
    <x v="168"/>
    <s v="CUST30712"/>
    <s v="Nisha Kumar"/>
    <n v="28"/>
    <s v="Female"/>
    <x v="2"/>
    <s v="Ludhiana"/>
    <x v="3"/>
    <s v="Cook Book"/>
    <n v="7"/>
    <n v="370.56"/>
    <n v="0.08"/>
    <n v="2710.89"/>
    <n v="1018.66"/>
    <n v="29.93"/>
    <s v="UPI"/>
    <x v="0"/>
    <b v="0"/>
    <x v="1"/>
    <n v="2"/>
  </r>
  <r>
    <s v="ORD-00649"/>
    <x v="1383"/>
    <x v="1383"/>
    <s v="CUST22604"/>
    <s v="Rohan Mehta"/>
    <n v="26"/>
    <s v="Male"/>
    <x v="3"/>
    <s v="Patna"/>
    <x v="5"/>
    <s v="Smartwatch"/>
    <n v="7"/>
    <n v="45799.76"/>
    <n v="0.33"/>
    <n v="189931.59"/>
    <n v="22577.35"/>
    <n v="42.79"/>
    <s v="Debit Card"/>
    <x v="3"/>
    <b v="0"/>
    <x v="1"/>
    <n v="4"/>
  </r>
  <r>
    <s v="ORD-02817"/>
    <x v="805"/>
    <x v="805"/>
    <s v="CUST83459"/>
    <s v="Shreya Chatterjee"/>
    <n v="43"/>
    <s v="Other"/>
    <x v="0"/>
    <s v="Bhopal"/>
    <x v="2"/>
    <s v="Wardrobe"/>
    <n v="4"/>
    <n v="30780.639999999999"/>
    <n v="0.36"/>
    <n v="99202.31"/>
    <n v="39133.54"/>
    <n v="66.36"/>
    <s v="Net Banking"/>
    <x v="0"/>
    <b v="0"/>
    <x v="1"/>
    <n v="7"/>
  </r>
  <r>
    <s v="ORD-00905"/>
    <x v="1381"/>
    <x v="1381"/>
    <s v="CUST96177"/>
    <s v="Rahul Rao"/>
    <n v="41"/>
    <s v="Other"/>
    <x v="4"/>
    <s v="Hyderabad"/>
    <x v="1"/>
    <s v="Sunscreen"/>
    <n v="10"/>
    <n v="1423.41"/>
    <n v="0.05"/>
    <n v="11797.89"/>
    <n v="5781.35"/>
    <n v="78.680000000000007"/>
    <s v="Credit Card"/>
    <x v="1"/>
    <b v="0"/>
    <x v="1"/>
    <n v="6"/>
  </r>
  <r>
    <s v="ORD-00628"/>
    <x v="313"/>
    <x v="313"/>
    <s v="CUST55320"/>
    <s v="Aditya Chatterjee"/>
    <n v="31"/>
    <s v="Female"/>
    <x v="1"/>
    <s v="Mumbai"/>
    <x v="5"/>
    <s v="Smartwatch"/>
    <n v="5"/>
    <n v="32547.29"/>
    <n v="0.39"/>
    <n v="16855.55"/>
    <n v="1445.51"/>
    <n v="61.78"/>
    <s v="UPI"/>
    <x v="0"/>
    <b v="0"/>
    <x v="1"/>
    <n v="10"/>
  </r>
  <r>
    <s v="ORD-01967"/>
    <x v="49"/>
    <x v="49"/>
    <s v="CUST03799"/>
    <s v="Rohan Bose"/>
    <n v="38"/>
    <s v="Female"/>
    <x v="2"/>
    <s v="Chandigarh"/>
    <x v="3"/>
    <s v="Comic Book"/>
    <n v="5"/>
    <n v="951.75"/>
    <n v="0.02"/>
    <n v="5936.18"/>
    <n v="2402.75"/>
    <n v="54.03"/>
    <s v="EMI"/>
    <x v="0"/>
    <b v="0"/>
    <x v="1"/>
    <n v="6"/>
  </r>
  <r>
    <s v="ORD-03510"/>
    <x v="1441"/>
    <x v="1441"/>
    <s v="CUST79584"/>
    <s v="Meera Bhat"/>
    <n v="52"/>
    <s v="Female"/>
    <x v="2"/>
    <s v="Amritsar"/>
    <x v="0"/>
    <s v="Flour"/>
    <n v="10"/>
    <n v="414.16"/>
    <n v="0.03"/>
    <n v="4932.93"/>
    <n v="345.9"/>
    <n v="47.29"/>
    <s v="Cash on Delivery"/>
    <x v="1"/>
    <b v="1"/>
    <x v="0"/>
    <n v="8"/>
  </r>
  <r>
    <s v="ORD-04189"/>
    <x v="1353"/>
    <x v="1353"/>
    <s v="CUST28178"/>
    <s v="Sanjay Rao"/>
    <n v="32"/>
    <s v="Other"/>
    <x v="1"/>
    <s v="Mumbai"/>
    <x v="5"/>
    <s v="Smartwatch"/>
    <n v="4"/>
    <n v="64608.94"/>
    <n v="0.17"/>
    <n v="191352.59"/>
    <n v="27372.68"/>
    <n v="79.41"/>
    <s v="Credit Card"/>
    <x v="2"/>
    <b v="1"/>
    <x v="0"/>
    <n v="5"/>
  </r>
  <r>
    <s v="ORD-02466"/>
    <x v="1137"/>
    <x v="1137"/>
    <s v="CUST23445"/>
    <s v="Pooja Chatterjee"/>
    <n v="26"/>
    <s v="Male"/>
    <x v="0"/>
    <s v="Indore"/>
    <x v="4"/>
    <s v="Kurta"/>
    <n v="8"/>
    <n v="2620.02"/>
    <n v="0.36"/>
    <n v="9964.39"/>
    <n v="3441.54"/>
    <n v="41.75"/>
    <s v="Credit Card"/>
    <x v="0"/>
    <b v="1"/>
    <x v="0"/>
    <n v="1"/>
  </r>
  <r>
    <s v="ORD-00440"/>
    <x v="315"/>
    <x v="315"/>
    <s v="CUST95476"/>
    <s v="Karan Mehta"/>
    <n v="22"/>
    <s v="Other"/>
    <x v="2"/>
    <s v="Delhi"/>
    <x v="6"/>
    <s v="Cricket Bat"/>
    <n v="6"/>
    <n v="6916.49"/>
    <n v="0.38"/>
    <n v="37343.86"/>
    <n v="8968.23"/>
    <n v="54.82"/>
    <s v="Credit Card"/>
    <x v="0"/>
    <b v="0"/>
    <x v="1"/>
    <n v="8"/>
  </r>
  <r>
    <s v="ORD-01102"/>
    <x v="1442"/>
    <x v="1442"/>
    <s v="CUST55287"/>
    <s v="Arjun Patel"/>
    <n v="46"/>
    <s v="Other"/>
    <x v="0"/>
    <s v="Raipur"/>
    <x v="6"/>
    <s v="Yoga Mat"/>
    <n v="5"/>
    <n v="1589.12"/>
    <n v="0.2"/>
    <n v="8606.2099999999991"/>
    <n v="1388.16"/>
    <n v="54.57"/>
    <s v="EMI"/>
    <x v="0"/>
    <b v="0"/>
    <x v="1"/>
    <n v="4"/>
  </r>
  <r>
    <s v="ORD-02380"/>
    <x v="1115"/>
    <x v="1115"/>
    <s v="CUST77872"/>
    <s v="Vikram Chatterjee"/>
    <n v="12"/>
    <s v="Female"/>
    <x v="3"/>
    <s v="Kolkata"/>
    <x v="0"/>
    <s v="Tea"/>
    <n v="6"/>
    <n v="473.26"/>
    <n v="0.33"/>
    <n v="1858.4"/>
    <n v="169.63"/>
    <n v="83.38"/>
    <s v="Cash on Delivery"/>
    <x v="4"/>
    <b v="0"/>
    <x v="1"/>
    <n v="1"/>
  </r>
  <r>
    <s v="ORD-04072"/>
    <x v="1163"/>
    <x v="1163"/>
    <s v="CUST26445"/>
    <s v="Priya Mishra"/>
    <n v="6"/>
    <s v="Female"/>
    <x v="4"/>
    <s v="Bangalore"/>
    <x v="2"/>
    <s v="Bed Frame"/>
    <n v="0"/>
    <n v="16894.52"/>
    <n v="0.27"/>
    <n v="14763.33"/>
    <n v="5236.34"/>
    <n v="80.599999999999994"/>
    <s v="Cash on Delivery"/>
    <x v="1"/>
    <b v="0"/>
    <x v="3"/>
    <n v="10"/>
  </r>
  <r>
    <s v="ORD-02678"/>
    <x v="765"/>
    <x v="765"/>
    <s v="CUST87936"/>
    <s v="Aarav Kapoor"/>
    <n v="46"/>
    <s v="Female"/>
    <x v="1"/>
    <s v="Pune"/>
    <x v="6"/>
    <s v="Yoga Mat"/>
    <n v="8"/>
    <n v="7037.46"/>
    <n v="0.21"/>
    <n v="66204.63"/>
    <n v="8522.6299999999992"/>
    <n v="63.69"/>
    <s v="UPI"/>
    <x v="2"/>
    <b v="0"/>
    <x v="1"/>
    <n v="2"/>
  </r>
  <r>
    <s v="ORD-00586"/>
    <x v="1057"/>
    <x v="1057"/>
    <s v="CUST86530"/>
    <s v="Nikhil Das"/>
    <n v="40"/>
    <s v="Male"/>
    <x v="3"/>
    <s v="Patna"/>
    <x v="6"/>
    <s v="Yoga Mat"/>
    <n v="9"/>
    <n v="3643.69"/>
    <n v="7.0000000000000007E-2"/>
    <n v="28799.52"/>
    <n v="3724.9"/>
    <n v="81.760000000000005"/>
    <s v="Credit Card"/>
    <x v="2"/>
    <b v="0"/>
    <x v="1"/>
    <n v="8"/>
  </r>
  <r>
    <s v="ORD-02766"/>
    <x v="1443"/>
    <x v="1443"/>
    <s v="CUST55726"/>
    <s v="Nisha Iyer"/>
    <n v="36"/>
    <s v="Male"/>
    <x v="4"/>
    <s v="Hyderabad"/>
    <x v="1"/>
    <s v="Perfume"/>
    <n v="1"/>
    <n v="1927.8"/>
    <n v="0.25"/>
    <n v="2039.37"/>
    <n v="829.68"/>
    <n v="81.77"/>
    <s v="Debit Card"/>
    <x v="3"/>
    <b v="0"/>
    <x v="1"/>
    <n v="8"/>
  </r>
  <r>
    <s v="ORD-03588"/>
    <x v="498"/>
    <x v="498"/>
    <s v="CUST83899"/>
    <s v="Pooja Bhat"/>
    <n v="37"/>
    <s v="Female"/>
    <x v="4"/>
    <s v="Chennai"/>
    <x v="1"/>
    <s v="Shampoo"/>
    <n v="7"/>
    <n v="410.6"/>
    <n v="0.05"/>
    <n v="4158.82"/>
    <n v="1647.62"/>
    <n v="74.28"/>
    <s v="Credit Card"/>
    <x v="0"/>
    <b v="0"/>
    <x v="1"/>
    <n v="7"/>
  </r>
  <r>
    <s v="ORD-01281"/>
    <x v="70"/>
    <x v="70"/>
    <s v="CUST14797"/>
    <s v="Sanjay Rao"/>
    <n v="26"/>
    <s v="Male"/>
    <x v="2"/>
    <s v="Delhi"/>
    <x v="5"/>
    <s v="Headphones"/>
    <n v="8"/>
    <n v="63773.73"/>
    <n v="0.38"/>
    <n v="408398.64"/>
    <n v="36997.480000000003"/>
    <n v="37.03"/>
    <s v="Credit Card"/>
    <x v="2"/>
    <b v="0"/>
    <x v="1"/>
    <n v="3"/>
  </r>
  <r>
    <s v="ORD-00372"/>
    <x v="557"/>
    <x v="557"/>
    <s v="CUST53114"/>
    <s v="Rohan Mehta"/>
    <n v="26"/>
    <s v="Other"/>
    <x v="4"/>
    <s v="Kochi"/>
    <x v="5"/>
    <s v="Tablet"/>
    <n v="3"/>
    <n v="74867.199999999997"/>
    <n v="0.22"/>
    <n v="239862.52"/>
    <n v="27646.01"/>
    <n v="39.1"/>
    <s v="Cash on Delivery"/>
    <x v="2"/>
    <b v="0"/>
    <x v="1"/>
    <n v="8"/>
  </r>
  <r>
    <s v="ORD-01561"/>
    <x v="701"/>
    <x v="701"/>
    <s v="CUST70340"/>
    <s v="Rohan Patel"/>
    <n v="25"/>
    <s v="Male"/>
    <x v="2"/>
    <s v="Amritsar"/>
    <x v="5"/>
    <s v="Tablet"/>
    <n v="2"/>
    <n v="62340.2"/>
    <n v="0.11"/>
    <n v="85395.8"/>
    <n v="8409.34"/>
    <n v="66.81"/>
    <s v="UPI"/>
    <x v="2"/>
    <b v="0"/>
    <x v="1"/>
    <n v="6"/>
  </r>
  <r>
    <s v="ORD-04154"/>
    <x v="1444"/>
    <x v="1444"/>
    <s v="CUST34894"/>
    <s v="Nikhil Bose"/>
    <n v="18"/>
    <s v="Other"/>
    <x v="3"/>
    <s v="Bhubaneswar"/>
    <x v="3"/>
    <s v="Cook Book"/>
    <n v="2"/>
    <n v="1034.18"/>
    <n v="0.33"/>
    <n v="1184.8"/>
    <n v="369.59"/>
    <n v="65.48"/>
    <s v="Credit Card"/>
    <x v="1"/>
    <b v="0"/>
    <x v="1"/>
    <n v="3"/>
  </r>
  <r>
    <s v="ORD-01553"/>
    <x v="619"/>
    <x v="619"/>
    <s v="CUST29230"/>
    <s v="Shreya Das"/>
    <n v="23"/>
    <s v="Female"/>
    <x v="2"/>
    <s v="Delhi"/>
    <x v="2"/>
    <s v="Desk"/>
    <n v="10"/>
    <n v="20890.04"/>
    <n v="0.04"/>
    <n v="147207.49"/>
    <n v="44130.71"/>
    <n v="34.32"/>
    <s v="EMI"/>
    <x v="3"/>
    <b v="1"/>
    <x v="0"/>
    <n v="5"/>
  </r>
  <r>
    <s v="ORD-03982"/>
    <x v="653"/>
    <x v="653"/>
    <s v="CUST97439"/>
    <s v="Karan Joshi"/>
    <n v="27"/>
    <s v="Female"/>
    <x v="2"/>
    <s v="Chandigarh"/>
    <x v="2"/>
    <s v="Wardrobe"/>
    <n v="8"/>
    <n v="12647.54"/>
    <n v="0.19"/>
    <n v="102341.78"/>
    <n v="35160.81"/>
    <n v="69.62"/>
    <s v="Debit Card"/>
    <x v="1"/>
    <b v="0"/>
    <x v="1"/>
    <n v="6"/>
  </r>
  <r>
    <s v="ORD-01754"/>
    <x v="856"/>
    <x v="856"/>
    <s v="CUST11385"/>
    <s v="Nisha Rao"/>
    <n v="46"/>
    <s v="Female"/>
    <x v="3"/>
    <s v="Guwahati"/>
    <x v="2"/>
    <s v="Desk"/>
    <n v="6"/>
    <n v="33082.65"/>
    <n v="0.31"/>
    <n v="130650.07"/>
    <n v="42902.13"/>
    <n v="79.09"/>
    <s v="Net Banking"/>
    <x v="2"/>
    <b v="0"/>
    <x v="1"/>
    <n v="8"/>
  </r>
  <r>
    <s v="ORD-01272"/>
    <x v="28"/>
    <x v="28"/>
    <s v="CUST56172"/>
    <s v="Aarav Nair"/>
    <n v="20"/>
    <s v="Male"/>
    <x v="3"/>
    <s v="Guwahati"/>
    <x v="1"/>
    <s v="Lipstick"/>
    <n v="2"/>
    <n v="1205.6199999999999"/>
    <n v="0.03"/>
    <n v="3688.61"/>
    <n v="769.98"/>
    <n v="93.43"/>
    <s v="Credit Card"/>
    <x v="0"/>
    <b v="0"/>
    <x v="1"/>
    <n v="1"/>
  </r>
  <r>
    <s v="ORD-01165"/>
    <x v="1445"/>
    <x v="1445"/>
    <s v="CUST76012"/>
    <s v="Karan Gupta"/>
    <n v="40"/>
    <s v="Other"/>
    <x v="0"/>
    <s v="Raipur"/>
    <x v="6"/>
    <s v="Yoga Mat"/>
    <n v="4"/>
    <n v="3455.68"/>
    <n v="0.21"/>
    <n v="15734.44"/>
    <n v="3511.52"/>
    <n v="64.63"/>
    <s v="Credit Card"/>
    <x v="3"/>
    <b v="1"/>
    <x v="0"/>
    <n v="3"/>
  </r>
  <r>
    <s v="ORD-04000"/>
    <x v="165"/>
    <x v="165"/>
    <s v="CUST53861"/>
    <s v="Nisha Kumar"/>
    <n v="32"/>
    <s v="Male"/>
    <x v="1"/>
    <s v="Surat"/>
    <x v="1"/>
    <s v="Shampoo"/>
    <n v="7"/>
    <n v="1954.05"/>
    <n v="0.2"/>
    <n v="15069.06"/>
    <n v="8691.86"/>
    <n v="65.77"/>
    <s v="Cash on Delivery"/>
    <x v="2"/>
    <b v="1"/>
    <x v="0"/>
    <n v="6"/>
  </r>
  <r>
    <s v="ORD-00290"/>
    <x v="188"/>
    <x v="188"/>
    <s v="CUST46482"/>
    <s v="Sanjay Shah"/>
    <n v="18"/>
    <s v="Male"/>
    <x v="3"/>
    <s v="Bhubaneswar"/>
    <x v="3"/>
    <s v="Self-Help Book"/>
    <n v="9"/>
    <n v="290.75"/>
    <n v="0.28000000000000003"/>
    <n v="2143.4"/>
    <n v="1071.82"/>
    <n v="60.62"/>
    <s v="EMI"/>
    <x v="0"/>
    <b v="1"/>
    <x v="0"/>
    <n v="7"/>
  </r>
  <r>
    <s v="ORD-02514"/>
    <x v="385"/>
    <x v="385"/>
    <s v="CUST29286"/>
    <s v="Vikram Mehta"/>
    <n v="29"/>
    <s v="Male"/>
    <x v="0"/>
    <s v="Nagpur"/>
    <x v="1"/>
    <s v="Hair Oil"/>
    <n v="3"/>
    <n v="923.8"/>
    <n v="0.21"/>
    <n v="1516.74"/>
    <n v="651.79"/>
    <n v="46.67"/>
    <s v="Debit Card"/>
    <x v="1"/>
    <b v="0"/>
    <x v="1"/>
    <n v="2"/>
  </r>
  <r>
    <s v="ORD-03218"/>
    <x v="321"/>
    <x v="321"/>
    <s v="CUST17834"/>
    <s v="Nisha Mehta"/>
    <n v="-5"/>
    <s v="Male"/>
    <x v="2"/>
    <s v="Chandigarh"/>
    <x v="6"/>
    <s v="Tennis Racket"/>
    <n v="5"/>
    <n v="11387.44"/>
    <n v="0.31"/>
    <n v="45950.26"/>
    <n v="9024.25"/>
    <n v="51.52"/>
    <s v="UPI"/>
    <x v="0"/>
    <b v="0"/>
    <x v="1"/>
    <n v="3"/>
  </r>
  <r>
    <s v="ORD-02661"/>
    <x v="762"/>
    <x v="762"/>
    <s v="CUST93326"/>
    <s v="Kavya Iyer"/>
    <n v="16"/>
    <s v="Male"/>
    <x v="3"/>
    <s v="Kolkata"/>
    <x v="2"/>
    <s v="Desk"/>
    <n v="3"/>
    <n v="2447.2199999999998"/>
    <n v="0.39"/>
    <n v="4781.3599999999997"/>
    <n v="589.21"/>
    <n v="62.13"/>
    <s v="Cash on Delivery"/>
    <x v="3"/>
    <b v="1"/>
    <x v="0"/>
    <n v="1"/>
  </r>
  <r>
    <s v="ORD-02211"/>
    <x v="116"/>
    <x v="116"/>
    <s v="CUST05906"/>
    <s v="Shreya Shah"/>
    <n v="24"/>
    <s v="Male"/>
    <x v="0"/>
    <s v="Indore"/>
    <x v="3"/>
    <s v="Self-Help Book"/>
    <n v="6"/>
    <n v="1482.8"/>
    <n v="0.37"/>
    <n v="7222.87"/>
    <n v="1783.07"/>
    <n v="73.5"/>
    <s v="Credit Card"/>
    <x v="3"/>
    <b v="0"/>
    <x v="1"/>
    <n v="7"/>
  </r>
  <r>
    <s v="ORD-02526"/>
    <x v="1328"/>
    <x v="1328"/>
    <s v="CUST11998"/>
    <s v="Rahul Singh"/>
    <n v="27"/>
    <s v="Male"/>
    <x v="4"/>
    <s v="Hyderabad"/>
    <x v="1"/>
    <s v="Shampoo"/>
    <n v="3"/>
    <n v="2229.56"/>
    <n v="0.04"/>
    <n v="6482.2"/>
    <n v="3230.67"/>
    <n v="58.93"/>
    <s v="Credit Card"/>
    <x v="2"/>
    <b v="0"/>
    <x v="4"/>
    <n v="3"/>
  </r>
  <r>
    <s v="ORD-02768"/>
    <x v="659"/>
    <x v="659"/>
    <s v="CUST12098"/>
    <s v="Nisha Nair"/>
    <n v="18"/>
    <s v="Female"/>
    <x v="0"/>
    <s v="Bhopal"/>
    <x v="1"/>
    <s v="Sunscreen"/>
    <n v="9"/>
    <n v="933.94"/>
    <n v="0.02"/>
    <n v="12188.95"/>
    <n v="5789.44"/>
    <n v="38.04"/>
    <s v="EMI"/>
    <x v="1"/>
    <b v="0"/>
    <x v="4"/>
    <n v="5"/>
  </r>
  <r>
    <s v="ORD-00904"/>
    <x v="1381"/>
    <x v="1381"/>
    <s v="CUST76121"/>
    <s v="Meera Iyer"/>
    <n v="40"/>
    <s v="Other"/>
    <x v="2"/>
    <s v="Ludhiana"/>
    <x v="5"/>
    <s v="Smartwatch"/>
    <n v="4"/>
    <n v="27046.33"/>
    <n v="0.17"/>
    <n v="79234.600000000006"/>
    <n v="9558.56"/>
    <n v="39.92"/>
    <s v="Credit Card"/>
    <x v="0"/>
    <b v="0"/>
    <x v="1"/>
    <n v="6"/>
  </r>
  <r>
    <s v="ORD-00326"/>
    <x v="1036"/>
    <x v="1036"/>
    <s v="CUST34992"/>
    <s v="Ananya Singh"/>
    <n v="42"/>
    <s v="Male"/>
    <x v="3"/>
    <s v="Bhubaneswar"/>
    <x v="5"/>
    <s v="Headphones"/>
    <n v="10"/>
    <n v="62652.160000000003"/>
    <n v="0.09"/>
    <n v="746724.9"/>
    <n v="76429.84"/>
    <n v="92.64"/>
    <s v="Net Banking"/>
    <x v="0"/>
    <b v="0"/>
    <x v="1"/>
    <n v="5"/>
  </r>
  <r>
    <s v="ORD-02194"/>
    <x v="244"/>
    <x v="244"/>
    <s v="CUST84436"/>
    <s v="Amit Chatterjee"/>
    <n v="10"/>
    <s v="Other"/>
    <x v="2"/>
    <s v="Delhi"/>
    <x v="1"/>
    <s v="Face Cream"/>
    <n v="1"/>
    <n v="1986.59"/>
    <n v="0.05"/>
    <n v="2507.4499999999998"/>
    <n v="1149.6600000000001"/>
    <n v="66.3"/>
    <s v="UPI"/>
    <x v="3"/>
    <b v="1"/>
    <x v="0"/>
    <n v="3"/>
  </r>
  <r>
    <s v="ORD-01635"/>
    <x v="583"/>
    <x v="583"/>
    <s v="CUST50974"/>
    <s v="Karan Patel"/>
    <n v="35"/>
    <s v="Female"/>
    <x v="3"/>
    <s v="Guwahati"/>
    <x v="1"/>
    <s v="Hair Oil"/>
    <n v="1"/>
    <n v="987.49"/>
    <n v="0.03"/>
    <n v="649.66999999999996"/>
    <n v="370.21"/>
    <n v="98.55"/>
    <s v="Debit Card"/>
    <x v="0"/>
    <b v="1"/>
    <x v="0"/>
    <n v="9"/>
  </r>
  <r>
    <s v="ORD-00556"/>
    <x v="1205"/>
    <x v="1205"/>
    <s v="CUST93474"/>
    <s v="Sanjay Patel"/>
    <n v="14"/>
    <s v="Other"/>
    <x v="4"/>
    <s v="Hyderabad"/>
    <x v="5"/>
    <s v="Laptop"/>
    <n v="5"/>
    <n v="53217.69"/>
    <n v="0.03"/>
    <n v="273662.44"/>
    <n v="33314.99"/>
    <n v="79.959999999999994"/>
    <s v="Debit Card"/>
    <x v="0"/>
    <b v="0"/>
    <x v="1"/>
    <n v="2"/>
  </r>
  <r>
    <s v="ORD-03506"/>
    <x v="1331"/>
    <x v="1331"/>
    <s v="CUST48682"/>
    <s v="Rahul Reddy"/>
    <n v="37"/>
    <s v="Female"/>
    <x v="3"/>
    <s v="Patna"/>
    <x v="2"/>
    <s v="Chair"/>
    <n v="5"/>
    <n v="26731.96"/>
    <n v="0.21"/>
    <n v="170289.13"/>
    <n v="47525.8"/>
    <n v="75.97"/>
    <s v="Credit Card"/>
    <x v="0"/>
    <b v="0"/>
    <x v="1"/>
    <n v="8"/>
  </r>
  <r>
    <s v="ORD-03852"/>
    <x v="952"/>
    <x v="952"/>
    <s v="CUST08935"/>
    <s v="Aarav Gupta"/>
    <n v="45"/>
    <s v="Male"/>
    <x v="0"/>
    <s v="Raipur"/>
    <x v="4"/>
    <s v="Jacket"/>
    <n v="6"/>
    <n v="1428.03"/>
    <n v="0.39"/>
    <n v="8541.8700000000008"/>
    <n v="3565.98"/>
    <n v="50.49"/>
    <s v="Cash on Delivery"/>
    <x v="3"/>
    <b v="0"/>
    <x v="3"/>
    <n v="9"/>
  </r>
  <r>
    <s v="ORD-02852"/>
    <x v="299"/>
    <x v="299"/>
    <s v="CUST37103"/>
    <s v="Shreya Kapoor"/>
    <n v="20"/>
    <s v="Male"/>
    <x v="2"/>
    <s v="Amritsar"/>
    <x v="4"/>
    <s v="Jacket"/>
    <n v="3"/>
    <n v="484.17"/>
    <n v="0.23"/>
    <n v="1691.99"/>
    <n v="426.78"/>
    <n v="63.91"/>
    <s v="UPI"/>
    <x v="2"/>
    <b v="0"/>
    <x v="1"/>
    <n v="9"/>
  </r>
  <r>
    <s v="ORD-02479"/>
    <x v="1196"/>
    <x v="1196"/>
    <s v="CUST81623"/>
    <s v="Karan Rao"/>
    <n v="7"/>
    <s v="Male"/>
    <x v="2"/>
    <s v="Delhi"/>
    <x v="6"/>
    <s v="Football"/>
    <n v="6"/>
    <n v="14056.09"/>
    <n v="0.09"/>
    <n v="61982.41"/>
    <n v="14331.53"/>
    <n v="49.31"/>
    <s v="UPI"/>
    <x v="4"/>
    <b v="0"/>
    <x v="1"/>
    <n v="7"/>
  </r>
  <r>
    <s v="ORD-01854"/>
    <x v="1387"/>
    <x v="1387"/>
    <s v="CUST02552"/>
    <s v="Rahul Bhat"/>
    <n v="61"/>
    <s v="Other"/>
    <x v="0"/>
    <s v="Bhopal"/>
    <x v="4"/>
    <s v="Kurta"/>
    <n v="6"/>
    <n v="2927.23"/>
    <n v="0.17"/>
    <n v="15014.03"/>
    <n v="6682.89"/>
    <n v="76.05"/>
    <s v="Credit Card"/>
    <x v="4"/>
    <b v="1"/>
    <x v="0"/>
    <n v="2"/>
  </r>
  <r>
    <s v="ORD-03556"/>
    <x v="1446"/>
    <x v="1446"/>
    <s v="CUST47056"/>
    <s v="Nisha Gupta"/>
    <n v="49"/>
    <s v="Female"/>
    <x v="1"/>
    <s v="Ahmedabad"/>
    <x v="3"/>
    <s v="Cook Book"/>
    <n v="1"/>
    <n v="1034.06"/>
    <n v="0.1"/>
    <n v="1187.77"/>
    <n v="456.36"/>
    <n v="69.430000000000007"/>
    <s v="Net Banking"/>
    <x v="4"/>
    <b v="0"/>
    <x v="1"/>
    <n v="6"/>
  </r>
  <r>
    <s v="ORD-03425"/>
    <x v="636"/>
    <x v="636"/>
    <s v="CUST92969"/>
    <s v="Nisha Mishra"/>
    <n v="20"/>
    <s v="Female"/>
    <x v="3"/>
    <s v="Guwahati"/>
    <x v="1"/>
    <s v="Hair Oil"/>
    <n v="3"/>
    <n v="1606.29"/>
    <n v="0.23"/>
    <n v="3638.62"/>
    <n v="1014.15"/>
    <n v="92.92"/>
    <s v="Cash on Delivery"/>
    <x v="0"/>
    <b v="0"/>
    <x v="1"/>
    <n v="10"/>
  </r>
  <r>
    <s v="ORD-01650"/>
    <x v="333"/>
    <x v="333"/>
    <s v="CUST51192"/>
    <s v="Deepa Mishra"/>
    <n v="28"/>
    <s v="Female"/>
    <x v="1"/>
    <s v="Surat"/>
    <x v="1"/>
    <s v="Face Cream"/>
    <n v="5"/>
    <n v="305.51"/>
    <n v="0.04"/>
    <n v="1323.32"/>
    <n v="396.56"/>
    <n v="77.17"/>
    <s v="UPI"/>
    <x v="4"/>
    <b v="0"/>
    <x v="1"/>
    <n v="4"/>
  </r>
  <r>
    <s v="ORD-00284"/>
    <x v="1447"/>
    <x v="1447"/>
    <s v="CUST68796"/>
    <s v="Ritu Sharma"/>
    <n v="37"/>
    <s v="Female"/>
    <x v="0"/>
    <s v="Bhopal"/>
    <x v="0"/>
    <s v="Flour"/>
    <n v="2"/>
    <n v="54.6"/>
    <n v="0.34"/>
    <n v="80.84"/>
    <n v="6.89"/>
    <n v="42.28"/>
    <s v="Cash on Delivery"/>
    <x v="2"/>
    <b v="0"/>
    <x v="1"/>
    <n v="3"/>
  </r>
  <r>
    <s v="ORD-00006"/>
    <x v="1098"/>
    <x v="1098"/>
    <s v="CUST13639"/>
    <s v="Karan Bose"/>
    <n v="50"/>
    <s v="Female"/>
    <x v="2"/>
    <s v="Chandigarh"/>
    <x v="0"/>
    <s v="Dal (1kg)"/>
    <n v="7"/>
    <n v="238.66"/>
    <n v="0.05"/>
    <n v="1361.86"/>
    <n v="110.98"/>
    <n v="46.42"/>
    <s v="Debit Card"/>
    <x v="2"/>
    <b v="0"/>
    <x v="1"/>
    <n v="2"/>
  </r>
  <r>
    <s v="ORD-02374"/>
    <x v="547"/>
    <x v="547"/>
    <s v="CUST40049"/>
    <s v="Aarav Chatterjee"/>
    <n v="50"/>
    <s v="Female"/>
    <x v="2"/>
    <s v="Amritsar"/>
    <x v="2"/>
    <s v="Bed Frame"/>
    <n v="8"/>
    <n v="22347.78"/>
    <n v="0.28999999999999998"/>
    <n v="121514.57"/>
    <n v="47789.83"/>
    <n v="10.59"/>
    <s v="Debit Card"/>
    <x v="4"/>
    <b v="0"/>
    <x v="1"/>
    <n v="4"/>
  </r>
  <r>
    <s v="ORD-01445"/>
    <x v="1398"/>
    <x v="1398"/>
    <s v="CUST58478"/>
    <s v="Sunita Reddy"/>
    <n v="38"/>
    <s v="Other"/>
    <x v="1"/>
    <s v="Surat"/>
    <x v="1"/>
    <s v="Lipstick"/>
    <n v="8"/>
    <n v="1489.85"/>
    <n v="0.09"/>
    <n v="10449.86"/>
    <n v="3809.88"/>
    <n v="86.42"/>
    <s v="Credit Card"/>
    <x v="3"/>
    <b v="0"/>
    <x v="3"/>
    <n v="6"/>
  </r>
  <r>
    <s v="ORD-02660"/>
    <x v="762"/>
    <x v="762"/>
    <s v="CUST97483"/>
    <s v="Vikram Singh"/>
    <n v="38"/>
    <s v="Female"/>
    <x v="2"/>
    <s v="Delhi"/>
    <x v="2"/>
    <s v="Chair"/>
    <n v="1"/>
    <n v="23555.64"/>
    <n v="0.09"/>
    <n v="22617.77"/>
    <n v="5562.38"/>
    <n v="65.5"/>
    <s v="UPI"/>
    <x v="4"/>
    <b v="0"/>
    <x v="1"/>
    <n v="10"/>
  </r>
  <r>
    <s v="ORD-04100"/>
    <x v="523"/>
    <x v="523"/>
    <s v="CUST32922"/>
    <s v="Nikhil Kumar"/>
    <n v="38"/>
    <s v="Other"/>
    <x v="2"/>
    <s v="Ludhiana"/>
    <x v="0"/>
    <s v="Tea"/>
    <n v="4"/>
    <n v="328.95"/>
    <n v="0.08"/>
    <n v="1116.81"/>
    <n v="67.2"/>
    <n v="60.46"/>
    <s v="UPI"/>
    <x v="1"/>
    <b v="0"/>
    <x v="2"/>
    <n v="3"/>
  </r>
  <r>
    <s v="ORD-02017"/>
    <x v="843"/>
    <x v="843"/>
    <s v="CUST95440"/>
    <s v="Rohan Iyer"/>
    <n v="32"/>
    <s v="Other"/>
    <x v="2"/>
    <s v="Chandigarh"/>
    <x v="1"/>
    <s v="Shampoo"/>
    <n v="8"/>
    <n v="1772.53"/>
    <n v="0.28000000000000003"/>
    <n v="15579.91"/>
    <n v="4615.51"/>
    <n v="68.180000000000007"/>
    <s v="EMI"/>
    <x v="4"/>
    <b v="1"/>
    <x v="0"/>
    <n v="3"/>
  </r>
  <r>
    <s v="ORD-01394"/>
    <x v="257"/>
    <x v="257"/>
    <s v="CUST91444"/>
    <s v="Aarav Iyer"/>
    <n v="46"/>
    <s v="Male"/>
    <x v="0"/>
    <s v="Indore"/>
    <x v="5"/>
    <s v="Smartphone"/>
    <n v="7"/>
    <n v="38846.9"/>
    <n v="0.21"/>
    <n v="255205.65"/>
    <n v="39365.879999999997"/>
    <n v="50.81"/>
    <s v="Net Banking"/>
    <x v="2"/>
    <b v="0"/>
    <x v="1"/>
    <n v="10"/>
  </r>
  <r>
    <s v="ORD-00676"/>
    <x v="569"/>
    <x v="569"/>
    <s v="CUST84441"/>
    <s v="Karan Iyer"/>
    <n v="35"/>
    <s v="Other"/>
    <x v="3"/>
    <s v="Kolkata"/>
    <x v="5"/>
    <s v="Camera"/>
    <n v="2"/>
    <n v="41850.01"/>
    <n v="7.0000000000000007E-2"/>
    <n v="64764.78"/>
    <n v="8565.9"/>
    <n v="59.88"/>
    <s v="UPI"/>
    <x v="4"/>
    <b v="0"/>
    <x v="3"/>
    <n v="8"/>
  </r>
  <r>
    <s v="ORD-03500"/>
    <x v="832"/>
    <x v="832"/>
    <s v="CUST22955"/>
    <s v="Sanjay Mishra"/>
    <n v="24"/>
    <s v="Male"/>
    <x v="0"/>
    <s v="Raipur"/>
    <x v="2"/>
    <s v="Bookshelf"/>
    <n v="5"/>
    <n v="25732.89"/>
    <n v="0.37"/>
    <n v="110264.78"/>
    <n v="26314.49"/>
    <n v="67.41"/>
    <s v="Cash on Delivery"/>
    <x v="3"/>
    <b v="0"/>
    <x v="1"/>
    <n v="2"/>
  </r>
  <r>
    <s v="ORD-02151"/>
    <x v="284"/>
    <x v="284"/>
    <s v="CUST65336"/>
    <s v="Amit Kapoor"/>
    <n v="48"/>
    <s v="Female"/>
    <x v="0"/>
    <s v="Bhopal"/>
    <x v="3"/>
    <s v="Cook Book"/>
    <n v="4"/>
    <n v="1045.8399999999999"/>
    <n v="0.39"/>
    <n v="3553.63"/>
    <n v="1247.53"/>
    <n v="43.68"/>
    <s v="Debit Card"/>
    <x v="1"/>
    <b v="0"/>
    <x v="4"/>
    <n v="3"/>
  </r>
  <r>
    <s v="ORD-01294"/>
    <x v="205"/>
    <x v="205"/>
    <s v="CUST87248"/>
    <s v="Shreya Das"/>
    <n v="30"/>
    <s v="Other"/>
    <x v="4"/>
    <s v="Bangalore"/>
    <x v="0"/>
    <s v="Rice (5kg)"/>
    <n v="8"/>
    <n v="278.20999999999998"/>
    <n v="0.22"/>
    <n v="2079.67"/>
    <n v="188.15"/>
    <n v="61.34"/>
    <s v="Credit Card"/>
    <x v="3"/>
    <b v="0"/>
    <x v="1"/>
    <n v="5"/>
  </r>
  <r>
    <s v="ORD-03319"/>
    <x v="1435"/>
    <x v="1435"/>
    <s v="CUST70804"/>
    <s v="Ritu Singh"/>
    <n v="44"/>
    <s v="Other"/>
    <x v="3"/>
    <s v="Guwahati"/>
    <x v="0"/>
    <s v="Flour"/>
    <n v="7"/>
    <n v="327.26"/>
    <n v="0.09"/>
    <n v="1655.16"/>
    <n v="157.97"/>
    <n v="83.19"/>
    <s v="Net Banking"/>
    <x v="4"/>
    <b v="0"/>
    <x v="1"/>
    <n v="2"/>
  </r>
  <r>
    <s v="ORD-01378"/>
    <x v="446"/>
    <x v="446"/>
    <s v="CUST96105"/>
    <s v="Rohan Pillai"/>
    <n v="25"/>
    <s v="Male"/>
    <x v="2"/>
    <s v="Delhi"/>
    <x v="2"/>
    <s v="Bookshelf"/>
    <n v="4"/>
    <n v="23015.5"/>
    <n v="0.13"/>
    <n v="103290.99"/>
    <n v="34267.22"/>
    <n v="28.42"/>
    <s v="UPI"/>
    <x v="4"/>
    <b v="1"/>
    <x v="0"/>
    <n v="10"/>
  </r>
  <r>
    <s v="ORD-01948"/>
    <x v="1448"/>
    <x v="1448"/>
    <s v="CUST73300"/>
    <s v="Nikhil Singh"/>
    <n v="22"/>
    <s v="Female"/>
    <x v="1"/>
    <s v="Surat"/>
    <x v="2"/>
    <s v="Wardrobe"/>
    <n v="4"/>
    <n v="18771.18"/>
    <n v="0.12"/>
    <n v="90435.12"/>
    <n v="21095.21"/>
    <n v="68.930000000000007"/>
    <s v="Net Banking"/>
    <x v="1"/>
    <b v="0"/>
    <x v="1"/>
    <n v="1"/>
  </r>
  <r>
    <s v="ORD-01350"/>
    <x v="1315"/>
    <x v="1315"/>
    <s v="CUST96166"/>
    <s v="Vikram Mehta"/>
    <n v="41"/>
    <s v="Female"/>
    <x v="2"/>
    <s v="Amritsar"/>
    <x v="3"/>
    <s v="Fiction Novel"/>
    <n v="2"/>
    <n v="1075.45"/>
    <n v="0.13"/>
    <n v="2282.66"/>
    <n v="949.67"/>
    <n v="47.1"/>
    <s v="UPI"/>
    <x v="3"/>
    <b v="0"/>
    <x v="1"/>
    <n v="6"/>
  </r>
  <r>
    <s v="ORD-03753"/>
    <x v="802"/>
    <x v="802"/>
    <s v="CUST16098"/>
    <s v="Priya Sharma"/>
    <n v="41"/>
    <s v="Female"/>
    <x v="4"/>
    <s v="Hyderabad"/>
    <x v="3"/>
    <s v="Textbook"/>
    <n v="10"/>
    <n v="1271.1099999999999"/>
    <n v="0.24"/>
    <n v="14356.97"/>
    <n v="5996.1"/>
    <n v="47.57"/>
    <s v="Net Banking"/>
    <x v="1"/>
    <b v="0"/>
    <x v="1"/>
    <n v="1"/>
  </r>
  <r>
    <s v="ORD-00843"/>
    <x v="538"/>
    <x v="538"/>
    <s v="CUST07824"/>
    <s v="Priya Chatterjee"/>
    <n v="20"/>
    <s v="Female"/>
    <x v="1"/>
    <s v="Surat"/>
    <x v="2"/>
    <s v="Bookshelf"/>
    <n v="10"/>
    <n v="7217.24"/>
    <n v="0.34"/>
    <n v="38701.839999999997"/>
    <n v="9777.4500000000007"/>
    <n v="78.16"/>
    <s v="Net Banking"/>
    <x v="4"/>
    <b v="1"/>
    <x v="0"/>
    <n v="2"/>
  </r>
  <r>
    <s v="ORD-01969"/>
    <x v="49"/>
    <x v="49"/>
    <s v="CUST23162"/>
    <s v="Nikhil Patel"/>
    <n v="17"/>
    <s v="Other"/>
    <x v="1"/>
    <s v="Surat"/>
    <x v="5"/>
    <s v="Tablet"/>
    <n v="10"/>
    <n v="8235.1"/>
    <n v="0.21"/>
    <n v="102107.36"/>
    <n v="11235.34"/>
    <n v="33.15"/>
    <s v="Debit Card"/>
    <x v="1"/>
    <b v="0"/>
    <x v="1"/>
    <n v="4"/>
  </r>
  <r>
    <s v="ORD-00071"/>
    <x v="1003"/>
    <x v="1003"/>
    <s v="CUST06330"/>
    <s v="Priya Kapoor"/>
    <n v="24"/>
    <s v="Female"/>
    <x v="1"/>
    <s v="Pune"/>
    <x v="3"/>
    <s v="Biography"/>
    <n v="8"/>
    <n v="493.36"/>
    <n v="0.34"/>
    <n v="1942.7"/>
    <n v="742.64"/>
    <n v="52.85"/>
    <s v="Credit Card"/>
    <x v="2"/>
    <b v="0"/>
    <x v="1"/>
    <n v="6"/>
  </r>
  <r>
    <s v="ORD-00467"/>
    <x v="1449"/>
    <x v="1449"/>
    <s v="CUST24562"/>
    <s v="Aarav Shah"/>
    <n v="23"/>
    <s v="Male"/>
    <x v="2"/>
    <s v="Chandigarh"/>
    <x v="0"/>
    <s v="Sugar"/>
    <n v="8"/>
    <n v="445.99"/>
    <n v="0.24"/>
    <n v="3881.14"/>
    <n v="281.89999999999998"/>
    <n v="72.48"/>
    <s v="Debit Card"/>
    <x v="3"/>
    <b v="0"/>
    <x v="1"/>
    <n v="9"/>
  </r>
  <r>
    <s v="ORD-01664"/>
    <x v="688"/>
    <x v="688"/>
    <s v="CUST78261"/>
    <s v="Meera Rao"/>
    <n v="37"/>
    <s v="Female"/>
    <x v="1"/>
    <s v="Ahmedabad"/>
    <x v="2"/>
    <s v="Desk"/>
    <n v="10"/>
    <n v="17068.89"/>
    <n v="0.16"/>
    <n v="124615.43"/>
    <n v="41346.800000000003"/>
    <n v="81.760000000000005"/>
    <s v="Cash on Delivery"/>
    <x v="1"/>
    <b v="0"/>
    <x v="4"/>
    <n v="3"/>
  </r>
  <r>
    <s v="ORD-00047"/>
    <x v="19"/>
    <x v="19"/>
    <s v="CUST03104"/>
    <s v="Nisha Shah"/>
    <n v="33"/>
    <s v="Female"/>
    <x v="4"/>
    <s v="Hyderabad"/>
    <x v="6"/>
    <s v="Dumbbells"/>
    <n v="3"/>
    <n v="2208.38"/>
    <n v="0.02"/>
    <n v="5472.63"/>
    <n v="1191.19"/>
    <n v="87.33"/>
    <s v="Net Banking"/>
    <x v="3"/>
    <b v="0"/>
    <x v="1"/>
    <n v="5"/>
  </r>
  <r>
    <s v="ORD-01164"/>
    <x v="1075"/>
    <x v="1075"/>
    <s v="CUST06311"/>
    <s v="Sanjay Reddy"/>
    <n v="26"/>
    <s v="Other"/>
    <x v="3"/>
    <s v="Guwahati"/>
    <x v="1"/>
    <s v="Face Cream"/>
    <n v="5"/>
    <n v="1895.73"/>
    <n v="0.16"/>
    <n v="9954.8700000000008"/>
    <n v="5748.45"/>
    <n v="53.1"/>
    <s v="Credit Card"/>
    <x v="4"/>
    <b v="0"/>
    <x v="1"/>
    <n v="10"/>
  </r>
  <r>
    <s v="ORD-00398"/>
    <x v="79"/>
    <x v="79"/>
    <s v="CUST35407"/>
    <s v="Aarav Rao"/>
    <n v="26"/>
    <s v="Female"/>
    <x v="2"/>
    <s v="Chandigarh"/>
    <x v="1"/>
    <s v="Perfume"/>
    <n v="9"/>
    <n v="137.31"/>
    <n v="0.24"/>
    <n v="1114.76"/>
    <n v="516.91999999999996"/>
    <n v="64.95"/>
    <s v="EMI"/>
    <x v="4"/>
    <b v="0"/>
    <x v="1"/>
    <n v="1"/>
  </r>
  <r>
    <s v="ORD-02874"/>
    <x v="105"/>
    <x v="105"/>
    <s v="CUST62622"/>
    <s v="Priya Kapoor"/>
    <n v="17"/>
    <s v="Male"/>
    <x v="2"/>
    <s v="Amritsar"/>
    <x v="6"/>
    <s v="Tennis Racket"/>
    <n v="10"/>
    <n v="9450.1299999999992"/>
    <n v="0.12"/>
    <n v="148205.85"/>
    <n v="22767.200000000001"/>
    <n v="65.88"/>
    <s v="EMI"/>
    <x v="4"/>
    <b v="1"/>
    <x v="0"/>
    <n v="6"/>
  </r>
  <r>
    <s v="ORD-03123"/>
    <x v="1450"/>
    <x v="1450"/>
    <s v="CUST24025"/>
    <s v="Rohan Joshi"/>
    <n v="40"/>
    <s v="Male"/>
    <x v="2"/>
    <s v="Delhi"/>
    <x v="2"/>
    <s v="Desk"/>
    <n v="10"/>
    <n v="25522.49"/>
    <n v="0.21"/>
    <n v="360814.67"/>
    <n v="112620.79"/>
    <n v="24.03"/>
    <s v="Cash on Delivery"/>
    <x v="4"/>
    <b v="0"/>
    <x v="1"/>
    <n v="10"/>
  </r>
  <r>
    <s v="ORD-01668"/>
    <x v="688"/>
    <x v="688"/>
    <s v="CUST70127"/>
    <s v="Karan Nair"/>
    <n v="42"/>
    <s v="Female"/>
    <x v="1"/>
    <s v="Ahmedabad"/>
    <x v="3"/>
    <s v="Self-Help Book"/>
    <n v="2"/>
    <n v="1184.8499999999999"/>
    <n v="0"/>
    <n v="1851.96"/>
    <n v="844.3"/>
    <n v="79.06"/>
    <s v="Net Banking"/>
    <x v="0"/>
    <b v="0"/>
    <x v="1"/>
    <n v="5"/>
  </r>
  <r>
    <s v="ORD-02932"/>
    <x v="1451"/>
    <x v="1451"/>
    <s v="CUST49455"/>
    <s v="Nisha Iyer"/>
    <n v="17"/>
    <s v="Other"/>
    <x v="2"/>
    <s v="Amritsar"/>
    <x v="2"/>
    <s v="Wardrobe"/>
    <n v="8"/>
    <n v="11770.39"/>
    <n v="0.15"/>
    <n v="137222.95000000001"/>
    <n v="30354.400000000001"/>
    <n v="52.08"/>
    <s v="Net Banking"/>
    <x v="0"/>
    <b v="0"/>
    <x v="4"/>
    <n v="10"/>
  </r>
  <r>
    <s v="ORD-00785"/>
    <x v="1452"/>
    <x v="1452"/>
    <s v="CUST18574"/>
    <s v="Sunita Singh"/>
    <n v="35"/>
    <s v="Other"/>
    <x v="4"/>
    <s v="Chennai"/>
    <x v="0"/>
    <s v="Tea"/>
    <n v="9"/>
    <n v="203.63"/>
    <n v="0.28999999999999998"/>
    <n v="829.37"/>
    <n v="75.45"/>
    <n v="84.23"/>
    <s v="Net Banking"/>
    <x v="2"/>
    <b v="0"/>
    <x v="1"/>
    <n v="1"/>
  </r>
  <r>
    <s v="ORD-01564"/>
    <x v="701"/>
    <x v="701"/>
    <s v="CUST24016"/>
    <s v="Kavya Patel"/>
    <n v="64"/>
    <s v="Male"/>
    <x v="2"/>
    <s v="Chandigarh"/>
    <x v="3"/>
    <s v="Textbook"/>
    <n v="5"/>
    <n v="625.59"/>
    <n v="0.02"/>
    <n v="2682.13"/>
    <n v="910.71"/>
    <n v="43.73"/>
    <s v="UPI"/>
    <x v="1"/>
    <b v="0"/>
    <x v="1"/>
    <n v="7"/>
  </r>
  <r>
    <s v="ORD-03077"/>
    <x v="1231"/>
    <x v="1231"/>
    <s v="CUST23896"/>
    <s v="Ananya Kumar"/>
    <n v="54"/>
    <s v="Male"/>
    <x v="2"/>
    <s v="Delhi"/>
    <x v="4"/>
    <s v="Dress"/>
    <n v="5"/>
    <n v="3920.37"/>
    <n v="0.09"/>
    <n v="25064.55"/>
    <n v="10054.85"/>
    <n v="17.84"/>
    <s v="Debit Card"/>
    <x v="0"/>
    <b v="0"/>
    <x v="1"/>
    <n v="6"/>
  </r>
  <r>
    <s v="ORD-00702"/>
    <x v="314"/>
    <x v="314"/>
    <s v="CUST28491"/>
    <s v="Rohan Bose"/>
    <n v="33"/>
    <s v="Male"/>
    <x v="1"/>
    <s v="Mumbai"/>
    <x v="0"/>
    <s v="Rice (5kg)"/>
    <n v="7"/>
    <n v="359.06"/>
    <n v="0.02"/>
    <n v="1926.06"/>
    <n v="153.38"/>
    <n v="77.28"/>
    <s v="Cash on Delivery"/>
    <x v="3"/>
    <b v="0"/>
    <x v="1"/>
    <n v="8"/>
  </r>
  <r>
    <s v="ORD-00423"/>
    <x v="135"/>
    <x v="135"/>
    <s v="CUST04728"/>
    <s v="Nikhil Mehta"/>
    <n v="43"/>
    <s v="Male"/>
    <x v="0"/>
    <s v="Raipur"/>
    <x v="6"/>
    <s v="Football"/>
    <n v="3"/>
    <n v="11793.71"/>
    <n v="0.32"/>
    <n v="29262.31"/>
    <n v="6296.56"/>
    <n v="63.2"/>
    <s v="Credit Card"/>
    <x v="2"/>
    <b v="0"/>
    <x v="1"/>
    <n v="9"/>
  </r>
  <r>
    <s v="ORD-01176"/>
    <x v="1215"/>
    <x v="1215"/>
    <s v="CUST37244"/>
    <s v="Aditya Bhat"/>
    <n v="32"/>
    <s v="Other"/>
    <x v="0"/>
    <s v="Raipur"/>
    <x v="4"/>
    <s v="Saree"/>
    <n v="7"/>
    <n v="2184.88"/>
    <n v="0.16"/>
    <n v="20358.669999999998"/>
    <n v="4252.26"/>
    <n v="49.09"/>
    <s v="EMI"/>
    <x v="2"/>
    <b v="0"/>
    <x v="1"/>
    <n v="5"/>
  </r>
  <r>
    <s v="ORD-00925"/>
    <x v="240"/>
    <x v="240"/>
    <s v="CUST77643"/>
    <s v="Karan Reddy"/>
    <n v="40"/>
    <s v="Male"/>
    <x v="3"/>
    <s v="Bhubaneswar"/>
    <x v="5"/>
    <s v="Laptop"/>
    <n v="9"/>
    <n v="27718.27"/>
    <n v="0.21"/>
    <n v="228875.11"/>
    <n v="36385.339999999997"/>
    <n v="75.400000000000006"/>
    <s v="Cash on Delivery"/>
    <x v="4"/>
    <b v="0"/>
    <x v="1"/>
    <n v="3"/>
  </r>
  <r>
    <s v="ORD-03897"/>
    <x v="180"/>
    <x v="180"/>
    <s v="CUST40736"/>
    <s v="Deepa Sharma"/>
    <n v="34"/>
    <s v="Other"/>
    <x v="0"/>
    <s v="Indore"/>
    <x v="1"/>
    <s v="Sunscreen"/>
    <n v="3"/>
    <n v="720.8"/>
    <n v="0.24"/>
    <n v="2212.27"/>
    <n v="892.22"/>
    <n v="47.4"/>
    <s v="Cash on Delivery"/>
    <x v="4"/>
    <b v="0"/>
    <x v="1"/>
    <n v="2"/>
  </r>
  <r>
    <s v="ORD-01695"/>
    <x v="1453"/>
    <x v="1453"/>
    <s v="CUST18018"/>
    <s v="Vikram Gupta"/>
    <n v="19"/>
    <s v="Female"/>
    <x v="4"/>
    <s v="Kochi"/>
    <x v="5"/>
    <s v="Smartwatch"/>
    <n v="6"/>
    <n v="20306.849999999999"/>
    <n v="0.36"/>
    <n v="67574.41"/>
    <n v="6252.6"/>
    <n v="80.91"/>
    <s v="Cash on Delivery"/>
    <x v="1"/>
    <b v="0"/>
    <x v="1"/>
    <n v="6"/>
  </r>
  <r>
    <s v="ORD-00817"/>
    <x v="1454"/>
    <x v="1454"/>
    <s v="CUST03410"/>
    <s v="Ananya Rao"/>
    <n v="42"/>
    <s v="Female"/>
    <x v="2"/>
    <s v="Delhi"/>
    <x v="5"/>
    <s v="Smartphone"/>
    <n v="10"/>
    <n v="55337.120000000003"/>
    <n v="0.24"/>
    <n v="299036.46000000002"/>
    <n v="36301.089999999997"/>
    <n v="63.2"/>
    <s v="UPI"/>
    <x v="3"/>
    <b v="1"/>
    <x v="0"/>
    <n v="10"/>
  </r>
  <r>
    <s v="ORD-00518"/>
    <x v="1152"/>
    <x v="1152"/>
    <s v="CUST53973"/>
    <s v="Rohan Pillai"/>
    <n v="22"/>
    <s v="Male"/>
    <x v="3"/>
    <s v="Patna"/>
    <x v="3"/>
    <s v="Self-Help Book"/>
    <n v="10"/>
    <n v="1445"/>
    <n v="0.31"/>
    <n v="12763.71"/>
    <n v="3313.53"/>
    <n v="74.73"/>
    <s v="Net Banking"/>
    <x v="2"/>
    <b v="0"/>
    <x v="1"/>
    <n v="3"/>
  </r>
  <r>
    <s v="ORD-03809"/>
    <x v="1103"/>
    <x v="1103"/>
    <s v="CUST76945"/>
    <s v="Rohan Sharma"/>
    <n v="40"/>
    <s v="Male"/>
    <x v="1"/>
    <s v="Mumbai"/>
    <x v="3"/>
    <s v="Comic Book"/>
    <n v="8"/>
    <n v="526.69000000000005"/>
    <n v="0.25"/>
    <n v="5310.11"/>
    <n v="1871.66"/>
    <n v="54.87"/>
    <s v="EMI"/>
    <x v="0"/>
    <b v="1"/>
    <x v="0"/>
    <n v="7"/>
  </r>
  <r>
    <s v="ORD-02109"/>
    <x v="1049"/>
    <x v="1049"/>
    <s v="CUST39644"/>
    <s v="Rohan Bose"/>
    <n v="42"/>
    <s v="Male"/>
    <x v="3"/>
    <s v="Guwahati"/>
    <x v="4"/>
    <s v="T-Shirt"/>
    <n v="7"/>
    <n v="2784.47"/>
    <n v="0.09"/>
    <n v="25867.22"/>
    <n v="7897.77"/>
    <n v="98.75"/>
    <s v="Credit Card"/>
    <x v="0"/>
    <b v="1"/>
    <x v="0"/>
    <n v="8"/>
  </r>
  <r>
    <s v="ORD-03291"/>
    <x v="1411"/>
    <x v="1411"/>
    <s v="CUST41602"/>
    <s v="Arjun Bose"/>
    <n v="35"/>
    <s v="Other"/>
    <x v="2"/>
    <s v="Ludhiana"/>
    <x v="5"/>
    <s v="Laptop"/>
    <n v="4"/>
    <n v="61816.92"/>
    <n v="0"/>
    <n v="227231.35"/>
    <n v="30169.32"/>
    <n v="42.89"/>
    <s v="EMI"/>
    <x v="4"/>
    <b v="0"/>
    <x v="1"/>
    <n v="10"/>
  </r>
  <r>
    <s v="ORD-03608"/>
    <x v="300"/>
    <x v="300"/>
    <s v="CUST01140"/>
    <s v="Rohan Sharma"/>
    <n v="39"/>
    <s v="Male"/>
    <x v="0"/>
    <s v="Raipur"/>
    <x v="1"/>
    <s v="Perfume"/>
    <n v="8"/>
    <n v="722.26"/>
    <n v="0.33"/>
    <n v="6687.01"/>
    <n v="4477.03"/>
    <n v="42.31"/>
    <s v="Net Banking"/>
    <x v="0"/>
    <b v="1"/>
    <x v="0"/>
    <n v="1"/>
  </r>
  <r>
    <s v="ORD-02743"/>
    <x v="223"/>
    <x v="223"/>
    <s v="CUST97838"/>
    <s v="Ritu Mehta"/>
    <n v="28"/>
    <s v="Other"/>
    <x v="3"/>
    <s v="Bhubaneswar"/>
    <x v="4"/>
    <s v="Jacket"/>
    <n v="1"/>
    <n v="3896.79"/>
    <n v="0.36"/>
    <n v="3471.12"/>
    <n v="1531.25"/>
    <n v="72.56"/>
    <s v="Cash on Delivery"/>
    <x v="1"/>
    <b v="0"/>
    <x v="1"/>
    <n v="5"/>
  </r>
  <r>
    <s v="ORD-02121"/>
    <x v="710"/>
    <x v="710"/>
    <s v="CUST19087"/>
    <s v="Ritu Verma"/>
    <n v="38"/>
    <s v="Female"/>
    <x v="4"/>
    <s v="Bangalore"/>
    <x v="3"/>
    <s v="Fiction Novel"/>
    <n v="2"/>
    <n v="785.43"/>
    <n v="0.27"/>
    <n v="1362.3"/>
    <n v="594.5"/>
    <n v="65.58"/>
    <s v="Debit Card"/>
    <x v="0"/>
    <b v="0"/>
    <x v="1"/>
    <n v="3"/>
  </r>
  <r>
    <s v="ORD-03067"/>
    <x v="513"/>
    <x v="513"/>
    <s v="CUST47125"/>
    <s v="Rohan Kumar"/>
    <n v="34"/>
    <s v="Male"/>
    <x v="0"/>
    <s v="Nagpur"/>
    <x v="6"/>
    <s v="Yoga Mat"/>
    <n v="4"/>
    <n v="6531.91"/>
    <n v="0.18"/>
    <n v="33411.39"/>
    <n v="7449.38"/>
    <n v="78.260000000000005"/>
    <s v="Net Banking"/>
    <x v="4"/>
    <b v="0"/>
    <x v="1"/>
    <n v="8"/>
  </r>
  <r>
    <s v="ORD-02523"/>
    <x v="144"/>
    <x v="144"/>
    <s v="CUST28943"/>
    <s v="Nisha Sharma"/>
    <n v="26"/>
    <s v="Female"/>
    <x v="1"/>
    <s v="Pune"/>
    <x v="3"/>
    <s v="Fiction Novel"/>
    <n v="6"/>
    <n v="1055.08"/>
    <n v="0.36"/>
    <n v="2966.43"/>
    <n v="1190.94"/>
    <n v="62.47"/>
    <s v="Debit Card"/>
    <x v="0"/>
    <b v="0"/>
    <x v="1"/>
    <n v="4"/>
  </r>
  <r>
    <s v="ORD-01598"/>
    <x v="162"/>
    <x v="162"/>
    <s v="CUST10754"/>
    <s v="Priya Singh"/>
    <n v="48"/>
    <s v="Other"/>
    <x v="2"/>
    <s v="Delhi"/>
    <x v="5"/>
    <s v="Camera"/>
    <n v="7"/>
    <n v="52086.42"/>
    <n v="0"/>
    <n v="273692"/>
    <n v="39729.58"/>
    <n v="59.26"/>
    <s v="Debit Card"/>
    <x v="1"/>
    <b v="1"/>
    <x v="0"/>
    <n v="3"/>
  </r>
  <r>
    <s v="ORD-01100"/>
    <x v="1084"/>
    <x v="1084"/>
    <s v="CUST70498"/>
    <s v="Arjun Mishra"/>
    <n v="23"/>
    <s v="Female"/>
    <x v="3"/>
    <s v="Bhubaneswar"/>
    <x v="0"/>
    <s v="Dal (1kg)"/>
    <n v="5"/>
    <n v="176.3"/>
    <n v="0.32"/>
    <n v="725.63"/>
    <n v="60.81"/>
    <n v="108.31"/>
    <s v="EMI"/>
    <x v="3"/>
    <b v="0"/>
    <x v="4"/>
    <n v="3"/>
  </r>
  <r>
    <s v="ORD-02084"/>
    <x v="848"/>
    <x v="848"/>
    <s v="CUST67930"/>
    <s v="Ritu Das"/>
    <n v="42"/>
    <s v="Male"/>
    <x v="1"/>
    <s v="Surat"/>
    <x v="2"/>
    <s v="Bed Frame"/>
    <n v="6"/>
    <n v="4221.96"/>
    <n v="0.25"/>
    <n v="27887.17"/>
    <n v="11561.41"/>
    <n v="56.54"/>
    <s v="Net Banking"/>
    <x v="3"/>
    <b v="0"/>
    <x v="1"/>
    <n v="5"/>
  </r>
  <r>
    <s v="ORD-02407"/>
    <x v="337"/>
    <x v="337"/>
    <s v="CUST82035"/>
    <s v="Deepa Bhat"/>
    <n v="66"/>
    <s v="Male"/>
    <x v="1"/>
    <s v="Surat"/>
    <x v="5"/>
    <s v="Tablet"/>
    <n v="4"/>
    <n v="23321.4"/>
    <n v="0.36"/>
    <n v="50337.85"/>
    <n v="8865.89"/>
    <n v="72.319999999999993"/>
    <s v="Debit Card"/>
    <x v="4"/>
    <b v="1"/>
    <x v="0"/>
    <n v="7"/>
  </r>
  <r>
    <s v="ORD-01459"/>
    <x v="160"/>
    <x v="160"/>
    <s v="CUST85012"/>
    <s v="Nikhil Joshi"/>
    <n v="30"/>
    <s v="Other"/>
    <x v="1"/>
    <s v="Ahmedabad"/>
    <x v="3"/>
    <s v="Self-Help Book"/>
    <n v="9"/>
    <n v="601.66"/>
    <n v="0.04"/>
    <n v="5277.72"/>
    <n v="1862.14"/>
    <n v="59.96"/>
    <s v="Debit Card"/>
    <x v="3"/>
    <b v="1"/>
    <x v="0"/>
    <n v="1"/>
  </r>
  <r>
    <s v="ORD-01717"/>
    <x v="820"/>
    <x v="820"/>
    <s v="CUST55628"/>
    <s v="Priya Singh"/>
    <n v="35"/>
    <s v="Other"/>
    <x v="2"/>
    <s v="Amritsar"/>
    <x v="3"/>
    <s v="Fiction Novel"/>
    <n v="0"/>
    <n v="1351.01"/>
    <n v="0.14000000000000001"/>
    <n v="1116.21"/>
    <n v="341.54"/>
    <n v="36.21"/>
    <s v="UPI"/>
    <x v="4"/>
    <b v="1"/>
    <x v="0"/>
    <n v="2"/>
  </r>
  <r>
    <s v="ORD-01379"/>
    <x v="446"/>
    <x v="446"/>
    <s v="CUST23044"/>
    <s v="Meera Verma"/>
    <n v="48"/>
    <s v="Female"/>
    <x v="4"/>
    <s v="Bangalore"/>
    <x v="0"/>
    <s v="Cooking Oil"/>
    <n v="8"/>
    <n v="378.17"/>
    <n v="0.2"/>
    <n v="2714.36"/>
    <n v="171.58"/>
    <n v="53.04"/>
    <s v="Debit Card"/>
    <x v="3"/>
    <b v="0"/>
    <x v="1"/>
    <n v="7"/>
  </r>
  <r>
    <s v="ORD-03272"/>
    <x v="1296"/>
    <x v="1296"/>
    <s v="CUST57589"/>
    <s v="Meera Chatterjee"/>
    <n v="35"/>
    <s v="Other"/>
    <x v="1"/>
    <s v="Mumbai"/>
    <x v="6"/>
    <s v="Cricket Bat"/>
    <n v="10"/>
    <n v="4317.8100000000004"/>
    <n v="0.2"/>
    <n v="32059.7"/>
    <n v="7938.01"/>
    <n v="65.95"/>
    <s v="Cash on Delivery"/>
    <x v="0"/>
    <b v="0"/>
    <x v="4"/>
    <n v="3"/>
  </r>
  <r>
    <s v="ORD-00989"/>
    <x v="1455"/>
    <x v="1455"/>
    <s v="CUST63010"/>
    <s v="Kavya Kapoor"/>
    <n v="34"/>
    <s v="Male"/>
    <x v="1"/>
    <s v="Ahmedabad"/>
    <x v="6"/>
    <s v="Yoga Mat"/>
    <n v="6"/>
    <n v="4757.97"/>
    <n v="0.39"/>
    <n v="16398.86"/>
    <n v="4630.17"/>
    <n v="69.73"/>
    <s v="Cash on Delivery"/>
    <x v="4"/>
    <b v="0"/>
    <x v="1"/>
    <n v="6"/>
  </r>
  <r>
    <s v="ORD-01118"/>
    <x v="1424"/>
    <x v="1424"/>
    <s v="CUST77399"/>
    <s v="Shreya Shah"/>
    <n v="59"/>
    <s v="Other"/>
    <x v="4"/>
    <s v="Hyderabad"/>
    <x v="0"/>
    <s v="Rice (5kg)"/>
    <n v="4"/>
    <n v="346.05"/>
    <n v="0.01"/>
    <n v="1943.15"/>
    <n v="156.61000000000001"/>
    <n v="48.59"/>
    <s v="UPI"/>
    <x v="2"/>
    <b v="0"/>
    <x v="1"/>
    <n v="10"/>
  </r>
  <r>
    <s v="ORD-02078"/>
    <x v="3"/>
    <x v="3"/>
    <s v="CUST50258"/>
    <s v="Pooja Joshi"/>
    <n v="32"/>
    <s v="Other"/>
    <x v="2"/>
    <s v="Amritsar"/>
    <x v="3"/>
    <s v="Comic Book"/>
    <n v="4"/>
    <n v="407.5"/>
    <n v="0.21"/>
    <n v="1683.33"/>
    <n v="655.53"/>
    <n v="64"/>
    <s v="Net Banking"/>
    <x v="3"/>
    <b v="0"/>
    <x v="1"/>
    <n v="8"/>
  </r>
  <r>
    <s v="ORD-03627"/>
    <x v="686"/>
    <x v="686"/>
    <s v="CUST14544"/>
    <s v="Karan Bose"/>
    <n v="15"/>
    <s v="Male"/>
    <x v="2"/>
    <s v="Chandigarh"/>
    <x v="1"/>
    <s v="Face Cream"/>
    <n v="6"/>
    <n v="2053.5300000000002"/>
    <n v="0.02"/>
    <n v="18060.12"/>
    <n v="7506.82"/>
    <n v="54.84"/>
    <s v="Debit Card"/>
    <x v="2"/>
    <b v="1"/>
    <x v="0"/>
    <n v="9"/>
  </r>
  <r>
    <s v="ORD-03599"/>
    <x v="510"/>
    <x v="510"/>
    <s v="CUST08352"/>
    <s v="Nisha Verma"/>
    <n v="23"/>
    <s v="Other"/>
    <x v="0"/>
    <s v="Indore"/>
    <x v="2"/>
    <s v="Bookshelf"/>
    <n v="2"/>
    <n v="30615.34"/>
    <n v="0.21"/>
    <n v="88750.98"/>
    <n v="26460.69"/>
    <n v="57.35"/>
    <s v="Net Banking"/>
    <x v="3"/>
    <b v="0"/>
    <x v="1"/>
    <n v="2"/>
  </r>
  <r>
    <s v="ORD-03663"/>
    <x v="1170"/>
    <x v="1170"/>
    <s v="CUST63146"/>
    <s v="Deepa Verma"/>
    <n v="22"/>
    <s v="Other"/>
    <x v="4"/>
    <s v="Chennai"/>
    <x v="3"/>
    <s v="Fiction Novel"/>
    <n v="5"/>
    <n v="480.68"/>
    <n v="0.37"/>
    <n v="448.54"/>
    <n v="185.46"/>
    <n v="65.84"/>
    <s v="Net Banking"/>
    <x v="4"/>
    <b v="0"/>
    <x v="1"/>
    <n v="7"/>
  </r>
  <r>
    <s v="ORD-01484"/>
    <x v="1456"/>
    <x v="1456"/>
    <s v="CUST77114"/>
    <s v="Arjun Bose"/>
    <n v="49"/>
    <s v="Other"/>
    <x v="2"/>
    <s v="Amritsar"/>
    <x v="1"/>
    <s v="Face Cream"/>
    <n v="1"/>
    <n v="2097.9"/>
    <n v="0.1"/>
    <n v="1753.48"/>
    <n v="591.99"/>
    <n v="41.06"/>
    <s v="EMI"/>
    <x v="1"/>
    <b v="0"/>
    <x v="1"/>
    <n v="4"/>
  </r>
  <r>
    <s v="ORD-03620"/>
    <x v="503"/>
    <x v="503"/>
    <s v="CUST14620"/>
    <s v="Nikhil Verma"/>
    <n v="48"/>
    <s v="Female"/>
    <x v="0"/>
    <s v="Nagpur"/>
    <x v="2"/>
    <s v="Desk"/>
    <n v="10"/>
    <n v="11308.29"/>
    <n v="0.28000000000000003"/>
    <n v="115595.29"/>
    <n v="35774.65"/>
    <n v="57.9"/>
    <s v="UPI"/>
    <x v="2"/>
    <b v="0"/>
    <x v="1"/>
    <n v="3"/>
  </r>
  <r>
    <s v="ORD-03615"/>
    <x v="1176"/>
    <x v="1176"/>
    <s v="CUST74717"/>
    <s v="Amit Joshi"/>
    <n v="34"/>
    <s v="Other"/>
    <x v="0"/>
    <s v="Raipur"/>
    <x v="3"/>
    <s v="Fiction Novel"/>
    <n v="2"/>
    <n v="1290.19"/>
    <n v="0.11"/>
    <n v="3480.18"/>
    <n v="1141.8800000000001"/>
    <n v="63.68"/>
    <s v="Debit Card"/>
    <x v="4"/>
    <b v="0"/>
    <x v="1"/>
    <n v="6"/>
  </r>
  <r>
    <s v="ORD-00189"/>
    <x v="1457"/>
    <x v="1457"/>
    <s v="CUST02132"/>
    <s v="Pooja Reddy"/>
    <n v="41"/>
    <s v="Female"/>
    <x v="2"/>
    <s v="Delhi"/>
    <x v="0"/>
    <s v="Tea"/>
    <n v="1"/>
    <n v="342.62"/>
    <n v="0.31"/>
    <n v="248.22"/>
    <n v="14.18"/>
    <n v="59.96"/>
    <s v="EMI"/>
    <x v="0"/>
    <b v="0"/>
    <x v="1"/>
    <n v="6"/>
  </r>
  <r>
    <s v="ORD-03235"/>
    <x v="1458"/>
    <x v="1458"/>
    <s v="CUST84105"/>
    <s v="Shreya Gupta"/>
    <n v="8"/>
    <s v="Female"/>
    <x v="1"/>
    <s v="Mumbai"/>
    <x v="2"/>
    <s v="Wardrobe"/>
    <n v="10"/>
    <n v="28237.47"/>
    <n v="0.28999999999999998"/>
    <n v="201146.39"/>
    <n v="39521.26"/>
    <n v="54.08"/>
    <s v="Cash on Delivery"/>
    <x v="1"/>
    <b v="0"/>
    <x v="1"/>
    <n v="2"/>
  </r>
  <r>
    <s v="ORD-00285"/>
    <x v="1447"/>
    <x v="1447"/>
    <s v="CUST37349"/>
    <s v="Nisha Joshi"/>
    <n v="46"/>
    <s v="Male"/>
    <x v="3"/>
    <s v="Bhubaneswar"/>
    <x v="1"/>
    <s v="Perfume"/>
    <n v="4"/>
    <n v="1004.49"/>
    <n v="0.28999999999999998"/>
    <n v="3619.29"/>
    <n v="2033.39"/>
    <n v="97.74"/>
    <s v="Debit Card"/>
    <x v="0"/>
    <b v="1"/>
    <x v="0"/>
    <n v="8"/>
  </r>
  <r>
    <s v="ORD-03763"/>
    <x v="1346"/>
    <x v="1346"/>
    <s v="CUST66505"/>
    <s v="Vikram Verma"/>
    <n v="49"/>
    <s v="Male"/>
    <x v="0"/>
    <s v="Nagpur"/>
    <x v="6"/>
    <s v="Cricket Bat"/>
    <n v="3"/>
    <n v="10144.06"/>
    <n v="0.02"/>
    <n v="54236.12"/>
    <n v="10158.299999999999"/>
    <n v="72.680000000000007"/>
    <s v="Debit Card"/>
    <x v="4"/>
    <b v="1"/>
    <x v="0"/>
    <n v="1"/>
  </r>
  <r>
    <s v="ORD-00344"/>
    <x v="316"/>
    <x v="316"/>
    <s v="CUST09269"/>
    <s v="Shreya Kumar"/>
    <n v="40"/>
    <s v="Female"/>
    <x v="1"/>
    <s v="Pune"/>
    <x v="0"/>
    <s v="Sugar"/>
    <n v="5"/>
    <n v="447.63"/>
    <n v="0.3"/>
    <n v="1817.68"/>
    <n v="140.38"/>
    <n v="65.87"/>
    <s v="Cash on Delivery"/>
    <x v="4"/>
    <b v="0"/>
    <x v="3"/>
    <n v="10"/>
  </r>
  <r>
    <s v="ORD-00008"/>
    <x v="1098"/>
    <x v="1098"/>
    <s v="CUST27101"/>
    <s v="Shreya Kumar"/>
    <n v="45"/>
    <s v="Male"/>
    <x v="3"/>
    <s v="Patna"/>
    <x v="3"/>
    <s v="Cook Book"/>
    <n v="2"/>
    <n v="435.28"/>
    <n v="0.32"/>
    <n v="400.93"/>
    <n v="152.9"/>
    <n v="54.81"/>
    <s v="Cash on Delivery"/>
    <x v="3"/>
    <b v="0"/>
    <x v="3"/>
    <n v="9"/>
  </r>
  <r>
    <s v="ORD-00760"/>
    <x v="1078"/>
    <x v="1078"/>
    <s v="CUST23262"/>
    <s v="Priya Mishra"/>
    <n v="32"/>
    <s v="Female"/>
    <x v="2"/>
    <s v="Delhi"/>
    <x v="2"/>
    <s v="Bookshelf"/>
    <n v="6"/>
    <n v="18877.52"/>
    <n v="0.28999999999999998"/>
    <n v="62077.82"/>
    <n v="21779.26"/>
    <n v="27.92"/>
    <s v="Debit Card"/>
    <x v="1"/>
    <b v="0"/>
    <x v="1"/>
    <n v="6"/>
  </r>
  <r>
    <s v="ORD-02062"/>
    <x v="1187"/>
    <x v="1187"/>
    <s v="CUST44853"/>
    <s v="Arjun Shah"/>
    <n v="27"/>
    <s v="Female"/>
    <x v="0"/>
    <s v="Raipur"/>
    <x v="0"/>
    <s v="Rice (5kg)"/>
    <n v="1"/>
    <n v="197.09"/>
    <n v="0.32"/>
    <n v="204.25"/>
    <n v="20.87"/>
    <n v="46.31"/>
    <s v="Debit Card"/>
    <x v="4"/>
    <b v="0"/>
    <x v="4"/>
    <n v="5"/>
  </r>
  <r>
    <s v="ORD-03834"/>
    <x v="1159"/>
    <x v="1159"/>
    <s v="CUST62488"/>
    <s v="Sanjay Bose"/>
    <n v="31"/>
    <s v="Other"/>
    <x v="3"/>
    <s v="Kolkata"/>
    <x v="0"/>
    <s v="Sugar"/>
    <n v="5"/>
    <n v="335.32"/>
    <n v="0.33"/>
    <n v="1937.67"/>
    <n v="171.12"/>
    <n v="88.98"/>
    <s v="Cash on Delivery"/>
    <x v="4"/>
    <b v="1"/>
    <x v="0"/>
    <n v="2"/>
  </r>
  <r>
    <s v="ORD-02264"/>
    <x v="598"/>
    <x v="598"/>
    <s v="CUST27188"/>
    <s v="Aditya Das"/>
    <n v="34"/>
    <s v="Male"/>
    <x v="2"/>
    <s v="Chandigarh"/>
    <x v="2"/>
    <s v="Bookshelf"/>
    <n v="2"/>
    <n v="11078.6"/>
    <n v="0.06"/>
    <n v="26632.36"/>
    <n v="7028.83"/>
    <n v="45.78"/>
    <s v="UPI"/>
    <x v="3"/>
    <b v="0"/>
    <x v="1"/>
    <n v="10"/>
  </r>
  <r>
    <s v="ORD-02158"/>
    <x v="873"/>
    <x v="873"/>
    <s v="CUST11487"/>
    <s v="Sanjay Singh"/>
    <n v="39"/>
    <s v="Male"/>
    <x v="4"/>
    <s v="Hyderabad"/>
    <x v="0"/>
    <s v="Tea"/>
    <n v="2"/>
    <n v="287.45999999999998"/>
    <n v="0.12"/>
    <n v="696.47"/>
    <n v="45.33"/>
    <n v="63.51"/>
    <s v="UPI"/>
    <x v="3"/>
    <b v="0"/>
    <x v="3"/>
    <n v="4"/>
  </r>
  <r>
    <s v="ORD-01449"/>
    <x v="1283"/>
    <x v="1283"/>
    <s v="CUST79698"/>
    <s v="Deepa Das"/>
    <n v="49"/>
    <s v="Other"/>
    <x v="0"/>
    <s v="Raipur"/>
    <x v="6"/>
    <s v="Tennis Racket"/>
    <n v="4"/>
    <n v="11988.33"/>
    <n v="0.37"/>
    <n v="30419.46"/>
    <n v="3508.41"/>
    <n v="63.72"/>
    <s v="UPI"/>
    <x v="3"/>
    <b v="0"/>
    <x v="1"/>
    <n v="5"/>
  </r>
  <r>
    <s v="ORD-01097"/>
    <x v="1084"/>
    <x v="1084"/>
    <s v="CUST63448"/>
    <s v="Rohan Chatterjee"/>
    <n v="48"/>
    <s v="Female"/>
    <x v="1"/>
    <s v="Surat"/>
    <x v="2"/>
    <s v="Chair"/>
    <n v="7"/>
    <n v="30335.68"/>
    <n v="0.23"/>
    <n v="202427.42"/>
    <n v="47519.09"/>
    <n v="63.26"/>
    <s v="Cash on Delivery"/>
    <x v="1"/>
    <b v="0"/>
    <x v="2"/>
    <n v="6"/>
  </r>
  <r>
    <s v="ORD-00055"/>
    <x v="198"/>
    <x v="198"/>
    <s v="CUST98423"/>
    <s v="Arjun Kumar"/>
    <n v="37"/>
    <s v="Other"/>
    <x v="3"/>
    <s v="Guwahati"/>
    <x v="0"/>
    <s v="Flour"/>
    <n v="2"/>
    <n v="61.44"/>
    <n v="0.12"/>
    <n v="83.9"/>
    <n v="6.89"/>
    <n v="72.83"/>
    <s v="UPI"/>
    <x v="3"/>
    <b v="0"/>
    <x v="1"/>
    <n v="1"/>
  </r>
  <r>
    <s v="ORD-04044"/>
    <x v="1459"/>
    <x v="1459"/>
    <s v="CUST43452"/>
    <s v="Nisha Kapoor"/>
    <n v="46"/>
    <s v="Female"/>
    <x v="4"/>
    <s v="Kochi"/>
    <x v="1"/>
    <s v="Sunscreen"/>
    <n v="1"/>
    <n v="882.32"/>
    <n v="0.25"/>
    <n v="860.81"/>
    <n v="531.17999999999995"/>
    <n v="92.13"/>
    <s v="Net Banking"/>
    <x v="1"/>
    <b v="0"/>
    <x v="3"/>
    <n v="4"/>
  </r>
  <r>
    <s v="ORD-03362"/>
    <x v="1073"/>
    <x v="1073"/>
    <s v="CUST63701"/>
    <s v="Aditya Kumar"/>
    <n v="31"/>
    <s v="Female"/>
    <x v="2"/>
    <s v="Amritsar"/>
    <x v="4"/>
    <s v="Jeans"/>
    <n v="8"/>
    <n v="3109.43"/>
    <n v="0.34"/>
    <n v="13768.79"/>
    <n v="4682.29"/>
    <n v="78.430000000000007"/>
    <s v="UPI"/>
    <x v="3"/>
    <b v="0"/>
    <x v="1"/>
    <n v="1"/>
  </r>
  <r>
    <s v="ORD-02764"/>
    <x v="62"/>
    <x v="62"/>
    <s v="CUST82237"/>
    <s v="Arjun Bose"/>
    <n v="36"/>
    <s v="Other"/>
    <x v="0"/>
    <s v="Nagpur"/>
    <x v="1"/>
    <s v="Sunscreen"/>
    <n v="9"/>
    <n v="1168.75"/>
    <n v="0.22"/>
    <n v="10719.06"/>
    <n v="3312.86"/>
    <n v="24.91"/>
    <s v="Credit Card"/>
    <x v="4"/>
    <b v="0"/>
    <x v="1"/>
    <n v="6"/>
  </r>
  <r>
    <s v="ORD-01946"/>
    <x v="1460"/>
    <x v="1460"/>
    <s v="CUST58038"/>
    <s v="Arjun Joshi"/>
    <n v="43"/>
    <s v="Other"/>
    <x v="1"/>
    <s v="Pune"/>
    <x v="0"/>
    <s v="Rice (5kg)"/>
    <n v="10"/>
    <n v="378.93"/>
    <n v="0.36"/>
    <n v="3399.01"/>
    <n v="209.1"/>
    <n v="60.05"/>
    <s v="Credit Card"/>
    <x v="4"/>
    <b v="0"/>
    <x v="1"/>
    <n v="1"/>
  </r>
  <r>
    <s v="ORD-03870"/>
    <x v="639"/>
    <x v="639"/>
    <s v="CUST69875"/>
    <s v="Sanjay Mehta"/>
    <n v="43"/>
    <s v="Male"/>
    <x v="0"/>
    <s v="Raipur"/>
    <x v="4"/>
    <s v="Dress"/>
    <n v="3"/>
    <n v="1773.46"/>
    <n v="0.35"/>
    <n v="5117.18"/>
    <n v="1728.27"/>
    <n v="68.900000000000006"/>
    <s v="UPI"/>
    <x v="2"/>
    <b v="0"/>
    <x v="3"/>
    <n v="3"/>
  </r>
  <r>
    <s v="ORD-01052"/>
    <x v="48"/>
    <x v="48"/>
    <s v="CUST46428"/>
    <s v="Vikram Das"/>
    <n v="20"/>
    <s v="Male"/>
    <x v="2"/>
    <s v="Delhi"/>
    <x v="5"/>
    <s v="Camera"/>
    <n v="8"/>
    <n v="37212.54"/>
    <n v="0.08"/>
    <n v="289349.90999999997"/>
    <n v="22436.74"/>
    <n v="59.69"/>
    <s v="EMI"/>
    <x v="4"/>
    <b v="0"/>
    <x v="1"/>
    <n v="9"/>
  </r>
  <r>
    <s v="ORD-03411"/>
    <x v="878"/>
    <x v="878"/>
    <s v="CUST62485"/>
    <s v="Deepa Kapoor"/>
    <n v="29"/>
    <s v="Other"/>
    <x v="3"/>
    <s v="Patna"/>
    <x v="0"/>
    <s v="Flour"/>
    <n v="3"/>
    <n v="472.46"/>
    <n v="0.38"/>
    <n v="844.99"/>
    <n v="75.78"/>
    <n v="90.06"/>
    <s v="Credit Card"/>
    <x v="3"/>
    <b v="0"/>
    <x v="3"/>
    <n v="9"/>
  </r>
  <r>
    <s v="ORD-02279"/>
    <x v="921"/>
    <x v="921"/>
    <s v="CUST11155"/>
    <s v="Ananya Verma"/>
    <n v="52"/>
    <s v="Female"/>
    <x v="1"/>
    <s v="Mumbai"/>
    <x v="5"/>
    <s v="Laptop"/>
    <n v="6"/>
    <n v="13712.65"/>
    <n v="0.21"/>
    <n v="88050.54"/>
    <n v="10911.94"/>
    <n v="44.8"/>
    <s v="Debit Card"/>
    <x v="3"/>
    <b v="0"/>
    <x v="1"/>
    <n v="5"/>
  </r>
  <r>
    <s v="ORD-02655"/>
    <x v="1461"/>
    <x v="1461"/>
    <s v="CUST25325"/>
    <s v="Amit Joshi"/>
    <n v="34"/>
    <s v="Male"/>
    <x v="0"/>
    <s v="Nagpur"/>
    <x v="3"/>
    <s v="Fiction Novel"/>
    <n v="10"/>
    <n v="890.58"/>
    <n v="0.05"/>
    <n v="9308.3700000000008"/>
    <n v="3442.31"/>
    <n v="77.84"/>
    <s v="UPI"/>
    <x v="4"/>
    <b v="0"/>
    <x v="1"/>
    <n v="4"/>
  </r>
  <r>
    <s v="ORD-02555"/>
    <x v="1462"/>
    <x v="1462"/>
    <s v="CUST46238"/>
    <s v="Nisha Singh"/>
    <n v="13"/>
    <s v="Other"/>
    <x v="4"/>
    <s v="Chennai"/>
    <x v="0"/>
    <s v="Cooking Oil"/>
    <n v="6"/>
    <n v="429.91"/>
    <n v="0.36"/>
    <n v="1429.71"/>
    <n v="163.29"/>
    <n v="71.98"/>
    <s v="Cash on Delivery"/>
    <x v="0"/>
    <b v="0"/>
    <x v="1"/>
    <n v="3"/>
  </r>
  <r>
    <s v="ORD-02464"/>
    <x v="1137"/>
    <x v="1137"/>
    <s v="CUST86293"/>
    <s v="Rahul Kapoor"/>
    <n v="28"/>
    <s v="Male"/>
    <x v="4"/>
    <s v="Kochi"/>
    <x v="2"/>
    <s v="Bed Frame"/>
    <n v="1"/>
    <n v="21880.63"/>
    <n v="0.13"/>
    <n v="15482.78"/>
    <n v="4167.88"/>
    <n v="65.81"/>
    <s v="Debit Card"/>
    <x v="1"/>
    <b v="0"/>
    <x v="1"/>
    <n v="7"/>
  </r>
  <r>
    <s v="ORD-03125"/>
    <x v="350"/>
    <x v="350"/>
    <s v="CUST63392"/>
    <s v="Pooja Nair"/>
    <n v="49"/>
    <s v="Other"/>
    <x v="0"/>
    <s v="Raipur"/>
    <x v="6"/>
    <s v="Yoga Mat"/>
    <n v="8"/>
    <n v="7594.18"/>
    <n v="0.06"/>
    <n v="73152.899999999994"/>
    <n v="14737.07"/>
    <n v="75.23"/>
    <s v="Net Banking"/>
    <x v="0"/>
    <b v="0"/>
    <x v="1"/>
    <n v="10"/>
  </r>
  <r>
    <s v="ORD-02541"/>
    <x v="458"/>
    <x v="458"/>
    <s v="CUST26316"/>
    <s v="Ananya Gupta"/>
    <n v="24"/>
    <s v="Other"/>
    <x v="4"/>
    <s v="Chennai"/>
    <x v="3"/>
    <s v="Textbook"/>
    <n v="2"/>
    <n v="1431.03"/>
    <n v="0.24"/>
    <n v="1789.46"/>
    <n v="945.9"/>
    <n v="64.39"/>
    <s v="Debit Card"/>
    <x v="3"/>
    <b v="0"/>
    <x v="2"/>
    <n v="1"/>
  </r>
  <r>
    <s v="ORD-02857"/>
    <x v="299"/>
    <x v="299"/>
    <s v="CUST81300"/>
    <s v="Ananya Mishra"/>
    <n v="27"/>
    <s v="Other"/>
    <x v="0"/>
    <s v="Bhopal"/>
    <x v="5"/>
    <s v="Smartphone"/>
    <n v="2"/>
    <n v="16666.39"/>
    <n v="0.04"/>
    <n v="45521.34"/>
    <n v="6476.79"/>
    <n v="54.21"/>
    <s v="UPI"/>
    <x v="4"/>
    <b v="0"/>
    <x v="1"/>
    <n v="8"/>
  </r>
  <r>
    <s v="ORD-03704"/>
    <x v="1276"/>
    <x v="1276"/>
    <s v="CUST39978"/>
    <s v="Sunita Kapoor"/>
    <n v="6"/>
    <s v="Female"/>
    <x v="0"/>
    <s v="Raipur"/>
    <x v="1"/>
    <s v="Shampoo"/>
    <n v="4"/>
    <n v="1243.93"/>
    <n v="0.34"/>
    <n v="5427.21"/>
    <n v="1521.9"/>
    <n v="44.57"/>
    <s v="Debit Card"/>
    <x v="4"/>
    <b v="0"/>
    <x v="1"/>
    <n v="6"/>
  </r>
  <r>
    <s v="ORD-01648"/>
    <x v="333"/>
    <x v="333"/>
    <s v="CUST42883"/>
    <s v="Vikram Joshi"/>
    <n v="32"/>
    <s v="Male"/>
    <x v="2"/>
    <s v="Amritsar"/>
    <x v="4"/>
    <s v="Saree"/>
    <n v="7"/>
    <n v="3381.19"/>
    <n v="0.39"/>
    <n v="11933.01"/>
    <n v="3903.15"/>
    <n v="52.43"/>
    <s v="EMI"/>
    <x v="0"/>
    <b v="1"/>
    <x v="0"/>
    <n v="4"/>
  </r>
  <r>
    <s v="ORD-00882"/>
    <x v="60"/>
    <x v="60"/>
    <s v="CUST46121"/>
    <s v="Arjun Shah"/>
    <n v="41"/>
    <s v="Female"/>
    <x v="2"/>
    <s v="Amritsar"/>
    <x v="2"/>
    <s v="Bed Frame"/>
    <n v="10"/>
    <n v="21056.57"/>
    <n v="0.24"/>
    <n v="131205.97"/>
    <n v="31712.53"/>
    <n v="53.62"/>
    <s v="Credit Card"/>
    <x v="3"/>
    <b v="1"/>
    <x v="0"/>
    <n v="10"/>
  </r>
  <r>
    <s v="ORD-01780"/>
    <x v="1463"/>
    <x v="1463"/>
    <s v="CUST67461"/>
    <s v="Aditya Kapoor"/>
    <n v="16"/>
    <s v="Male"/>
    <x v="2"/>
    <s v="Chandigarh"/>
    <x v="6"/>
    <s v="Dumbbells"/>
    <n v="2"/>
    <n v="13902.39"/>
    <n v="0.37"/>
    <n v="20309.900000000001"/>
    <n v="5540.98"/>
    <n v="37.83"/>
    <s v="Net Banking"/>
    <x v="0"/>
    <b v="0"/>
    <x v="1"/>
    <n v="7"/>
  </r>
  <r>
    <s v="ORD-01611"/>
    <x v="1359"/>
    <x v="1359"/>
    <s v="CUST14221"/>
    <s v="Nisha Iyer"/>
    <n v="51"/>
    <s v="Other"/>
    <x v="1"/>
    <s v="Ahmedabad"/>
    <x v="3"/>
    <s v="Textbook"/>
    <n v="10"/>
    <n v="1181.99"/>
    <n v="0.01"/>
    <n v="8278.99"/>
    <n v="3933.86"/>
    <n v="52.54"/>
    <s v="Debit Card"/>
    <x v="1"/>
    <b v="1"/>
    <x v="0"/>
    <n v="10"/>
  </r>
  <r>
    <s v="ORD-03545"/>
    <x v="392"/>
    <x v="392"/>
    <s v="CUST48258"/>
    <s v="Deepa Patel"/>
    <n v="41"/>
    <s v="Female"/>
    <x v="4"/>
    <s v="Hyderabad"/>
    <x v="0"/>
    <s v="Cooking Oil"/>
    <n v="7"/>
    <n v="439.78"/>
    <n v="0.11"/>
    <n v="3962.93"/>
    <n v="320.83"/>
    <n v="64"/>
    <s v="UPI"/>
    <x v="4"/>
    <b v="0"/>
    <x v="2"/>
    <n v="9"/>
  </r>
  <r>
    <s v="ORD-02012"/>
    <x v="867"/>
    <x v="867"/>
    <s v="CUST50838"/>
    <s v="Sunita Sharma"/>
    <n v="35"/>
    <s v="Male"/>
    <x v="2"/>
    <s v="Amritsar"/>
    <x v="1"/>
    <s v="Hair Oil"/>
    <n v="3"/>
    <n v="151.66"/>
    <n v="0.28000000000000003"/>
    <n v="490.46"/>
    <n v="194.08"/>
    <n v="50.29"/>
    <s v="UPI"/>
    <x v="0"/>
    <b v="0"/>
    <x v="1"/>
    <n v="1"/>
  </r>
  <r>
    <s v="ORD-02849"/>
    <x v="65"/>
    <x v="65"/>
    <s v="CUST49953"/>
    <s v="Aditya Kapoor"/>
    <n v="47"/>
    <s v="Other"/>
    <x v="4"/>
    <s v="Hyderabad"/>
    <x v="3"/>
    <s v="Comic Book"/>
    <n v="1"/>
    <n v="616.77"/>
    <n v="0.26"/>
    <n v="805.88"/>
    <n v="253.49"/>
    <n v="67.819999999999993"/>
    <s v="Net Banking"/>
    <x v="0"/>
    <b v="1"/>
    <x v="0"/>
    <n v="5"/>
  </r>
  <r>
    <s v="ORD-00376"/>
    <x v="660"/>
    <x v="660"/>
    <s v="CUST08639"/>
    <s v="Rahul Kapoor"/>
    <n v="43"/>
    <s v="Female"/>
    <x v="1"/>
    <s v="Mumbai"/>
    <x v="6"/>
    <s v="Dumbbells"/>
    <n v="10"/>
    <n v="7388.77"/>
    <n v="0.35"/>
    <n v="67368.649999999994"/>
    <n v="7907.83"/>
    <n v="79.13"/>
    <s v="Credit Card"/>
    <x v="3"/>
    <b v="1"/>
    <x v="0"/>
    <n v="2"/>
  </r>
  <r>
    <s v="ORD-01583"/>
    <x v="980"/>
    <x v="980"/>
    <s v="CUST77780"/>
    <s v="Shreya Sharma"/>
    <n v="34"/>
    <s v="Other"/>
    <x v="2"/>
    <s v="Ludhiana"/>
    <x v="2"/>
    <s v="Bed Frame"/>
    <n v="2"/>
    <n v="33979.17"/>
    <n v="0.09"/>
    <n v="49388.95"/>
    <n v="18574.16"/>
    <n v="35.89"/>
    <s v="Credit Card"/>
    <x v="2"/>
    <b v="1"/>
    <x v="0"/>
    <n v="4"/>
  </r>
  <r>
    <s v="ORD-01802"/>
    <x v="368"/>
    <x v="368"/>
    <s v="CUST29312"/>
    <s v="Arjun Verma"/>
    <n v="35"/>
    <s v="Other"/>
    <x v="3"/>
    <s v="Kolkata"/>
    <x v="1"/>
    <s v="Hair Oil"/>
    <n v="1"/>
    <n v="2317.4899999999998"/>
    <n v="0.12"/>
    <n v="2469.09"/>
    <n v="1307.3699999999999"/>
    <n v="92.14"/>
    <s v="Credit Card"/>
    <x v="2"/>
    <b v="0"/>
    <x v="1"/>
    <n v="4"/>
  </r>
  <r>
    <s v="ORD-04040"/>
    <x v="1464"/>
    <x v="1464"/>
    <s v="CUST65904"/>
    <s v="Aditya Reddy"/>
    <n v="24"/>
    <s v="Female"/>
    <x v="0"/>
    <s v="Raipur"/>
    <x v="1"/>
    <s v="Face Cream"/>
    <n v="1"/>
    <n v="1189.68"/>
    <n v="0.38"/>
    <n v="883.05"/>
    <n v="476.12"/>
    <n v="61.72"/>
    <s v="UPI"/>
    <x v="0"/>
    <b v="0"/>
    <x v="1"/>
    <n v="7"/>
  </r>
  <r>
    <s v="ORD-01337"/>
    <x v="61"/>
    <x v="61"/>
    <s v="CUST96224"/>
    <s v="Pooja Bhat"/>
    <n v="42"/>
    <s v="Male"/>
    <x v="3"/>
    <s v="Guwahati"/>
    <x v="1"/>
    <s v="Shampoo"/>
    <n v="6"/>
    <n v="1830.42"/>
    <n v="0.38"/>
    <n v="8090.67"/>
    <n v="3889.27"/>
    <n v="89.06"/>
    <s v="EMI"/>
    <x v="1"/>
    <b v="0"/>
    <x v="2"/>
    <n v="7"/>
  </r>
  <r>
    <s v="ORD-02032"/>
    <x v="37"/>
    <x v="37"/>
    <s v="CUST87100"/>
    <s v="Priya Das"/>
    <n v="31"/>
    <s v="Female"/>
    <x v="2"/>
    <s v="Chandigarh"/>
    <x v="6"/>
    <s v="Dumbbells"/>
    <n v="1"/>
    <n v="9438.7900000000009"/>
    <n v="0.06"/>
    <n v="12679.99"/>
    <n v="2911.92"/>
    <n v="48.64"/>
    <s v="Net Banking"/>
    <x v="0"/>
    <b v="0"/>
    <x v="1"/>
    <n v="8"/>
  </r>
  <r>
    <s v="ORD-01663"/>
    <x v="1356"/>
    <x v="1356"/>
    <s v="CUST47721"/>
    <s v="Karan Mishra"/>
    <n v="47"/>
    <s v="Male"/>
    <x v="2"/>
    <s v="Delhi"/>
    <x v="1"/>
    <s v="Face Cream"/>
    <n v="7"/>
    <n v="183.5"/>
    <n v="0.06"/>
    <n v="941.96"/>
    <n v="329.15"/>
    <n v="81.3"/>
    <s v="Cash on Delivery"/>
    <x v="1"/>
    <b v="0"/>
    <x v="1"/>
    <n v="7"/>
  </r>
  <r>
    <s v="ORD-04032"/>
    <x v="242"/>
    <x v="242"/>
    <s v="CUST20384"/>
    <s v="Shreya Das"/>
    <n v="34"/>
    <s v="Male"/>
    <x v="1"/>
    <s v="Mumbai"/>
    <x v="1"/>
    <s v="Hair Oil"/>
    <n v="8"/>
    <n v="1325.92"/>
    <n v="0.36"/>
    <n v="7101.14"/>
    <n v="3668.15"/>
    <n v="75.44"/>
    <s v="Credit Card"/>
    <x v="3"/>
    <b v="0"/>
    <x v="1"/>
    <n v="10"/>
  </r>
  <r>
    <s v="ORD-03391"/>
    <x v="132"/>
    <x v="132"/>
    <s v="CUST82012"/>
    <s v="Amit Chatterjee"/>
    <n v="12"/>
    <s v="Male"/>
    <x v="0"/>
    <s v="Indore"/>
    <x v="2"/>
    <s v="Sofa"/>
    <n v="1"/>
    <n v="17054.150000000001"/>
    <n v="0.05"/>
    <n v="19278.169999999998"/>
    <n v="5809.8"/>
    <n v="62.17"/>
    <s v="Cash on Delivery"/>
    <x v="0"/>
    <b v="0"/>
    <x v="1"/>
    <n v="2"/>
  </r>
  <r>
    <s v="ORD-00065"/>
    <x v="1465"/>
    <x v="1465"/>
    <s v="CUST46511"/>
    <s v="Aditya Mehta"/>
    <n v="38"/>
    <s v="Male"/>
    <x v="0"/>
    <s v="Bhopal"/>
    <x v="6"/>
    <s v="Tennis Racket"/>
    <n v="7"/>
    <n v="11809.1"/>
    <n v="0.37"/>
    <n v="39451.25"/>
    <n v="8489.59"/>
    <n v="52.58"/>
    <s v="UPI"/>
    <x v="4"/>
    <b v="1"/>
    <x v="0"/>
    <n v="5"/>
  </r>
  <r>
    <s v="ORD-01211"/>
    <x v="1240"/>
    <x v="1240"/>
    <s v="CUST89209"/>
    <s v="Nisha Patel"/>
    <n v="55"/>
    <s v="Female"/>
    <x v="1"/>
    <s v="Mumbai"/>
    <x v="0"/>
    <s v="Dal (1kg)"/>
    <n v="1"/>
    <n v="92.07"/>
    <n v="0.24"/>
    <n v="92.74"/>
    <n v="5.66"/>
    <n v="66.61"/>
    <s v="UPI"/>
    <x v="2"/>
    <b v="1"/>
    <x v="0"/>
    <n v="4"/>
  </r>
  <r>
    <s v="ORD-04028"/>
    <x v="1242"/>
    <x v="1242"/>
    <s v="CUST55623"/>
    <s v="Nikhil Mehta"/>
    <n v="72"/>
    <s v="Male"/>
    <x v="0"/>
    <s v="Indore"/>
    <x v="3"/>
    <s v="Biography"/>
    <n v="8"/>
    <n v="953.45"/>
    <n v="0.12"/>
    <n v="6937.28"/>
    <n v="3146.46"/>
    <n v="74.989999999999995"/>
    <s v="EMI"/>
    <x v="4"/>
    <b v="0"/>
    <x v="1"/>
    <n v="9"/>
  </r>
  <r>
    <s v="ORD-03168"/>
    <x v="1466"/>
    <x v="1466"/>
    <s v="CUST99426"/>
    <s v="Sunita Shah"/>
    <n v="39"/>
    <s v="Female"/>
    <x v="3"/>
    <s v="Patna"/>
    <x v="2"/>
    <s v="Chair"/>
    <n v="3"/>
    <n v="22116.52"/>
    <n v="0.14000000000000001"/>
    <n v="56634.239999999998"/>
    <n v="15322.58"/>
    <n v="80.03"/>
    <s v="EMI"/>
    <x v="3"/>
    <b v="1"/>
    <x v="0"/>
    <n v="6"/>
  </r>
  <r>
    <s v="ORD-02377"/>
    <x v="1467"/>
    <x v="1467"/>
    <s v="CUST98234"/>
    <s v="Priya Das"/>
    <n v="37"/>
    <s v="Female"/>
    <x v="3"/>
    <s v="Kolkata"/>
    <x v="3"/>
    <s v="Biography"/>
    <n v="3"/>
    <n v="641.95000000000005"/>
    <n v="0.28999999999999998"/>
    <n v="1563.94"/>
    <n v="516.36"/>
    <n v="78.510000000000005"/>
    <s v="UPI"/>
    <x v="4"/>
    <b v="0"/>
    <x v="1"/>
    <n v="8"/>
  </r>
  <r>
    <s v="ORD-00848"/>
    <x v="64"/>
    <x v="64"/>
    <s v="CUST63825"/>
    <s v="Aarav Bose"/>
    <n v="42"/>
    <s v="Female"/>
    <x v="0"/>
    <s v="Nagpur"/>
    <x v="5"/>
    <s v="Camera"/>
    <n v="7"/>
    <n v="73688.740000000005"/>
    <n v="0.36"/>
    <n v="260206.81"/>
    <n v="15758.03"/>
    <n v="63.44"/>
    <s v="Net Banking"/>
    <x v="0"/>
    <b v="0"/>
    <x v="1"/>
    <n v="7"/>
  </r>
  <r>
    <s v="ORD-02428"/>
    <x v="528"/>
    <x v="528"/>
    <s v="CUST87410"/>
    <s v="Rahul Bose"/>
    <n v="14"/>
    <s v="Other"/>
    <x v="4"/>
    <s v="Kochi"/>
    <x v="0"/>
    <s v="Rice (5kg)"/>
    <n v="10"/>
    <n v="90.88"/>
    <n v="0.15"/>
    <n v="727.71"/>
    <n v="64.16"/>
    <n v="43"/>
    <s v="Net Banking"/>
    <x v="3"/>
    <b v="0"/>
    <x v="1"/>
    <n v="3"/>
  </r>
  <r>
    <s v="ORD-03977"/>
    <x v="974"/>
    <x v="974"/>
    <s v="CUST09103"/>
    <s v="Nisha Kapoor"/>
    <n v="30"/>
    <s v="Other"/>
    <x v="1"/>
    <s v="Ahmedabad"/>
    <x v="4"/>
    <s v="Saree"/>
    <n v="5"/>
    <n v="1833.43"/>
    <n v="0.25"/>
    <n v="9194.56"/>
    <n v="2732.97"/>
    <n v="67.540000000000006"/>
    <s v="EMI"/>
    <x v="3"/>
    <b v="1"/>
    <x v="0"/>
    <n v="2"/>
  </r>
  <r>
    <s v="ORD-03020"/>
    <x v="928"/>
    <x v="928"/>
    <s v="CUST84225"/>
    <s v="Ananya Gupta"/>
    <n v="49"/>
    <s v="Male"/>
    <x v="2"/>
    <s v="Ludhiana"/>
    <x v="2"/>
    <s v="Wardrobe"/>
    <n v="4"/>
    <n v="33460.25"/>
    <n v="0.13"/>
    <n v="195087.5"/>
    <n v="63064.44"/>
    <n v="40.01"/>
    <s v="UPI"/>
    <x v="1"/>
    <b v="0"/>
    <x v="1"/>
    <n v="5"/>
  </r>
  <r>
    <s v="ORD-01487"/>
    <x v="1468"/>
    <x v="1468"/>
    <s v="CUST74622"/>
    <s v="Priya Sharma"/>
    <n v="30"/>
    <s v="Other"/>
    <x v="0"/>
    <s v="Bhopal"/>
    <x v="6"/>
    <s v="Dumbbells"/>
    <n v="1"/>
    <n v="9205.69"/>
    <n v="0.13"/>
    <n v="7849.73"/>
    <n v="1902.62"/>
    <n v="71.069999999999993"/>
    <s v="Debit Card"/>
    <x v="4"/>
    <b v="0"/>
    <x v="1"/>
    <n v="5"/>
  </r>
  <r>
    <s v="ORD-00683"/>
    <x v="522"/>
    <x v="522"/>
    <s v="CUST71427"/>
    <s v="Ritu Das"/>
    <n v="21"/>
    <s v="Male"/>
    <x v="0"/>
    <s v="Nagpur"/>
    <x v="0"/>
    <s v="Rice (5kg)"/>
    <n v="8"/>
    <n v="483.25"/>
    <n v="0.06"/>
    <n v="2795.81"/>
    <n v="207.65"/>
    <n v="28.67"/>
    <s v="UPI"/>
    <x v="0"/>
    <b v="0"/>
    <x v="1"/>
    <n v="2"/>
  </r>
  <r>
    <s v="ORD-00553"/>
    <x v="546"/>
    <x v="546"/>
    <s v="CUST75347"/>
    <s v="Nisha Singh"/>
    <n v="15"/>
    <s v="Other"/>
    <x v="2"/>
    <s v="Ludhiana"/>
    <x v="0"/>
    <s v="Dal (1kg)"/>
    <n v="3"/>
    <n v="101.86"/>
    <n v="0.13"/>
    <n v="278.89999999999998"/>
    <n v="25.03"/>
    <n v="47.2"/>
    <s v="Net Banking"/>
    <x v="1"/>
    <b v="0"/>
    <x v="1"/>
    <n v="7"/>
  </r>
  <r>
    <s v="ORD-00139"/>
    <x v="442"/>
    <x v="442"/>
    <s v="CUST35429"/>
    <s v="Ritu Nair"/>
    <n v="43"/>
    <s v="Female"/>
    <x v="4"/>
    <s v="Chennai"/>
    <x v="3"/>
    <s v="Comic Book"/>
    <n v="5"/>
    <n v="1179.07"/>
    <n v="0.24"/>
    <n v="807.42"/>
    <n v="455.49"/>
    <n v="77.92"/>
    <s v="Cash on Delivery"/>
    <x v="4"/>
    <b v="0"/>
    <x v="3"/>
    <n v="3"/>
  </r>
  <r>
    <s v="ORD-01462"/>
    <x v="160"/>
    <x v="160"/>
    <s v="CUST48119"/>
    <s v="Arjun Kumar"/>
    <n v="25"/>
    <s v="Other"/>
    <x v="1"/>
    <s v="Mumbai"/>
    <x v="6"/>
    <s v="Yoga Mat"/>
    <n v="4"/>
    <n v="9927.75"/>
    <n v="0.01"/>
    <n v="30133.8"/>
    <n v="8083.5"/>
    <n v="86.33"/>
    <s v="Cash on Delivery"/>
    <x v="4"/>
    <b v="0"/>
    <x v="1"/>
    <n v="5"/>
  </r>
  <r>
    <s v="ORD-02406"/>
    <x v="337"/>
    <x v="337"/>
    <s v="CUST28811"/>
    <s v="Sunita Joshi"/>
    <n v="14"/>
    <s v="Other"/>
    <x v="4"/>
    <s v="Hyderabad"/>
    <x v="3"/>
    <s v="Comic Book"/>
    <n v="6"/>
    <n v="1290.45"/>
    <n v="0.14000000000000001"/>
    <n v="6054.97"/>
    <n v="2015.44"/>
    <n v="72.180000000000007"/>
    <s v="Debit Card"/>
    <x v="0"/>
    <b v="0"/>
    <x v="1"/>
    <n v="7"/>
  </r>
  <r>
    <s v="ORD-00484"/>
    <x v="770"/>
    <x v="770"/>
    <s v="CUST47442"/>
    <s v="Sunita Shah"/>
    <n v="47"/>
    <s v="Female"/>
    <x v="4"/>
    <s v="Hyderabad"/>
    <x v="3"/>
    <s v="Fiction Novel"/>
    <n v="1"/>
    <n v="658.73"/>
    <n v="0.32"/>
    <n v="486.04"/>
    <n v="224.09"/>
    <n v="56.27"/>
    <s v="Net Banking"/>
    <x v="4"/>
    <b v="0"/>
    <x v="3"/>
    <n v="10"/>
  </r>
  <r>
    <s v="ORD-03279"/>
    <x v="71"/>
    <x v="71"/>
    <s v="CUST55124"/>
    <s v="Arjun Nair"/>
    <n v="35"/>
    <s v="Female"/>
    <x v="4"/>
    <s v="Hyderabad"/>
    <x v="1"/>
    <s v="Hair Oil"/>
    <n v="5"/>
    <n v="2164.5"/>
    <n v="0.36"/>
    <n v="6849.69"/>
    <n v="3108.13"/>
    <n v="89.26"/>
    <s v="EMI"/>
    <x v="4"/>
    <b v="0"/>
    <x v="1"/>
    <n v="5"/>
  </r>
  <r>
    <s v="ORD-00236"/>
    <x v="1434"/>
    <x v="1434"/>
    <s v="CUST00024"/>
    <s v="Rohan Bhat"/>
    <n v="35"/>
    <s v="Other"/>
    <x v="2"/>
    <s v="Amritsar"/>
    <x v="3"/>
    <s v="Self-Help Book"/>
    <n v="5"/>
    <n v="966.73"/>
    <n v="0.32"/>
    <n v="4041.53"/>
    <n v="1436.4"/>
    <n v="27.61"/>
    <s v="EMI"/>
    <x v="1"/>
    <b v="0"/>
    <x v="4"/>
    <n v="4"/>
  </r>
  <r>
    <s v="ORD-02214"/>
    <x v="994"/>
    <x v="994"/>
    <s v="CUST69266"/>
    <s v="Meera Iyer"/>
    <n v="42"/>
    <s v="Female"/>
    <x v="4"/>
    <s v="Kochi"/>
    <x v="6"/>
    <s v="Yoga Mat"/>
    <n v="3"/>
    <n v="11700.18"/>
    <n v="0.34"/>
    <n v="31335.42"/>
    <n v="7211.28"/>
    <n v="61.57"/>
    <s v="Cash on Delivery"/>
    <x v="3"/>
    <b v="0"/>
    <x v="1"/>
    <n v="4"/>
  </r>
  <r>
    <s v="ORD-01812"/>
    <x v="749"/>
    <x v="749"/>
    <s v="CUST87331"/>
    <s v="Priya Iyer"/>
    <n v="37"/>
    <s v="Other"/>
    <x v="4"/>
    <s v="Hyderabad"/>
    <x v="4"/>
    <s v="Saree"/>
    <n v="2"/>
    <n v="3062.06"/>
    <n v="0"/>
    <n v="6405.51"/>
    <n v="1929.46"/>
    <n v="60.97"/>
    <s v="Credit Card"/>
    <x v="2"/>
    <b v="0"/>
    <x v="1"/>
    <n v="6"/>
  </r>
  <r>
    <s v="ORD-02835"/>
    <x v="262"/>
    <x v="262"/>
    <s v="CUST93185"/>
    <s v="Sunita Verma"/>
    <n v="46"/>
    <s v="Male"/>
    <x v="2"/>
    <s v="Ludhiana"/>
    <x v="3"/>
    <s v="Biography"/>
    <n v="2"/>
    <n v="922.52"/>
    <n v="0.02"/>
    <n v="2948.11"/>
    <n v="1106.75"/>
    <n v="61.06"/>
    <s v="Debit Card"/>
    <x v="0"/>
    <b v="0"/>
    <x v="1"/>
    <n v="9"/>
  </r>
  <r>
    <s v="ORD-02005"/>
    <x v="171"/>
    <x v="171"/>
    <s v="CUST62519"/>
    <s v="Priya Joshi"/>
    <n v="46"/>
    <s v="Female"/>
    <x v="4"/>
    <s v="Bangalore"/>
    <x v="1"/>
    <s v="Sunscreen"/>
    <n v="10"/>
    <n v="1635.87"/>
    <n v="0.21"/>
    <n v="18889.25"/>
    <n v="9364.27"/>
    <n v="65.41"/>
    <s v="Cash on Delivery"/>
    <x v="2"/>
    <b v="0"/>
    <x v="1"/>
    <n v="4"/>
  </r>
  <r>
    <s v="ORD-03293"/>
    <x v="1411"/>
    <x v="1411"/>
    <s v="CUST17652"/>
    <s v="Arjun Rao"/>
    <n v="40"/>
    <s v="Male"/>
    <x v="3"/>
    <s v="Guwahati"/>
    <x v="1"/>
    <s v="Face Cream"/>
    <n v="7"/>
    <n v="586.63"/>
    <n v="0.04"/>
    <n v="3416.93"/>
    <n v="1208.1300000000001"/>
    <n v="90.59"/>
    <s v="Net Banking"/>
    <x v="3"/>
    <b v="0"/>
    <x v="2"/>
    <n v="8"/>
  </r>
  <r>
    <s v="ORD-03717"/>
    <x v="1469"/>
    <x v="1469"/>
    <s v="CUST54594"/>
    <s v="Ritu Verma"/>
    <n v="37"/>
    <s v="Male"/>
    <x v="4"/>
    <s v="Hyderabad"/>
    <x v="6"/>
    <s v="Football"/>
    <n v="4"/>
    <n v="969.54"/>
    <n v="0.1"/>
    <n v="6002.74"/>
    <n v="476.57"/>
    <n v="59.53"/>
    <s v="Net Banking"/>
    <x v="2"/>
    <b v="0"/>
    <x v="1"/>
    <n v="5"/>
  </r>
  <r>
    <s v="ORD-02395"/>
    <x v="87"/>
    <x v="87"/>
    <s v="CUST38435"/>
    <s v="Aarav Das"/>
    <n v="34"/>
    <s v="Other"/>
    <x v="1"/>
    <s v="Mumbai"/>
    <x v="5"/>
    <s v="Smartphone"/>
    <n v="5"/>
    <n v="17051.009999999998"/>
    <n v="0.02"/>
    <n v="72489.63"/>
    <n v="12014.35"/>
    <n v="60.41"/>
    <s v="Debit Card"/>
    <x v="2"/>
    <b v="0"/>
    <x v="1"/>
    <n v="3"/>
  </r>
  <r>
    <s v="ORD-03610"/>
    <x v="300"/>
    <x v="300"/>
    <s v="CUST71966"/>
    <s v="Deepa Kumar"/>
    <n v="31"/>
    <s v="Female"/>
    <x v="1"/>
    <s v="Pune"/>
    <x v="1"/>
    <s v="Perfume"/>
    <n v="8"/>
    <n v="1737.06"/>
    <n v="0.05"/>
    <n v="21586.69"/>
    <n v="9320.24"/>
    <n v="48.1"/>
    <s v="EMI"/>
    <x v="2"/>
    <b v="0"/>
    <x v="1"/>
    <n v="9"/>
  </r>
  <r>
    <s v="ORD-02433"/>
    <x v="1470"/>
    <x v="1470"/>
    <s v="CUST52680"/>
    <s v="Ritu Shah"/>
    <n v="40"/>
    <s v="Female"/>
    <x v="2"/>
    <s v="Delhi"/>
    <x v="6"/>
    <s v="Cycle"/>
    <n v="9"/>
    <n v="10073.67"/>
    <n v="0.2"/>
    <n v="59652.6"/>
    <n v="18108.91"/>
    <n v="53.9"/>
    <s v="EMI"/>
    <x v="2"/>
    <b v="0"/>
    <x v="3"/>
    <n v="2"/>
  </r>
  <r>
    <s v="ORD-02752"/>
    <x v="1267"/>
    <x v="1267"/>
    <s v="CUST77977"/>
    <s v="Priya Verma"/>
    <n v="39"/>
    <s v="Other"/>
    <x v="2"/>
    <s v="Chandigarh"/>
    <x v="2"/>
    <s v="Desk"/>
    <n v="4"/>
    <n v="20972.36"/>
    <n v="0.23"/>
    <n v="101498.2"/>
    <n v="40455.26"/>
    <n v="43.34"/>
    <s v="UPI"/>
    <x v="4"/>
    <b v="0"/>
    <x v="1"/>
    <n v="4"/>
  </r>
  <r>
    <s v="ORD-01125"/>
    <x v="939"/>
    <x v="939"/>
    <s v="CUST04001"/>
    <s v="Ananya Das"/>
    <n v="41"/>
    <s v="Male"/>
    <x v="0"/>
    <s v="Bhopal"/>
    <x v="6"/>
    <s v="Football"/>
    <n v="8"/>
    <n v="1689.13"/>
    <n v="0.12"/>
    <n v="17306.12"/>
    <n v="3872.78"/>
    <n v="78.959999999999994"/>
    <s v="Net Banking"/>
    <x v="0"/>
    <b v="0"/>
    <x v="4"/>
    <n v="2"/>
  </r>
  <r>
    <s v="ORD-02639"/>
    <x v="591"/>
    <x v="591"/>
    <s v="CUST43114"/>
    <s v="Deepa Sharma"/>
    <n v="37"/>
    <s v="Male"/>
    <x v="4"/>
    <s v="Kochi"/>
    <x v="2"/>
    <s v="Bookshelf"/>
    <n v="5"/>
    <n v="26873.8"/>
    <n v="0.3"/>
    <n v="107825.45"/>
    <n v="33382.410000000003"/>
    <n v="80.540000000000006"/>
    <s v="Net Banking"/>
    <x v="3"/>
    <b v="0"/>
    <x v="3"/>
    <n v="9"/>
  </r>
  <r>
    <s v="ORD-03791"/>
    <x v="1332"/>
    <x v="1332"/>
    <s v="CUST64574"/>
    <s v="Sanjay Pillai"/>
    <n v="26"/>
    <s v="Female"/>
    <x v="0"/>
    <s v="Bhopal"/>
    <x v="5"/>
    <s v="Smartphone"/>
    <n v="8"/>
    <n v="70977.789999999994"/>
    <n v="0.21"/>
    <n v="912510.56"/>
    <n v="120414.48"/>
    <n v="61.68"/>
    <s v="Cash on Delivery"/>
    <x v="0"/>
    <b v="0"/>
    <x v="1"/>
    <n v="1"/>
  </r>
  <r>
    <s v="ORD-00945"/>
    <x v="930"/>
    <x v="930"/>
    <s v="CUST29179"/>
    <s v="Karan Verma"/>
    <n v="14"/>
    <s v="Other"/>
    <x v="1"/>
    <s v="Surat"/>
    <x v="6"/>
    <s v="Yoga Mat"/>
    <n v="4"/>
    <n v="7733.68"/>
    <n v="0.34"/>
    <n v="22832.43"/>
    <n v="3661.66"/>
    <n v="56.01"/>
    <s v="Credit Card"/>
    <x v="3"/>
    <b v="0"/>
    <x v="1"/>
    <n v="6"/>
  </r>
  <r>
    <s v="ORD-01357"/>
    <x v="715"/>
    <x v="715"/>
    <s v="CUST15011"/>
    <s v="Rahul Shah"/>
    <n v="21"/>
    <s v="Other"/>
    <x v="1"/>
    <s v="Mumbai"/>
    <x v="3"/>
    <s v="Fiction Novel"/>
    <n v="7"/>
    <n v="712.53"/>
    <n v="7.0000000000000007E-2"/>
    <n v="5107.75"/>
    <n v="1803.51"/>
    <n v="57.42"/>
    <s v="Credit Card"/>
    <x v="4"/>
    <b v="1"/>
    <x v="0"/>
    <n v="10"/>
  </r>
  <r>
    <s v="ORD-02224"/>
    <x v="481"/>
    <x v="481"/>
    <s v="CUST30540"/>
    <s v="Priya Bhat"/>
    <n v="25"/>
    <s v="Female"/>
    <x v="1"/>
    <s v="Ahmedabad"/>
    <x v="6"/>
    <s v="Cycle"/>
    <n v="7"/>
    <n v="8703.41"/>
    <n v="0.09"/>
    <n v="68163.649999999994"/>
    <n v="14340.35"/>
    <n v="62"/>
    <s v="Debit Card"/>
    <x v="3"/>
    <b v="0"/>
    <x v="1"/>
    <n v="1"/>
  </r>
  <r>
    <s v="ORD-01631"/>
    <x v="362"/>
    <x v="362"/>
    <s v="CUST37296"/>
    <s v="Meera Chatterjee"/>
    <n v="49"/>
    <s v="Male"/>
    <x v="2"/>
    <s v="Chandigarh"/>
    <x v="2"/>
    <s v="Bookshelf"/>
    <n v="4"/>
    <n v="7533.42"/>
    <n v="0.13"/>
    <n v="23033.05"/>
    <n v="7287.96"/>
    <n v="68.3"/>
    <s v="Credit Card"/>
    <x v="1"/>
    <b v="0"/>
    <x v="1"/>
    <n v="6"/>
  </r>
  <r>
    <s v="ORD-03689"/>
    <x v="89"/>
    <x v="89"/>
    <s v="CUST89381"/>
    <s v="Vikram Bose"/>
    <n v="31"/>
    <s v="Female"/>
    <x v="4"/>
    <s v="Hyderabad"/>
    <x v="2"/>
    <s v="Chair"/>
    <n v="7"/>
    <n v="13446.15"/>
    <n v="0.03"/>
    <n v="147194.67000000001"/>
    <n v="34353.53"/>
    <n v="72.19"/>
    <s v="Debit Card"/>
    <x v="0"/>
    <b v="0"/>
    <x v="1"/>
    <n v="8"/>
  </r>
  <r>
    <s v="ORD-02484"/>
    <x v="1149"/>
    <x v="1149"/>
    <s v="CUST16309"/>
    <s v="Rohan Verma"/>
    <n v="20"/>
    <s v="Other"/>
    <x v="0"/>
    <s v="Raipur"/>
    <x v="4"/>
    <s v="Saree"/>
    <n v="4"/>
    <n v="630.74"/>
    <n v="0.04"/>
    <n v="1712.76"/>
    <n v="616.52"/>
    <n v="29.52"/>
    <s v="Debit Card"/>
    <x v="3"/>
    <b v="0"/>
    <x v="1"/>
    <n v="9"/>
  </r>
  <r>
    <s v="ORD-00823"/>
    <x v="1079"/>
    <x v="1079"/>
    <s v="CUST48473"/>
    <s v="Sunita Joshi"/>
    <n v="48"/>
    <s v="Male"/>
    <x v="1"/>
    <s v="Pune"/>
    <x v="1"/>
    <s v="Sunscreen"/>
    <n v="1"/>
    <n v="1901.42"/>
    <n v="0.3"/>
    <n v="1024"/>
    <n v="482.79"/>
    <n v="37.700000000000003"/>
    <s v="EMI"/>
    <x v="1"/>
    <b v="0"/>
    <x v="1"/>
    <n v="7"/>
  </r>
  <r>
    <s v="ORD-00557"/>
    <x v="1471"/>
    <x v="1471"/>
    <s v="CUST03973"/>
    <s v="Rahul Iyer"/>
    <n v="34"/>
    <s v="Male"/>
    <x v="3"/>
    <s v="Bhubaneswar"/>
    <x v="3"/>
    <s v="Self-Help Book"/>
    <n v="6"/>
    <n v="821.78"/>
    <n v="0.16"/>
    <n v="3457.92"/>
    <n v="2079.9299999999998"/>
    <n v="89.15"/>
    <s v="Credit Card"/>
    <x v="2"/>
    <b v="0"/>
    <x v="3"/>
    <n v="7"/>
  </r>
  <r>
    <s v="ORD-01283"/>
    <x v="1268"/>
    <x v="1268"/>
    <s v="CUST68514"/>
    <s v="Sanjay Mishra"/>
    <n v="8"/>
    <s v="Male"/>
    <x v="2"/>
    <s v="Ludhiana"/>
    <x v="1"/>
    <s v="Hair Oil"/>
    <n v="10"/>
    <n v="1896.08"/>
    <n v="0.01"/>
    <n v="22009.55"/>
    <n v="8645.2000000000007"/>
    <n v="60.54"/>
    <s v="Net Banking"/>
    <x v="3"/>
    <b v="0"/>
    <x v="1"/>
    <n v="10"/>
  </r>
  <r>
    <s v="ORD-00375"/>
    <x v="660"/>
    <x v="660"/>
    <s v="CUST69130"/>
    <s v="Nikhil Singh"/>
    <n v="40"/>
    <s v="Other"/>
    <x v="4"/>
    <s v="Kochi"/>
    <x v="2"/>
    <s v="Bed Frame"/>
    <n v="3"/>
    <n v="32005.1"/>
    <n v="0.14000000000000001"/>
    <n v="111222.15"/>
    <n v="40250.51"/>
    <n v="26.04"/>
    <s v="Net Banking"/>
    <x v="1"/>
    <b v="0"/>
    <x v="1"/>
    <n v="1"/>
  </r>
  <r>
    <s v="ORD-04096"/>
    <x v="1191"/>
    <x v="1191"/>
    <s v="CUST25252"/>
    <s v="Nikhil Rao"/>
    <n v="25"/>
    <s v="Other"/>
    <x v="3"/>
    <s v="Kolkata"/>
    <x v="1"/>
    <s v="Hair Oil"/>
    <n v="5"/>
    <n v="2272.1"/>
    <n v="0.15"/>
    <n v="1972.43"/>
    <n v="936.13"/>
    <n v="54.4"/>
    <s v="Cash on Delivery"/>
    <x v="3"/>
    <b v="0"/>
    <x v="1"/>
    <n v="3"/>
  </r>
  <r>
    <s v="ORD-04142"/>
    <x v="310"/>
    <x v="310"/>
    <s v="CUST18673"/>
    <s v="Sanjay Joshi"/>
    <n v="19"/>
    <s v="Other"/>
    <x v="2"/>
    <s v="Ludhiana"/>
    <x v="1"/>
    <s v="Face Cream"/>
    <n v="9"/>
    <n v="1593.35"/>
    <n v="0.06"/>
    <n v="10203.459999999999"/>
    <n v="4094.58"/>
    <n v="42.17"/>
    <s v="Credit Card"/>
    <x v="0"/>
    <b v="0"/>
    <x v="1"/>
    <n v="2"/>
  </r>
  <r>
    <s v="ORD-02851"/>
    <x v="65"/>
    <x v="65"/>
    <s v="CUST69918"/>
    <s v="Aditya Verma"/>
    <n v="39"/>
    <s v="Female"/>
    <x v="0"/>
    <s v="Bhopal"/>
    <x v="1"/>
    <s v="Sunscreen"/>
    <n v="1"/>
    <n v="2345.65"/>
    <n v="7.0000000000000007E-2"/>
    <n v="3844.13"/>
    <n v="2141.87"/>
    <n v="54.42"/>
    <s v="Net Banking"/>
    <x v="3"/>
    <b v="1"/>
    <x v="0"/>
    <n v="3"/>
  </r>
  <r>
    <s v="ORD-03449"/>
    <x v="695"/>
    <x v="695"/>
    <s v="CUST23951"/>
    <s v="Karan Kapoor"/>
    <n v="40"/>
    <s v="Female"/>
    <x v="0"/>
    <s v="Raipur"/>
    <x v="2"/>
    <s v="Desk"/>
    <n v="1"/>
    <n v="12690.08"/>
    <n v="0.16"/>
    <n v="13573.95"/>
    <n v="3348.35"/>
    <n v="78.84"/>
    <s v="Net Banking"/>
    <x v="2"/>
    <b v="0"/>
    <x v="1"/>
    <n v="2"/>
  </r>
  <r>
    <s v="ORD-00083"/>
    <x v="1111"/>
    <x v="1111"/>
    <s v="CUST84754"/>
    <s v="Meera Shah"/>
    <n v="45"/>
    <s v="Other"/>
    <x v="0"/>
    <s v="Nagpur"/>
    <x v="4"/>
    <s v="Jeans"/>
    <n v="8"/>
    <n v="1746.58"/>
    <n v="0.14000000000000001"/>
    <n v="9981.19"/>
    <n v="3692.11"/>
    <n v="25.32"/>
    <s v="Debit Card"/>
    <x v="0"/>
    <b v="0"/>
    <x v="4"/>
    <n v="3"/>
  </r>
  <r>
    <s v="ORD-03262"/>
    <x v="541"/>
    <x v="541"/>
    <s v="CUST82303"/>
    <s v="Arjun Patel"/>
    <n v="18"/>
    <s v="Male"/>
    <x v="0"/>
    <s v="Bhopal"/>
    <x v="6"/>
    <s v="Cycle"/>
    <n v="4"/>
    <n v="7196.49"/>
    <n v="0.2"/>
    <n v="23291.68"/>
    <n v="4701.83"/>
    <n v="62.08"/>
    <s v="Net Banking"/>
    <x v="4"/>
    <b v="1"/>
    <x v="0"/>
    <n v="10"/>
  </r>
  <r>
    <s v="ORD-01086"/>
    <x v="98"/>
    <x v="98"/>
    <s v="CUST14839"/>
    <s v="Aarav Mishra"/>
    <n v="27"/>
    <s v="Other"/>
    <x v="1"/>
    <s v="Ahmedabad"/>
    <x v="6"/>
    <s v="Yoga Mat"/>
    <n v="9"/>
    <n v="748.26"/>
    <n v="0.21"/>
    <n v="10901.11"/>
    <n v="3339.14"/>
    <n v="48.2"/>
    <s v="Cash on Delivery"/>
    <x v="0"/>
    <b v="0"/>
    <x v="4"/>
    <n v="3"/>
  </r>
  <r>
    <s v="ORD-00438"/>
    <x v="315"/>
    <x v="315"/>
    <s v="CUST95274"/>
    <s v="Priya Shah"/>
    <n v="26"/>
    <s v="Female"/>
    <x v="0"/>
    <s v="Nagpur"/>
    <x v="0"/>
    <s v="Tea"/>
    <n v="9"/>
    <n v="367.82"/>
    <n v="0.37"/>
    <n v="2214.56"/>
    <n v="189.16"/>
    <n v="74.739999999999995"/>
    <s v="Debit Card"/>
    <x v="0"/>
    <b v="0"/>
    <x v="1"/>
    <n v="9"/>
  </r>
  <r>
    <s v="ORD-02601"/>
    <x v="1207"/>
    <x v="1207"/>
    <s v="CUST02447"/>
    <s v="Sunita Singh"/>
    <n v="48"/>
    <s v="Other"/>
    <x v="3"/>
    <s v="Guwahati"/>
    <x v="5"/>
    <s v="Smartwatch"/>
    <n v="6"/>
    <n v="27584.29"/>
    <n v="0.04"/>
    <n v="154093.5"/>
    <n v="18519.240000000002"/>
    <n v="82.16"/>
    <s v="Cash on Delivery"/>
    <x v="0"/>
    <b v="1"/>
    <x v="0"/>
    <n v="1"/>
  </r>
  <r>
    <s v="ORD-03577"/>
    <x v="1431"/>
    <x v="1431"/>
    <s v="CUST58950"/>
    <s v="Kavya Mishra"/>
    <n v="57"/>
    <s v="Male"/>
    <x v="4"/>
    <s v="Chennai"/>
    <x v="4"/>
    <s v="Dress"/>
    <n v="5"/>
    <n v="1559.69"/>
    <n v="0.21"/>
    <n v="10091.36"/>
    <n v="3080.02"/>
    <n v="61.62"/>
    <s v="UPI"/>
    <x v="0"/>
    <b v="0"/>
    <x v="1"/>
    <n v="3"/>
  </r>
  <r>
    <s v="ORD-02854"/>
    <x v="299"/>
    <x v="299"/>
    <s v="CUST77130"/>
    <s v="Vikram Chatterjee"/>
    <n v="32"/>
    <s v="Male"/>
    <x v="0"/>
    <s v="Bhopal"/>
    <x v="6"/>
    <s v="Dumbbells"/>
    <n v="5"/>
    <n v="2734.25"/>
    <n v="0.28000000000000003"/>
    <n v="2776.37"/>
    <n v="628.32000000000005"/>
    <n v="40.14"/>
    <s v="Credit Card"/>
    <x v="3"/>
    <b v="0"/>
    <x v="1"/>
    <n v="5"/>
  </r>
  <r>
    <s v="ORD-03145"/>
    <x v="1472"/>
    <x v="1472"/>
    <s v="CUST35682"/>
    <s v="Ananya Chatterjee"/>
    <n v="49"/>
    <s v="Female"/>
    <x v="2"/>
    <s v="Chandigarh"/>
    <x v="6"/>
    <s v="Football"/>
    <n v="1"/>
    <n v="6693.3"/>
    <n v="0.11"/>
    <n v="7001.71"/>
    <n v="1485.2"/>
    <n v="49.16"/>
    <s v="Credit Card"/>
    <x v="4"/>
    <b v="0"/>
    <x v="3"/>
    <n v="7"/>
  </r>
  <r>
    <s v="ORD-03488"/>
    <x v="1473"/>
    <x v="1473"/>
    <s v="CUST31348"/>
    <s v="Pooja Gupta"/>
    <n v="30"/>
    <s v="Female"/>
    <x v="0"/>
    <s v="Indore"/>
    <x v="5"/>
    <s v="Smartphone"/>
    <n v="1"/>
    <n v="7202.38"/>
    <n v="0.21"/>
    <n v="6816.92"/>
    <n v="552.15"/>
    <n v="67.34"/>
    <s v="Net Banking"/>
    <x v="3"/>
    <b v="1"/>
    <x v="0"/>
    <n v="4"/>
  </r>
  <r>
    <s v="ORD-01109"/>
    <x v="1474"/>
    <x v="1474"/>
    <s v="CUST81233"/>
    <s v="Nikhil Bose"/>
    <n v="19"/>
    <s v="Other"/>
    <x v="4"/>
    <s v="Kochi"/>
    <x v="2"/>
    <s v="Sofa"/>
    <n v="1"/>
    <n v="12504.29"/>
    <n v="0.15"/>
    <n v="14133.18"/>
    <n v="5257.39"/>
    <n v="87.69"/>
    <s v="EMI"/>
    <x v="2"/>
    <b v="0"/>
    <x v="1"/>
    <n v="8"/>
  </r>
  <r>
    <s v="ORD-01569"/>
    <x v="224"/>
    <x v="224"/>
    <s v="CUST66237"/>
    <s v="Ananya Kumar"/>
    <n v="30"/>
    <s v="Male"/>
    <x v="4"/>
    <s v="Kochi"/>
    <x v="0"/>
    <s v="Tea"/>
    <n v="2"/>
    <n v="117.65"/>
    <n v="0.21"/>
    <n v="182.73"/>
    <n v="14.01"/>
    <n v="71.510000000000005"/>
    <s v="Net Banking"/>
    <x v="2"/>
    <b v="0"/>
    <x v="1"/>
    <n v="4"/>
  </r>
  <r>
    <s v="ORD-01845"/>
    <x v="1174"/>
    <x v="1174"/>
    <s v="CUST10325"/>
    <s v="Ananya Joshi"/>
    <n v="27"/>
    <s v="Male"/>
    <x v="3"/>
    <s v="Guwahati"/>
    <x v="5"/>
    <s v="Smartphone"/>
    <n v="7"/>
    <n v="49930.01"/>
    <n v="0.18"/>
    <n v="305814.52"/>
    <n v="52733.26"/>
    <n v="87.99"/>
    <s v="Credit Card"/>
    <x v="3"/>
    <b v="1"/>
    <x v="0"/>
    <n v="1"/>
  </r>
  <r>
    <s v="ORD-01396"/>
    <x v="977"/>
    <x v="977"/>
    <s v="CUST86234"/>
    <s v="Priya Reddy"/>
    <n v="56"/>
    <s v="Male"/>
    <x v="4"/>
    <s v="Kochi"/>
    <x v="5"/>
    <s v="Tablet"/>
    <n v="8"/>
    <n v="75033.34"/>
    <n v="0.28000000000000003"/>
    <n v="506816.82"/>
    <n v="73937.62"/>
    <n v="61.37"/>
    <s v="Credit Card"/>
    <x v="2"/>
    <b v="0"/>
    <x v="1"/>
    <n v="7"/>
  </r>
  <r>
    <s v="ORD-01252"/>
    <x v="1475"/>
    <x v="1475"/>
    <s v="CUST60840"/>
    <s v="Sunita Patel"/>
    <n v="28"/>
    <s v="Other"/>
    <x v="3"/>
    <s v="Bhubaneswar"/>
    <x v="2"/>
    <s v="Bookshelf"/>
    <n v="2"/>
    <n v="27494.42"/>
    <n v="0.09"/>
    <n v="66782.429999999993"/>
    <n v="17991.259999999998"/>
    <n v="56.35"/>
    <s v="Credit Card"/>
    <x v="0"/>
    <b v="0"/>
    <x v="1"/>
    <n v="6"/>
  </r>
  <r>
    <s v="ORD-00211"/>
    <x v="1168"/>
    <x v="1168"/>
    <s v="CUST90979"/>
    <s v="Nisha Joshi"/>
    <n v="47"/>
    <s v="Male"/>
    <x v="4"/>
    <s v="Bangalore"/>
    <x v="3"/>
    <s v="Comic Book"/>
    <n v="6"/>
    <n v="1246.19"/>
    <n v="0.06"/>
    <n v="7951.41"/>
    <n v="4298.8900000000003"/>
    <n v="74.09"/>
    <s v="EMI"/>
    <x v="0"/>
    <b v="0"/>
    <x v="1"/>
    <n v="7"/>
  </r>
  <r>
    <s v="ORD-01532"/>
    <x v="1249"/>
    <x v="1249"/>
    <s v="CUST78938"/>
    <s v="Pooja Reddy"/>
    <n v="30"/>
    <s v="Male"/>
    <x v="0"/>
    <s v="Indore"/>
    <x v="4"/>
    <s v="Saree"/>
    <n v="7"/>
    <n v="1494.18"/>
    <n v="0.13"/>
    <n v="7729.55"/>
    <n v="3630.71"/>
    <n v="80.11"/>
    <s v="Credit Card"/>
    <x v="0"/>
    <b v="0"/>
    <x v="1"/>
    <n v="10"/>
  </r>
  <r>
    <s v="ORD-01616"/>
    <x v="669"/>
    <x v="669"/>
    <s v="CUST87932"/>
    <s v="Ananya Kapoor"/>
    <n v="22"/>
    <s v="Male"/>
    <x v="4"/>
    <s v="Chennai"/>
    <x v="4"/>
    <s v="Kurta"/>
    <n v="4"/>
    <n v="1566.74"/>
    <n v="7.0000000000000007E-2"/>
    <n v="3925.14"/>
    <n v="1682.6"/>
    <n v="77.040000000000006"/>
    <s v="Debit Card"/>
    <x v="2"/>
    <b v="0"/>
    <x v="4"/>
    <n v="9"/>
  </r>
  <r>
    <s v="ORD-00156"/>
    <x v="785"/>
    <x v="785"/>
    <s v="CUST57074"/>
    <s v="Priya Singh"/>
    <n v="32"/>
    <s v="Male"/>
    <x v="0"/>
    <s v="Indore"/>
    <x v="4"/>
    <s v="T-Shirt"/>
    <n v="7"/>
    <n v="634.01"/>
    <n v="0.35"/>
    <n v="2632.38"/>
    <n v="1034.24"/>
    <n v="76.53"/>
    <s v="UPI"/>
    <x v="2"/>
    <b v="0"/>
    <x v="1"/>
    <n v="9"/>
  </r>
  <r>
    <s v="ORD-00140"/>
    <x v="442"/>
    <x v="442"/>
    <s v="CUST51057"/>
    <s v="Rohan Verma"/>
    <n v="49"/>
    <s v="Female"/>
    <x v="0"/>
    <s v="Bhopal"/>
    <x v="1"/>
    <s v="Shampoo"/>
    <n v="3"/>
    <n v="2127.17"/>
    <n v="0.32"/>
    <n v="3803.64"/>
    <n v="1419.85"/>
    <n v="67.56"/>
    <s v="UPI"/>
    <x v="4"/>
    <b v="0"/>
    <x v="1"/>
    <n v="1"/>
  </r>
  <r>
    <s v="ORD-00187"/>
    <x v="1265"/>
    <x v="1265"/>
    <s v="CUST95299"/>
    <s v="Amit Rao"/>
    <n v="44"/>
    <s v="Other"/>
    <x v="3"/>
    <s v="Guwahati"/>
    <x v="0"/>
    <s v="Sugar"/>
    <n v="3"/>
    <n v="315.98"/>
    <n v="0.2"/>
    <n v="801.2"/>
    <n v="62.11"/>
    <n v="104.89"/>
    <s v="Credit Card"/>
    <x v="2"/>
    <b v="0"/>
    <x v="1"/>
    <n v="3"/>
  </r>
  <r>
    <s v="ORD-02417"/>
    <x v="1006"/>
    <x v="1006"/>
    <s v="CUST65187"/>
    <s v="Rahul Chatterjee"/>
    <n v="41"/>
    <s v="Female"/>
    <x v="1"/>
    <s v="Mumbai"/>
    <x v="6"/>
    <s v="Dumbbells"/>
    <n v="10"/>
    <n v="5187.53"/>
    <n v="0.13"/>
    <n v="41193.61"/>
    <n v="8791.81"/>
    <n v="49.73"/>
    <s v="UPI"/>
    <x v="0"/>
    <b v="0"/>
    <x v="1"/>
    <n v="2"/>
  </r>
  <r>
    <s v="ORD-02499"/>
    <x v="788"/>
    <x v="788"/>
    <s v="CUST68941"/>
    <s v="Vikram Pillai"/>
    <n v="38"/>
    <s v="Female"/>
    <x v="4"/>
    <s v="Hyderabad"/>
    <x v="5"/>
    <s v="Headphones"/>
    <n v="10"/>
    <n v="22540.09"/>
    <n v="0.08"/>
    <n v="196931.1"/>
    <n v="22056.79"/>
    <n v="77.63"/>
    <s v="Cash on Delivery"/>
    <x v="2"/>
    <b v="0"/>
    <x v="1"/>
    <n v="6"/>
  </r>
  <r>
    <s v="ORD-02326"/>
    <x v="896"/>
    <x v="896"/>
    <s v="CUST89114"/>
    <s v="Aditya Patel"/>
    <n v="27"/>
    <s v="Female"/>
    <x v="4"/>
    <s v="Hyderabad"/>
    <x v="2"/>
    <s v="Bookshelf"/>
    <n v="9"/>
    <n v="22455.86"/>
    <n v="0.23"/>
    <n v="158725.76000000001"/>
    <n v="35481.879999999997"/>
    <n v="64.83"/>
    <s v="Credit Card"/>
    <x v="2"/>
    <b v="0"/>
    <x v="1"/>
    <n v="4"/>
  </r>
  <r>
    <s v="ORD-03862"/>
    <x v="777"/>
    <x v="777"/>
    <s v="CUST25303"/>
    <s v="Arjun Bose"/>
    <n v="37"/>
    <s v="Female"/>
    <x v="1"/>
    <s v="Mumbai"/>
    <x v="0"/>
    <s v="Dal (1kg)"/>
    <n v="4"/>
    <n v="315.04000000000002"/>
    <n v="0.14000000000000001"/>
    <n v="1725.71"/>
    <n v="108.93"/>
    <n v="49.89"/>
    <s v="Credit Card"/>
    <x v="0"/>
    <b v="0"/>
    <x v="1"/>
    <n v="10"/>
  </r>
  <r>
    <s v="ORD-03396"/>
    <x v="1476"/>
    <x v="1476"/>
    <s v="CUST18308"/>
    <s v="Priya Mehta"/>
    <n v="31"/>
    <s v="Male"/>
    <x v="0"/>
    <s v="Raipur"/>
    <x v="1"/>
    <s v="Sunscreen"/>
    <n v="10"/>
    <n v="412.64"/>
    <n v="0.28000000000000003"/>
    <n v="2849.95"/>
    <n v="1648.72"/>
    <n v="35.19"/>
    <s v="Credit Card"/>
    <x v="1"/>
    <b v="0"/>
    <x v="1"/>
    <n v="6"/>
  </r>
  <r>
    <s v="ORD-02620"/>
    <x v="222"/>
    <x v="222"/>
    <s v="CUST23456"/>
    <s v="Sunita Mishra"/>
    <n v="50"/>
    <s v="Male"/>
    <x v="4"/>
    <s v="Bangalore"/>
    <x v="1"/>
    <s v="Perfume"/>
    <n v="6"/>
    <n v="1758.55"/>
    <n v="0.28999999999999998"/>
    <n v="8300.7900000000009"/>
    <n v="4314.0200000000004"/>
    <n v="64.459999999999994"/>
    <s v="Net Banking"/>
    <x v="2"/>
    <b v="0"/>
    <x v="1"/>
    <n v="1"/>
  </r>
  <r>
    <s v="ORD-02725"/>
    <x v="22"/>
    <x v="22"/>
    <s v="CUST39987"/>
    <s v="Aarav Shah"/>
    <n v="34"/>
    <s v="Male"/>
    <x v="2"/>
    <s v="Amritsar"/>
    <x v="2"/>
    <s v="Sofa"/>
    <n v="2"/>
    <n v="25068.04"/>
    <n v="7.0000000000000007E-2"/>
    <n v="60153.24"/>
    <n v="15753.38"/>
    <n v="16.5"/>
    <s v="Debit Card"/>
    <x v="4"/>
    <b v="0"/>
    <x v="1"/>
    <n v="2"/>
  </r>
  <r>
    <s v="ORD-03964"/>
    <x v="1477"/>
    <x v="1477"/>
    <s v="CUST57453"/>
    <s v="Arjun Joshi"/>
    <n v="14"/>
    <s v="Other"/>
    <x v="1"/>
    <s v="Mumbai"/>
    <x v="5"/>
    <s v="Headphones"/>
    <n v="2"/>
    <n v="41228.519999999997"/>
    <n v="0.11"/>
    <n v="103175.92"/>
    <n v="12285.24"/>
    <n v="37.79"/>
    <s v="Debit Card"/>
    <x v="2"/>
    <b v="1"/>
    <x v="0"/>
    <n v="8"/>
  </r>
  <r>
    <s v="ORD-03534"/>
    <x v="1378"/>
    <x v="1378"/>
    <s v="CUST18961"/>
    <s v="Meera Kumar"/>
    <n v="40"/>
    <s v="Male"/>
    <x v="3"/>
    <s v="Kolkata"/>
    <x v="5"/>
    <s v="Laptop"/>
    <n v="4"/>
    <n v="12580.65"/>
    <n v="0.34"/>
    <n v="45132.09"/>
    <n v="5873.56"/>
    <n v="101.02"/>
    <s v="Net Banking"/>
    <x v="1"/>
    <b v="0"/>
    <x v="1"/>
    <n v="2"/>
  </r>
  <r>
    <s v="ORD-00872"/>
    <x v="954"/>
    <x v="954"/>
    <s v="CUST37369"/>
    <s v="Amit Das"/>
    <n v="29"/>
    <s v="Female"/>
    <x v="4"/>
    <s v="Kochi"/>
    <x v="1"/>
    <s v="Lipstick"/>
    <n v="3"/>
    <n v="1476.85"/>
    <n v="0.39"/>
    <n v="1955"/>
    <n v="946.31"/>
    <n v="72.849999999999994"/>
    <s v="EMI"/>
    <x v="4"/>
    <b v="1"/>
    <x v="0"/>
    <n v="6"/>
  </r>
  <r>
    <s v="ORD-01739"/>
    <x v="1134"/>
    <x v="1134"/>
    <s v="CUST00395"/>
    <s v="Arjun Reddy"/>
    <n v="42"/>
    <s v="Male"/>
    <x v="2"/>
    <s v="Ludhiana"/>
    <x v="1"/>
    <s v="Face Cream"/>
    <n v="7"/>
    <n v="881.3"/>
    <n v="0.24"/>
    <n v="4536.6000000000004"/>
    <n v="2608.91"/>
    <n v="49.35"/>
    <s v="UPI"/>
    <x v="3"/>
    <b v="0"/>
    <x v="1"/>
    <n v="3"/>
  </r>
  <r>
    <s v="ORD-02015"/>
    <x v="1478"/>
    <x v="1478"/>
    <s v="CUST43193"/>
    <s v="Rahul Mehta"/>
    <n v="36"/>
    <s v="Other"/>
    <x v="4"/>
    <s v="Kochi"/>
    <x v="2"/>
    <s v="Chair"/>
    <n v="1"/>
    <n v="22337.23"/>
    <n v="0.08"/>
    <n v="24297.67"/>
    <n v="7115.37"/>
    <n v="44.4"/>
    <s v="UPI"/>
    <x v="0"/>
    <b v="0"/>
    <x v="1"/>
    <n v="10"/>
  </r>
  <r>
    <s v="ORD-00715"/>
    <x v="1309"/>
    <x v="1309"/>
    <s v="CUST92335"/>
    <s v="Rohan Singh"/>
    <n v="35"/>
    <s v="Other"/>
    <x v="2"/>
    <s v="Chandigarh"/>
    <x v="3"/>
    <s v="Textbook"/>
    <n v="3"/>
    <n v="1024.92"/>
    <n v="0.4"/>
    <n v="1275.48"/>
    <n v="495.89"/>
    <n v="60.02"/>
    <s v="Credit Card"/>
    <x v="2"/>
    <b v="0"/>
    <x v="1"/>
    <n v="10"/>
  </r>
  <r>
    <s v="ORD-01157"/>
    <x v="844"/>
    <x v="844"/>
    <s v="CUST28445"/>
    <s v="Sanjay Nair"/>
    <n v="40"/>
    <s v="Female"/>
    <x v="2"/>
    <s v="Amritsar"/>
    <x v="3"/>
    <s v="Textbook"/>
    <n v="7"/>
    <n v="775.88"/>
    <n v="0.38"/>
    <n v="4861.16"/>
    <n v="1295.29"/>
    <n v="19.48"/>
    <s v="Credit Card"/>
    <x v="2"/>
    <b v="1"/>
    <x v="0"/>
    <n v="9"/>
  </r>
  <r>
    <s v="ORD-01759"/>
    <x v="1173"/>
    <x v="1173"/>
    <s v="CUST59330"/>
    <s v="Deepa Patel"/>
    <n v="34"/>
    <s v="Male"/>
    <x v="1"/>
    <s v="Surat"/>
    <x v="0"/>
    <s v="Tea"/>
    <n v="4"/>
    <n v="421.19"/>
    <n v="0.39"/>
    <n v="993.67"/>
    <n v="79.81"/>
    <n v="83.46"/>
    <s v="UPI"/>
    <x v="0"/>
    <b v="0"/>
    <x v="1"/>
    <n v="6"/>
  </r>
  <r>
    <s v="ORD-03164"/>
    <x v="141"/>
    <x v="141"/>
    <s v="CUST04219"/>
    <s v="Aarav Sharma"/>
    <n v="21"/>
    <s v="Male"/>
    <x v="3"/>
    <s v="Bhubaneswar"/>
    <x v="4"/>
    <s v="Jeans"/>
    <n v="8"/>
    <n v="3309.44"/>
    <n v="0.08"/>
    <n v="24146.23"/>
    <n v="7317.58"/>
    <n v="108.32"/>
    <s v="Net Banking"/>
    <x v="3"/>
    <b v="0"/>
    <x v="4"/>
    <n v="8"/>
  </r>
  <r>
    <s v="ORD-02010"/>
    <x v="320"/>
    <x v="320"/>
    <s v="CUST93766"/>
    <s v="Rohan Nair"/>
    <n v="24"/>
    <s v="Female"/>
    <x v="1"/>
    <s v="Pune"/>
    <x v="5"/>
    <s v="Tablet"/>
    <n v="6"/>
    <n v="29091.32"/>
    <n v="0.21"/>
    <n v="275738.69"/>
    <n v="35140.71"/>
    <n v="35.9"/>
    <s v="EMI"/>
    <x v="2"/>
    <b v="1"/>
    <x v="0"/>
    <n v="10"/>
  </r>
  <r>
    <s v="ORD-02016"/>
    <x v="843"/>
    <x v="843"/>
    <s v="CUST87101"/>
    <s v="Nikhil Bose"/>
    <n v="20"/>
    <s v="Male"/>
    <x v="3"/>
    <s v="Guwahati"/>
    <x v="0"/>
    <s v="Cooking Oil"/>
    <n v="4"/>
    <n v="342.63"/>
    <n v="0.04"/>
    <n v="1796.99"/>
    <n v="105.07"/>
    <n v="65.400000000000006"/>
    <s v="UPI"/>
    <x v="0"/>
    <b v="0"/>
    <x v="1"/>
    <n v="2"/>
  </r>
  <r>
    <s v="ORD-04078"/>
    <x v="962"/>
    <x v="962"/>
    <s v="CUST54593"/>
    <s v="Arjun Sharma"/>
    <n v="32"/>
    <s v="Female"/>
    <x v="3"/>
    <s v="Patna"/>
    <x v="3"/>
    <s v="Textbook"/>
    <n v="4"/>
    <n v="253.68"/>
    <n v="0.16"/>
    <n v="778.21"/>
    <n v="386.42"/>
    <n v="76.22"/>
    <s v="UPI"/>
    <x v="2"/>
    <b v="0"/>
    <x v="4"/>
    <n v="9"/>
  </r>
  <r>
    <s v="ORD-00594"/>
    <x v="81"/>
    <x v="81"/>
    <s v="CUST06050"/>
    <s v="Ananya Mishra"/>
    <n v="37"/>
    <s v="Male"/>
    <x v="2"/>
    <s v="Amritsar"/>
    <x v="4"/>
    <s v="T-Shirt"/>
    <n v="2"/>
    <n v="2579.5700000000002"/>
    <n v="0.02"/>
    <n v="5743.74"/>
    <n v="1991.02"/>
    <n v="37.72"/>
    <s v="EMI"/>
    <x v="2"/>
    <b v="0"/>
    <x v="1"/>
    <n v="1"/>
  </r>
  <r>
    <s v="ORD-02883"/>
    <x v="601"/>
    <x v="601"/>
    <s v="CUST72686"/>
    <s v="Meera Bose"/>
    <n v="66"/>
    <s v="Male"/>
    <x v="3"/>
    <s v="Kolkata"/>
    <x v="5"/>
    <s v="Headphones"/>
    <n v="7"/>
    <n v="18211.07"/>
    <n v="0.04"/>
    <n v="212071.33"/>
    <n v="30254.35"/>
    <n v="85.57"/>
    <s v="Credit Card"/>
    <x v="4"/>
    <b v="0"/>
    <x v="1"/>
    <n v="10"/>
  </r>
  <r>
    <s v="ORD-02676"/>
    <x v="1479"/>
    <x v="1479"/>
    <s v="CUST24131"/>
    <s v="Deepa Verma"/>
    <n v="27"/>
    <s v="Male"/>
    <x v="4"/>
    <s v="Bangalore"/>
    <x v="3"/>
    <s v="Fiction Novel"/>
    <n v="1"/>
    <n v="948.68"/>
    <n v="0.05"/>
    <n v="1052.6300000000001"/>
    <n v="436.63"/>
    <n v="60.66"/>
    <s v="Net Banking"/>
    <x v="0"/>
    <b v="0"/>
    <x v="1"/>
    <n v="4"/>
  </r>
  <r>
    <s v="ORD-02477"/>
    <x v="1196"/>
    <x v="1196"/>
    <s v="CUST10191"/>
    <s v="Shreya Mishra"/>
    <n v="25"/>
    <s v="Male"/>
    <x v="4"/>
    <s v="Hyderabad"/>
    <x v="5"/>
    <s v="Camera"/>
    <n v="7"/>
    <n v="78827.09"/>
    <n v="0.17"/>
    <n v="329759.69"/>
    <n v="33092.480000000003"/>
    <n v="81.42"/>
    <s v="Credit Card"/>
    <x v="3"/>
    <b v="0"/>
    <x v="1"/>
    <n v="7"/>
  </r>
  <r>
    <s v="ORD-03383"/>
    <x v="750"/>
    <x v="750"/>
    <s v="CUST88781"/>
    <s v="Meera Iyer"/>
    <n v="22"/>
    <s v="Male"/>
    <x v="2"/>
    <s v="Amritsar"/>
    <x v="5"/>
    <s v="Smartphone"/>
    <n v="7"/>
    <n v="65406.74"/>
    <n v="0.23"/>
    <n v="311838.93"/>
    <n v="30172.94"/>
    <n v="56.16"/>
    <s v="Cash on Delivery"/>
    <x v="2"/>
    <b v="0"/>
    <x v="1"/>
    <n v="9"/>
  </r>
  <r>
    <s v="ORD-01033"/>
    <x v="1433"/>
    <x v="1433"/>
    <s v="CUST75013"/>
    <s v="Aditya Pillai"/>
    <n v="30"/>
    <s v="Male"/>
    <x v="4"/>
    <s v="Chennai"/>
    <x v="6"/>
    <s v="Tennis Racket"/>
    <n v="2"/>
    <n v="3848.71"/>
    <n v="0.13"/>
    <n v="7629.53"/>
    <n v="1845.42"/>
    <n v="94.87"/>
    <s v="UPI"/>
    <x v="4"/>
    <b v="0"/>
    <x v="1"/>
    <n v="5"/>
  </r>
  <r>
    <s v="ORD-02769"/>
    <x v="150"/>
    <x v="150"/>
    <s v="CUST48124"/>
    <s v="Ritu Reddy"/>
    <n v="14"/>
    <s v="Male"/>
    <x v="3"/>
    <s v="Patna"/>
    <x v="2"/>
    <s v="Wardrobe"/>
    <n v="1"/>
    <n v="25421.93"/>
    <n v="0.02"/>
    <n v="36558.25"/>
    <n v="12519.52"/>
    <n v="64.849999999999994"/>
    <s v="Cash on Delivery"/>
    <x v="2"/>
    <b v="0"/>
    <x v="3"/>
    <n v="8"/>
  </r>
  <r>
    <s v="ORD-00345"/>
    <x v="316"/>
    <x v="316"/>
    <s v="CUST34954"/>
    <s v="Nikhil Kapoor"/>
    <n v="39"/>
    <s v="Other"/>
    <x v="0"/>
    <s v="Nagpur"/>
    <x v="0"/>
    <s v="Flour"/>
    <n v="9"/>
    <n v="253.54"/>
    <n v="0.26"/>
    <n v="2172.54"/>
    <n v="173.86"/>
    <n v="63.2"/>
    <s v="Net Banking"/>
    <x v="1"/>
    <b v="0"/>
    <x v="1"/>
    <n v="7"/>
  </r>
  <r>
    <s v="ORD-03739"/>
    <x v="469"/>
    <x v="469"/>
    <s v="CUST32885"/>
    <s v="Deepa Iyer"/>
    <n v="36"/>
    <s v="Other"/>
    <x v="3"/>
    <s v="Guwahati"/>
    <x v="4"/>
    <s v="Saree"/>
    <n v="2"/>
    <n v="419.29"/>
    <n v="0.4"/>
    <n v="977.42"/>
    <n v="372.17"/>
    <n v="91.04"/>
    <s v="Debit Card"/>
    <x v="2"/>
    <b v="0"/>
    <x v="1"/>
    <n v="6"/>
  </r>
  <r>
    <s v="ORD-04200"/>
    <x v="754"/>
    <x v="754"/>
    <s v="CUST38440"/>
    <s v="Rohan Rao"/>
    <n v="22"/>
    <s v="Other"/>
    <x v="4"/>
    <s v="Bangalore"/>
    <x v="2"/>
    <s v="Sofa"/>
    <n v="6"/>
    <n v="5868.58"/>
    <n v="0.28999999999999998"/>
    <n v="27272.26"/>
    <n v="8506.9599999999991"/>
    <n v="61.17"/>
    <s v="Cash on Delivery"/>
    <x v="0"/>
    <b v="1"/>
    <x v="0"/>
    <n v="5"/>
  </r>
  <r>
    <s v="ORD-03549"/>
    <x v="968"/>
    <x v="968"/>
    <s v="CUST48871"/>
    <s v="Arjun Patel"/>
    <n v="42"/>
    <s v="Other"/>
    <x v="1"/>
    <s v="Pune"/>
    <x v="2"/>
    <s v="Sofa"/>
    <n v="8"/>
    <n v="8470.42"/>
    <n v="0.28999999999999998"/>
    <n v="55529.13"/>
    <n v="17657.48"/>
    <n v="72.33"/>
    <s v="UPI"/>
    <x v="2"/>
    <b v="0"/>
    <x v="1"/>
    <n v="2"/>
  </r>
  <r>
    <s v="ORD-03289"/>
    <x v="1129"/>
    <x v="1129"/>
    <s v="CUST55307"/>
    <s v="Kavya Chatterjee"/>
    <n v="13"/>
    <s v="Other"/>
    <x v="4"/>
    <s v="Kochi"/>
    <x v="4"/>
    <s v="T-Shirt"/>
    <n v="9"/>
    <n v="2673.67"/>
    <n v="0.23"/>
    <n v="16249.74"/>
    <n v="5950.65"/>
    <n v="80.510000000000005"/>
    <s v="EMI"/>
    <x v="0"/>
    <b v="0"/>
    <x v="1"/>
    <n v="8"/>
  </r>
  <r>
    <s v="ORD-02474"/>
    <x v="1155"/>
    <x v="1155"/>
    <s v="CUST53409"/>
    <s v="Sunita Pillai"/>
    <n v="37"/>
    <s v="Female"/>
    <x v="2"/>
    <s v="Ludhiana"/>
    <x v="5"/>
    <s v="Smartphone"/>
    <n v="1"/>
    <n v="42750.36"/>
    <n v="0.21"/>
    <n v="38016.379999999997"/>
    <n v="3865.32"/>
    <n v="64.930000000000007"/>
    <s v="Cash on Delivery"/>
    <x v="2"/>
    <b v="0"/>
    <x v="1"/>
    <n v="10"/>
  </r>
  <r>
    <s v="ORD-01085"/>
    <x v="1480"/>
    <x v="1480"/>
    <s v="CUST96129"/>
    <s v="Amit Verma"/>
    <n v="36"/>
    <s v="Male"/>
    <x v="1"/>
    <s v="Ahmedabad"/>
    <x v="5"/>
    <s v="Headphones"/>
    <n v="3"/>
    <n v="19106.04"/>
    <n v="0.28999999999999998"/>
    <n v="55864.82"/>
    <n v="5910.7"/>
    <n v="48.94"/>
    <s v="UPI"/>
    <x v="1"/>
    <b v="0"/>
    <x v="1"/>
    <n v="10"/>
  </r>
  <r>
    <s v="ORD-00052"/>
    <x v="198"/>
    <x v="198"/>
    <s v="CUST08694"/>
    <s v="Shreya Nair"/>
    <n v="30"/>
    <s v="Other"/>
    <x v="3"/>
    <s v="Patna"/>
    <x v="0"/>
    <s v="Flour"/>
    <n v="8"/>
    <n v="93.43"/>
    <n v="0.03"/>
    <n v="527.34"/>
    <n v="58.06"/>
    <n v="67.75"/>
    <s v="Credit Card"/>
    <x v="1"/>
    <b v="0"/>
    <x v="4"/>
    <n v="3"/>
  </r>
  <r>
    <s v="ORD-03253"/>
    <x v="823"/>
    <x v="823"/>
    <s v="CUST40202"/>
    <s v="Priya Das"/>
    <n v="24"/>
    <s v="Female"/>
    <x v="0"/>
    <s v="Nagpur"/>
    <x v="1"/>
    <s v="Sunscreen"/>
    <n v="3"/>
    <n v="2286.34"/>
    <n v="0.34"/>
    <n v="4041.13"/>
    <n v="2413.02"/>
    <n v="61.28"/>
    <s v="UPI"/>
    <x v="3"/>
    <b v="1"/>
    <x v="0"/>
    <n v="1"/>
  </r>
  <r>
    <s v="ORD-01864"/>
    <x v="418"/>
    <x v="418"/>
    <s v="CUST09459"/>
    <s v="Aarav Shah"/>
    <n v="44"/>
    <s v="Male"/>
    <x v="3"/>
    <s v="Guwahati"/>
    <x v="4"/>
    <s v="Jacket"/>
    <n v="8"/>
    <n v="2007.46"/>
    <n v="7.0000000000000007E-2"/>
    <n v="22694.82"/>
    <n v="8877.57"/>
    <n v="29.19"/>
    <s v="Net Banking"/>
    <x v="1"/>
    <b v="0"/>
    <x v="1"/>
    <n v="8"/>
  </r>
  <r>
    <s v="ORD-03635"/>
    <x v="1481"/>
    <x v="1481"/>
    <s v="CUST69253"/>
    <s v="Aditya Bose"/>
    <n v="31"/>
    <s v="Male"/>
    <x v="2"/>
    <s v="Chandigarh"/>
    <x v="4"/>
    <s v="Jacket"/>
    <n v="1"/>
    <n v="2333.8200000000002"/>
    <n v="0.3"/>
    <n v="2311.2600000000002"/>
    <n v="857.57"/>
    <n v="31.53"/>
    <s v="Debit Card"/>
    <x v="3"/>
    <b v="1"/>
    <x v="0"/>
    <n v="10"/>
  </r>
  <r>
    <s v="ORD-00974"/>
    <x v="256"/>
    <x v="256"/>
    <s v="CUST42500"/>
    <s v="Aarav Shah"/>
    <n v="30"/>
    <s v="Male"/>
    <x v="4"/>
    <s v="Kochi"/>
    <x v="6"/>
    <s v="Cricket Bat"/>
    <n v="8"/>
    <n v="1086.23"/>
    <n v="0.23"/>
    <n v="7051.86"/>
    <n v="1305.99"/>
    <n v="55.27"/>
    <s v="Debit Card"/>
    <x v="2"/>
    <b v="1"/>
    <x v="0"/>
    <n v="8"/>
  </r>
  <r>
    <s v="ORD-02741"/>
    <x v="223"/>
    <x v="223"/>
    <s v="CUST45274"/>
    <s v="Sanjay Patel"/>
    <n v="23"/>
    <s v="Male"/>
    <x v="3"/>
    <s v="Guwahati"/>
    <x v="6"/>
    <s v="Dumbbells"/>
    <n v="6"/>
    <n v="5555.87"/>
    <n v="0.31"/>
    <n v="34653.360000000001"/>
    <n v="9878.4"/>
    <n v="74.61"/>
    <s v="Debit Card"/>
    <x v="1"/>
    <b v="0"/>
    <x v="1"/>
    <n v="4"/>
  </r>
  <r>
    <s v="ORD-02872"/>
    <x v="40"/>
    <x v="40"/>
    <s v="CUST44303"/>
    <s v="Nisha Joshi"/>
    <n v="17"/>
    <s v="Female"/>
    <x v="4"/>
    <s v="Bangalore"/>
    <x v="5"/>
    <s v="Camera"/>
    <n v="8"/>
    <n v="74939.929999999993"/>
    <n v="0.31"/>
    <n v="626506.16"/>
    <n v="78957.960000000006"/>
    <n v="82.61"/>
    <s v="Cash on Delivery"/>
    <x v="3"/>
    <b v="0"/>
    <x v="2"/>
    <n v="3"/>
  </r>
  <r>
    <s v="ORD-03179"/>
    <x v="1482"/>
    <x v="1482"/>
    <s v="CUST04408"/>
    <s v="Sanjay Chatterjee"/>
    <n v="24"/>
    <s v="Female"/>
    <x v="2"/>
    <s v="Chandigarh"/>
    <x v="6"/>
    <s v="Tennis Racket"/>
    <n v="6"/>
    <n v="4814.34"/>
    <n v="0.11"/>
    <n v="27501.279999999999"/>
    <n v="3795.89"/>
    <n v="44.25"/>
    <s v="Cash on Delivery"/>
    <x v="0"/>
    <b v="0"/>
    <x v="1"/>
    <n v="6"/>
  </r>
  <r>
    <s v="ORD-00519"/>
    <x v="1152"/>
    <x v="1152"/>
    <s v="CUST46240"/>
    <s v="Sanjay Mishra"/>
    <n v="21"/>
    <s v="Male"/>
    <x v="0"/>
    <s v="Indore"/>
    <x v="6"/>
    <s v="Tennis Racket"/>
    <n v="4"/>
    <n v="2245.2600000000002"/>
    <n v="0.05"/>
    <n v="10562.68"/>
    <n v="1551.12"/>
    <n v="67.36"/>
    <s v="Net Banking"/>
    <x v="4"/>
    <b v="0"/>
    <x v="1"/>
    <n v="8"/>
  </r>
  <r>
    <s v="ORD-03408"/>
    <x v="1278"/>
    <x v="1278"/>
    <s v="CUST53254"/>
    <s v="Rahul Nair"/>
    <n v="35"/>
    <s v="Other"/>
    <x v="4"/>
    <s v="Kochi"/>
    <x v="4"/>
    <s v="Jeans"/>
    <n v="2"/>
    <n v="2942.34"/>
    <n v="0.26"/>
    <n v="4536.4799999999996"/>
    <n v="1703.86"/>
    <n v="54.7"/>
    <s v="Debit Card"/>
    <x v="1"/>
    <b v="1"/>
    <x v="0"/>
    <n v="7"/>
  </r>
  <r>
    <s v="ORD-03906"/>
    <x v="0"/>
    <x v="0"/>
    <s v="CUST36432"/>
    <s v="Kavya Kapoor"/>
    <n v="33"/>
    <s v="Male"/>
    <x v="4"/>
    <s v="Kochi"/>
    <x v="3"/>
    <s v="Self-Help Book"/>
    <n v="8"/>
    <n v="1226.8399999999999"/>
    <n v="0.23"/>
    <n v="11994.58"/>
    <n v="3912.8"/>
    <n v="69.45"/>
    <s v="EMI"/>
    <x v="2"/>
    <b v="0"/>
    <x v="1"/>
    <n v="6"/>
  </r>
  <r>
    <s v="ORD-00880"/>
    <x v="60"/>
    <x v="60"/>
    <s v="CUST93518"/>
    <s v="Aarav Rao"/>
    <n v="36"/>
    <s v="Other"/>
    <x v="3"/>
    <s v="Guwahati"/>
    <x v="3"/>
    <s v="Comic Book"/>
    <n v="9"/>
    <n v="1355.32"/>
    <n v="0.11"/>
    <n v="9672.16"/>
    <n v="3948.56"/>
    <n v="95.05"/>
    <s v="Debit Card"/>
    <x v="2"/>
    <b v="0"/>
    <x v="1"/>
    <n v="4"/>
  </r>
  <r>
    <s v="ORD-01651"/>
    <x v="672"/>
    <x v="672"/>
    <s v="CUST43881"/>
    <s v="Ananya Mehta"/>
    <n v="28"/>
    <s v="Other"/>
    <x v="2"/>
    <s v="Ludhiana"/>
    <x v="2"/>
    <s v="Desk"/>
    <n v="2"/>
    <n v="15019.51"/>
    <n v="0.21"/>
    <n v="22257.16"/>
    <n v="6736.14"/>
    <n v="45.65"/>
    <s v="UPI"/>
    <x v="3"/>
    <b v="0"/>
    <x v="3"/>
    <n v="7"/>
  </r>
  <r>
    <s v="ORD-02265"/>
    <x v="696"/>
    <x v="696"/>
    <s v="CUST40896"/>
    <s v="Deepa Rao"/>
    <n v="48"/>
    <s v="Female"/>
    <x v="1"/>
    <s v="Mumbai"/>
    <x v="5"/>
    <s v="Headphones"/>
    <n v="7"/>
    <n v="17875.78"/>
    <n v="0.39"/>
    <n v="88594.37"/>
    <n v="10922.5"/>
    <n v="64.930000000000007"/>
    <s v="Credit Card"/>
    <x v="4"/>
    <b v="0"/>
    <x v="4"/>
    <n v="3"/>
  </r>
  <r>
    <s v="ORD-04143"/>
    <x v="310"/>
    <x v="310"/>
    <s v="CUST39988"/>
    <s v="Amit Chatterjee"/>
    <n v="20"/>
    <s v="Male"/>
    <x v="3"/>
    <s v="Guwahati"/>
    <x v="2"/>
    <s v="Bed Frame"/>
    <n v="9"/>
    <n v="31889.55"/>
    <n v="0.03"/>
    <n v="231659.35"/>
    <n v="73647.320000000007"/>
    <n v="82.21"/>
    <s v="Credit Card"/>
    <x v="2"/>
    <b v="0"/>
    <x v="1"/>
    <n v="3"/>
  </r>
  <r>
    <s v="ORD-00953"/>
    <x v="717"/>
    <x v="717"/>
    <s v="CUST31395"/>
    <s v="Nisha Sharma"/>
    <n v="51"/>
    <s v="Male"/>
    <x v="1"/>
    <s v="Mumbai"/>
    <x v="0"/>
    <s v="Sugar"/>
    <n v="8"/>
    <n v="304.95999999999998"/>
    <n v="0.05"/>
    <n v="2345.4"/>
    <n v="225.25"/>
    <n v="36.35"/>
    <s v="Cash on Delivery"/>
    <x v="3"/>
    <b v="0"/>
    <x v="1"/>
    <n v="3"/>
  </r>
  <r>
    <s v="ORD-03208"/>
    <x v="292"/>
    <x v="292"/>
    <s v="CUST07878"/>
    <s v="Nisha Patel"/>
    <n v="39"/>
    <s v="Male"/>
    <x v="0"/>
    <s v="Raipur"/>
    <x v="1"/>
    <s v="Face Cream"/>
    <n v="6"/>
    <n v="1870.67"/>
    <n v="0.31"/>
    <n v="7697.7"/>
    <n v="4210.6099999999997"/>
    <n v="51.88"/>
    <s v="Debit Card"/>
    <x v="1"/>
    <b v="0"/>
    <x v="1"/>
    <n v="1"/>
  </r>
  <r>
    <s v="ORD-03099"/>
    <x v="845"/>
    <x v="845"/>
    <s v="CUST54403"/>
    <s v="Priya Rao"/>
    <n v="31"/>
    <s v="Female"/>
    <x v="0"/>
    <s v="Nagpur"/>
    <x v="3"/>
    <s v="Cook Book"/>
    <n v="7"/>
    <n v="1057.54"/>
    <n v="0.2"/>
    <n v="6459.84"/>
    <n v="2620.0500000000002"/>
    <n v="60.64"/>
    <s v="Debit Card"/>
    <x v="3"/>
    <b v="1"/>
    <x v="0"/>
    <n v="2"/>
  </r>
  <r>
    <s v="ORD-01810"/>
    <x v="609"/>
    <x v="609"/>
    <s v="CUST43650"/>
    <s v="Arjun Patel"/>
    <n v="14"/>
    <s v="Other"/>
    <x v="3"/>
    <s v="Bhubaneswar"/>
    <x v="2"/>
    <s v="Wardrobe"/>
    <n v="8"/>
    <n v="26505.13"/>
    <n v="0.04"/>
    <n v="238656.22"/>
    <n v="68339.509999999995"/>
    <n v="84.53"/>
    <s v="Net Banking"/>
    <x v="1"/>
    <b v="0"/>
    <x v="1"/>
    <n v="7"/>
  </r>
  <r>
    <s v="ORD-02910"/>
    <x v="7"/>
    <x v="7"/>
    <s v="CUST60967"/>
    <s v="Nisha Chatterjee"/>
    <n v="19"/>
    <s v="Male"/>
    <x v="1"/>
    <s v="Surat"/>
    <x v="6"/>
    <s v="Cycle"/>
    <n v="5"/>
    <n v="13947.97"/>
    <n v="0.28999999999999998"/>
    <n v="76540.789999999994"/>
    <n v="25167.53"/>
    <n v="78.239999999999995"/>
    <s v="EMI"/>
    <x v="4"/>
    <b v="0"/>
    <x v="3"/>
    <n v="7"/>
  </r>
  <r>
    <s v="ORD-03547"/>
    <x v="392"/>
    <x v="392"/>
    <s v="CUST38738"/>
    <s v="Vikram Gupta"/>
    <n v="48"/>
    <s v="Female"/>
    <x v="0"/>
    <s v="Bhopal"/>
    <x v="1"/>
    <s v="Face Cream"/>
    <n v="7"/>
    <n v="2483.1"/>
    <n v="0.23"/>
    <n v="19141.88"/>
    <n v="9979.84"/>
    <n v="55.38"/>
    <s v="Net Banking"/>
    <x v="0"/>
    <b v="0"/>
    <x v="1"/>
    <n v="10"/>
  </r>
  <r>
    <s v="ORD-01190"/>
    <x v="1334"/>
    <x v="1334"/>
    <s v="CUST89428"/>
    <s v="Vikram Bhat"/>
    <n v="24"/>
    <s v="Male"/>
    <x v="2"/>
    <s v="Chandigarh"/>
    <x v="0"/>
    <s v="Dal (1kg)"/>
    <n v="8"/>
    <n v="134.32"/>
    <n v="0.04"/>
    <n v="1451.63"/>
    <n v="139.04"/>
    <n v="56.65"/>
    <s v="Debit Card"/>
    <x v="3"/>
    <b v="0"/>
    <x v="1"/>
    <n v="5"/>
  </r>
  <r>
    <s v="ORD-03625"/>
    <x v="686"/>
    <x v="686"/>
    <s v="CUST51053"/>
    <s v="Kavya Kumar"/>
    <n v="37"/>
    <s v="Male"/>
    <x v="3"/>
    <s v="Guwahati"/>
    <x v="4"/>
    <s v="T-Shirt"/>
    <n v="2"/>
    <n v="336.81"/>
    <n v="0.23"/>
    <n v="928.67"/>
    <n v="222.36"/>
    <n v="105.46"/>
    <s v="Credit Card"/>
    <x v="2"/>
    <b v="0"/>
    <x v="1"/>
    <n v="8"/>
  </r>
  <r>
    <s v="ORD-01054"/>
    <x v="1017"/>
    <x v="1017"/>
    <s v="CUST25910"/>
    <s v="Aarav Kapoor"/>
    <n v="18"/>
    <s v="Other"/>
    <x v="3"/>
    <s v="Kolkata"/>
    <x v="0"/>
    <s v="Rice (5kg)"/>
    <n v="2"/>
    <n v="94.76"/>
    <n v="0.39"/>
    <n v="140.80000000000001"/>
    <n v="10.16"/>
    <n v="69.7"/>
    <s v="Credit Card"/>
    <x v="0"/>
    <b v="0"/>
    <x v="1"/>
    <n v="5"/>
  </r>
  <r>
    <s v="ORD-04122"/>
    <x v="1350"/>
    <x v="1350"/>
    <s v="CUST89767"/>
    <s v="Rahul Patel"/>
    <n v="21"/>
    <s v="Other"/>
    <x v="4"/>
    <s v="Kochi"/>
    <x v="5"/>
    <s v="Camera"/>
    <n v="10"/>
    <n v="78416.649999999994"/>
    <n v="0.19"/>
    <n v="598247.4"/>
    <n v="76981.5"/>
    <n v="47.97"/>
    <s v="UPI"/>
    <x v="0"/>
    <b v="0"/>
    <x v="3"/>
    <n v="8"/>
  </r>
  <r>
    <s v="ORD-02394"/>
    <x v="87"/>
    <x v="87"/>
    <s v="CUST48987"/>
    <s v="Arjun Bose"/>
    <n v="19"/>
    <s v="Female"/>
    <x v="4"/>
    <s v="Hyderabad"/>
    <x v="1"/>
    <s v="Shampoo"/>
    <n v="4"/>
    <n v="901.35"/>
    <n v="0.21"/>
    <n v="2292.2800000000002"/>
    <n v="1103.3599999999999"/>
    <n v="70.489999999999995"/>
    <s v="UPI"/>
    <x v="0"/>
    <b v="0"/>
    <x v="1"/>
    <n v="9"/>
  </r>
  <r>
    <s v="ORD-00998"/>
    <x v="808"/>
    <x v="808"/>
    <s v="CUST74848"/>
    <s v="Sanjay Mehta"/>
    <n v="29"/>
    <s v="Other"/>
    <x v="3"/>
    <s v="Guwahati"/>
    <x v="6"/>
    <s v="Football"/>
    <n v="8"/>
    <n v="10920.29"/>
    <n v="0.06"/>
    <n v="83283.38"/>
    <n v="15878.93"/>
    <n v="109.6"/>
    <s v="EMI"/>
    <x v="3"/>
    <b v="0"/>
    <x v="1"/>
    <n v="7"/>
  </r>
  <r>
    <s v="ORD-01257"/>
    <x v="1483"/>
    <x v="1483"/>
    <s v="CUST58111"/>
    <s v="Sanjay Chatterjee"/>
    <n v="32"/>
    <s v="Female"/>
    <x v="1"/>
    <s v="Surat"/>
    <x v="0"/>
    <s v="Flour"/>
    <n v="10"/>
    <n v="311.3"/>
    <n v="0.22"/>
    <n v="2697.43"/>
    <n v="192.38"/>
    <n v="47.53"/>
    <s v="EMI"/>
    <x v="1"/>
    <b v="0"/>
    <x v="1"/>
    <n v="5"/>
  </r>
  <r>
    <s v="ORD-01359"/>
    <x v="1145"/>
    <x v="1145"/>
    <s v="CUST02336"/>
    <s v="Ananya Das"/>
    <n v="41"/>
    <s v="Other"/>
    <x v="2"/>
    <s v="Amritsar"/>
    <x v="5"/>
    <s v="Laptop"/>
    <n v="4"/>
    <n v="58347.92"/>
    <n v="0.26"/>
    <n v="187775.6"/>
    <n v="29981.09"/>
    <n v="40.020000000000003"/>
    <s v="Cash on Delivery"/>
    <x v="1"/>
    <b v="1"/>
    <x v="0"/>
    <n v="1"/>
  </r>
  <r>
    <s v="ORD-01490"/>
    <x v="778"/>
    <x v="778"/>
    <s v="CUST68846"/>
    <s v="Deepa Sharma"/>
    <n v="55"/>
    <s v="Male"/>
    <x v="0"/>
    <s v="Nagpur"/>
    <x v="5"/>
    <s v="Laptop"/>
    <n v="8"/>
    <n v="55123.63"/>
    <n v="0.15"/>
    <n v="356673.17"/>
    <n v="10636.55"/>
    <n v="57.56"/>
    <s v="Debit Card"/>
    <x v="1"/>
    <b v="0"/>
    <x v="1"/>
    <n v="5"/>
  </r>
  <r>
    <s v="ORD-01565"/>
    <x v="701"/>
    <x v="701"/>
    <s v="CUST50049"/>
    <s v="Meera Nair"/>
    <n v="28"/>
    <s v="Other"/>
    <x v="1"/>
    <s v="Surat"/>
    <x v="4"/>
    <s v="T-Shirt"/>
    <n v="6"/>
    <n v="3969.96"/>
    <n v="0.03"/>
    <n v="17673.419999999998"/>
    <n v="4862.5"/>
    <n v="49.67"/>
    <s v="EMI"/>
    <x v="3"/>
    <b v="0"/>
    <x v="4"/>
    <n v="2"/>
  </r>
  <r>
    <s v="ORD-02744"/>
    <x v="223"/>
    <x v="223"/>
    <s v="CUST66758"/>
    <s v="Rahul Patel"/>
    <n v="31"/>
    <s v="Female"/>
    <x v="2"/>
    <s v="Delhi"/>
    <x v="1"/>
    <s v="Lipstick"/>
    <n v="8"/>
    <n v="2199.06"/>
    <n v="0.31"/>
    <n v="19643.63"/>
    <n v="6740.03"/>
    <n v="50.62"/>
    <s v="Cash on Delivery"/>
    <x v="4"/>
    <b v="0"/>
    <x v="1"/>
    <n v="8"/>
  </r>
  <r>
    <s v="ORD-03693"/>
    <x v="89"/>
    <x v="89"/>
    <s v="CUST04664"/>
    <s v="Shreya Mehta"/>
    <n v="45"/>
    <s v="Male"/>
    <x v="4"/>
    <s v="Bangalore"/>
    <x v="3"/>
    <s v="Fiction Novel"/>
    <n v="4"/>
    <n v="1444.05"/>
    <n v="0.31"/>
    <n v="6939.46"/>
    <n v="2386.88"/>
    <n v="95.97"/>
    <s v="UPI"/>
    <x v="0"/>
    <b v="0"/>
    <x v="1"/>
    <n v="3"/>
  </r>
  <r>
    <s v="ORD-00289"/>
    <x v="4"/>
    <x v="4"/>
    <s v="CUST73246"/>
    <s v="Aarav Patel"/>
    <n v="46"/>
    <s v="Male"/>
    <x v="4"/>
    <s v="Bangalore"/>
    <x v="3"/>
    <s v="Comic Book"/>
    <n v="6"/>
    <n v="366.68"/>
    <n v="0.22"/>
    <n v="2435.14"/>
    <n v="744.83"/>
    <n v="60.14"/>
    <s v="UPI"/>
    <x v="3"/>
    <b v="1"/>
    <x v="0"/>
    <n v="2"/>
  </r>
  <r>
    <s v="ORD-03765"/>
    <x v="976"/>
    <x v="976"/>
    <s v="CUST84964"/>
    <s v="Arjun Pillai"/>
    <n v="53"/>
    <s v="Other"/>
    <x v="2"/>
    <s v="Delhi"/>
    <x v="1"/>
    <s v="Shampoo"/>
    <n v="5"/>
    <n v="1527.65"/>
    <n v="0.37"/>
    <n v="1656.84"/>
    <n v="823.79"/>
    <n v="46.45"/>
    <s v="EMI"/>
    <x v="2"/>
    <b v="0"/>
    <x v="1"/>
    <n v="2"/>
  </r>
  <r>
    <s v="ORD-01021"/>
    <x v="1484"/>
    <x v="1484"/>
    <s v="CUST46097"/>
    <s v="Kavya Rao"/>
    <n v="30"/>
    <s v="Male"/>
    <x v="0"/>
    <s v="Nagpur"/>
    <x v="0"/>
    <s v="Tea"/>
    <n v="10"/>
    <n v="140.77000000000001"/>
    <n v="0.04"/>
    <n v="1620.6"/>
    <n v="92.58"/>
    <n v="48.86"/>
    <s v="EMI"/>
    <x v="1"/>
    <b v="0"/>
    <x v="1"/>
    <n v="5"/>
  </r>
  <r>
    <s v="ORD-02519"/>
    <x v="1194"/>
    <x v="1194"/>
    <s v="CUST63560"/>
    <s v="Aditya Reddy"/>
    <n v="61"/>
    <s v="Female"/>
    <x v="4"/>
    <s v="Kochi"/>
    <x v="0"/>
    <s v="Tea"/>
    <n v="10"/>
    <n v="477.67"/>
    <n v="0.38"/>
    <n v="2743.7"/>
    <n v="241.54"/>
    <n v="64.260000000000005"/>
    <s v="Debit Card"/>
    <x v="0"/>
    <b v="0"/>
    <x v="1"/>
    <n v="2"/>
  </r>
  <r>
    <s v="ORD-03840"/>
    <x v="241"/>
    <x v="241"/>
    <s v="CUST71808"/>
    <s v="Deepa Bhat"/>
    <n v="34"/>
    <s v="Female"/>
    <x v="3"/>
    <s v="Guwahati"/>
    <x v="4"/>
    <s v="Jacket"/>
    <n v="7"/>
    <n v="2027.9"/>
    <n v="0.25"/>
    <n v="15991.92"/>
    <n v="5222.33"/>
    <n v="87.34"/>
    <s v="Credit Card"/>
    <x v="0"/>
    <b v="0"/>
    <x v="1"/>
    <n v="10"/>
  </r>
  <r>
    <s v="ORD-00126"/>
    <x v="1275"/>
    <x v="1275"/>
    <s v="CUST76844"/>
    <s v="Aarav Sharma"/>
    <n v="48"/>
    <s v="Female"/>
    <x v="4"/>
    <s v="Chennai"/>
    <x v="6"/>
    <s v="Cricket Bat"/>
    <n v="10"/>
    <n v="14132.86"/>
    <n v="0.19"/>
    <n v="102974.46"/>
    <n v="27604.9"/>
    <n v="90.34"/>
    <s v="Cash on Delivery"/>
    <x v="0"/>
    <b v="0"/>
    <x v="1"/>
    <n v="9"/>
  </r>
  <r>
    <s v="ORD-00365"/>
    <x v="1376"/>
    <x v="1376"/>
    <s v="CUST36682"/>
    <s v="Sanjay Reddy"/>
    <n v="20"/>
    <s v="Other"/>
    <x v="1"/>
    <s v="Pune"/>
    <x v="2"/>
    <s v="Bookshelf"/>
    <n v="5"/>
    <n v="10108.049999999999"/>
    <n v="0.16"/>
    <n v="10227.18"/>
    <n v="3225.54"/>
    <n v="71.7"/>
    <s v="Cash on Delivery"/>
    <x v="0"/>
    <b v="1"/>
    <x v="0"/>
    <n v="8"/>
  </r>
  <r>
    <s v="ORD-03356"/>
    <x v="1122"/>
    <x v="1122"/>
    <s v="CUST10273"/>
    <s v="Nisha Bose"/>
    <n v="26"/>
    <s v="Male"/>
    <x v="4"/>
    <s v="Chennai"/>
    <x v="3"/>
    <s v="Textbook"/>
    <n v="4"/>
    <n v="1166.27"/>
    <n v="0.32"/>
    <n v="2541.06"/>
    <n v="740.36"/>
    <n v="75.02"/>
    <s v="Cash on Delivery"/>
    <x v="1"/>
    <b v="0"/>
    <x v="1"/>
    <n v="3"/>
  </r>
  <r>
    <s v="ORD-00986"/>
    <x v="426"/>
    <x v="426"/>
    <s v="CUST25266"/>
    <s v="Nikhil Reddy"/>
    <n v="20"/>
    <s v="Other"/>
    <x v="0"/>
    <s v="Raipur"/>
    <x v="2"/>
    <s v="Chair"/>
    <n v="1"/>
    <n v="14981.98"/>
    <n v="0.21"/>
    <n v="16452.689999999999"/>
    <n v="6301.96"/>
    <n v="80.7"/>
    <s v="EMI"/>
    <x v="2"/>
    <b v="0"/>
    <x v="3"/>
    <n v="8"/>
  </r>
  <r>
    <s v="ORD-01103"/>
    <x v="1355"/>
    <x v="1355"/>
    <s v="CUST68761"/>
    <s v="Vikram Joshi"/>
    <n v="47"/>
    <s v="Female"/>
    <x v="2"/>
    <s v="Chandigarh"/>
    <x v="2"/>
    <s v="Wardrobe"/>
    <n v="2"/>
    <n v="11894.06"/>
    <n v="0.21"/>
    <n v="27604.98"/>
    <n v="6286.41"/>
    <n v="70.91"/>
    <s v="EMI"/>
    <x v="2"/>
    <b v="0"/>
    <x v="3"/>
    <n v="4"/>
  </r>
  <r>
    <s v="ORD-03896"/>
    <x v="871"/>
    <x v="871"/>
    <s v="CUST78041"/>
    <s v="Sunita Nair"/>
    <n v="29"/>
    <s v="Male"/>
    <x v="2"/>
    <s v="Chandigarh"/>
    <x v="5"/>
    <s v="Laptop"/>
    <n v="10"/>
    <n v="53218.559999999998"/>
    <n v="0.27"/>
    <n v="560937.53"/>
    <n v="68296.39"/>
    <n v="20.81"/>
    <s v="Cash on Delivery"/>
    <x v="0"/>
    <b v="0"/>
    <x v="1"/>
    <n v="6"/>
  </r>
  <r>
    <s v="ORD-01526"/>
    <x v="454"/>
    <x v="454"/>
    <s v="CUST64362"/>
    <s v="Rahul Verma"/>
    <n v="60"/>
    <s v="Male"/>
    <x v="4"/>
    <s v="Kochi"/>
    <x v="3"/>
    <s v="Textbook"/>
    <n v="2"/>
    <n v="371.2"/>
    <n v="0.25"/>
    <n v="427.53"/>
    <n v="199.91"/>
    <n v="67.34"/>
    <s v="Cash on Delivery"/>
    <x v="3"/>
    <b v="0"/>
    <x v="1"/>
    <n v="4"/>
  </r>
  <r>
    <s v="ORD-02352"/>
    <x v="553"/>
    <x v="553"/>
    <s v="CUST89546"/>
    <s v="Ananya Verma"/>
    <n v="26"/>
    <s v="Male"/>
    <x v="1"/>
    <s v="Mumbai"/>
    <x v="4"/>
    <s v="Kurta"/>
    <n v="5"/>
    <n v="3741.86"/>
    <n v="0.22"/>
    <n v="13643.24"/>
    <n v="4735.93"/>
    <n v="53.44"/>
    <s v="UPI"/>
    <x v="2"/>
    <b v="1"/>
    <x v="0"/>
    <n v="1"/>
  </r>
  <r>
    <s v="ORD-02347"/>
    <x v="1438"/>
    <x v="1438"/>
    <s v="CUST24182"/>
    <s v="Kavya Singh"/>
    <n v="36"/>
    <s v="Male"/>
    <x v="0"/>
    <s v="Raipur"/>
    <x v="0"/>
    <s v="Cooking Oil"/>
    <n v="3"/>
    <n v="403.22"/>
    <n v="0.33"/>
    <n v="824.95"/>
    <n v="82.5"/>
    <n v="62.33"/>
    <s v="Credit Card"/>
    <x v="0"/>
    <b v="0"/>
    <x v="1"/>
    <n v="9"/>
  </r>
  <r>
    <s v="ORD-02576"/>
    <x v="883"/>
    <x v="883"/>
    <s v="CUST12074"/>
    <s v="Shreya Kapoor"/>
    <n v="38"/>
    <s v="Other"/>
    <x v="3"/>
    <s v="Patna"/>
    <x v="4"/>
    <s v="Jacket"/>
    <n v="1"/>
    <n v="3316.89"/>
    <n v="0.02"/>
    <n v="2808.53"/>
    <n v="1124.49"/>
    <n v="73.41"/>
    <s v="UPI"/>
    <x v="1"/>
    <b v="0"/>
    <x v="3"/>
    <n v="10"/>
  </r>
  <r>
    <s v="ORD-01246"/>
    <x v="500"/>
    <x v="500"/>
    <s v="CUST93346"/>
    <s v="Rohan Iyer"/>
    <n v="52"/>
    <s v="Female"/>
    <x v="3"/>
    <s v="Patna"/>
    <x v="0"/>
    <s v="Dal (1kg)"/>
    <n v="10"/>
    <n v="422.95"/>
    <n v="0.01"/>
    <n v="5380.7"/>
    <n v="403.1"/>
    <n v="74.58"/>
    <s v="Debit Card"/>
    <x v="2"/>
    <b v="0"/>
    <x v="1"/>
    <n v="6"/>
  </r>
  <r>
    <s v="ORD-01060"/>
    <x v="376"/>
    <x v="376"/>
    <s v="CUST46841"/>
    <s v="Nikhil Nair"/>
    <n v="37"/>
    <s v="Male"/>
    <x v="2"/>
    <s v="Delhi"/>
    <x v="6"/>
    <s v="Cycle"/>
    <n v="5"/>
    <n v="8455.8700000000008"/>
    <n v="0.31"/>
    <n v="32604.639999999999"/>
    <n v="8841.2900000000009"/>
    <n v="51.91"/>
    <s v="Debit Card"/>
    <x v="1"/>
    <b v="0"/>
    <x v="1"/>
    <n v="5"/>
  </r>
  <r>
    <s v="ORD-04120"/>
    <x v="1350"/>
    <x v="1350"/>
    <s v="CUST60757"/>
    <s v="Deepa Singh"/>
    <n v="20"/>
    <s v="Female"/>
    <x v="4"/>
    <s v="Bangalore"/>
    <x v="4"/>
    <s v="Dress"/>
    <n v="1"/>
    <n v="335.42"/>
    <n v="0.23"/>
    <n v="247.75"/>
    <n v="88.1"/>
    <n v="73.88"/>
    <s v="Debit Card"/>
    <x v="0"/>
    <b v="0"/>
    <x v="1"/>
    <n v="3"/>
  </r>
  <r>
    <s v="ORD-00589"/>
    <x v="1485"/>
    <x v="1485"/>
    <s v="CUST18414"/>
    <s v="Sanjay Reddy"/>
    <n v="24"/>
    <s v="Other"/>
    <x v="2"/>
    <s v="Delhi"/>
    <x v="4"/>
    <s v="Dress"/>
    <n v="4"/>
    <n v="3802.14"/>
    <n v="0.16"/>
    <n v="11713.77"/>
    <n v="4073.09"/>
    <n v="63.7"/>
    <s v="Credit Card"/>
    <x v="2"/>
    <b v="0"/>
    <x v="1"/>
    <n v="10"/>
  </r>
  <r>
    <s v="ORD-01686"/>
    <x v="590"/>
    <x v="590"/>
    <s v="CUST44944"/>
    <s v="Rohan Singh"/>
    <n v="24"/>
    <s v="Male"/>
    <x v="0"/>
    <s v="Raipur"/>
    <x v="2"/>
    <s v="Chair"/>
    <n v="8"/>
    <n v="6492.13"/>
    <n v="0.09"/>
    <n v="42405.18"/>
    <n v="10060.56"/>
    <n v="52.57"/>
    <s v="Credit Card"/>
    <x v="0"/>
    <b v="0"/>
    <x v="1"/>
    <n v="10"/>
  </r>
  <r>
    <s v="ORD-02548"/>
    <x v="263"/>
    <x v="263"/>
    <s v="CUST41169"/>
    <s v="Aditya Iyer"/>
    <n v="46"/>
    <s v="Male"/>
    <x v="3"/>
    <s v="Guwahati"/>
    <x v="2"/>
    <s v="Sofa"/>
    <n v="10"/>
    <n v="14207.99"/>
    <n v="0.06"/>
    <n v="135263.66"/>
    <n v="39842.93"/>
    <n v="65.88"/>
    <s v="Cash on Delivery"/>
    <x v="2"/>
    <b v="0"/>
    <x v="1"/>
    <n v="3"/>
  </r>
  <r>
    <s v="ORD-02013"/>
    <x v="867"/>
    <x v="867"/>
    <s v="CUST13762"/>
    <s v="Meera Chatterjee"/>
    <n v="44"/>
    <s v="Other"/>
    <x v="0"/>
    <s v="Indore"/>
    <x v="4"/>
    <s v="Jacket"/>
    <n v="5"/>
    <n v="3652.79"/>
    <n v="0.25"/>
    <n v="4359.4399999999996"/>
    <n v="1521.23"/>
    <n v="40.51"/>
    <s v="Debit Card"/>
    <x v="3"/>
    <b v="0"/>
    <x v="3"/>
    <n v="8"/>
  </r>
  <r>
    <s v="ORD-01989"/>
    <x v="1221"/>
    <x v="1221"/>
    <s v="CUST57444"/>
    <s v="Amit Bose"/>
    <n v="30"/>
    <s v="Female"/>
    <x v="2"/>
    <s v="Ludhiana"/>
    <x v="4"/>
    <s v="Jeans"/>
    <n v="2"/>
    <n v="3929.54"/>
    <n v="0.16"/>
    <n v="9882.86"/>
    <n v="4050.34"/>
    <n v="67.09"/>
    <s v="Cash on Delivery"/>
    <x v="0"/>
    <b v="0"/>
    <x v="1"/>
    <n v="5"/>
  </r>
  <r>
    <s v="ORD-01306"/>
    <x v="323"/>
    <x v="323"/>
    <s v="CUST62979"/>
    <s v="Pooja Mishra"/>
    <n v="36"/>
    <s v="Other"/>
    <x v="0"/>
    <s v="Raipur"/>
    <x v="5"/>
    <s v="Smartwatch"/>
    <n v="8"/>
    <n v="58571.61"/>
    <n v="0.28000000000000003"/>
    <n v="475115.46"/>
    <n v="53027.1"/>
    <n v="56.37"/>
    <s v="EMI"/>
    <x v="2"/>
    <b v="1"/>
    <x v="0"/>
    <n v="4"/>
  </r>
  <r>
    <s v="ORD-01519"/>
    <x v="579"/>
    <x v="579"/>
    <s v="CUST43388"/>
    <s v="Aditya Shah"/>
    <n v="37"/>
    <s v="Other"/>
    <x v="1"/>
    <s v="Surat"/>
    <x v="4"/>
    <s v="Jeans"/>
    <n v="7"/>
    <n v="1574.54"/>
    <n v="0.02"/>
    <n v="8015.28"/>
    <n v="2481.62"/>
    <n v="84.22"/>
    <s v="UPI"/>
    <x v="0"/>
    <b v="0"/>
    <x v="1"/>
    <n v="5"/>
  </r>
  <r>
    <s v="ORD-01823"/>
    <x v="261"/>
    <x v="261"/>
    <s v="CUST35405"/>
    <s v="Pooja Mishra"/>
    <n v="35"/>
    <s v="Female"/>
    <x v="0"/>
    <s v="Raipur"/>
    <x v="6"/>
    <s v="Cycle"/>
    <n v="4"/>
    <n v="5236.2700000000004"/>
    <n v="0.09"/>
    <n v="24896.51"/>
    <n v="4435.7299999999996"/>
    <n v="74.78"/>
    <s v="Cash on Delivery"/>
    <x v="4"/>
    <b v="0"/>
    <x v="4"/>
    <n v="8"/>
  </r>
  <r>
    <s v="ORD-03110"/>
    <x v="837"/>
    <x v="837"/>
    <s v="CUST38634"/>
    <s v="Sanjay Reddy"/>
    <n v="50"/>
    <s v="Male"/>
    <x v="4"/>
    <s v="Hyderabad"/>
    <x v="4"/>
    <s v="Kurta"/>
    <n v="7"/>
    <n v="3365.93"/>
    <n v="0.11"/>
    <n v="25929.31"/>
    <n v="13312.04"/>
    <n v="74.84"/>
    <s v="Debit Card"/>
    <x v="0"/>
    <b v="0"/>
    <x v="3"/>
    <n v="4"/>
  </r>
  <r>
    <s v="ORD-02755"/>
    <x v="1267"/>
    <x v="1267"/>
    <s v="CUST20559"/>
    <s v="Karan Mishra"/>
    <n v="46"/>
    <s v="Male"/>
    <x v="2"/>
    <s v="Chandigarh"/>
    <x v="3"/>
    <s v="Biography"/>
    <n v="9"/>
    <n v="421.91"/>
    <n v="0.16"/>
    <n v="4945.5200000000004"/>
    <n v="2326.52"/>
    <n v="51.34"/>
    <s v="EMI"/>
    <x v="1"/>
    <b v="0"/>
    <x v="1"/>
    <n v="1"/>
  </r>
  <r>
    <s v="ORD-04088"/>
    <x v="1486"/>
    <x v="1486"/>
    <s v="CUST96195"/>
    <s v="Amit Mishra"/>
    <n v="34"/>
    <s v="Other"/>
    <x v="3"/>
    <s v="Kolkata"/>
    <x v="4"/>
    <s v="Saree"/>
    <n v="9"/>
    <n v="1665.92"/>
    <n v="0.18"/>
    <n v="11063"/>
    <n v="2273.36"/>
    <n v="91.64"/>
    <s v="Credit Card"/>
    <x v="0"/>
    <b v="0"/>
    <x v="1"/>
    <n v="1"/>
  </r>
  <r>
    <s v="ORD-01513"/>
    <x v="1063"/>
    <x v="1063"/>
    <s v="CUST81406"/>
    <s v="Rahul Bose"/>
    <n v="58"/>
    <s v="Other"/>
    <x v="2"/>
    <s v="Amritsar"/>
    <x v="6"/>
    <s v="Cricket Bat"/>
    <n v="10"/>
    <n v="11652.14"/>
    <n v="0.17"/>
    <n v="75606.39"/>
    <n v="12791.68"/>
    <n v="49.96"/>
    <s v="EMI"/>
    <x v="4"/>
    <b v="0"/>
    <x v="1"/>
    <n v="10"/>
  </r>
  <r>
    <s v="ORD-03252"/>
    <x v="823"/>
    <x v="823"/>
    <s v="CUST39721"/>
    <s v="Sunita Kapoor"/>
    <n v="32"/>
    <s v="Female"/>
    <x v="1"/>
    <s v="Surat"/>
    <x v="6"/>
    <s v="Cricket Bat"/>
    <n v="3"/>
    <n v="10070.36"/>
    <n v="0.28999999999999998"/>
    <n v="20450.62"/>
    <n v="4777.96"/>
    <n v="40.78"/>
    <s v="UPI"/>
    <x v="2"/>
    <b v="0"/>
    <x v="1"/>
    <n v="3"/>
  </r>
  <r>
    <s v="ORD-02695"/>
    <x v="383"/>
    <x v="383"/>
    <s v="CUST36599"/>
    <s v="Kavya Bhat"/>
    <n v="43"/>
    <s v="Female"/>
    <x v="1"/>
    <s v="Ahmedabad"/>
    <x v="1"/>
    <s v="Shampoo"/>
    <n v="9"/>
    <n v="415.58"/>
    <n v="0.35"/>
    <n v="3291.09"/>
    <n v="1457.49"/>
    <n v="93.37"/>
    <s v="Debit Card"/>
    <x v="2"/>
    <b v="0"/>
    <x v="2"/>
    <n v="3"/>
  </r>
  <r>
    <s v="ORD-03178"/>
    <x v="66"/>
    <x v="66"/>
    <s v="CUST71971"/>
    <s v="Rohan Nair"/>
    <n v="34"/>
    <s v="Female"/>
    <x v="2"/>
    <s v="Delhi"/>
    <x v="2"/>
    <s v="Bookshelf"/>
    <n v="6"/>
    <n v="11138.87"/>
    <n v="0.18"/>
    <n v="60174.080000000002"/>
    <n v="14000.74"/>
    <n v="42.92"/>
    <s v="EMI"/>
    <x v="0"/>
    <b v="0"/>
    <x v="1"/>
    <n v="5"/>
  </r>
  <r>
    <s v="ORD-03336"/>
    <x v="988"/>
    <x v="988"/>
    <s v="CUST95363"/>
    <s v="Aditya Gupta"/>
    <n v="35"/>
    <s v="Other"/>
    <x v="3"/>
    <s v="Patna"/>
    <x v="0"/>
    <s v="Sugar"/>
    <n v="3"/>
    <n v="362.51"/>
    <n v="0.05"/>
    <n v="803.64"/>
    <n v="58"/>
    <n v="84.62"/>
    <s v="Debit Card"/>
    <x v="0"/>
    <b v="0"/>
    <x v="3"/>
    <n v="10"/>
  </r>
  <r>
    <s v="ORD-02782"/>
    <x v="948"/>
    <x v="948"/>
    <s v="CUST50156"/>
    <s v="Rahul Kumar"/>
    <n v="23"/>
    <s v="Other"/>
    <x v="1"/>
    <s v="Ahmedabad"/>
    <x v="6"/>
    <s v="Dumbbells"/>
    <n v="6"/>
    <n v="3259.56"/>
    <n v="0.28000000000000003"/>
    <n v="20331.59"/>
    <n v="3788.35"/>
    <n v="62.56"/>
    <s v="Cash on Delivery"/>
    <x v="3"/>
    <b v="0"/>
    <x v="1"/>
    <n v="9"/>
  </r>
  <r>
    <s v="ORD-04124"/>
    <x v="729"/>
    <x v="729"/>
    <s v="CUST93821"/>
    <s v="Rahul Mehta"/>
    <n v="57"/>
    <s v="Other"/>
    <x v="4"/>
    <s v="Hyderabad"/>
    <x v="4"/>
    <s v="Saree"/>
    <n v="7"/>
    <n v="2979.19"/>
    <n v="0.27"/>
    <n v="16150.97"/>
    <n v="6112.46"/>
    <n v="84.04"/>
    <s v="Cash on Delivery"/>
    <x v="4"/>
    <b v="0"/>
    <x v="1"/>
    <n v="7"/>
  </r>
  <r>
    <s v="ORD-01150"/>
    <x v="1028"/>
    <x v="1028"/>
    <s v="CUST47277"/>
    <s v="Nisha Verma"/>
    <n v="43"/>
    <s v="Male"/>
    <x v="2"/>
    <s v="Ludhiana"/>
    <x v="5"/>
    <s v="Smartwatch"/>
    <n v="5"/>
    <n v="5211.32"/>
    <n v="0.21"/>
    <n v="37902.51"/>
    <n v="5270.39"/>
    <n v="43.19"/>
    <s v="EMI"/>
    <x v="3"/>
    <b v="0"/>
    <x v="1"/>
    <n v="5"/>
  </r>
  <r>
    <s v="ORD-01578"/>
    <x v="1354"/>
    <x v="1354"/>
    <s v="CUST75792"/>
    <s v="Karan Joshi"/>
    <n v="38"/>
    <s v="Other"/>
    <x v="1"/>
    <s v="Surat"/>
    <x v="4"/>
    <s v="Jeans"/>
    <n v="3"/>
    <n v="3600.05"/>
    <n v="0.1"/>
    <n v="7315.14"/>
    <n v="3342.94"/>
    <n v="28.05"/>
    <s v="Credit Card"/>
    <x v="0"/>
    <b v="1"/>
    <x v="0"/>
    <n v="1"/>
  </r>
  <r>
    <s v="ORD-00976"/>
    <x v="256"/>
    <x v="256"/>
    <s v="CUST97597"/>
    <s v="Meera Reddy"/>
    <n v="7"/>
    <s v="Other"/>
    <x v="3"/>
    <s v="Bhubaneswar"/>
    <x v="6"/>
    <s v="Cricket Bat"/>
    <n v="5"/>
    <n v="14828.68"/>
    <n v="0.36"/>
    <n v="57628.49"/>
    <n v="7729.24"/>
    <n v="61.13"/>
    <s v="EMI"/>
    <x v="3"/>
    <b v="0"/>
    <x v="1"/>
    <n v="3"/>
  </r>
  <r>
    <s v="ORD-03133"/>
    <x v="366"/>
    <x v="366"/>
    <s v="CUST10354"/>
    <s v="Sunita Reddy"/>
    <n v="37"/>
    <s v="Male"/>
    <x v="0"/>
    <s v="Bhopal"/>
    <x v="4"/>
    <s v="Jacket"/>
    <n v="9"/>
    <n v="1920.93"/>
    <n v="0.04"/>
    <n v="18611.05"/>
    <n v="7106.9"/>
    <n v="65.709999999999994"/>
    <s v="EMI"/>
    <x v="2"/>
    <b v="1"/>
    <x v="0"/>
    <n v="9"/>
  </r>
  <r>
    <s v="ORD-03659"/>
    <x v="1487"/>
    <x v="1487"/>
    <s v="CUST21485"/>
    <s v="Priya Shah"/>
    <n v="35"/>
    <s v="Female"/>
    <x v="1"/>
    <s v="Ahmedabad"/>
    <x v="1"/>
    <s v="Sunscreen"/>
    <n v="8"/>
    <n v="1212.69"/>
    <n v="0.21"/>
    <n v="13771.38"/>
    <n v="6491.12"/>
    <n v="40.26"/>
    <s v="Credit Card"/>
    <x v="0"/>
    <b v="0"/>
    <x v="1"/>
    <n v="8"/>
  </r>
  <r>
    <s v="ORD-00385"/>
    <x v="629"/>
    <x v="629"/>
    <s v="CUST64460"/>
    <s v="Aditya Singh"/>
    <n v="16"/>
    <s v="Other"/>
    <x v="0"/>
    <s v="Bhopal"/>
    <x v="5"/>
    <s v="Smartphone"/>
    <n v="3"/>
    <n v="71017.39"/>
    <n v="0.21"/>
    <n v="283763.46999999997"/>
    <n v="23611.3"/>
    <n v="53.14"/>
    <s v="EMI"/>
    <x v="1"/>
    <b v="0"/>
    <x v="1"/>
    <n v="8"/>
  </r>
  <r>
    <s v="ORD-00162"/>
    <x v="532"/>
    <x v="532"/>
    <s v="CUST45896"/>
    <s v="Aditya Reddy"/>
    <n v="26"/>
    <s v="Male"/>
    <x v="0"/>
    <s v="Indore"/>
    <x v="5"/>
    <s v="Tablet"/>
    <n v="6"/>
    <n v="79957.919999999998"/>
    <n v="0.21"/>
    <n v="431664.73"/>
    <n v="54036.34"/>
    <n v="51.2"/>
    <s v="Cash on Delivery"/>
    <x v="0"/>
    <b v="0"/>
    <x v="1"/>
    <n v="10"/>
  </r>
  <r>
    <s v="ORD-02908"/>
    <x v="7"/>
    <x v="7"/>
    <s v="CUST54563"/>
    <s v="Rahul Gupta"/>
    <n v="23"/>
    <s v="Other"/>
    <x v="3"/>
    <s v="Bhubaneswar"/>
    <x v="5"/>
    <s v="Smartphone"/>
    <n v="2"/>
    <n v="65714.09"/>
    <n v="0.32"/>
    <n v="147617.57999999999"/>
    <n v="16129.94"/>
    <n v="76.709999999999994"/>
    <s v="Net Banking"/>
    <x v="1"/>
    <b v="0"/>
    <x v="1"/>
    <n v="7"/>
  </r>
  <r>
    <s v="ORD-04026"/>
    <x v="1242"/>
    <x v="1242"/>
    <s v="CUST78408"/>
    <s v="Ananya Singh"/>
    <n v="20"/>
    <s v="Male"/>
    <x v="2"/>
    <s v="Chandigarh"/>
    <x v="0"/>
    <s v="Flour"/>
    <n v="10"/>
    <n v="171.99"/>
    <n v="0.18"/>
    <n v="1542.88"/>
    <n v="98.26"/>
    <n v="65.88"/>
    <s v="Debit Card"/>
    <x v="2"/>
    <b v="1"/>
    <x v="0"/>
    <n v="3"/>
  </r>
  <r>
    <s v="ORD-02538"/>
    <x v="671"/>
    <x v="671"/>
    <s v="CUST35874"/>
    <s v="Ananya Bose"/>
    <n v="30"/>
    <s v="Other"/>
    <x v="2"/>
    <s v="Delhi"/>
    <x v="2"/>
    <s v="Bookshelf"/>
    <n v="5"/>
    <n v="12917.23"/>
    <n v="0.13"/>
    <n v="10872.27"/>
    <n v="2985.89"/>
    <n v="68.67"/>
    <s v="Cash on Delivery"/>
    <x v="3"/>
    <b v="0"/>
    <x v="1"/>
    <n v="10"/>
  </r>
  <r>
    <s v="ORD-03059"/>
    <x v="690"/>
    <x v="690"/>
    <s v="CUST05600"/>
    <s v="Aarav Sharma"/>
    <n v="34"/>
    <s v="Male"/>
    <x v="0"/>
    <s v="Indore"/>
    <x v="2"/>
    <s v="Sofa"/>
    <n v="9"/>
    <n v="19162.75"/>
    <n v="0.32"/>
    <n v="178414.75"/>
    <n v="35608.129999999997"/>
    <n v="38.92"/>
    <s v="Cash on Delivery"/>
    <x v="2"/>
    <b v="0"/>
    <x v="1"/>
    <n v="5"/>
  </r>
  <r>
    <s v="ORD-01736"/>
    <x v="880"/>
    <x v="880"/>
    <s v="CUST73835"/>
    <s v="Aditya Reddy"/>
    <n v="27"/>
    <s v="Female"/>
    <x v="1"/>
    <s v="Mumbai"/>
    <x v="4"/>
    <s v="Dress"/>
    <n v="2"/>
    <n v="3211.68"/>
    <n v="0.36"/>
    <n v="3765.49"/>
    <n v="1384.04"/>
    <n v="46.54"/>
    <s v="EMI"/>
    <x v="2"/>
    <b v="0"/>
    <x v="1"/>
    <n v="8"/>
  </r>
  <r>
    <s v="ORD-00478"/>
    <x v="626"/>
    <x v="626"/>
    <s v="CUST17040"/>
    <s v="Ritu Shah"/>
    <n v="43"/>
    <s v="Other"/>
    <x v="1"/>
    <s v="Pune"/>
    <x v="4"/>
    <s v="T-Shirt"/>
    <n v="10"/>
    <n v="2139.09"/>
    <n v="0.23"/>
    <n v="21182.67"/>
    <n v="8554.34"/>
    <n v="72.73"/>
    <s v="Cash on Delivery"/>
    <x v="3"/>
    <b v="0"/>
    <x v="1"/>
    <n v="8"/>
  </r>
  <r>
    <s v="ORD-01798"/>
    <x v="1361"/>
    <x v="1361"/>
    <s v="CUST89556"/>
    <s v="Vikram Bose"/>
    <n v="31"/>
    <s v="Other"/>
    <x v="4"/>
    <s v="Kochi"/>
    <x v="0"/>
    <s v="Rice (5kg)"/>
    <n v="3"/>
    <n v="323.91000000000003"/>
    <n v="0"/>
    <n v="1207.23"/>
    <n v="88.05"/>
    <n v="64.989999999999995"/>
    <s v="Debit Card"/>
    <x v="4"/>
    <b v="0"/>
    <x v="3"/>
    <n v="3"/>
  </r>
  <r>
    <s v="ORD-01006"/>
    <x v="819"/>
    <x v="819"/>
    <s v="CUST48859"/>
    <s v="Ritu Mishra"/>
    <n v="42"/>
    <s v="Female"/>
    <x v="3"/>
    <s v="Guwahati"/>
    <x v="1"/>
    <s v="Lipstick"/>
    <n v="3"/>
    <n v="1034.33"/>
    <n v="0.12"/>
    <n v="3430.9"/>
    <n v="1457.51"/>
    <n v="77.03"/>
    <s v="UPI"/>
    <x v="4"/>
    <b v="0"/>
    <x v="2"/>
    <n v="9"/>
  </r>
  <r>
    <s v="ORD-01398"/>
    <x v="1488"/>
    <x v="1488"/>
    <s v="CUST54951"/>
    <s v="Ritu Chatterjee"/>
    <n v="25"/>
    <s v="Other"/>
    <x v="3"/>
    <s v="Guwahati"/>
    <x v="2"/>
    <s v="Desk"/>
    <n v="8"/>
    <n v="19149.45"/>
    <n v="0.14000000000000001"/>
    <n v="163824.93"/>
    <n v="43339.07"/>
    <n v="77.260000000000005"/>
    <s v="UPI"/>
    <x v="3"/>
    <b v="0"/>
    <x v="1"/>
    <n v="4"/>
  </r>
  <r>
    <s v="ORD-02490"/>
    <x v="1002"/>
    <x v="1002"/>
    <s v="CUST93354"/>
    <s v="Sanjay Verma"/>
    <n v="24"/>
    <s v="Male"/>
    <x v="0"/>
    <s v="Raipur"/>
    <x v="1"/>
    <s v="Face Cream"/>
    <n v="5"/>
    <n v="732.07"/>
    <n v="0.17"/>
    <n v="505.72"/>
    <n v="246.04"/>
    <n v="48.93"/>
    <s v="EMI"/>
    <x v="4"/>
    <b v="0"/>
    <x v="4"/>
    <n v="2"/>
  </r>
  <r>
    <s v="ORD-00632"/>
    <x v="1352"/>
    <x v="1352"/>
    <s v="CUST42307"/>
    <s v="Arjun Kumar"/>
    <n v="25"/>
    <s v="Female"/>
    <x v="0"/>
    <s v="Bhopal"/>
    <x v="2"/>
    <s v="Wardrobe"/>
    <n v="1"/>
    <n v="23097.37"/>
    <n v="0.34"/>
    <n v="12857.46"/>
    <n v="4344.32"/>
    <n v="107.34"/>
    <s v="Cash on Delivery"/>
    <x v="1"/>
    <b v="0"/>
    <x v="1"/>
    <n v="2"/>
  </r>
  <r>
    <s v="ORD-02026"/>
    <x v="1489"/>
    <x v="1489"/>
    <s v="CUST80310"/>
    <s v="Deepa Kapoor"/>
    <n v="28"/>
    <s v="Other"/>
    <x v="0"/>
    <s v="Bhopal"/>
    <x v="0"/>
    <s v="Tea"/>
    <n v="8"/>
    <n v="115.46"/>
    <n v="0.22"/>
    <n v="1183.48"/>
    <n v="105.86"/>
    <n v="42.35"/>
    <s v="EMI"/>
    <x v="2"/>
    <b v="0"/>
    <x v="3"/>
    <n v="8"/>
  </r>
  <r>
    <s v="ORD-03540"/>
    <x v="1490"/>
    <x v="1490"/>
    <s v="CUST79303"/>
    <s v="Amit Patel"/>
    <n v="46"/>
    <s v="Female"/>
    <x v="2"/>
    <s v="Delhi"/>
    <x v="6"/>
    <s v="Yoga Mat"/>
    <n v="2"/>
    <n v="7756.42"/>
    <n v="0.38"/>
    <n v="13122.27"/>
    <n v="2871.65"/>
    <n v="33.58"/>
    <s v="Credit Card"/>
    <x v="1"/>
    <b v="0"/>
    <x v="1"/>
    <n v="7"/>
  </r>
  <r>
    <s v="ORD-03972"/>
    <x v="1117"/>
    <x v="1117"/>
    <s v="CUST81553"/>
    <s v="Rohan Patel"/>
    <n v="49"/>
    <s v="Female"/>
    <x v="3"/>
    <s v="Kolkata"/>
    <x v="1"/>
    <s v="Sunscreen"/>
    <n v="8"/>
    <n v="1184.54"/>
    <n v="0.21"/>
    <n v="9116.76"/>
    <n v="2742.19"/>
    <n v="101.81"/>
    <s v="UPI"/>
    <x v="3"/>
    <b v="0"/>
    <x v="1"/>
    <n v="8"/>
  </r>
  <r>
    <s v="ORD-00640"/>
    <x v="769"/>
    <x v="769"/>
    <s v="CUST33864"/>
    <s v="Sanjay Kumar"/>
    <n v="13"/>
    <s v="Other"/>
    <x v="0"/>
    <s v="Indore"/>
    <x v="3"/>
    <s v="Comic Book"/>
    <n v="3"/>
    <n v="785.45"/>
    <n v="0.12"/>
    <n v="1714.83"/>
    <n v="820.64"/>
    <n v="65.349999999999994"/>
    <s v="UPI"/>
    <x v="3"/>
    <b v="1"/>
    <x v="0"/>
    <n v="1"/>
  </r>
  <r>
    <s v="ORD-01521"/>
    <x v="579"/>
    <x v="579"/>
    <s v="CUST18819"/>
    <s v="Meera Singh"/>
    <n v="50"/>
    <s v="Female"/>
    <x v="2"/>
    <s v="Ludhiana"/>
    <x v="5"/>
    <s v="Headphones"/>
    <n v="2"/>
    <n v="5798.1"/>
    <n v="0.24"/>
    <n v="7334.77"/>
    <n v="884.69"/>
    <n v="32.840000000000003"/>
    <s v="Cash on Delivery"/>
    <x v="0"/>
    <b v="0"/>
    <x v="1"/>
    <n v="3"/>
  </r>
  <r>
    <s v="ORD-03925"/>
    <x v="979"/>
    <x v="979"/>
    <s v="CUST02732"/>
    <s v="Sunita Bhat"/>
    <n v="47"/>
    <s v="Male"/>
    <x v="1"/>
    <s v="Pune"/>
    <x v="4"/>
    <s v="Dress"/>
    <n v="5"/>
    <n v="2368.8200000000002"/>
    <n v="0.21"/>
    <n v="18598.330000000002"/>
    <n v="5184.45"/>
    <n v="68.400000000000006"/>
    <s v="Cash on Delivery"/>
    <x v="0"/>
    <b v="0"/>
    <x v="3"/>
    <n v="1"/>
  </r>
  <r>
    <s v="ORD-03283"/>
    <x v="212"/>
    <x v="212"/>
    <s v="CUST59848"/>
    <s v="Rohan Gupta"/>
    <n v="29"/>
    <s v="Male"/>
    <x v="3"/>
    <s v="Kolkata"/>
    <x v="6"/>
    <s v="Dumbbells"/>
    <n v="4"/>
    <n v="11596.28"/>
    <n v="0.22"/>
    <n v="32114.67"/>
    <n v="7605.77"/>
    <n v="87.57"/>
    <s v="Cash on Delivery"/>
    <x v="4"/>
    <b v="0"/>
    <x v="4"/>
    <n v="5"/>
  </r>
  <r>
    <s v="ORD-01399"/>
    <x v="1488"/>
    <x v="1488"/>
    <s v="CUST57171"/>
    <s v="Nikhil Verma"/>
    <n v="34"/>
    <s v="Other"/>
    <x v="1"/>
    <s v="Mumbai"/>
    <x v="0"/>
    <s v="Flour"/>
    <n v="5"/>
    <n v="69.28"/>
    <n v="0.31"/>
    <n v="257.67"/>
    <n v="18.670000000000002"/>
    <n v="64.900000000000006"/>
    <s v="Cash on Delivery"/>
    <x v="2"/>
    <b v="0"/>
    <x v="1"/>
    <n v="2"/>
  </r>
  <r>
    <s v="ORD-02772"/>
    <x v="102"/>
    <x v="102"/>
    <s v="CUST77009"/>
    <s v="Shreya Kapoor"/>
    <n v="25"/>
    <s v="Female"/>
    <x v="1"/>
    <s v="Surat"/>
    <x v="1"/>
    <s v="Shampoo"/>
    <n v="3"/>
    <n v="188.54"/>
    <n v="0.35"/>
    <n v="430.94"/>
    <n v="225.45"/>
    <n v="38.36"/>
    <s v="EMI"/>
    <x v="4"/>
    <b v="0"/>
    <x v="1"/>
    <n v="10"/>
  </r>
  <r>
    <s v="ORD-01016"/>
    <x v="96"/>
    <x v="96"/>
    <s v="CUST99742"/>
    <s v="Karan Pillai"/>
    <n v="29"/>
    <s v="Female"/>
    <x v="3"/>
    <s v="Kolkata"/>
    <x v="0"/>
    <s v="Cooking Oil"/>
    <n v="3"/>
    <n v="458.29"/>
    <n v="0.01"/>
    <n v="1674.66"/>
    <n v="127.44"/>
    <n v="59.96"/>
    <s v="Net Banking"/>
    <x v="4"/>
    <b v="0"/>
    <x v="1"/>
    <n v="2"/>
  </r>
  <r>
    <s v="ORD-00494"/>
    <x v="57"/>
    <x v="57"/>
    <s v="CUST45768"/>
    <s v="Amit Joshi"/>
    <n v="34"/>
    <s v="Male"/>
    <x v="1"/>
    <s v="Pune"/>
    <x v="3"/>
    <s v="Self-Help Book"/>
    <n v="3"/>
    <n v="679.81"/>
    <n v="0.14000000000000001"/>
    <n v="1958.24"/>
    <n v="663.49"/>
    <n v="49.8"/>
    <s v="Net Banking"/>
    <x v="2"/>
    <b v="0"/>
    <x v="1"/>
    <n v="3"/>
  </r>
  <r>
    <s v="ORD-03483"/>
    <x v="1321"/>
    <x v="1321"/>
    <s v="CUST88764"/>
    <s v="Sunita Nair"/>
    <n v="42"/>
    <s v="Other"/>
    <x v="3"/>
    <s v="Guwahati"/>
    <x v="4"/>
    <s v="Dress"/>
    <n v="1"/>
    <n v="619.66"/>
    <n v="0.06"/>
    <n v="677.46"/>
    <n v="198.49"/>
    <n v="90.84"/>
    <s v="EMI"/>
    <x v="3"/>
    <b v="0"/>
    <x v="1"/>
    <n v="1"/>
  </r>
  <r>
    <s v="ORD-03710"/>
    <x v="1491"/>
    <x v="1491"/>
    <s v="CUST62728"/>
    <s v="Amit Rao"/>
    <n v="39"/>
    <s v="Male"/>
    <x v="4"/>
    <s v="Hyderabad"/>
    <x v="1"/>
    <s v="Perfume"/>
    <n v="1"/>
    <n v="2092.15"/>
    <n v="0.37"/>
    <n v="1997.2"/>
    <n v="949.86"/>
    <n v="60.48"/>
    <s v="UPI"/>
    <x v="3"/>
    <b v="1"/>
    <x v="0"/>
    <n v="8"/>
  </r>
  <r>
    <s v="ORD-00119"/>
    <x v="56"/>
    <x v="56"/>
    <s v="CUST18259"/>
    <s v="Shreya Patel"/>
    <n v="33"/>
    <s v="Other"/>
    <x v="2"/>
    <s v="Chandigarh"/>
    <x v="1"/>
    <s v="Hair Oil"/>
    <n v="4"/>
    <n v="2389.73"/>
    <n v="0.01"/>
    <n v="8141.15"/>
    <n v="3856.93"/>
    <n v="52.24"/>
    <s v="EMI"/>
    <x v="4"/>
    <b v="1"/>
    <x v="0"/>
    <n v="4"/>
  </r>
  <r>
    <s v="ORD-02329"/>
    <x v="1061"/>
    <x v="1061"/>
    <s v="CUST96865"/>
    <s v="Kavya Pillai"/>
    <n v="49"/>
    <s v="Female"/>
    <x v="3"/>
    <s v="Kolkata"/>
    <x v="4"/>
    <s v="Kurta"/>
    <n v="9"/>
    <n v="3350.21"/>
    <n v="0.13"/>
    <n v="25300.71"/>
    <n v="10933.1"/>
    <n v="73.040000000000006"/>
    <s v="Net Banking"/>
    <x v="3"/>
    <b v="0"/>
    <x v="1"/>
    <n v="5"/>
  </r>
  <r>
    <s v="ORD-03529"/>
    <x v="1492"/>
    <x v="1492"/>
    <s v="CUST50939"/>
    <s v="Sunita Kapoor"/>
    <n v="40"/>
    <s v="Male"/>
    <x v="2"/>
    <s v="Delhi"/>
    <x v="6"/>
    <s v="Cycle"/>
    <n v="5"/>
    <n v="11392.54"/>
    <n v="0.06"/>
    <n v="68387.61"/>
    <n v="13710.8"/>
    <n v="63.48"/>
    <s v="Net Banking"/>
    <x v="1"/>
    <b v="0"/>
    <x v="3"/>
    <n v="4"/>
  </r>
  <r>
    <s v="ORD-01091"/>
    <x v="1106"/>
    <x v="1106"/>
    <s v="CUST96344"/>
    <s v="Priya Gupta"/>
    <n v="20"/>
    <s v="Other"/>
    <x v="1"/>
    <s v="Ahmedabad"/>
    <x v="6"/>
    <s v="Cricket Bat"/>
    <n v="7"/>
    <n v="9096.84"/>
    <n v="0.3"/>
    <n v="70055.58"/>
    <n v="17866.41"/>
    <n v="64.48"/>
    <s v="Credit Card"/>
    <x v="0"/>
    <b v="0"/>
    <x v="1"/>
    <n v="3"/>
  </r>
  <r>
    <s v="ORD-02938"/>
    <x v="1270"/>
    <x v="1270"/>
    <s v="CUST95887"/>
    <s v="Priya Sharma"/>
    <n v="33"/>
    <s v="Male"/>
    <x v="4"/>
    <s v="Bangalore"/>
    <x v="2"/>
    <s v="Sofa"/>
    <n v="7"/>
    <n v="20356.98"/>
    <n v="0.35"/>
    <n v="152291.21"/>
    <n v="54665.64"/>
    <n v="53.58"/>
    <s v="Net Banking"/>
    <x v="0"/>
    <b v="1"/>
    <x v="0"/>
    <n v="3"/>
  </r>
  <r>
    <s v="ORD-03619"/>
    <x v="503"/>
    <x v="503"/>
    <s v="CUST40038"/>
    <s v="Sanjay Reddy"/>
    <n v="-7"/>
    <s v="Male"/>
    <x v="2"/>
    <s v="Amritsar"/>
    <x v="1"/>
    <s v="Hair Oil"/>
    <n v="3"/>
    <n v="1353.96"/>
    <n v="7.0000000000000007E-2"/>
    <n v="5710.68"/>
    <n v="3585.71"/>
    <n v="52.08"/>
    <s v="Cash on Delivery"/>
    <x v="0"/>
    <b v="0"/>
    <x v="1"/>
    <n v="3"/>
  </r>
  <r>
    <s v="ORD-02463"/>
    <x v="1137"/>
    <x v="1137"/>
    <s v="CUST17205"/>
    <s v="Aditya Iyer"/>
    <n v="47"/>
    <s v="Other"/>
    <x v="2"/>
    <s v="Chandigarh"/>
    <x v="3"/>
    <s v="Fiction Novel"/>
    <n v="5"/>
    <n v="284.92"/>
    <n v="0.28999999999999998"/>
    <n v="872.63"/>
    <n v="345.16"/>
    <n v="60.96"/>
    <s v="UPI"/>
    <x v="0"/>
    <b v="0"/>
    <x v="1"/>
    <n v="8"/>
  </r>
  <r>
    <s v="ORD-02275"/>
    <x v="363"/>
    <x v="363"/>
    <s v="CUST47583"/>
    <s v="Vikram Chatterjee"/>
    <n v="34"/>
    <s v="Other"/>
    <x v="0"/>
    <s v="Indore"/>
    <x v="0"/>
    <s v="Rice (5kg)"/>
    <n v="4"/>
    <n v="225.27"/>
    <n v="0.34"/>
    <n v="633.98"/>
    <n v="41.18"/>
    <n v="44.3"/>
    <s v="Debit Card"/>
    <x v="2"/>
    <b v="1"/>
    <x v="0"/>
    <n v="9"/>
  </r>
  <r>
    <s v="ORD-03532"/>
    <x v="718"/>
    <x v="718"/>
    <s v="CUST84608"/>
    <s v="Rahul Shah"/>
    <n v="49"/>
    <s v="Female"/>
    <x v="1"/>
    <s v="Mumbai"/>
    <x v="0"/>
    <s v="Flour"/>
    <n v="10"/>
    <n v="360.93"/>
    <n v="0.14000000000000001"/>
    <n v="4159.76"/>
    <n v="343.41"/>
    <n v="73.41"/>
    <s v="Credit Card"/>
    <x v="4"/>
    <b v="0"/>
    <x v="1"/>
    <n v="5"/>
  </r>
  <r>
    <s v="ORD-00771"/>
    <x v="584"/>
    <x v="584"/>
    <s v="CUST07234"/>
    <s v="Pooja Mishra"/>
    <n v="31"/>
    <s v="Female"/>
    <x v="1"/>
    <s v="Pune"/>
    <x v="2"/>
    <s v="Bed Frame"/>
    <n v="8"/>
    <n v="24311.3"/>
    <n v="0.16"/>
    <n v="113486.89"/>
    <n v="33354.080000000002"/>
    <n v="85.08"/>
    <s v="Debit Card"/>
    <x v="1"/>
    <b v="0"/>
    <x v="1"/>
    <n v="6"/>
  </r>
  <r>
    <s v="ORD-02853"/>
    <x v="299"/>
    <x v="299"/>
    <s v="CUST40777"/>
    <s v="Deepa Bose"/>
    <n v="62"/>
    <s v="Male"/>
    <x v="3"/>
    <s v="Guwahati"/>
    <x v="2"/>
    <s v="Wardrobe"/>
    <n v="5"/>
    <n v="19873.59"/>
    <n v="0.26"/>
    <n v="109991.48"/>
    <n v="39055.480000000003"/>
    <n v="94.68"/>
    <s v="Net Banking"/>
    <x v="4"/>
    <b v="0"/>
    <x v="1"/>
    <n v="5"/>
  </r>
  <r>
    <s v="ORD-02997"/>
    <x v="1302"/>
    <x v="1302"/>
    <s v="CUST61924"/>
    <s v="Amit Reddy"/>
    <n v="23"/>
    <s v="Male"/>
    <x v="0"/>
    <s v="Raipur"/>
    <x v="5"/>
    <s v="Camera"/>
    <n v="4"/>
    <n v="45542.32"/>
    <n v="0.34"/>
    <n v="140619.38"/>
    <n v="17512.78"/>
    <n v="87.15"/>
    <s v="Credit Card"/>
    <x v="2"/>
    <b v="0"/>
    <x v="1"/>
    <n v="6"/>
  </r>
  <r>
    <s v="ORD-02918"/>
    <x v="822"/>
    <x v="822"/>
    <s v="CUST30053"/>
    <s v="Rohan Gupta"/>
    <n v="45"/>
    <s v="Female"/>
    <x v="0"/>
    <s v="Bhopal"/>
    <x v="4"/>
    <s v="Kurta"/>
    <n v="6"/>
    <n v="1810.84"/>
    <n v="0.19"/>
    <n v="14264.78"/>
    <n v="6053.77"/>
    <n v="49.04"/>
    <s v="EMI"/>
    <x v="2"/>
    <b v="0"/>
    <x v="1"/>
    <n v="8"/>
  </r>
  <r>
    <s v="ORD-03324"/>
    <x v="401"/>
    <x v="401"/>
    <s v="CUST12209"/>
    <s v="Aditya Rao"/>
    <n v="36"/>
    <s v="Male"/>
    <x v="0"/>
    <s v="Indore"/>
    <x v="3"/>
    <s v="Comic Book"/>
    <n v="5"/>
    <n v="1477.84"/>
    <n v="0.14000000000000001"/>
    <n v="6011.52"/>
    <n v="2592.23"/>
    <n v="63.2"/>
    <s v="Net Banking"/>
    <x v="0"/>
    <b v="0"/>
    <x v="1"/>
    <n v="1"/>
  </r>
  <r>
    <s v="ORD-02621"/>
    <x v="222"/>
    <x v="222"/>
    <s v="CUST65834"/>
    <s v="Shreya Bose"/>
    <n v="39"/>
    <s v="Female"/>
    <x v="1"/>
    <s v="Pune"/>
    <x v="1"/>
    <s v="Shampoo"/>
    <n v="5"/>
    <n v="1976.24"/>
    <n v="0.28000000000000003"/>
    <n v="7356.77"/>
    <n v="2566.15"/>
    <n v="88.96"/>
    <s v="Net Banking"/>
    <x v="2"/>
    <b v="0"/>
    <x v="4"/>
    <n v="9"/>
  </r>
  <r>
    <s v="ORD-01998"/>
    <x v="127"/>
    <x v="127"/>
    <s v="CUST69572"/>
    <s v="Nisha Mehta"/>
    <n v="37"/>
    <s v="Female"/>
    <x v="4"/>
    <s v="Chennai"/>
    <x v="0"/>
    <s v="Sugar"/>
    <n v="1"/>
    <n v="118.1"/>
    <n v="0.08"/>
    <n v="173.91"/>
    <n v="11.76"/>
    <n v="102.62"/>
    <s v="EMI"/>
    <x v="0"/>
    <b v="0"/>
    <x v="1"/>
    <n v="3"/>
  </r>
  <r>
    <s v="ORD-00206"/>
    <x v="544"/>
    <x v="544"/>
    <s v="CUST71469"/>
    <s v="Aarav Sharma"/>
    <n v="48"/>
    <s v="Female"/>
    <x v="2"/>
    <s v="Amritsar"/>
    <x v="4"/>
    <s v="Jeans"/>
    <n v="7"/>
    <n v="3924.19"/>
    <n v="0.02"/>
    <n v="29835.57"/>
    <n v="10552.45"/>
    <n v="38.119999999999997"/>
    <s v="Debit Card"/>
    <x v="1"/>
    <b v="0"/>
    <x v="1"/>
    <n v="2"/>
  </r>
  <r>
    <s v="ORD-01001"/>
    <x v="808"/>
    <x v="808"/>
    <s v="CUST68864"/>
    <s v="Shreya Mehta"/>
    <n v="0"/>
    <s v="Male"/>
    <x v="2"/>
    <s v="Amritsar"/>
    <x v="6"/>
    <s v="Cycle"/>
    <n v="4"/>
    <n v="9021.23"/>
    <n v="0.02"/>
    <n v="34898.86"/>
    <n v="8090.36"/>
    <n v="36.19"/>
    <s v="Cash on Delivery"/>
    <x v="2"/>
    <b v="0"/>
    <x v="1"/>
    <n v="1"/>
  </r>
  <r>
    <s v="ORD-03978"/>
    <x v="974"/>
    <x v="974"/>
    <s v="CUST67871"/>
    <s v="Meera Shah"/>
    <n v="42"/>
    <s v="Other"/>
    <x v="0"/>
    <s v="Indore"/>
    <x v="2"/>
    <s v="Wardrobe"/>
    <n v="10"/>
    <n v="28835.81"/>
    <n v="0.22"/>
    <n v="303195.21999999997"/>
    <n v="85826.18"/>
    <n v="55.16"/>
    <s v="UPI"/>
    <x v="3"/>
    <b v="1"/>
    <x v="0"/>
    <n v="3"/>
  </r>
  <r>
    <s v="ORD-02721"/>
    <x v="593"/>
    <x v="593"/>
    <s v="CUST62341"/>
    <s v="Nisha Joshi"/>
    <n v="41"/>
    <s v="Male"/>
    <x v="3"/>
    <s v="Kolkata"/>
    <x v="5"/>
    <s v="Headphones"/>
    <n v="10"/>
    <n v="66216.179999999993"/>
    <n v="0.12"/>
    <n v="680923.78"/>
    <n v="34980.089999999997"/>
    <n v="97.06"/>
    <s v="Cash on Delivery"/>
    <x v="2"/>
    <b v="0"/>
    <x v="1"/>
    <n v="5"/>
  </r>
  <r>
    <s v="ORD-01807"/>
    <x v="609"/>
    <x v="609"/>
    <s v="CUST23271"/>
    <s v="Sanjay Shah"/>
    <n v="44"/>
    <s v="Other"/>
    <x v="0"/>
    <s v="Indore"/>
    <x v="5"/>
    <s v="Smartphone"/>
    <n v="7"/>
    <n v="73496.399999999994"/>
    <n v="0.28999999999999998"/>
    <n v="393016.21"/>
    <n v="42248.31"/>
    <n v="47.62"/>
    <s v="EMI"/>
    <x v="3"/>
    <b v="0"/>
    <x v="1"/>
    <n v="9"/>
  </r>
  <r>
    <s v="ORD-00400"/>
    <x v="79"/>
    <x v="79"/>
    <s v="CUST59064"/>
    <s v="Ananya Kumar"/>
    <n v="16"/>
    <s v="Female"/>
    <x v="1"/>
    <s v="Mumbai"/>
    <x v="2"/>
    <s v="Sofa"/>
    <n v="2"/>
    <n v="8336.76"/>
    <n v="0.19"/>
    <n v="19728.32"/>
    <n v="5843.93"/>
    <n v="71.81"/>
    <s v="Credit Card"/>
    <x v="4"/>
    <b v="0"/>
    <x v="1"/>
    <n v="2"/>
  </r>
  <r>
    <s v="ORD-01990"/>
    <x v="41"/>
    <x v="41"/>
    <s v="CUST72810"/>
    <s v="Rohan Singh"/>
    <n v="38"/>
    <s v="Other"/>
    <x v="4"/>
    <s v="Bangalore"/>
    <x v="2"/>
    <s v="Bed Frame"/>
    <n v="5"/>
    <n v="27081.62"/>
    <n v="0.21"/>
    <n v="31673.81"/>
    <n v="7915.89"/>
    <n v="55.71"/>
    <s v="Credit Card"/>
    <x v="0"/>
    <b v="0"/>
    <x v="1"/>
    <n v="6"/>
  </r>
  <r>
    <s v="ORD-01576"/>
    <x v="1104"/>
    <x v="1104"/>
    <s v="CUST61202"/>
    <s v="Nisha Pillai"/>
    <n v="26"/>
    <s v="Other"/>
    <x v="4"/>
    <s v="Bangalore"/>
    <x v="6"/>
    <s v="Tennis Racket"/>
    <n v="7"/>
    <n v="8356.94"/>
    <n v="0.39"/>
    <n v="24580.36"/>
    <n v="5738.36"/>
    <n v="56.15"/>
    <s v="Net Banking"/>
    <x v="1"/>
    <b v="0"/>
    <x v="1"/>
    <n v="2"/>
  </r>
  <r>
    <s v="ORD-02600"/>
    <x v="1211"/>
    <x v="1211"/>
    <s v="CUST31208"/>
    <s v="Nikhil Gupta"/>
    <n v="40"/>
    <s v="Female"/>
    <x v="4"/>
    <s v="Chennai"/>
    <x v="3"/>
    <s v="Self-Help Book"/>
    <n v="1"/>
    <n v="355.01"/>
    <n v="0.23"/>
    <n v="284.02"/>
    <n v="130.5"/>
    <n v="51.82"/>
    <s v="EMI"/>
    <x v="4"/>
    <b v="0"/>
    <x v="1"/>
    <n v="7"/>
  </r>
  <r>
    <s v="ORD-01199"/>
    <x v="1175"/>
    <x v="1175"/>
    <s v="CUST74206"/>
    <s v="Nisha Joshi"/>
    <n v="39"/>
    <s v="Other"/>
    <x v="1"/>
    <s v="Surat"/>
    <x v="1"/>
    <s v="Shampoo"/>
    <n v="7"/>
    <n v="1377.5"/>
    <n v="0.18"/>
    <n v="9978.14"/>
    <n v="3493.6"/>
    <n v="34.58"/>
    <s v="EMI"/>
    <x v="2"/>
    <b v="0"/>
    <x v="1"/>
    <n v="6"/>
  </r>
  <r>
    <s v="ORD-02369"/>
    <x v="1056"/>
    <x v="1056"/>
    <s v="CUST82609"/>
    <s v="Pooja Iyer"/>
    <n v="6"/>
    <s v="Female"/>
    <x v="3"/>
    <s v="Bhubaneswar"/>
    <x v="5"/>
    <s v="Smartphone"/>
    <n v="3"/>
    <n v="37130.620000000003"/>
    <n v="0.18"/>
    <n v="79107.61"/>
    <n v="8678.14"/>
    <n v="66.27"/>
    <s v="Net Banking"/>
    <x v="1"/>
    <b v="0"/>
    <x v="4"/>
    <n v="8"/>
  </r>
  <r>
    <s v="ORD-00470"/>
    <x v="1273"/>
    <x v="1273"/>
    <s v="CUST56203"/>
    <s v="Rohan Mehta"/>
    <n v="47"/>
    <s v="Other"/>
    <x v="3"/>
    <s v="Patna"/>
    <x v="3"/>
    <s v="Comic Book"/>
    <n v="8"/>
    <n v="744.9"/>
    <n v="0.28000000000000003"/>
    <n v="6083.41"/>
    <n v="2337.37"/>
    <n v="84.44"/>
    <s v="Debit Card"/>
    <x v="3"/>
    <b v="0"/>
    <x v="1"/>
    <n v="100"/>
  </r>
  <r>
    <s v="ORD-04008"/>
    <x v="1253"/>
    <x v="1253"/>
    <s v="CUST62705"/>
    <s v="Aditya Nair"/>
    <n v="30"/>
    <s v="Male"/>
    <x v="0"/>
    <s v="Bhopal"/>
    <x v="5"/>
    <s v="Camera"/>
    <n v="8"/>
    <n v="62831.199999999997"/>
    <n v="0.12"/>
    <n v="537551.85"/>
    <n v="74470.320000000007"/>
    <n v="76.77"/>
    <s v="Credit Card"/>
    <x v="0"/>
    <b v="0"/>
    <x v="1"/>
    <n v="3"/>
  </r>
  <r>
    <s v="ORD-00861"/>
    <x v="1412"/>
    <x v="1412"/>
    <s v="CUST71748"/>
    <s v="Rohan Singh"/>
    <n v="20"/>
    <s v="Female"/>
    <x v="0"/>
    <s v="Bhopal"/>
    <x v="5"/>
    <s v="Laptop"/>
    <n v="9"/>
    <n v="25178.31"/>
    <n v="0.33"/>
    <n v="123701.67"/>
    <n v="15332.75"/>
    <n v="39.549999999999997"/>
    <s v="Debit Card"/>
    <x v="2"/>
    <b v="0"/>
    <x v="1"/>
    <n v="5"/>
  </r>
  <r>
    <s v="ORD-00867"/>
    <x v="624"/>
    <x v="624"/>
    <s v="CUST45352"/>
    <s v="Rahul Das"/>
    <n v="46"/>
    <s v="Male"/>
    <x v="1"/>
    <s v="Pune"/>
    <x v="1"/>
    <s v="Lipstick"/>
    <n v="5"/>
    <n v="1331.3"/>
    <n v="0.28999999999999998"/>
    <n v="698.09"/>
    <n v="283.77"/>
    <n v="47.57"/>
    <s v="Cash on Delivery"/>
    <x v="3"/>
    <b v="0"/>
    <x v="3"/>
    <n v="6"/>
  </r>
  <r>
    <s v="ORD-02592"/>
    <x v="986"/>
    <x v="986"/>
    <s v="CUST27366"/>
    <s v="Sunita Kumar"/>
    <n v="34"/>
    <s v="Male"/>
    <x v="0"/>
    <s v="Raipur"/>
    <x v="1"/>
    <s v="Hair Oil"/>
    <n v="9"/>
    <n v="1780.34"/>
    <n v="0.22"/>
    <n v="11475.64"/>
    <n v="5187.9399999999996"/>
    <n v="61.88"/>
    <s v="Net Banking"/>
    <x v="2"/>
    <b v="1"/>
    <x v="0"/>
    <n v="1"/>
  </r>
  <r>
    <s v="ORD-00080"/>
    <x v="587"/>
    <x v="587"/>
    <s v="CUST06153"/>
    <s v="Nisha Iyer"/>
    <n v="63"/>
    <s v="Female"/>
    <x v="0"/>
    <s v="Raipur"/>
    <x v="4"/>
    <s v="Kurta"/>
    <n v="8"/>
    <n v="2567.5300000000002"/>
    <n v="0.19"/>
    <n v="11109.98"/>
    <n v="3121.39"/>
    <n v="65.38"/>
    <s v="Credit Card"/>
    <x v="0"/>
    <b v="0"/>
    <x v="1"/>
    <n v="2"/>
  </r>
  <r>
    <s v="ORD-00534"/>
    <x v="995"/>
    <x v="995"/>
    <s v="CUST02585"/>
    <s v="Sunita Mishra"/>
    <n v="51"/>
    <s v="Female"/>
    <x v="2"/>
    <s v="Delhi"/>
    <x v="5"/>
    <s v="Laptop"/>
    <n v="6"/>
    <n v="8931.76"/>
    <n v="0.21"/>
    <n v="55813.62"/>
    <n v="6918.36"/>
    <n v="70.53"/>
    <s v="UPI"/>
    <x v="1"/>
    <b v="0"/>
    <x v="4"/>
    <n v="5"/>
  </r>
  <r>
    <s v="ORD-03992"/>
    <x v="287"/>
    <x v="287"/>
    <s v="CUST28805"/>
    <s v="Rohan Singh"/>
    <n v="13"/>
    <s v="Female"/>
    <x v="4"/>
    <s v="Hyderabad"/>
    <x v="4"/>
    <s v="Saree"/>
    <n v="2"/>
    <n v="3743.45"/>
    <n v="0.09"/>
    <n v="9311.2199999999993"/>
    <n v="3378.19"/>
    <n v="53.74"/>
    <s v="UPI"/>
    <x v="1"/>
    <b v="0"/>
    <x v="1"/>
    <n v="7"/>
  </r>
  <r>
    <s v="ORD-02506"/>
    <x v="233"/>
    <x v="233"/>
    <s v="CUST74062"/>
    <s v="Shreya Patel"/>
    <n v="27"/>
    <s v="Male"/>
    <x v="4"/>
    <s v="Kochi"/>
    <x v="6"/>
    <s v="Football"/>
    <n v="4"/>
    <n v="10900.56"/>
    <n v="0.12"/>
    <n v="31965.58"/>
    <n v="6315.42"/>
    <n v="80.650000000000006"/>
    <s v="UPI"/>
    <x v="2"/>
    <b v="0"/>
    <x v="1"/>
    <n v="4"/>
  </r>
  <r>
    <s v="ORD-02339"/>
    <x v="997"/>
    <x v="997"/>
    <s v="CUST12046"/>
    <s v="Kavya Verma"/>
    <n v="24"/>
    <s v="Other"/>
    <x v="0"/>
    <s v="Nagpur"/>
    <x v="2"/>
    <s v="Wardrobe"/>
    <n v="3"/>
    <n v="33100.17"/>
    <n v="0.31"/>
    <n v="61633.54"/>
    <n v="15026.15"/>
    <n v="64.31"/>
    <s v="UPI"/>
    <x v="3"/>
    <b v="1"/>
    <x v="0"/>
    <n v="8"/>
  </r>
  <r>
    <s v="ORD-03898"/>
    <x v="180"/>
    <x v="180"/>
    <s v="CUST55482"/>
    <s v="Ananya Bhat"/>
    <n v="19"/>
    <s v="Male"/>
    <x v="3"/>
    <s v="Patna"/>
    <x v="3"/>
    <s v="Fiction Novel"/>
    <n v="9"/>
    <n v="1454.46"/>
    <n v="0.33"/>
    <n v="12482.39"/>
    <n v="4160.5600000000004"/>
    <n v="105.23"/>
    <s v="Debit Card"/>
    <x v="0"/>
    <b v="0"/>
    <x v="4"/>
    <n v="1"/>
  </r>
  <r>
    <s v="ORD-00371"/>
    <x v="557"/>
    <x v="557"/>
    <s v="CUST29938"/>
    <s v="Nikhil Das"/>
    <n v="19"/>
    <s v="Male"/>
    <x v="4"/>
    <s v="Chennai"/>
    <x v="5"/>
    <s v="Laptop"/>
    <n v="9"/>
    <n v="29863.15"/>
    <n v="0.39"/>
    <n v="224550.81"/>
    <n v="26498.37"/>
    <n v="80.91"/>
    <s v="EMI"/>
    <x v="3"/>
    <b v="0"/>
    <x v="1"/>
    <n v="8"/>
  </r>
  <r>
    <s v="ORD-00266"/>
    <x v="689"/>
    <x v="689"/>
    <s v="CUST87993"/>
    <s v="Karan Pillai"/>
    <n v="16"/>
    <s v="Male"/>
    <x v="4"/>
    <s v="Bangalore"/>
    <x v="3"/>
    <s v="Comic Book"/>
    <n v="10"/>
    <n v="1159.8399999999999"/>
    <n v="0.23"/>
    <n v="10186.879999999999"/>
    <n v="4652.66"/>
    <n v="88.51"/>
    <s v="Debit Card"/>
    <x v="1"/>
    <b v="0"/>
    <x v="1"/>
    <n v="8"/>
  </r>
  <r>
    <s v="ORD-01613"/>
    <x v="1493"/>
    <x v="1493"/>
    <s v="CUST60005"/>
    <s v="Sanjay Shah"/>
    <n v="27"/>
    <s v="Female"/>
    <x v="2"/>
    <s v="Amritsar"/>
    <x v="2"/>
    <s v="Wardrobe"/>
    <n v="4"/>
    <n v="17068.97"/>
    <n v="0.24"/>
    <n v="42127.94"/>
    <n v="13207.2"/>
    <n v="37.21"/>
    <s v="Debit Card"/>
    <x v="2"/>
    <b v="0"/>
    <x v="1"/>
    <n v="1"/>
  </r>
  <r>
    <s v="ORD-01502"/>
    <x v="1494"/>
    <x v="1494"/>
    <s v="CUST74727"/>
    <s v="Arjun Joshi"/>
    <n v="39"/>
    <s v="Male"/>
    <x v="4"/>
    <s v="Hyderabad"/>
    <x v="3"/>
    <s v="Textbook"/>
    <n v="5"/>
    <n v="550.42999999999995"/>
    <n v="0.3"/>
    <n v="1613.4"/>
    <n v="832.54"/>
    <n v="75.819999999999993"/>
    <s v="UPI"/>
    <x v="3"/>
    <b v="0"/>
    <x v="1"/>
    <n v="9"/>
  </r>
  <r>
    <s v="ORD-03048"/>
    <x v="1382"/>
    <x v="1382"/>
    <s v="CUST48774"/>
    <s v="Karan Mehta"/>
    <n v="30"/>
    <s v="Male"/>
    <x v="0"/>
    <s v="Raipur"/>
    <x v="5"/>
    <s v="Headphones"/>
    <n v="5"/>
    <n v="26972.55"/>
    <n v="0.09"/>
    <n v="38990.550000000003"/>
    <n v="5130.8"/>
    <n v="54.1"/>
    <s v="Debit Card"/>
    <x v="0"/>
    <b v="0"/>
    <x v="4"/>
    <n v="2"/>
  </r>
  <r>
    <s v="ORD-00165"/>
    <x v="1440"/>
    <x v="1440"/>
    <s v="CUST08515"/>
    <s v="Amit Mishra"/>
    <n v="25"/>
    <s v="Male"/>
    <x v="3"/>
    <s v="Bhubaneswar"/>
    <x v="5"/>
    <s v="Headphones"/>
    <n v="3"/>
    <n v="21835.15"/>
    <n v="0.3"/>
    <n v="48564.04"/>
    <n v="6796.88"/>
    <n v="108.99"/>
    <s v="Net Banking"/>
    <x v="4"/>
    <b v="1"/>
    <x v="0"/>
    <n v="3"/>
  </r>
  <r>
    <s v="ORD-03718"/>
    <x v="1469"/>
    <x v="1469"/>
    <s v="CUST79815"/>
    <s v="Nisha Kumar"/>
    <n v="44"/>
    <s v="Female"/>
    <x v="1"/>
    <s v="Pune"/>
    <x v="4"/>
    <s v="T-Shirt"/>
    <n v="6"/>
    <n v="3390.52"/>
    <n v="0.34"/>
    <n v="23183.14"/>
    <n v="7689.47"/>
    <n v="53.24"/>
    <s v="EMI"/>
    <x v="4"/>
    <b v="0"/>
    <x v="1"/>
    <n v="6"/>
  </r>
  <r>
    <s v="ORD-03497"/>
    <x v="1290"/>
    <x v="1290"/>
    <s v="CUST77225"/>
    <s v="Pooja Bhat"/>
    <n v="34"/>
    <s v="Male"/>
    <x v="2"/>
    <s v="Amritsar"/>
    <x v="4"/>
    <s v="Kurta"/>
    <n v="2"/>
    <n v="1408.43"/>
    <n v="0.15"/>
    <n v="2474.19"/>
    <n v="782.88"/>
    <n v="66.92"/>
    <s v="Debit Card"/>
    <x v="1"/>
    <b v="0"/>
    <x v="1"/>
    <n v="2"/>
  </r>
  <r>
    <s v="ORD-03924"/>
    <x v="329"/>
    <x v="329"/>
    <s v="CUST08990"/>
    <s v="Karan Bhat"/>
    <n v="47"/>
    <s v="Male"/>
    <x v="2"/>
    <s v="Amritsar"/>
    <x v="4"/>
    <s v="Dress"/>
    <n v="10"/>
    <n v="3414.65"/>
    <n v="0.11"/>
    <n v="46633.37"/>
    <n v="16823.060000000001"/>
    <n v="54.44"/>
    <s v="Debit Card"/>
    <x v="4"/>
    <b v="0"/>
    <x v="1"/>
    <n v="4"/>
  </r>
  <r>
    <s v="ORD-00474"/>
    <x v="1125"/>
    <x v="1125"/>
    <s v="CUST88672"/>
    <s v="Deepa Verma"/>
    <n v="0"/>
    <s v="Male"/>
    <x v="4"/>
    <s v="Bangalore"/>
    <x v="1"/>
    <s v="Hair Oil"/>
    <n v="8"/>
    <n v="2272.77"/>
    <n v="7.0000000000000007E-2"/>
    <n v="19727.54"/>
    <n v="5229.53"/>
    <n v="85.45"/>
    <s v="Debit Card"/>
    <x v="4"/>
    <b v="0"/>
    <x v="4"/>
    <n v="6"/>
  </r>
  <r>
    <s v="ORD-00876"/>
    <x v="886"/>
    <x v="886"/>
    <s v="CUST71642"/>
    <s v="Sunita Patel"/>
    <n v="36"/>
    <s v="Male"/>
    <x v="4"/>
    <s v="Hyderabad"/>
    <x v="1"/>
    <s v="Face Cream"/>
    <n v="7"/>
    <n v="260.04000000000002"/>
    <n v="0.16"/>
    <n v="1257.5999999999999"/>
    <n v="549.29"/>
    <n v="93.31"/>
    <s v="Net Banking"/>
    <x v="3"/>
    <b v="0"/>
    <x v="1"/>
    <n v="1"/>
  </r>
  <r>
    <s v="ORD-02246"/>
    <x v="59"/>
    <x v="59"/>
    <s v="CUST14634"/>
    <s v="Aditya Das"/>
    <n v="31"/>
    <s v="Female"/>
    <x v="4"/>
    <s v="Chennai"/>
    <x v="1"/>
    <s v="Hair Oil"/>
    <n v="3"/>
    <n v="1422.97"/>
    <n v="0.38"/>
    <n v="2383.6799999999998"/>
    <n v="815.73"/>
    <n v="65.75"/>
    <s v="UPI"/>
    <x v="3"/>
    <b v="0"/>
    <x v="1"/>
    <n v="2"/>
  </r>
  <r>
    <s v="ORD-00186"/>
    <x v="1265"/>
    <x v="1265"/>
    <s v="CUST86352"/>
    <s v="Meera Gupta"/>
    <n v="21"/>
    <s v="Female"/>
    <x v="0"/>
    <s v="Indore"/>
    <x v="6"/>
    <s v="Cricket Bat"/>
    <n v="7"/>
    <n v="7173.46"/>
    <n v="0.37"/>
    <n v="38067.279999999999"/>
    <n v="7608.14"/>
    <n v="52.84"/>
    <s v="Cash on Delivery"/>
    <x v="4"/>
    <b v="0"/>
    <x v="4"/>
    <n v="4"/>
  </r>
  <r>
    <s v="ORD-02166"/>
    <x v="1307"/>
    <x v="1307"/>
    <s v="CUST56943"/>
    <s v="Ritu Verma"/>
    <n v="42"/>
    <s v="Male"/>
    <x v="1"/>
    <s v="Mumbai"/>
    <x v="1"/>
    <s v="Hair Oil"/>
    <n v="6"/>
    <n v="2467.58"/>
    <n v="0.37"/>
    <n v="12318.96"/>
    <n v="6222.84"/>
    <n v="67.89"/>
    <s v="Debit Card"/>
    <x v="3"/>
    <b v="0"/>
    <x v="1"/>
    <n v="10"/>
  </r>
  <r>
    <s v="ORD-02470"/>
    <x v="258"/>
    <x v="258"/>
    <s v="CUST80242"/>
    <s v="Kavya Chatterjee"/>
    <n v="42"/>
    <s v="Female"/>
    <x v="4"/>
    <s v="Kochi"/>
    <x v="1"/>
    <s v="Shampoo"/>
    <n v="10"/>
    <n v="412.53"/>
    <n v="0.16"/>
    <n v="2915.31"/>
    <n v="1264.21"/>
    <n v="48.52"/>
    <s v="UPI"/>
    <x v="0"/>
    <b v="0"/>
    <x v="1"/>
    <n v="10"/>
  </r>
  <r>
    <s v="ORD-01476"/>
    <x v="26"/>
    <x v="26"/>
    <s v="CUST09863"/>
    <s v="Sunita Singh"/>
    <n v="38"/>
    <s v="Male"/>
    <x v="3"/>
    <s v="Kolkata"/>
    <x v="1"/>
    <s v="Hair Oil"/>
    <n v="9"/>
    <n v="2217.37"/>
    <n v="0.4"/>
    <n v="12330.95"/>
    <n v="6416.88"/>
    <n v="96.41"/>
    <s v="Cash on Delivery"/>
    <x v="2"/>
    <b v="0"/>
    <x v="1"/>
    <n v="6"/>
  </r>
  <r>
    <s v="ORD-02305"/>
    <x v="1153"/>
    <x v="1153"/>
    <s v="CUST86884"/>
    <s v="Ritu Iyer"/>
    <n v="28"/>
    <s v="Other"/>
    <x v="1"/>
    <s v="Mumbai"/>
    <x v="5"/>
    <s v="Tablet"/>
    <n v="9"/>
    <n v="29921.759999999998"/>
    <n v="0.33"/>
    <n v="187176.31"/>
    <n v="25938.95"/>
    <n v="66.52"/>
    <s v="Debit Card"/>
    <x v="1"/>
    <b v="0"/>
    <x v="4"/>
    <n v="8"/>
  </r>
  <r>
    <s v="ORD-00136"/>
    <x v="773"/>
    <x v="773"/>
    <s v="CUST28013"/>
    <s v="Sunita Joshi"/>
    <n v="43"/>
    <s v="Other"/>
    <x v="0"/>
    <s v="Nagpur"/>
    <x v="3"/>
    <s v="Textbook"/>
    <n v="3"/>
    <n v="1198.96"/>
    <n v="0.03"/>
    <n v="2966.96"/>
    <n v="747.26"/>
    <n v="90.86"/>
    <s v="Credit Card"/>
    <x v="0"/>
    <b v="0"/>
    <x v="3"/>
    <n v="5"/>
  </r>
  <r>
    <s v="ORD-03818"/>
    <x v="1148"/>
    <x v="1148"/>
    <s v="CUST64757"/>
    <s v="Sanjay Das"/>
    <n v="7"/>
    <s v="Female"/>
    <x v="3"/>
    <s v="Guwahati"/>
    <x v="1"/>
    <s v="Lipstick"/>
    <n v="6"/>
    <n v="950.46"/>
    <n v="0.22"/>
    <n v="7248.48"/>
    <n v="2666.51"/>
    <n v="78.97"/>
    <s v="Credit Card"/>
    <x v="0"/>
    <b v="0"/>
    <x v="1"/>
    <n v="4"/>
  </r>
  <r>
    <s v="ORD-03611"/>
    <x v="300"/>
    <x v="300"/>
    <s v="CUST86007"/>
    <s v="Amit Joshi"/>
    <n v="20"/>
    <s v="Male"/>
    <x v="4"/>
    <s v="Kochi"/>
    <x v="2"/>
    <s v="Chair"/>
    <n v="4"/>
    <n v="16418.71"/>
    <n v="0.03"/>
    <n v="100198.09"/>
    <n v="29085.63"/>
    <n v="81.66"/>
    <s v="Net Banking"/>
    <x v="3"/>
    <b v="0"/>
    <x v="1"/>
    <n v="5"/>
  </r>
  <r>
    <s v="ORD-03760"/>
    <x v="574"/>
    <x v="574"/>
    <s v="CUST08262"/>
    <s v="Sanjay Nair"/>
    <n v="33"/>
    <s v="Other"/>
    <x v="0"/>
    <s v="Bhopal"/>
    <x v="1"/>
    <s v="Face Cream"/>
    <n v="4"/>
    <n v="1104.29"/>
    <n v="0.03"/>
    <n v="7265.19"/>
    <n v="2641.46"/>
    <n v="62.74"/>
    <s v="Debit Card"/>
    <x v="1"/>
    <b v="0"/>
    <x v="4"/>
    <n v="2"/>
  </r>
  <r>
    <s v="ORD-03124"/>
    <x v="1450"/>
    <x v="1450"/>
    <s v="CUST75413"/>
    <s v="Arjun Mishra"/>
    <n v="25"/>
    <s v="Male"/>
    <x v="4"/>
    <s v="Bangalore"/>
    <x v="2"/>
    <s v="Chair"/>
    <n v="6"/>
    <n v="15400.65"/>
    <n v="0.09"/>
    <n v="99452.17"/>
    <n v="26834.22"/>
    <n v="79.25"/>
    <s v="Debit Card"/>
    <x v="4"/>
    <b v="0"/>
    <x v="3"/>
    <n v="7"/>
  </r>
  <r>
    <s v="ORD-01855"/>
    <x v="1387"/>
    <x v="1387"/>
    <s v="CUST85967"/>
    <s v="Karan Chatterjee"/>
    <n v="35"/>
    <s v="Other"/>
    <x v="4"/>
    <s v="Chennai"/>
    <x v="2"/>
    <s v="Chair"/>
    <n v="9"/>
    <n v="10240.02"/>
    <n v="0.33"/>
    <n v="76243.39"/>
    <n v="10430.540000000001"/>
    <n v="83.76"/>
    <s v="Net Banking"/>
    <x v="0"/>
    <b v="0"/>
    <x v="1"/>
    <n v="4"/>
  </r>
  <r>
    <s v="ORD-00327"/>
    <x v="1036"/>
    <x v="1036"/>
    <s v="CUST35881"/>
    <s v="Priya Gupta"/>
    <n v="21"/>
    <s v="Female"/>
    <x v="0"/>
    <s v="Indore"/>
    <x v="5"/>
    <s v="Smartphone"/>
    <n v="4"/>
    <n v="62163.22"/>
    <n v="0.02"/>
    <n v="316644.27"/>
    <n v="39457.660000000003"/>
    <n v="74.47"/>
    <s v="Credit Card"/>
    <x v="3"/>
    <b v="1"/>
    <x v="0"/>
    <n v="9"/>
  </r>
  <r>
    <s v="ORD-02915"/>
    <x v="1495"/>
    <x v="1495"/>
    <s v="CUST11665"/>
    <s v="Vikram Gupta"/>
    <n v="53"/>
    <s v="Other"/>
    <x v="0"/>
    <s v="Raipur"/>
    <x v="1"/>
    <s v="Hair Oil"/>
    <n v="4"/>
    <n v="1782.42"/>
    <n v="0.24"/>
    <n v="8996.6"/>
    <n v="3871.86"/>
    <n v="64.180000000000007"/>
    <s v="Credit Card"/>
    <x v="4"/>
    <b v="1"/>
    <x v="0"/>
    <n v="7"/>
  </r>
  <r>
    <s v="ORD-00319"/>
    <x v="492"/>
    <x v="492"/>
    <s v="CUST05463"/>
    <s v="Nisha Iyer"/>
    <n v="45"/>
    <s v="Male"/>
    <x v="0"/>
    <s v="Bhopal"/>
    <x v="4"/>
    <s v="Jeans"/>
    <n v="3"/>
    <n v="2323.36"/>
    <n v="0.25"/>
    <n v="7516.69"/>
    <n v="2847.01"/>
    <n v="61.23"/>
    <s v="Cash on Delivery"/>
    <x v="1"/>
    <b v="1"/>
    <x v="0"/>
    <n v="4"/>
  </r>
  <r>
    <s v="ORD-02323"/>
    <x v="412"/>
    <x v="412"/>
    <s v="CUST41015"/>
    <s v="Vikram Singh"/>
    <n v="42"/>
    <s v="Other"/>
    <x v="0"/>
    <s v="Bhopal"/>
    <x v="6"/>
    <s v="Cricket Bat"/>
    <n v="5"/>
    <n v="5297.3"/>
    <n v="0.23"/>
    <n v="22206.97"/>
    <n v="5436.01"/>
    <n v="64.510000000000005"/>
    <s v="UPI"/>
    <x v="0"/>
    <b v="0"/>
    <x v="1"/>
    <n v="2"/>
  </r>
  <r>
    <s v="ORD-03086"/>
    <x v="360"/>
    <x v="360"/>
    <s v="CUST94691"/>
    <s v="Aarav Singh"/>
    <n v="38"/>
    <s v="Other"/>
    <x v="3"/>
    <s v="Bhubaneswar"/>
    <x v="2"/>
    <s v="Sofa"/>
    <n v="4"/>
    <n v="11999.53"/>
    <n v="0.22"/>
    <n v="53880.45"/>
    <n v="15284.4"/>
    <n v="99.04"/>
    <s v="Cash on Delivery"/>
    <x v="3"/>
    <b v="1"/>
    <x v="0"/>
    <n v="1"/>
  </r>
  <r>
    <s v="ORD-02892"/>
    <x v="813"/>
    <x v="813"/>
    <s v="CUST72155"/>
    <s v="Shreya Pillai"/>
    <n v="22"/>
    <s v="Male"/>
    <x v="4"/>
    <s v="Chennai"/>
    <x v="6"/>
    <s v="Tennis Racket"/>
    <n v="2"/>
    <n v="13875.51"/>
    <n v="0.32"/>
    <n v="30649.3"/>
    <n v="5955.69"/>
    <n v="81.72"/>
    <s v="UPI"/>
    <x v="0"/>
    <b v="0"/>
    <x v="1"/>
    <n v="4"/>
  </r>
  <r>
    <s v="ORD-02098"/>
    <x v="494"/>
    <x v="494"/>
    <s v="CUST81045"/>
    <s v="Ananya Mishra"/>
    <n v="53"/>
    <s v="Female"/>
    <x v="3"/>
    <s v="Kolkata"/>
    <x v="3"/>
    <s v="Comic Book"/>
    <n v="4"/>
    <n v="1230.08"/>
    <n v="0.31"/>
    <n v="4786.22"/>
    <n v="2225.06"/>
    <n v="92.84"/>
    <s v="Net Banking"/>
    <x v="4"/>
    <b v="0"/>
    <x v="1"/>
    <n v="3"/>
  </r>
  <r>
    <s v="ORD-03998"/>
    <x v="165"/>
    <x v="165"/>
    <s v="CUST82276"/>
    <s v="Aarav Mishra"/>
    <n v="39"/>
    <s v="Male"/>
    <x v="0"/>
    <s v="Indore"/>
    <x v="0"/>
    <s v="Rice (5kg)"/>
    <n v="9"/>
    <n v="302.83"/>
    <n v="0.35"/>
    <n v="2144.87"/>
    <n v="127.02"/>
    <n v="50.82"/>
    <s v="Debit Card"/>
    <x v="0"/>
    <b v="0"/>
    <x v="1"/>
    <n v="1"/>
  </r>
  <r>
    <s v="ORD-03647"/>
    <x v="552"/>
    <x v="552"/>
    <s v="CUST04161"/>
    <s v="Ritu Kapoor"/>
    <n v="30"/>
    <s v="Other"/>
    <x v="1"/>
    <s v="Surat"/>
    <x v="1"/>
    <s v="Sunscreen"/>
    <n v="4"/>
    <n v="1294.0999999999999"/>
    <n v="0.26"/>
    <n v="5791.59"/>
    <n v="2481.7399999999998"/>
    <n v="34.770000000000003"/>
    <s v="Cash on Delivery"/>
    <x v="4"/>
    <b v="0"/>
    <x v="1"/>
    <n v="6"/>
  </r>
  <r>
    <s v="ORD-02575"/>
    <x v="883"/>
    <x v="883"/>
    <s v="CUST52736"/>
    <s v="Deepa Nair"/>
    <n v="30"/>
    <s v="Male"/>
    <x v="3"/>
    <s v="Guwahati"/>
    <x v="6"/>
    <s v="Yoga Mat"/>
    <n v="3"/>
    <n v="5115.87"/>
    <n v="0.03"/>
    <n v="15447.04"/>
    <n v="2902.6"/>
    <n v="93.03"/>
    <s v="Net Banking"/>
    <x v="4"/>
    <b v="0"/>
    <x v="1"/>
    <n v="6"/>
  </r>
  <r>
    <s v="ORD-02501"/>
    <x v="692"/>
    <x v="692"/>
    <s v="CUST59835"/>
    <s v="Aarav Kapoor"/>
    <n v="44"/>
    <s v="Other"/>
    <x v="4"/>
    <s v="Chennai"/>
    <x v="6"/>
    <s v="Dumbbells"/>
    <n v="6"/>
    <n v="5749.74"/>
    <n v="0.24"/>
    <n v="22681.23"/>
    <n v="4291.6499999999996"/>
    <n v="91.35"/>
    <s v="Credit Card"/>
    <x v="4"/>
    <b v="1"/>
    <x v="0"/>
    <n v="10"/>
  </r>
  <r>
    <s v="ORD-02731"/>
    <x v="234"/>
    <x v="234"/>
    <s v="CUST76690"/>
    <s v="Ananya Patel"/>
    <n v="38"/>
    <s v="Female"/>
    <x v="0"/>
    <s v="Raipur"/>
    <x v="4"/>
    <s v="Saree"/>
    <n v="2"/>
    <n v="2874"/>
    <n v="0.01"/>
    <n v="7504.43"/>
    <n v="2617.1799999999998"/>
    <n v="34.9"/>
    <s v="UPI"/>
    <x v="4"/>
    <b v="0"/>
    <x v="1"/>
    <n v="8"/>
  </r>
  <r>
    <s v="ORD-00463"/>
    <x v="768"/>
    <x v="768"/>
    <s v="CUST44133"/>
    <s v="Karan Reddy"/>
    <n v="44"/>
    <s v="Other"/>
    <x v="0"/>
    <s v="Raipur"/>
    <x v="1"/>
    <s v="Perfume"/>
    <n v="2"/>
    <n v="988.43"/>
    <n v="0.35"/>
    <n v="1781.6"/>
    <n v="923.82"/>
    <n v="48.48"/>
    <s v="Credit Card"/>
    <x v="4"/>
    <b v="0"/>
    <x v="3"/>
    <n v="5"/>
  </r>
  <r>
    <s v="ORD-01229"/>
    <x v="958"/>
    <x v="958"/>
    <s v="CUST65693"/>
    <s v="Kavya Kumar"/>
    <n v="22"/>
    <s v="Female"/>
    <x v="0"/>
    <s v="Raipur"/>
    <x v="4"/>
    <s v="Jeans"/>
    <n v="8"/>
    <n v="789.72"/>
    <n v="0.39"/>
    <n v="5442.35"/>
    <n v="1627.79"/>
    <n v="54.89"/>
    <s v="EMI"/>
    <x v="0"/>
    <b v="0"/>
    <x v="1"/>
    <n v="8"/>
  </r>
  <r>
    <s v="ORD-02984"/>
    <x v="491"/>
    <x v="491"/>
    <s v="CUST26170"/>
    <s v="Nikhil Reddy"/>
    <n v="34"/>
    <s v="Male"/>
    <x v="2"/>
    <s v="Delhi"/>
    <x v="6"/>
    <s v="Football"/>
    <n v="2"/>
    <n v="13289.2"/>
    <n v="0.35"/>
    <n v="30542.1"/>
    <n v="7213.39"/>
    <n v="70.83"/>
    <s v="EMI"/>
    <x v="4"/>
    <b v="0"/>
    <x v="4"/>
    <n v="5"/>
  </r>
  <r>
    <s v="ORD-03691"/>
    <x v="89"/>
    <x v="89"/>
    <s v="CUST80711"/>
    <s v="Sanjay Nair"/>
    <n v="26"/>
    <s v="Male"/>
    <x v="1"/>
    <s v="Surat"/>
    <x v="1"/>
    <s v="Sunscreen"/>
    <n v="8"/>
    <n v="1952.58"/>
    <n v="0.21"/>
    <n v="22182.07"/>
    <n v="9202.93"/>
    <n v="51.23"/>
    <s v="Debit Card"/>
    <x v="2"/>
    <b v="0"/>
    <x v="1"/>
    <n v="5"/>
  </r>
  <r>
    <s v="ORD-01372"/>
    <x v="1154"/>
    <x v="1154"/>
    <s v="CUST56280"/>
    <s v="Pooja Kapoor"/>
    <n v="37"/>
    <s v="Female"/>
    <x v="3"/>
    <s v="Patna"/>
    <x v="3"/>
    <s v="Biography"/>
    <n v="7"/>
    <n v="1359.26"/>
    <n v="0.12"/>
    <n v="9165.32"/>
    <n v="3844.26"/>
    <n v="63.94"/>
    <s v="Cash on Delivery"/>
    <x v="2"/>
    <b v="0"/>
    <x v="2"/>
    <n v="6"/>
  </r>
  <r>
    <s v="ORD-01493"/>
    <x v="830"/>
    <x v="830"/>
    <s v="CUST68139"/>
    <s v="Arjun Chatterjee"/>
    <n v="44"/>
    <s v="Other"/>
    <x v="3"/>
    <s v="Patna"/>
    <x v="5"/>
    <s v="Headphones"/>
    <n v="5"/>
    <n v="44585.93"/>
    <n v="0.02"/>
    <n v="177603.4"/>
    <n v="13351.29"/>
    <n v="59.68"/>
    <s v="Credit Card"/>
    <x v="0"/>
    <b v="0"/>
    <x v="1"/>
    <n v="9"/>
  </r>
  <r>
    <s v="ORD-00648"/>
    <x v="831"/>
    <x v="831"/>
    <s v="CUST23342"/>
    <s v="Kavya Pillai"/>
    <n v="22"/>
    <s v="Male"/>
    <x v="0"/>
    <s v="Bhopal"/>
    <x v="0"/>
    <s v="Rice (5kg)"/>
    <n v="10"/>
    <n v="420.55"/>
    <n v="0.39"/>
    <n v="2218.9899999999998"/>
    <n v="132.72"/>
    <n v="44.96"/>
    <s v="UPI"/>
    <x v="2"/>
    <b v="0"/>
    <x v="1"/>
    <n v="5"/>
  </r>
  <r>
    <s v="ORD-03922"/>
    <x v="329"/>
    <x v="329"/>
    <s v="CUST63576"/>
    <s v="Vikram Nair"/>
    <n v="56"/>
    <s v="Male"/>
    <x v="4"/>
    <s v="Bangalore"/>
    <x v="5"/>
    <s v="Smartphone"/>
    <n v="9"/>
    <n v="31920.16"/>
    <n v="0.01"/>
    <n v="440371.93"/>
    <n v="65871.22"/>
    <n v="59.99"/>
    <s v="Net Banking"/>
    <x v="0"/>
    <b v="0"/>
    <x v="1"/>
    <n v="9"/>
  </r>
  <r>
    <s v="ORD-03106"/>
    <x v="562"/>
    <x v="562"/>
    <s v="CUST23467"/>
    <s v="Shreya Patel"/>
    <n v="31"/>
    <s v="Other"/>
    <x v="1"/>
    <s v="Surat"/>
    <x v="1"/>
    <s v="Shampoo"/>
    <n v="6"/>
    <n v="1382.04"/>
    <n v="0.27"/>
    <n v="7652.12"/>
    <n v="2282.9699999999998"/>
    <n v="63.64"/>
    <s v="Cash on Delivery"/>
    <x v="0"/>
    <b v="0"/>
    <x v="1"/>
    <n v="10"/>
  </r>
  <r>
    <s v="ORD-03489"/>
    <x v="1473"/>
    <x v="1473"/>
    <s v="CUST45144"/>
    <s v="Deepa Rao"/>
    <n v="4"/>
    <s v="Male"/>
    <x v="0"/>
    <s v="Raipur"/>
    <x v="2"/>
    <s v="Bed Frame"/>
    <n v="6"/>
    <n v="25605.89"/>
    <n v="0.22"/>
    <n v="136801.63"/>
    <n v="32672.46"/>
    <n v="59.3"/>
    <s v="UPI"/>
    <x v="2"/>
    <b v="1"/>
    <x v="0"/>
    <n v="2"/>
  </r>
  <r>
    <s v="ORD-01834"/>
    <x v="748"/>
    <x v="748"/>
    <s v="CUST37198"/>
    <s v="Rahul Rao"/>
    <n v="36"/>
    <s v="Female"/>
    <x v="4"/>
    <s v="Chennai"/>
    <x v="5"/>
    <s v="Laptop"/>
    <n v="8"/>
    <n v="22164.74"/>
    <n v="0.1"/>
    <n v="159491.82"/>
    <n v="16671.939999999999"/>
    <n v="82.01"/>
    <s v="Cash on Delivery"/>
    <x v="0"/>
    <b v="0"/>
    <x v="4"/>
    <n v="5"/>
  </r>
  <r>
    <s v="ORD-00860"/>
    <x v="1412"/>
    <x v="1412"/>
    <s v="CUST94205"/>
    <s v="Rahul Nair"/>
    <n v="42"/>
    <s v="Female"/>
    <x v="2"/>
    <s v="Ludhiana"/>
    <x v="4"/>
    <s v="Saree"/>
    <n v="2"/>
    <n v="2935.36"/>
    <n v="0.33"/>
    <n v="3141.45"/>
    <n v="1157.67"/>
    <n v="60.42"/>
    <s v="EMI"/>
    <x v="4"/>
    <b v="0"/>
    <x v="1"/>
    <n v="6"/>
  </r>
  <r>
    <s v="ORD-02296"/>
    <x v="331"/>
    <x v="331"/>
    <s v="CUST31681"/>
    <s v="Ananya Rao"/>
    <n v="20"/>
    <s v="Other"/>
    <x v="4"/>
    <s v="Kochi"/>
    <x v="6"/>
    <s v="Tennis Racket"/>
    <n v="3"/>
    <n v="8809.7199999999993"/>
    <n v="0.38"/>
    <n v="18286.54"/>
    <n v="4538.3999999999996"/>
    <n v="76.08"/>
    <s v="Debit Card"/>
    <x v="1"/>
    <b v="1"/>
    <x v="0"/>
    <n v="9"/>
  </r>
  <r>
    <s v="ORD-03039"/>
    <x v="1496"/>
    <x v="1496"/>
    <s v="CUST18530"/>
    <s v="Pooja Verma"/>
    <n v="33"/>
    <s v="Male"/>
    <x v="2"/>
    <s v="Amritsar"/>
    <x v="6"/>
    <s v="Yoga Mat"/>
    <n v="5"/>
    <n v="10440.969999999999"/>
    <n v="0.03"/>
    <n v="76880.87"/>
    <n v="13536.66"/>
    <n v="49.52"/>
    <s v="Debit Card"/>
    <x v="0"/>
    <b v="0"/>
    <x v="1"/>
    <n v="10"/>
  </r>
  <r>
    <s v="ORD-03228"/>
    <x v="854"/>
    <x v="854"/>
    <s v="CUST27405"/>
    <s v="Meera Kumar"/>
    <n v="26"/>
    <s v="Male"/>
    <x v="3"/>
    <s v="Kolkata"/>
    <x v="4"/>
    <s v="Kurta"/>
    <n v="9"/>
    <n v="1877.39"/>
    <n v="0.13"/>
    <n v="17278.52"/>
    <n v="3585.58"/>
    <n v="87.95"/>
    <s v="UPI"/>
    <x v="0"/>
    <b v="0"/>
    <x v="1"/>
    <n v="5"/>
  </r>
  <r>
    <s v="ORD-00692"/>
    <x v="186"/>
    <x v="186"/>
    <s v="CUST74363"/>
    <s v="Kavya Iyer"/>
    <n v="55"/>
    <s v="Other"/>
    <x v="3"/>
    <s v="Bhubaneswar"/>
    <x v="5"/>
    <s v="Camera"/>
    <n v="10"/>
    <n v="14628.81"/>
    <n v="0.21"/>
    <n v="101436.48"/>
    <n v="14366.56"/>
    <n v="79.44"/>
    <s v="Net Banking"/>
    <x v="2"/>
    <b v="0"/>
    <x v="1"/>
    <n v="5"/>
  </r>
  <r>
    <s v="ORD-01464"/>
    <x v="324"/>
    <x v="324"/>
    <s v="CUST32032"/>
    <s v="Pooja Patel"/>
    <n v="31"/>
    <s v="Female"/>
    <x v="1"/>
    <s v="Surat"/>
    <x v="6"/>
    <s v="Cricket Bat"/>
    <n v="8"/>
    <n v="12621.58"/>
    <n v="0.23"/>
    <n v="64120.65"/>
    <n v="14256.86"/>
    <n v="73.599999999999994"/>
    <s v="Debit Card"/>
    <x v="2"/>
    <b v="0"/>
    <x v="1"/>
    <n v="2"/>
  </r>
  <r>
    <s v="ORD-04183"/>
    <x v="1236"/>
    <x v="1236"/>
    <s v="CUST82683"/>
    <s v="Kavya Patel"/>
    <n v="60"/>
    <s v="Female"/>
    <x v="0"/>
    <s v="Indore"/>
    <x v="3"/>
    <s v="Biography"/>
    <n v="1"/>
    <n v="1309.19"/>
    <n v="0.23"/>
    <n v="976.81"/>
    <n v="529.27"/>
    <n v="64.44"/>
    <s v="Debit Card"/>
    <x v="3"/>
    <b v="0"/>
    <x v="1"/>
    <n v="7"/>
  </r>
  <r>
    <s v="ORD-01582"/>
    <x v="128"/>
    <x v="128"/>
    <s v="CUST72045"/>
    <s v="Rahul Mehta"/>
    <n v="51"/>
    <s v="Other"/>
    <x v="4"/>
    <s v="Hyderabad"/>
    <x v="3"/>
    <s v="Biography"/>
    <n v="8"/>
    <n v="1131.49"/>
    <n v="0.18"/>
    <n v="4640.1000000000004"/>
    <n v="1566.98"/>
    <n v="88.17"/>
    <s v="Debit Card"/>
    <x v="1"/>
    <b v="0"/>
    <x v="1"/>
    <n v="4"/>
  </r>
  <r>
    <s v="ORD-02029"/>
    <x v="1418"/>
    <x v="1418"/>
    <s v="CUST10164"/>
    <s v="Nisha Bose"/>
    <n v="49"/>
    <s v="Other"/>
    <x v="3"/>
    <s v="Bhubaneswar"/>
    <x v="5"/>
    <s v="Smartphone"/>
    <n v="2"/>
    <n v="67980.100000000006"/>
    <n v="0.22"/>
    <n v="166434.21"/>
    <n v="17621.96"/>
    <n v="84.59"/>
    <s v="Net Banking"/>
    <x v="0"/>
    <b v="0"/>
    <x v="1"/>
    <n v="9"/>
  </r>
  <r>
    <s v="ORD-00217"/>
    <x v="772"/>
    <x v="772"/>
    <s v="CUST42012"/>
    <s v="Sanjay Joshi"/>
    <n v="34"/>
    <s v="Male"/>
    <x v="2"/>
    <s v="Chandigarh"/>
    <x v="4"/>
    <s v="Jacket"/>
    <n v="4"/>
    <n v="3945.85"/>
    <n v="0.34"/>
    <n v="11190.58"/>
    <n v="5301.46"/>
    <n v="63.9"/>
    <s v="Cash on Delivery"/>
    <x v="2"/>
    <b v="0"/>
    <x v="3"/>
    <n v="7"/>
  </r>
  <r>
    <s v="ORD-02288"/>
    <x v="1147"/>
    <x v="1147"/>
    <s v="CUST89351"/>
    <s v="Rohan Kapoor"/>
    <n v="24"/>
    <s v="Male"/>
    <x v="4"/>
    <s v="Bangalore"/>
    <x v="0"/>
    <s v="Tea"/>
    <n v="3"/>
    <n v="191.26"/>
    <n v="0.21"/>
    <n v="663.86"/>
    <n v="53.03"/>
    <n v="74"/>
    <s v="Net Banking"/>
    <x v="2"/>
    <b v="0"/>
    <x v="1"/>
    <n v="6"/>
  </r>
  <r>
    <s v="ORD-01277"/>
    <x v="1497"/>
    <x v="1497"/>
    <s v="CUST53909"/>
    <s v="Nikhil Iyer"/>
    <n v="50"/>
    <s v="Other"/>
    <x v="2"/>
    <s v="Ludhiana"/>
    <x v="3"/>
    <s v="Fiction Novel"/>
    <n v="4"/>
    <n v="307.81"/>
    <n v="0.35"/>
    <n v="1054.94"/>
    <n v="466.48"/>
    <n v="57.12"/>
    <s v="Debit Card"/>
    <x v="0"/>
    <b v="0"/>
    <x v="1"/>
    <n v="6"/>
  </r>
  <r>
    <s v="ORD-00544"/>
    <x v="168"/>
    <x v="168"/>
    <s v="CUST71958"/>
    <s v="Kavya Mehta"/>
    <n v="14"/>
    <s v="Other"/>
    <x v="2"/>
    <s v="Ludhiana"/>
    <x v="5"/>
    <s v="Laptop"/>
    <n v="2"/>
    <n v="15493.36"/>
    <n v="0.01"/>
    <n v="34301.93"/>
    <n v="4274.1099999999997"/>
    <n v="76.48"/>
    <s v="Net Banking"/>
    <x v="0"/>
    <b v="0"/>
    <x v="1"/>
    <n v="9"/>
  </r>
  <r>
    <s v="ORD-02759"/>
    <x v="865"/>
    <x v="865"/>
    <s v="CUST42106"/>
    <s v="Arjun Kumar"/>
    <n v="48"/>
    <s v="Female"/>
    <x v="3"/>
    <s v="Kolkata"/>
    <x v="4"/>
    <s v="Saree"/>
    <n v="4"/>
    <n v="2774.33"/>
    <n v="0.19"/>
    <n v="11734.39"/>
    <n v="5152.2"/>
    <n v="71.400000000000006"/>
    <s v="Cash on Delivery"/>
    <x v="3"/>
    <b v="0"/>
    <x v="4"/>
    <n v="6"/>
  </r>
  <r>
    <s v="ORD-03566"/>
    <x v="1171"/>
    <x v="1171"/>
    <s v="CUST08471"/>
    <s v="Sanjay Rao"/>
    <n v="41"/>
    <s v="Male"/>
    <x v="3"/>
    <s v="Patna"/>
    <x v="1"/>
    <s v="Hair Oil"/>
    <n v="9"/>
    <n v="1290.81"/>
    <n v="0.38"/>
    <n v="10137.870000000001"/>
    <n v="4065.85"/>
    <n v="94.19"/>
    <s v="EMI"/>
    <x v="3"/>
    <b v="1"/>
    <x v="0"/>
    <n v="8"/>
  </r>
  <r>
    <s v="ORD-02046"/>
    <x v="1498"/>
    <x v="1498"/>
    <s v="CUST75262"/>
    <s v="Ananya Mehta"/>
    <n v="22"/>
    <s v="Female"/>
    <x v="0"/>
    <s v="Raipur"/>
    <x v="5"/>
    <s v="Laptop"/>
    <n v="1"/>
    <n v="40586.06"/>
    <n v="0.03"/>
    <n v="56057.11"/>
    <n v="7068.43"/>
    <n v="52.63"/>
    <s v="Debit Card"/>
    <x v="2"/>
    <b v="0"/>
    <x v="1"/>
    <n v="10"/>
  </r>
  <r>
    <s v="ORD-01489"/>
    <x v="778"/>
    <x v="778"/>
    <s v="CUST74341"/>
    <s v="Kavya Mehta"/>
    <n v="38"/>
    <s v="Male"/>
    <x v="1"/>
    <s v="Mumbai"/>
    <x v="5"/>
    <s v="Headphones"/>
    <n v="10"/>
    <n v="42792.45"/>
    <n v="0.21"/>
    <n v="409543.23"/>
    <n v="52367.87"/>
    <n v="70.739999999999995"/>
    <s v="EMI"/>
    <x v="0"/>
    <b v="0"/>
    <x v="1"/>
    <n v="6"/>
  </r>
  <r>
    <s v="ORD-03464"/>
    <x v="667"/>
    <x v="667"/>
    <s v="CUST68181"/>
    <s v="Shreya Singh"/>
    <n v="40"/>
    <s v="Other"/>
    <x v="1"/>
    <s v="Mumbai"/>
    <x v="2"/>
    <s v="Bed Frame"/>
    <n v="7"/>
    <n v="31279"/>
    <n v="0.14000000000000001"/>
    <n v="193192.92"/>
    <n v="59242.7"/>
    <n v="61.6"/>
    <s v="Net Banking"/>
    <x v="0"/>
    <b v="0"/>
    <x v="1"/>
    <n v="9"/>
  </r>
  <r>
    <s v="ORD-01683"/>
    <x v="1313"/>
    <x v="1313"/>
    <s v="CUST56977"/>
    <s v="Nikhil Mehta"/>
    <n v="31"/>
    <s v="Female"/>
    <x v="2"/>
    <s v="Ludhiana"/>
    <x v="6"/>
    <s v="Football"/>
    <n v="8"/>
    <n v="4915.8500000000004"/>
    <n v="0.4"/>
    <n v="20462.27"/>
    <n v="3522.42"/>
    <n v="71.09"/>
    <s v="Debit Card"/>
    <x v="3"/>
    <b v="0"/>
    <x v="1"/>
    <n v="10"/>
  </r>
  <r>
    <s v="ORD-02487"/>
    <x v="925"/>
    <x v="925"/>
    <s v="CUST10552"/>
    <s v="Ritu Mehta"/>
    <n v="58"/>
    <s v="Female"/>
    <x v="2"/>
    <s v="Chandigarh"/>
    <x v="1"/>
    <s v="Sunscreen"/>
    <n v="2"/>
    <n v="197.14"/>
    <n v="0.08"/>
    <n v="304.99"/>
    <n v="162.97"/>
    <n v="48.37"/>
    <s v="EMI"/>
    <x v="2"/>
    <b v="1"/>
    <x v="0"/>
    <n v="8"/>
  </r>
  <r>
    <s v="ORD-03858"/>
    <x v="174"/>
    <x v="174"/>
    <s v="CUST58224"/>
    <s v="Sunita Kumar"/>
    <n v="61"/>
    <s v="Female"/>
    <x v="3"/>
    <s v="Patna"/>
    <x v="6"/>
    <s v="Football"/>
    <n v="6"/>
    <n v="5613.7"/>
    <n v="0.28000000000000003"/>
    <n v="38639.599999999999"/>
    <n v="7893.42"/>
    <n v="61.84"/>
    <s v="Debit Card"/>
    <x v="0"/>
    <b v="0"/>
    <x v="1"/>
    <n v="6"/>
  </r>
  <r>
    <s v="ORD-01986"/>
    <x v="1499"/>
    <x v="1499"/>
    <s v="CUST51062"/>
    <s v="Vikram Kumar"/>
    <n v="22"/>
    <s v="Male"/>
    <x v="1"/>
    <s v="Ahmedabad"/>
    <x v="0"/>
    <s v="Tea"/>
    <n v="2"/>
    <n v="190.58"/>
    <n v="0.32"/>
    <n v="399.58"/>
    <n v="33.130000000000003"/>
    <n v="70.16"/>
    <s v="Cash on Delivery"/>
    <x v="2"/>
    <b v="0"/>
    <x v="1"/>
    <n v="8"/>
  </r>
  <r>
    <s v="ORD-01269"/>
    <x v="666"/>
    <x v="666"/>
    <s v="CUST63654"/>
    <s v="Rohan Das"/>
    <n v="53"/>
    <s v="Male"/>
    <x v="2"/>
    <s v="Chandigarh"/>
    <x v="5"/>
    <s v="Smartwatch"/>
    <n v="10"/>
    <n v="16086.67"/>
    <n v="0.09"/>
    <n v="194593.37"/>
    <n v="28383.360000000001"/>
    <n v="48.31"/>
    <s v="Credit Card"/>
    <x v="3"/>
    <b v="0"/>
    <x v="1"/>
    <n v="3"/>
  </r>
  <r>
    <s v="ORD-02909"/>
    <x v="7"/>
    <x v="7"/>
    <s v="CUST79344"/>
    <s v="Rohan Bose"/>
    <n v="37"/>
    <s v="Female"/>
    <x v="4"/>
    <s v="Chennai"/>
    <x v="4"/>
    <s v="T-Shirt"/>
    <n v="5"/>
    <n v="2719.24"/>
    <n v="0.37"/>
    <n v="14617.3"/>
    <n v="4858.0600000000004"/>
    <n v="78.069999999999993"/>
    <s v="UPI"/>
    <x v="1"/>
    <b v="0"/>
    <x v="1"/>
    <n v="6"/>
  </r>
  <r>
    <s v="ORD-02999"/>
    <x v="1500"/>
    <x v="1500"/>
    <s v="CUST67583"/>
    <s v="Rohan Nair"/>
    <n v="47"/>
    <s v="Other"/>
    <x v="4"/>
    <s v="Chennai"/>
    <x v="2"/>
    <s v="Desk"/>
    <n v="4"/>
    <n v="17215.86"/>
    <n v="0.38"/>
    <n v="69333.08"/>
    <n v="21312.1"/>
    <n v="63.55"/>
    <s v="EMI"/>
    <x v="4"/>
    <b v="0"/>
    <x v="1"/>
    <n v="2"/>
  </r>
  <r>
    <s v="ORD-02375"/>
    <x v="1467"/>
    <x v="1467"/>
    <s v="CUST02280"/>
    <s v="Sunita Bhat"/>
    <n v="32"/>
    <s v="Female"/>
    <x v="2"/>
    <s v="Ludhiana"/>
    <x v="4"/>
    <s v="Saree"/>
    <n v="8"/>
    <n v="1627.94"/>
    <n v="0.21"/>
    <n v="10875.63"/>
    <n v="3552.18"/>
    <n v="57.07"/>
    <s v="Net Banking"/>
    <x v="2"/>
    <b v="0"/>
    <x v="1"/>
    <n v="10"/>
  </r>
  <r>
    <s v="ORD-00227"/>
    <x v="1427"/>
    <x v="1427"/>
    <s v="CUST25419"/>
    <s v="Amit Mishra"/>
    <n v="22"/>
    <s v="Male"/>
    <x v="1"/>
    <s v="Ahmedabad"/>
    <x v="6"/>
    <s v="Dumbbells"/>
    <n v="9"/>
    <n v="3135.91"/>
    <n v="0.3"/>
    <n v="17571.72"/>
    <n v="2904.35"/>
    <n v="58.58"/>
    <s v="UPI"/>
    <x v="0"/>
    <b v="0"/>
    <x v="1"/>
    <n v="2"/>
  </r>
  <r>
    <s v="ORD-04119"/>
    <x v="1350"/>
    <x v="1350"/>
    <s v="CUST78271"/>
    <s v="Rahul Reddy"/>
    <n v="14"/>
    <s v="Female"/>
    <x v="3"/>
    <s v="Guwahati"/>
    <x v="4"/>
    <s v="Saree"/>
    <n v="8"/>
    <n v="612.16"/>
    <n v="0.05"/>
    <n v="4471.04"/>
    <n v="845.36"/>
    <n v="119.57"/>
    <s v="UPI"/>
    <x v="3"/>
    <b v="0"/>
    <x v="1"/>
    <n v="3"/>
  </r>
  <r>
    <s v="ORD-03538"/>
    <x v="894"/>
    <x v="894"/>
    <s v="CUST92378"/>
    <s v="Amit Shah"/>
    <n v="43"/>
    <s v="Female"/>
    <x v="1"/>
    <s v="Pune"/>
    <x v="5"/>
    <s v="Camera"/>
    <n v="10"/>
    <n v="37177.589999999997"/>
    <n v="0.24"/>
    <n v="380113.28"/>
    <n v="54735.8"/>
    <n v="107.23"/>
    <s v="Cash on Delivery"/>
    <x v="4"/>
    <b v="0"/>
    <x v="1"/>
    <n v="3"/>
  </r>
  <r>
    <s v="ORD-00554"/>
    <x v="1205"/>
    <x v="1205"/>
    <s v="CUST69638"/>
    <s v="Deepa Das"/>
    <n v="25"/>
    <s v="Other"/>
    <x v="2"/>
    <s v="Amritsar"/>
    <x v="1"/>
    <s v="Lipstick"/>
    <n v="9"/>
    <n v="644.98"/>
    <n v="0.25"/>
    <n v="4487.87"/>
    <n v="1995.62"/>
    <n v="37.32"/>
    <s v="Credit Card"/>
    <x v="1"/>
    <b v="0"/>
    <x v="1"/>
    <n v="5"/>
  </r>
  <r>
    <s v="ORD-00062"/>
    <x v="516"/>
    <x v="516"/>
    <s v="CUST64715"/>
    <s v="Aarav Rao"/>
    <n v="37"/>
    <s v="Female"/>
    <x v="2"/>
    <s v="Delhi"/>
    <x v="6"/>
    <s v="Football"/>
    <n v="1"/>
    <n v="2554.77"/>
    <n v="7.0000000000000007E-2"/>
    <n v="1705.43"/>
    <n v="376.62"/>
    <n v="65.44"/>
    <s v="Credit Card"/>
    <x v="3"/>
    <b v="0"/>
    <x v="1"/>
    <n v="2"/>
  </r>
  <r>
    <s v="ORD-02933"/>
    <x v="694"/>
    <x v="694"/>
    <s v="CUST17587"/>
    <s v="Pooja Gupta"/>
    <n v="46"/>
    <s v="Female"/>
    <x v="0"/>
    <s v="Bhopal"/>
    <x v="3"/>
    <s v="Fiction Novel"/>
    <n v="10"/>
    <n v="1124.31"/>
    <n v="0.12"/>
    <n v="18133.14"/>
    <n v="7672.21"/>
    <n v="80.41"/>
    <s v="EMI"/>
    <x v="3"/>
    <b v="0"/>
    <x v="1"/>
    <n v="2"/>
  </r>
  <r>
    <s v="ORD-01443"/>
    <x v="1050"/>
    <x v="1050"/>
    <s v="CUST23949"/>
    <s v="Vikram Sharma"/>
    <n v="48"/>
    <s v="Male"/>
    <x v="2"/>
    <s v="Delhi"/>
    <x v="1"/>
    <s v="Perfume"/>
    <n v="5"/>
    <n v="314.26"/>
    <n v="0.28000000000000003"/>
    <n v="1186.73"/>
    <n v="376.78"/>
    <n v="62.97"/>
    <s v="Debit Card"/>
    <x v="1"/>
    <b v="0"/>
    <x v="1"/>
    <n v="6"/>
  </r>
  <r>
    <s v="ORD-03901"/>
    <x v="180"/>
    <x v="180"/>
    <s v="CUST08531"/>
    <s v="Kavya Nair"/>
    <n v="52"/>
    <s v="Female"/>
    <x v="4"/>
    <s v="Bangalore"/>
    <x v="2"/>
    <s v="Sofa"/>
    <n v="10"/>
    <n v="5838.04"/>
    <n v="7.0000000000000007E-2"/>
    <n v="82953.5"/>
    <n v="23848.22"/>
    <n v="71.75"/>
    <s v="Debit Card"/>
    <x v="2"/>
    <b v="1"/>
    <x v="0"/>
    <n v="3"/>
  </r>
  <r>
    <s v="ORD-01733"/>
    <x v="1219"/>
    <x v="1219"/>
    <s v="CUST23490"/>
    <s v="Arjun Rao"/>
    <n v="18"/>
    <s v="Female"/>
    <x v="3"/>
    <s v="Patna"/>
    <x v="6"/>
    <s v="Football"/>
    <n v="10"/>
    <n v="10915.19"/>
    <n v="0.25"/>
    <n v="82310.8"/>
    <n v="19642.68"/>
    <n v="96.46"/>
    <s v="Debit Card"/>
    <x v="0"/>
    <b v="0"/>
    <x v="1"/>
    <n v="10"/>
  </r>
  <r>
    <s v="ORD-02060"/>
    <x v="67"/>
    <x v="67"/>
    <s v="CUST37656"/>
    <s v="Karan Sharma"/>
    <n v="36"/>
    <s v="Male"/>
    <x v="0"/>
    <s v="Nagpur"/>
    <x v="2"/>
    <s v="Wardrobe"/>
    <n v="10"/>
    <n v="30431.62"/>
    <n v="0.19"/>
    <n v="346543.18"/>
    <n v="123711.59"/>
    <n v="58.75"/>
    <s v="Debit Card"/>
    <x v="2"/>
    <b v="0"/>
    <x v="1"/>
    <n v="10"/>
  </r>
  <r>
    <s v="ORD-02021"/>
    <x v="440"/>
    <x v="440"/>
    <s v="CUST00211"/>
    <s v="Arjun Nair"/>
    <n v="33"/>
    <s v="Male"/>
    <x v="3"/>
    <s v="Bhubaneswar"/>
    <x v="3"/>
    <s v="Fiction Novel"/>
    <n v="3"/>
    <n v="1203.8900000000001"/>
    <n v="0.21"/>
    <n v="5485.01"/>
    <n v="1744.9"/>
    <n v="74.42"/>
    <s v="Net Banking"/>
    <x v="0"/>
    <b v="0"/>
    <x v="3"/>
    <n v="4"/>
  </r>
  <r>
    <s v="ORD-02204"/>
    <x v="1293"/>
    <x v="1293"/>
    <s v="CUST80382"/>
    <s v="Priya Verma"/>
    <n v="40"/>
    <s v="Other"/>
    <x v="2"/>
    <s v="Ludhiana"/>
    <x v="3"/>
    <s v="Biography"/>
    <n v="3"/>
    <n v="692.33"/>
    <n v="0.14000000000000001"/>
    <n v="2204.16"/>
    <n v="747.75"/>
    <n v="48.08"/>
    <s v="Debit Card"/>
    <x v="2"/>
    <b v="0"/>
    <x v="1"/>
    <n v="4"/>
  </r>
  <r>
    <s v="ORD-04074"/>
    <x v="1501"/>
    <x v="1501"/>
    <s v="CUST06369"/>
    <s v="Arjun Reddy"/>
    <n v="31"/>
    <s v="Other"/>
    <x v="3"/>
    <s v="Guwahati"/>
    <x v="6"/>
    <s v="Dumbbells"/>
    <n v="9"/>
    <n v="9910.8700000000008"/>
    <n v="0.36"/>
    <n v="65829.48"/>
    <n v="17622.75"/>
    <n v="89.02"/>
    <s v="Debit Card"/>
    <x v="2"/>
    <b v="0"/>
    <x v="1"/>
    <n v="9"/>
  </r>
  <r>
    <s v="ORD-03947"/>
    <x v="1502"/>
    <x v="1502"/>
    <s v="CUST85906"/>
    <s v="Deepa Shah"/>
    <n v="35"/>
    <s v="Other"/>
    <x v="0"/>
    <s v="Raipur"/>
    <x v="0"/>
    <s v="Sugar"/>
    <n v="3"/>
    <n v="109.12"/>
    <n v="0.03"/>
    <n v="524.34"/>
    <n v="36.82"/>
    <n v="55.62"/>
    <s v="Cash on Delivery"/>
    <x v="2"/>
    <b v="0"/>
    <x v="1"/>
    <n v="9"/>
  </r>
  <r>
    <s v="ORD-01840"/>
    <x v="298"/>
    <x v="298"/>
    <s v="CUST17949"/>
    <s v="Ananya Patel"/>
    <n v="34"/>
    <s v="Female"/>
    <x v="0"/>
    <s v="Indore"/>
    <x v="2"/>
    <s v="Chair"/>
    <n v="4"/>
    <n v="31307.38"/>
    <n v="0.26"/>
    <n v="105074.92"/>
    <n v="26306.21"/>
    <n v="72.12"/>
    <s v="Cash on Delivery"/>
    <x v="2"/>
    <b v="0"/>
    <x v="1"/>
    <n v="4"/>
  </r>
  <r>
    <s v="ORD-04071"/>
    <x v="1163"/>
    <x v="1163"/>
    <s v="CUST56219"/>
    <s v="Ananya Pillai"/>
    <n v="68"/>
    <s v="Female"/>
    <x v="4"/>
    <s v="Kochi"/>
    <x v="4"/>
    <s v="T-Shirt"/>
    <n v="6"/>
    <n v="974.77"/>
    <n v="0.36"/>
    <n v="4398.5600000000004"/>
    <n v="1906.51"/>
    <n v="61.51"/>
    <s v="UPI"/>
    <x v="3"/>
    <b v="0"/>
    <x v="1"/>
    <n v="10"/>
  </r>
  <r>
    <s v="ORD-04107"/>
    <x v="891"/>
    <x v="891"/>
    <s v="CUST81738"/>
    <s v="Meera Verma"/>
    <n v="57"/>
    <s v="Female"/>
    <x v="2"/>
    <s v="Ludhiana"/>
    <x v="6"/>
    <s v="Cycle"/>
    <n v="6"/>
    <n v="8448.34"/>
    <n v="0.28999999999999998"/>
    <n v="37263.519999999997"/>
    <n v="8591.2000000000007"/>
    <n v="72.430000000000007"/>
    <s v="Cash on Delivery"/>
    <x v="1"/>
    <b v="0"/>
    <x v="1"/>
    <n v="10"/>
  </r>
  <r>
    <s v="ORD-03652"/>
    <x v="839"/>
    <x v="839"/>
    <s v="CUST85147"/>
    <s v="Aditya Singh"/>
    <n v="35"/>
    <s v="Female"/>
    <x v="4"/>
    <s v="Hyderabad"/>
    <x v="4"/>
    <s v="Kurta"/>
    <n v="2"/>
    <n v="1717.4"/>
    <n v="0.17"/>
    <n v="4468.9799999999996"/>
    <n v="1161.98"/>
    <n v="84.39"/>
    <s v="Credit Card"/>
    <x v="1"/>
    <b v="1"/>
    <x v="0"/>
    <n v="5"/>
  </r>
  <r>
    <s v="ORD-03439"/>
    <x v="702"/>
    <x v="702"/>
    <s v="CUST18731"/>
    <s v="Rohan Kumar"/>
    <n v="23"/>
    <s v="Other"/>
    <x v="4"/>
    <s v="Hyderabad"/>
    <x v="5"/>
    <s v="Laptop"/>
    <n v="2"/>
    <n v="59225.94"/>
    <n v="0.08"/>
    <n v="111005.02"/>
    <n v="9990.2199999999993"/>
    <n v="76.36"/>
    <s v="Credit Card"/>
    <x v="0"/>
    <b v="0"/>
    <x v="1"/>
    <n v="10"/>
  </r>
  <r>
    <s v="ORD-00662"/>
    <x v="434"/>
    <x v="434"/>
    <s v="CUST45940"/>
    <s v="Ritu Shah"/>
    <n v="9"/>
    <s v="Other"/>
    <x v="1"/>
    <s v="Pune"/>
    <x v="1"/>
    <s v="Sunscreen"/>
    <n v="10"/>
    <n v="2019.64"/>
    <n v="0.36"/>
    <n v="11026.28"/>
    <n v="6282.66"/>
    <n v="64.790000000000006"/>
    <s v="Credit Card"/>
    <x v="1"/>
    <b v="0"/>
    <x v="1"/>
    <n v="6"/>
  </r>
  <r>
    <s v="ORD-01636"/>
    <x v="1340"/>
    <x v="1340"/>
    <s v="CUST55664"/>
    <s v="Vikram Mishra"/>
    <n v="41"/>
    <s v="Female"/>
    <x v="4"/>
    <s v="Chennai"/>
    <x v="4"/>
    <s v="Saree"/>
    <n v="7"/>
    <n v="691.98"/>
    <n v="0.26"/>
    <n v="2427.4699999999998"/>
    <n v="740.52"/>
    <n v="59.13"/>
    <s v="Cash on Delivery"/>
    <x v="4"/>
    <b v="0"/>
    <x v="1"/>
    <n v="1"/>
  </r>
  <r>
    <s v="ORD-00349"/>
    <x v="486"/>
    <x v="486"/>
    <s v="CUST70625"/>
    <s v="Aarav Bose"/>
    <n v="15"/>
    <s v="Other"/>
    <x v="4"/>
    <s v="Chennai"/>
    <x v="4"/>
    <s v="Kurta"/>
    <n v="8"/>
    <n v="1005.57"/>
    <n v="0.3"/>
    <n v="8249.16"/>
    <n v="3467.63"/>
    <n v="54.2"/>
    <s v="Net Banking"/>
    <x v="2"/>
    <b v="0"/>
    <x v="1"/>
    <n v="7"/>
  </r>
  <r>
    <s v="ORD-01575"/>
    <x v="1104"/>
    <x v="1104"/>
    <s v="CUST95435"/>
    <s v="Arjun Pillai"/>
    <n v="35"/>
    <s v="Female"/>
    <x v="1"/>
    <s v="Surat"/>
    <x v="3"/>
    <s v="Textbook"/>
    <n v="4"/>
    <n v="505.02"/>
    <n v="0.2"/>
    <n v="1347.72"/>
    <n v="718.98"/>
    <n v="63.47"/>
    <s v="UPI"/>
    <x v="3"/>
    <b v="0"/>
    <x v="1"/>
    <n v="7"/>
  </r>
  <r>
    <s v="ORD-00298"/>
    <x v="938"/>
    <x v="938"/>
    <s v="CUST02510"/>
    <s v="Ritu Reddy"/>
    <n v="25"/>
    <s v="Male"/>
    <x v="3"/>
    <s v="Bhubaneswar"/>
    <x v="5"/>
    <s v="Headphones"/>
    <n v="1"/>
    <n v="66715.81"/>
    <n v="0.34"/>
    <n v="54095.7"/>
    <n v="5606.38"/>
    <n v="96.92"/>
    <s v="Net Banking"/>
    <x v="1"/>
    <b v="0"/>
    <x v="3"/>
    <n v="10"/>
  </r>
  <r>
    <s v="ORD-02215"/>
    <x v="994"/>
    <x v="994"/>
    <s v="CUST27310"/>
    <s v="Amit Das"/>
    <n v="32"/>
    <s v="Male"/>
    <x v="3"/>
    <s v="Guwahati"/>
    <x v="0"/>
    <s v="Rice (5kg)"/>
    <n v="5"/>
    <n v="285.26"/>
    <n v="0.18"/>
    <n v="1618.63"/>
    <n v="120.43"/>
    <n v="93.11"/>
    <s v="UPI"/>
    <x v="1"/>
    <b v="0"/>
    <x v="1"/>
    <n v="5"/>
  </r>
  <r>
    <s v="ORD-01881"/>
    <x v="1032"/>
    <x v="1032"/>
    <s v="CUST82347"/>
    <s v="Priya Sharma"/>
    <n v="36"/>
    <s v="Male"/>
    <x v="1"/>
    <s v="Surat"/>
    <x v="5"/>
    <s v="Laptop"/>
    <n v="5"/>
    <n v="65974.789999999994"/>
    <n v="0.28999999999999998"/>
    <n v="52941.94"/>
    <n v="7317.9"/>
    <n v="57.21"/>
    <s v="EMI"/>
    <x v="4"/>
    <b v="0"/>
    <x v="1"/>
    <n v="8"/>
  </r>
  <r>
    <s v="ORD-03970"/>
    <x v="517"/>
    <x v="517"/>
    <s v="CUST76992"/>
    <s v="Rohan Patel"/>
    <n v="20"/>
    <s v="Male"/>
    <x v="1"/>
    <s v="Pune"/>
    <x v="0"/>
    <s v="Tea"/>
    <n v="3"/>
    <n v="339.07"/>
    <n v="0.26"/>
    <n v="997.35"/>
    <n v="101.3"/>
    <n v="52.75"/>
    <s v="Net Banking"/>
    <x v="3"/>
    <b v="0"/>
    <x v="1"/>
    <n v="2"/>
  </r>
  <r>
    <s v="ORD-02584"/>
    <x v="1183"/>
    <x v="1183"/>
    <s v="CUST37196"/>
    <s v="Ritu Verma"/>
    <n v="31"/>
    <s v="Female"/>
    <x v="2"/>
    <s v="Amritsar"/>
    <x v="3"/>
    <s v="Fiction Novel"/>
    <n v="5"/>
    <n v="1098.6400000000001"/>
    <n v="0.36"/>
    <n v="770.95"/>
    <n v="261.79000000000002"/>
    <n v="27.79"/>
    <s v="EMI"/>
    <x v="2"/>
    <b v="0"/>
    <x v="1"/>
    <n v="9"/>
  </r>
  <r>
    <s v="ORD-00205"/>
    <x v="1503"/>
    <x v="1503"/>
    <s v="CUST44095"/>
    <s v="Aarav Nair"/>
    <n v="24"/>
    <s v="Female"/>
    <x v="0"/>
    <s v="Bhopal"/>
    <x v="0"/>
    <s v="Flour"/>
    <n v="9"/>
    <n v="122.54"/>
    <n v="0.04"/>
    <n v="928.75"/>
    <n v="82.76"/>
    <n v="60.82"/>
    <s v="UPI"/>
    <x v="0"/>
    <b v="0"/>
    <x v="1"/>
    <n v="1"/>
  </r>
  <r>
    <s v="ORD-03618"/>
    <x v="503"/>
    <x v="503"/>
    <s v="CUST86304"/>
    <s v="Shreya Sharma"/>
    <n v="42"/>
    <s v="Male"/>
    <x v="0"/>
    <s v="Nagpur"/>
    <x v="4"/>
    <s v="Jeans"/>
    <n v="8"/>
    <n v="1645.72"/>
    <n v="0.24"/>
    <n v="16304.49"/>
    <n v="5514.74"/>
    <n v="71.7"/>
    <s v="Debit Card"/>
    <x v="3"/>
    <b v="0"/>
    <x v="4"/>
    <n v="5"/>
  </r>
  <r>
    <s v="ORD-01734"/>
    <x v="1219"/>
    <x v="1219"/>
    <s v="CUST30760"/>
    <s v="Arjun Singh"/>
    <n v="39"/>
    <s v="Male"/>
    <x v="2"/>
    <s v="Delhi"/>
    <x v="5"/>
    <s v="Camera"/>
    <n v="3"/>
    <n v="40157.94"/>
    <n v="0.22"/>
    <n v="102283.92"/>
    <n v="10891.28"/>
    <n v="9.92"/>
    <s v="UPI"/>
    <x v="0"/>
    <b v="0"/>
    <x v="1"/>
    <n v="3"/>
  </r>
  <r>
    <s v="ORD-00907"/>
    <x v="1420"/>
    <x v="1420"/>
    <s v="CUST43384"/>
    <s v="Rahul Kumar"/>
    <n v="45"/>
    <s v="Female"/>
    <x v="4"/>
    <s v="Hyderabad"/>
    <x v="2"/>
    <s v="Desk"/>
    <n v="10"/>
    <n v="12241.28"/>
    <n v="0.02"/>
    <n v="97580.65"/>
    <n v="23149.32"/>
    <n v="45.07"/>
    <s v="Credit Card"/>
    <x v="1"/>
    <b v="1"/>
    <x v="0"/>
    <n v="8"/>
  </r>
  <r>
    <s v="ORD-00914"/>
    <x v="338"/>
    <x v="338"/>
    <s v="CUST19648"/>
    <s v="Priya Mishra"/>
    <n v="41"/>
    <s v="Female"/>
    <x v="1"/>
    <s v="Surat"/>
    <x v="6"/>
    <s v="Yoga Mat"/>
    <n v="6"/>
    <n v="4631.4399999999996"/>
    <n v="0.05"/>
    <n v="23451.19"/>
    <n v="4924.6899999999996"/>
    <n v="43.93"/>
    <s v="Credit Card"/>
    <x v="0"/>
    <b v="1"/>
    <x v="0"/>
    <n v="4"/>
  </r>
  <r>
    <s v="ORD-02403"/>
    <x v="1261"/>
    <x v="1261"/>
    <s v="CUST08149"/>
    <s v="Aarav Pillai"/>
    <n v="58"/>
    <s v="Male"/>
    <x v="3"/>
    <s v="Kolkata"/>
    <x v="4"/>
    <s v="Jacket"/>
    <n v="9"/>
    <n v="1523.81"/>
    <n v="0.17"/>
    <n v="10204.549999999999"/>
    <n v="3848.37"/>
    <n v="99.28"/>
    <s v="Net Banking"/>
    <x v="3"/>
    <b v="0"/>
    <x v="4"/>
    <n v="8"/>
  </r>
  <r>
    <s v="ORD-02235"/>
    <x v="1504"/>
    <x v="1504"/>
    <s v="CUST46304"/>
    <s v="Nisha Mehta"/>
    <n v="16"/>
    <s v="Female"/>
    <x v="4"/>
    <s v="Bangalore"/>
    <x v="3"/>
    <s v="Biography"/>
    <n v="5"/>
    <n v="950.08"/>
    <n v="0.25"/>
    <n v="768.38"/>
    <n v="264.5"/>
    <n v="51.2"/>
    <s v="EMI"/>
    <x v="1"/>
    <b v="0"/>
    <x v="4"/>
    <n v="1"/>
  </r>
  <r>
    <s v="ORD-02826"/>
    <x v="1320"/>
    <x v="1320"/>
    <s v="CUST61527"/>
    <s v="Arjun Reddy"/>
    <n v="18"/>
    <s v="Male"/>
    <x v="2"/>
    <s v="Chandigarh"/>
    <x v="5"/>
    <s v="Camera"/>
    <n v="8"/>
    <n v="72567.78"/>
    <n v="0.22"/>
    <n v="695130.09"/>
    <n v="91039.07"/>
    <n v="44.56"/>
    <s v="EMI"/>
    <x v="3"/>
    <b v="0"/>
    <x v="1"/>
    <n v="3"/>
  </r>
  <r>
    <s v="ORD-00269"/>
    <x v="384"/>
    <x v="384"/>
    <s v="CUST87129"/>
    <s v="Nikhil Reddy"/>
    <n v="3"/>
    <s v="Male"/>
    <x v="0"/>
    <s v="Raipur"/>
    <x v="4"/>
    <s v="T-Shirt"/>
    <n v="1"/>
    <n v="1990.76"/>
    <n v="0.12"/>
    <n v="2195.65"/>
    <n v="834.05"/>
    <n v="42.24"/>
    <s v="UPI"/>
    <x v="4"/>
    <b v="0"/>
    <x v="1"/>
    <n v="4"/>
  </r>
  <r>
    <s v="ORD-02648"/>
    <x v="433"/>
    <x v="433"/>
    <s v="CUST20141"/>
    <s v="Nikhil Reddy"/>
    <n v="31"/>
    <s v="Female"/>
    <x v="3"/>
    <s v="Patna"/>
    <x v="3"/>
    <s v="Self-Help Book"/>
    <n v="10"/>
    <n v="431.41"/>
    <n v="0.34"/>
    <n v="2656.58"/>
    <n v="1442.99"/>
    <n v="89.87"/>
    <s v="Credit Card"/>
    <x v="2"/>
    <b v="0"/>
    <x v="1"/>
    <n v="10"/>
  </r>
  <r>
    <s v="ORD-01034"/>
    <x v="1505"/>
    <x v="1505"/>
    <s v="CUST31839"/>
    <s v="Pooja Gupta"/>
    <n v="41"/>
    <s v="Male"/>
    <x v="1"/>
    <s v="Surat"/>
    <x v="2"/>
    <s v="Bed Frame"/>
    <n v="7"/>
    <n v="9355.68"/>
    <n v="0.1"/>
    <n v="71596.039999999994"/>
    <n v="22032.09"/>
    <n v="59.02"/>
    <s v="Debit Card"/>
    <x v="3"/>
    <b v="0"/>
    <x v="1"/>
    <n v="2"/>
  </r>
  <r>
    <s v="ORD-02059"/>
    <x v="67"/>
    <x v="67"/>
    <s v="CUST09208"/>
    <s v="Deepa Nair"/>
    <n v="48"/>
    <s v="Male"/>
    <x v="1"/>
    <s v="Pune"/>
    <x v="0"/>
    <s v="Sugar"/>
    <n v="3"/>
    <n v="357.08"/>
    <n v="0.33"/>
    <n v="1019.24"/>
    <n v="100.4"/>
    <n v="57.72"/>
    <s v="Debit Card"/>
    <x v="2"/>
    <b v="0"/>
    <x v="1"/>
    <n v="8"/>
  </r>
  <r>
    <s v="ORD-01305"/>
    <x v="323"/>
    <x v="323"/>
    <s v="CUST05596"/>
    <s v="Rohan Kumar"/>
    <n v="47"/>
    <s v="Male"/>
    <x v="4"/>
    <s v="Hyderabad"/>
    <x v="1"/>
    <s v="Sunscreen"/>
    <n v="2"/>
    <n v="1000.16"/>
    <n v="0.16"/>
    <n v="2110.52"/>
    <n v="712.46"/>
    <n v="67.430000000000007"/>
    <s v="Cash on Delivery"/>
    <x v="4"/>
    <b v="0"/>
    <x v="1"/>
    <n v="5"/>
  </r>
  <r>
    <s v="ORD-01771"/>
    <x v="1294"/>
    <x v="1294"/>
    <s v="CUST86918"/>
    <s v="Nikhil Kapoor"/>
    <n v="29"/>
    <s v="Other"/>
    <x v="4"/>
    <s v="Bangalore"/>
    <x v="3"/>
    <s v="Fiction Novel"/>
    <n v="5"/>
    <n v="911.92"/>
    <n v="0.33"/>
    <n v="503.6"/>
    <n v="215.7"/>
    <n v="83.81"/>
    <s v="Debit Card"/>
    <x v="3"/>
    <b v="0"/>
    <x v="1"/>
    <n v="6"/>
  </r>
  <r>
    <s v="ORD-01234"/>
    <x v="742"/>
    <x v="742"/>
    <s v="CUST39513"/>
    <s v="Sunita Das"/>
    <n v="26"/>
    <s v="Male"/>
    <x v="1"/>
    <s v="Surat"/>
    <x v="1"/>
    <s v="Lipstick"/>
    <n v="9"/>
    <n v="2103.23"/>
    <n v="0.21"/>
    <n v="17656.62"/>
    <n v="8778.09"/>
    <n v="74.94"/>
    <s v="EMI"/>
    <x v="4"/>
    <b v="0"/>
    <x v="1"/>
    <n v="6"/>
  </r>
  <r>
    <s v="ORD-04077"/>
    <x v="200"/>
    <x v="200"/>
    <s v="CUST21632"/>
    <s v="Aarav Sharma"/>
    <n v="31"/>
    <s v="Other"/>
    <x v="3"/>
    <s v="Guwahati"/>
    <x v="2"/>
    <s v="Desk"/>
    <n v="8"/>
    <n v="29867.23"/>
    <n v="0.2"/>
    <n v="199689.27"/>
    <n v="42863.03"/>
    <n v="81.97"/>
    <s v="Credit Card"/>
    <x v="3"/>
    <b v="1"/>
    <x v="0"/>
    <n v="6"/>
  </r>
  <r>
    <s v="ORD-02604"/>
    <x v="1506"/>
    <x v="1506"/>
    <s v="CUST18095"/>
    <s v="Arjun Bhat"/>
    <n v="41"/>
    <s v="Other"/>
    <x v="3"/>
    <s v="Bhubaneswar"/>
    <x v="6"/>
    <s v="Cycle"/>
    <n v="6"/>
    <n v="10564.85"/>
    <n v="0.34"/>
    <n v="41618.68"/>
    <n v="10694.73"/>
    <n v="90.4"/>
    <s v="Net Banking"/>
    <x v="0"/>
    <b v="1"/>
    <x v="0"/>
    <n v="4"/>
  </r>
  <r>
    <s v="ORD-02338"/>
    <x v="997"/>
    <x v="997"/>
    <s v="CUST94097"/>
    <s v="Aarav Joshi"/>
    <n v="60"/>
    <s v="Other"/>
    <x v="3"/>
    <s v="Guwahati"/>
    <x v="5"/>
    <s v="Smartphone"/>
    <n v="8"/>
    <n v="29640.05"/>
    <n v="0.34"/>
    <n v="154607.71"/>
    <n v="15304.08"/>
    <n v="53.3"/>
    <s v="EMI"/>
    <x v="1"/>
    <b v="0"/>
    <x v="4"/>
    <n v="9"/>
  </r>
  <r>
    <s v="ORD-02476"/>
    <x v="993"/>
    <x v="993"/>
    <s v="CUST15322"/>
    <s v="Rohan Mishra"/>
    <n v="42"/>
    <s v="Other"/>
    <x v="1"/>
    <s v="Mumbai"/>
    <x v="0"/>
    <s v="Cooking Oil"/>
    <n v="2"/>
    <n v="228.14"/>
    <n v="0.19"/>
    <n v="317.31"/>
    <n v="21.59"/>
    <n v="38.619999999999997"/>
    <s v="UPI"/>
    <x v="1"/>
    <b v="0"/>
    <x v="1"/>
    <n v="1"/>
  </r>
  <r>
    <s v="ORD-01586"/>
    <x v="992"/>
    <x v="992"/>
    <s v="CUST03363"/>
    <s v="Ananya Das"/>
    <n v="32"/>
    <s v="Other"/>
    <x v="2"/>
    <s v="Chandigarh"/>
    <x v="6"/>
    <s v="Tennis Racket"/>
    <n v="8"/>
    <n v="8526.34"/>
    <n v="0.2"/>
    <n v="43308.39"/>
    <n v="15373.18"/>
    <n v="43.24"/>
    <s v="UPI"/>
    <x v="4"/>
    <b v="0"/>
    <x v="3"/>
    <n v="4"/>
  </r>
  <r>
    <s v="ORD-01818"/>
    <x v="1178"/>
    <x v="1178"/>
    <s v="CUST25648"/>
    <s v="Rahul Rao"/>
    <n v="40"/>
    <s v="Other"/>
    <x v="1"/>
    <s v="Mumbai"/>
    <x v="5"/>
    <s v="Smartphone"/>
    <n v="7"/>
    <n v="62327.01"/>
    <n v="0.11"/>
    <n v="437292.1"/>
    <n v="49721.96"/>
    <n v="38.92"/>
    <s v="Credit Card"/>
    <x v="3"/>
    <b v="0"/>
    <x v="1"/>
    <n v="5"/>
  </r>
  <r>
    <s v="ORD-01947"/>
    <x v="1448"/>
    <x v="1448"/>
    <s v="CUST34455"/>
    <s v="Meera Rao"/>
    <n v="35"/>
    <s v="Male"/>
    <x v="4"/>
    <s v="Kochi"/>
    <x v="6"/>
    <s v="Tennis Racket"/>
    <n v="3"/>
    <n v="9576.43"/>
    <n v="0.23"/>
    <n v="35621.919999999998"/>
    <n v="9543.5"/>
    <n v="20.04"/>
    <s v="UPI"/>
    <x v="3"/>
    <b v="0"/>
    <x v="1"/>
    <n v="2"/>
  </r>
  <r>
    <s v="ORD-02138"/>
    <x v="1008"/>
    <x v="1008"/>
    <s v="CUST43306"/>
    <s v="Rohan Chatterjee"/>
    <n v="49"/>
    <s v="Other"/>
    <x v="1"/>
    <s v="Surat"/>
    <x v="5"/>
    <s v="Laptop"/>
    <n v="5"/>
    <n v="69337.89"/>
    <n v="0.18"/>
    <n v="362912.13"/>
    <n v="39925.800000000003"/>
    <n v="31.5"/>
    <s v="Debit Card"/>
    <x v="2"/>
    <b v="0"/>
    <x v="1"/>
    <n v="4"/>
  </r>
  <r>
    <s v="ORD-03371"/>
    <x v="421"/>
    <x v="421"/>
    <s v="CUST02058"/>
    <s v="Rohan Bose"/>
    <n v="36"/>
    <s v="Other"/>
    <x v="0"/>
    <s v="Bhopal"/>
    <x v="0"/>
    <s v="Tea"/>
    <n v="8"/>
    <n v="60.17"/>
    <n v="0.13"/>
    <n v="389.42"/>
    <n v="26.13"/>
    <n v="33.6"/>
    <s v="Debit Card"/>
    <x v="3"/>
    <b v="0"/>
    <x v="1"/>
    <n v="6"/>
  </r>
  <r>
    <s v="ORD-01592"/>
    <x v="810"/>
    <x v="810"/>
    <s v="CUST98096"/>
    <s v="Priya Mishra"/>
    <n v="25"/>
    <s v="Female"/>
    <x v="0"/>
    <s v="Raipur"/>
    <x v="4"/>
    <s v="Jeans"/>
    <n v="5"/>
    <n v="3611.23"/>
    <n v="0.37"/>
    <n v="8343.34"/>
    <n v="2810.97"/>
    <n v="31.7"/>
    <s v="Debit Card"/>
    <x v="0"/>
    <b v="1"/>
    <x v="0"/>
    <n v="5"/>
  </r>
  <r>
    <s v="ORD-00122"/>
    <x v="913"/>
    <x v="913"/>
    <s v="CUST06829"/>
    <s v="Amit Bhat"/>
    <n v="37"/>
    <s v="Male"/>
    <x v="1"/>
    <s v="Ahmedabad"/>
    <x v="3"/>
    <s v="Cook Book"/>
    <n v="7"/>
    <n v="1374.83"/>
    <n v="0.21"/>
    <n v="7510.29"/>
    <n v="3464.94"/>
    <n v="67.73"/>
    <s v="Net Banking"/>
    <x v="1"/>
    <b v="0"/>
    <x v="1"/>
    <n v="7"/>
  </r>
  <r>
    <s v="ORD-00657"/>
    <x v="406"/>
    <x v="406"/>
    <s v="CUST19779"/>
    <s v="Ananya Patel"/>
    <n v="38"/>
    <s v="Female"/>
    <x v="4"/>
    <s v="Kochi"/>
    <x v="4"/>
    <s v="Saree"/>
    <n v="5"/>
    <n v="1598.2"/>
    <n v="0.1"/>
    <n v="5437.53"/>
    <n v="588.35"/>
    <n v="57.89"/>
    <s v="Net Banking"/>
    <x v="2"/>
    <b v="0"/>
    <x v="1"/>
    <n v="3"/>
  </r>
  <r>
    <s v="ORD-03787"/>
    <x v="154"/>
    <x v="154"/>
    <s v="CUST66442"/>
    <s v="Rohan Pillai"/>
    <n v="26"/>
    <s v="Other"/>
    <x v="3"/>
    <s v="Guwahati"/>
    <x v="5"/>
    <s v="Tablet"/>
    <n v="1"/>
    <n v="47324.800000000003"/>
    <n v="0.16"/>
    <n v="68357.31"/>
    <n v="9570.1200000000008"/>
    <n v="90.13"/>
    <s v="Credit Card"/>
    <x v="1"/>
    <b v="1"/>
    <x v="0"/>
    <n v="9"/>
  </r>
  <r>
    <s v="ORD-01792"/>
    <x v="1121"/>
    <x v="1121"/>
    <s v="CUST77726"/>
    <s v="Meera Kapoor"/>
    <n v="57"/>
    <s v="Other"/>
    <x v="4"/>
    <s v="Chennai"/>
    <x v="5"/>
    <s v="Tablet"/>
    <n v="1"/>
    <n v="19912.96"/>
    <n v="0.27"/>
    <n v="19091.830000000002"/>
    <n v="2309.9"/>
    <n v="49.5"/>
    <s v="Cash on Delivery"/>
    <x v="0"/>
    <b v="0"/>
    <x v="1"/>
    <n v="5"/>
  </r>
  <r>
    <s v="ORD-02200"/>
    <x v="543"/>
    <x v="543"/>
    <s v="CUST75677"/>
    <s v="Rahul Iyer"/>
    <n v="33"/>
    <s v="Other"/>
    <x v="0"/>
    <s v="Nagpur"/>
    <x v="4"/>
    <s v="Kurta"/>
    <n v="9"/>
    <n v="3159.45"/>
    <n v="0.11"/>
    <n v="29757.86"/>
    <n v="9057.31"/>
    <n v="53.6"/>
    <s v="Cash on Delivery"/>
    <x v="0"/>
    <b v="0"/>
    <x v="1"/>
    <n v="3"/>
  </r>
  <r>
    <s v="ORD-04155"/>
    <x v="1444"/>
    <x v="1444"/>
    <s v="CUST98534"/>
    <s v="Rohan Bhat"/>
    <n v="49"/>
    <s v="Other"/>
    <x v="0"/>
    <s v="Indore"/>
    <x v="1"/>
    <s v="Lipstick"/>
    <n v="7"/>
    <n v="2138.83"/>
    <n v="0.26"/>
    <n v="10637.74"/>
    <n v="4567.68"/>
    <n v="39.39"/>
    <s v="Debit Card"/>
    <x v="3"/>
    <b v="0"/>
    <x v="3"/>
    <n v="7"/>
  </r>
  <r>
    <s v="ORD-03185"/>
    <x v="796"/>
    <x v="796"/>
    <s v="CUST29728"/>
    <s v="Shreya Das"/>
    <n v="45"/>
    <s v="Male"/>
    <x v="1"/>
    <s v="Surat"/>
    <x v="6"/>
    <s v="Football"/>
    <n v="2"/>
    <n v="14208.99"/>
    <n v="0.13"/>
    <n v="26208.02"/>
    <n v="7074.23"/>
    <n v="73.52"/>
    <s v="EMI"/>
    <x v="0"/>
    <b v="0"/>
    <x v="1"/>
    <n v="7"/>
  </r>
  <r>
    <s v="ORD-02108"/>
    <x v="1049"/>
    <x v="1049"/>
    <s v="CUST78376"/>
    <s v="Shreya Das"/>
    <n v="44"/>
    <s v="Male"/>
    <x v="1"/>
    <s v="Ahmedabad"/>
    <x v="2"/>
    <s v="Bed Frame"/>
    <n v="5"/>
    <n v="7769.34"/>
    <n v="0.25"/>
    <n v="39143.379999999997"/>
    <n v="11912.85"/>
    <n v="60.21"/>
    <s v="UPI"/>
    <x v="3"/>
    <b v="0"/>
    <x v="1"/>
    <n v="8"/>
  </r>
  <r>
    <s v="ORD-01897"/>
    <x v="585"/>
    <x v="585"/>
    <s v="CUST32469"/>
    <s v="Sanjay Nair"/>
    <n v="35"/>
    <s v="Other"/>
    <x v="1"/>
    <s v="Ahmedabad"/>
    <x v="1"/>
    <s v="Shampoo"/>
    <n v="2"/>
    <n v="1778.44"/>
    <n v="0.11"/>
    <n v="3512.3"/>
    <n v="1648.35"/>
    <n v="93.12"/>
    <s v="Debit Card"/>
    <x v="4"/>
    <b v="1"/>
    <x v="0"/>
    <n v="7"/>
  </r>
  <r>
    <s v="ORD-01939"/>
    <x v="506"/>
    <x v="506"/>
    <s v="CUST93870"/>
    <s v="Rohan Joshi"/>
    <n v="18"/>
    <s v="Female"/>
    <x v="0"/>
    <s v="Raipur"/>
    <x v="3"/>
    <s v="Cook Book"/>
    <n v="3"/>
    <n v="536.6"/>
    <n v="0.21"/>
    <n v="2368.96"/>
    <n v="1137.0999999999999"/>
    <n v="73.3"/>
    <s v="Net Banking"/>
    <x v="0"/>
    <b v="0"/>
    <x v="2"/>
    <n v="6"/>
  </r>
  <r>
    <s v="ORD-03559"/>
    <x v="1251"/>
    <x v="1251"/>
    <s v="CUST69010"/>
    <s v="Aditya Bose"/>
    <n v="42"/>
    <s v="Female"/>
    <x v="1"/>
    <s v="Surat"/>
    <x v="3"/>
    <s v="Self-Help Book"/>
    <n v="4"/>
    <n v="335.65"/>
    <n v="0.2"/>
    <n v="1393.82"/>
    <n v="425.54"/>
    <n v="35.659999999999997"/>
    <s v="Credit Card"/>
    <x v="0"/>
    <b v="0"/>
    <x v="1"/>
    <n v="6"/>
  </r>
  <r>
    <s v="ORD-00131"/>
    <x v="303"/>
    <x v="303"/>
    <s v="CUST95462"/>
    <s v="Pooja Iyer"/>
    <n v="24"/>
    <s v="Female"/>
    <x v="2"/>
    <s v="Delhi"/>
    <x v="0"/>
    <s v="Rice (5kg)"/>
    <n v="10"/>
    <n v="378.08"/>
    <n v="0.08"/>
    <n v="2872.67"/>
    <n v="204.71"/>
    <n v="40.81"/>
    <s v="Debit Card"/>
    <x v="4"/>
    <b v="0"/>
    <x v="3"/>
    <n v="2"/>
  </r>
  <r>
    <s v="ORD-01486"/>
    <x v="1507"/>
    <x v="1507"/>
    <s v="CUST45840"/>
    <s v="Aditya Patel"/>
    <n v="25"/>
    <s v="Male"/>
    <x v="4"/>
    <s v="Bangalore"/>
    <x v="5"/>
    <s v="Laptop"/>
    <n v="9"/>
    <n v="55078.73"/>
    <n v="0.36"/>
    <n v="312236"/>
    <n v="41096.21"/>
    <n v="50.4"/>
    <s v="Cash on Delivery"/>
    <x v="0"/>
    <b v="0"/>
    <x v="1"/>
    <n v="3"/>
  </r>
  <r>
    <s v="ORD-01723"/>
    <x v="390"/>
    <x v="390"/>
    <s v="CUST24447"/>
    <s v="Kavya Verma"/>
    <n v="51"/>
    <s v="Other"/>
    <x v="4"/>
    <s v="Chennai"/>
    <x v="3"/>
    <s v="Comic Book"/>
    <n v="2"/>
    <n v="429.2"/>
    <n v="0.19"/>
    <n v="650.28"/>
    <n v="159.72"/>
    <n v="70.44"/>
    <s v="UPI"/>
    <x v="4"/>
    <b v="0"/>
    <x v="1"/>
    <n v="1"/>
  </r>
  <r>
    <s v="ORD-02899"/>
    <x v="77"/>
    <x v="77"/>
    <s v="CUST41852"/>
    <s v="Priya Rao"/>
    <n v="43"/>
    <s v="Male"/>
    <x v="0"/>
    <s v="Indore"/>
    <x v="0"/>
    <s v="Sugar"/>
    <n v="8"/>
    <n v="165.82"/>
    <n v="0.26"/>
    <n v="1805.69"/>
    <n v="135.43"/>
    <n v="36.72"/>
    <s v="Debit Card"/>
    <x v="1"/>
    <b v="0"/>
    <x v="1"/>
    <n v="2"/>
  </r>
  <r>
    <s v="ORD-00134"/>
    <x v="1508"/>
    <x v="1508"/>
    <s v="CUST26802"/>
    <s v="Sunita Nair"/>
    <n v="45"/>
    <s v="Female"/>
    <x v="2"/>
    <s v="Chandigarh"/>
    <x v="4"/>
    <s v="Jacket"/>
    <n v="5"/>
    <n v="1949.23"/>
    <n v="0.3"/>
    <n v="6061.73"/>
    <n v="1667.61"/>
    <n v="64.709999999999994"/>
    <s v="Debit Card"/>
    <x v="1"/>
    <b v="0"/>
    <x v="1"/>
    <n v="9"/>
  </r>
  <r>
    <s v="ORD-00001"/>
    <x v="597"/>
    <x v="597"/>
    <s v="CUST20767"/>
    <s v="Amit Mishra"/>
    <n v="67"/>
    <s v="Female"/>
    <x v="0"/>
    <s v="Indore"/>
    <x v="6"/>
    <s v="Cricket Bat"/>
    <n v="4"/>
    <n v="2355.25"/>
    <n v="0.33"/>
    <n v="5079.04"/>
    <n v="1080.08"/>
    <n v="44.79"/>
    <s v="Credit Card"/>
    <x v="0"/>
    <b v="0"/>
    <x v="1"/>
    <n v="8"/>
  </r>
  <r>
    <s v="ORD-02520"/>
    <x v="1194"/>
    <x v="1194"/>
    <s v="CUST01597"/>
    <s v="Sanjay Patel"/>
    <n v="30"/>
    <s v="Male"/>
    <x v="3"/>
    <s v="Bhubaneswar"/>
    <x v="6"/>
    <s v="Cricket Bat"/>
    <n v="2"/>
    <n v="11228.63"/>
    <n v="0.34"/>
    <n v="11870.38"/>
    <n v="2694.57"/>
    <n v="54.4"/>
    <s v="Credit Card"/>
    <x v="1"/>
    <b v="0"/>
    <x v="1"/>
    <n v="2"/>
  </r>
  <r>
    <s v="ORD-00252"/>
    <x v="1509"/>
    <x v="1509"/>
    <s v="CUST23212"/>
    <s v="Rahul Pillai"/>
    <n v="29"/>
    <s v="Other"/>
    <x v="2"/>
    <s v="Delhi"/>
    <x v="1"/>
    <s v="Shampoo"/>
    <n v="6"/>
    <n v="802.39"/>
    <n v="0.36"/>
    <n v="3040.88"/>
    <n v="993.67"/>
    <n v="47.04"/>
    <s v="Debit Card"/>
    <x v="0"/>
    <b v="0"/>
    <x v="1"/>
    <n v="6"/>
  </r>
  <r>
    <s v="ORD-01070"/>
    <x v="664"/>
    <x v="664"/>
    <s v="CUST11655"/>
    <s v="Pooja Sharma"/>
    <n v="16"/>
    <s v="Other"/>
    <x v="2"/>
    <s v="Chandigarh"/>
    <x v="1"/>
    <s v="Shampoo"/>
    <n v="1"/>
    <n v="1408.28"/>
    <n v="0.13"/>
    <n v="1449.46"/>
    <n v="752.5"/>
    <n v="53.14"/>
    <s v="Net Banking"/>
    <x v="3"/>
    <b v="1"/>
    <x v="0"/>
    <n v="6"/>
  </r>
  <r>
    <s v="ORD-01888"/>
    <x v="1510"/>
    <x v="1510"/>
    <s v="CUST48280"/>
    <s v="Aarav Pillai"/>
    <n v="38"/>
    <s v="Female"/>
    <x v="1"/>
    <s v="Ahmedabad"/>
    <x v="0"/>
    <s v="Sugar"/>
    <n v="7"/>
    <n v="366.53"/>
    <n v="0.01"/>
    <n v="3649.29"/>
    <n v="335.94"/>
    <n v="46.6"/>
    <s v="Cash on Delivery"/>
    <x v="3"/>
    <b v="0"/>
    <x v="1"/>
    <n v="2"/>
  </r>
  <r>
    <s v="ORD-00700"/>
    <x v="314"/>
    <x v="314"/>
    <s v="CUST93667"/>
    <s v="Meera Shah"/>
    <n v="17"/>
    <s v="Male"/>
    <x v="2"/>
    <s v="Chandigarh"/>
    <x v="0"/>
    <s v="Cooking Oil"/>
    <n v="10"/>
    <n v="434.1"/>
    <n v="0.35"/>
    <n v="2188.9699999999998"/>
    <n v="191.3"/>
    <n v="61.51"/>
    <s v="UPI"/>
    <x v="4"/>
    <b v="1"/>
    <x v="0"/>
    <n v="6"/>
  </r>
  <r>
    <s v="ORD-03792"/>
    <x v="1332"/>
    <x v="1332"/>
    <s v="CUST55522"/>
    <s v="Rohan Mehta"/>
    <n v="25"/>
    <s v="Male"/>
    <x v="4"/>
    <s v="Bangalore"/>
    <x v="5"/>
    <s v="Headphones"/>
    <n v="10"/>
    <n v="63505.68"/>
    <n v="0.16"/>
    <n v="1033433.55"/>
    <n v="141319.32"/>
    <n v="64.819999999999993"/>
    <s v="Debit Card"/>
    <x v="0"/>
    <b v="0"/>
    <x v="1"/>
    <n v="5"/>
  </r>
  <r>
    <s v="ORD-03711"/>
    <x v="1491"/>
    <x v="1491"/>
    <s v="CUST44263"/>
    <s v="Meera Sharma"/>
    <n v="3"/>
    <s v="Male"/>
    <x v="1"/>
    <s v="Mumbai"/>
    <x v="3"/>
    <s v="Comic Book"/>
    <n v="7"/>
    <n v="753.13"/>
    <n v="0.03"/>
    <n v="8678.5"/>
    <n v="4965.83"/>
    <n v="51.61"/>
    <s v="EMI"/>
    <x v="4"/>
    <b v="0"/>
    <x v="1"/>
    <n v="4"/>
  </r>
  <r>
    <s v="ORD-03144"/>
    <x v="1511"/>
    <x v="1511"/>
    <s v="CUST69784"/>
    <s v="Amit Bhat"/>
    <n v="23"/>
    <s v="Male"/>
    <x v="1"/>
    <s v="Pune"/>
    <x v="4"/>
    <s v="Kurta"/>
    <n v="2"/>
    <n v="2227.31"/>
    <n v="0.04"/>
    <n v="5919.86"/>
    <n v="2748"/>
    <n v="71.3"/>
    <s v="UPI"/>
    <x v="4"/>
    <b v="0"/>
    <x v="1"/>
    <n v="10"/>
  </r>
  <r>
    <s v="ORD-00239"/>
    <x v="725"/>
    <x v="725"/>
    <s v="CUST33340"/>
    <s v="Ananya Chatterjee"/>
    <n v="18"/>
    <s v="Male"/>
    <x v="1"/>
    <s v="Ahmedabad"/>
    <x v="2"/>
    <s v="Bookshelf"/>
    <n v="9"/>
    <n v="32644.01"/>
    <n v="0.28000000000000003"/>
    <n v="229301.96"/>
    <n v="68294.460000000006"/>
    <n v="41.37"/>
    <s v="UPI"/>
    <x v="2"/>
    <b v="0"/>
    <x v="4"/>
    <n v="7"/>
  </r>
  <r>
    <s v="ORD-01436"/>
    <x v="1286"/>
    <x v="1286"/>
    <s v="CUST45016"/>
    <s v="Pooja Rao"/>
    <n v="47"/>
    <s v="Male"/>
    <x v="2"/>
    <s v="Chandigarh"/>
    <x v="4"/>
    <s v="Dress"/>
    <n v="2"/>
    <n v="3097.01"/>
    <n v="0.13"/>
    <n v="5016.33"/>
    <n v="2443.96"/>
    <n v="50.68"/>
    <s v="Net Banking"/>
    <x v="0"/>
    <b v="0"/>
    <x v="1"/>
    <n v="6"/>
  </r>
  <r>
    <s v="ORD-02371"/>
    <x v="1056"/>
    <x v="1056"/>
    <s v="CUST84615"/>
    <s v="Pooja Rao"/>
    <n v="25"/>
    <s v="Female"/>
    <x v="4"/>
    <s v="Hyderabad"/>
    <x v="1"/>
    <s v="Lipstick"/>
    <n v="6"/>
    <n v="253.65"/>
    <n v="0.18"/>
    <n v="1411.81"/>
    <n v="436.8"/>
    <n v="47.29"/>
    <s v="Cash on Delivery"/>
    <x v="1"/>
    <b v="0"/>
    <x v="1"/>
    <n v="3"/>
  </r>
  <r>
    <s v="ORD-02050"/>
    <x v="989"/>
    <x v="989"/>
    <s v="CUST02327"/>
    <s v="Sunita Mehta"/>
    <n v="23"/>
    <s v="Male"/>
    <x v="1"/>
    <s v="Mumbai"/>
    <x v="4"/>
    <s v="Dress"/>
    <n v="3"/>
    <n v="1462.24"/>
    <n v="0.05"/>
    <n v="6441.47"/>
    <n v="2494.41"/>
    <n v="69.709999999999994"/>
    <s v="Credit Card"/>
    <x v="0"/>
    <b v="0"/>
    <x v="4"/>
    <n v="7"/>
  </r>
  <r>
    <s v="ORD-03748"/>
    <x v="451"/>
    <x v="451"/>
    <s v="CUST36188"/>
    <s v="Amit Joshi"/>
    <n v="9"/>
    <s v="Other"/>
    <x v="1"/>
    <s v="Pune"/>
    <x v="5"/>
    <s v="Headphones"/>
    <n v="5"/>
    <n v="21665.65"/>
    <n v="0.39"/>
    <n v="111295.67999999999"/>
    <n v="16051.87"/>
    <n v="62.8"/>
    <s v="Net Banking"/>
    <x v="3"/>
    <b v="0"/>
    <x v="2"/>
    <n v="9"/>
  </r>
  <r>
    <s v="ORD-03508"/>
    <x v="771"/>
    <x v="771"/>
    <s v="CUST35702"/>
    <s v="Shreya Mehta"/>
    <n v="31"/>
    <s v="Female"/>
    <x v="1"/>
    <s v="Surat"/>
    <x v="4"/>
    <s v="Dress"/>
    <n v="4"/>
    <n v="1975.33"/>
    <n v="0.05"/>
    <n v="9791.75"/>
    <n v="3033.4"/>
    <n v="27.67"/>
    <s v="Net Banking"/>
    <x v="4"/>
    <b v="0"/>
    <x v="1"/>
    <n v="6"/>
  </r>
  <r>
    <s v="ORD-00957"/>
    <x v="1133"/>
    <x v="1133"/>
    <s v="CUST38291"/>
    <s v="Priya Sharma"/>
    <n v="45"/>
    <s v="Male"/>
    <x v="1"/>
    <s v="Ahmedabad"/>
    <x v="5"/>
    <s v="Headphones"/>
    <n v="8"/>
    <n v="35444.35"/>
    <n v="0.36"/>
    <n v="184024.19"/>
    <n v="25280.12"/>
    <n v="40.75"/>
    <s v="Cash on Delivery"/>
    <x v="2"/>
    <b v="0"/>
    <x v="1"/>
    <n v="8"/>
  </r>
  <r>
    <s v="ORD-01477"/>
    <x v="26"/>
    <x v="26"/>
    <s v="CUST96715"/>
    <s v="Meera Kapoor"/>
    <n v="47"/>
    <s v="Other"/>
    <x v="1"/>
    <s v="Pune"/>
    <x v="1"/>
    <s v="Shampoo"/>
    <n v="4"/>
    <n v="2037.17"/>
    <n v="0.05"/>
    <n v="6659.78"/>
    <n v="3811.89"/>
    <n v="53.93"/>
    <s v="UPI"/>
    <x v="0"/>
    <b v="0"/>
    <x v="4"/>
    <n v="4"/>
  </r>
  <r>
    <s v="ORD-01063"/>
    <x v="1021"/>
    <x v="1021"/>
    <s v="CUST94026"/>
    <s v="Shreya Mehta"/>
    <n v="45"/>
    <s v="Other"/>
    <x v="3"/>
    <s v="Bhubaneswar"/>
    <x v="5"/>
    <s v="Smartphone"/>
    <n v="4"/>
    <n v="9948.67"/>
    <n v="0.03"/>
    <n v="50592.2"/>
    <n v="5774.74"/>
    <n v="85.65"/>
    <s v="UPI"/>
    <x v="4"/>
    <b v="1"/>
    <x v="0"/>
    <n v="10"/>
  </r>
  <r>
    <s v="ORD-02232"/>
    <x v="540"/>
    <x v="540"/>
    <s v="CUST33157"/>
    <s v="Shreya Rao"/>
    <n v="49"/>
    <s v="Female"/>
    <x v="4"/>
    <s v="Bangalore"/>
    <x v="4"/>
    <s v="T-Shirt"/>
    <n v="10"/>
    <n v="3789.09"/>
    <n v="0.2"/>
    <n v="42644.14"/>
    <n v="11567.08"/>
    <n v="53.05"/>
    <s v="UPI"/>
    <x v="1"/>
    <b v="0"/>
    <x v="2"/>
    <n v="1"/>
  </r>
  <r>
    <s v="ORD-01954"/>
    <x v="1380"/>
    <x v="1380"/>
    <s v="CUST34853"/>
    <s v="Sanjay Das"/>
    <n v="29"/>
    <s v="Other"/>
    <x v="1"/>
    <s v="Surat"/>
    <x v="0"/>
    <s v="Tea"/>
    <n v="5"/>
    <n v="218.21"/>
    <n v="0.33"/>
    <n v="1300.18"/>
    <n v="113.46"/>
    <n v="55.11"/>
    <s v="Credit Card"/>
    <x v="1"/>
    <b v="0"/>
    <x v="4"/>
    <n v="9"/>
  </r>
  <r>
    <s v="ORD-01904"/>
    <x v="134"/>
    <x v="134"/>
    <s v="CUST84621"/>
    <s v="Pooja Kumar"/>
    <n v="31"/>
    <s v="Other"/>
    <x v="3"/>
    <s v="Guwahati"/>
    <x v="5"/>
    <s v="Tablet"/>
    <n v="5"/>
    <n v="7801.31"/>
    <n v="0.4"/>
    <n v="32476.66"/>
    <n v="4169.84"/>
    <n v="72.94"/>
    <s v="Credit Card"/>
    <x v="1"/>
    <b v="0"/>
    <x v="1"/>
    <n v="7"/>
  </r>
  <r>
    <s v="ORD-03290"/>
    <x v="1512"/>
    <x v="1512"/>
    <s v="CUST79601"/>
    <s v="Aarav Mishra"/>
    <n v="47"/>
    <s v="Other"/>
    <x v="1"/>
    <s v="Mumbai"/>
    <x v="0"/>
    <s v="Tea"/>
    <n v="6"/>
    <n v="481.93"/>
    <n v="0.39"/>
    <n v="1558.52"/>
    <n v="135.01"/>
    <n v="54.04"/>
    <s v="EMI"/>
    <x v="3"/>
    <b v="0"/>
    <x v="1"/>
    <n v="2"/>
  </r>
  <r>
    <s v="ORD-03722"/>
    <x v="1400"/>
    <x v="1400"/>
    <s v="CUST72927"/>
    <s v="Amit Bhat"/>
    <n v="48"/>
    <s v="Female"/>
    <x v="1"/>
    <s v="Ahmedabad"/>
    <x v="6"/>
    <s v="Tennis Racket"/>
    <n v="6"/>
    <n v="701.76"/>
    <n v="0.12"/>
    <n v="6443.54"/>
    <n v="1409.13"/>
    <n v="70.25"/>
    <s v="Net Banking"/>
    <x v="2"/>
    <b v="0"/>
    <x v="1"/>
    <n v="7"/>
  </r>
  <r>
    <s v="ORD-03949"/>
    <x v="973"/>
    <x v="973"/>
    <s v="CUST95140"/>
    <s v="Pooja Verma"/>
    <n v="49"/>
    <s v="Female"/>
    <x v="1"/>
    <s v="Mumbai"/>
    <x v="1"/>
    <s v="Face Cream"/>
    <n v="7"/>
    <n v="981.95"/>
    <n v="0.06"/>
    <n v="9774.56"/>
    <n v="4480.42"/>
    <n v="63.36"/>
    <s v="UPI"/>
    <x v="1"/>
    <b v="0"/>
    <x v="1"/>
    <n v="9"/>
  </r>
  <r>
    <s v="ORD-01879"/>
    <x v="1513"/>
    <x v="1513"/>
    <s v="CUST41248"/>
    <s v="Shreya Bose"/>
    <n v="18"/>
    <s v="Female"/>
    <x v="2"/>
    <s v="Amritsar"/>
    <x v="0"/>
    <s v="Rice (5kg)"/>
    <n v="6"/>
    <n v="160.93"/>
    <n v="0.38"/>
    <n v="746"/>
    <n v="49.52"/>
    <n v="43.23"/>
    <s v="UPI"/>
    <x v="2"/>
    <b v="0"/>
    <x v="1"/>
    <n v="5"/>
  </r>
  <r>
    <s v="ORD-02355"/>
    <x v="145"/>
    <x v="145"/>
    <s v="CUST25582"/>
    <s v="Rahul Rao"/>
    <n v="31"/>
    <s v="Other"/>
    <x v="0"/>
    <s v="Indore"/>
    <x v="6"/>
    <s v="Yoga Mat"/>
    <n v="2"/>
    <n v="963.86"/>
    <n v="0.4"/>
    <n v="1234.93"/>
    <n v="250.23"/>
    <n v="44.87"/>
    <s v="Credit Card"/>
    <x v="2"/>
    <b v="0"/>
    <x v="4"/>
    <n v="7"/>
  </r>
  <r>
    <s v="ORD-00730"/>
    <x v="88"/>
    <x v="88"/>
    <s v="CUST84330"/>
    <s v="Meera Iyer"/>
    <n v="37"/>
    <s v="Female"/>
    <x v="1"/>
    <s v="Mumbai"/>
    <x v="2"/>
    <s v="Chair"/>
    <n v="8"/>
    <n v="18836.47"/>
    <n v="0.39"/>
    <n v="61854.03"/>
    <n v="18480.41"/>
    <n v="25.75"/>
    <s v="Net Banking"/>
    <x v="2"/>
    <b v="0"/>
    <x v="1"/>
    <n v="7"/>
  </r>
  <r>
    <s v="ORD-01465"/>
    <x v="324"/>
    <x v="324"/>
    <s v="CUST31162"/>
    <s v="Vikram Reddy"/>
    <n v="42"/>
    <s v="Other"/>
    <x v="2"/>
    <s v="Chandigarh"/>
    <x v="2"/>
    <s v="Chair"/>
    <n v="2"/>
    <n v="31609.279999999999"/>
    <n v="0.3"/>
    <n v="37776.019999999997"/>
    <n v="8697.26"/>
    <n v="37.83"/>
    <s v="Cash on Delivery"/>
    <x v="0"/>
    <b v="0"/>
    <x v="1"/>
    <n v="5"/>
  </r>
  <r>
    <s v="ORD-01010"/>
    <x v="437"/>
    <x v="437"/>
    <s v="CUST49434"/>
    <s v="Deepa Mishra"/>
    <n v="39"/>
    <s v="Other"/>
    <x v="0"/>
    <s v="Bhopal"/>
    <x v="3"/>
    <s v="Cook Book"/>
    <n v="3"/>
    <n v="748.48"/>
    <n v="0.39"/>
    <n v="1567.84"/>
    <n v="545.32000000000005"/>
    <n v="53.58"/>
    <s v="Cash on Delivery"/>
    <x v="2"/>
    <b v="0"/>
    <x v="1"/>
    <n v="4"/>
  </r>
  <r>
    <s v="ORD-00550"/>
    <x v="728"/>
    <x v="728"/>
    <s v="CUST21538"/>
    <s v="Rahul Rao"/>
    <n v="55"/>
    <s v="Male"/>
    <x v="4"/>
    <s v="Hyderabad"/>
    <x v="6"/>
    <s v="Dumbbells"/>
    <n v="4"/>
    <n v="9806.3700000000008"/>
    <n v="7.0000000000000007E-2"/>
    <n v="42952.69"/>
    <n v="11804.27"/>
    <n v="84.11"/>
    <s v="Credit Card"/>
    <x v="3"/>
    <b v="0"/>
    <x v="1"/>
    <n v="3"/>
  </r>
  <r>
    <s v="ORD-01338"/>
    <x v="61"/>
    <x v="61"/>
    <s v="CUST96831"/>
    <s v="Priya Das"/>
    <n v="43"/>
    <s v="Male"/>
    <x v="4"/>
    <s v="Kochi"/>
    <x v="2"/>
    <s v="Sofa"/>
    <n v="10"/>
    <n v="19934.48"/>
    <n v="0.04"/>
    <n v="222948.05"/>
    <n v="85875.92"/>
    <n v="55.37"/>
    <s v="Debit Card"/>
    <x v="3"/>
    <b v="0"/>
    <x v="1"/>
    <n v="3"/>
  </r>
  <r>
    <s v="ORD-00970"/>
    <x v="1514"/>
    <x v="1514"/>
    <s v="CUST04940"/>
    <s v="Aditya Bhat"/>
    <n v="44"/>
    <s v="Other"/>
    <x v="3"/>
    <s v="Kolkata"/>
    <x v="5"/>
    <s v="Laptop"/>
    <n v="6"/>
    <n v="40340.61"/>
    <n v="0.36"/>
    <n v="166691.57999999999"/>
    <n v="15451.73"/>
    <n v="92.09"/>
    <s v="Debit Card"/>
    <x v="3"/>
    <b v="0"/>
    <x v="1"/>
    <n v="10"/>
  </r>
  <r>
    <s v="ORD-01360"/>
    <x v="1145"/>
    <x v="1145"/>
    <s v="CUST90904"/>
    <s v="Ananya Gupta"/>
    <n v="46"/>
    <s v="Male"/>
    <x v="2"/>
    <s v="Amritsar"/>
    <x v="0"/>
    <s v="Tea"/>
    <n v="9"/>
    <n v="259.89999999999998"/>
    <n v="0.13"/>
    <n v="2235.73"/>
    <n v="151.85"/>
    <n v="60.98"/>
    <s v="Cash on Delivery"/>
    <x v="4"/>
    <b v="0"/>
    <x v="1"/>
    <n v="7"/>
  </r>
  <r>
    <s v="ORD-01725"/>
    <x v="1289"/>
    <x v="1289"/>
    <s v="CUST13925"/>
    <s v="Sanjay Nair"/>
    <n v="3"/>
    <s v="Female"/>
    <x v="0"/>
    <s v="Raipur"/>
    <x v="2"/>
    <s v="Sofa"/>
    <n v="5"/>
    <n v="26645.279999999999"/>
    <n v="0.03"/>
    <n v="122381.62"/>
    <n v="47367.72"/>
    <n v="56.14"/>
    <s v="Debit Card"/>
    <x v="2"/>
    <b v="0"/>
    <x v="1"/>
    <n v="2"/>
  </r>
  <r>
    <s v="ORD-03404"/>
    <x v="247"/>
    <x v="247"/>
    <s v="CUST89207"/>
    <s v="Pooja Nair"/>
    <n v="30"/>
    <s v="Other"/>
    <x v="2"/>
    <s v="Chandigarh"/>
    <x v="0"/>
    <s v="Cooking Oil"/>
    <n v="4"/>
    <n v="252.07"/>
    <n v="0.15"/>
    <n v="798.95"/>
    <n v="72.2"/>
    <n v="40.96"/>
    <s v="Debit Card"/>
    <x v="3"/>
    <b v="0"/>
    <x v="1"/>
    <n v="1"/>
  </r>
  <r>
    <s v="ORD-03109"/>
    <x v="837"/>
    <x v="837"/>
    <s v="CUST93512"/>
    <s v="Priya Sharma"/>
    <n v="35"/>
    <s v="Other"/>
    <x v="1"/>
    <s v="Mumbai"/>
    <x v="3"/>
    <s v="Textbook"/>
    <n v="3"/>
    <n v="482.83"/>
    <n v="0.14000000000000001"/>
    <n v="1565.69"/>
    <n v="752.92"/>
    <n v="50.18"/>
    <s v="Cash on Delivery"/>
    <x v="2"/>
    <b v="0"/>
    <x v="2"/>
    <n v="4"/>
  </r>
  <r>
    <s v="ORD-00111"/>
    <x v="740"/>
    <x v="740"/>
    <s v="CUST10397"/>
    <s v="Pooja Chatterjee"/>
    <n v="67"/>
    <s v="Female"/>
    <x v="3"/>
    <s v="Guwahati"/>
    <x v="2"/>
    <s v="Chair"/>
    <n v="7"/>
    <n v="2426.56"/>
    <n v="0.27"/>
    <n v="10073.57"/>
    <n v="2367.69"/>
    <n v="93.56"/>
    <s v="Credit Card"/>
    <x v="0"/>
    <b v="0"/>
    <x v="1"/>
    <n v="8"/>
  </r>
  <r>
    <s v="ORD-00160"/>
    <x v="1515"/>
    <x v="1515"/>
    <s v="CUST53976"/>
    <s v="Sanjay Kapoor"/>
    <n v="35"/>
    <s v="Female"/>
    <x v="4"/>
    <s v="Kochi"/>
    <x v="0"/>
    <s v="Rice (5kg)"/>
    <n v="1"/>
    <n v="430.25"/>
    <n v="0.17"/>
    <n v="361.14"/>
    <n v="25.31"/>
    <n v="56.91"/>
    <s v="Credit Card"/>
    <x v="3"/>
    <b v="1"/>
    <x v="0"/>
    <n v="5"/>
  </r>
  <r>
    <s v="ORD-02937"/>
    <x v="1270"/>
    <x v="1270"/>
    <s v="CUST46894"/>
    <s v="Nisha Iyer"/>
    <n v="49"/>
    <s v="Female"/>
    <x v="3"/>
    <s v="Guwahati"/>
    <x v="5"/>
    <s v="Smartwatch"/>
    <n v="10"/>
    <n v="13230.15"/>
    <n v="0.38"/>
    <n v="122855.89"/>
    <n v="16653.59"/>
    <n v="74.38"/>
    <s v="EMI"/>
    <x v="1"/>
    <b v="0"/>
    <x v="1"/>
    <n v="10"/>
  </r>
  <r>
    <s v="ORD-00610"/>
    <x v="1389"/>
    <x v="1389"/>
    <s v="CUST16419"/>
    <s v="Nisha Mehta"/>
    <n v="31"/>
    <s v="Male"/>
    <x v="4"/>
    <s v="Chennai"/>
    <x v="1"/>
    <s v="Sunscreen"/>
    <n v="6"/>
    <n v="1767.5"/>
    <n v="0.05"/>
    <n v="10129.66"/>
    <n v="6354.06"/>
    <n v="91.71"/>
    <s v="Cash on Delivery"/>
    <x v="0"/>
    <b v="0"/>
    <x v="1"/>
    <n v="10"/>
  </r>
  <r>
    <s v="ORD-00916"/>
    <x v="109"/>
    <x v="109"/>
    <s v="CUST66419"/>
    <s v="Sanjay Singh"/>
    <n v="44"/>
    <s v="Male"/>
    <x v="4"/>
    <s v="Chennai"/>
    <x v="0"/>
    <s v="Sugar"/>
    <n v="7"/>
    <n v="245.03"/>
    <n v="0.09"/>
    <n v="1547.66"/>
    <n v="97.99"/>
    <n v="69.709999999999994"/>
    <s v="UPI"/>
    <x v="0"/>
    <b v="0"/>
    <x v="1"/>
    <n v="7"/>
  </r>
  <r>
    <s v="ORD-00292"/>
    <x v="188"/>
    <x v="188"/>
    <s v="CUST37047"/>
    <s v="Nikhil Mishra"/>
    <n v="43"/>
    <s v="Male"/>
    <x v="2"/>
    <s v="Chandigarh"/>
    <x v="1"/>
    <s v="Perfume"/>
    <n v="1"/>
    <n v="258.67"/>
    <n v="0.13"/>
    <n v="241.29"/>
    <n v="82.38"/>
    <n v="62.33"/>
    <s v="Net Banking"/>
    <x v="1"/>
    <b v="0"/>
    <x v="1"/>
    <n v="5"/>
  </r>
  <r>
    <s v="ORD-02975"/>
    <x v="365"/>
    <x v="365"/>
    <s v="CUST47576"/>
    <s v="Sunita Rao"/>
    <n v="27"/>
    <s v="Male"/>
    <x v="1"/>
    <s v="Pune"/>
    <x v="6"/>
    <s v="Football"/>
    <n v="1"/>
    <n v="8472.58"/>
    <n v="0.37"/>
    <n v="7626.2"/>
    <n v="1056.58"/>
    <n v="42.85"/>
    <s v="UPI"/>
    <x v="1"/>
    <b v="0"/>
    <x v="1"/>
    <n v="10"/>
  </r>
  <r>
    <s v="ORD-00746"/>
    <x v="1516"/>
    <x v="1516"/>
    <s v="CUST77230"/>
    <s v="Aarav Sharma"/>
    <n v="52"/>
    <s v="Other"/>
    <x v="1"/>
    <s v="Pune"/>
    <x v="5"/>
    <s v="Smartphone"/>
    <n v="1"/>
    <n v="55374.2"/>
    <n v="0.03"/>
    <n v="37343.19"/>
    <n v="4332.6899999999996"/>
    <n v="42.92"/>
    <s v="Net Banking"/>
    <x v="2"/>
    <b v="1"/>
    <x v="0"/>
    <n v="9"/>
  </r>
  <r>
    <s v="ORD-03832"/>
    <x v="1159"/>
    <x v="1159"/>
    <s v="CUST67339"/>
    <s v="Vikram Bhat"/>
    <n v="31"/>
    <s v="Other"/>
    <x v="2"/>
    <s v="Delhi"/>
    <x v="3"/>
    <s v="Fiction Novel"/>
    <n v="9"/>
    <n v="592.57000000000005"/>
    <n v="0.31"/>
    <n v="5565.17"/>
    <n v="2593.15"/>
    <n v="60.15"/>
    <s v="Net Banking"/>
    <x v="2"/>
    <b v="1"/>
    <x v="0"/>
    <n v="10"/>
  </r>
  <r>
    <s v="ORD-00776"/>
    <x v="613"/>
    <x v="613"/>
    <s v="CUST87733"/>
    <s v="Rahul Chatterjee"/>
    <n v="60"/>
    <s v="Other"/>
    <x v="3"/>
    <s v="Bhubaneswar"/>
    <x v="3"/>
    <s v="Textbook"/>
    <n v="4"/>
    <n v="1126.1199999999999"/>
    <n v="0.11"/>
    <n v="2407.39"/>
    <n v="1167.52"/>
    <n v="87.28"/>
    <s v="Cash on Delivery"/>
    <x v="0"/>
    <b v="0"/>
    <x v="4"/>
    <n v="5"/>
  </r>
  <r>
    <s v="ORD-03789"/>
    <x v="154"/>
    <x v="154"/>
    <s v="CUST30468"/>
    <s v="Shreya Patel"/>
    <n v="42"/>
    <s v="Other"/>
    <x v="0"/>
    <s v="Bhopal"/>
    <x v="4"/>
    <s v="T-Shirt"/>
    <n v="4"/>
    <n v="766.4"/>
    <n v="0.12"/>
    <n v="4071.69"/>
    <n v="1156.28"/>
    <n v="41.96"/>
    <s v="Net Banking"/>
    <x v="0"/>
    <b v="0"/>
    <x v="1"/>
    <n v="10"/>
  </r>
  <r>
    <s v="ORD-03071"/>
    <x v="759"/>
    <x v="759"/>
    <s v="CUST66429"/>
    <s v="Arjun Bose"/>
    <n v="52"/>
    <s v="Other"/>
    <x v="1"/>
    <s v="Mumbai"/>
    <x v="3"/>
    <s v="Textbook"/>
    <n v="8"/>
    <n v="1135.99"/>
    <n v="0.33"/>
    <n v="8820.52"/>
    <n v="3707.82"/>
    <n v="66.97"/>
    <s v="Cash on Delivery"/>
    <x v="2"/>
    <b v="1"/>
    <x v="0"/>
    <n v="6"/>
  </r>
  <r>
    <s v="ORD-00578"/>
    <x v="1048"/>
    <x v="1048"/>
    <s v="CUST42662"/>
    <s v="Kavya Bhat"/>
    <n v="43"/>
    <s v="Female"/>
    <x v="3"/>
    <s v="Guwahati"/>
    <x v="1"/>
    <s v="Perfume"/>
    <n v="8"/>
    <n v="590.22"/>
    <n v="0.03"/>
    <n v="4644.4399999999996"/>
    <n v="1500.51"/>
    <n v="63.44"/>
    <s v="EMI"/>
    <x v="0"/>
    <b v="0"/>
    <x v="1"/>
    <n v="9"/>
  </r>
  <r>
    <s v="ORD-01458"/>
    <x v="160"/>
    <x v="160"/>
    <s v="CUST39952"/>
    <s v="Sanjay Iyer"/>
    <n v="27"/>
    <s v="Other"/>
    <x v="0"/>
    <s v="Bhopal"/>
    <x v="5"/>
    <s v="Camera"/>
    <n v="7"/>
    <n v="38149.199999999997"/>
    <n v="0.2"/>
    <n v="183278.19"/>
    <n v="21290.22"/>
    <n v="53.93"/>
    <s v="Cash on Delivery"/>
    <x v="2"/>
    <b v="1"/>
    <x v="0"/>
    <n v="8"/>
  </r>
  <r>
    <s v="ORD-03236"/>
    <x v="1458"/>
    <x v="1458"/>
    <s v="CUST98300"/>
    <s v="Arjun Das"/>
    <n v="28"/>
    <s v="Male"/>
    <x v="0"/>
    <s v="Bhopal"/>
    <x v="6"/>
    <s v="Dumbbells"/>
    <n v="3"/>
    <n v="3481.8"/>
    <n v="0.38"/>
    <n v="7463.99"/>
    <n v="1681.91"/>
    <n v="55.2"/>
    <s v="UPI"/>
    <x v="1"/>
    <b v="0"/>
    <x v="1"/>
    <n v="8"/>
  </r>
  <r>
    <s v="ORD-00264"/>
    <x v="689"/>
    <x v="689"/>
    <s v="CUST64327"/>
    <s v="Nikhil Joshi"/>
    <n v="14"/>
    <s v="Other"/>
    <x v="4"/>
    <s v="Kochi"/>
    <x v="0"/>
    <s v="Dal (1kg)"/>
    <n v="2"/>
    <n v="208.29"/>
    <n v="0.04"/>
    <n v="498.65"/>
    <n v="50.37"/>
    <n v="77.650000000000006"/>
    <s v="Cash on Delivery"/>
    <x v="0"/>
    <b v="1"/>
    <x v="0"/>
    <n v="6"/>
  </r>
  <r>
    <s v="ORD-01256"/>
    <x v="1483"/>
    <x v="1483"/>
    <s v="CUST36428"/>
    <s v="Ritu Singh"/>
    <n v="50"/>
    <s v="Female"/>
    <x v="2"/>
    <s v="Ludhiana"/>
    <x v="6"/>
    <s v="Cricket Bat"/>
    <n v="10"/>
    <n v="8620.94"/>
    <n v="0.04"/>
    <n v="126401.53"/>
    <n v="29243.759999999998"/>
    <n v="63.69"/>
    <s v="EMI"/>
    <x v="4"/>
    <b v="0"/>
    <x v="3"/>
    <n v="3"/>
  </r>
  <r>
    <s v="ORD-00303"/>
    <x v="1241"/>
    <x v="1241"/>
    <s v="CUST62197"/>
    <s v="Amit Mehta"/>
    <n v="34"/>
    <s v="Male"/>
    <x v="2"/>
    <s v="Ludhiana"/>
    <x v="0"/>
    <s v="Dal (1kg)"/>
    <n v="4"/>
    <n v="87.62"/>
    <n v="0.26"/>
    <n v="338.94"/>
    <n v="30.3"/>
    <n v="56.98"/>
    <s v="Net Banking"/>
    <x v="0"/>
    <b v="1"/>
    <x v="0"/>
    <n v="4"/>
  </r>
  <r>
    <s v="ORD-01772"/>
    <x v="1294"/>
    <x v="1294"/>
    <s v="CUST66243"/>
    <s v="Sanjay Mehta"/>
    <n v="36"/>
    <s v="Other"/>
    <x v="4"/>
    <s v="Chennai"/>
    <x v="4"/>
    <s v="T-Shirt"/>
    <n v="4"/>
    <n v="3567.47"/>
    <n v="0.14000000000000001"/>
    <n v="11439.79"/>
    <n v="2952.33"/>
    <n v="90.15"/>
    <s v="Cash on Delivery"/>
    <x v="2"/>
    <b v="0"/>
    <x v="3"/>
    <n v="4"/>
  </r>
  <r>
    <s v="ORD-02976"/>
    <x v="365"/>
    <x v="365"/>
    <s v="CUST38282"/>
    <s v="Arjun Reddy"/>
    <n v="-2"/>
    <s v="Male"/>
    <x v="3"/>
    <s v="Kolkata"/>
    <x v="5"/>
    <s v="Tablet"/>
    <n v="10"/>
    <n v="46486.3"/>
    <n v="0.35"/>
    <n v="435101.24"/>
    <n v="46106.98"/>
    <n v="68.33"/>
    <s v="EMI"/>
    <x v="3"/>
    <b v="0"/>
    <x v="1"/>
    <n v="10"/>
  </r>
  <r>
    <s v="ORD-01200"/>
    <x v="305"/>
    <x v="305"/>
    <s v="CUST04926"/>
    <s v="Meera Mishra"/>
    <n v="32"/>
    <s v="Female"/>
    <x v="3"/>
    <s v="Kolkata"/>
    <x v="0"/>
    <s v="Dal (1kg)"/>
    <n v="8"/>
    <n v="243.87"/>
    <n v="0.24"/>
    <n v="2091.15"/>
    <n v="159.38"/>
    <n v="107.16"/>
    <s v="EMI"/>
    <x v="2"/>
    <b v="0"/>
    <x v="1"/>
    <n v="8"/>
  </r>
  <r>
    <s v="ORD-03952"/>
    <x v="1415"/>
    <x v="1415"/>
    <s v="CUST83301"/>
    <s v="Ananya Gupta"/>
    <n v="-7"/>
    <s v="Female"/>
    <x v="1"/>
    <s v="Mumbai"/>
    <x v="6"/>
    <s v="Cricket Bat"/>
    <n v="1"/>
    <n v="14106.55"/>
    <n v="0.03"/>
    <n v="17029.82"/>
    <n v="4828.67"/>
    <n v="41.95"/>
    <s v="Debit Card"/>
    <x v="3"/>
    <b v="0"/>
    <x v="1"/>
    <n v="10"/>
  </r>
  <r>
    <s v="ORD-00150"/>
    <x v="1517"/>
    <x v="1517"/>
    <s v="CUST65041"/>
    <s v="Sunita Shah"/>
    <n v="28"/>
    <s v="Other"/>
    <x v="2"/>
    <s v="Delhi"/>
    <x v="1"/>
    <s v="Shampoo"/>
    <n v="8"/>
    <n v="2402.3000000000002"/>
    <n v="0.14000000000000001"/>
    <n v="17325.759999999998"/>
    <n v="7864.22"/>
    <n v="28.34"/>
    <s v="Credit Card"/>
    <x v="3"/>
    <b v="0"/>
    <x v="1"/>
    <n v="5"/>
  </r>
  <r>
    <s v="ORD-03495"/>
    <x v="1518"/>
    <x v="1518"/>
    <s v="CUST83702"/>
    <s v="Meera Chatterjee"/>
    <n v="57"/>
    <s v="Other"/>
    <x v="2"/>
    <s v="Chandigarh"/>
    <x v="2"/>
    <s v="Wardrobe"/>
    <n v="10"/>
    <n v="7864.24"/>
    <n v="7.0000000000000007E-2"/>
    <n v="79635.39"/>
    <n v="26334.69"/>
    <n v="41.39"/>
    <s v="UPI"/>
    <x v="0"/>
    <b v="0"/>
    <x v="1"/>
    <n v="8"/>
  </r>
  <r>
    <s v="ORD-00815"/>
    <x v="1055"/>
    <x v="1055"/>
    <s v="CUST16348"/>
    <s v="Priya Singh"/>
    <n v="29"/>
    <s v="Female"/>
    <x v="1"/>
    <s v="Ahmedabad"/>
    <x v="0"/>
    <s v="Tea"/>
    <n v="3"/>
    <n v="124.54"/>
    <n v="0.06"/>
    <n v="312.48"/>
    <n v="27.23"/>
    <n v="67.180000000000007"/>
    <s v="Credit Card"/>
    <x v="4"/>
    <b v="0"/>
    <x v="4"/>
    <n v="10"/>
  </r>
  <r>
    <s v="ORD-00072"/>
    <x v="139"/>
    <x v="139"/>
    <s v="CUST86139"/>
    <s v="Nisha Mishra"/>
    <n v="35"/>
    <s v="Male"/>
    <x v="4"/>
    <s v="Bangalore"/>
    <x v="1"/>
    <s v="Hair Oil"/>
    <n v="3"/>
    <n v="464.07"/>
    <n v="0.37"/>
    <n v="595.39"/>
    <n v="342.46"/>
    <n v="60.75"/>
    <s v="UPI"/>
    <x v="1"/>
    <b v="0"/>
    <x v="1"/>
    <n v="5"/>
  </r>
  <r>
    <s v="ORD-02504"/>
    <x v="692"/>
    <x v="692"/>
    <s v="CUST98767"/>
    <s v="Aarav Sharma"/>
    <n v="53"/>
    <s v="Other"/>
    <x v="3"/>
    <s v="Kolkata"/>
    <x v="5"/>
    <s v="Headphones"/>
    <n v="8"/>
    <n v="77398.42"/>
    <n v="0.26"/>
    <n v="353697.54"/>
    <n v="33920.050000000003"/>
    <n v="94.39"/>
    <s v="Net Banking"/>
    <x v="0"/>
    <b v="0"/>
    <x v="3"/>
    <n v="10"/>
  </r>
  <r>
    <s v="ORD-00090"/>
    <x v="1110"/>
    <x v="1110"/>
    <s v="CUST87850"/>
    <s v="Ananya Joshi"/>
    <n v="34"/>
    <s v="Female"/>
    <x v="3"/>
    <s v="Patna"/>
    <x v="4"/>
    <s v="Kurta"/>
    <n v="7"/>
    <n v="1318.24"/>
    <n v="0.06"/>
    <n v="6767.09"/>
    <n v="2866.08"/>
    <n v="77.900000000000006"/>
    <s v="Net Banking"/>
    <x v="1"/>
    <b v="0"/>
    <x v="1"/>
    <n v="3"/>
  </r>
  <r>
    <s v="ORD-00118"/>
    <x v="56"/>
    <x v="56"/>
    <s v="CUST27542"/>
    <s v="Rahul Shah"/>
    <n v="32"/>
    <s v="Female"/>
    <x v="2"/>
    <s v="Chandigarh"/>
    <x v="6"/>
    <s v="Cricket Bat"/>
    <n v="2"/>
    <n v="9059.9699999999993"/>
    <n v="0.28000000000000003"/>
    <n v="10634.92"/>
    <n v="2775.6"/>
    <n v="59.56"/>
    <s v="EMI"/>
    <x v="0"/>
    <b v="0"/>
    <x v="1"/>
    <n v="7"/>
  </r>
  <r>
    <s v="ORD-01512"/>
    <x v="1063"/>
    <x v="1063"/>
    <s v="CUST69324"/>
    <s v="Kavya Kapoor"/>
    <n v="19"/>
    <s v="Female"/>
    <x v="0"/>
    <s v="Nagpur"/>
    <x v="4"/>
    <s v="Saree"/>
    <n v="7"/>
    <n v="2886.34"/>
    <n v="0.25"/>
    <n v="9941.0499999999993"/>
    <n v="3851.17"/>
    <n v="58.88"/>
    <s v="Debit Card"/>
    <x v="2"/>
    <b v="0"/>
    <x v="1"/>
    <n v="3"/>
  </r>
  <r>
    <s v="ORD-02370"/>
    <x v="1056"/>
    <x v="1056"/>
    <s v="CUST09289"/>
    <s v="Nisha Bose"/>
    <n v="28"/>
    <s v="Other"/>
    <x v="2"/>
    <s v="Ludhiana"/>
    <x v="6"/>
    <s v="Tennis Racket"/>
    <n v="3"/>
    <n v="10631.58"/>
    <n v="0.1"/>
    <n v="23303.040000000001"/>
    <n v="4472.16"/>
    <n v="31.86"/>
    <s v="Debit Card"/>
    <x v="2"/>
    <b v="0"/>
    <x v="1"/>
    <n v="5"/>
  </r>
  <r>
    <s v="ORD-04173"/>
    <x v="18"/>
    <x v="18"/>
    <s v="CUST95025"/>
    <s v="Aditya Kapoor"/>
    <n v="18"/>
    <s v="Female"/>
    <x v="2"/>
    <s v="Ludhiana"/>
    <x v="2"/>
    <s v="Sofa"/>
    <n v="6"/>
    <n v="29938.75"/>
    <n v="0.17"/>
    <n v="139138.9"/>
    <n v="44922.96"/>
    <n v="34.46"/>
    <s v="Cash on Delivery"/>
    <x v="4"/>
    <b v="0"/>
    <x v="1"/>
    <n v="9"/>
  </r>
  <r>
    <s v="ORD-04038"/>
    <x v="417"/>
    <x v="417"/>
    <s v="CUST48507"/>
    <s v="Deepa Mehta"/>
    <n v="7"/>
    <s v="Other"/>
    <x v="4"/>
    <s v="Chennai"/>
    <x v="6"/>
    <s v="Cycle"/>
    <n v="5"/>
    <n v="8321.61"/>
    <n v="0.28999999999999998"/>
    <n v="32551.279999999999"/>
    <n v="7415.49"/>
    <n v="82.48"/>
    <s v="EMI"/>
    <x v="3"/>
    <b v="0"/>
    <x v="1"/>
    <n v="2"/>
  </r>
  <r>
    <s v="ORD-00460"/>
    <x v="1362"/>
    <x v="1362"/>
    <s v="CUST75610"/>
    <s v="Amit Shah"/>
    <n v="41"/>
    <s v="Female"/>
    <x v="2"/>
    <s v="Delhi"/>
    <x v="6"/>
    <s v="Cycle"/>
    <n v="5"/>
    <n v="14409.79"/>
    <n v="0.06"/>
    <n v="88266"/>
    <n v="14684.99"/>
    <n v="44.5"/>
    <s v="EMI"/>
    <x v="1"/>
    <b v="0"/>
    <x v="1"/>
    <n v="8"/>
  </r>
  <r>
    <s v="ORD-02218"/>
    <x v="638"/>
    <x v="638"/>
    <s v="CUST37517"/>
    <s v="Ritu Bhat"/>
    <n v="33"/>
    <s v="Other"/>
    <x v="4"/>
    <s v="Chennai"/>
    <x v="6"/>
    <s v="Football"/>
    <n v="3"/>
    <n v="4765.92"/>
    <n v="0.05"/>
    <n v="17857.419999999998"/>
    <n v="4889.4399999999996"/>
    <n v="59.58"/>
    <s v="Net Banking"/>
    <x v="3"/>
    <b v="0"/>
    <x v="1"/>
    <n v="9"/>
  </r>
  <r>
    <s v="ORD-03885"/>
    <x v="530"/>
    <x v="530"/>
    <s v="CUST10547"/>
    <s v="Vikram Shah"/>
    <n v="36"/>
    <s v="Other"/>
    <x v="0"/>
    <s v="Raipur"/>
    <x v="0"/>
    <s v="Cooking Oil"/>
    <n v="5"/>
    <n v="230.1"/>
    <n v="0.23"/>
    <n v="1261.3800000000001"/>
    <n v="74.150000000000006"/>
    <n v="44.66"/>
    <s v="Debit Card"/>
    <x v="1"/>
    <b v="0"/>
    <x v="1"/>
    <n v="1"/>
  </r>
  <r>
    <s v="ORD-03646"/>
    <x v="552"/>
    <x v="552"/>
    <s v="CUST63505"/>
    <s v="Karan Bose"/>
    <n v="52"/>
    <s v="Female"/>
    <x v="4"/>
    <s v="Kochi"/>
    <x v="4"/>
    <s v="Jeans"/>
    <n v="3"/>
    <n v="2490.42"/>
    <n v="0.12"/>
    <n v="9565"/>
    <n v="4135.1499999999996"/>
    <n v="56.66"/>
    <s v="Debit Card"/>
    <x v="1"/>
    <b v="0"/>
    <x v="3"/>
    <n v="8"/>
  </r>
  <r>
    <s v="ORD-00242"/>
    <x v="1419"/>
    <x v="1419"/>
    <s v="CUST17001"/>
    <s v="Ananya Kumar"/>
    <n v="31"/>
    <s v="Male"/>
    <x v="0"/>
    <s v="Nagpur"/>
    <x v="2"/>
    <s v="Desk"/>
    <n v="3"/>
    <n v="14067.89"/>
    <n v="0.13"/>
    <n v="40312.78"/>
    <n v="8649.34"/>
    <n v="64.02"/>
    <s v="EMI"/>
    <x v="4"/>
    <b v="0"/>
    <x v="1"/>
    <n v="10"/>
  </r>
  <r>
    <s v="ORD-02747"/>
    <x v="1519"/>
    <x v="1519"/>
    <s v="CUST34843"/>
    <s v="Sanjay Verma"/>
    <n v="21"/>
    <s v="Male"/>
    <x v="4"/>
    <s v="Hyderabad"/>
    <x v="1"/>
    <s v="Lipstick"/>
    <n v="9"/>
    <n v="1568.38"/>
    <n v="0.02"/>
    <n v="21256.5"/>
    <n v="9913.18"/>
    <n v="96.17"/>
    <s v="Debit Card"/>
    <x v="1"/>
    <b v="0"/>
    <x v="1"/>
    <n v="7"/>
  </r>
  <r>
    <s v="ORD-00842"/>
    <x v="538"/>
    <x v="538"/>
    <s v="CUST65032"/>
    <s v="Rahul Patel"/>
    <n v="35"/>
    <s v="Female"/>
    <x v="2"/>
    <s v="Ludhiana"/>
    <x v="2"/>
    <s v="Desk"/>
    <n v="6"/>
    <n v="10881.01"/>
    <n v="0.28000000000000003"/>
    <n v="36305.93"/>
    <n v="13223.63"/>
    <n v="78.19"/>
    <s v="Debit Card"/>
    <x v="0"/>
    <b v="0"/>
    <x v="3"/>
    <n v="5"/>
  </r>
  <r>
    <s v="ORD-01938"/>
    <x v="506"/>
    <x v="506"/>
    <s v="CUST09891"/>
    <s v="Ananya Rao"/>
    <n v="42"/>
    <s v="Female"/>
    <x v="0"/>
    <s v="Indore"/>
    <x v="3"/>
    <s v="Fiction Novel"/>
    <n v="7"/>
    <n v="1019.7"/>
    <n v="0.33"/>
    <n v="6327.55"/>
    <n v="3242.6"/>
    <n v="49.01"/>
    <s v="Credit Card"/>
    <x v="1"/>
    <b v="0"/>
    <x v="1"/>
    <n v="6"/>
  </r>
  <r>
    <s v="ORD-00745"/>
    <x v="1439"/>
    <x v="1439"/>
    <s v="CUST39674"/>
    <s v="Meera Rao"/>
    <n v="32"/>
    <s v="Male"/>
    <x v="1"/>
    <s v="Mumbai"/>
    <x v="5"/>
    <s v="Tablet"/>
    <n v="7"/>
    <n v="63547.4"/>
    <n v="0.18"/>
    <n v="260057.28"/>
    <n v="44746.11"/>
    <n v="73.72"/>
    <s v="Debit Card"/>
    <x v="4"/>
    <b v="0"/>
    <x v="4"/>
    <n v="7"/>
  </r>
  <r>
    <s v="ORD-02751"/>
    <x v="1267"/>
    <x v="1267"/>
    <s v="CUST41956"/>
    <s v="Ritu Gupta"/>
    <n v="58"/>
    <s v="Male"/>
    <x v="0"/>
    <s v="Raipur"/>
    <x v="2"/>
    <s v="Sofa"/>
    <n v="7"/>
    <n v="21084.54"/>
    <n v="0.39"/>
    <n v="140156.32"/>
    <n v="29805.11"/>
    <n v="42.37"/>
    <s v="EMI"/>
    <x v="1"/>
    <b v="1"/>
    <x v="0"/>
    <n v="8"/>
  </r>
  <r>
    <s v="ORD-03004"/>
    <x v="352"/>
    <x v="352"/>
    <s v="CUST37873"/>
    <s v="Karan Shah"/>
    <n v="24"/>
    <s v="Female"/>
    <x v="0"/>
    <s v="Bhopal"/>
    <x v="0"/>
    <s v="Sugar"/>
    <n v="7"/>
    <n v="223.54"/>
    <n v="0.05"/>
    <n v="2428.4299999999998"/>
    <n v="183.01"/>
    <n v="54.19"/>
    <s v="Debit Card"/>
    <x v="4"/>
    <b v="0"/>
    <x v="1"/>
    <n v="10"/>
  </r>
  <r>
    <s v="ORD-02633"/>
    <x v="283"/>
    <x v="283"/>
    <s v="CUST27793"/>
    <s v="Nikhil Kumar"/>
    <n v="34"/>
    <s v="Male"/>
    <x v="0"/>
    <s v="Indore"/>
    <x v="6"/>
    <s v="Cycle"/>
    <n v="7"/>
    <n v="8623.2000000000007"/>
    <n v="0.21"/>
    <n v="64006.89"/>
    <n v="15740.76"/>
    <n v="32.22"/>
    <s v="Cash on Delivery"/>
    <x v="4"/>
    <b v="1"/>
    <x v="0"/>
    <n v="1"/>
  </r>
  <r>
    <s v="ORD-03028"/>
    <x v="276"/>
    <x v="276"/>
    <s v="CUST60297"/>
    <s v="Arjun Gupta"/>
    <n v="31"/>
    <s v="Female"/>
    <x v="1"/>
    <s v="Mumbai"/>
    <x v="3"/>
    <s v="Cook Book"/>
    <n v="6"/>
    <n v="210.75"/>
    <n v="0.19"/>
    <n v="1487.4"/>
    <n v="408.37"/>
    <n v="45.71"/>
    <s v="Cash on Delivery"/>
    <x v="2"/>
    <b v="0"/>
    <x v="1"/>
    <n v="2"/>
  </r>
  <r>
    <s v="ORD-02319"/>
    <x v="412"/>
    <x v="412"/>
    <s v="CUST10347"/>
    <s v="Aditya Nair"/>
    <n v="24"/>
    <s v="Other"/>
    <x v="0"/>
    <s v="Raipur"/>
    <x v="6"/>
    <s v="Yoga Mat"/>
    <n v="2"/>
    <n v="14531.26"/>
    <n v="0.22"/>
    <n v="19868.59"/>
    <n v="2388.6"/>
    <n v="58.71"/>
    <s v="UPI"/>
    <x v="1"/>
    <b v="0"/>
    <x v="1"/>
    <n v="1"/>
  </r>
  <r>
    <s v="ORD-03184"/>
    <x v="1217"/>
    <x v="1217"/>
    <s v="CUST43954"/>
    <s v="Nikhil Joshi"/>
    <n v="60"/>
    <s v="Other"/>
    <x v="2"/>
    <s v="Chandigarh"/>
    <x v="3"/>
    <s v="Biography"/>
    <n v="5"/>
    <n v="652.44000000000005"/>
    <n v="0.01"/>
    <n v="2663.55"/>
    <n v="1220.8499999999999"/>
    <n v="35.83"/>
    <s v="Debit Card"/>
    <x v="4"/>
    <b v="0"/>
    <x v="1"/>
    <n v="9"/>
  </r>
  <r>
    <s v="ORD-02644"/>
    <x v="496"/>
    <x v="496"/>
    <s v="CUST02050"/>
    <s v="Deepa Pillai"/>
    <n v="23"/>
    <s v="Male"/>
    <x v="2"/>
    <s v="Amritsar"/>
    <x v="1"/>
    <s v="Sunscreen"/>
    <n v="4"/>
    <n v="800.18"/>
    <n v="0.19"/>
    <n v="2969.81"/>
    <n v="1136.8399999999999"/>
    <n v="57.24"/>
    <s v="Net Banking"/>
    <x v="1"/>
    <b v="0"/>
    <x v="2"/>
    <n v="10"/>
  </r>
  <r>
    <s v="ORD-00786"/>
    <x v="1029"/>
    <x v="1029"/>
    <s v="CUST94074"/>
    <s v="Nikhil Singh"/>
    <n v="47"/>
    <s v="Female"/>
    <x v="0"/>
    <s v="Raipur"/>
    <x v="2"/>
    <s v="Bed Frame"/>
    <n v="5"/>
    <n v="4377.66"/>
    <n v="0.24"/>
    <n v="12728.48"/>
    <n v="2557.64"/>
    <n v="49.31"/>
    <s v="Debit Card"/>
    <x v="1"/>
    <b v="0"/>
    <x v="1"/>
    <n v="7"/>
  </r>
  <r>
    <s v="ORD-03589"/>
    <x v="1105"/>
    <x v="1105"/>
    <s v="CUST32659"/>
    <s v="Meera Pillai"/>
    <n v="23"/>
    <s v="Female"/>
    <x v="4"/>
    <s v="Bangalore"/>
    <x v="4"/>
    <s v="Kurta"/>
    <n v="10"/>
    <n v="2503.17"/>
    <n v="0.04"/>
    <n v="37794.25"/>
    <n v="12461.38"/>
    <n v="67.3"/>
    <s v="UPI"/>
    <x v="2"/>
    <b v="0"/>
    <x v="1"/>
    <n v="3"/>
  </r>
  <r>
    <s v="ORD-03299"/>
    <x v="936"/>
    <x v="936"/>
    <s v="CUST51100"/>
    <s v="Ananya Bose"/>
    <n v="45"/>
    <s v="Other"/>
    <x v="1"/>
    <s v="Mumbai"/>
    <x v="4"/>
    <s v="Dress"/>
    <n v="10"/>
    <n v="1349.67"/>
    <n v="0.11"/>
    <n v="12320.37"/>
    <n v="4637.25"/>
    <n v="55.35"/>
    <s v="Debit Card"/>
    <x v="0"/>
    <b v="0"/>
    <x v="1"/>
    <n v="10"/>
  </r>
  <r>
    <s v="ORD-00497"/>
    <x v="436"/>
    <x v="436"/>
    <s v="CUST61540"/>
    <s v="Deepa Gupta"/>
    <n v="22"/>
    <s v="Male"/>
    <x v="0"/>
    <s v="Indore"/>
    <x v="2"/>
    <s v="Wardrobe"/>
    <n v="9"/>
    <n v="9703.4699999999993"/>
    <n v="0.12"/>
    <n v="91868.53"/>
    <n v="20614.96"/>
    <n v="74.73"/>
    <s v="Credit Card"/>
    <x v="4"/>
    <b v="0"/>
    <x v="1"/>
    <n v="7"/>
  </r>
  <r>
    <s v="ORD-01866"/>
    <x v="1520"/>
    <x v="1520"/>
    <s v="CUST49530"/>
    <s v="Rohan Nair"/>
    <n v="29"/>
    <s v="Female"/>
    <x v="1"/>
    <s v="Pune"/>
    <x v="5"/>
    <s v="Laptop"/>
    <n v="7"/>
    <n v="64794.43"/>
    <n v="0.05"/>
    <n v="532883.15"/>
    <n v="75066.289999999994"/>
    <n v="73.84"/>
    <s v="Debit Card"/>
    <x v="3"/>
    <b v="1"/>
    <x v="0"/>
    <n v="5"/>
  </r>
  <r>
    <s v="ORD-01523"/>
    <x v="340"/>
    <x v="340"/>
    <s v="CUST70600"/>
    <s v="Sanjay Patel"/>
    <n v="51"/>
    <s v="Male"/>
    <x v="0"/>
    <s v="Bhopal"/>
    <x v="5"/>
    <s v="Smartwatch"/>
    <n v="6"/>
    <n v="17253.71"/>
    <n v="0.18"/>
    <n v="63164.34"/>
    <n v="9312.1"/>
    <n v="57.28"/>
    <s v="Cash on Delivery"/>
    <x v="0"/>
    <b v="0"/>
    <x v="1"/>
    <n v="1"/>
  </r>
  <r>
    <s v="ORD-00221"/>
    <x v="441"/>
    <x v="441"/>
    <s v="CUST73936"/>
    <s v="Kavya Singh"/>
    <n v="19"/>
    <s v="Male"/>
    <x v="3"/>
    <s v="Patna"/>
    <x v="6"/>
    <s v="Cricket Bat"/>
    <n v="3"/>
    <n v="10399.299999999999"/>
    <n v="0.02"/>
    <n v="32336.400000000001"/>
    <n v="7236.11"/>
    <n v="59.2"/>
    <s v="Debit Card"/>
    <x v="1"/>
    <b v="0"/>
    <x v="1"/>
    <n v="2"/>
  </r>
  <r>
    <s v="ORD-00405"/>
    <x v="875"/>
    <x v="875"/>
    <s v="CUST07439"/>
    <s v="Vikram Pillai"/>
    <n v="58"/>
    <s v="Female"/>
    <x v="2"/>
    <s v="Ludhiana"/>
    <x v="0"/>
    <s v="Cooking Oil"/>
    <n v="2"/>
    <n v="68.209999999999994"/>
    <n v="0.21"/>
    <n v="144.62"/>
    <n v="7.79"/>
    <n v="51.11"/>
    <s v="Cash on Delivery"/>
    <x v="3"/>
    <b v="0"/>
    <x v="1"/>
    <n v="6"/>
  </r>
  <r>
    <s v="ORD-03268"/>
    <x v="1521"/>
    <x v="1521"/>
    <s v="CUST08884"/>
    <s v="Meera Chatterjee"/>
    <n v="34"/>
    <s v="Other"/>
    <x v="3"/>
    <s v="Patna"/>
    <x v="6"/>
    <s v="Tennis Racket"/>
    <n v="8"/>
    <n v="517.73"/>
    <n v="0.16"/>
    <n v="3181.45"/>
    <n v="738.99"/>
    <n v="109.47"/>
    <s v="Net Banking"/>
    <x v="0"/>
    <b v="0"/>
    <x v="1"/>
    <n v="7"/>
  </r>
  <r>
    <s v="ORD-01361"/>
    <x v="1145"/>
    <x v="1145"/>
    <s v="CUST40439"/>
    <s v="Ananya Patel"/>
    <n v="30"/>
    <s v="Female"/>
    <x v="2"/>
    <s v="Ludhiana"/>
    <x v="1"/>
    <s v="Face Cream"/>
    <n v="0"/>
    <n v="1406.05"/>
    <n v="0.34"/>
    <n v="1053"/>
    <n v="521.92999999999995"/>
    <n v="51.51"/>
    <s v="EMI"/>
    <x v="3"/>
    <b v="1"/>
    <x v="0"/>
    <n v="7"/>
  </r>
  <r>
    <s v="ORD-02926"/>
    <x v="858"/>
    <x v="858"/>
    <s v="CUST07282"/>
    <s v="Nisha Nair"/>
    <n v="31"/>
    <s v="Female"/>
    <x v="3"/>
    <s v="Patna"/>
    <x v="1"/>
    <s v="Face Cream"/>
    <n v="8"/>
    <n v="203.71"/>
    <n v="0.16"/>
    <n v="2533.79"/>
    <n v="1078.45"/>
    <n v="40.28"/>
    <s v="Debit Card"/>
    <x v="0"/>
    <b v="0"/>
    <x v="1"/>
    <n v="9"/>
  </r>
  <r>
    <s v="ORD-00921"/>
    <x v="1299"/>
    <x v="1299"/>
    <s v="CUST77784"/>
    <s v="Aditya Reddy"/>
    <n v="46"/>
    <s v="Other"/>
    <x v="0"/>
    <s v="Raipur"/>
    <x v="3"/>
    <s v="Comic Book"/>
    <n v="5"/>
    <n v="1150.6199999999999"/>
    <n v="0.16"/>
    <n v="1012.64"/>
    <n v="376.47"/>
    <n v="51.2"/>
    <s v="Cash on Delivery"/>
    <x v="1"/>
    <b v="0"/>
    <x v="1"/>
    <n v="6"/>
  </r>
  <r>
    <s v="ORD-04146"/>
    <x v="693"/>
    <x v="693"/>
    <s v="CUST52053"/>
    <s v="Nikhil Joshi"/>
    <n v="18"/>
    <s v="Male"/>
    <x v="4"/>
    <s v="Hyderabad"/>
    <x v="1"/>
    <s v="Face Cream"/>
    <n v="2"/>
    <n v="1657.33"/>
    <n v="0.02"/>
    <n v="3020.21"/>
    <n v="1521.99"/>
    <n v="48.9"/>
    <s v="UPI"/>
    <x v="1"/>
    <b v="0"/>
    <x v="4"/>
    <n v="4"/>
  </r>
  <r>
    <s v="ORD-00985"/>
    <x v="426"/>
    <x v="426"/>
    <s v="CUST89273"/>
    <s v="Sunita Sharma"/>
    <n v="34"/>
    <s v="Other"/>
    <x v="1"/>
    <s v="Pune"/>
    <x v="0"/>
    <s v="Tea"/>
    <n v="7"/>
    <n v="150.71"/>
    <n v="0.21"/>
    <n v="896.68"/>
    <n v="76.540000000000006"/>
    <n v="48"/>
    <s v="UPI"/>
    <x v="2"/>
    <b v="0"/>
    <x v="1"/>
    <n v="4"/>
  </r>
  <r>
    <s v="ORD-03965"/>
    <x v="1477"/>
    <x v="1477"/>
    <s v="CUST16673"/>
    <s v="Ritu Kapoor"/>
    <n v="18"/>
    <s v="Other"/>
    <x v="2"/>
    <s v="Chandigarh"/>
    <x v="0"/>
    <s v="Flour"/>
    <n v="8"/>
    <n v="144.94999999999999"/>
    <n v="0.02"/>
    <n v="1586.94"/>
    <n v="135.22999999999999"/>
    <n v="33.74"/>
    <s v="Net Banking"/>
    <x v="1"/>
    <b v="0"/>
    <x v="1"/>
    <n v="2"/>
  </r>
  <r>
    <s v="ORD-01334"/>
    <x v="1522"/>
    <x v="1522"/>
    <s v="CUST72253"/>
    <s v="Ananya Verma"/>
    <n v="6"/>
    <s v="Other"/>
    <x v="0"/>
    <s v="Indore"/>
    <x v="2"/>
    <s v="Wardrobe"/>
    <n v="6"/>
    <n v="14866.07"/>
    <n v="0.15"/>
    <n v="93295.26"/>
    <n v="34155.919999999998"/>
    <n v="69.819999999999993"/>
    <s v="UPI"/>
    <x v="3"/>
    <b v="0"/>
    <x v="1"/>
    <n v="9"/>
  </r>
  <r>
    <s v="ORD-01916"/>
    <x v="1247"/>
    <x v="1247"/>
    <s v="CUST40084"/>
    <s v="Aarav Rao"/>
    <n v="47"/>
    <s v="Male"/>
    <x v="4"/>
    <s v="Chennai"/>
    <x v="0"/>
    <s v="Tea"/>
    <n v="4"/>
    <n v="288.13"/>
    <n v="0.01"/>
    <n v="1536.04"/>
    <n v="122.61"/>
    <n v="62.28"/>
    <s v="Net Banking"/>
    <x v="3"/>
    <b v="0"/>
    <x v="4"/>
    <n v="7"/>
  </r>
  <r>
    <s v="ORD-03210"/>
    <x v="364"/>
    <x v="364"/>
    <s v="CUST36370"/>
    <s v="Deepa Chatterjee"/>
    <n v="43"/>
    <s v="Female"/>
    <x v="3"/>
    <s v="Bhubaneswar"/>
    <x v="1"/>
    <s v="Hair Oil"/>
    <n v="3"/>
    <n v="1474.43"/>
    <n v="0.4"/>
    <n v="2579.4499999999998"/>
    <n v="1120.3599999999999"/>
    <n v="85.55"/>
    <s v="UPI"/>
    <x v="4"/>
    <b v="0"/>
    <x v="1"/>
    <n v="3"/>
  </r>
  <r>
    <s v="ORD-00313"/>
    <x v="866"/>
    <x v="866"/>
    <s v="CUST46769"/>
    <s v="Meera Reddy"/>
    <n v="51"/>
    <s v="Female"/>
    <x v="1"/>
    <s v="Pune"/>
    <x v="0"/>
    <s v="Dal (1kg)"/>
    <n v="6"/>
    <n v="476.07"/>
    <n v="0.37"/>
    <n v="2456.4"/>
    <n v="258.13"/>
    <n v="45"/>
    <s v="Debit Card"/>
    <x v="0"/>
    <b v="0"/>
    <x v="1"/>
    <n v="1"/>
  </r>
  <r>
    <s v="ORD-03601"/>
    <x v="1009"/>
    <x v="1009"/>
    <s v="CUST84390"/>
    <s v="Ritu Verma"/>
    <n v="31"/>
    <s v="Female"/>
    <x v="4"/>
    <s v="Hyderabad"/>
    <x v="3"/>
    <s v="Textbook"/>
    <n v="8"/>
    <n v="1069.54"/>
    <n v="0.23"/>
    <n v="10281.57"/>
    <n v="3761.19"/>
    <n v="77.989999999999995"/>
    <s v="Credit Card"/>
    <x v="0"/>
    <b v="0"/>
    <x v="1"/>
    <n v="1"/>
  </r>
  <r>
    <s v="ORD-03038"/>
    <x v="1496"/>
    <x v="1496"/>
    <s v="CUST42431"/>
    <s v="Vikram Iyer"/>
    <n v="10"/>
    <s v="Female"/>
    <x v="3"/>
    <s v="Guwahati"/>
    <x v="3"/>
    <s v="Cook Book"/>
    <n v="4"/>
    <n v="846.94"/>
    <n v="0.1"/>
    <n v="4126.13"/>
    <n v="1830.29"/>
    <n v="103.8"/>
    <s v="Credit Card"/>
    <x v="0"/>
    <b v="0"/>
    <x v="1"/>
    <n v="10"/>
  </r>
  <r>
    <s v="ORD-02556"/>
    <x v="1462"/>
    <x v="1462"/>
    <s v="CUST44541"/>
    <s v="Priya Iyer"/>
    <n v="45"/>
    <s v="Other"/>
    <x v="4"/>
    <s v="Chennai"/>
    <x v="4"/>
    <s v="T-Shirt"/>
    <n v="7"/>
    <n v="3456.76"/>
    <n v="0.34"/>
    <n v="15504.08"/>
    <n v="3634.35"/>
    <n v="86.38"/>
    <s v="Credit Card"/>
    <x v="4"/>
    <b v="0"/>
    <x v="1"/>
    <n v="3"/>
  </r>
  <r>
    <s v="ORD-03214"/>
    <x v="668"/>
    <x v="668"/>
    <s v="CUST26653"/>
    <s v="Priya Verma"/>
    <n v="34"/>
    <s v="Female"/>
    <x v="4"/>
    <s v="Hyderabad"/>
    <x v="1"/>
    <s v="Perfume"/>
    <n v="2"/>
    <n v="2318.9899999999998"/>
    <n v="0.34"/>
    <n v="3235.02"/>
    <n v="1825.36"/>
    <n v="54.61"/>
    <s v="UPI"/>
    <x v="4"/>
    <b v="0"/>
    <x v="2"/>
    <n v="6"/>
  </r>
  <r>
    <s v="ORD-02442"/>
    <x v="975"/>
    <x v="975"/>
    <s v="CUST44235"/>
    <s v="Rahul Iyer"/>
    <n v="58"/>
    <s v="Other"/>
    <x v="3"/>
    <s v="Patna"/>
    <x v="0"/>
    <s v="Flour"/>
    <n v="6"/>
    <n v="487.77"/>
    <n v="0.31"/>
    <n v="1675.82"/>
    <n v="120.68"/>
    <n v="82.58"/>
    <s v="Credit Card"/>
    <x v="1"/>
    <b v="0"/>
    <x v="1"/>
    <n v="6"/>
  </r>
  <r>
    <s v="ORD-03455"/>
    <x v="1523"/>
    <x v="1523"/>
    <s v="CUST85337"/>
    <s v="Nisha Patel"/>
    <n v="37"/>
    <s v="Male"/>
    <x v="2"/>
    <s v="Chandigarh"/>
    <x v="4"/>
    <s v="Kurta"/>
    <n v="3"/>
    <n v="497.57"/>
    <n v="0.15"/>
    <n v="1277.03"/>
    <n v="481.63"/>
    <n v="64.84"/>
    <s v="Cash on Delivery"/>
    <x v="1"/>
    <b v="0"/>
    <x v="1"/>
    <n v="8"/>
  </r>
  <r>
    <s v="ORD-03294"/>
    <x v="457"/>
    <x v="457"/>
    <s v="CUST10406"/>
    <s v="Shreya Sharma"/>
    <n v="46"/>
    <s v="Female"/>
    <x v="3"/>
    <s v="Kolkata"/>
    <x v="4"/>
    <s v="Saree"/>
    <n v="8"/>
    <n v="2163.34"/>
    <n v="0.09"/>
    <n v="14389.27"/>
    <n v="6967.35"/>
    <n v="86.07"/>
    <s v="Debit Card"/>
    <x v="2"/>
    <b v="1"/>
    <x v="0"/>
    <n v="2"/>
  </r>
  <r>
    <s v="ORD-02458"/>
    <x v="1386"/>
    <x v="1386"/>
    <s v="CUST84016"/>
    <s v="Meera Verma"/>
    <n v="12"/>
    <s v="Male"/>
    <x v="3"/>
    <s v="Patna"/>
    <x v="3"/>
    <s v="Self-Help Book"/>
    <n v="5"/>
    <n v="374.99"/>
    <n v="0.2"/>
    <n v="1324.11"/>
    <n v="579.51"/>
    <n v="83.9"/>
    <s v="Cash on Delivery"/>
    <x v="0"/>
    <b v="0"/>
    <x v="1"/>
    <n v="8"/>
  </r>
  <r>
    <s v="ORD-00678"/>
    <x v="569"/>
    <x v="569"/>
    <s v="CUST41806"/>
    <s v="Kavya Pillai"/>
    <n v="45"/>
    <s v="Male"/>
    <x v="1"/>
    <s v="Ahmedabad"/>
    <x v="5"/>
    <s v="Tablet"/>
    <n v="10"/>
    <n v="57547.360000000001"/>
    <n v="0"/>
    <n v="412747.46"/>
    <n v="38336.33"/>
    <n v="95.34"/>
    <s v="EMI"/>
    <x v="4"/>
    <b v="0"/>
    <x v="4"/>
    <n v="1"/>
  </r>
  <r>
    <s v="ORD-03001"/>
    <x v="1252"/>
    <x v="1252"/>
    <s v="CUST72975"/>
    <s v="Deepa Singh"/>
    <n v="22"/>
    <s v="Female"/>
    <x v="2"/>
    <s v="Delhi"/>
    <x v="6"/>
    <s v="Dumbbells"/>
    <n v="7"/>
    <n v="5217.82"/>
    <n v="0.38"/>
    <n v="29460.53"/>
    <n v="4891.91"/>
    <n v="48.5"/>
    <s v="Cash on Delivery"/>
    <x v="3"/>
    <b v="0"/>
    <x v="1"/>
    <n v="4"/>
  </r>
  <r>
    <s v="ORD-00166"/>
    <x v="1440"/>
    <x v="1440"/>
    <s v="CUST75367"/>
    <s v="Nisha Patel"/>
    <n v="45"/>
    <s v="Female"/>
    <x v="3"/>
    <s v="Kolkata"/>
    <x v="3"/>
    <s v="Self-Help Book"/>
    <n v="8"/>
    <n v="518.20000000000005"/>
    <n v="0.01"/>
    <n v="4524.5200000000004"/>
    <n v="1853.7"/>
    <n v="90.45"/>
    <s v="Debit Card"/>
    <x v="0"/>
    <b v="0"/>
    <x v="1"/>
    <n v="6"/>
  </r>
  <r>
    <s v="ORD-00329"/>
    <x v="678"/>
    <x v="678"/>
    <s v="CUST33284"/>
    <s v="Vikram Mishra"/>
    <n v="35"/>
    <s v="Male"/>
    <x v="1"/>
    <s v="Mumbai"/>
    <x v="5"/>
    <s v="Camera"/>
    <n v="8"/>
    <n v="66799.88"/>
    <n v="0"/>
    <n v="700450.24"/>
    <n v="86189.72"/>
    <n v="63.99"/>
    <s v="Debit Card"/>
    <x v="4"/>
    <b v="0"/>
    <x v="1"/>
    <n v="2"/>
  </r>
  <r>
    <s v="ORD-01037"/>
    <x v="459"/>
    <x v="459"/>
    <s v="CUST43607"/>
    <s v="Nikhil Kapoor"/>
    <n v="51"/>
    <s v="Other"/>
    <x v="1"/>
    <s v="Ahmedabad"/>
    <x v="3"/>
    <s v="Biography"/>
    <n v="7"/>
    <n v="529.64"/>
    <n v="0.15"/>
    <n v="4411.53"/>
    <n v="1663.96"/>
    <n v="71.05"/>
    <s v="EMI"/>
    <x v="0"/>
    <b v="0"/>
    <x v="1"/>
    <n v="10"/>
  </r>
  <r>
    <s v="ORD-02134"/>
    <x v="1052"/>
    <x v="1052"/>
    <s v="CUST70079"/>
    <s v="Aditya Shah"/>
    <n v="33"/>
    <s v="Male"/>
    <x v="1"/>
    <s v="Mumbai"/>
    <x v="1"/>
    <s v="Shampoo"/>
    <n v="2"/>
    <n v="879.32"/>
    <n v="0.11"/>
    <n v="2351.2399999999998"/>
    <n v="1051.5899999999999"/>
    <n v="52.42"/>
    <s v="Cash on Delivery"/>
    <x v="1"/>
    <b v="0"/>
    <x v="1"/>
    <n v="5"/>
  </r>
  <r>
    <s v="ORD-02132"/>
    <x v="648"/>
    <x v="648"/>
    <s v="CUST62399"/>
    <s v="Rohan Bose"/>
    <n v="45"/>
    <s v="Other"/>
    <x v="4"/>
    <s v="Chennai"/>
    <x v="2"/>
    <s v="Sofa"/>
    <n v="4"/>
    <n v="25587.02"/>
    <n v="0.31"/>
    <n v="106262.43"/>
    <n v="24161.7"/>
    <n v="68.959999999999994"/>
    <s v="Debit Card"/>
    <x v="3"/>
    <b v="0"/>
    <x v="1"/>
    <n v="2"/>
  </r>
  <r>
    <s v="ORD-02255"/>
    <x v="1065"/>
    <x v="1065"/>
    <s v="CUST86286"/>
    <s v="Amit Verma"/>
    <n v="23"/>
    <s v="Female"/>
    <x v="2"/>
    <s v="Delhi"/>
    <x v="6"/>
    <s v="Yoga Mat"/>
    <n v="1"/>
    <n v="10374.719999999999"/>
    <n v="0.04"/>
    <n v="10806.31"/>
    <n v="2109.69"/>
    <n v="63.95"/>
    <s v="Cash on Delivery"/>
    <x v="0"/>
    <b v="0"/>
    <x v="3"/>
    <n v="3"/>
  </r>
  <r>
    <s v="ORD-00104"/>
    <x v="9"/>
    <x v="9"/>
    <s v="CUST30691"/>
    <s v="Ritu Mishra"/>
    <n v="47"/>
    <s v="Other"/>
    <x v="0"/>
    <s v="Indore"/>
    <x v="6"/>
    <s v="Tennis Racket"/>
    <n v="9"/>
    <n v="13043.73"/>
    <n v="0.25"/>
    <n v="74033.850000000006"/>
    <n v="18187.78"/>
    <n v="74.92"/>
    <s v="Debit Card"/>
    <x v="0"/>
    <b v="0"/>
    <x v="1"/>
    <n v="3"/>
  </r>
  <r>
    <s v="ORD-03382"/>
    <x v="750"/>
    <x v="750"/>
    <s v="CUST08459"/>
    <s v="Nikhil Mishra"/>
    <n v="35"/>
    <s v="Male"/>
    <x v="1"/>
    <s v="Ahmedabad"/>
    <x v="6"/>
    <s v="Tennis Racket"/>
    <n v="8"/>
    <n v="13871.72"/>
    <n v="0.03"/>
    <n v="104587.68"/>
    <n v="20681.46"/>
    <n v="87.71"/>
    <s v="UPI"/>
    <x v="1"/>
    <b v="0"/>
    <x v="4"/>
    <n v="8"/>
  </r>
  <r>
    <s v="ORD-03267"/>
    <x v="1521"/>
    <x v="1521"/>
    <s v="CUST39102"/>
    <s v="Meera Kapoor"/>
    <n v="31"/>
    <s v="Other"/>
    <x v="3"/>
    <s v="Kolkata"/>
    <x v="5"/>
    <s v="Laptop"/>
    <n v="10"/>
    <n v="19168.2"/>
    <n v="0.09"/>
    <n v="157139.20000000001"/>
    <n v="15931.28"/>
    <n v="92.38"/>
    <s v="UPI"/>
    <x v="4"/>
    <b v="1"/>
    <x v="0"/>
    <n v="10"/>
  </r>
  <r>
    <s v="ORD-00735"/>
    <x v="431"/>
    <x v="431"/>
    <s v="CUST45620"/>
    <s v="Aditya Patel"/>
    <n v="59"/>
    <s v="Female"/>
    <x v="3"/>
    <s v="Patna"/>
    <x v="4"/>
    <s v="Kurta"/>
    <n v="6"/>
    <n v="2055.61"/>
    <n v="0.19"/>
    <n v="7361.83"/>
    <n v="2436.42"/>
    <n v="87.2"/>
    <s v="Debit Card"/>
    <x v="0"/>
    <b v="0"/>
    <x v="2"/>
    <n v="7"/>
  </r>
  <r>
    <s v="ORD-03738"/>
    <x v="469"/>
    <x v="469"/>
    <s v="CUST81515"/>
    <s v="Shreya Reddy"/>
    <n v="44"/>
    <s v="Female"/>
    <x v="1"/>
    <s v="Ahmedabad"/>
    <x v="4"/>
    <s v="Saree"/>
    <n v="8"/>
    <n v="318.72000000000003"/>
    <n v="0.2"/>
    <n v="3315.64"/>
    <n v="1361.66"/>
    <n v="66.349999999999994"/>
    <s v="Cash on Delivery"/>
    <x v="0"/>
    <b v="0"/>
    <x v="1"/>
    <n v="6"/>
  </r>
  <r>
    <s v="ORD-01205"/>
    <x v="149"/>
    <x v="149"/>
    <s v="CUST52200"/>
    <s v="Nisha Bhat"/>
    <n v="28"/>
    <s v="Male"/>
    <x v="1"/>
    <s v="Pune"/>
    <x v="3"/>
    <s v="Fiction Novel"/>
    <n v="3"/>
    <n v="332.5"/>
    <n v="0.1"/>
    <n v="1131.28"/>
    <n v="733.38"/>
    <n v="62.24"/>
    <s v="Debit Card"/>
    <x v="1"/>
    <b v="0"/>
    <x v="1"/>
    <n v="2"/>
  </r>
  <r>
    <s v="ORD-00695"/>
    <x v="1524"/>
    <x v="1524"/>
    <s v="CUST09687"/>
    <s v="Karan Bose"/>
    <n v="25"/>
    <s v="Male"/>
    <x v="2"/>
    <s v="Chandigarh"/>
    <x v="4"/>
    <s v="Dress"/>
    <n v="4"/>
    <n v="1315.54"/>
    <n v="0.06"/>
    <n v="3873.18"/>
    <n v="1168.4100000000001"/>
    <n v="30.16"/>
    <s v="Net Banking"/>
    <x v="2"/>
    <b v="0"/>
    <x v="3"/>
    <n v="6"/>
  </r>
  <r>
    <s v="ORD-03238"/>
    <x v="824"/>
    <x v="824"/>
    <s v="CUST14045"/>
    <s v="Sunita Kumar"/>
    <n v="59"/>
    <s v="Other"/>
    <x v="1"/>
    <s v="Mumbai"/>
    <x v="0"/>
    <s v="Rice (5kg)"/>
    <n v="8"/>
    <n v="147.66"/>
    <n v="0.12"/>
    <n v="936.68"/>
    <n v="78.45"/>
    <n v="58.97"/>
    <s v="Debit Card"/>
    <x v="4"/>
    <b v="1"/>
    <x v="0"/>
    <n v="10"/>
  </r>
  <r>
    <s v="ORD-00498"/>
    <x v="1525"/>
    <x v="1525"/>
    <s v="CUST22854"/>
    <s v="Arjun Patel"/>
    <n v="37"/>
    <s v="Female"/>
    <x v="4"/>
    <s v="Chennai"/>
    <x v="1"/>
    <s v="Lipstick"/>
    <n v="4"/>
    <n v="1620.93"/>
    <n v="0"/>
    <n v="7373.98"/>
    <n v="3625.25"/>
    <n v="54.81"/>
    <s v="UPI"/>
    <x v="2"/>
    <b v="0"/>
    <x v="3"/>
    <n v="6"/>
  </r>
  <r>
    <s v="ORD-01341"/>
    <x v="615"/>
    <x v="615"/>
    <s v="CUST78913"/>
    <s v="Meera Sharma"/>
    <n v="25"/>
    <s v="Female"/>
    <x v="4"/>
    <s v="Bangalore"/>
    <x v="5"/>
    <s v="Headphones"/>
    <n v="6"/>
    <n v="33295.33"/>
    <n v="0.22"/>
    <n v="190618.8"/>
    <n v="28846.6"/>
    <n v="81.680000000000007"/>
    <s v="EMI"/>
    <x v="0"/>
    <b v="0"/>
    <x v="1"/>
    <n v="4"/>
  </r>
  <r>
    <s v="ORD-01166"/>
    <x v="708"/>
    <x v="708"/>
    <s v="CUST18237"/>
    <s v="Nikhil Reddy"/>
    <n v="59"/>
    <s v="Male"/>
    <x v="3"/>
    <s v="Kolkata"/>
    <x v="5"/>
    <s v="Tablet"/>
    <n v="7"/>
    <n v="15552.34"/>
    <n v="0.22"/>
    <n v="129304.85"/>
    <n v="22699.93"/>
    <n v="46.69"/>
    <s v="Credit Card"/>
    <x v="1"/>
    <b v="1"/>
    <x v="0"/>
    <n v="6"/>
  </r>
  <r>
    <s v="ORD-01349"/>
    <x v="1526"/>
    <x v="1526"/>
    <s v="CUST06490"/>
    <s v="Shreya Shah"/>
    <n v="21"/>
    <s v="Female"/>
    <x v="2"/>
    <s v="Chandigarh"/>
    <x v="4"/>
    <s v="Dress"/>
    <n v="4"/>
    <n v="2556.35"/>
    <n v="0.19"/>
    <n v="9517.59"/>
    <n v="1946.08"/>
    <n v="45.36"/>
    <s v="UPI"/>
    <x v="1"/>
    <b v="0"/>
    <x v="1"/>
    <n v="2"/>
  </r>
  <r>
    <s v="ORD-02376"/>
    <x v="1467"/>
    <x v="1467"/>
    <s v="CUST02576"/>
    <s v="Pooja Verma"/>
    <n v="38"/>
    <s v="Other"/>
    <x v="3"/>
    <s v="Patna"/>
    <x v="1"/>
    <s v="Shampoo"/>
    <n v="9"/>
    <n v="2282.2399999999998"/>
    <n v="0.27"/>
    <n v="15517.58"/>
    <n v="5898.92"/>
    <n v="86.96"/>
    <s v="UPI"/>
    <x v="0"/>
    <b v="0"/>
    <x v="3"/>
    <n v="7"/>
  </r>
  <r>
    <s v="ORD-02709"/>
    <x v="1527"/>
    <x v="1527"/>
    <s v="CUST89135"/>
    <s v="Vikram Gupta"/>
    <n v="45"/>
    <s v="Other"/>
    <x v="4"/>
    <s v="Chennai"/>
    <x v="5"/>
    <s v="Smartphone"/>
    <n v="5"/>
    <n v="8426.0499999999993"/>
    <n v="0.4"/>
    <n v="28260.49"/>
    <n v="5271.23"/>
    <n v="43.17"/>
    <s v="Net Banking"/>
    <x v="0"/>
    <b v="1"/>
    <x v="0"/>
    <n v="3"/>
  </r>
  <r>
    <s v="ORD-00347"/>
    <x v="1528"/>
    <x v="1528"/>
    <s v="CUST36973"/>
    <s v="Nikhil Das"/>
    <n v="38"/>
    <s v="Male"/>
    <x v="0"/>
    <s v="Bhopal"/>
    <x v="2"/>
    <s v="Wardrobe"/>
    <n v="9"/>
    <n v="15163.14"/>
    <n v="0.05"/>
    <n v="165300.99"/>
    <n v="45730.93"/>
    <n v="52.98"/>
    <s v="Credit Card"/>
    <x v="0"/>
    <b v="0"/>
    <x v="1"/>
    <n v="4"/>
  </r>
  <r>
    <s v="ORD-01853"/>
    <x v="507"/>
    <x v="507"/>
    <s v="CUST27427"/>
    <s v="Ritu Reddy"/>
    <n v="49"/>
    <s v="Female"/>
    <x v="3"/>
    <s v="Patna"/>
    <x v="3"/>
    <s v="Cook Book"/>
    <n v="7"/>
    <n v="1034.3"/>
    <n v="0.21"/>
    <n v="7324.98"/>
    <n v="2536.09"/>
    <n v="60.36"/>
    <s v="Credit Card"/>
    <x v="1"/>
    <b v="0"/>
    <x v="1"/>
    <n v="4"/>
  </r>
  <r>
    <s v="ORD-02259"/>
    <x v="369"/>
    <x v="369"/>
    <s v="CUST42519"/>
    <s v="Meera Reddy"/>
    <n v="46"/>
    <s v="Male"/>
    <x v="0"/>
    <s v="Nagpur"/>
    <x v="6"/>
    <s v="Football"/>
    <n v="2"/>
    <n v="2331.7600000000002"/>
    <n v="0"/>
    <n v="5912.22"/>
    <n v="1433.92"/>
    <n v="38.85"/>
    <s v="Debit Card"/>
    <x v="1"/>
    <b v="0"/>
    <x v="1"/>
    <n v="1"/>
  </r>
  <r>
    <s v="ORD-02616"/>
    <x v="222"/>
    <x v="222"/>
    <s v="CUST89095"/>
    <s v="Karan Kumar"/>
    <n v="33"/>
    <s v="Male"/>
    <x v="3"/>
    <s v="Bhubaneswar"/>
    <x v="3"/>
    <s v="Cook Book"/>
    <n v="2"/>
    <n v="1201.8900000000001"/>
    <n v="0.21"/>
    <n v="2704.17"/>
    <n v="1451.59"/>
    <n v="59.47"/>
    <s v="Net Banking"/>
    <x v="2"/>
    <b v="0"/>
    <x v="1"/>
    <n v="5"/>
  </r>
  <r>
    <s v="ORD-02191"/>
    <x v="244"/>
    <x v="244"/>
    <s v="CUST30252"/>
    <s v="Amit Rao"/>
    <n v="53"/>
    <s v="Female"/>
    <x v="4"/>
    <s v="Bangalore"/>
    <x v="3"/>
    <s v="Self-Help Book"/>
    <n v="5"/>
    <n v="1366.96"/>
    <n v="0.33"/>
    <n v="5049.74"/>
    <n v="2062.06"/>
    <n v="90.56"/>
    <s v="Cash on Delivery"/>
    <x v="4"/>
    <b v="0"/>
    <x v="1"/>
    <n v="8"/>
  </r>
  <r>
    <s v="ORD-00515"/>
    <x v="1529"/>
    <x v="1529"/>
    <s v="CUST29764"/>
    <s v="Ritu Patel"/>
    <n v="58"/>
    <s v="Female"/>
    <x v="2"/>
    <s v="Amritsar"/>
    <x v="4"/>
    <s v="Jacket"/>
    <n v="9"/>
    <n v="3838.67"/>
    <n v="0.38"/>
    <n v="25652.22"/>
    <n v="9320.76"/>
    <n v="35.65"/>
    <s v="Credit Card"/>
    <x v="3"/>
    <b v="1"/>
    <x v="0"/>
    <n v="8"/>
  </r>
  <r>
    <s v="ORD-03435"/>
    <x v="435"/>
    <x v="435"/>
    <s v="CUST98330"/>
    <s v="Ananya Nair"/>
    <n v="65"/>
    <s v="Female"/>
    <x v="3"/>
    <s v="Bhubaneswar"/>
    <x v="2"/>
    <s v="Bookshelf"/>
    <n v="5"/>
    <n v="10083.15"/>
    <n v="0.15"/>
    <n v="7994.96"/>
    <n v="1999.65"/>
    <n v="46.72"/>
    <s v="Net Banking"/>
    <x v="2"/>
    <b v="0"/>
    <x v="1"/>
    <n v="1"/>
  </r>
  <r>
    <s v="ORD-01029"/>
    <x v="155"/>
    <x v="155"/>
    <s v="CUST37505"/>
    <s v="Nikhil Patel"/>
    <n v="41"/>
    <s v="Female"/>
    <x v="1"/>
    <s v="Ahmedabad"/>
    <x v="6"/>
    <s v="Dumbbells"/>
    <n v="5"/>
    <n v="1145.45"/>
    <n v="0.11"/>
    <n v="1338.53"/>
    <n v="222.57"/>
    <n v="56.78"/>
    <s v="Debit Card"/>
    <x v="4"/>
    <b v="0"/>
    <x v="1"/>
    <n v="8"/>
  </r>
  <r>
    <s v="ORD-03117"/>
    <x v="987"/>
    <x v="987"/>
    <s v="CUST41510"/>
    <s v="Arjun Rao"/>
    <n v="31"/>
    <s v="Female"/>
    <x v="2"/>
    <s v="Delhi"/>
    <x v="1"/>
    <s v="Lipstick"/>
    <n v="8"/>
    <n v="1386.11"/>
    <n v="0.36"/>
    <n v="8949.36"/>
    <n v="3833.84"/>
    <n v="80.48"/>
    <s v="UPI"/>
    <x v="0"/>
    <b v="0"/>
    <x v="1"/>
    <n v="7"/>
  </r>
  <r>
    <s v="ORD-00865"/>
    <x v="624"/>
    <x v="624"/>
    <s v="CUST81979"/>
    <s v="Kavya Nair"/>
    <n v="47"/>
    <s v="Other"/>
    <x v="4"/>
    <s v="Chennai"/>
    <x v="6"/>
    <s v="Football"/>
    <n v="4"/>
    <n v="4061.87"/>
    <n v="0.15"/>
    <n v="11296.47"/>
    <n v="2369.9499999999998"/>
    <n v="68.59"/>
    <s v="EMI"/>
    <x v="3"/>
    <b v="0"/>
    <x v="4"/>
    <n v="1"/>
  </r>
  <r>
    <s v="ORD-03354"/>
    <x v="1026"/>
    <x v="1026"/>
    <s v="CUST67353"/>
    <s v="Sunita Nair"/>
    <n v="40"/>
    <s v="Other"/>
    <x v="1"/>
    <s v="Mumbai"/>
    <x v="0"/>
    <s v="Dal (1kg)"/>
    <n v="8"/>
    <n v="133.54"/>
    <n v="0.25"/>
    <n v="700.62"/>
    <n v="48.03"/>
    <n v="54.62"/>
    <s v="Cash on Delivery"/>
    <x v="3"/>
    <b v="0"/>
    <x v="1"/>
    <n v="7"/>
  </r>
  <r>
    <s v="ORD-02940"/>
    <x v="1530"/>
    <x v="1530"/>
    <s v="CUST98397"/>
    <s v="Priya Patel"/>
    <n v="33"/>
    <s v="Male"/>
    <x v="3"/>
    <s v="Kolkata"/>
    <x v="2"/>
    <s v="Desk"/>
    <n v="7"/>
    <n v="29626.67"/>
    <n v="0.25"/>
    <n v="260198.32"/>
    <n v="54990.37"/>
    <n v="89.07"/>
    <s v="Credit Card"/>
    <x v="0"/>
    <b v="0"/>
    <x v="1"/>
    <n v="2"/>
  </r>
  <r>
    <s v="ORD-01227"/>
    <x v="958"/>
    <x v="958"/>
    <s v="CUST51884"/>
    <s v="Kavya Iyer"/>
    <n v="29"/>
    <s v="Female"/>
    <x v="4"/>
    <s v="Chennai"/>
    <x v="4"/>
    <s v="Jeans"/>
    <n v="8"/>
    <n v="3027.66"/>
    <n v="0.22"/>
    <n v="24537.25"/>
    <n v="8111.2"/>
    <n v="67.06"/>
    <s v="Cash on Delivery"/>
    <x v="0"/>
    <b v="1"/>
    <x v="0"/>
    <n v="9"/>
  </r>
  <r>
    <s v="ORD-02863"/>
    <x v="1150"/>
    <x v="1150"/>
    <s v="CUST63160"/>
    <s v="Meera Mehta"/>
    <n v="39"/>
    <s v="Other"/>
    <x v="4"/>
    <s v="Bangalore"/>
    <x v="3"/>
    <s v="Self-Help Book"/>
    <n v="8"/>
    <n v="786.23"/>
    <n v="0.23"/>
    <n v="7962.8"/>
    <n v="2889.1"/>
    <n v="89.79"/>
    <s v="Cash on Delivery"/>
    <x v="2"/>
    <b v="1"/>
    <x v="0"/>
    <n v="3"/>
  </r>
  <r>
    <s v="ORD-03937"/>
    <x v="375"/>
    <x v="375"/>
    <s v="CUST26174"/>
    <s v="Sunita Mishra"/>
    <n v="26"/>
    <s v="Female"/>
    <x v="2"/>
    <s v="Ludhiana"/>
    <x v="4"/>
    <s v="Dress"/>
    <n v="2"/>
    <n v="2273.4299999999998"/>
    <n v="0.19"/>
    <n v="6399.63"/>
    <n v="2166.56"/>
    <n v="65.89"/>
    <s v="Credit Card"/>
    <x v="4"/>
    <b v="0"/>
    <x v="1"/>
    <n v="5"/>
  </r>
  <r>
    <s v="ORD-03431"/>
    <x v="631"/>
    <x v="631"/>
    <s v="CUST60027"/>
    <s v="Sunita Kapoor"/>
    <n v="20"/>
    <s v="Female"/>
    <x v="2"/>
    <s v="Chandigarh"/>
    <x v="0"/>
    <s v="Rice (5kg)"/>
    <n v="5"/>
    <n v="293.8"/>
    <n v="0.38"/>
    <n v="1025.8"/>
    <n v="60.61"/>
    <n v="39.26"/>
    <s v="Net Banking"/>
    <x v="3"/>
    <b v="0"/>
    <x v="1"/>
    <n v="1"/>
  </r>
  <r>
    <s v="ORD-00564"/>
    <x v="356"/>
    <x v="356"/>
    <s v="CUST18845"/>
    <s v="Sunita Reddy"/>
    <n v="37"/>
    <s v="Male"/>
    <x v="0"/>
    <s v="Nagpur"/>
    <x v="6"/>
    <s v="Cricket Bat"/>
    <n v="8"/>
    <n v="1081.8900000000001"/>
    <n v="0.17"/>
    <n v="7052.66"/>
    <n v="1691.65"/>
    <n v="68.34"/>
    <s v="Net Banking"/>
    <x v="0"/>
    <b v="0"/>
    <x v="1"/>
    <n v="7"/>
  </r>
  <r>
    <s v="ORD-03849"/>
    <x v="556"/>
    <x v="556"/>
    <s v="CUST29433"/>
    <s v="Priya Chatterjee"/>
    <n v="25"/>
    <s v="Male"/>
    <x v="1"/>
    <s v="Surat"/>
    <x v="1"/>
    <s v="Shampoo"/>
    <n v="8"/>
    <n v="142.19"/>
    <n v="0.04"/>
    <n v="1840.58"/>
    <n v="820.61"/>
    <n v="75.73"/>
    <s v="EMI"/>
    <x v="0"/>
    <b v="0"/>
    <x v="1"/>
    <n v="5"/>
  </r>
  <r>
    <s v="ORD-02420"/>
    <x v="1228"/>
    <x v="1228"/>
    <s v="CUST51531"/>
    <s v="Vikram Verma"/>
    <n v="15"/>
    <s v="Female"/>
    <x v="0"/>
    <s v="Nagpur"/>
    <x v="0"/>
    <s v="Cooking Oil"/>
    <n v="8"/>
    <n v="125.37"/>
    <n v="0.31"/>
    <n v="588.74"/>
    <n v="40.340000000000003"/>
    <n v="44.85"/>
    <s v="EMI"/>
    <x v="4"/>
    <b v="1"/>
    <x v="0"/>
    <n v="5"/>
  </r>
  <r>
    <s v="ORD-03230"/>
    <x v="394"/>
    <x v="394"/>
    <s v="CUST12331"/>
    <s v="Nikhil Singh"/>
    <n v="28"/>
    <s v="Other"/>
    <x v="1"/>
    <s v="Ahmedabad"/>
    <x v="2"/>
    <s v="Bed Frame"/>
    <n v="2"/>
    <n v="28320.84"/>
    <n v="0.09"/>
    <n v="52512.57"/>
    <n v="12726.17"/>
    <n v="51.84"/>
    <s v="EMI"/>
    <x v="3"/>
    <b v="0"/>
    <x v="1"/>
    <n v="4"/>
  </r>
  <r>
    <s v="ORD-01012"/>
    <x v="330"/>
    <x v="330"/>
    <s v="CUST71352"/>
    <s v="Priya Pillai"/>
    <n v="38"/>
    <s v="Other"/>
    <x v="1"/>
    <s v="Pune"/>
    <x v="4"/>
    <s v="T-Shirt"/>
    <n v="7"/>
    <n v="3514.94"/>
    <n v="0.24"/>
    <n v="21904.97"/>
    <n v="8841.56"/>
    <n v="59.33"/>
    <s v="Net Banking"/>
    <x v="2"/>
    <b v="0"/>
    <x v="1"/>
    <n v="10"/>
  </r>
  <r>
    <s v="ORD-01304"/>
    <x v="323"/>
    <x v="323"/>
    <s v="CUST66175"/>
    <s v="Aarav Das"/>
    <n v="26"/>
    <s v="Male"/>
    <x v="0"/>
    <s v="Raipur"/>
    <x v="2"/>
    <s v="Sofa"/>
    <n v="8"/>
    <n v="29112.080000000002"/>
    <n v="0.18"/>
    <n v="251589.73"/>
    <n v="75733.789999999994"/>
    <n v="27.35"/>
    <s v="EMI"/>
    <x v="4"/>
    <b v="0"/>
    <x v="1"/>
    <n v="3"/>
  </r>
  <r>
    <s v="ORD-00891"/>
    <x v="148"/>
    <x v="148"/>
    <s v="CUST89847"/>
    <s v="Pooja Sharma"/>
    <n v="35"/>
    <s v="Other"/>
    <x v="4"/>
    <s v="Chennai"/>
    <x v="1"/>
    <s v="Face Cream"/>
    <n v="9"/>
    <n v="616.58000000000004"/>
    <n v="0.36"/>
    <n v="3400.49"/>
    <n v="1300.95"/>
    <n v="91.17"/>
    <s v="Cash on Delivery"/>
    <x v="2"/>
    <b v="0"/>
    <x v="1"/>
    <n v="10"/>
  </r>
  <r>
    <s v="ORD-02792"/>
    <x v="1531"/>
    <x v="1531"/>
    <s v="CUST84330"/>
    <s v="Kavya Verma"/>
    <n v="32"/>
    <s v="Female"/>
    <x v="4"/>
    <s v="Bangalore"/>
    <x v="4"/>
    <s v="Jacket"/>
    <n v="6"/>
    <n v="3592.92"/>
    <n v="0.21"/>
    <n v="32152.59"/>
    <n v="12889.05"/>
    <n v="58.05"/>
    <s v="Cash on Delivery"/>
    <x v="2"/>
    <b v="1"/>
    <x v="0"/>
    <n v="3"/>
  </r>
  <r>
    <s v="ORD-01262"/>
    <x v="933"/>
    <x v="933"/>
    <s v="CUST53403"/>
    <s v="Karan Shah"/>
    <n v="29"/>
    <s v="Female"/>
    <x v="0"/>
    <s v="Indore"/>
    <x v="6"/>
    <s v="Cricket Bat"/>
    <n v="6"/>
    <n v="4001.67"/>
    <n v="0.03"/>
    <n v="34048.21"/>
    <n v="7434.44"/>
    <n v="68.099999999999994"/>
    <s v="UPI"/>
    <x v="1"/>
    <b v="0"/>
    <x v="1"/>
    <n v="7"/>
  </r>
  <r>
    <s v="ORD-04030"/>
    <x v="1128"/>
    <x v="1128"/>
    <s v="CUST64389"/>
    <s v="Shreya Joshi"/>
    <n v="38"/>
    <s v="Other"/>
    <x v="4"/>
    <s v="Bangalore"/>
    <x v="3"/>
    <s v="Textbook"/>
    <n v="5"/>
    <n v="1347.11"/>
    <n v="0.05"/>
    <n v="1522.28"/>
    <n v="738.02"/>
    <n v="52.55"/>
    <s v="Net Banking"/>
    <x v="1"/>
    <b v="0"/>
    <x v="1"/>
    <n v="4"/>
  </r>
  <r>
    <s v="ORD-02732"/>
    <x v="234"/>
    <x v="234"/>
    <s v="CUST23366"/>
    <s v="Priya Kumar"/>
    <n v="32"/>
    <s v="Male"/>
    <x v="2"/>
    <s v="Amritsar"/>
    <x v="4"/>
    <s v="Jacket"/>
    <n v="8"/>
    <n v="1060.79"/>
    <n v="0.16"/>
    <n v="8629.82"/>
    <n v="2159.1999999999998"/>
    <n v="51.46"/>
    <s v="UPI"/>
    <x v="2"/>
    <b v="0"/>
    <x v="2"/>
    <n v="7"/>
  </r>
  <r>
    <s v="ORD-03346"/>
    <x v="558"/>
    <x v="558"/>
    <s v="CUST20166"/>
    <s v="Sunita Das"/>
    <n v="34"/>
    <s v="Other"/>
    <x v="3"/>
    <s v="Kolkata"/>
    <x v="2"/>
    <s v="Bed Frame"/>
    <n v="9"/>
    <n v="33868"/>
    <n v="0.31"/>
    <n v="167839.68"/>
    <n v="31658.39"/>
    <n v="110.02"/>
    <s v="EMI"/>
    <x v="3"/>
    <b v="0"/>
    <x v="1"/>
    <n v="7"/>
  </r>
  <r>
    <s v="ORD-03461"/>
    <x v="667"/>
    <x v="667"/>
    <s v="CUST10511"/>
    <s v="Priya Das"/>
    <n v="52"/>
    <s v="Other"/>
    <x v="3"/>
    <s v="Guwahati"/>
    <x v="0"/>
    <s v="Tea"/>
    <n v="8"/>
    <n v="465.1"/>
    <n v="0.31"/>
    <n v="2873.98"/>
    <n v="258.85000000000002"/>
    <n v="68.06"/>
    <s v="Debit Card"/>
    <x v="2"/>
    <b v="0"/>
    <x v="1"/>
    <n v="6"/>
  </r>
  <r>
    <s v="ORD-00633"/>
    <x v="84"/>
    <x v="84"/>
    <s v="CUST53440"/>
    <s v="Nisha Sharma"/>
    <n v="44"/>
    <s v="Male"/>
    <x v="3"/>
    <s v="Kolkata"/>
    <x v="0"/>
    <s v="Dal (1kg)"/>
    <n v="4"/>
    <n v="311.10000000000002"/>
    <n v="0.01"/>
    <n v="1035.45"/>
    <n v="92.22"/>
    <n v="75.239999999999995"/>
    <s v="UPI"/>
    <x v="3"/>
    <b v="0"/>
    <x v="1"/>
    <n v="1"/>
  </r>
  <r>
    <s v="ORD-00195"/>
    <x v="1142"/>
    <x v="1142"/>
    <s v="CUST10870"/>
    <s v="Deepa Bhat"/>
    <n v="26"/>
    <s v="Female"/>
    <x v="0"/>
    <s v="Raipur"/>
    <x v="1"/>
    <s v="Shampoo"/>
    <n v="10"/>
    <n v="2466.88"/>
    <n v="0.25"/>
    <n v="17991.29"/>
    <n v="5973.34"/>
    <n v="34.92"/>
    <s v="Net Banking"/>
    <x v="2"/>
    <b v="0"/>
    <x v="1"/>
    <n v="9"/>
  </r>
  <r>
    <s v="ORD-00514"/>
    <x v="1529"/>
    <x v="1529"/>
    <s v="CUST86166"/>
    <s v="Shreya Rao"/>
    <n v="48"/>
    <s v="Other"/>
    <x v="0"/>
    <s v="Indore"/>
    <x v="2"/>
    <s v="Bed Frame"/>
    <n v="2"/>
    <n v="17924.25"/>
    <n v="0.15"/>
    <n v="40170.17"/>
    <n v="13769.68"/>
    <n v="75.45"/>
    <s v="Cash on Delivery"/>
    <x v="1"/>
    <b v="0"/>
    <x v="1"/>
    <n v="10"/>
  </r>
  <r>
    <s v="ORD-01639"/>
    <x v="178"/>
    <x v="178"/>
    <s v="CUST37611"/>
    <s v="Aditya Sharma"/>
    <n v="48"/>
    <s v="Female"/>
    <x v="2"/>
    <s v="Amritsar"/>
    <x v="2"/>
    <s v="Bookshelf"/>
    <n v="10"/>
    <n v="33336.04"/>
    <n v="0.22"/>
    <n v="196057.15"/>
    <n v="62738.27"/>
    <n v="43.07"/>
    <s v="EMI"/>
    <x v="3"/>
    <b v="0"/>
    <x v="1"/>
    <n v="10"/>
  </r>
  <r>
    <s v="ORD-01456"/>
    <x v="908"/>
    <x v="908"/>
    <s v="CUST75629"/>
    <s v="Vikram Kapoor"/>
    <n v="38"/>
    <s v="Male"/>
    <x v="0"/>
    <s v="Raipur"/>
    <x v="0"/>
    <s v="Dal (1kg)"/>
    <n v="1"/>
    <n v="229.1"/>
    <n v="0.04"/>
    <n v="210.21"/>
    <n v="15.48"/>
    <n v="70.47"/>
    <s v="Net Banking"/>
    <x v="1"/>
    <b v="0"/>
    <x v="1"/>
    <n v="3"/>
  </r>
  <r>
    <s v="ORD-03747"/>
    <x v="451"/>
    <x v="451"/>
    <s v="CUST30878"/>
    <s v="Karan Kumar"/>
    <n v="42"/>
    <s v="Male"/>
    <x v="3"/>
    <s v="Bhubaneswar"/>
    <x v="5"/>
    <s v="Smartphone"/>
    <n v="6"/>
    <n v="72110.58"/>
    <n v="0.37"/>
    <n v="450289.54"/>
    <n v="65004.31"/>
    <n v="70.739999999999995"/>
    <s v="Cash on Delivery"/>
    <x v="0"/>
    <b v="0"/>
    <x v="2"/>
    <n v="9"/>
  </r>
  <r>
    <s v="ORD-03842"/>
    <x v="1532"/>
    <x v="1532"/>
    <s v="CUST75870"/>
    <s v="Meera Mishra"/>
    <n v="20"/>
    <s v="Other"/>
    <x v="3"/>
    <s v="Patna"/>
    <x v="0"/>
    <s v="Cooking Oil"/>
    <n v="7"/>
    <n v="75.8"/>
    <n v="0.05"/>
    <n v="782.05"/>
    <n v="70.98"/>
    <n v="62.63"/>
    <s v="Net Banking"/>
    <x v="2"/>
    <b v="0"/>
    <x v="1"/>
    <n v="8"/>
  </r>
  <r>
    <s v="ORD-00210"/>
    <x v="544"/>
    <x v="544"/>
    <s v="CUST41794"/>
    <s v="Arjun Kapoor"/>
    <n v="29"/>
    <s v="Female"/>
    <x v="0"/>
    <s v="Raipur"/>
    <x v="5"/>
    <s v="Headphones"/>
    <n v="7"/>
    <n v="48050.22"/>
    <n v="0.32"/>
    <n v="237090.85"/>
    <n v="29156.240000000002"/>
    <n v="35.880000000000003"/>
    <s v="Debit Card"/>
    <x v="2"/>
    <b v="0"/>
    <x v="3"/>
    <n v="3"/>
  </r>
  <r>
    <s v="ORD-03049"/>
    <x v="1282"/>
    <x v="1282"/>
    <s v="CUST94965"/>
    <s v="Amit Joshi"/>
    <n v="26"/>
    <s v="Other"/>
    <x v="3"/>
    <s v="Bhubaneswar"/>
    <x v="6"/>
    <s v="Tennis Racket"/>
    <n v="9"/>
    <n v="905.34"/>
    <n v="0.05"/>
    <n v="10046.959999999999"/>
    <n v="2301.4899999999998"/>
    <n v="59.24"/>
    <s v="Net Banking"/>
    <x v="4"/>
    <b v="0"/>
    <x v="1"/>
    <n v="6"/>
  </r>
  <r>
    <s v="ORD-01187"/>
    <x v="1533"/>
    <x v="1533"/>
    <s v="CUST93071"/>
    <s v="Vikram Joshi"/>
    <n v="22"/>
    <s v="Female"/>
    <x v="1"/>
    <s v="Ahmedabad"/>
    <x v="5"/>
    <s v="Smartphone"/>
    <n v="3"/>
    <n v="76896.61"/>
    <n v="7.0000000000000007E-2"/>
    <n v="332318.84999999998"/>
    <n v="37948.79"/>
    <n v="73.13"/>
    <s v="Cash on Delivery"/>
    <x v="0"/>
    <b v="0"/>
    <x v="4"/>
    <n v="5"/>
  </r>
  <r>
    <s v="ORD-00636"/>
    <x v="84"/>
    <x v="84"/>
    <s v="CUST37768"/>
    <s v="Vikram Iyer"/>
    <n v="10"/>
    <s v="Female"/>
    <x v="0"/>
    <s v="Indore"/>
    <x v="3"/>
    <s v="Comic Book"/>
    <n v="1"/>
    <n v="1078.0999999999999"/>
    <n v="0.04"/>
    <n v="862.77"/>
    <n v="356.63"/>
    <n v="30.25"/>
    <s v="UPI"/>
    <x v="2"/>
    <b v="0"/>
    <x v="1"/>
    <n v="6"/>
  </r>
  <r>
    <s v="ORD-03962"/>
    <x v="1039"/>
    <x v="1039"/>
    <s v="CUST29392"/>
    <s v="Aditya Das"/>
    <n v="26"/>
    <s v="Female"/>
    <x v="3"/>
    <s v="Guwahati"/>
    <x v="0"/>
    <s v="Cooking Oil"/>
    <n v="7"/>
    <n v="461.68"/>
    <n v="0.21"/>
    <n v="3878.43"/>
    <n v="381.32"/>
    <n v="109.75"/>
    <s v="Debit Card"/>
    <x v="4"/>
    <b v="0"/>
    <x v="2"/>
    <n v="7"/>
  </r>
  <r>
    <s v="ORD-04094"/>
    <x v="359"/>
    <x v="359"/>
    <s v="CUST70447"/>
    <s v="Rohan Kumar"/>
    <n v="38"/>
    <s v="Other"/>
    <x v="0"/>
    <s v="Nagpur"/>
    <x v="5"/>
    <s v="Smartphone"/>
    <n v="5"/>
    <n v="32962.49"/>
    <n v="0.19"/>
    <n v="24684.25"/>
    <n v="2696.36"/>
    <n v="60.59"/>
    <s v="EMI"/>
    <x v="3"/>
    <b v="0"/>
    <x v="3"/>
    <n v="2"/>
  </r>
  <r>
    <s v="ORD-03583"/>
    <x v="1534"/>
    <x v="1534"/>
    <s v="CUST63387"/>
    <s v="Priya Bose"/>
    <n v="23"/>
    <s v="Female"/>
    <x v="3"/>
    <s v="Guwahati"/>
    <x v="0"/>
    <s v="Tea"/>
    <n v="6"/>
    <n v="392.2"/>
    <n v="0.26"/>
    <n v="2621.04"/>
    <n v="207.12"/>
    <n v="70.3"/>
    <s v="UPI"/>
    <x v="0"/>
    <b v="0"/>
    <x v="1"/>
    <n v="9"/>
  </r>
  <r>
    <s v="ORD-00088"/>
    <x v="620"/>
    <x v="620"/>
    <s v="CUST25625"/>
    <s v="Meera Kapoor"/>
    <n v="34"/>
    <s v="Other"/>
    <x v="2"/>
    <s v="Delhi"/>
    <x v="5"/>
    <s v="Camera"/>
    <n v="7"/>
    <n v="60474.12"/>
    <n v="0.04"/>
    <n v="377022.96"/>
    <n v="37668.94"/>
    <n v="62.96"/>
    <s v="Net Banking"/>
    <x v="2"/>
    <b v="0"/>
    <x v="4"/>
    <n v="7"/>
  </r>
  <r>
    <s v="ORD-01370"/>
    <x v="947"/>
    <x v="947"/>
    <s v="CUST44583"/>
    <s v="Aarav Rao"/>
    <n v="48"/>
    <s v="Male"/>
    <x v="3"/>
    <s v="Bhubaneswar"/>
    <x v="5"/>
    <s v="Headphones"/>
    <n v="5"/>
    <n v="77055.5"/>
    <n v="0.09"/>
    <n v="398426.64"/>
    <n v="51765.01"/>
    <n v="68.430000000000007"/>
    <s v="EMI"/>
    <x v="1"/>
    <b v="0"/>
    <x v="1"/>
    <n v="6"/>
  </r>
  <r>
    <s v="ORD-04005"/>
    <x v="1423"/>
    <x v="1423"/>
    <s v="CUST65030"/>
    <s v="Nisha Rao"/>
    <n v="35"/>
    <s v="Male"/>
    <x v="4"/>
    <s v="Hyderabad"/>
    <x v="4"/>
    <s v="T-Shirt"/>
    <n v="7"/>
    <n v="1062.1099999999999"/>
    <n v="0.24"/>
    <n v="8280.1299999999992"/>
    <n v="1296.33"/>
    <n v="57.64"/>
    <s v="UPI"/>
    <x v="0"/>
    <b v="1"/>
    <x v="0"/>
    <n v="3"/>
  </r>
  <r>
    <s v="ORD-01980"/>
    <x v="851"/>
    <x v="851"/>
    <s v="CUST69864"/>
    <s v="Vikram Iyer"/>
    <n v="31"/>
    <s v="Male"/>
    <x v="4"/>
    <s v="Kochi"/>
    <x v="0"/>
    <s v="Dal (1kg)"/>
    <n v="6"/>
    <n v="181.78"/>
    <n v="0.38"/>
    <n v="888.33"/>
    <n v="43.28"/>
    <n v="64.13"/>
    <s v="UPI"/>
    <x v="0"/>
    <b v="0"/>
    <x v="1"/>
    <n v="9"/>
  </r>
  <r>
    <s v="ORD-02958"/>
    <x v="1535"/>
    <x v="1535"/>
    <s v="CUST02784"/>
    <s v="Sunita Gupta"/>
    <n v="25"/>
    <s v="Male"/>
    <x v="2"/>
    <s v="Amritsar"/>
    <x v="6"/>
    <s v="Cycle"/>
    <n v="3"/>
    <n v="13054.7"/>
    <n v="0.2"/>
    <n v="50129.67"/>
    <n v="9740.83"/>
    <n v="41.44"/>
    <s v="UPI"/>
    <x v="3"/>
    <b v="1"/>
    <x v="0"/>
    <n v="9"/>
  </r>
  <r>
    <s v="ORD-03790"/>
    <x v="1536"/>
    <x v="1536"/>
    <s v="CUST81850"/>
    <s v="Karan Das"/>
    <n v="7"/>
    <s v="Other"/>
    <x v="3"/>
    <s v="Guwahati"/>
    <x v="1"/>
    <s v="Lipstick"/>
    <n v="3"/>
    <n v="1906.13"/>
    <n v="0.35"/>
    <n v="5546.63"/>
    <n v="2206.08"/>
    <n v="75.13"/>
    <s v="UPI"/>
    <x v="1"/>
    <b v="0"/>
    <x v="1"/>
    <n v="6"/>
  </r>
  <r>
    <s v="ORD-00191"/>
    <x v="1015"/>
    <x v="1015"/>
    <s v="CUST37196"/>
    <s v="Pooja Chatterjee"/>
    <n v="37"/>
    <s v="Other"/>
    <x v="4"/>
    <s v="Chennai"/>
    <x v="4"/>
    <s v="T-Shirt"/>
    <n v="2"/>
    <n v="2822.43"/>
    <n v="0.32"/>
    <n v="3893.81"/>
    <n v="1101.47"/>
    <n v="41.8"/>
    <s v="Cash on Delivery"/>
    <x v="3"/>
    <b v="0"/>
    <x v="1"/>
    <n v="4"/>
  </r>
  <r>
    <s v="ORD-03825"/>
    <x v="170"/>
    <x v="170"/>
    <s v="CUST88226"/>
    <s v="Aditya Verma"/>
    <n v="47"/>
    <s v="Male"/>
    <x v="1"/>
    <s v="Surat"/>
    <x v="0"/>
    <s v="Tea"/>
    <n v="7"/>
    <n v="488.22"/>
    <n v="0.38"/>
    <n v="2672.94"/>
    <n v="163.37"/>
    <n v="60.37"/>
    <s v="EMI"/>
    <x v="4"/>
    <b v="1"/>
    <x v="0"/>
    <n v="8"/>
  </r>
  <r>
    <s v="ORD-00179"/>
    <x v="1022"/>
    <x v="1022"/>
    <s v="CUST72035"/>
    <s v="Ritu Pillai"/>
    <n v="39"/>
    <s v="Male"/>
    <x v="4"/>
    <s v="Chennai"/>
    <x v="1"/>
    <s v="Hair Oil"/>
    <n v="2"/>
    <n v="691.8"/>
    <n v="0.4"/>
    <n v="832.4"/>
    <n v="369.92"/>
    <n v="65.91"/>
    <s v="Debit Card"/>
    <x v="1"/>
    <b v="0"/>
    <x v="1"/>
    <n v="9"/>
  </r>
  <r>
    <s v="ORD-03841"/>
    <x v="1532"/>
    <x v="1532"/>
    <s v="CUST55175"/>
    <s v="Pooja Verma"/>
    <n v="36"/>
    <s v="Female"/>
    <x v="2"/>
    <s v="Ludhiana"/>
    <x v="6"/>
    <s v="Cycle"/>
    <n v="4"/>
    <n v="4702.62"/>
    <n v="0.3"/>
    <n v="23223.7"/>
    <n v="3762.63"/>
    <n v="66.86"/>
    <s v="Net Banking"/>
    <x v="3"/>
    <b v="0"/>
    <x v="1"/>
    <n v="5"/>
  </r>
  <r>
    <s v="ORD-02605"/>
    <x v="1506"/>
    <x v="1506"/>
    <s v="CUST70348"/>
    <s v="Sanjay Chatterjee"/>
    <n v="33"/>
    <s v="Other"/>
    <x v="3"/>
    <s v="Guwahati"/>
    <x v="0"/>
    <s v="Dal (1kg)"/>
    <n v="2"/>
    <n v="458.79"/>
    <n v="0.24"/>
    <n v="719.16"/>
    <n v="59.83"/>
    <n v="86.04"/>
    <s v="EMI"/>
    <x v="0"/>
    <b v="0"/>
    <x v="3"/>
    <n v="6"/>
  </r>
  <r>
    <s v="ORD-02589"/>
    <x v="407"/>
    <x v="407"/>
    <s v="CUST13119"/>
    <s v="Priya Bose"/>
    <n v="39"/>
    <s v="Other"/>
    <x v="1"/>
    <s v="Ahmedabad"/>
    <x v="2"/>
    <s v="Bookshelf"/>
    <n v="8"/>
    <n v="8213.91"/>
    <n v="0.21"/>
    <n v="64071.92"/>
    <n v="12928.63"/>
    <n v="87.38"/>
    <s v="Net Banking"/>
    <x v="0"/>
    <b v="0"/>
    <x v="1"/>
    <n v="9"/>
  </r>
  <r>
    <s v="ORD-03465"/>
    <x v="667"/>
    <x v="667"/>
    <s v="CUST56248"/>
    <s v="Aarav Bhat"/>
    <n v="42"/>
    <s v="Female"/>
    <x v="0"/>
    <s v="Indore"/>
    <x v="0"/>
    <s v="Cooking Oil"/>
    <n v="7"/>
    <n v="359.97"/>
    <n v="0.04"/>
    <n v="2544.36"/>
    <n v="337.93"/>
    <n v="52.95"/>
    <s v="UPI"/>
    <x v="1"/>
    <b v="0"/>
    <x v="3"/>
    <n v="5"/>
  </r>
  <r>
    <s v="ORD-02024"/>
    <x v="1537"/>
    <x v="1537"/>
    <s v="CUST02250"/>
    <s v="Rahul Verma"/>
    <n v="33"/>
    <s v="Female"/>
    <x v="2"/>
    <s v="Ludhiana"/>
    <x v="3"/>
    <s v="Fiction Novel"/>
    <n v="1"/>
    <n v="910.26"/>
    <n v="0.04"/>
    <n v="1273.33"/>
    <n v="558.58000000000004"/>
    <n v="27.4"/>
    <s v="Net Banking"/>
    <x v="0"/>
    <b v="0"/>
    <x v="1"/>
    <n v="3"/>
  </r>
  <r>
    <s v="ORD-02104"/>
    <x v="1538"/>
    <x v="1538"/>
    <s v="CUST15485"/>
    <s v="Sanjay Iyer"/>
    <n v="49"/>
    <s v="Female"/>
    <x v="2"/>
    <s v="Ludhiana"/>
    <x v="0"/>
    <s v="Cooking Oil"/>
    <n v="4"/>
    <n v="363.4"/>
    <n v="0.33"/>
    <n v="1689.72"/>
    <n v="153.16999999999999"/>
    <n v="55.45"/>
    <s v="Cash on Delivery"/>
    <x v="4"/>
    <b v="0"/>
    <x v="1"/>
    <n v="3"/>
  </r>
  <r>
    <s v="ORD-01688"/>
    <x v="1248"/>
    <x v="1248"/>
    <s v="CUST53680"/>
    <s v="Amit Shah"/>
    <n v="18"/>
    <s v="Other"/>
    <x v="2"/>
    <s v="Delhi"/>
    <x v="5"/>
    <s v="Smartphone"/>
    <n v="5"/>
    <n v="65121.61"/>
    <n v="0"/>
    <n v="278858.28999999998"/>
    <n v="33377.089999999997"/>
    <n v="75.22"/>
    <s v="Net Banking"/>
    <x v="0"/>
    <b v="0"/>
    <x v="4"/>
    <n v="2"/>
  </r>
  <r>
    <s v="ORD-03916"/>
    <x v="897"/>
    <x v="897"/>
    <s v="CUST33656"/>
    <s v="Ritu Rao"/>
    <n v="50"/>
    <s v="Male"/>
    <x v="3"/>
    <s v="Patna"/>
    <x v="0"/>
    <s v="Cooking Oil"/>
    <n v="4"/>
    <n v="169.97"/>
    <n v="0.11"/>
    <n v="978.94"/>
    <n v="86.75"/>
    <n v="73.040000000000006"/>
    <s v="Debit Card"/>
    <x v="4"/>
    <b v="0"/>
    <x v="1"/>
    <n v="9"/>
  </r>
  <r>
    <s v="ORD-02793"/>
    <x v="924"/>
    <x v="924"/>
    <s v="CUST32818"/>
    <s v="Kavya Kumar"/>
    <n v="34"/>
    <s v="Other"/>
    <x v="1"/>
    <s v="Surat"/>
    <x v="4"/>
    <s v="Dress"/>
    <n v="4"/>
    <n v="882.01"/>
    <n v="0.05"/>
    <n v="4873.47"/>
    <n v="1032.3"/>
    <n v="65.209999999999994"/>
    <s v="Credit Card"/>
    <x v="3"/>
    <b v="0"/>
    <x v="1"/>
    <n v="3"/>
  </r>
  <r>
    <s v="ORD-03322"/>
    <x v="1539"/>
    <x v="1539"/>
    <s v="CUST90480"/>
    <s v="Nisha Patel"/>
    <n v="31"/>
    <s v="Other"/>
    <x v="3"/>
    <s v="Kolkata"/>
    <x v="0"/>
    <s v="Rice (5kg)"/>
    <n v="8"/>
    <n v="314.32"/>
    <n v="0.03"/>
    <n v="2055.5500000000002"/>
    <n v="180.84"/>
    <n v="99.45"/>
    <s v="Debit Card"/>
    <x v="4"/>
    <b v="0"/>
    <x v="3"/>
    <n v="2"/>
  </r>
  <r>
    <s v="ORD-01129"/>
    <x v="812"/>
    <x v="812"/>
    <s v="CUST51027"/>
    <s v="Nikhil Bose"/>
    <n v="14"/>
    <s v="Other"/>
    <x v="1"/>
    <s v="Surat"/>
    <x v="3"/>
    <s v="Cook Book"/>
    <n v="10"/>
    <n v="363.79"/>
    <n v="0.14000000000000001"/>
    <n v="5020.88"/>
    <n v="1879.15"/>
    <n v="43.41"/>
    <s v="Net Banking"/>
    <x v="0"/>
    <b v="0"/>
    <x v="3"/>
    <n v="8"/>
  </r>
  <r>
    <s v="ORD-03068"/>
    <x v="513"/>
    <x v="513"/>
    <s v="CUST89345"/>
    <s v="Deepa Iyer"/>
    <n v="30"/>
    <s v="Other"/>
    <x v="3"/>
    <s v="Guwahati"/>
    <x v="1"/>
    <s v="Shampoo"/>
    <n v="1"/>
    <n v="133.97999999999999"/>
    <n v="0.16"/>
    <n v="157"/>
    <n v="64.55"/>
    <n v="59.05"/>
    <s v="Credit Card"/>
    <x v="1"/>
    <b v="0"/>
    <x v="1"/>
    <n v="4"/>
  </r>
  <r>
    <s v="ORD-03146"/>
    <x v="1472"/>
    <x v="1472"/>
    <s v="CUST78079"/>
    <s v="Meera Gupta"/>
    <n v="27"/>
    <s v="Male"/>
    <x v="4"/>
    <s v="Bangalore"/>
    <x v="5"/>
    <s v="Smartwatch"/>
    <n v="3"/>
    <n v="40582.57"/>
    <n v="0.22"/>
    <n v="118400.61"/>
    <n v="13936.96"/>
    <n v="91.9"/>
    <s v="Debit Card"/>
    <x v="0"/>
    <b v="0"/>
    <x v="3"/>
    <n v="4"/>
  </r>
  <r>
    <s v="ORD-01813"/>
    <x v="749"/>
    <x v="749"/>
    <s v="CUST37116"/>
    <s v="Nisha Das"/>
    <n v="47"/>
    <s v="Other"/>
    <x v="0"/>
    <s v="Nagpur"/>
    <x v="4"/>
    <s v="T-Shirt"/>
    <n v="1"/>
    <n v="1385.37"/>
    <n v="0.08"/>
    <n v="1543.45"/>
    <n v="661.84"/>
    <n v="62.19"/>
    <s v="Credit Card"/>
    <x v="3"/>
    <b v="0"/>
    <x v="1"/>
    <n v="5"/>
  </r>
  <r>
    <s v="ORD-02560"/>
    <x v="836"/>
    <x v="836"/>
    <s v="CUST90788"/>
    <s v="Kavya Kapoor"/>
    <n v="999"/>
    <s v="Female"/>
    <x v="4"/>
    <s v="Kochi"/>
    <x v="5"/>
    <s v="Tablet"/>
    <n v="999"/>
    <n v="18619.45"/>
    <n v="0"/>
    <n v="17360314.170000002"/>
    <n v="2445648.4300000002"/>
    <n v="82.19"/>
    <s v="EMI"/>
    <x v="4"/>
    <b v="0"/>
    <x v="1"/>
    <n v="5"/>
  </r>
  <r>
    <s v="ORD-04019"/>
    <x v="1374"/>
    <x v="1374"/>
    <s v="CUST33185"/>
    <s v="Aditya Bose"/>
    <n v="30"/>
    <s v="Female"/>
    <x v="0"/>
    <s v="Nagpur"/>
    <x v="6"/>
    <s v="Cycle"/>
    <n v="8"/>
    <n v="11748.72"/>
    <n v="0.34"/>
    <n v="67592.289999999994"/>
    <n v="16805.64"/>
    <n v="44.93"/>
    <s v="UPI"/>
    <x v="0"/>
    <b v="1"/>
    <x v="0"/>
    <n v="10"/>
  </r>
  <r>
    <s v="ORD-03512"/>
    <x v="1540"/>
    <x v="1540"/>
    <s v="CUST61863"/>
    <s v="Shreya Nair"/>
    <n v="41"/>
    <s v="Female"/>
    <x v="3"/>
    <s v="Kolkata"/>
    <x v="4"/>
    <s v="Jeans"/>
    <n v="10"/>
    <n v="1320.43"/>
    <n v="0.25"/>
    <n v="13732.16"/>
    <n v="5671.18"/>
    <n v="74.31"/>
    <s v="Debit Card"/>
    <x v="3"/>
    <b v="0"/>
    <x v="4"/>
    <n v="6"/>
  </r>
  <r>
    <s v="ORD-01024"/>
    <x v="1541"/>
    <x v="1541"/>
    <s v="CUST22670"/>
    <s v="Sanjay Joshi"/>
    <n v="49"/>
    <s v="Female"/>
    <x v="3"/>
    <s v="Patna"/>
    <x v="2"/>
    <s v="Bed Frame"/>
    <n v="10"/>
    <n v="14892.78"/>
    <n v="0.21"/>
    <n v="168394.7"/>
    <n v="64660.74"/>
    <n v="118.18"/>
    <s v="Credit Card"/>
    <x v="3"/>
    <b v="0"/>
    <x v="4"/>
    <n v="8"/>
  </r>
  <r>
    <s v="ORD-01753"/>
    <x v="856"/>
    <x v="856"/>
    <s v="CUST62689"/>
    <s v="Ananya Das"/>
    <n v="32"/>
    <s v="Female"/>
    <x v="2"/>
    <s v="Delhi"/>
    <x v="4"/>
    <s v="Jeans"/>
    <n v="3"/>
    <n v="3289.49"/>
    <n v="0.2"/>
    <n v="6684.85"/>
    <n v="2606.38"/>
    <n v="68.78"/>
    <s v="UPI"/>
    <x v="1"/>
    <b v="0"/>
    <x v="1"/>
    <n v="3"/>
  </r>
  <r>
    <s v="ORD-00472"/>
    <x v="1542"/>
    <x v="1542"/>
    <s v="CUST21284"/>
    <s v="Aarav Joshi"/>
    <n v="44"/>
    <s v="Other"/>
    <x v="3"/>
    <s v="Patna"/>
    <x v="0"/>
    <s v="Flour"/>
    <n v="1"/>
    <n v="117.22"/>
    <n v="0.26"/>
    <n v="124.38"/>
    <n v="11.08"/>
    <n v="84.2"/>
    <s v="Credit Card"/>
    <x v="3"/>
    <b v="0"/>
    <x v="1"/>
    <n v="5"/>
  </r>
  <r>
    <s v="ORD-00399"/>
    <x v="79"/>
    <x v="79"/>
    <s v="CUST01014"/>
    <s v="Aditya Chatterjee"/>
    <n v="27"/>
    <s v="Other"/>
    <x v="1"/>
    <s v="Pune"/>
    <x v="6"/>
    <s v="Dumbbells"/>
    <n v="9"/>
    <n v="14879.68"/>
    <n v="0.25"/>
    <n v="128980.52"/>
    <n v="28846.04"/>
    <n v="60"/>
    <s v="Credit Card"/>
    <x v="0"/>
    <b v="0"/>
    <x v="1"/>
    <n v="10"/>
  </r>
  <r>
    <s v="ORD-03499"/>
    <x v="1290"/>
    <x v="1290"/>
    <s v="CUST16184"/>
    <s v="Rahul Kumar"/>
    <n v="39"/>
    <s v="Female"/>
    <x v="1"/>
    <s v="Surat"/>
    <x v="5"/>
    <s v="Tablet"/>
    <n v="8"/>
    <n v="22744.84"/>
    <n v="0.03"/>
    <n v="181169.01"/>
    <n v="15125.76"/>
    <n v="75.81"/>
    <s v="EMI"/>
    <x v="4"/>
    <b v="0"/>
    <x v="4"/>
    <n v="3"/>
  </r>
  <r>
    <s v="ORD-00036"/>
    <x v="237"/>
    <x v="237"/>
    <s v="CUST38423"/>
    <s v="Kavya Nair"/>
    <n v="26"/>
    <s v="Female"/>
    <x v="3"/>
    <s v="Patna"/>
    <x v="2"/>
    <s v="Desk"/>
    <n v="3"/>
    <n v="12822.15"/>
    <n v="0.01"/>
    <n v="29713.41"/>
    <n v="10599.17"/>
    <n v="86.21"/>
    <s v="UPI"/>
    <x v="3"/>
    <b v="1"/>
    <x v="0"/>
    <n v="9"/>
  </r>
  <r>
    <s v="ORD-02254"/>
    <x v="1065"/>
    <x v="1065"/>
    <s v="CUST33459"/>
    <s v="Nisha Sharma"/>
    <n v="33"/>
    <s v="Female"/>
    <x v="2"/>
    <s v="Delhi"/>
    <x v="2"/>
    <s v="Desk"/>
    <n v="10"/>
    <n v="5472.78"/>
    <n v="0.24"/>
    <n v="53170.77"/>
    <n v="15999.21"/>
    <n v="73.94"/>
    <s v="Debit Card"/>
    <x v="2"/>
    <b v="0"/>
    <x v="1"/>
    <n v="9"/>
  </r>
  <r>
    <s v="ORD-02657"/>
    <x v="1461"/>
    <x v="1461"/>
    <s v="CUST66904"/>
    <s v="Kavya Chatterjee"/>
    <n v="41"/>
    <s v="Other"/>
    <x v="3"/>
    <s v="Kolkata"/>
    <x v="0"/>
    <s v="Cooking Oil"/>
    <n v="5"/>
    <n v="97.04"/>
    <n v="7.0000000000000007E-2"/>
    <n v="446.89"/>
    <n v="48.71"/>
    <n v="82.24"/>
    <s v="Net Banking"/>
    <x v="4"/>
    <b v="0"/>
    <x v="1"/>
    <n v="3"/>
  </r>
  <r>
    <s v="ORD-00253"/>
    <x v="996"/>
    <x v="996"/>
    <s v="CUST11397"/>
    <s v="Aarav Verma"/>
    <n v="50"/>
    <s v="Male"/>
    <x v="3"/>
    <s v="Patna"/>
    <x v="3"/>
    <s v="Comic Book"/>
    <n v="8"/>
    <n v="724.91"/>
    <n v="0.39"/>
    <n v="3949.85"/>
    <n v="1441.05"/>
    <n v="80.319999999999993"/>
    <s v="Net Banking"/>
    <x v="0"/>
    <b v="0"/>
    <x v="2"/>
    <n v="1"/>
  </r>
  <r>
    <s v="ORD-02656"/>
    <x v="1461"/>
    <x v="1461"/>
    <s v="CUST34846"/>
    <s v="Vikram Singh"/>
    <n v="46"/>
    <s v="Female"/>
    <x v="2"/>
    <s v="Chandigarh"/>
    <x v="2"/>
    <s v="Bookshelf"/>
    <n v="8"/>
    <n v="24561.25"/>
    <n v="0.33"/>
    <n v="140193.35999999999"/>
    <n v="31348.77"/>
    <n v="47.2"/>
    <s v="Credit Card"/>
    <x v="3"/>
    <b v="0"/>
    <x v="1"/>
    <n v="1"/>
  </r>
  <r>
    <s v="ORD-01068"/>
    <x v="1543"/>
    <x v="1543"/>
    <s v="CUST93899"/>
    <s v="Meera Kapoor"/>
    <n v="49"/>
    <s v="Male"/>
    <x v="4"/>
    <s v="Hyderabad"/>
    <x v="2"/>
    <s v="Chair"/>
    <n v="8"/>
    <n v="13756.55"/>
    <n v="0.36"/>
    <n v="88558.6"/>
    <n v="31183.119999999999"/>
    <n v="80.06"/>
    <s v="Credit Card"/>
    <x v="3"/>
    <b v="0"/>
    <x v="1"/>
    <n v="10"/>
  </r>
  <r>
    <s v="ORD-01286"/>
    <x v="343"/>
    <x v="343"/>
    <s v="CUST73360"/>
    <s v="Nisha Sharma"/>
    <n v="30"/>
    <s v="Female"/>
    <x v="1"/>
    <s v="Surat"/>
    <x v="5"/>
    <s v="Smartwatch"/>
    <n v="5"/>
    <n v="53420.53"/>
    <n v="0.16"/>
    <n v="268730.15000000002"/>
    <n v="18234.55"/>
    <n v="49.75"/>
    <s v="Debit Card"/>
    <x v="2"/>
    <b v="0"/>
    <x v="1"/>
    <n v="3"/>
  </r>
  <r>
    <s v="ORD-03221"/>
    <x v="1167"/>
    <x v="1167"/>
    <s v="CUST96034"/>
    <s v="Rohan Singh"/>
    <n v="30"/>
    <s v="Male"/>
    <x v="2"/>
    <s v="Chandigarh"/>
    <x v="3"/>
    <s v="Textbook"/>
    <n v="6"/>
    <n v="452.9"/>
    <n v="0.01"/>
    <n v="2766.66"/>
    <n v="1043.0999999999999"/>
    <n v="58.82"/>
    <s v="Net Banking"/>
    <x v="4"/>
    <b v="0"/>
    <x v="1"/>
    <n v="3"/>
  </r>
  <r>
    <s v="ORD-02478"/>
    <x v="1196"/>
    <x v="1196"/>
    <s v="CUST02396"/>
    <s v="Karan Sharma"/>
    <n v="32"/>
    <s v="Male"/>
    <x v="4"/>
    <s v="Hyderabad"/>
    <x v="5"/>
    <s v="Tablet"/>
    <n v="3"/>
    <n v="58643.55"/>
    <n v="0.18"/>
    <n v="104290.62"/>
    <n v="10501.29"/>
    <n v="67.56"/>
    <s v="Credit Card"/>
    <x v="0"/>
    <b v="0"/>
    <x v="3"/>
    <n v="2"/>
  </r>
  <r>
    <s v="ORD-02941"/>
    <x v="1530"/>
    <x v="1530"/>
    <s v="CUST16576"/>
    <s v="Aditya Mehta"/>
    <n v="53"/>
    <s v="Female"/>
    <x v="2"/>
    <s v="Amritsar"/>
    <x v="3"/>
    <s v="Fiction Novel"/>
    <n v="4"/>
    <n v="254.4"/>
    <n v="0.04"/>
    <n v="1971.55"/>
    <n v="765.6"/>
    <n v="70.91"/>
    <s v="Cash on Delivery"/>
    <x v="2"/>
    <b v="0"/>
    <x v="1"/>
    <n v="7"/>
  </r>
  <r>
    <s v="ORD-01876"/>
    <x v="942"/>
    <x v="942"/>
    <s v="CUST64959"/>
    <s v="Aditya Sharma"/>
    <n v="47"/>
    <s v="Other"/>
    <x v="3"/>
    <s v="Patna"/>
    <x v="3"/>
    <s v="Fiction Novel"/>
    <n v="5"/>
    <n v="1466.44"/>
    <n v="0.02"/>
    <n v="1925.9"/>
    <n v="587.73"/>
    <n v="74.59"/>
    <s v="Net Banking"/>
    <x v="0"/>
    <b v="0"/>
    <x v="1"/>
    <n v="6"/>
  </r>
  <r>
    <s v="ORD-00229"/>
    <x v="1254"/>
    <x v="1254"/>
    <s v="CUST23370"/>
    <s v="Kavya Pillai"/>
    <n v="37"/>
    <s v="Female"/>
    <x v="1"/>
    <s v="Surat"/>
    <x v="3"/>
    <s v="Self-Help Book"/>
    <n v="2"/>
    <n v="979.23"/>
    <n v="0.26"/>
    <n v="1381.44"/>
    <n v="565.66999999999996"/>
    <n v="57.1"/>
    <s v="Cash on Delivery"/>
    <x v="0"/>
    <b v="1"/>
    <x v="0"/>
    <n v="9"/>
  </r>
  <r>
    <s v="ORD-03052"/>
    <x v="470"/>
    <x v="470"/>
    <s v="CUST62695"/>
    <s v="Vikram Bhat"/>
    <n v="38"/>
    <s v="Other"/>
    <x v="3"/>
    <s v="Guwahati"/>
    <x v="6"/>
    <s v="Dumbbells"/>
    <n v="7"/>
    <n v="13199.66"/>
    <n v="0.23"/>
    <n v="101253.81"/>
    <n v="23525.51"/>
    <n v="75.760000000000005"/>
    <s v="Cash on Delivery"/>
    <x v="2"/>
    <b v="0"/>
    <x v="1"/>
    <n v="9"/>
  </r>
  <r>
    <s v="ORD-01749"/>
    <x v="849"/>
    <x v="849"/>
    <s v="CUST77699"/>
    <s v="Deepa Joshi"/>
    <n v="17"/>
    <s v="Other"/>
    <x v="4"/>
    <s v="Chennai"/>
    <x v="6"/>
    <s v="Football"/>
    <n v="5"/>
    <n v="5142.95"/>
    <n v="0.05"/>
    <n v="24280.58"/>
    <n v="4000.08"/>
    <n v="50.97"/>
    <s v="EMI"/>
    <x v="4"/>
    <b v="1"/>
    <x v="0"/>
    <n v="3"/>
  </r>
  <r>
    <s v="ORD-03078"/>
    <x v="1231"/>
    <x v="1231"/>
    <s v="CUST46478"/>
    <s v="Aarav Nair"/>
    <n v="32"/>
    <s v="Female"/>
    <x v="3"/>
    <s v="Bhubaneswar"/>
    <x v="3"/>
    <s v="Textbook"/>
    <n v="3"/>
    <n v="761.02"/>
    <n v="0.23"/>
    <n v="2331.91"/>
    <n v="1183.07"/>
    <n v="118.86"/>
    <s v="Credit Card"/>
    <x v="0"/>
    <b v="0"/>
    <x v="1"/>
    <n v="7"/>
  </r>
  <r>
    <s v="ORD-01645"/>
    <x v="1544"/>
    <x v="1544"/>
    <s v="CUST58522"/>
    <s v="Priya Kumar"/>
    <n v="27"/>
    <s v="Male"/>
    <x v="4"/>
    <s v="Bangalore"/>
    <x v="1"/>
    <s v="Sunscreen"/>
    <n v="1"/>
    <n v="277.89999999999998"/>
    <n v="0.12"/>
    <n v="229.86"/>
    <n v="81.58"/>
    <n v="50.51"/>
    <s v="EMI"/>
    <x v="2"/>
    <b v="0"/>
    <x v="3"/>
    <n v="3"/>
  </r>
  <r>
    <s v="ORD-04194"/>
    <x v="445"/>
    <x v="445"/>
    <s v="CUST18508"/>
    <s v="Sunita Sharma"/>
    <n v="56"/>
    <s v="Male"/>
    <x v="2"/>
    <s v="Ludhiana"/>
    <x v="3"/>
    <s v="Biography"/>
    <n v="2"/>
    <n v="709.51"/>
    <n v="0.08"/>
    <n v="1228.8699999999999"/>
    <n v="481.53"/>
    <n v="18.48"/>
    <s v="Net Banking"/>
    <x v="1"/>
    <b v="0"/>
    <x v="3"/>
    <n v="5"/>
  </r>
  <r>
    <s v="ORD-01610"/>
    <x v="953"/>
    <x v="953"/>
    <s v="CUST76313"/>
    <s v="Arjun Pillai"/>
    <n v="40"/>
    <s v="Other"/>
    <x v="0"/>
    <s v="Bhopal"/>
    <x v="3"/>
    <s v="Textbook"/>
    <n v="7"/>
    <n v="1347.81"/>
    <n v="0.14000000000000001"/>
    <n v="5535.71"/>
    <n v="1992.64"/>
    <n v="32.85"/>
    <s v="Credit Card"/>
    <x v="3"/>
    <b v="0"/>
    <x v="1"/>
    <n v="9"/>
  </r>
  <r>
    <s v="ORD-02776"/>
    <x v="102"/>
    <x v="102"/>
    <s v="CUST86061"/>
    <s v="Kavya Rao"/>
    <n v="45"/>
    <s v="Male"/>
    <x v="0"/>
    <s v="Indore"/>
    <x v="6"/>
    <s v="Football"/>
    <n v="8"/>
    <n v="8715.32"/>
    <n v="0.21"/>
    <n v="96549.16"/>
    <n v="22685.06"/>
    <n v="74.22"/>
    <s v="Cash on Delivery"/>
    <x v="4"/>
    <b v="0"/>
    <x v="1"/>
    <n v="8"/>
  </r>
  <r>
    <s v="ORD-02367"/>
    <x v="1545"/>
    <x v="1545"/>
    <s v="CUST71730"/>
    <s v="Meera Kapoor"/>
    <n v="33"/>
    <s v="Female"/>
    <x v="3"/>
    <s v="Patna"/>
    <x v="3"/>
    <s v="Biography"/>
    <n v="6"/>
    <n v="353.19"/>
    <n v="0.37"/>
    <n v="1424.52"/>
    <n v="640.89"/>
    <n v="87.77"/>
    <s v="Net Banking"/>
    <x v="0"/>
    <b v="0"/>
    <x v="1"/>
    <n v="7"/>
  </r>
  <r>
    <s v="ORD-00630"/>
    <x v="313"/>
    <x v="313"/>
    <s v="CUST57628"/>
    <s v="Rohan Chatterjee"/>
    <n v="42"/>
    <s v="Female"/>
    <x v="4"/>
    <s v="Kochi"/>
    <x v="2"/>
    <s v="Wardrobe"/>
    <n v="7"/>
    <n v="31760.09"/>
    <n v="0.21"/>
    <n v="198861.51"/>
    <n v="77339.31"/>
    <n v="62.01"/>
    <s v="Debit Card"/>
    <x v="0"/>
    <b v="0"/>
    <x v="1"/>
    <n v="3"/>
  </r>
  <r>
    <s v="ORD-00926"/>
    <x v="163"/>
    <x v="163"/>
    <s v="CUST42894"/>
    <s v="Sanjay Patel"/>
    <n v="30"/>
    <s v="Male"/>
    <x v="1"/>
    <s v="Ahmedabad"/>
    <x v="4"/>
    <s v="Jeans"/>
    <n v="9"/>
    <n v="1846.99"/>
    <n v="0.32"/>
    <n v="9441.56"/>
    <n v="3194.01"/>
    <n v="82.33"/>
    <s v="Debit Card"/>
    <x v="0"/>
    <b v="0"/>
    <x v="1"/>
    <n v="6"/>
  </r>
  <r>
    <s v="ORD-02942"/>
    <x v="187"/>
    <x v="187"/>
    <s v="CUST41370"/>
    <s v="Amit Verma"/>
    <n v="40"/>
    <s v="Male"/>
    <x v="2"/>
    <s v="Delhi"/>
    <x v="0"/>
    <s v="Dal (1kg)"/>
    <n v="5"/>
    <n v="306.51"/>
    <n v="0.18"/>
    <n v="2204.96"/>
    <n v="174.67"/>
    <n v="63.22"/>
    <s v="Cash on Delivery"/>
    <x v="0"/>
    <b v="0"/>
    <x v="1"/>
    <n v="3"/>
  </r>
  <r>
    <s v="ORD-01020"/>
    <x v="1484"/>
    <x v="1484"/>
    <s v="CUST24177"/>
    <s v="Rohan Reddy"/>
    <n v="40"/>
    <s v="Male"/>
    <x v="4"/>
    <s v="Chennai"/>
    <x v="2"/>
    <s v="Sofa"/>
    <n v="0"/>
    <n v="2090.33"/>
    <n v="0.28999999999999998"/>
    <n v="1783.33"/>
    <n v="304.35000000000002"/>
    <n v="82.39"/>
    <s v="Cash on Delivery"/>
    <x v="3"/>
    <b v="0"/>
    <x v="2"/>
    <n v="3"/>
  </r>
  <r>
    <s v="ORD-02083"/>
    <x v="848"/>
    <x v="848"/>
    <s v="CUST58154"/>
    <s v="Karan Chatterjee"/>
    <n v="33"/>
    <s v="Other"/>
    <x v="1"/>
    <s v="Surat"/>
    <x v="2"/>
    <s v="Bookshelf"/>
    <n v="6"/>
    <n v="6433.11"/>
    <n v="0.05"/>
    <n v="51511.32"/>
    <n v="11059.52"/>
    <n v="68.209999999999994"/>
    <s v="Net Banking"/>
    <x v="4"/>
    <b v="0"/>
    <x v="1"/>
    <n v="7"/>
  </r>
  <r>
    <s v="ORD-03385"/>
    <x v="753"/>
    <x v="753"/>
    <s v="CUST57537"/>
    <s v="Meera Reddy"/>
    <n v="23"/>
    <s v="Male"/>
    <x v="3"/>
    <s v="Guwahati"/>
    <x v="3"/>
    <s v="Textbook"/>
    <n v="9"/>
    <n v="1151.99"/>
    <n v="0.36"/>
    <n v="5781.66"/>
    <n v="2458.52"/>
    <n v="80.27"/>
    <s v="EMI"/>
    <x v="1"/>
    <b v="0"/>
    <x v="1"/>
    <n v="6"/>
  </r>
  <r>
    <s v="ORD-01787"/>
    <x v="817"/>
    <x v="817"/>
    <s v="CUST70372"/>
    <s v="Deepa Verma"/>
    <n v="16"/>
    <s v="Female"/>
    <x v="1"/>
    <s v="Surat"/>
    <x v="1"/>
    <s v="Hair Oil"/>
    <n v="8"/>
    <n v="1468.81"/>
    <n v="0.02"/>
    <n v="12672.79"/>
    <n v="4798.3599999999997"/>
    <n v="35.31"/>
    <s v="Cash on Delivery"/>
    <x v="2"/>
    <b v="0"/>
    <x v="1"/>
    <n v="8"/>
  </r>
  <r>
    <s v="ORD-02124"/>
    <x v="1123"/>
    <x v="1123"/>
    <s v="CUST24923"/>
    <s v="Karan Mishra"/>
    <n v="23"/>
    <s v="Male"/>
    <x v="1"/>
    <s v="Pune"/>
    <x v="3"/>
    <s v="Cook Book"/>
    <n v="6"/>
    <n v="1164.68"/>
    <n v="0.35"/>
    <n v="5939.75"/>
    <n v="1561.14"/>
    <n v="57.35"/>
    <s v="Debit Card"/>
    <x v="3"/>
    <b v="1"/>
    <x v="0"/>
    <n v="5"/>
  </r>
  <r>
    <s v="ORD-02222"/>
    <x v="481"/>
    <x v="481"/>
    <s v="CUST57957"/>
    <s v="Rohan Iyer"/>
    <n v="33"/>
    <s v="Male"/>
    <x v="0"/>
    <s v="Raipur"/>
    <x v="1"/>
    <s v="Face Cream"/>
    <n v="5"/>
    <n v="1366.62"/>
    <n v="0.31"/>
    <n v="7613.24"/>
    <n v="4061.59"/>
    <n v="45.32"/>
    <s v="Net Banking"/>
    <x v="2"/>
    <b v="0"/>
    <x v="4"/>
    <n v="7"/>
  </r>
  <r>
    <s v="ORD-01076"/>
    <x v="847"/>
    <x v="847"/>
    <s v="CUST34738"/>
    <s v="Ananya Kapoor"/>
    <n v="49"/>
    <s v="Female"/>
    <x v="4"/>
    <s v="Bangalore"/>
    <x v="2"/>
    <s v="Bookshelf"/>
    <n v="1"/>
    <n v="28157.96"/>
    <n v="0.28000000000000003"/>
    <n v="31874.43"/>
    <n v="7988.88"/>
    <n v="86.82"/>
    <s v="Credit Card"/>
    <x v="3"/>
    <b v="1"/>
    <x v="0"/>
    <n v="5"/>
  </r>
  <r>
    <s v="ORD-03624"/>
    <x v="1546"/>
    <x v="1546"/>
    <s v="CUST39929"/>
    <s v="Pooja Bose"/>
    <n v="50"/>
    <s v="Male"/>
    <x v="0"/>
    <s v="Indore"/>
    <x v="6"/>
    <s v="Yoga Mat"/>
    <n v="5"/>
    <n v="7799.14"/>
    <n v="0.34"/>
    <n v="8584.7999999999993"/>
    <n v="1529.95"/>
    <n v="45.36"/>
    <s v="Debit Card"/>
    <x v="3"/>
    <b v="0"/>
    <x v="1"/>
    <n v="2"/>
  </r>
  <r>
    <s v="ORD-02950"/>
    <x v="282"/>
    <x v="282"/>
    <s v="CUST02564"/>
    <s v="Nisha Gupta"/>
    <n v="57"/>
    <s v="Other"/>
    <x v="0"/>
    <s v="Raipur"/>
    <x v="2"/>
    <s v="Wardrobe"/>
    <n v="7"/>
    <n v="7949.66"/>
    <n v="0.28999999999999998"/>
    <n v="60207.42"/>
    <n v="13411.24"/>
    <n v="66.87"/>
    <s v="Credit Card"/>
    <x v="2"/>
    <b v="0"/>
    <x v="1"/>
    <n v="2"/>
  </r>
  <r>
    <s v="ORD-03861"/>
    <x v="777"/>
    <x v="777"/>
    <s v="CUST90757"/>
    <s v="Arjun Verma"/>
    <n v="46"/>
    <s v="Male"/>
    <x v="3"/>
    <s v="Kolkata"/>
    <x v="2"/>
    <s v="Bookshelf"/>
    <n v="8"/>
    <n v="7679.41"/>
    <n v="0.39"/>
    <n v="56785.85"/>
    <n v="15647.23"/>
    <n v="83.32"/>
    <s v="Cash on Delivery"/>
    <x v="0"/>
    <b v="0"/>
    <x v="4"/>
    <n v="1"/>
  </r>
  <r>
    <s v="ORD-04181"/>
    <x v="1547"/>
    <x v="1547"/>
    <s v="CUST34843"/>
    <s v="Rohan Chatterjee"/>
    <n v="5"/>
    <s v="Male"/>
    <x v="4"/>
    <s v="Bangalore"/>
    <x v="1"/>
    <s v="Sunscreen"/>
    <n v="4"/>
    <n v="270.17"/>
    <n v="0.27"/>
    <n v="766.64"/>
    <n v="297.01"/>
    <n v="54.45"/>
    <s v="UPI"/>
    <x v="3"/>
    <b v="0"/>
    <x v="2"/>
    <n v="3"/>
  </r>
  <r>
    <s v="ORD-03904"/>
    <x v="0"/>
    <x v="0"/>
    <s v="CUST28988"/>
    <s v="Meera Das"/>
    <n v="29"/>
    <s v="Other"/>
    <x v="1"/>
    <s v="Mumbai"/>
    <x v="0"/>
    <s v="Tea"/>
    <n v="6"/>
    <n v="212.91"/>
    <n v="0.28000000000000003"/>
    <n v="1250.1199999999999"/>
    <n v="97.83"/>
    <n v="63.02"/>
    <s v="Debit Card"/>
    <x v="0"/>
    <b v="0"/>
    <x v="1"/>
    <n v="10"/>
  </r>
  <r>
    <s v="ORD-01850"/>
    <x v="507"/>
    <x v="507"/>
    <s v="CUST64792"/>
    <s v="Amit Kumar"/>
    <n v="38"/>
    <s v="Male"/>
    <x v="4"/>
    <s v="Hyderabad"/>
    <x v="6"/>
    <s v="Cycle"/>
    <n v="4"/>
    <n v="14204.71"/>
    <n v="0.27"/>
    <n v="54400.72"/>
    <n v="13383.31"/>
    <n v="93.83"/>
    <s v="UPI"/>
    <x v="4"/>
    <b v="1"/>
    <x v="0"/>
    <n v="10"/>
  </r>
  <r>
    <s v="ORD-02796"/>
    <x v="1548"/>
    <x v="1548"/>
    <s v="CUST56780"/>
    <s v="Arjun Chatterjee"/>
    <n v="24"/>
    <s v="Other"/>
    <x v="3"/>
    <s v="Guwahati"/>
    <x v="0"/>
    <s v="Cooking Oil"/>
    <n v="8"/>
    <n v="132.4"/>
    <n v="0.32"/>
    <n v="1145.95"/>
    <n v="93.32"/>
    <n v="91.9"/>
    <s v="Debit Card"/>
    <x v="3"/>
    <b v="0"/>
    <x v="1"/>
    <n v="2"/>
  </r>
  <r>
    <s v="ORD-01245"/>
    <x v="500"/>
    <x v="500"/>
    <s v="CUST94664"/>
    <s v="Aarav Pillai"/>
    <n v="51"/>
    <s v="Female"/>
    <x v="3"/>
    <s v="Guwahati"/>
    <x v="6"/>
    <s v="Tennis Racket"/>
    <n v="3"/>
    <n v="14773.91"/>
    <n v="0.31"/>
    <n v="39228.730000000003"/>
    <n v="11423.75"/>
    <n v="63.56"/>
    <s v="Net Banking"/>
    <x v="0"/>
    <b v="0"/>
    <x v="1"/>
    <n v="4"/>
  </r>
  <r>
    <s v="ORD-03321"/>
    <x v="1539"/>
    <x v="1539"/>
    <s v="CUST48101"/>
    <s v="Sanjay Kumar"/>
    <n v="38"/>
    <s v="Male"/>
    <x v="3"/>
    <s v="Patna"/>
    <x v="4"/>
    <s v="Jacket"/>
    <n v="7"/>
    <n v="2311.75"/>
    <n v="0.14000000000000001"/>
    <n v="11373.42"/>
    <n v="4064.18"/>
    <n v="93.86"/>
    <s v="Net Banking"/>
    <x v="2"/>
    <b v="0"/>
    <x v="1"/>
    <n v="10"/>
  </r>
  <r>
    <s v="ORD-00509"/>
    <x v="531"/>
    <x v="531"/>
    <s v="CUST37820"/>
    <s v="Pooja Bhat"/>
    <n v="22"/>
    <s v="Other"/>
    <x v="0"/>
    <s v="Bhopal"/>
    <x v="3"/>
    <s v="Textbook"/>
    <n v="7"/>
    <n v="286.07"/>
    <n v="0.28000000000000003"/>
    <n v="1349.48"/>
    <n v="474.55"/>
    <n v="52.35"/>
    <s v="Cash on Delivery"/>
    <x v="0"/>
    <b v="0"/>
    <x v="1"/>
    <n v="4"/>
  </r>
  <r>
    <s v="ORD-00711"/>
    <x v="1549"/>
    <x v="1549"/>
    <s v="CUST81896"/>
    <s v="Meera Gupta"/>
    <n v="51"/>
    <s v="Male"/>
    <x v="1"/>
    <s v="Mumbai"/>
    <x v="4"/>
    <s v="Jeans"/>
    <n v="5"/>
    <n v="3038.32"/>
    <n v="0.08"/>
    <n v="11598.72"/>
    <n v="4520.1099999999997"/>
    <n v="46.38"/>
    <s v="UPI"/>
    <x v="0"/>
    <b v="0"/>
    <x v="1"/>
    <n v="8"/>
  </r>
  <r>
    <s v="ORD-01145"/>
    <x v="548"/>
    <x v="548"/>
    <s v="CUST43834"/>
    <s v="Ritu Joshi"/>
    <n v="20"/>
    <s v="Male"/>
    <x v="2"/>
    <s v="Delhi"/>
    <x v="6"/>
    <s v="Cricket Bat"/>
    <n v="7"/>
    <n v="14524.03"/>
    <n v="0.17"/>
    <n v="124422.97"/>
    <n v="28871.78"/>
    <n v="52.9"/>
    <s v="EMI"/>
    <x v="2"/>
    <b v="0"/>
    <x v="1"/>
    <n v="9"/>
  </r>
  <r>
    <s v="ORD-00608"/>
    <x v="1218"/>
    <x v="1218"/>
    <s v="CUST06194"/>
    <s v="Nisha Joshi"/>
    <n v="24"/>
    <s v="Male"/>
    <x v="2"/>
    <s v="Chandigarh"/>
    <x v="0"/>
    <s v="Dal (1kg)"/>
    <n v="6"/>
    <n v="56.45"/>
    <n v="7.0000000000000007E-2"/>
    <n v="342.17"/>
    <n v="22.1"/>
    <n v="41.2"/>
    <s v="UPI"/>
    <x v="3"/>
    <b v="1"/>
    <x v="0"/>
    <n v="6"/>
  </r>
  <r>
    <s v="ORD-00388"/>
    <x v="1004"/>
    <x v="1004"/>
    <s v="CUST45393"/>
    <s v="Rahul Pillai"/>
    <n v="37"/>
    <s v="Male"/>
    <x v="3"/>
    <s v="Patna"/>
    <x v="1"/>
    <s v="Lipstick"/>
    <n v="9"/>
    <n v="2334.19"/>
    <n v="0.05"/>
    <n v="26537.21"/>
    <n v="9468.1299999999992"/>
    <n v="62.79"/>
    <s v="Credit Card"/>
    <x v="0"/>
    <b v="0"/>
    <x v="1"/>
    <n v="10"/>
  </r>
  <r>
    <s v="ORD-03166"/>
    <x v="1466"/>
    <x v="1466"/>
    <s v="CUST06674"/>
    <s v="Sanjay Pillai"/>
    <n v="47"/>
    <s v="Female"/>
    <x v="0"/>
    <s v="Bhopal"/>
    <x v="2"/>
    <s v="Bookshelf"/>
    <n v="9"/>
    <n v="22760.46"/>
    <n v="0.37"/>
    <n v="145109.60999999999"/>
    <n v="39767.620000000003"/>
    <n v="72.02"/>
    <s v="EMI"/>
    <x v="4"/>
    <b v="0"/>
    <x v="4"/>
    <n v="3"/>
  </r>
  <r>
    <s v="ORD-00868"/>
    <x v="954"/>
    <x v="954"/>
    <s v="CUST94965"/>
    <s v="Kavya Sharma"/>
    <n v="38"/>
    <s v="Female"/>
    <x v="4"/>
    <s v="Hyderabad"/>
    <x v="5"/>
    <s v="Smartwatch"/>
    <n v="3"/>
    <n v="42838.23"/>
    <n v="0.09"/>
    <n v="107037.9"/>
    <n v="14607.13"/>
    <n v="87.84"/>
    <s v="Debit Card"/>
    <x v="4"/>
    <b v="1"/>
    <x v="0"/>
    <n v="1"/>
  </r>
  <r>
    <s v="ORD-02800"/>
    <x v="277"/>
    <x v="277"/>
    <s v="CUST56256"/>
    <s v="Ananya Patel"/>
    <n v="45"/>
    <s v="Female"/>
    <x v="3"/>
    <s v="Patna"/>
    <x v="6"/>
    <s v="Cycle"/>
    <n v="4"/>
    <n v="10550.62"/>
    <n v="0.36"/>
    <n v="42878.34"/>
    <n v="7286.48"/>
    <n v="64.73"/>
    <s v="Net Banking"/>
    <x v="0"/>
    <b v="1"/>
    <x v="0"/>
    <n v="3"/>
  </r>
  <r>
    <s v="ORD-00912"/>
    <x v="1550"/>
    <x v="1550"/>
    <s v="CUST49621"/>
    <s v="Kavya Pillai"/>
    <n v="31"/>
    <s v="Male"/>
    <x v="0"/>
    <s v="Nagpur"/>
    <x v="2"/>
    <s v="Chair"/>
    <n v="7"/>
    <n v="16795.84"/>
    <n v="0.36"/>
    <n v="56221.37"/>
    <n v="12491.37"/>
    <n v="56.62"/>
    <s v="Cash on Delivery"/>
    <x v="3"/>
    <b v="1"/>
    <x v="0"/>
    <n v="2"/>
  </r>
  <r>
    <s v="ORD-03990"/>
    <x v="1551"/>
    <x v="1551"/>
    <s v="CUST81510"/>
    <s v="Ritu Chatterjee"/>
    <n v="50"/>
    <s v="Other"/>
    <x v="1"/>
    <s v="Ahmedabad"/>
    <x v="4"/>
    <s v="Jeans"/>
    <n v="10"/>
    <n v="3403.06"/>
    <n v="0.39"/>
    <n v="22886.16"/>
    <n v="4900.0200000000004"/>
    <n v="44.69"/>
    <s v="EMI"/>
    <x v="0"/>
    <b v="0"/>
    <x v="4"/>
    <n v="1"/>
  </r>
  <r>
    <s v="ORD-01922"/>
    <x v="1338"/>
    <x v="1338"/>
    <s v="CUST64561"/>
    <s v="Deepa Das"/>
    <n v="55"/>
    <s v="Other"/>
    <x v="4"/>
    <s v="Hyderabad"/>
    <x v="0"/>
    <s v="Rice (5kg)"/>
    <n v="1"/>
    <n v="116.8"/>
    <n v="0.34"/>
    <n v="98.72"/>
    <n v="7.87"/>
    <n v="74.41"/>
    <s v="Credit Card"/>
    <x v="2"/>
    <b v="0"/>
    <x v="1"/>
    <n v="3"/>
  </r>
  <r>
    <s v="ORD-03724"/>
    <x v="724"/>
    <x v="724"/>
    <s v="CUST07562"/>
    <s v="Aditya Verma"/>
    <n v="29"/>
    <s v="Male"/>
    <x v="3"/>
    <s v="Patna"/>
    <x v="2"/>
    <s v="Bookshelf"/>
    <n v="4"/>
    <n v="29351.23"/>
    <n v="0.19"/>
    <n v="174388.71"/>
    <n v="36069.54"/>
    <n v="82.28"/>
    <s v="Net Banking"/>
    <x v="2"/>
    <b v="0"/>
    <x v="1"/>
    <n v="9"/>
  </r>
  <r>
    <s v="ORD-00149"/>
    <x v="1141"/>
    <x v="1141"/>
    <s v="CUST13333"/>
    <s v="Deepa Iyer"/>
    <n v="32"/>
    <s v="Male"/>
    <x v="1"/>
    <s v="Pune"/>
    <x v="2"/>
    <s v="Bookshelf"/>
    <n v="5"/>
    <n v="31560.75"/>
    <n v="0.37"/>
    <n v="117876.02"/>
    <n v="35282.21"/>
    <n v="38.479999999999997"/>
    <s v="Cash on Delivery"/>
    <x v="2"/>
    <b v="0"/>
    <x v="1"/>
    <n v="5"/>
  </r>
  <r>
    <s v="ORD-00754"/>
    <x v="665"/>
    <x v="665"/>
    <s v="CUST33308"/>
    <s v="Meera Rao"/>
    <n v="46"/>
    <s v="Other"/>
    <x v="3"/>
    <s v="Kolkata"/>
    <x v="5"/>
    <s v="Headphones"/>
    <n v="9"/>
    <n v="9975.0499999999993"/>
    <n v="0.28000000000000003"/>
    <n v="38987.93"/>
    <n v="3991.52"/>
    <n v="83.83"/>
    <s v="EMI"/>
    <x v="4"/>
    <b v="1"/>
    <x v="0"/>
    <n v="5"/>
  </r>
  <r>
    <s v="ORD-03555"/>
    <x v="1552"/>
    <x v="1552"/>
    <s v="CUST21921"/>
    <s v="Vikram Verma"/>
    <n v="44"/>
    <s v="Female"/>
    <x v="0"/>
    <s v="Indore"/>
    <x v="4"/>
    <s v="Dress"/>
    <n v="8"/>
    <n v="825.43"/>
    <n v="0.3"/>
    <n v="6590.81"/>
    <n v="2481.12"/>
    <n v="48.12"/>
    <s v="Net Banking"/>
    <x v="4"/>
    <b v="0"/>
    <x v="1"/>
    <n v="2"/>
  </r>
  <r>
    <s v="ORD-02451"/>
    <x v="312"/>
    <x v="312"/>
    <s v="CUST04161"/>
    <s v="Arjun Singh"/>
    <n v="58"/>
    <s v="Female"/>
    <x v="1"/>
    <s v="Pune"/>
    <x v="6"/>
    <s v="Dumbbells"/>
    <n v="9"/>
    <n v="13538.61"/>
    <n v="0.04"/>
    <n v="98932.09"/>
    <n v="24598.22"/>
    <n v="64.819999999999993"/>
    <s v="Credit Card"/>
    <x v="0"/>
    <b v="0"/>
    <x v="1"/>
    <n v="1"/>
  </r>
  <r>
    <s v="ORD-01274"/>
    <x v="28"/>
    <x v="28"/>
    <s v="CUST42513"/>
    <s v="Deepa Joshi"/>
    <n v="29"/>
    <s v="Female"/>
    <x v="3"/>
    <s v="Bhubaneswar"/>
    <x v="2"/>
    <s v="Chair"/>
    <n v="2"/>
    <n v="3092.5"/>
    <n v="0.03"/>
    <n v="7652.46"/>
    <n v="2113.54"/>
    <n v="62.46"/>
    <s v="Credit Card"/>
    <x v="2"/>
    <b v="0"/>
    <x v="1"/>
    <n v="3"/>
  </r>
  <r>
    <s v="ORD-00341"/>
    <x v="316"/>
    <x v="316"/>
    <s v="CUST77930"/>
    <s v="Nisha Das"/>
    <n v="34"/>
    <s v="Male"/>
    <x v="0"/>
    <s v="Nagpur"/>
    <x v="0"/>
    <s v="Sugar"/>
    <n v="7"/>
    <n v="369.81"/>
    <n v="0.4"/>
    <n v="1896.12"/>
    <n v="92.88"/>
    <n v="65.27"/>
    <s v="Credit Card"/>
    <x v="3"/>
    <b v="0"/>
    <x v="4"/>
    <n v="4"/>
  </r>
  <r>
    <s v="ORD-04110"/>
    <x v="114"/>
    <x v="114"/>
    <s v="CUST48614"/>
    <s v="Sanjay Bose"/>
    <n v="31"/>
    <s v="Female"/>
    <x v="4"/>
    <s v="Bangalore"/>
    <x v="0"/>
    <s v="Tea"/>
    <n v="1"/>
    <n v="281.64999999999998"/>
    <n v="0.11"/>
    <n v="268.27"/>
    <n v="27.01"/>
    <n v="73.959999999999994"/>
    <s v="UPI"/>
    <x v="4"/>
    <b v="1"/>
    <x v="0"/>
    <n v="7"/>
  </r>
  <r>
    <s v="ORD-03036"/>
    <x v="50"/>
    <x v="50"/>
    <s v="CUST13591"/>
    <s v="Nikhil Reddy"/>
    <n v="57"/>
    <s v="Female"/>
    <x v="0"/>
    <s v="Indore"/>
    <x v="5"/>
    <s v="Smartwatch"/>
    <n v="4"/>
    <n v="5288.54"/>
    <n v="0.19"/>
    <n v="27570.77"/>
    <n v="3492.82"/>
    <n v="95.83"/>
    <s v="Debit Card"/>
    <x v="0"/>
    <b v="0"/>
    <x v="1"/>
    <n v="5"/>
  </r>
  <r>
    <s v="ORD-02249"/>
    <x v="578"/>
    <x v="578"/>
    <s v="CUST22912"/>
    <s v="Aarav Bhat"/>
    <n v="22"/>
    <s v="Female"/>
    <x v="3"/>
    <s v="Bhubaneswar"/>
    <x v="0"/>
    <s v="Cooking Oil"/>
    <n v="6"/>
    <n v="129.66"/>
    <n v="0.08"/>
    <n v="1008.28"/>
    <n v="60.96"/>
    <n v="63.39"/>
    <s v="Net Banking"/>
    <x v="1"/>
    <b v="0"/>
    <x v="1"/>
    <n v="3"/>
  </r>
  <r>
    <s v="ORD-03715"/>
    <x v="1553"/>
    <x v="1553"/>
    <s v="CUST55215"/>
    <s v="Karan Das"/>
    <n v="30"/>
    <s v="Other"/>
    <x v="1"/>
    <s v="Ahmedabad"/>
    <x v="2"/>
    <s v="Chair"/>
    <n v="5"/>
    <n v="11535.35"/>
    <n v="0.32"/>
    <n v="13286.27"/>
    <n v="3991.87"/>
    <n v="54.19"/>
    <s v="Credit Card"/>
    <x v="1"/>
    <b v="0"/>
    <x v="1"/>
    <n v="3"/>
  </r>
  <r>
    <s v="ORD-01116"/>
    <x v="1424"/>
    <x v="1424"/>
    <s v="CUST04558"/>
    <s v="Karan Kapoor"/>
    <n v="15"/>
    <s v="Male"/>
    <x v="2"/>
    <s v="Chandigarh"/>
    <x v="6"/>
    <s v="Cycle"/>
    <n v="2"/>
    <n v="4814.42"/>
    <n v="0.28999999999999998"/>
    <n v="9405.0499999999993"/>
    <n v="1987.38"/>
    <n v="50.43"/>
    <s v="EMI"/>
    <x v="0"/>
    <b v="0"/>
    <x v="3"/>
    <n v="5"/>
  </r>
  <r>
    <s v="ORD-02781"/>
    <x v="210"/>
    <x v="210"/>
    <s v="CUST33751"/>
    <s v="Nikhil Singh"/>
    <n v="43"/>
    <s v="Other"/>
    <x v="0"/>
    <s v="Raipur"/>
    <x v="0"/>
    <s v="Cooking Oil"/>
    <n v="7"/>
    <n v="287.94"/>
    <n v="0.34"/>
    <n v="1907.63"/>
    <n v="168.82"/>
    <n v="48.27"/>
    <s v="Credit Card"/>
    <x v="2"/>
    <b v="0"/>
    <x v="1"/>
    <n v="5"/>
  </r>
  <r>
    <s v="ORD-00541"/>
    <x v="168"/>
    <x v="168"/>
    <s v="CUST83050"/>
    <s v="Nikhil Bhat"/>
    <n v="31"/>
    <s v="Male"/>
    <x v="4"/>
    <s v="Chennai"/>
    <x v="2"/>
    <s v="Bed Frame"/>
    <n v="10"/>
    <n v="26964.22"/>
    <n v="0.21"/>
    <n v="296094.49"/>
    <n v="62330.58"/>
    <n v="62.72"/>
    <s v="Cash on Delivery"/>
    <x v="1"/>
    <b v="0"/>
    <x v="2"/>
    <n v="7"/>
  </r>
  <r>
    <s v="ORD-02740"/>
    <x v="670"/>
    <x v="670"/>
    <s v="CUST90154"/>
    <s v="Arjun Rao"/>
    <n v="39"/>
    <s v="Female"/>
    <x v="1"/>
    <s v="Mumbai"/>
    <x v="1"/>
    <s v="Sunscreen"/>
    <n v="3"/>
    <n v="1932.05"/>
    <n v="0.12"/>
    <n v="6749.05"/>
    <n v="2983.29"/>
    <n v="47.16"/>
    <s v="UPI"/>
    <x v="4"/>
    <b v="0"/>
    <x v="2"/>
    <n v="5"/>
  </r>
  <r>
    <s v="ORD-03657"/>
    <x v="1108"/>
    <x v="1108"/>
    <s v="CUST04582"/>
    <s v="Kavya Kumar"/>
    <n v="43"/>
    <s v="Female"/>
    <x v="3"/>
    <s v="Bhubaneswar"/>
    <x v="2"/>
    <s v="Chair"/>
    <n v="7"/>
    <n v="16570.919999999998"/>
    <n v="0.33"/>
    <n v="122079.93"/>
    <n v="40801.29"/>
    <n v="111.73"/>
    <s v="Net Banking"/>
    <x v="4"/>
    <b v="0"/>
    <x v="4"/>
    <n v="9"/>
  </r>
  <r>
    <s v="ORD-01467"/>
    <x v="324"/>
    <x v="324"/>
    <s v="CUST97904"/>
    <s v="Sanjay Bhat"/>
    <n v="36"/>
    <s v="Male"/>
    <x v="1"/>
    <s v="Ahmedabad"/>
    <x v="4"/>
    <s v="Kurta"/>
    <n v="10"/>
    <n v="2394.19"/>
    <n v="0.18"/>
    <n v="18412.38"/>
    <n v="6424.53"/>
    <n v="80.64"/>
    <s v="Cash on Delivery"/>
    <x v="2"/>
    <b v="0"/>
    <x v="1"/>
    <n v="5"/>
  </r>
  <r>
    <s v="ORD-02658"/>
    <x v="1554"/>
    <x v="1554"/>
    <s v="CUST50190"/>
    <s v="Aarav Mehta"/>
    <n v="29"/>
    <s v="Female"/>
    <x v="0"/>
    <s v="Bhopal"/>
    <x v="4"/>
    <s v="T-Shirt"/>
    <n v="4"/>
    <n v="2095.6"/>
    <n v="0.36"/>
    <n v="5514.66"/>
    <n v="1469.25"/>
    <n v="50.22"/>
    <s v="Net Banking"/>
    <x v="2"/>
    <b v="0"/>
    <x v="1"/>
    <n v="6"/>
  </r>
  <r>
    <s v="ORD-02096"/>
    <x v="1310"/>
    <x v="1310"/>
    <s v="CUST11002"/>
    <s v="Ritu Reddy"/>
    <n v="43"/>
    <s v="Other"/>
    <x v="4"/>
    <s v="Bangalore"/>
    <x v="2"/>
    <s v="Bookshelf"/>
    <n v="8"/>
    <n v="32713.93"/>
    <n v="0.21"/>
    <n v="353477.73"/>
    <n v="94752.3"/>
    <n v="78.56"/>
    <s v="EMI"/>
    <x v="0"/>
    <b v="0"/>
    <x v="1"/>
    <n v="6"/>
  </r>
  <r>
    <s v="ORD-00956"/>
    <x v="1133"/>
    <x v="1133"/>
    <s v="CUST26332"/>
    <s v="Karan Bhat"/>
    <n v="38"/>
    <s v="Male"/>
    <x v="1"/>
    <s v="Pune"/>
    <x v="3"/>
    <s v="Fiction Novel"/>
    <n v="10"/>
    <n v="1207.23"/>
    <n v="0.16"/>
    <n v="10978.87"/>
    <n v="2840.09"/>
    <n v="56.99"/>
    <s v="Cash on Delivery"/>
    <x v="3"/>
    <b v="0"/>
    <x v="1"/>
    <n v="6"/>
  </r>
  <r>
    <s v="ORD-00281"/>
    <x v="361"/>
    <x v="361"/>
    <s v="CUST57517"/>
    <s v="Pooja Joshi"/>
    <n v="36"/>
    <s v="Male"/>
    <x v="1"/>
    <s v="Ahmedabad"/>
    <x v="0"/>
    <s v="Flour"/>
    <n v="2"/>
    <n v="306.74"/>
    <n v="0.09"/>
    <n v="620.29999999999995"/>
    <n v="44.87"/>
    <n v="67.78"/>
    <s v="Credit Card"/>
    <x v="0"/>
    <b v="0"/>
    <x v="1"/>
    <n v="4"/>
  </r>
  <r>
    <s v="ORD-02459"/>
    <x v="1555"/>
    <x v="1555"/>
    <s v="CUST97641"/>
    <s v="Ananya Reddy"/>
    <n v="33"/>
    <s v="Male"/>
    <x v="4"/>
    <s v="Hyderabad"/>
    <x v="4"/>
    <s v="T-Shirt"/>
    <n v="4"/>
    <n v="1231.26"/>
    <n v="7.0000000000000007E-2"/>
    <n v="3543.81"/>
    <n v="1397.23"/>
    <n v="42.37"/>
    <s v="Debit Card"/>
    <x v="0"/>
    <b v="0"/>
    <x v="1"/>
    <n v="9"/>
  </r>
  <r>
    <s v="ORD-00511"/>
    <x v="719"/>
    <x v="719"/>
    <s v="CUST50410"/>
    <s v="Nikhil Verma"/>
    <n v="44"/>
    <s v="Male"/>
    <x v="2"/>
    <s v="Delhi"/>
    <x v="2"/>
    <s v="Wardrobe"/>
    <n v="5"/>
    <n v="6721.75"/>
    <n v="0.19"/>
    <n v="6015.58"/>
    <n v="1506.36"/>
    <n v="22.19"/>
    <s v="Credit Card"/>
    <x v="1"/>
    <b v="0"/>
    <x v="4"/>
    <n v="9"/>
  </r>
  <r>
    <s v="ORD-02650"/>
    <x v="1113"/>
    <x v="1113"/>
    <s v="CUST24055"/>
    <s v="Ananya Mehta"/>
    <n v="47"/>
    <s v="Female"/>
    <x v="3"/>
    <s v="Bhubaneswar"/>
    <x v="4"/>
    <s v="Saree"/>
    <n v="6"/>
    <n v="3972.74"/>
    <n v="0.19"/>
    <n v="21803.58"/>
    <n v="9997.3700000000008"/>
    <n v="46.75"/>
    <s v="Debit Card"/>
    <x v="3"/>
    <b v="0"/>
    <x v="1"/>
    <n v="1"/>
  </r>
  <r>
    <s v="ORD-01593"/>
    <x v="1556"/>
    <x v="1556"/>
    <s v="CUST14125"/>
    <s v="Sunita Singh"/>
    <n v="37"/>
    <s v="Female"/>
    <x v="2"/>
    <s v="Amritsar"/>
    <x v="0"/>
    <s v="Sugar"/>
    <n v="5"/>
    <n v="225.72"/>
    <n v="0.01"/>
    <n v="877.93"/>
    <n v="110.9"/>
    <n v="57.3"/>
    <s v="Cash on Delivery"/>
    <x v="3"/>
    <b v="1"/>
    <x v="0"/>
    <n v="7"/>
  </r>
  <r>
    <s v="ORD-02606"/>
    <x v="1506"/>
    <x v="1506"/>
    <s v="CUST20519"/>
    <s v="Aarav Rao"/>
    <n v="48"/>
    <s v="Other"/>
    <x v="4"/>
    <s v="Kochi"/>
    <x v="4"/>
    <s v="T-Shirt"/>
    <n v="9"/>
    <n v="1032.03"/>
    <n v="0.33"/>
    <n v="6175.76"/>
    <n v="1554.99"/>
    <n v="79.739999999999995"/>
    <s v="UPI"/>
    <x v="2"/>
    <b v="1"/>
    <x v="0"/>
    <n v="7"/>
  </r>
  <r>
    <s v="ORD-03767"/>
    <x v="976"/>
    <x v="976"/>
    <s v="CUST10979"/>
    <s v="Pooja Kapoor"/>
    <n v="41"/>
    <s v="Female"/>
    <x v="3"/>
    <s v="Guwahati"/>
    <x v="2"/>
    <s v="Sofa"/>
    <n v="1"/>
    <n v="31109.85"/>
    <n v="0.22"/>
    <n v="44220.44"/>
    <n v="11000.78"/>
    <n v="97.57"/>
    <s v="Debit Card"/>
    <x v="0"/>
    <b v="0"/>
    <x v="1"/>
    <n v="3"/>
  </r>
  <r>
    <s v="ORD-01515"/>
    <x v="1557"/>
    <x v="1557"/>
    <s v="CUST36636"/>
    <s v="Arjun Kumar"/>
    <n v="34"/>
    <s v="Other"/>
    <x v="3"/>
    <s v="Bhubaneswar"/>
    <x v="6"/>
    <s v="Cycle"/>
    <n v="10"/>
    <n v="8236.27"/>
    <n v="0.04"/>
    <n v="66408.75"/>
    <n v="10958.97"/>
    <n v="69.62"/>
    <s v="Debit Card"/>
    <x v="0"/>
    <b v="1"/>
    <x v="0"/>
    <n v="7"/>
  </r>
  <r>
    <s v="ORD-00688"/>
    <x v="1072"/>
    <x v="1072"/>
    <s v="CUST98974"/>
    <s v="Shreya Reddy"/>
    <n v="22"/>
    <s v="Female"/>
    <x v="2"/>
    <s v="Ludhiana"/>
    <x v="2"/>
    <s v="Desk"/>
    <n v="6"/>
    <n v="21919.09"/>
    <n v="0.17"/>
    <n v="80745.64"/>
    <n v="19787.939999999999"/>
    <n v="53.3"/>
    <s v="Debit Card"/>
    <x v="1"/>
    <b v="0"/>
    <x v="1"/>
    <n v="9"/>
  </r>
  <r>
    <s v="ORD-00336"/>
    <x v="955"/>
    <x v="955"/>
    <s v="CUST51371"/>
    <s v="Sanjay Shah"/>
    <n v="27"/>
    <s v="Female"/>
    <x v="0"/>
    <s v="Nagpur"/>
    <x v="2"/>
    <s v="Desk"/>
    <n v="5"/>
    <n v="6765.44"/>
    <n v="0.33"/>
    <n v="31049.48"/>
    <n v="6138.52"/>
    <n v="54.05"/>
    <s v="UPI"/>
    <x v="3"/>
    <b v="0"/>
    <x v="3"/>
    <n v="6"/>
  </r>
  <r>
    <s v="ORD-02363"/>
    <x v="317"/>
    <x v="317"/>
    <s v="CUST91997"/>
    <s v="Karan Bose"/>
    <n v="38"/>
    <s v="Male"/>
    <x v="1"/>
    <s v="Surat"/>
    <x v="5"/>
    <s v="Laptop"/>
    <n v="5"/>
    <n v="5729.21"/>
    <n v="0.26"/>
    <n v="21082.560000000001"/>
    <n v="2258.77"/>
    <n v="47.72"/>
    <s v="Net Banking"/>
    <x v="2"/>
    <b v="0"/>
    <x v="3"/>
    <n v="8"/>
  </r>
  <r>
    <s v="ORD-02028"/>
    <x v="1418"/>
    <x v="1418"/>
    <s v="CUST57353"/>
    <s v="Meera Singh"/>
    <n v="28"/>
    <s v="Male"/>
    <x v="0"/>
    <s v="Bhopal"/>
    <x v="0"/>
    <s v="Tea"/>
    <n v="1"/>
    <n v="431.51"/>
    <n v="0.26"/>
    <n v="545.27"/>
    <n v="23.26"/>
    <n v="56.68"/>
    <s v="UPI"/>
    <x v="0"/>
    <b v="0"/>
    <x v="1"/>
    <n v="5"/>
  </r>
  <r>
    <s v="ORD-00783"/>
    <x v="424"/>
    <x v="424"/>
    <s v="CUST34065"/>
    <s v="Nikhil Nair"/>
    <n v="42"/>
    <s v="Other"/>
    <x v="1"/>
    <s v="Pune"/>
    <x v="2"/>
    <s v="Desk"/>
    <n v="8"/>
    <n v="14923.8"/>
    <n v="0.19"/>
    <n v="74800.009999999995"/>
    <n v="25405.51"/>
    <n v="42.54"/>
    <s v="Credit Card"/>
    <x v="3"/>
    <b v="0"/>
    <x v="1"/>
    <n v="4"/>
  </r>
  <r>
    <s v="ORD-04016"/>
    <x v="1558"/>
    <x v="1558"/>
    <s v="CUST07018"/>
    <s v="Sanjay Kumar"/>
    <n v="39"/>
    <s v="Male"/>
    <x v="0"/>
    <s v="Bhopal"/>
    <x v="5"/>
    <s v="Tablet"/>
    <n v="2"/>
    <n v="24384.77"/>
    <n v="0.4"/>
    <n v="33639.93"/>
    <n v="4904.58"/>
    <n v="40.950000000000003"/>
    <s v="Credit Card"/>
    <x v="0"/>
    <b v="0"/>
    <x v="1"/>
    <n v="9"/>
  </r>
  <r>
    <s v="ORD-00061"/>
    <x v="73"/>
    <x v="73"/>
    <s v="CUST42186"/>
    <s v="Priya Mehta"/>
    <n v="10"/>
    <s v="Female"/>
    <x v="1"/>
    <s v="Mumbai"/>
    <x v="6"/>
    <s v="Football"/>
    <n v="9"/>
    <n v="6264.59"/>
    <n v="0.37"/>
    <n v="26063.19"/>
    <n v="6986.91"/>
    <n v="56.65"/>
    <s v="Net Banking"/>
    <x v="3"/>
    <b v="1"/>
    <x v="0"/>
    <n v="4"/>
  </r>
  <r>
    <s v="ORD-00622"/>
    <x v="1559"/>
    <x v="1559"/>
    <s v="CUST27267"/>
    <s v="Kavya Pillai"/>
    <n v="27"/>
    <s v="Male"/>
    <x v="2"/>
    <s v="Delhi"/>
    <x v="1"/>
    <s v="Shampoo"/>
    <n v="2"/>
    <n v="662.8"/>
    <n v="0.3"/>
    <n v="887.58"/>
    <n v="508.29"/>
    <n v="51.48"/>
    <s v="Credit Card"/>
    <x v="3"/>
    <b v="0"/>
    <x v="1"/>
    <n v="10"/>
  </r>
  <r>
    <s v="ORD-03579"/>
    <x v="623"/>
    <x v="623"/>
    <s v="CUST20050"/>
    <s v="Rohan Sharma"/>
    <n v="31"/>
    <s v="Male"/>
    <x v="2"/>
    <s v="Amritsar"/>
    <x v="5"/>
    <s v="Laptop"/>
    <n v="3"/>
    <n v="40441.120000000003"/>
    <n v="0.06"/>
    <n v="167514.18"/>
    <n v="15922.46"/>
    <n v="37.81"/>
    <s v="Credit Card"/>
    <x v="0"/>
    <b v="0"/>
    <x v="4"/>
    <n v="3"/>
  </r>
  <r>
    <s v="ORD-03323"/>
    <x v="1539"/>
    <x v="1539"/>
    <s v="CUST01601"/>
    <s v="Sanjay Singh"/>
    <n v="43"/>
    <s v="Other"/>
    <x v="2"/>
    <s v="Amritsar"/>
    <x v="3"/>
    <s v="Biography"/>
    <n v="6"/>
    <n v="816.54"/>
    <n v="0.12"/>
    <n v="3736.19"/>
    <n v="1793.27"/>
    <n v="39.880000000000003"/>
    <s v="Net Banking"/>
    <x v="3"/>
    <b v="0"/>
    <x v="2"/>
    <n v="7"/>
  </r>
  <r>
    <s v="ORD-01158"/>
    <x v="1119"/>
    <x v="1119"/>
    <s v="CUST43022"/>
    <s v="Ananya Mishra"/>
    <n v="41"/>
    <s v="Other"/>
    <x v="4"/>
    <s v="Chennai"/>
    <x v="4"/>
    <s v="Kurta"/>
    <n v="2"/>
    <n v="838.89"/>
    <n v="0.15"/>
    <n v="2075.3200000000002"/>
    <n v="829.82"/>
    <n v="52.06"/>
    <s v="Cash on Delivery"/>
    <x v="2"/>
    <b v="1"/>
    <x v="0"/>
    <n v="2"/>
  </r>
  <r>
    <s v="ORD-02141"/>
    <x v="1288"/>
    <x v="1288"/>
    <s v="CUST81398"/>
    <s v="Ananya Reddy"/>
    <n v="53"/>
    <s v="Female"/>
    <x v="2"/>
    <s v="Delhi"/>
    <x v="3"/>
    <s v="Comic Book"/>
    <n v="10"/>
    <n v="772.14"/>
    <n v="0.4"/>
    <n v="6278.32"/>
    <n v="2969.03"/>
    <n v="72.12"/>
    <s v="Cash on Delivery"/>
    <x v="3"/>
    <b v="0"/>
    <x v="3"/>
    <n v="4"/>
  </r>
  <r>
    <s v="ORD-00835"/>
    <x v="1326"/>
    <x v="1326"/>
    <s v="CUST51769"/>
    <s v="Amit Das"/>
    <n v="23"/>
    <s v="Male"/>
    <x v="3"/>
    <s v="Bhubaneswar"/>
    <x v="0"/>
    <s v="Rice (5kg)"/>
    <n v="9"/>
    <n v="358.92"/>
    <n v="0.08"/>
    <n v="2353.0700000000002"/>
    <n v="122.29"/>
    <n v="84.03"/>
    <s v="Debit Card"/>
    <x v="2"/>
    <b v="0"/>
    <x v="1"/>
    <n v="6"/>
  </r>
  <r>
    <s v="ORD-02641"/>
    <x v="496"/>
    <x v="496"/>
    <s v="CUST93173"/>
    <s v="Rahul Shah"/>
    <n v="30"/>
    <s v="Female"/>
    <x v="1"/>
    <s v="Surat"/>
    <x v="4"/>
    <s v="Kurta"/>
    <n v="8"/>
    <n v="3934.14"/>
    <n v="0.01"/>
    <n v="31003.27"/>
    <n v="9818.15"/>
    <n v="59.66"/>
    <s v="Credit Card"/>
    <x v="4"/>
    <b v="0"/>
    <x v="1"/>
    <n v="5"/>
  </r>
  <r>
    <s v="ORD-02580"/>
    <x v="883"/>
    <x v="883"/>
    <s v="CUST20280"/>
    <s v="Priya Patel"/>
    <n v="46"/>
    <s v="Other"/>
    <x v="1"/>
    <s v="Surat"/>
    <x v="1"/>
    <s v="Hair Oil"/>
    <n v="4"/>
    <n v="1660.82"/>
    <n v="0.21"/>
    <n v="5505.54"/>
    <n v="2444.92"/>
    <n v="41.4"/>
    <s v="Debit Card"/>
    <x v="0"/>
    <b v="0"/>
    <x v="1"/>
    <n v="7"/>
  </r>
  <r>
    <s v="ORD-02044"/>
    <x v="586"/>
    <x v="586"/>
    <s v="CUST01603"/>
    <s v="Kavya Verma"/>
    <n v="30"/>
    <s v="Female"/>
    <x v="4"/>
    <s v="Chennai"/>
    <x v="2"/>
    <s v="Desk"/>
    <n v="8"/>
    <n v="25000.7"/>
    <n v="0.06"/>
    <n v="272564.21999999997"/>
    <n v="76789.22"/>
    <n v="67.03"/>
    <s v="Debit Card"/>
    <x v="2"/>
    <b v="0"/>
    <x v="1"/>
    <n v="1"/>
  </r>
  <r>
    <s v="ORD-01451"/>
    <x v="1285"/>
    <x v="1285"/>
    <s v="CUST83181"/>
    <s v="Priya Sharma"/>
    <n v="48"/>
    <s v="Male"/>
    <x v="2"/>
    <s v="Delhi"/>
    <x v="4"/>
    <s v="T-Shirt"/>
    <n v="8"/>
    <n v="983.33"/>
    <n v="0.33"/>
    <n v="5486.4"/>
    <n v="1956.84"/>
    <n v="48"/>
    <s v="Debit Card"/>
    <x v="4"/>
    <b v="1"/>
    <x v="0"/>
    <n v="9"/>
  </r>
  <r>
    <s v="ORD-00395"/>
    <x v="1422"/>
    <x v="1422"/>
    <s v="CUST69444"/>
    <s v="Rohan Das"/>
    <n v="16"/>
    <s v="Female"/>
    <x v="4"/>
    <s v="Bangalore"/>
    <x v="1"/>
    <s v="Hair Oil"/>
    <n v="2"/>
    <n v="572.30999999999995"/>
    <n v="0.21"/>
    <n v="1734.87"/>
    <n v="658.78"/>
    <n v="88.09"/>
    <s v="Credit Card"/>
    <x v="4"/>
    <b v="0"/>
    <x v="1"/>
    <n v="6"/>
  </r>
  <r>
    <s v="ORD-00846"/>
    <x v="64"/>
    <x v="64"/>
    <s v="CUST86953"/>
    <s v="Karan Kumar"/>
    <n v="31"/>
    <s v="Other"/>
    <x v="0"/>
    <s v="Nagpur"/>
    <x v="1"/>
    <s v="Face Cream"/>
    <n v="2"/>
    <n v="2449.9699999999998"/>
    <n v="0.36"/>
    <n v="2301.25"/>
    <n v="882.12"/>
    <n v="63.24"/>
    <s v="UPI"/>
    <x v="1"/>
    <b v="0"/>
    <x v="1"/>
    <n v="5"/>
  </r>
  <r>
    <s v="ORD-03118"/>
    <x v="379"/>
    <x v="379"/>
    <s v="CUST99970"/>
    <s v="Meera Kumar"/>
    <n v="32"/>
    <s v="Female"/>
    <x v="2"/>
    <s v="Amritsar"/>
    <x v="6"/>
    <s v="Cycle"/>
    <n v="4"/>
    <n v="4072.52"/>
    <n v="0.37"/>
    <n v="12014.98"/>
    <n v="2649.18"/>
    <n v="60.13"/>
    <s v="Net Banking"/>
    <x v="0"/>
    <b v="0"/>
    <x v="1"/>
    <n v="4"/>
  </r>
  <r>
    <s v="ORD-02624"/>
    <x v="1287"/>
    <x v="1287"/>
    <s v="CUST85938"/>
    <s v="Aarav Reddy"/>
    <n v="28"/>
    <s v="Female"/>
    <x v="3"/>
    <s v="Guwahati"/>
    <x v="5"/>
    <s v="Headphones"/>
    <n v="1"/>
    <n v="34782.199999999997"/>
    <n v="0.31"/>
    <n v="23810.12"/>
    <n v="2943.23"/>
    <n v="73.540000000000006"/>
    <s v="UPI"/>
    <x v="1"/>
    <b v="0"/>
    <x v="1"/>
    <n v="4"/>
  </r>
  <r>
    <s v="ORD-02622"/>
    <x v="1560"/>
    <x v="1560"/>
    <s v="CUST47032"/>
    <s v="Deepa Rao"/>
    <n v="34"/>
    <s v="Male"/>
    <x v="0"/>
    <s v="Indore"/>
    <x v="4"/>
    <s v="Jeans"/>
    <n v="9"/>
    <n v="1137.56"/>
    <n v="0.16"/>
    <n v="7041.76"/>
    <n v="1704.37"/>
    <n v="70.39"/>
    <s v="Cash on Delivery"/>
    <x v="4"/>
    <b v="0"/>
    <x v="1"/>
    <n v="3"/>
  </r>
  <r>
    <s v="ORD-03351"/>
    <x v="461"/>
    <x v="461"/>
    <s v="CUST68480"/>
    <s v="Rahul Pillai"/>
    <n v="37"/>
    <s v="Male"/>
    <x v="2"/>
    <s v="Delhi"/>
    <x v="4"/>
    <s v="Saree"/>
    <n v="6"/>
    <n v="3307.09"/>
    <n v="0.32"/>
    <n v="13005.72"/>
    <n v="4025.44"/>
    <n v="56.56"/>
    <s v="Net Banking"/>
    <x v="0"/>
    <b v="0"/>
    <x v="1"/>
    <n v="1"/>
  </r>
  <r>
    <s v="ORD-02784"/>
    <x v="948"/>
    <x v="948"/>
    <s v="CUST25444"/>
    <s v="Priya Mehta"/>
    <n v="52"/>
    <s v="Male"/>
    <x v="0"/>
    <s v="Bhopal"/>
    <x v="1"/>
    <s v="Perfume"/>
    <n v="8"/>
    <n v="2413.19"/>
    <n v="0.25"/>
    <n v="18757.8"/>
    <n v="6413.01"/>
    <n v="55.59"/>
    <s v="EMI"/>
    <x v="0"/>
    <b v="0"/>
    <x v="1"/>
    <n v="10"/>
  </r>
  <r>
    <s v="ORD-00950"/>
    <x v="717"/>
    <x v="717"/>
    <s v="CUST77157"/>
    <s v="Vikram Shah"/>
    <n v="25"/>
    <s v="Female"/>
    <x v="3"/>
    <s v="Bhubaneswar"/>
    <x v="4"/>
    <s v="Jeans"/>
    <n v="1"/>
    <n v="2017.09"/>
    <n v="0.05"/>
    <n v="2090.5700000000002"/>
    <n v="823.03"/>
    <n v="84.95"/>
    <s v="Credit Card"/>
    <x v="3"/>
    <b v="0"/>
    <x v="2"/>
    <n v="1"/>
  </r>
  <r>
    <s v="ORD-01762"/>
    <x v="999"/>
    <x v="999"/>
    <s v="CUST02740"/>
    <s v="Kavya Gupta"/>
    <n v="41"/>
    <s v="Female"/>
    <x v="1"/>
    <s v="Ahmedabad"/>
    <x v="5"/>
    <s v="Smartphone"/>
    <n v="9"/>
    <n v="9157.81"/>
    <n v="0.33"/>
    <n v="55730.83"/>
    <n v="7761.83"/>
    <n v="67.23"/>
    <s v="EMI"/>
    <x v="0"/>
    <b v="0"/>
    <x v="1"/>
    <n v="3"/>
  </r>
  <r>
    <s v="ORD-02328"/>
    <x v="1061"/>
    <x v="1061"/>
    <s v="CUST09166"/>
    <s v="Ananya Mishra"/>
    <n v="21"/>
    <s v="Male"/>
    <x v="1"/>
    <s v="Pune"/>
    <x v="0"/>
    <s v="Dal (1kg)"/>
    <n v="5"/>
    <n v="142.69999999999999"/>
    <n v="0.28999999999999998"/>
    <n v="560.89"/>
    <n v="25.3"/>
    <n v="26.87"/>
    <s v="EMI"/>
    <x v="1"/>
    <b v="0"/>
    <x v="1"/>
    <n v="8"/>
  </r>
  <r>
    <s v="ORD-03712"/>
    <x v="1491"/>
    <x v="1491"/>
    <s v="CUST26187"/>
    <s v="Arjun Nair"/>
    <n v="28"/>
    <s v="Female"/>
    <x v="4"/>
    <s v="Hyderabad"/>
    <x v="5"/>
    <s v="Headphones"/>
    <n v="4"/>
    <n v="12995.6"/>
    <n v="0.3"/>
    <n v="55079.39"/>
    <n v="5983.03"/>
    <n v="50.54"/>
    <s v="UPI"/>
    <x v="0"/>
    <b v="1"/>
    <x v="0"/>
    <n v="6"/>
  </r>
  <r>
    <s v="ORD-00338"/>
    <x v="291"/>
    <x v="291"/>
    <s v="CUST54853"/>
    <s v="Deepa Mehta"/>
    <n v="12"/>
    <s v="Male"/>
    <x v="0"/>
    <s v="Indore"/>
    <x v="0"/>
    <s v="Cooking Oil"/>
    <n v="4"/>
    <n v="446.87"/>
    <n v="0.37"/>
    <n v="1373.02"/>
    <n v="134.16999999999999"/>
    <n v="55.36"/>
    <s v="Net Banking"/>
    <x v="4"/>
    <b v="1"/>
    <x v="0"/>
    <n v="1"/>
  </r>
  <r>
    <s v="ORD-02276"/>
    <x v="921"/>
    <x v="921"/>
    <s v="CUST27939"/>
    <s v="Aarav Pillai"/>
    <n v="37"/>
    <s v="Female"/>
    <x v="2"/>
    <s v="Delhi"/>
    <x v="6"/>
    <s v="Yoga Mat"/>
    <n v="4"/>
    <n v="590.58000000000004"/>
    <n v="0.26"/>
    <n v="2166.86"/>
    <n v="376.29"/>
    <n v="74.83"/>
    <s v="Cash on Delivery"/>
    <x v="4"/>
    <b v="0"/>
    <x v="2"/>
    <n v="5"/>
  </r>
  <r>
    <s v="ORD-03771"/>
    <x v="1561"/>
    <x v="1561"/>
    <s v="CUST79702"/>
    <s v="Priya Sharma"/>
    <n v="38"/>
    <s v="Female"/>
    <x v="4"/>
    <s v="Hyderabad"/>
    <x v="4"/>
    <s v="Jacket"/>
    <n v="6"/>
    <n v="3840.34"/>
    <n v="0.23"/>
    <n v="33201.769999999997"/>
    <n v="12918.61"/>
    <n v="69.58"/>
    <s v="Cash on Delivery"/>
    <x v="0"/>
    <b v="0"/>
    <x v="2"/>
    <n v="1"/>
  </r>
  <r>
    <s v="ORD-02057"/>
    <x v="1096"/>
    <x v="1096"/>
    <s v="CUST88172"/>
    <s v="Pooja Sharma"/>
    <n v="44"/>
    <s v="Female"/>
    <x v="3"/>
    <s v="Bhubaneswar"/>
    <x v="2"/>
    <s v="Bed Frame"/>
    <n v="4"/>
    <n v="34052.07"/>
    <n v="7.0000000000000007E-2"/>
    <n v="210338.05"/>
    <n v="69009.61"/>
    <n v="65.239999999999995"/>
    <s v="UPI"/>
    <x v="3"/>
    <b v="0"/>
    <x v="2"/>
    <n v="2"/>
  </r>
  <r>
    <s v="ORD-01110"/>
    <x v="1474"/>
    <x v="1474"/>
    <s v="CUST00210"/>
    <s v="Pooja Patel"/>
    <n v="29"/>
    <s v="Female"/>
    <x v="2"/>
    <s v="Delhi"/>
    <x v="5"/>
    <s v="Smartphone"/>
    <n v="6"/>
    <n v="48230.85"/>
    <n v="0.35"/>
    <n v="245712.19"/>
    <n v="22881.08"/>
    <n v="68.73"/>
    <s v="Debit Card"/>
    <x v="4"/>
    <b v="0"/>
    <x v="4"/>
    <n v="9"/>
  </r>
  <r>
    <s v="ORD-04156"/>
    <x v="1444"/>
    <x v="1444"/>
    <s v="CUST37501"/>
    <s v="Rohan Bose"/>
    <n v="40"/>
    <s v="Other"/>
    <x v="0"/>
    <s v="Raipur"/>
    <x v="5"/>
    <s v="Tablet"/>
    <n v="4"/>
    <n v="23593.16"/>
    <n v="0.39"/>
    <n v="50867.37"/>
    <n v="6623.39"/>
    <n v="41.37"/>
    <s v="Net Banking"/>
    <x v="2"/>
    <b v="0"/>
    <x v="1"/>
    <n v="9"/>
  </r>
  <r>
    <s v="ORD-00294"/>
    <x v="1085"/>
    <x v="1085"/>
    <s v="CUST22246"/>
    <s v="Ananya Kumar"/>
    <n v="23"/>
    <s v="Female"/>
    <x v="3"/>
    <s v="Kolkata"/>
    <x v="3"/>
    <s v="Textbook"/>
    <n v="9"/>
    <n v="1441.87"/>
    <n v="0.09"/>
    <n v="15544.23"/>
    <n v="6061.53"/>
    <n v="61.52"/>
    <s v="Debit Card"/>
    <x v="2"/>
    <b v="0"/>
    <x v="4"/>
    <n v="1"/>
  </r>
  <r>
    <s v="ORD-02117"/>
    <x v="1562"/>
    <x v="1562"/>
    <s v="CUST85337"/>
    <s v="Ananya Bose"/>
    <n v="50"/>
    <s v="Female"/>
    <x v="2"/>
    <s v="Delhi"/>
    <x v="4"/>
    <s v="Jeans"/>
    <n v="5"/>
    <n v="3757.22"/>
    <n v="0.03"/>
    <n v="6146.46"/>
    <n v="1762.91"/>
    <n v="46.04"/>
    <s v="Cash on Delivery"/>
    <x v="0"/>
    <b v="0"/>
    <x v="1"/>
    <n v="3"/>
  </r>
  <r>
    <s v="ORD-02206"/>
    <x v="1293"/>
    <x v="1293"/>
    <s v="CUST90477"/>
    <s v="Amit Nair"/>
    <n v="41"/>
    <s v="Male"/>
    <x v="3"/>
    <s v="Bhubaneswar"/>
    <x v="3"/>
    <s v="Fiction Novel"/>
    <n v="2"/>
    <n v="766.12"/>
    <n v="0.21"/>
    <n v="1911.88"/>
    <n v="403.99"/>
    <n v="94.88"/>
    <s v="Cash on Delivery"/>
    <x v="3"/>
    <b v="0"/>
    <x v="1"/>
    <n v="7"/>
  </r>
  <r>
    <s v="ORD-03169"/>
    <x v="196"/>
    <x v="196"/>
    <s v="CUST57585"/>
    <s v="Karan Kapoor"/>
    <n v="36"/>
    <s v="Male"/>
    <x v="1"/>
    <s v="Pune"/>
    <x v="6"/>
    <s v="Tennis Racket"/>
    <n v="7"/>
    <n v="11959.3"/>
    <n v="0.06"/>
    <n v="80013.649999999994"/>
    <n v="18319.5"/>
    <n v="55.16"/>
    <s v="Cash on Delivery"/>
    <x v="4"/>
    <b v="0"/>
    <x v="4"/>
    <n v="1"/>
  </r>
  <r>
    <s v="ORD-03414"/>
    <x v="878"/>
    <x v="878"/>
    <s v="CUST92259"/>
    <s v="Pooja Verma"/>
    <n v="28"/>
    <s v="Female"/>
    <x v="3"/>
    <s v="Guwahati"/>
    <x v="1"/>
    <s v="Shampoo"/>
    <n v="10"/>
    <n v="103.75"/>
    <n v="0.26"/>
    <n v="763.63"/>
    <n v="473.48"/>
    <n v="78.5"/>
    <s v="Credit Card"/>
    <x v="4"/>
    <b v="0"/>
    <x v="3"/>
    <n v="7"/>
  </r>
  <r>
    <s v="ORD-03194"/>
    <x v="714"/>
    <x v="714"/>
    <s v="CUST46133"/>
    <s v="Sunita Patel"/>
    <n v="35"/>
    <s v="Female"/>
    <x v="0"/>
    <s v="Nagpur"/>
    <x v="0"/>
    <s v="Rice (5kg)"/>
    <n v="1"/>
    <n v="466.8"/>
    <n v="0.37"/>
    <n v="312.81"/>
    <n v="17.47"/>
    <n v="67.52"/>
    <s v="EMI"/>
    <x v="2"/>
    <b v="0"/>
    <x v="1"/>
    <n v="7"/>
  </r>
  <r>
    <s v="ORD-03229"/>
    <x v="854"/>
    <x v="854"/>
    <s v="CUST44015"/>
    <s v="Nisha Shah"/>
    <n v="1"/>
    <s v="Other"/>
    <x v="2"/>
    <s v="Amritsar"/>
    <x v="6"/>
    <s v="Cricket Bat"/>
    <n v="4"/>
    <n v="10506.22"/>
    <n v="0.26"/>
    <n v="31932.89"/>
    <n v="4266.1899999999996"/>
    <n v="51.99"/>
    <s v="Credit Card"/>
    <x v="4"/>
    <b v="1"/>
    <x v="0"/>
    <n v="10"/>
  </r>
  <r>
    <s v="ORD-02594"/>
    <x v="554"/>
    <x v="554"/>
    <s v="CUST20482"/>
    <s v="Karan Das"/>
    <n v="35"/>
    <s v="Female"/>
    <x v="0"/>
    <s v="Nagpur"/>
    <x v="6"/>
    <s v="Cricket Bat"/>
    <n v="10"/>
    <n v="856.51"/>
    <n v="0.39"/>
    <n v="5930.43"/>
    <n v="1385.75"/>
    <n v="57.74"/>
    <s v="Net Banking"/>
    <x v="0"/>
    <b v="0"/>
    <x v="1"/>
    <n v="4"/>
  </r>
  <r>
    <s v="ORD-02682"/>
    <x v="1563"/>
    <x v="1563"/>
    <s v="CUST50033"/>
    <s v="Ritu Joshi"/>
    <n v="51"/>
    <s v="Other"/>
    <x v="4"/>
    <s v="Bangalore"/>
    <x v="4"/>
    <s v="Dress"/>
    <n v="8"/>
    <n v="3911.66"/>
    <n v="0.3"/>
    <n v="25920.44"/>
    <n v="11329.49"/>
    <n v="76.959999999999994"/>
    <s v="Debit Card"/>
    <x v="0"/>
    <b v="0"/>
    <x v="3"/>
    <n v="3"/>
  </r>
  <r>
    <s v="ORD-00471"/>
    <x v="1273"/>
    <x v="1273"/>
    <s v="CUST70383"/>
    <s v="Vikram Bose"/>
    <n v="46"/>
    <s v="Female"/>
    <x v="2"/>
    <s v="Delhi"/>
    <x v="5"/>
    <s v="Smartphone"/>
    <n v="7"/>
    <n v="64119.9"/>
    <n v="0.37"/>
    <n v="328579.52"/>
    <n v="27779.3"/>
    <n v="23.56"/>
    <s v="Credit Card"/>
    <x v="2"/>
    <b v="0"/>
    <x v="4"/>
    <n v="3"/>
  </r>
  <r>
    <s v="ORD-00558"/>
    <x v="301"/>
    <x v="301"/>
    <s v="CUST39230"/>
    <s v="Amit Gupta"/>
    <n v="33"/>
    <s v="Female"/>
    <x v="0"/>
    <s v="Bhopal"/>
    <x v="5"/>
    <s v="Smartphone"/>
    <n v="4"/>
    <n v="61889.58"/>
    <n v="0.28000000000000003"/>
    <n v="188994.43"/>
    <n v="30756.01"/>
    <n v="79.61"/>
    <s v="EMI"/>
    <x v="3"/>
    <b v="0"/>
    <x v="1"/>
    <n v="5"/>
  </r>
  <r>
    <s v="ORD-02039"/>
    <x v="536"/>
    <x v="536"/>
    <s v="CUST14314"/>
    <s v="Karan Singh"/>
    <n v="38"/>
    <s v="Other"/>
    <x v="3"/>
    <s v="Patna"/>
    <x v="6"/>
    <s v="Yoga Mat"/>
    <n v="6"/>
    <n v="14693.99"/>
    <n v="0.23"/>
    <n v="98156.4"/>
    <n v="22834.62"/>
    <n v="68.94"/>
    <s v="Debit Card"/>
    <x v="3"/>
    <b v="0"/>
    <x v="1"/>
    <n v="4"/>
  </r>
  <r>
    <s v="ORD-03796"/>
    <x v="27"/>
    <x v="27"/>
    <s v="CUST82853"/>
    <s v="Sanjay Chatterjee"/>
    <n v="18"/>
    <s v="Other"/>
    <x v="0"/>
    <s v="Raipur"/>
    <x v="4"/>
    <s v="Dress"/>
    <n v="10"/>
    <n v="1784.51"/>
    <n v="0.18"/>
    <n v="22208.97"/>
    <n v="11474.7"/>
    <n v="69.08"/>
    <s v="Cash on Delivery"/>
    <x v="2"/>
    <b v="0"/>
    <x v="1"/>
    <n v="8"/>
  </r>
  <r>
    <s v="ORD-02342"/>
    <x v="789"/>
    <x v="789"/>
    <s v="CUST03284"/>
    <s v="Pooja Bhat"/>
    <n v="31"/>
    <s v="Male"/>
    <x v="3"/>
    <s v="Kolkata"/>
    <x v="5"/>
    <s v="Headphones"/>
    <n v="9"/>
    <n v="58781.51"/>
    <n v="0.2"/>
    <n v="399047.78"/>
    <n v="43776.4"/>
    <n v="94.29"/>
    <s v="EMI"/>
    <x v="2"/>
    <b v="0"/>
    <x v="1"/>
    <n v="2"/>
  </r>
  <r>
    <s v="ORD-02821"/>
    <x v="1564"/>
    <x v="1564"/>
    <s v="CUST76939"/>
    <s v="Ananya Bose"/>
    <n v="56"/>
    <s v="Other"/>
    <x v="2"/>
    <s v="Delhi"/>
    <x v="5"/>
    <s v="Smartphone"/>
    <n v="8"/>
    <n v="29764.18"/>
    <n v="0.21"/>
    <n v="268708.58"/>
    <n v="24851.54"/>
    <n v="45.84"/>
    <s v="Cash on Delivery"/>
    <x v="3"/>
    <b v="0"/>
    <x v="1"/>
    <n v="2"/>
  </r>
  <r>
    <s v="ORD-01439"/>
    <x v="735"/>
    <x v="735"/>
    <s v="CUST93212"/>
    <s v="Priya Mishra"/>
    <n v="37"/>
    <s v="Male"/>
    <x v="0"/>
    <s v="Nagpur"/>
    <x v="6"/>
    <s v="Dumbbells"/>
    <n v="3"/>
    <n v="13108.91"/>
    <n v="0.14000000000000001"/>
    <n v="30143.82"/>
    <n v="8326.51"/>
    <n v="55.08"/>
    <s v="Credit Card"/>
    <x v="4"/>
    <b v="0"/>
    <x v="1"/>
    <n v="10"/>
  </r>
  <r>
    <s v="ORD-01263"/>
    <x v="1189"/>
    <x v="1189"/>
    <s v="CUST75667"/>
    <s v="Pooja Pillai"/>
    <n v="63"/>
    <s v="Male"/>
    <x v="1"/>
    <s v="Mumbai"/>
    <x v="6"/>
    <s v="Cricket Bat"/>
    <n v="10"/>
    <n v="5417.12"/>
    <n v="0.21"/>
    <n v="55413.45"/>
    <n v="15661.22"/>
    <n v="56.55"/>
    <s v="UPI"/>
    <x v="4"/>
    <b v="0"/>
    <x v="3"/>
    <n v="5"/>
  </r>
  <r>
    <s v="ORD-03237"/>
    <x v="1458"/>
    <x v="1458"/>
    <s v="CUST62193"/>
    <s v="Ananya Rao"/>
    <n v="48"/>
    <s v="Other"/>
    <x v="3"/>
    <s v="Kolkata"/>
    <x v="1"/>
    <s v="Perfume"/>
    <n v="3"/>
    <n v="434.81"/>
    <n v="0.39"/>
    <n v="892.79"/>
    <n v="365.96"/>
    <n v="77.89"/>
    <s v="Debit Card"/>
    <x v="3"/>
    <b v="0"/>
    <x v="1"/>
    <n v="5"/>
  </r>
  <r>
    <s v="ORD-01023"/>
    <x v="1330"/>
    <x v="1330"/>
    <s v="CUST74961"/>
    <s v="Kavya Iyer"/>
    <n v="28"/>
    <s v="Female"/>
    <x v="3"/>
    <s v="Patna"/>
    <x v="1"/>
    <s v="Hair Oil"/>
    <n v="4"/>
    <n v="1885.47"/>
    <n v="0.39"/>
    <n v="6078.11"/>
    <n v="2097.44"/>
    <n v="72.41"/>
    <s v="Cash on Delivery"/>
    <x v="2"/>
    <b v="0"/>
    <x v="1"/>
    <n v="10"/>
  </r>
  <r>
    <s v="ORD-00121"/>
    <x v="913"/>
    <x v="913"/>
    <s v="CUST87494"/>
    <s v="Deepa Verma"/>
    <n v="62"/>
    <s v="Male"/>
    <x v="4"/>
    <s v="Hyderabad"/>
    <x v="1"/>
    <s v="Shampoo"/>
    <n v="4"/>
    <n v="965.04"/>
    <n v="0.32"/>
    <n v="2121.23"/>
    <n v="1209.8800000000001"/>
    <n v="58.85"/>
    <s v="EMI"/>
    <x v="4"/>
    <b v="1"/>
    <x v="0"/>
    <n v="6"/>
  </r>
  <r>
    <s v="ORD-00906"/>
    <x v="1381"/>
    <x v="1381"/>
    <s v="CUST56644"/>
    <s v="Sanjay Iyer"/>
    <n v="50"/>
    <s v="Other"/>
    <x v="2"/>
    <s v="Delhi"/>
    <x v="5"/>
    <s v="Headphones"/>
    <n v="7"/>
    <n v="10081.67"/>
    <n v="0.03"/>
    <n v="59897.17"/>
    <n v="4993.59"/>
    <n v="16.940000000000001"/>
    <s v="Credit Card"/>
    <x v="1"/>
    <b v="0"/>
    <x v="1"/>
    <n v="7"/>
  </r>
  <r>
    <s v="ORD-03769"/>
    <x v="825"/>
    <x v="825"/>
    <s v="CUST52834"/>
    <s v="Priya Shah"/>
    <n v="43"/>
    <s v="Other"/>
    <x v="1"/>
    <s v="Mumbai"/>
    <x v="2"/>
    <s v="Bed Frame"/>
    <n v="3"/>
    <n v="20889.939999999999"/>
    <n v="0.28000000000000003"/>
    <n v="70530.850000000006"/>
    <n v="15914.76"/>
    <n v="86.28"/>
    <s v="UPI"/>
    <x v="1"/>
    <b v="0"/>
    <x v="1"/>
    <n v="2"/>
  </r>
  <r>
    <s v="ORD-01307"/>
    <x v="124"/>
    <x v="124"/>
    <s v="CUST83913"/>
    <s v="Rohan Rao"/>
    <n v="28"/>
    <s v="Male"/>
    <x v="2"/>
    <s v="Delhi"/>
    <x v="3"/>
    <s v="Comic Book"/>
    <n v="4"/>
    <n v="268"/>
    <n v="0.31"/>
    <n v="983.11"/>
    <n v="397.26"/>
    <n v="58.22"/>
    <s v="UPI"/>
    <x v="2"/>
    <b v="0"/>
    <x v="3"/>
    <n v="4"/>
  </r>
  <r>
    <s v="ORD-01389"/>
    <x v="946"/>
    <x v="946"/>
    <s v="CUST70094"/>
    <s v="Deepa Joshi"/>
    <n v="29"/>
    <s v="Other"/>
    <x v="3"/>
    <s v="Guwahati"/>
    <x v="6"/>
    <s v="Dumbbells"/>
    <n v="5"/>
    <n v="5472.78"/>
    <n v="0.09"/>
    <n v="26718.92"/>
    <n v="5839.8"/>
    <n v="85.38"/>
    <s v="Net Banking"/>
    <x v="0"/>
    <b v="0"/>
    <x v="4"/>
    <n v="7"/>
  </r>
  <r>
    <s v="ORD-03819"/>
    <x v="1148"/>
    <x v="1148"/>
    <s v="CUST71900"/>
    <s v="Amit Kapoor"/>
    <n v="48"/>
    <s v="Male"/>
    <x v="3"/>
    <s v="Kolkata"/>
    <x v="2"/>
    <s v="Chair"/>
    <n v="3"/>
    <n v="10939.89"/>
    <n v="0.37"/>
    <n v="35018.76"/>
    <n v="7992.14"/>
    <n v="99.95"/>
    <s v="Cash on Delivery"/>
    <x v="4"/>
    <b v="0"/>
    <x v="1"/>
    <n v="9"/>
  </r>
  <r>
    <s v="ORD-01335"/>
    <x v="1522"/>
    <x v="1522"/>
    <s v="CUST27800"/>
    <s v="Meera Shah"/>
    <n v="38"/>
    <s v="Other"/>
    <x v="0"/>
    <s v="Indore"/>
    <x v="2"/>
    <s v="Sofa"/>
    <n v="8"/>
    <n v="27002.71"/>
    <n v="0.1"/>
    <n v="247619.21"/>
    <n v="75880.399999999994"/>
    <n v="107.71"/>
    <s v="UPI"/>
    <x v="4"/>
    <b v="0"/>
    <x v="1"/>
    <n v="3"/>
  </r>
  <r>
    <s v="ORD-02559"/>
    <x v="836"/>
    <x v="836"/>
    <s v="CUST02955"/>
    <s v="Aarav Sharma"/>
    <n v="46"/>
    <s v="Female"/>
    <x v="3"/>
    <s v="Patna"/>
    <x v="1"/>
    <s v="Hair Oil"/>
    <n v="1"/>
    <n v="1511.99"/>
    <n v="0.39"/>
    <n v="914.13"/>
    <n v="402.56"/>
    <n v="88.69"/>
    <s v="UPI"/>
    <x v="4"/>
    <b v="0"/>
    <x v="3"/>
    <n v="7"/>
  </r>
  <r>
    <s v="ORD-02228"/>
    <x v="919"/>
    <x v="919"/>
    <s v="CUST45867"/>
    <s v="Pooja Gupta"/>
    <n v="53"/>
    <s v="Other"/>
    <x v="0"/>
    <s v="Raipur"/>
    <x v="2"/>
    <s v="Bed Frame"/>
    <n v="5"/>
    <n v="16148.89"/>
    <n v="0.31"/>
    <n v="65510.48"/>
    <n v="17083.16"/>
    <n v="56.19"/>
    <s v="Cash on Delivery"/>
    <x v="1"/>
    <b v="0"/>
    <x v="1"/>
    <n v="1"/>
  </r>
  <r>
    <s v="ORD-01936"/>
    <x v="506"/>
    <x v="506"/>
    <s v="CUST63093"/>
    <s v="Nikhil Gupta"/>
    <n v="35"/>
    <s v="Other"/>
    <x v="1"/>
    <s v="Mumbai"/>
    <x v="5"/>
    <s v="Laptop"/>
    <n v="4"/>
    <n v="35805.64"/>
    <n v="0.22"/>
    <n v="175898.51"/>
    <n v="16761.62"/>
    <n v="64.56"/>
    <s v="Net Banking"/>
    <x v="3"/>
    <b v="0"/>
    <x v="3"/>
    <n v="9"/>
  </r>
  <r>
    <s v="ORD-03882"/>
    <x v="530"/>
    <x v="530"/>
    <s v="CUST84457"/>
    <s v="Sanjay Singh"/>
    <n v="30"/>
    <s v="Female"/>
    <x v="0"/>
    <s v="Raipur"/>
    <x v="5"/>
    <s v="Camera"/>
    <n v="1"/>
    <n v="8508.27"/>
    <n v="0.12"/>
    <n v="10874.57"/>
    <n v="1416.52"/>
    <n v="82.74"/>
    <s v="UPI"/>
    <x v="0"/>
    <b v="0"/>
    <x v="2"/>
    <n v="1"/>
  </r>
  <r>
    <s v="ORD-03893"/>
    <x v="809"/>
    <x v="809"/>
    <s v="CUST06918"/>
    <s v="Amit Nair"/>
    <n v="33"/>
    <s v="Female"/>
    <x v="1"/>
    <s v="Mumbai"/>
    <x v="0"/>
    <s v="Sugar"/>
    <n v="9"/>
    <n v="346.57"/>
    <n v="0.21"/>
    <n v="5197.6099999999997"/>
    <n v="352.44"/>
    <n v="77.75"/>
    <s v="Credit Card"/>
    <x v="2"/>
    <b v="0"/>
    <x v="1"/>
    <n v="6"/>
  </r>
  <r>
    <s v="ORD-01094"/>
    <x v="103"/>
    <x v="103"/>
    <s v="CUST74740"/>
    <s v="Karan Chatterjee"/>
    <n v="43"/>
    <s v="Other"/>
    <x v="1"/>
    <s v="Surat"/>
    <x v="5"/>
    <s v="Smartwatch"/>
    <n v="10"/>
    <n v="65812.2"/>
    <n v="0.14000000000000001"/>
    <n v="755611.74"/>
    <n v="101212.3"/>
    <n v="48.25"/>
    <s v="Net Banking"/>
    <x v="2"/>
    <b v="0"/>
    <x v="1"/>
    <n v="8"/>
  </r>
  <r>
    <s v="ORD-03856"/>
    <x v="1565"/>
    <x v="1565"/>
    <s v="CUST67383"/>
    <s v="Arjun Singh"/>
    <n v="30"/>
    <s v="Female"/>
    <x v="0"/>
    <s v="Bhopal"/>
    <x v="4"/>
    <s v="Jeans"/>
    <n v="10"/>
    <n v="978.2"/>
    <n v="0.28999999999999998"/>
    <n v="11603.1"/>
    <n v="4868.18"/>
    <n v="34.04"/>
    <s v="Debit Card"/>
    <x v="0"/>
    <b v="0"/>
    <x v="1"/>
    <n v="1"/>
  </r>
  <r>
    <s v="ORD-01560"/>
    <x v="701"/>
    <x v="701"/>
    <s v="CUST99753"/>
    <s v="Sunita Singh"/>
    <n v="58"/>
    <s v="Female"/>
    <x v="1"/>
    <s v="Pune"/>
    <x v="6"/>
    <s v="Football"/>
    <n v="10"/>
    <n v="12971.47"/>
    <n v="0.35"/>
    <n v="65353.81"/>
    <n v="15914.47"/>
    <n v="51.11"/>
    <s v="Credit Card"/>
    <x v="0"/>
    <b v="0"/>
    <x v="1"/>
    <n v="7"/>
  </r>
  <r>
    <s v="ORD-03232"/>
    <x v="394"/>
    <x v="394"/>
    <s v="CUST26327"/>
    <s v="Arjun Mishra"/>
    <n v="10"/>
    <s v="Female"/>
    <x v="2"/>
    <s v="Chandigarh"/>
    <x v="5"/>
    <s v="Tablet"/>
    <n v="5"/>
    <n v="29580.52"/>
    <n v="0.4"/>
    <n v="105263.11"/>
    <n v="15663.51"/>
    <n v="86.48"/>
    <s v="Cash on Delivery"/>
    <x v="2"/>
    <b v="0"/>
    <x v="1"/>
    <n v="2"/>
  </r>
  <r>
    <s v="ORD-03877"/>
    <x v="1156"/>
    <x v="1156"/>
    <s v="CUST87297"/>
    <s v="Sanjay Rao"/>
    <n v="44"/>
    <s v="Other"/>
    <x v="0"/>
    <s v="Indore"/>
    <x v="5"/>
    <s v="Smartwatch"/>
    <n v="3"/>
    <n v="21470.45"/>
    <n v="0.02"/>
    <n v="92585"/>
    <n v="5457.16"/>
    <n v="77.05"/>
    <s v="Credit Card"/>
    <x v="1"/>
    <b v="0"/>
    <x v="1"/>
    <n v="9"/>
  </r>
  <r>
    <s v="ORD-00816"/>
    <x v="1454"/>
    <x v="1454"/>
    <s v="CUST98871"/>
    <s v="Aarav Rao"/>
    <n v="48"/>
    <s v="Female"/>
    <x v="3"/>
    <s v="Guwahati"/>
    <x v="4"/>
    <s v="Jeans"/>
    <n v="4"/>
    <n v="1333.04"/>
    <n v="0.15"/>
    <n v="3641.6"/>
    <n v="1576"/>
    <n v="89.29"/>
    <s v="Net Banking"/>
    <x v="1"/>
    <b v="0"/>
    <x v="1"/>
    <n v="9"/>
  </r>
  <r>
    <s v="ORD-00864"/>
    <x v="624"/>
    <x v="624"/>
    <s v="CUST83666"/>
    <s v="Priya Bhat"/>
    <n v="42"/>
    <s v="Female"/>
    <x v="1"/>
    <s v="Surat"/>
    <x v="2"/>
    <s v="Wardrobe"/>
    <n v="2"/>
    <n v="7904.49"/>
    <n v="0.28999999999999998"/>
    <n v="10748.23"/>
    <n v="2246.83"/>
    <n v="58.23"/>
    <s v="Credit Card"/>
    <x v="0"/>
    <b v="0"/>
    <x v="1"/>
    <n v="3"/>
  </r>
  <r>
    <s v="ORD-01083"/>
    <x v="673"/>
    <x v="673"/>
    <s v="CUST10450"/>
    <s v="Sunita Iyer"/>
    <n v="21"/>
    <s v="Male"/>
    <x v="2"/>
    <s v="Amritsar"/>
    <x v="0"/>
    <s v="Sugar"/>
    <n v="6"/>
    <n v="195"/>
    <n v="0.01"/>
    <n v="1590.89"/>
    <n v="163.31"/>
    <n v="46.08"/>
    <s v="Net Banking"/>
    <x v="3"/>
    <b v="0"/>
    <x v="3"/>
    <n v="7"/>
  </r>
  <r>
    <s v="ORD-01209"/>
    <x v="149"/>
    <x v="149"/>
    <s v="CUST12905"/>
    <s v="Rahul Shah"/>
    <n v="36"/>
    <s v="Other"/>
    <x v="1"/>
    <s v="Surat"/>
    <x v="5"/>
    <s v="Smartwatch"/>
    <n v="6"/>
    <n v="35685.360000000001"/>
    <n v="0.3"/>
    <n v="182448.8"/>
    <n v="21541.19"/>
    <n v="65.92"/>
    <s v="EMI"/>
    <x v="2"/>
    <b v="0"/>
    <x v="1"/>
    <n v="2"/>
  </r>
  <r>
    <s v="ORD-01290"/>
    <x v="1566"/>
    <x v="1566"/>
    <s v="CUST20750"/>
    <s v="Rohan Joshi"/>
    <n v="34"/>
    <s v="Male"/>
    <x v="0"/>
    <s v="Bhopal"/>
    <x v="0"/>
    <s v="Cooking Oil"/>
    <n v="9"/>
    <n v="271.01"/>
    <n v="0.02"/>
    <n v="2992.24"/>
    <n v="289.77"/>
    <n v="60.94"/>
    <s v="UPI"/>
    <x v="0"/>
    <b v="0"/>
    <x v="1"/>
    <n v="5"/>
  </r>
  <r>
    <s v="ORD-01858"/>
    <x v="175"/>
    <x v="175"/>
    <s v="CUST00213"/>
    <s v="Arjun Verma"/>
    <n v="34"/>
    <s v="Male"/>
    <x v="4"/>
    <s v="Chennai"/>
    <x v="1"/>
    <s v="Hair Oil"/>
    <n v="4"/>
    <n v="1182.99"/>
    <n v="0.03"/>
    <n v="5426.76"/>
    <n v="3103.03"/>
    <n v="94.88"/>
    <s v="Debit Card"/>
    <x v="3"/>
    <b v="0"/>
    <x v="2"/>
    <n v="1"/>
  </r>
  <r>
    <s v="ORD-00096"/>
    <x v="550"/>
    <x v="550"/>
    <s v="CUST66932"/>
    <s v="Shreya Reddy"/>
    <n v="38"/>
    <s v="Other"/>
    <x v="2"/>
    <s v="Amritsar"/>
    <x v="6"/>
    <s v="Dumbbells"/>
    <n v="3"/>
    <n v="2728.31"/>
    <n v="0.24"/>
    <n v="5207.6400000000003"/>
    <n v="802.54"/>
    <n v="36.26"/>
    <s v="Credit Card"/>
    <x v="4"/>
    <b v="1"/>
    <x v="0"/>
    <n v="10"/>
  </r>
  <r>
    <s v="ORD-04184"/>
    <x v="1236"/>
    <x v="1236"/>
    <s v="CUST57246"/>
    <s v="Shreya Patel"/>
    <n v="34"/>
    <s v="Male"/>
    <x v="3"/>
    <s v="Guwahati"/>
    <x v="2"/>
    <s v="Chair"/>
    <n v="9"/>
    <n v="17949.599999999999"/>
    <n v="0.08"/>
    <n v="129636.87"/>
    <n v="41301.730000000003"/>
    <n v="79.91"/>
    <s v="UPI"/>
    <x v="1"/>
    <b v="0"/>
    <x v="1"/>
    <n v="3"/>
  </r>
  <r>
    <s v="ORD-02429"/>
    <x v="1567"/>
    <x v="1567"/>
    <s v="CUST34276"/>
    <s v="Sanjay Verma"/>
    <n v="35"/>
    <s v="Female"/>
    <x v="2"/>
    <s v="Amritsar"/>
    <x v="2"/>
    <s v="Desk"/>
    <n v="4"/>
    <n v="9446.44"/>
    <n v="0.3"/>
    <n v="22683.91"/>
    <n v="5513.68"/>
    <n v="58.8"/>
    <s v="Debit Card"/>
    <x v="1"/>
    <b v="0"/>
    <x v="3"/>
    <n v="9"/>
  </r>
  <r>
    <s v="ORD-00605"/>
    <x v="807"/>
    <x v="807"/>
    <s v="CUST07202"/>
    <s v="Amit Shah"/>
    <n v="39"/>
    <s v="Other"/>
    <x v="4"/>
    <s v="Hyderabad"/>
    <x v="1"/>
    <s v="Shampoo"/>
    <n v="7"/>
    <n v="387.9"/>
    <n v="0.09"/>
    <n v="2585.0300000000002"/>
    <n v="1269.6300000000001"/>
    <n v="57.88"/>
    <s v="EMI"/>
    <x v="4"/>
    <b v="0"/>
    <x v="2"/>
    <n v="3"/>
  </r>
  <r>
    <s v="ORD-03112"/>
    <x v="837"/>
    <x v="837"/>
    <s v="CUST75819"/>
    <s v="Aarav Gupta"/>
    <n v="48"/>
    <s v="Other"/>
    <x v="4"/>
    <s v="Hyderabad"/>
    <x v="4"/>
    <s v="Dress"/>
    <n v="8"/>
    <n v="771.59"/>
    <n v="0.37"/>
    <n v="4477.38"/>
    <n v="1547"/>
    <n v="66.22"/>
    <s v="Net Banking"/>
    <x v="1"/>
    <b v="0"/>
    <x v="1"/>
    <n v="2"/>
  </r>
  <r>
    <s v="ORD-02115"/>
    <x v="734"/>
    <x v="734"/>
    <s v="CUST34821"/>
    <s v="Sunita Mehta"/>
    <n v="58"/>
    <s v="Female"/>
    <x v="3"/>
    <s v="Kolkata"/>
    <x v="2"/>
    <s v="Wardrobe"/>
    <n v="8"/>
    <n v="6806.19"/>
    <n v="0.1"/>
    <n v="67597"/>
    <n v="26754.18"/>
    <n v="63.82"/>
    <s v="Net Banking"/>
    <x v="1"/>
    <b v="0"/>
    <x v="1"/>
    <n v="1"/>
  </r>
  <r>
    <s v="ORD-00551"/>
    <x v="1568"/>
    <x v="1568"/>
    <s v="CUST09601"/>
    <s v="Sunita Gupta"/>
    <n v="21"/>
    <s v="Other"/>
    <x v="3"/>
    <s v="Guwahati"/>
    <x v="0"/>
    <s v="Flour"/>
    <n v="4"/>
    <n v="119.74"/>
    <n v="0.21"/>
    <n v="435.44"/>
    <n v="24.64"/>
    <n v="108.57"/>
    <s v="EMI"/>
    <x v="0"/>
    <b v="0"/>
    <x v="1"/>
    <n v="6"/>
  </r>
  <r>
    <s v="ORD-03220"/>
    <x v="1167"/>
    <x v="1167"/>
    <s v="CUST05571"/>
    <s v="Vikram Mehta"/>
    <n v="44"/>
    <s v="Other"/>
    <x v="1"/>
    <s v="Ahmedabad"/>
    <x v="3"/>
    <s v="Fiction Novel"/>
    <n v="6"/>
    <n v="1199.21"/>
    <n v="0.09"/>
    <n v="7876.86"/>
    <n v="3776.83"/>
    <n v="61.99"/>
    <s v="EMI"/>
    <x v="1"/>
    <b v="0"/>
    <x v="4"/>
    <n v="3"/>
  </r>
  <r>
    <s v="ORD-02300"/>
    <x v="1263"/>
    <x v="1263"/>
    <s v="CUST99451"/>
    <s v="Nikhil Joshi"/>
    <n v="30"/>
    <s v="Other"/>
    <x v="2"/>
    <s v="Amritsar"/>
    <x v="3"/>
    <s v="Fiction Novel"/>
    <n v="5"/>
    <n v="1447.1"/>
    <n v="7.0000000000000007E-2"/>
    <n v="1543.04"/>
    <n v="589.91"/>
    <n v="58.15"/>
    <s v="Cash on Delivery"/>
    <x v="0"/>
    <b v="0"/>
    <x v="1"/>
    <n v="2"/>
  </r>
  <r>
    <s v="ORD-00476"/>
    <x v="1160"/>
    <x v="1160"/>
    <s v="CUST99185"/>
    <s v="Rahul Das"/>
    <n v="46"/>
    <s v="Female"/>
    <x v="1"/>
    <s v="Surat"/>
    <x v="4"/>
    <s v="T-Shirt"/>
    <n v="7"/>
    <n v="359.64"/>
    <n v="0.12"/>
    <n v="2673.78"/>
    <n v="1271.43"/>
    <n v="58.05"/>
    <s v="Debit Card"/>
    <x v="0"/>
    <b v="0"/>
    <x v="1"/>
    <n v="3"/>
  </r>
  <r>
    <s v="ORD-01500"/>
    <x v="605"/>
    <x v="605"/>
    <s v="CUST23783"/>
    <s v="Meera Nair"/>
    <n v="34"/>
    <s v="Female"/>
    <x v="0"/>
    <s v="Bhopal"/>
    <x v="3"/>
    <s v="Comic Book"/>
    <n v="7"/>
    <n v="1014.7"/>
    <n v="7.0000000000000007E-2"/>
    <n v="5508.78"/>
    <n v="1716.12"/>
    <n v="31.99"/>
    <s v="Debit Card"/>
    <x v="3"/>
    <b v="0"/>
    <x v="1"/>
    <n v="8"/>
  </r>
  <r>
    <s v="ORD-00213"/>
    <x v="1168"/>
    <x v="1168"/>
    <s v="CUST16925"/>
    <s v="Rohan Sharma"/>
    <n v="33"/>
    <s v="Male"/>
    <x v="0"/>
    <s v="Nagpur"/>
    <x v="1"/>
    <s v="Lipstick"/>
    <n v="3"/>
    <n v="538.36"/>
    <n v="0.03"/>
    <n v="1938.58"/>
    <n v="978.3"/>
    <n v="42"/>
    <s v="UPI"/>
    <x v="4"/>
    <b v="0"/>
    <x v="1"/>
    <n v="10"/>
  </r>
  <r>
    <s v="ORD-03513"/>
    <x v="1097"/>
    <x v="1097"/>
    <s v="CUST75619"/>
    <s v="Rahul Joshi"/>
    <n v="45"/>
    <s v="Other"/>
    <x v="3"/>
    <s v="Guwahati"/>
    <x v="5"/>
    <s v="Smartwatch"/>
    <n v="7"/>
    <n v="70949.08"/>
    <n v="0.21"/>
    <n v="539413.9"/>
    <n v="58300.98"/>
    <n v="79.98"/>
    <s v="Cash on Delivery"/>
    <x v="2"/>
    <b v="0"/>
    <x v="4"/>
    <n v="4"/>
  </r>
  <r>
    <s v="ORD-04144"/>
    <x v="1569"/>
    <x v="1569"/>
    <s v="CUST34339"/>
    <s v="Rahul Shah"/>
    <n v="46"/>
    <s v="Other"/>
    <x v="1"/>
    <s v="Pune"/>
    <x v="0"/>
    <s v="Dal (1kg)"/>
    <n v="3"/>
    <n v="461.92"/>
    <n v="0.09"/>
    <n v="1136.17"/>
    <n v="111.05"/>
    <n v="92.19"/>
    <s v="Net Banking"/>
    <x v="0"/>
    <b v="0"/>
    <x v="3"/>
    <n v="1"/>
  </r>
  <r>
    <s v="ORD-01589"/>
    <x v="992"/>
    <x v="992"/>
    <s v="CUST24981"/>
    <s v="Rohan Mehta"/>
    <n v="29"/>
    <s v="Female"/>
    <x v="3"/>
    <s v="Patna"/>
    <x v="6"/>
    <s v="Dumbbells"/>
    <n v="8"/>
    <n v="14455.23"/>
    <n v="7.0000000000000007E-2"/>
    <n v="81451.899999999994"/>
    <n v="14095.31"/>
    <n v="69.38"/>
    <s v="Credit Card"/>
    <x v="4"/>
    <b v="0"/>
    <x v="1"/>
    <n v="1"/>
  </r>
  <r>
    <s v="ORD-02025"/>
    <x v="1537"/>
    <x v="1537"/>
    <s v="CUST09860"/>
    <s v="Vikram Mehta"/>
    <n v="39"/>
    <s v="Female"/>
    <x v="1"/>
    <s v="Pune"/>
    <x v="3"/>
    <s v="Fiction Novel"/>
    <n v="7"/>
    <n v="1326.05"/>
    <n v="0.17"/>
    <n v="12840.19"/>
    <n v="5604.53"/>
    <n v="48.98"/>
    <s v="Net Banking"/>
    <x v="0"/>
    <b v="1"/>
    <x v="0"/>
    <n v="3"/>
  </r>
  <r>
    <s v="ORD-02379"/>
    <x v="1115"/>
    <x v="1115"/>
    <s v="CUST74898"/>
    <s v="Sanjay Bose"/>
    <n v="34"/>
    <s v="Other"/>
    <x v="4"/>
    <s v="Kochi"/>
    <x v="5"/>
    <s v="Laptop"/>
    <n v="6"/>
    <n v="35566.78"/>
    <n v="0.17"/>
    <n v="207943.15"/>
    <n v="27899.279999999999"/>
    <n v="65.72"/>
    <s v="Cash on Delivery"/>
    <x v="1"/>
    <b v="0"/>
    <x v="2"/>
    <n v="3"/>
  </r>
  <r>
    <s v="ORD-02481"/>
    <x v="1196"/>
    <x v="1196"/>
    <s v="CUST18007"/>
    <s v="Arjun Patel"/>
    <n v="30"/>
    <s v="Other"/>
    <x v="1"/>
    <s v="Mumbai"/>
    <x v="0"/>
    <s v="Tea"/>
    <n v="10"/>
    <n v="93.18"/>
    <n v="0.11"/>
    <n v="717.1"/>
    <n v="61.36"/>
    <n v="39.090000000000003"/>
    <s v="Net Banking"/>
    <x v="4"/>
    <b v="0"/>
    <x v="1"/>
    <n v="8"/>
  </r>
  <r>
    <s v="ORD-00277"/>
    <x v="182"/>
    <x v="182"/>
    <s v="CUST65185"/>
    <s v="Nisha Reddy"/>
    <n v="59"/>
    <s v="Other"/>
    <x v="4"/>
    <s v="Chennai"/>
    <x v="0"/>
    <s v="Dal (1kg)"/>
    <n v="10"/>
    <n v="217.3"/>
    <n v="0.05"/>
    <n v="2227.02"/>
    <n v="142.65"/>
    <n v="53.01"/>
    <s v="Debit Card"/>
    <x v="1"/>
    <b v="0"/>
    <x v="1"/>
    <n v="7"/>
  </r>
  <r>
    <s v="ORD-00506"/>
    <x v="1324"/>
    <x v="1324"/>
    <s v="CUST53218"/>
    <s v="Vikram Gupta"/>
    <n v="23"/>
    <s v="Other"/>
    <x v="2"/>
    <s v="Chandigarh"/>
    <x v="5"/>
    <s v="Headphones"/>
    <n v="8"/>
    <n v="61264.42"/>
    <n v="0.05"/>
    <n v="463985.67"/>
    <n v="82726.06"/>
    <n v="50.65"/>
    <s v="Credit Card"/>
    <x v="3"/>
    <b v="1"/>
    <x v="0"/>
    <n v="7"/>
  </r>
  <r>
    <s v="ORD-01336"/>
    <x v="1522"/>
    <x v="1522"/>
    <s v="CUST25698"/>
    <s v="Pooja Patel"/>
    <n v="20"/>
    <s v="Female"/>
    <x v="1"/>
    <s v="Pune"/>
    <x v="1"/>
    <s v="Face Cream"/>
    <n v="10"/>
    <n v="547"/>
    <n v="0.32"/>
    <n v="4726.28"/>
    <n v="2513.67"/>
    <n v="65.08"/>
    <s v="Cash on Delivery"/>
    <x v="3"/>
    <b v="0"/>
    <x v="3"/>
    <n v="7"/>
  </r>
  <r>
    <s v="ORD-02340"/>
    <x v="997"/>
    <x v="997"/>
    <s v="CUST46573"/>
    <s v="Sunita Mishra"/>
    <n v="43"/>
    <s v="Male"/>
    <x v="3"/>
    <s v="Kolkata"/>
    <x v="3"/>
    <s v="Comic Book"/>
    <n v="1"/>
    <n v="269.23"/>
    <n v="0.35"/>
    <n v="146.46"/>
    <n v="51.64"/>
    <n v="77.260000000000005"/>
    <s v="Debit Card"/>
    <x v="3"/>
    <b v="0"/>
    <x v="1"/>
    <n v="8"/>
  </r>
  <r>
    <s v="ORD-00902"/>
    <x v="1381"/>
    <x v="1381"/>
    <s v="CUST55154"/>
    <s v="Priya Verma"/>
    <n v="56"/>
    <s v="Male"/>
    <x v="2"/>
    <s v="Chandigarh"/>
    <x v="5"/>
    <s v="Tablet"/>
    <n v="1"/>
    <n v="39881.71"/>
    <n v="0.04"/>
    <n v="30194.77"/>
    <n v="2984.54"/>
    <n v="21.56"/>
    <s v="Net Banking"/>
    <x v="0"/>
    <b v="0"/>
    <x v="1"/>
    <n v="1"/>
  </r>
  <r>
    <s v="ORD-00449"/>
    <x v="518"/>
    <x v="518"/>
    <s v="CUST70202"/>
    <s v="Aditya Gupta"/>
    <n v="41"/>
    <s v="Male"/>
    <x v="0"/>
    <s v="Nagpur"/>
    <x v="4"/>
    <s v="Dress"/>
    <n v="8"/>
    <n v="1227.51"/>
    <n v="0.31"/>
    <n v="7184.61"/>
    <n v="2117.5300000000002"/>
    <n v="55.16"/>
    <s v="Credit Card"/>
    <x v="1"/>
    <b v="0"/>
    <x v="1"/>
    <n v="2"/>
  </r>
  <r>
    <s v="ORD-01410"/>
    <x v="1570"/>
    <x v="1570"/>
    <s v="CUST74811"/>
    <s v="Aditya Rao"/>
    <n v="32"/>
    <s v="Other"/>
    <x v="3"/>
    <s v="Patna"/>
    <x v="1"/>
    <s v="Face Cream"/>
    <n v="7"/>
    <n v="1026.47"/>
    <n v="7.0000000000000007E-2"/>
    <n v="6772.95"/>
    <n v="2747.24"/>
    <n v="58.92"/>
    <s v="Cash on Delivery"/>
    <x v="4"/>
    <b v="1"/>
    <x v="0"/>
    <n v="9"/>
  </r>
  <r>
    <s v="ORD-02535"/>
    <x v="1571"/>
    <x v="1571"/>
    <s v="CUST40704"/>
    <s v="Karan Singh"/>
    <n v="36"/>
    <s v="Female"/>
    <x v="2"/>
    <s v="Delhi"/>
    <x v="2"/>
    <s v="Wardrobe"/>
    <n v="1"/>
    <n v="10813.51"/>
    <n v="0.12"/>
    <n v="8770.86"/>
    <n v="1573.05"/>
    <n v="58.09"/>
    <s v="UPI"/>
    <x v="4"/>
    <b v="1"/>
    <x v="0"/>
    <n v="1"/>
  </r>
  <r>
    <s v="ORD-03597"/>
    <x v="1572"/>
    <x v="1572"/>
    <s v="CUST83582"/>
    <s v="Aditya Shah"/>
    <n v="32"/>
    <s v="Other"/>
    <x v="1"/>
    <s v="Ahmedabad"/>
    <x v="6"/>
    <s v="Cricket Bat"/>
    <n v="2"/>
    <n v="10269.18"/>
    <n v="0.09"/>
    <n v="24486.71"/>
    <n v="5686.61"/>
    <n v="76.3"/>
    <s v="Cash on Delivery"/>
    <x v="0"/>
    <b v="0"/>
    <x v="1"/>
    <n v="10"/>
  </r>
  <r>
    <s v="ORD-00990"/>
    <x v="1180"/>
    <x v="1180"/>
    <s v="CUST08092"/>
    <s v="Meera Bose"/>
    <n v="-4"/>
    <s v="Other"/>
    <x v="0"/>
    <s v="Raipur"/>
    <x v="3"/>
    <s v="Comic Book"/>
    <n v="9"/>
    <n v="742.78"/>
    <n v="0.21"/>
    <n v="6117.76"/>
    <n v="3038.08"/>
    <n v="76.92"/>
    <s v="Debit Card"/>
    <x v="2"/>
    <b v="0"/>
    <x v="1"/>
    <n v="8"/>
  </r>
  <r>
    <s v="ORD-00304"/>
    <x v="588"/>
    <x v="588"/>
    <s v="CUST28932"/>
    <s v="Arjun Kumar"/>
    <n v="41"/>
    <s v="Male"/>
    <x v="0"/>
    <s v="Bhopal"/>
    <x v="3"/>
    <s v="Fiction Novel"/>
    <n v="7"/>
    <n v="513.52"/>
    <n v="0.38"/>
    <n v="2985.15"/>
    <n v="1015.8"/>
    <n v="35.5"/>
    <s v="Net Banking"/>
    <x v="3"/>
    <b v="0"/>
    <x v="1"/>
    <n v="10"/>
  </r>
  <r>
    <s v="ORD-03560"/>
    <x v="1251"/>
    <x v="1251"/>
    <s v="CUST76119"/>
    <s v="Kavya Mehta"/>
    <n v="14"/>
    <s v="Female"/>
    <x v="3"/>
    <s v="Kolkata"/>
    <x v="0"/>
    <s v="Tea"/>
    <n v="7"/>
    <n v="422.63"/>
    <n v="0.39"/>
    <n v="2225.48"/>
    <n v="251.22"/>
    <n v="58.49"/>
    <s v="UPI"/>
    <x v="4"/>
    <b v="0"/>
    <x v="1"/>
    <n v="3"/>
  </r>
  <r>
    <s v="ORD-04148"/>
    <x v="599"/>
    <x v="599"/>
    <s v="CUST97586"/>
    <s v="Ananya Mishra"/>
    <n v="33"/>
    <s v="Female"/>
    <x v="2"/>
    <s v="Ludhiana"/>
    <x v="4"/>
    <s v="T-Shirt"/>
    <n v="5"/>
    <n v="614.15"/>
    <n v="0.17"/>
    <n v="2315.9"/>
    <n v="981.99"/>
    <n v="65.63"/>
    <s v="UPI"/>
    <x v="4"/>
    <b v="1"/>
    <x v="0"/>
    <n v="8"/>
  </r>
  <r>
    <s v="ORD-00824"/>
    <x v="1079"/>
    <x v="1079"/>
    <s v="CUST93771"/>
    <s v="Ananya Mishra"/>
    <n v="25"/>
    <s v="Female"/>
    <x v="3"/>
    <s v="Bhubaneswar"/>
    <x v="5"/>
    <s v="Smartwatch"/>
    <n v="10"/>
    <n v="62379.19"/>
    <n v="0.06"/>
    <n v="476054.02"/>
    <n v="44865.32"/>
    <n v="83.61"/>
    <s v="Debit Card"/>
    <x v="0"/>
    <b v="0"/>
    <x v="1"/>
    <n v="4"/>
  </r>
  <r>
    <s v="ORD-02989"/>
    <x v="637"/>
    <x v="637"/>
    <s v="CUST00835"/>
    <s v="Kavya Patel"/>
    <n v="38"/>
    <s v="Other"/>
    <x v="2"/>
    <s v="Ludhiana"/>
    <x v="5"/>
    <s v="Camera"/>
    <n v="2"/>
    <n v="77260.63"/>
    <n v="0.28000000000000003"/>
    <n v="179057.38"/>
    <n v="27038.61"/>
    <n v="72.59"/>
    <s v="UPI"/>
    <x v="2"/>
    <b v="0"/>
    <x v="1"/>
    <n v="4"/>
  </r>
  <r>
    <s v="ORD-01997"/>
    <x v="127"/>
    <x v="127"/>
    <s v="CUST56393"/>
    <s v="Sunita Rao"/>
    <n v="32"/>
    <s v="Male"/>
    <x v="2"/>
    <s v="Chandigarh"/>
    <x v="0"/>
    <s v="Dal (1kg)"/>
    <n v="9"/>
    <n v="493.26"/>
    <n v="0.08"/>
    <n v="6307.15"/>
    <n v="506.13"/>
    <n v="45.11"/>
    <s v="UPI"/>
    <x v="0"/>
    <b v="0"/>
    <x v="3"/>
    <n v="9"/>
  </r>
  <r>
    <s v="ORD-02116"/>
    <x v="1562"/>
    <x v="1562"/>
    <s v="CUST15879"/>
    <s v="Amit Pillai"/>
    <n v="26"/>
    <s v="Female"/>
    <x v="4"/>
    <s v="Kochi"/>
    <x v="4"/>
    <s v="T-Shirt"/>
    <n v="6"/>
    <n v="711.19"/>
    <n v="0.24"/>
    <n v="4522.3599999999997"/>
    <n v="2124.71"/>
    <n v="82.5"/>
    <s v="Net Banking"/>
    <x v="0"/>
    <b v="0"/>
    <x v="1"/>
    <n v="3"/>
  </r>
  <r>
    <s v="ORD-02068"/>
    <x v="137"/>
    <x v="137"/>
    <s v="CUST60687"/>
    <s v="Rahul Joshi"/>
    <n v="40"/>
    <s v="Female"/>
    <x v="1"/>
    <s v="Surat"/>
    <x v="2"/>
    <s v="Sofa"/>
    <n v="9"/>
    <n v="33837.01"/>
    <n v="0.22"/>
    <n v="353282.34"/>
    <n v="116653.75"/>
    <n v="42.65"/>
    <s v="Net Banking"/>
    <x v="4"/>
    <b v="0"/>
    <x v="1"/>
    <n v="4"/>
  </r>
  <r>
    <s v="ORD-01902"/>
    <x v="1319"/>
    <x v="1319"/>
    <s v="CUST14081"/>
    <s v="Nikhil Reddy"/>
    <n v="26"/>
    <s v="Other"/>
    <x v="0"/>
    <s v="Bhopal"/>
    <x v="5"/>
    <s v="Laptop"/>
    <n v="5"/>
    <n v="8793.32"/>
    <n v="0.25"/>
    <n v="45113.120000000003"/>
    <n v="6647.66"/>
    <n v="30.21"/>
    <s v="UPI"/>
    <x v="4"/>
    <b v="0"/>
    <x v="1"/>
    <n v="10"/>
  </r>
  <r>
    <s v="ORD-00325"/>
    <x v="1036"/>
    <x v="1036"/>
    <s v="CUST90197"/>
    <s v="Ananya Sharma"/>
    <n v="38"/>
    <s v="Male"/>
    <x v="3"/>
    <s v="Patna"/>
    <x v="5"/>
    <s v="Headphones"/>
    <n v="2"/>
    <n v="5256.57"/>
    <n v="0.26"/>
    <n v="10092.16"/>
    <n v="822.2"/>
    <n v="111.69"/>
    <s v="Net Banking"/>
    <x v="2"/>
    <b v="0"/>
    <x v="1"/>
    <n v="4"/>
  </r>
  <r>
    <s v="ORD-03333"/>
    <x v="608"/>
    <x v="608"/>
    <s v="CUST27128"/>
    <s v="Karan Verma"/>
    <n v="36"/>
    <s v="Other"/>
    <x v="3"/>
    <s v="Patna"/>
    <x v="0"/>
    <s v="Tea"/>
    <n v="8"/>
    <n v="244.23"/>
    <n v="0.21"/>
    <n v="1268.8399999999999"/>
    <n v="127.92"/>
    <n v="76.52"/>
    <s v="Debit Card"/>
    <x v="0"/>
    <b v="0"/>
    <x v="1"/>
    <n v="6"/>
  </r>
  <r>
    <s v="ORD-01155"/>
    <x v="844"/>
    <x v="844"/>
    <s v="CUST00350"/>
    <s v="Deepa Iyer"/>
    <n v="32"/>
    <s v="Other"/>
    <x v="3"/>
    <s v="Kolkata"/>
    <x v="5"/>
    <s v="Tablet"/>
    <n v="1"/>
    <n v="29383.37"/>
    <n v="0.06"/>
    <n v="38160.26"/>
    <n v="3473.46"/>
    <n v="76.02"/>
    <s v="Cash on Delivery"/>
    <x v="0"/>
    <b v="1"/>
    <x v="0"/>
    <n v="2"/>
  </r>
  <r>
    <s v="ORD-01434"/>
    <x v="438"/>
    <x v="438"/>
    <s v="CUST32355"/>
    <s v="Priya Verma"/>
    <n v="31"/>
    <s v="Male"/>
    <x v="4"/>
    <s v="Chennai"/>
    <x v="4"/>
    <s v="T-Shirt"/>
    <n v="9"/>
    <n v="2943.22"/>
    <n v="0.02"/>
    <n v="22356.5"/>
    <n v="7881.59"/>
    <n v="58.83"/>
    <s v="EMI"/>
    <x v="1"/>
    <b v="0"/>
    <x v="4"/>
    <n v="5"/>
  </r>
  <r>
    <s v="ORD-03473"/>
    <x v="1573"/>
    <x v="1573"/>
    <s v="CUST92267"/>
    <s v="Aarav Sharma"/>
    <n v="49"/>
    <s v="Female"/>
    <x v="3"/>
    <s v="Bhubaneswar"/>
    <x v="6"/>
    <s v="Cycle"/>
    <n v="10"/>
    <n v="5314.23"/>
    <n v="0.11"/>
    <n v="49274.68"/>
    <n v="10849.9"/>
    <n v="99"/>
    <s v="UPI"/>
    <x v="0"/>
    <b v="0"/>
    <x v="1"/>
    <n v="4"/>
  </r>
  <r>
    <s v="ORD-01474"/>
    <x v="26"/>
    <x v="26"/>
    <s v="CUST18611"/>
    <s v="Sunita Shah"/>
    <n v="27"/>
    <s v="Male"/>
    <x v="3"/>
    <s v="Guwahati"/>
    <x v="5"/>
    <s v="Smartphone"/>
    <n v="6"/>
    <n v="6119.98"/>
    <n v="0.28999999999999998"/>
    <n v="25738.91"/>
    <n v="3137.93"/>
    <n v="74.62"/>
    <s v="Debit Card"/>
    <x v="4"/>
    <b v="1"/>
    <x v="0"/>
    <n v="5"/>
  </r>
  <r>
    <s v="ORD-02103"/>
    <x v="1083"/>
    <x v="1083"/>
    <s v="CUST67925"/>
    <s v="Sanjay Gupta"/>
    <n v="32"/>
    <s v="Other"/>
    <x v="2"/>
    <s v="Delhi"/>
    <x v="1"/>
    <s v="Perfume"/>
    <n v="7"/>
    <n v="920.5"/>
    <n v="0.1"/>
    <n v="8123.9"/>
    <n v="4006.12"/>
    <n v="47.75"/>
    <s v="Debit Card"/>
    <x v="4"/>
    <b v="0"/>
    <x v="4"/>
    <n v="4"/>
  </r>
  <r>
    <s v="ORD-03012"/>
    <x v="1250"/>
    <x v="1250"/>
    <s v="CUST28387"/>
    <s v="Aditya Bose"/>
    <n v="42"/>
    <s v="Male"/>
    <x v="3"/>
    <s v="Patna"/>
    <x v="5"/>
    <s v="Headphones"/>
    <n v="3"/>
    <n v="73866.570000000007"/>
    <n v="0.26"/>
    <n v="269224.59000000003"/>
    <n v="33151.919999999998"/>
    <n v="88.4"/>
    <s v="Cash on Delivery"/>
    <x v="2"/>
    <b v="0"/>
    <x v="1"/>
    <n v="5"/>
  </r>
  <r>
    <s v="ORD-02980"/>
    <x v="491"/>
    <x v="491"/>
    <s v="CUST27360"/>
    <s v="Pooja Mishra"/>
    <n v="58"/>
    <s v="Other"/>
    <x v="1"/>
    <s v="Pune"/>
    <x v="0"/>
    <s v="Sugar"/>
    <n v="6"/>
    <n v="290.29000000000002"/>
    <n v="0.28000000000000003"/>
    <n v="2095.81"/>
    <n v="197.15"/>
    <n v="73.31"/>
    <s v="Cash on Delivery"/>
    <x v="0"/>
    <b v="0"/>
    <x v="1"/>
    <n v="8"/>
  </r>
  <r>
    <s v="ORD-00151"/>
    <x v="1517"/>
    <x v="1517"/>
    <s v="CUST17244"/>
    <s v="Pooja Verma"/>
    <n v="36"/>
    <s v="Male"/>
    <x v="0"/>
    <s v="Raipur"/>
    <x v="2"/>
    <s v="Chair"/>
    <n v="3"/>
    <n v="5678.86"/>
    <n v="0.33"/>
    <n v="10585.41"/>
    <n v="3430.87"/>
    <n v="66.63"/>
    <s v="Debit Card"/>
    <x v="1"/>
    <b v="0"/>
    <x v="1"/>
    <n v="6"/>
  </r>
  <r>
    <s v="ORD-04118"/>
    <x v="1199"/>
    <x v="1199"/>
    <s v="CUST48264"/>
    <s v="Aarav Chatterjee"/>
    <n v="56"/>
    <s v="Other"/>
    <x v="2"/>
    <s v="Amritsar"/>
    <x v="4"/>
    <s v="Saree"/>
    <n v="9"/>
    <n v="2252.16"/>
    <n v="0.09"/>
    <n v="17908.2"/>
    <n v="4417.3500000000004"/>
    <n v="42.65"/>
    <s v="Net Banking"/>
    <x v="1"/>
    <b v="0"/>
    <x v="4"/>
    <n v="5"/>
  </r>
  <r>
    <s v="ORD-01697"/>
    <x v="11"/>
    <x v="11"/>
    <s v="CUST17647"/>
    <s v="Nikhil Joshi"/>
    <n v="30"/>
    <s v="Male"/>
    <x v="2"/>
    <s v="Amritsar"/>
    <x v="4"/>
    <s v="Kurta"/>
    <n v="8"/>
    <n v="670.37"/>
    <n v="0.4"/>
    <n v="2707.64"/>
    <n v="886.76"/>
    <n v="85.42"/>
    <s v="Cash on Delivery"/>
    <x v="4"/>
    <b v="1"/>
    <x v="0"/>
    <n v="7"/>
  </r>
  <r>
    <s v="ORD-01122"/>
    <x v="1574"/>
    <x v="1574"/>
    <s v="CUST22847"/>
    <s v="Arjun Sharma"/>
    <n v="45"/>
    <s v="Male"/>
    <x v="3"/>
    <s v="Guwahati"/>
    <x v="0"/>
    <s v="Rice (5kg)"/>
    <n v="7"/>
    <n v="261.14999999999998"/>
    <n v="0.3"/>
    <n v="1938.7"/>
    <n v="126.72"/>
    <n v="75.319999999999993"/>
    <s v="UPI"/>
    <x v="0"/>
    <b v="0"/>
    <x v="1"/>
    <n v="3"/>
  </r>
  <r>
    <s v="ORD-04123"/>
    <x v="1575"/>
    <x v="1575"/>
    <s v="CUST56868"/>
    <s v="Ananya Pillai"/>
    <n v="17"/>
    <s v="Other"/>
    <x v="3"/>
    <s v="Patna"/>
    <x v="3"/>
    <s v="Comic Book"/>
    <n v="9"/>
    <n v="1408.86"/>
    <n v="0.16"/>
    <n v="10070.83"/>
    <n v="3795.39"/>
    <n v="79.06"/>
    <s v="EMI"/>
    <x v="2"/>
    <b v="0"/>
    <x v="1"/>
    <n v="2"/>
  </r>
  <r>
    <s v="ORD-04075"/>
    <x v="697"/>
    <x v="697"/>
    <s v="CUST56692"/>
    <s v="Vikram Chatterjee"/>
    <n v="14"/>
    <s v="Male"/>
    <x v="0"/>
    <s v="Raipur"/>
    <x v="0"/>
    <s v="Rice (5kg)"/>
    <n v="8"/>
    <n v="109.34"/>
    <n v="0.02"/>
    <n v="835.1"/>
    <n v="59.29"/>
    <n v="46.15"/>
    <s v="UPI"/>
    <x v="2"/>
    <b v="0"/>
    <x v="1"/>
    <n v="3"/>
  </r>
  <r>
    <s v="ORD-01131"/>
    <x v="812"/>
    <x v="812"/>
    <s v="CUST55050"/>
    <s v="Nikhil Pillai"/>
    <n v="31"/>
    <s v="Female"/>
    <x v="2"/>
    <s v="Chandigarh"/>
    <x v="0"/>
    <s v="Rice (5kg)"/>
    <n v="5"/>
    <n v="356.64"/>
    <n v="0.39"/>
    <n v="290.93"/>
    <n v="17.29"/>
    <n v="74.52"/>
    <s v="Net Banking"/>
    <x v="0"/>
    <b v="0"/>
    <x v="1"/>
    <n v="5"/>
  </r>
  <r>
    <s v="ORD-03955"/>
    <x v="5"/>
    <x v="5"/>
    <s v="CUST57188"/>
    <s v="Amit Nair"/>
    <n v="21"/>
    <s v="Other"/>
    <x v="1"/>
    <s v="Mumbai"/>
    <x v="5"/>
    <s v="Laptop"/>
    <n v="5"/>
    <n v="63280.32"/>
    <n v="0.01"/>
    <n v="478410.73"/>
    <n v="55973.13"/>
    <n v="51.92"/>
    <s v="EMI"/>
    <x v="0"/>
    <b v="0"/>
    <x v="1"/>
    <n v="10"/>
  </r>
  <r>
    <s v="ORD-02798"/>
    <x v="533"/>
    <x v="533"/>
    <s v="CUST05716"/>
    <s v="Arjun Nair"/>
    <n v="35"/>
    <s v="Male"/>
    <x v="2"/>
    <s v="Amritsar"/>
    <x v="5"/>
    <s v="Tablet"/>
    <n v="4"/>
    <n v="22399.3"/>
    <n v="0.34"/>
    <n v="85795.74"/>
    <n v="10309.74"/>
    <n v="54.13"/>
    <s v="EMI"/>
    <x v="2"/>
    <b v="0"/>
    <x v="3"/>
    <n v="8"/>
  </r>
  <r>
    <s v="ORD-02804"/>
    <x v="393"/>
    <x v="393"/>
    <s v="CUST37928"/>
    <s v="Arjun Chatterjee"/>
    <n v="24"/>
    <s v="Female"/>
    <x v="2"/>
    <s v="Delhi"/>
    <x v="3"/>
    <s v="Textbook"/>
    <n v="8"/>
    <n v="1123.69"/>
    <n v="0.12"/>
    <n v="10485.92"/>
    <n v="3534.73"/>
    <n v="78.680000000000007"/>
    <s v="EMI"/>
    <x v="0"/>
    <b v="0"/>
    <x v="1"/>
    <n v="2"/>
  </r>
  <r>
    <s v="ORD-01049"/>
    <x v="48"/>
    <x v="48"/>
    <s v="CUST90241"/>
    <s v="Sanjay Bhat"/>
    <n v="54"/>
    <s v="Other"/>
    <x v="2"/>
    <s v="Ludhiana"/>
    <x v="1"/>
    <s v="Shampoo"/>
    <n v="5"/>
    <n v="2321.44"/>
    <n v="0.34"/>
    <n v="10030.620000000001"/>
    <n v="3661.06"/>
    <n v="74.83"/>
    <s v="Cash on Delivery"/>
    <x v="2"/>
    <b v="0"/>
    <x v="1"/>
    <n v="8"/>
  </r>
  <r>
    <s v="ORD-00812"/>
    <x v="1223"/>
    <x v="1223"/>
    <s v="CUST90877"/>
    <s v="Sanjay Kumar"/>
    <n v="37"/>
    <s v="Female"/>
    <x v="4"/>
    <s v="Chennai"/>
    <x v="5"/>
    <s v="Smartwatch"/>
    <n v="10"/>
    <n v="60534.21"/>
    <n v="0.01"/>
    <n v="501766.48"/>
    <n v="79842.600000000006"/>
    <n v="52"/>
    <s v="Debit Card"/>
    <x v="2"/>
    <b v="0"/>
    <x v="1"/>
    <n v="2"/>
  </r>
  <r>
    <s v="ORD-02710"/>
    <x v="466"/>
    <x v="466"/>
    <s v="CUST02291"/>
    <s v="Sanjay Mehta"/>
    <n v="34"/>
    <s v="Male"/>
    <x v="3"/>
    <s v="Guwahati"/>
    <x v="5"/>
    <s v="Smartwatch"/>
    <n v="2"/>
    <n v="10193.98"/>
    <n v="0.38"/>
    <n v="14993.54"/>
    <n v="1174.9000000000001"/>
    <n v="86.74"/>
    <s v="EMI"/>
    <x v="2"/>
    <b v="0"/>
    <x v="2"/>
    <n v="5"/>
  </r>
  <r>
    <s v="ORD-03911"/>
    <x v="402"/>
    <x v="402"/>
    <s v="CUST56239"/>
    <s v="Arjun Bose"/>
    <n v="51"/>
    <s v="Male"/>
    <x v="2"/>
    <s v="Amritsar"/>
    <x v="6"/>
    <s v="Dumbbells"/>
    <n v="10"/>
    <n v="786.71"/>
    <n v="0.03"/>
    <n v="11951.87"/>
    <n v="1750.05"/>
    <n v="48.55"/>
    <s v="Net Banking"/>
    <x v="4"/>
    <b v="0"/>
    <x v="1"/>
    <n v="8"/>
  </r>
  <r>
    <s v="ORD-01558"/>
    <x v="414"/>
    <x v="414"/>
    <s v="CUST50687"/>
    <s v="Rahul Nair"/>
    <n v="21"/>
    <s v="Female"/>
    <x v="3"/>
    <s v="Patna"/>
    <x v="3"/>
    <s v="Fiction Novel"/>
    <n v="10"/>
    <n v="722.86"/>
    <n v="0.15"/>
    <n v="5123.0200000000004"/>
    <n v="2442.73"/>
    <n v="55.76"/>
    <s v="UPI"/>
    <x v="4"/>
    <b v="0"/>
    <x v="1"/>
    <n v="4"/>
  </r>
  <r>
    <s v="ORD-01064"/>
    <x v="405"/>
    <x v="405"/>
    <s v="CUST14319"/>
    <s v="Aarav Shah"/>
    <n v="27"/>
    <s v="Male"/>
    <x v="0"/>
    <s v="Nagpur"/>
    <x v="1"/>
    <s v="Lipstick"/>
    <n v="6"/>
    <n v="2416.31"/>
    <n v="0.13"/>
    <n v="15688.04"/>
    <n v="7768.7"/>
    <n v="37.54"/>
    <s v="Cash on Delivery"/>
    <x v="2"/>
    <b v="0"/>
    <x v="1"/>
    <n v="4"/>
  </r>
  <r>
    <s v="ORD-03155"/>
    <x v="763"/>
    <x v="763"/>
    <s v="CUST59557"/>
    <s v="Meera Chatterjee"/>
    <n v="25"/>
    <s v="Other"/>
    <x v="4"/>
    <s v="Chennai"/>
    <x v="4"/>
    <s v="Jacket"/>
    <n v="6"/>
    <n v="2996.07"/>
    <n v="0.39"/>
    <n v="13261.21"/>
    <n v="6275.03"/>
    <n v="75.180000000000007"/>
    <s v="Cash on Delivery"/>
    <x v="3"/>
    <b v="0"/>
    <x v="1"/>
    <n v="1"/>
  </r>
  <r>
    <s v="ORD-02304"/>
    <x v="1153"/>
    <x v="1153"/>
    <s v="CUST81774"/>
    <s v="Meera Iyer"/>
    <n v="34"/>
    <s v="Male"/>
    <x v="3"/>
    <s v="Guwahati"/>
    <x v="1"/>
    <s v="Hair Oil"/>
    <n v="8"/>
    <n v="1956.04"/>
    <n v="0.05"/>
    <n v="16158.29"/>
    <n v="7683.48"/>
    <n v="90.07"/>
    <s v="EMI"/>
    <x v="4"/>
    <b v="0"/>
    <x v="3"/>
    <n v="4"/>
  </r>
  <r>
    <s v="ORD-02983"/>
    <x v="491"/>
    <x v="491"/>
    <s v="CUST47590"/>
    <s v="Aarav Kumar"/>
    <n v="25"/>
    <s v="Male"/>
    <x v="3"/>
    <s v="Patna"/>
    <x v="1"/>
    <s v="Shampoo"/>
    <n v="8"/>
    <n v="524.72"/>
    <n v="0.11"/>
    <n v="6161.59"/>
    <n v="3302.07"/>
    <n v="74.59"/>
    <s v="Net Banking"/>
    <x v="0"/>
    <b v="0"/>
    <x v="1"/>
    <n v="9"/>
  </r>
  <r>
    <s v="ORD-00893"/>
    <x v="602"/>
    <x v="602"/>
    <s v="CUST82516"/>
    <s v="Aarav Kapoor"/>
    <n v="48"/>
    <s v="Other"/>
    <x v="4"/>
    <s v="Hyderabad"/>
    <x v="0"/>
    <s v="Tea"/>
    <n v="4"/>
    <n v="405.74"/>
    <n v="0.06"/>
    <n v="1652.51"/>
    <n v="140.36000000000001"/>
    <n v="111.98"/>
    <s v="Credit Card"/>
    <x v="1"/>
    <b v="0"/>
    <x v="4"/>
    <n v="7"/>
  </r>
  <r>
    <s v="ORD-02922"/>
    <x v="348"/>
    <x v="348"/>
    <s v="CUST45653"/>
    <s v="Aditya Reddy"/>
    <n v="27"/>
    <s v="Male"/>
    <x v="3"/>
    <s v="Kolkata"/>
    <x v="2"/>
    <s v="Bed Frame"/>
    <n v="6"/>
    <n v="18974.28"/>
    <n v="0.32"/>
    <n v="137423.69"/>
    <n v="7548.58"/>
    <n v="78.91"/>
    <s v="Net Banking"/>
    <x v="0"/>
    <b v="0"/>
    <x v="1"/>
    <n v="6"/>
  </r>
  <r>
    <s v="ORD-01101"/>
    <x v="1084"/>
    <x v="1084"/>
    <s v="CUST25632"/>
    <s v="Rohan Mehta"/>
    <n v="23"/>
    <s v="Other"/>
    <x v="3"/>
    <s v="Bhubaneswar"/>
    <x v="1"/>
    <s v="Perfume"/>
    <n v="4"/>
    <n v="2455.13"/>
    <n v="0.04"/>
    <n v="12314.54"/>
    <n v="5429.24"/>
    <n v="86.94"/>
    <s v="EMI"/>
    <x v="1"/>
    <b v="0"/>
    <x v="1"/>
    <n v="2"/>
  </r>
  <r>
    <s v="ORD-02437"/>
    <x v="1157"/>
    <x v="1157"/>
    <s v="CUST57020"/>
    <s v="Rahul Bhat"/>
    <n v="35"/>
    <s v="Other"/>
    <x v="3"/>
    <s v="Guwahati"/>
    <x v="2"/>
    <s v="Bed Frame"/>
    <n v="10"/>
    <n v="5117.29"/>
    <n v="0.35"/>
    <n v="29419.75"/>
    <n v="8052.09"/>
    <n v="61.97"/>
    <s v="UPI"/>
    <x v="0"/>
    <b v="0"/>
    <x v="1"/>
    <n v="8"/>
  </r>
  <r>
    <s v="ORD-02985"/>
    <x v="491"/>
    <x v="491"/>
    <s v="CUST52758"/>
    <s v="Meera Pillai"/>
    <n v="42"/>
    <s v="Male"/>
    <x v="3"/>
    <s v="Guwahati"/>
    <x v="6"/>
    <s v="Tennis Racket"/>
    <n v="3"/>
    <n v="13447.87"/>
    <n v="0.03"/>
    <n v="63861.69"/>
    <n v="14051.98"/>
    <n v="89.88"/>
    <s v="Credit Card"/>
    <x v="4"/>
    <b v="1"/>
    <x v="0"/>
    <n v="1"/>
  </r>
  <r>
    <s v="ORD-01316"/>
    <x v="279"/>
    <x v="279"/>
    <s v="CUST62751"/>
    <s v="Vikram Mishra"/>
    <n v="27"/>
    <s v="Female"/>
    <x v="3"/>
    <s v="Kolkata"/>
    <x v="6"/>
    <s v="Tennis Racket"/>
    <n v="2"/>
    <n v="11208.34"/>
    <n v="0.21"/>
    <n v="28031.47"/>
    <n v="5448.35"/>
    <n v="65.42"/>
    <s v="EMI"/>
    <x v="0"/>
    <b v="0"/>
    <x v="1"/>
    <n v="10"/>
  </r>
  <r>
    <s v="ORD-01649"/>
    <x v="333"/>
    <x v="333"/>
    <s v="CUST44360"/>
    <s v="Vikram Iyer"/>
    <n v="28"/>
    <s v="Other"/>
    <x v="2"/>
    <s v="Amritsar"/>
    <x v="2"/>
    <s v="Bed Frame"/>
    <n v="10"/>
    <n v="9788.59"/>
    <n v="0.18"/>
    <n v="56440.79"/>
    <n v="15796.43"/>
    <n v="48.09"/>
    <s v="Net Banking"/>
    <x v="4"/>
    <b v="1"/>
    <x v="0"/>
    <n v="7"/>
  </r>
  <r>
    <s v="ORD-03104"/>
    <x v="551"/>
    <x v="551"/>
    <s v="CUST21518"/>
    <s v="Karan Pillai"/>
    <n v="26"/>
    <s v="Male"/>
    <x v="1"/>
    <s v="Ahmedabad"/>
    <x v="4"/>
    <s v="Saree"/>
    <n v="1"/>
    <n v="1916.17"/>
    <n v="0.22"/>
    <n v="1845.9"/>
    <n v="598.99"/>
    <n v="47.98"/>
    <s v="Net Banking"/>
    <x v="2"/>
    <b v="0"/>
    <x v="1"/>
    <n v="10"/>
  </r>
  <r>
    <s v="ORD-00796"/>
    <x v="112"/>
    <x v="112"/>
    <s v="CUST33825"/>
    <s v="Aarav Reddy"/>
    <n v="44"/>
    <s v="Other"/>
    <x v="1"/>
    <s v="Pune"/>
    <x v="4"/>
    <s v="T-Shirt"/>
    <n v="8"/>
    <n v="1635.94"/>
    <n v="0.17"/>
    <n v="7364.45"/>
    <n v="1973.68"/>
    <n v="58.56"/>
    <s v="EMI"/>
    <x v="2"/>
    <b v="0"/>
    <x v="1"/>
    <n v="7"/>
  </r>
  <r>
    <s v="ORD-00590"/>
    <x v="151"/>
    <x v="151"/>
    <s v="CUST39103"/>
    <s v="Aditya Reddy"/>
    <n v="34"/>
    <s v="Other"/>
    <x v="0"/>
    <s v="Raipur"/>
    <x v="0"/>
    <s v="Flour"/>
    <n v="6"/>
    <n v="197.31"/>
    <n v="0.38"/>
    <n v="809.88"/>
    <n v="50.36"/>
    <n v="60.78"/>
    <s v="Credit Card"/>
    <x v="4"/>
    <b v="0"/>
    <x v="1"/>
    <n v="3"/>
  </r>
  <r>
    <s v="ORD-00074"/>
    <x v="139"/>
    <x v="139"/>
    <s v="CUST91087"/>
    <s v="Meera Shah"/>
    <n v="40"/>
    <s v="Female"/>
    <x v="3"/>
    <s v="Patna"/>
    <x v="2"/>
    <s v="Chair"/>
    <n v="8"/>
    <n v="33648.870000000003"/>
    <n v="0.27"/>
    <n v="165959.54999999999"/>
    <n v="58848.22"/>
    <n v="90.58"/>
    <s v="Net Banking"/>
    <x v="2"/>
    <b v="1"/>
    <x v="0"/>
    <n v="9"/>
  </r>
  <r>
    <s v="ORD-00461"/>
    <x v="1362"/>
    <x v="1362"/>
    <s v="CUST87839"/>
    <s v="Priya Kumar"/>
    <n v="36"/>
    <s v="Other"/>
    <x v="2"/>
    <s v="Ludhiana"/>
    <x v="6"/>
    <s v="Yoga Mat"/>
    <n v="6"/>
    <n v="11043.66"/>
    <n v="0.36"/>
    <n v="52329.61"/>
    <n v="10394.780000000001"/>
    <n v="45.19"/>
    <s v="UPI"/>
    <x v="4"/>
    <b v="0"/>
    <x v="1"/>
    <n v="3"/>
  </r>
  <r>
    <s v="ORD-00487"/>
    <x v="52"/>
    <x v="52"/>
    <s v="CUST82166"/>
    <s v="Shreya Gupta"/>
    <n v="36"/>
    <s v="Female"/>
    <x v="2"/>
    <s v="Amritsar"/>
    <x v="4"/>
    <s v="Jeans"/>
    <n v="1"/>
    <n v="2218.42"/>
    <n v="0.01"/>
    <n v="2825.18"/>
    <n v="885.38"/>
    <n v="25.22"/>
    <s v="Net Banking"/>
    <x v="3"/>
    <b v="0"/>
    <x v="1"/>
    <n v="6"/>
  </r>
  <r>
    <s v="ORD-02139"/>
    <x v="1288"/>
    <x v="1288"/>
    <s v="CUST46079"/>
    <s v="Ananya Chatterjee"/>
    <n v="40"/>
    <s v="Other"/>
    <x v="2"/>
    <s v="Delhi"/>
    <x v="1"/>
    <s v="Hair Oil"/>
    <n v="8"/>
    <n v="1990.6"/>
    <n v="0.37"/>
    <n v="14038.19"/>
    <n v="5997.36"/>
    <n v="71.989999999999995"/>
    <s v="UPI"/>
    <x v="3"/>
    <b v="0"/>
    <x v="1"/>
    <n v="9"/>
  </r>
  <r>
    <s v="ORD-01230"/>
    <x v="1576"/>
    <x v="1576"/>
    <s v="CUST23256"/>
    <s v="Vikram Shah"/>
    <n v="13"/>
    <s v="Male"/>
    <x v="4"/>
    <s v="Kochi"/>
    <x v="0"/>
    <s v="Rice (5kg)"/>
    <n v="2"/>
    <n v="347.75"/>
    <n v="0.37"/>
    <n v="629.36"/>
    <n v="48.84"/>
    <n v="91.05"/>
    <s v="UPI"/>
    <x v="2"/>
    <b v="0"/>
    <x v="3"/>
    <n v="7"/>
  </r>
  <r>
    <s v="ORD-00493"/>
    <x v="57"/>
    <x v="57"/>
    <s v="CUST79400"/>
    <s v="Meera Shah"/>
    <n v="52"/>
    <s v="Other"/>
    <x v="1"/>
    <s v="Mumbai"/>
    <x v="2"/>
    <s v="Wardrobe"/>
    <n v="3"/>
    <n v="14320.7"/>
    <n v="0.28000000000000003"/>
    <n v="33717.699999999997"/>
    <n v="8980.94"/>
    <n v="51.39"/>
    <s v="Debit Card"/>
    <x v="4"/>
    <b v="0"/>
    <x v="1"/>
    <n v="3"/>
  </r>
  <r>
    <s v="ORD-03694"/>
    <x v="747"/>
    <x v="747"/>
    <s v="CUST98806"/>
    <s v="Nisha Reddy"/>
    <n v="25"/>
    <s v="Other"/>
    <x v="3"/>
    <s v="Kolkata"/>
    <x v="2"/>
    <s v="Bed Frame"/>
    <n v="5"/>
    <n v="30173.9"/>
    <n v="0.19"/>
    <n v="36271.56"/>
    <n v="9793.25"/>
    <n v="81.77"/>
    <s v="Net Banking"/>
    <x v="4"/>
    <b v="1"/>
    <x v="0"/>
    <n v="4"/>
  </r>
  <r>
    <s v="ORD-02105"/>
    <x v="1333"/>
    <x v="1333"/>
    <s v="CUST23451"/>
    <s v="Rahul Reddy"/>
    <n v="28"/>
    <s v="Other"/>
    <x v="1"/>
    <s v="Mumbai"/>
    <x v="3"/>
    <s v="Comic Book"/>
    <n v="10"/>
    <n v="1326.18"/>
    <n v="0.2"/>
    <n v="16441.16"/>
    <n v="5803.82"/>
    <n v="73.42"/>
    <s v="Cash on Delivery"/>
    <x v="0"/>
    <b v="0"/>
    <x v="1"/>
    <n v="5"/>
  </r>
  <r>
    <s v="ORD-01266"/>
    <x v="1577"/>
    <x v="1577"/>
    <s v="CUST72321"/>
    <s v="Arjun Iyer"/>
    <n v="13"/>
    <s v="Other"/>
    <x v="2"/>
    <s v="Ludhiana"/>
    <x v="4"/>
    <s v="T-Shirt"/>
    <n v="5"/>
    <n v="1881.57"/>
    <n v="0.4"/>
    <n v="7457.36"/>
    <n v="1842.91"/>
    <n v="43.33"/>
    <s v="UPI"/>
    <x v="4"/>
    <b v="0"/>
    <x v="1"/>
    <n v="2"/>
  </r>
  <r>
    <s v="ORD-03419"/>
    <x v="428"/>
    <x v="428"/>
    <s v="CUST03566"/>
    <s v="Pooja Joshi"/>
    <n v="37"/>
    <s v="Other"/>
    <x v="4"/>
    <s v="Chennai"/>
    <x v="6"/>
    <s v="Cricket Bat"/>
    <n v="6"/>
    <n v="548.70000000000005"/>
    <n v="0.13"/>
    <n v="2818.03"/>
    <n v="795.42"/>
    <n v="59.32"/>
    <s v="EMI"/>
    <x v="0"/>
    <b v="0"/>
    <x v="1"/>
    <n v="2"/>
  </r>
  <r>
    <s v="ORD-00098"/>
    <x v="550"/>
    <x v="550"/>
    <s v="CUST47981"/>
    <s v="Arjun Kumar"/>
    <n v="45"/>
    <s v="Female"/>
    <x v="0"/>
    <s v="Raipur"/>
    <x v="2"/>
    <s v="Chair"/>
    <n v="4"/>
    <n v="14589.56"/>
    <n v="0.21"/>
    <n v="50502.400000000001"/>
    <n v="18143.47"/>
    <n v="60.59"/>
    <s v="Cash on Delivery"/>
    <x v="1"/>
    <b v="0"/>
    <x v="1"/>
    <n v="3"/>
  </r>
  <r>
    <s v="ORD-03274"/>
    <x v="245"/>
    <x v="245"/>
    <s v="CUST59021"/>
    <s v="Nisha Iyer"/>
    <n v="34"/>
    <s v="Other"/>
    <x v="3"/>
    <s v="Bhubaneswar"/>
    <x v="5"/>
    <s v="Smartwatch"/>
    <n v="10"/>
    <n v="61623.34"/>
    <n v="0.1"/>
    <n v="514325.26"/>
    <n v="41031.360000000001"/>
    <n v="69"/>
    <s v="UPI"/>
    <x v="2"/>
    <b v="0"/>
    <x v="1"/>
    <n v="5"/>
  </r>
  <r>
    <s v="ORD-02528"/>
    <x v="776"/>
    <x v="776"/>
    <s v="CUST85727"/>
    <s v="Nisha Pillai"/>
    <n v="38"/>
    <s v="Female"/>
    <x v="4"/>
    <s v="Bangalore"/>
    <x v="4"/>
    <s v="Jacket"/>
    <n v="9"/>
    <n v="2765.83"/>
    <n v="0.09"/>
    <n v="21588.14"/>
    <n v="7174.59"/>
    <n v="83.41"/>
    <s v="Cash on Delivery"/>
    <x v="1"/>
    <b v="0"/>
    <x v="3"/>
    <n v="4"/>
  </r>
  <r>
    <s v="ORD-01773"/>
    <x v="1294"/>
    <x v="1294"/>
    <s v="CUST06303"/>
    <s v="Arjun Shah"/>
    <n v="44"/>
    <s v="Female"/>
    <x v="2"/>
    <s v="Chandigarh"/>
    <x v="2"/>
    <s v="Bed Frame"/>
    <n v="10"/>
    <n v="18135.2"/>
    <n v="0.08"/>
    <n v="146993.72"/>
    <n v="36601.82"/>
    <n v="42.09"/>
    <s v="Cash on Delivery"/>
    <x v="3"/>
    <b v="0"/>
    <x v="4"/>
    <n v="7"/>
  </r>
  <r>
    <s v="ORD-01468"/>
    <x v="324"/>
    <x v="324"/>
    <s v="CUST62484"/>
    <s v="Karan Gupta"/>
    <n v="24"/>
    <s v="Female"/>
    <x v="1"/>
    <s v="Pune"/>
    <x v="0"/>
    <s v="Cooking Oil"/>
    <n v="9"/>
    <n v="63.47"/>
    <n v="0.15"/>
    <n v="477.64"/>
    <n v="35.42"/>
    <n v="44.96"/>
    <s v="Credit Card"/>
    <x v="0"/>
    <b v="0"/>
    <x v="1"/>
    <n v="8"/>
  </r>
  <r>
    <s v="ORD-01750"/>
    <x v="1033"/>
    <x v="1033"/>
    <s v="CUST58944"/>
    <s v="Sunita Verma"/>
    <n v="12"/>
    <s v="Male"/>
    <x v="1"/>
    <s v="Mumbai"/>
    <x v="2"/>
    <s v="Sofa"/>
    <n v="6"/>
    <n v="15789.89"/>
    <n v="0.27"/>
    <n v="56911.9"/>
    <n v="13231.78"/>
    <n v="66.760000000000005"/>
    <s v="Credit Card"/>
    <x v="4"/>
    <b v="1"/>
    <x v="0"/>
    <n v="2"/>
  </r>
  <r>
    <s v="ORD-01479"/>
    <x v="1257"/>
    <x v="1257"/>
    <s v="CUST30026"/>
    <s v="Vikram Gupta"/>
    <n v="28"/>
    <s v="Male"/>
    <x v="4"/>
    <s v="Kochi"/>
    <x v="1"/>
    <s v="Face Cream"/>
    <n v="1"/>
    <n v="703.89"/>
    <n v="0.12"/>
    <n v="594.21"/>
    <n v="209.92"/>
    <n v="68.12"/>
    <s v="Credit Card"/>
    <x v="4"/>
    <b v="1"/>
    <x v="0"/>
    <n v="4"/>
  </r>
  <r>
    <s v="ORD-01891"/>
    <x v="1035"/>
    <x v="1035"/>
    <s v="CUST26370"/>
    <s v="Deepa Mishra"/>
    <n v="23"/>
    <s v="Other"/>
    <x v="1"/>
    <s v="Pune"/>
    <x v="2"/>
    <s v="Desk"/>
    <n v="8"/>
    <n v="34992.04"/>
    <n v="0.11"/>
    <n v="286556.78000000003"/>
    <n v="82342.39"/>
    <n v="35.17"/>
    <s v="EMI"/>
    <x v="2"/>
    <b v="0"/>
    <x v="2"/>
    <n v="1"/>
  </r>
  <r>
    <s v="ORD-03141"/>
    <x v="1230"/>
    <x v="1230"/>
    <s v="CUST51444"/>
    <s v="Rohan Kapoor"/>
    <n v="34"/>
    <s v="Female"/>
    <x v="0"/>
    <s v="Indore"/>
    <x v="6"/>
    <s v="Cricket Bat"/>
    <n v="9"/>
    <n v="3722.56"/>
    <n v="0.09"/>
    <n v="35748.44"/>
    <n v="8661.64"/>
    <n v="41.2"/>
    <s v="UPI"/>
    <x v="2"/>
    <b v="0"/>
    <x v="3"/>
    <n v="2"/>
  </r>
  <r>
    <s v="ORD-02345"/>
    <x v="789"/>
    <x v="789"/>
    <s v="CUST71392"/>
    <s v="Kavya Shah"/>
    <n v="21"/>
    <s v="Male"/>
    <x v="4"/>
    <s v="Chennai"/>
    <x v="3"/>
    <s v="Self-Help Book"/>
    <n v="4"/>
    <n v="1497.67"/>
    <n v="0.21"/>
    <n v="4793.8900000000003"/>
    <n v="1329.44"/>
    <n v="68.06"/>
    <s v="Net Banking"/>
    <x v="1"/>
    <b v="0"/>
    <x v="1"/>
    <n v="7"/>
  </r>
  <r>
    <s v="ORD-02951"/>
    <x v="282"/>
    <x v="282"/>
    <s v="CUST74188"/>
    <s v="Aarav Singh"/>
    <n v="46"/>
    <s v="Male"/>
    <x v="1"/>
    <s v="Mumbai"/>
    <x v="6"/>
    <s v="Football"/>
    <n v="2"/>
    <n v="10865.46"/>
    <n v="0.25"/>
    <n v="25165.9"/>
    <n v="6993.08"/>
    <n v="49.79"/>
    <s v="Cash on Delivery"/>
    <x v="4"/>
    <b v="1"/>
    <x v="0"/>
    <n v="7"/>
  </r>
  <r>
    <s v="ORD-00602"/>
    <x v="807"/>
    <x v="807"/>
    <s v="CUST38438"/>
    <s v="Priya Das"/>
    <n v="50"/>
    <s v="Other"/>
    <x v="4"/>
    <s v="Bangalore"/>
    <x v="0"/>
    <s v="Flour"/>
    <n v="9"/>
    <n v="60.08"/>
    <n v="0.36"/>
    <n v="346.37"/>
    <n v="13.3"/>
    <n v="67.3"/>
    <s v="UPI"/>
    <x v="2"/>
    <b v="0"/>
    <x v="1"/>
    <n v="3"/>
  </r>
  <r>
    <s v="ORD-03943"/>
    <x v="471"/>
    <x v="471"/>
    <s v="CUST79156"/>
    <s v="Ritu Bhat"/>
    <n v="26"/>
    <s v="Female"/>
    <x v="4"/>
    <s v="Hyderabad"/>
    <x v="0"/>
    <s v="Rice (5kg)"/>
    <n v="5"/>
    <n v="228.28"/>
    <n v="0.28999999999999998"/>
    <n v="1160.5"/>
    <n v="93.76"/>
    <n v="62.68"/>
    <s v="Net Banking"/>
    <x v="2"/>
    <b v="0"/>
    <x v="1"/>
    <n v="8"/>
  </r>
  <r>
    <s v="ORD-03222"/>
    <x v="1578"/>
    <x v="1578"/>
    <s v="CUST90239"/>
    <s v="Pooja Patel"/>
    <n v="31"/>
    <s v="Female"/>
    <x v="3"/>
    <s v="Kolkata"/>
    <x v="3"/>
    <s v="Comic Book"/>
    <n v="9"/>
    <n v="224.99"/>
    <n v="0.21"/>
    <n v="1955.07"/>
    <n v="489.85"/>
    <n v="81.53"/>
    <s v="EMI"/>
    <x v="0"/>
    <b v="0"/>
    <x v="4"/>
    <n v="1"/>
  </r>
  <r>
    <s v="ORD-00396"/>
    <x v="1132"/>
    <x v="1132"/>
    <s v="CUST01484"/>
    <s v="Priya Reddy"/>
    <n v="51"/>
    <s v="Male"/>
    <x v="1"/>
    <s v="Surat"/>
    <x v="3"/>
    <s v="Textbook"/>
    <n v="4"/>
    <n v="579.35"/>
    <n v="0.35"/>
    <n v="1835.02"/>
    <n v="1058.6500000000001"/>
    <n v="60.19"/>
    <s v="EMI"/>
    <x v="3"/>
    <b v="0"/>
    <x v="4"/>
    <n v="7"/>
  </r>
  <r>
    <s v="ORD-00427"/>
    <x v="501"/>
    <x v="501"/>
    <s v="CUST70997"/>
    <s v="Nisha Iyer"/>
    <n v="46"/>
    <s v="Male"/>
    <x v="4"/>
    <s v="Hyderabad"/>
    <x v="6"/>
    <s v="Cycle"/>
    <n v="8"/>
    <n v="14501.84"/>
    <n v="0.35"/>
    <n v="102399.25"/>
    <n v="25057.46"/>
    <n v="74.64"/>
    <s v="Debit Card"/>
    <x v="4"/>
    <b v="0"/>
    <x v="1"/>
    <n v="5"/>
  </r>
  <r>
    <s v="ORD-00022"/>
    <x v="803"/>
    <x v="803"/>
    <s v="CUST85754"/>
    <s v="Meera Bose"/>
    <n v="54"/>
    <s v="Male"/>
    <x v="4"/>
    <s v="Kochi"/>
    <x v="0"/>
    <s v="Sugar"/>
    <n v="1"/>
    <n v="454.8"/>
    <n v="0.36"/>
    <n v="220.25"/>
    <n v="21.68"/>
    <n v="67.900000000000006"/>
    <s v="Cash on Delivery"/>
    <x v="3"/>
    <b v="0"/>
    <x v="1"/>
    <n v="6"/>
  </r>
  <r>
    <s v="ORD-01039"/>
    <x v="459"/>
    <x v="459"/>
    <s v="CUST90995"/>
    <s v="Aditya Joshi"/>
    <n v="33"/>
    <s v="Other"/>
    <x v="4"/>
    <s v="Kochi"/>
    <x v="5"/>
    <s v="Smartphone"/>
    <n v="10"/>
    <n v="76400.639999999999"/>
    <n v="0.21"/>
    <n v="741543.82"/>
    <n v="80532.820000000007"/>
    <n v="72.349999999999994"/>
    <s v="Credit Card"/>
    <x v="3"/>
    <b v="0"/>
    <x v="2"/>
    <n v="9"/>
  </r>
  <r>
    <s v="ORD-02301"/>
    <x v="916"/>
    <x v="916"/>
    <s v="CUST94749"/>
    <s v="Aarav Patel"/>
    <n v="52"/>
    <s v="Other"/>
    <x v="4"/>
    <s v="Hyderabad"/>
    <x v="1"/>
    <s v="Hair Oil"/>
    <n v="3"/>
    <n v="1334.72"/>
    <n v="0.14000000000000001"/>
    <n v="4167.5"/>
    <n v="1517.77"/>
    <n v="68.86"/>
    <s v="Net Banking"/>
    <x v="4"/>
    <b v="0"/>
    <x v="1"/>
    <n v="5"/>
  </r>
  <r>
    <s v="ORD-00845"/>
    <x v="538"/>
    <x v="538"/>
    <s v="CUST66370"/>
    <s v="Sanjay Kumar"/>
    <n v="43"/>
    <s v="Other"/>
    <x v="4"/>
    <s v="Hyderabad"/>
    <x v="6"/>
    <s v="Tennis Racket"/>
    <n v="7"/>
    <n v="12247.06"/>
    <n v="7.0000000000000007E-2"/>
    <n v="61250.51"/>
    <n v="11670.83"/>
    <n v="87.17"/>
    <s v="Credit Card"/>
    <x v="2"/>
    <b v="0"/>
    <x v="2"/>
    <n v="5"/>
  </r>
  <r>
    <s v="ORD-03358"/>
    <x v="43"/>
    <x v="43"/>
    <s v="CUST82460"/>
    <s v="Nikhil Pillai"/>
    <n v="34"/>
    <s v="Other"/>
    <x v="3"/>
    <s v="Guwahati"/>
    <x v="5"/>
    <s v="Smartwatch"/>
    <n v="9"/>
    <n v="17538.79"/>
    <n v="0.28000000000000003"/>
    <n v="86347.39"/>
    <n v="9279.2900000000009"/>
    <n v="93.75"/>
    <s v="EMI"/>
    <x v="4"/>
    <b v="0"/>
    <x v="1"/>
    <n v="9"/>
  </r>
  <r>
    <s v="ORD-02894"/>
    <x v="813"/>
    <x v="813"/>
    <s v="CUST87652"/>
    <s v="Nikhil Patel"/>
    <n v="25"/>
    <s v="Other"/>
    <x v="3"/>
    <s v="Bhubaneswar"/>
    <x v="1"/>
    <s v="Shampoo"/>
    <n v="1"/>
    <n v="123.79"/>
    <n v="0.17"/>
    <n v="167.72"/>
    <n v="67.47"/>
    <n v="49.95"/>
    <s v="Credit Card"/>
    <x v="0"/>
    <b v="0"/>
    <x v="1"/>
    <n v="3"/>
  </r>
  <r>
    <s v="ORD-02603"/>
    <x v="1207"/>
    <x v="1207"/>
    <s v="CUST47968"/>
    <s v="Vikram Pillai"/>
    <n v="27"/>
    <s v="Female"/>
    <x v="2"/>
    <s v="Amritsar"/>
    <x v="1"/>
    <s v="Shampoo"/>
    <n v="5"/>
    <n v="1931.12"/>
    <n v="0.02"/>
    <n v="10949.84"/>
    <n v="3362.6"/>
    <n v="79.88"/>
    <s v="Net Banking"/>
    <x v="4"/>
    <b v="0"/>
    <x v="1"/>
    <n v="9"/>
  </r>
  <r>
    <s v="ORD-03418"/>
    <x v="428"/>
    <x v="428"/>
    <s v="CUST18997"/>
    <s v="Arjun Verma"/>
    <n v="47"/>
    <s v="Other"/>
    <x v="4"/>
    <s v="Chennai"/>
    <x v="0"/>
    <s v="Dal (1kg)"/>
    <n v="7"/>
    <n v="317.18"/>
    <n v="0.04"/>
    <n v="2340.06"/>
    <n v="216.78"/>
    <n v="80.19"/>
    <s v="Cash on Delivery"/>
    <x v="2"/>
    <b v="0"/>
    <x v="1"/>
    <n v="9"/>
  </r>
  <r>
    <s v="ORD-01670"/>
    <x v="893"/>
    <x v="893"/>
    <s v="CUST23703"/>
    <s v="Aditya Kapoor"/>
    <n v="29"/>
    <s v="Female"/>
    <x v="2"/>
    <s v="Chandigarh"/>
    <x v="4"/>
    <s v="Saree"/>
    <n v="2"/>
    <n v="2248.1"/>
    <n v="0.26"/>
    <n v="3192.69"/>
    <n v="1599.72"/>
    <n v="34.36"/>
    <s v="Cash on Delivery"/>
    <x v="2"/>
    <b v="1"/>
    <x v="0"/>
    <n v="5"/>
  </r>
  <r>
    <s v="ORD-03485"/>
    <x v="1321"/>
    <x v="1321"/>
    <s v="CUST71463"/>
    <s v="Kavya Rao"/>
    <n v="7"/>
    <s v="Other"/>
    <x v="3"/>
    <s v="Bhubaneswar"/>
    <x v="4"/>
    <s v="Jeans"/>
    <n v="2"/>
    <n v="3938.35"/>
    <n v="0.27"/>
    <n v="6459.25"/>
    <n v="2710.16"/>
    <n v="80.77"/>
    <s v="Credit Card"/>
    <x v="2"/>
    <b v="0"/>
    <x v="1"/>
    <n v="2"/>
  </r>
  <r>
    <s v="ORD-03503"/>
    <x v="1331"/>
    <x v="1331"/>
    <s v="CUST59996"/>
    <s v="Sunita Mehta"/>
    <n v="43"/>
    <s v="Female"/>
    <x v="0"/>
    <s v="Nagpur"/>
    <x v="4"/>
    <s v="Jacket"/>
    <n v="5"/>
    <n v="1168.05"/>
    <n v="0.04"/>
    <n v="1472.47"/>
    <n v="611.4"/>
    <n v="51.85"/>
    <s v="Credit Card"/>
    <x v="0"/>
    <b v="1"/>
    <x v="0"/>
    <n v="8"/>
  </r>
  <r>
    <s v="ORD-01315"/>
    <x v="1379"/>
    <x v="1379"/>
    <s v="CUST19293"/>
    <s v="Ananya Joshi"/>
    <n v="44"/>
    <s v="Other"/>
    <x v="4"/>
    <s v="Kochi"/>
    <x v="2"/>
    <s v="Bed Frame"/>
    <n v="3"/>
    <n v="6100.73"/>
    <n v="0.35"/>
    <n v="16831.689999999999"/>
    <n v="4667.8999999999996"/>
    <n v="82.45"/>
    <s v="Cash on Delivery"/>
    <x v="1"/>
    <b v="0"/>
    <x v="4"/>
    <n v="2"/>
  </r>
  <r>
    <s v="ORD-01847"/>
    <x v="1174"/>
    <x v="1174"/>
    <s v="CUST23650"/>
    <s v="Sanjay Patel"/>
    <n v="43"/>
    <s v="Male"/>
    <x v="4"/>
    <s v="Bangalore"/>
    <x v="5"/>
    <s v="Headphones"/>
    <n v="6"/>
    <n v="36964.92"/>
    <n v="7.0000000000000007E-2"/>
    <n v="229078.34"/>
    <n v="22543.08"/>
    <n v="71.02"/>
    <s v="UPI"/>
    <x v="0"/>
    <b v="0"/>
    <x v="1"/>
    <n v="6"/>
  </r>
  <r>
    <s v="ORD-03089"/>
    <x v="1255"/>
    <x v="1255"/>
    <s v="CUST94322"/>
    <s v="Shreya Kapoor"/>
    <n v="19"/>
    <s v="Other"/>
    <x v="3"/>
    <s v="Patna"/>
    <x v="3"/>
    <s v="Textbook"/>
    <n v="7"/>
    <n v="1441.05"/>
    <n v="0.28999999999999998"/>
    <n v="9079.99"/>
    <n v="2820.94"/>
    <n v="86.34"/>
    <s v="Debit Card"/>
    <x v="0"/>
    <b v="1"/>
    <x v="0"/>
    <n v="10"/>
  </r>
  <r>
    <s v="ORD-00244"/>
    <x v="1579"/>
    <x v="1579"/>
    <s v="CUST99038"/>
    <s v="Shreya Verma"/>
    <n v="40"/>
    <s v="Female"/>
    <x v="3"/>
    <s v="Kolkata"/>
    <x v="0"/>
    <s v="Rice (5kg)"/>
    <n v="3"/>
    <n v="211.24"/>
    <n v="0.18"/>
    <n v="628.26"/>
    <n v="55.71"/>
    <n v="90.81"/>
    <s v="Credit Card"/>
    <x v="0"/>
    <b v="0"/>
    <x v="1"/>
    <n v="10"/>
  </r>
  <r>
    <s v="ORD-04163"/>
    <x v="248"/>
    <x v="248"/>
    <s v="CUST00013"/>
    <s v="Rahul Nair"/>
    <n v="29"/>
    <s v="Female"/>
    <x v="4"/>
    <s v="Hyderabad"/>
    <x v="3"/>
    <s v="Self-Help Book"/>
    <n v="5"/>
    <n v="294.33"/>
    <n v="0.19"/>
    <n v="222.9"/>
    <n v="77.47"/>
    <n v="95.45"/>
    <s v="Net Banking"/>
    <x v="3"/>
    <b v="0"/>
    <x v="1"/>
    <n v="2"/>
  </r>
  <r>
    <s v="ORD-00934"/>
    <x v="1120"/>
    <x v="1120"/>
    <s v="CUST57153"/>
    <s v="Nikhil Mishra"/>
    <n v="33"/>
    <s v="Other"/>
    <x v="4"/>
    <s v="Chennai"/>
    <x v="5"/>
    <s v="Camera"/>
    <n v="10"/>
    <n v="39470.47"/>
    <n v="0.03"/>
    <n v="381281.41"/>
    <n v="61665.08"/>
    <n v="68.19"/>
    <s v="Debit Card"/>
    <x v="4"/>
    <b v="1"/>
    <x v="0"/>
    <n v="9"/>
  </r>
  <r>
    <s v="ORD-02408"/>
    <x v="337"/>
    <x v="337"/>
    <s v="CUST35312"/>
    <s v="Aarav Joshi"/>
    <n v="45"/>
    <s v="Male"/>
    <x v="4"/>
    <s v="Chennai"/>
    <x v="3"/>
    <s v="Biography"/>
    <n v="6"/>
    <n v="922.08"/>
    <n v="0.39"/>
    <n v="2622.16"/>
    <n v="1193.45"/>
    <n v="101.28"/>
    <s v="UPI"/>
    <x v="1"/>
    <b v="0"/>
    <x v="1"/>
    <n v="9"/>
  </r>
  <r>
    <s v="ORD-02144"/>
    <x v="1235"/>
    <x v="1235"/>
    <s v="CUST57185"/>
    <s v="Aditya Pillai"/>
    <n v="45"/>
    <s v="Other"/>
    <x v="1"/>
    <s v="Ahmedabad"/>
    <x v="4"/>
    <s v="Jacket"/>
    <n v="3"/>
    <n v="1239.18"/>
    <n v="0.11"/>
    <n v="4592.68"/>
    <n v="1338.61"/>
    <n v="61.11"/>
    <s v="EMI"/>
    <x v="4"/>
    <b v="0"/>
    <x v="3"/>
    <n v="10"/>
  </r>
  <r>
    <s v="ORD-01529"/>
    <x v="1249"/>
    <x v="1249"/>
    <s v="CUST01982"/>
    <s v="Meera Rao"/>
    <n v="150"/>
    <s v="Male"/>
    <x v="0"/>
    <s v="Bhopal"/>
    <x v="4"/>
    <s v="Dress"/>
    <n v="6"/>
    <n v="574.04"/>
    <n v="7.0000000000000007E-2"/>
    <n v="2308.91"/>
    <n v="810.17"/>
    <n v="68.91"/>
    <s v="Credit Card"/>
    <x v="0"/>
    <b v="0"/>
    <x v="1"/>
    <n v="5"/>
  </r>
  <r>
    <s v="ORD-01497"/>
    <x v="830"/>
    <x v="830"/>
    <s v="CUST49401"/>
    <s v="Ritu Mehta"/>
    <n v="52"/>
    <s v="Other"/>
    <x v="1"/>
    <s v="Mumbai"/>
    <x v="0"/>
    <s v="Sugar"/>
    <n v="3"/>
    <n v="398.14"/>
    <n v="0.25"/>
    <n v="680.62"/>
    <n v="46.49"/>
    <n v="38.92"/>
    <s v="EMI"/>
    <x v="4"/>
    <b v="1"/>
    <x v="0"/>
    <n v="10"/>
  </r>
  <r>
    <s v="ORD-02570"/>
    <x v="1580"/>
    <x v="1580"/>
    <s v="CUST14169"/>
    <s v="Deepa Gupta"/>
    <n v="33"/>
    <s v="Male"/>
    <x v="0"/>
    <s v="Indore"/>
    <x v="3"/>
    <s v="Cook Book"/>
    <n v="6"/>
    <n v="1149.8599999999999"/>
    <n v="0.21"/>
    <n v="5203.29"/>
    <n v="2215.79"/>
    <n v="26.1"/>
    <s v="Debit Card"/>
    <x v="2"/>
    <b v="1"/>
    <x v="0"/>
    <n v="8"/>
  </r>
  <r>
    <s v="ORD-01555"/>
    <x v="619"/>
    <x v="619"/>
    <s v="CUST84373"/>
    <s v="Deepa Gupta"/>
    <n v="32"/>
    <s v="Male"/>
    <x v="3"/>
    <s v="Kolkata"/>
    <x v="1"/>
    <s v="Hair Oil"/>
    <n v="8"/>
    <n v="1512.26"/>
    <n v="0.28999999999999998"/>
    <n v="7442.04"/>
    <n v="1712.58"/>
    <n v="87.62"/>
    <s v="Net Banking"/>
    <x v="0"/>
    <b v="0"/>
    <x v="1"/>
    <n v="3"/>
  </r>
  <r>
    <s v="ORD-03023"/>
    <x v="1038"/>
    <x v="1038"/>
    <s v="CUST97888"/>
    <s v="Deepa Gupta"/>
    <n v="16"/>
    <s v="Female"/>
    <x v="3"/>
    <s v="Kolkata"/>
    <x v="6"/>
    <s v="Cricket Bat"/>
    <n v="4"/>
    <n v="2506.3000000000002"/>
    <n v="0.16"/>
    <n v="11720.71"/>
    <n v="3383.09"/>
    <n v="80.27"/>
    <s v="Net Banking"/>
    <x v="0"/>
    <b v="0"/>
    <x v="1"/>
    <n v="2"/>
  </r>
  <r>
    <s v="ORD-03224"/>
    <x v="642"/>
    <x v="642"/>
    <s v="CUST38211"/>
    <s v="Ananya Pillai"/>
    <n v="37"/>
    <s v="Male"/>
    <x v="0"/>
    <s v="Indore"/>
    <x v="4"/>
    <s v="Saree"/>
    <n v="4"/>
    <n v="594.33000000000004"/>
    <n v="7.0000000000000007E-2"/>
    <n v="2462.17"/>
    <n v="786.24"/>
    <n v="84.06"/>
    <s v="UPI"/>
    <x v="4"/>
    <b v="0"/>
    <x v="1"/>
    <n v="8"/>
  </r>
  <r>
    <s v="ORD-03400"/>
    <x v="247"/>
    <x v="247"/>
    <s v="CUST16290"/>
    <s v="Shreya Gupta"/>
    <n v="34"/>
    <s v="Female"/>
    <x v="1"/>
    <s v="Ahmedabad"/>
    <x v="1"/>
    <s v="Shampoo"/>
    <n v="4"/>
    <n v="1042.68"/>
    <n v="0.12"/>
    <n v="3735.87"/>
    <n v="1923.69"/>
    <n v="43.55"/>
    <s v="Net Banking"/>
    <x v="2"/>
    <b v="0"/>
    <x v="1"/>
    <n v="4"/>
  </r>
  <r>
    <s v="ORD-03329"/>
    <x v="157"/>
    <x v="157"/>
    <s v="CUST84812"/>
    <s v="Amit Singh"/>
    <n v="29"/>
    <s v="Male"/>
    <x v="2"/>
    <s v="Amritsar"/>
    <x v="1"/>
    <s v="Hair Oil"/>
    <n v="7"/>
    <n v="1649.29"/>
    <n v="0.18"/>
    <n v="7846.93"/>
    <n v="3544.75"/>
    <n v="37.21"/>
    <s v="Net Banking"/>
    <x v="3"/>
    <b v="0"/>
    <x v="1"/>
    <n v="2"/>
  </r>
  <r>
    <s v="ORD-02360"/>
    <x v="949"/>
    <x v="949"/>
    <s v="CUST30543"/>
    <s v="Meera Patel"/>
    <n v="35"/>
    <s v="Female"/>
    <x v="3"/>
    <s v="Bhubaneswar"/>
    <x v="2"/>
    <s v="Wardrobe"/>
    <n v="7"/>
    <n v="26524.400000000001"/>
    <n v="0.28999999999999998"/>
    <n v="121709.51"/>
    <n v="31637.279999999999"/>
    <n v="92.09"/>
    <s v="Credit Card"/>
    <x v="0"/>
    <b v="0"/>
    <x v="4"/>
    <n v="4"/>
  </r>
  <r>
    <s v="ORD-01809"/>
    <x v="609"/>
    <x v="609"/>
    <s v="CUST33015"/>
    <s v="Sunita Iyer"/>
    <n v="25"/>
    <s v="Other"/>
    <x v="4"/>
    <s v="Bangalore"/>
    <x v="5"/>
    <s v="Headphones"/>
    <n v="9"/>
    <n v="15199.01"/>
    <n v="0.23"/>
    <n v="129545.79"/>
    <n v="19098.669999999998"/>
    <n v="60.16"/>
    <s v="Cash on Delivery"/>
    <x v="4"/>
    <b v="0"/>
    <x v="1"/>
    <n v="6"/>
  </r>
  <r>
    <s v="ORD-02891"/>
    <x v="1323"/>
    <x v="1323"/>
    <s v="CUST13778"/>
    <s v="Amit Pillai"/>
    <n v="41"/>
    <s v="Female"/>
    <x v="4"/>
    <s v="Hyderabad"/>
    <x v="1"/>
    <s v="Sunscreen"/>
    <n v="2"/>
    <n v="1297.33"/>
    <n v="0.22"/>
    <n v="3312.56"/>
    <n v="1518.57"/>
    <n v="46.51"/>
    <s v="Debit Card"/>
    <x v="4"/>
    <b v="0"/>
    <x v="1"/>
    <n v="9"/>
  </r>
  <r>
    <s v="ORD-02462"/>
    <x v="1181"/>
    <x v="1181"/>
    <s v="CUST93409"/>
    <s v="Kavya Sharma"/>
    <n v="51"/>
    <s v="Female"/>
    <x v="4"/>
    <s v="Chennai"/>
    <x v="4"/>
    <s v="Kurta"/>
    <n v="4"/>
    <n v="3481.94"/>
    <n v="0.35"/>
    <n v="6409.77"/>
    <n v="2804.01"/>
    <n v="71.75"/>
    <s v="EMI"/>
    <x v="0"/>
    <b v="0"/>
    <x v="1"/>
    <n v="9"/>
  </r>
  <r>
    <s v="ORD-02507"/>
    <x v="233"/>
    <x v="233"/>
    <s v="CUST89268"/>
    <s v="Amit Sharma"/>
    <n v="36"/>
    <s v="Other"/>
    <x v="0"/>
    <s v="Indore"/>
    <x v="6"/>
    <s v="Dumbbells"/>
    <n v="9"/>
    <n v="5484.95"/>
    <n v="0.09"/>
    <n v="32970.07"/>
    <n v="5646.17"/>
    <n v="31.22"/>
    <s v="Debit Card"/>
    <x v="0"/>
    <b v="0"/>
    <x v="1"/>
    <n v="9"/>
  </r>
  <r>
    <s v="ORD-01186"/>
    <x v="1533"/>
    <x v="1533"/>
    <s v="CUST18863"/>
    <s v="Nikhil Iyer"/>
    <n v="28"/>
    <s v="Female"/>
    <x v="4"/>
    <s v="Kochi"/>
    <x v="3"/>
    <s v="Comic Book"/>
    <n v="10"/>
    <n v="1470.66"/>
    <n v="0"/>
    <n v="19373.32"/>
    <n v="8438.27"/>
    <n v="64.66"/>
    <s v="Credit Card"/>
    <x v="3"/>
    <b v="0"/>
    <x v="1"/>
    <n v="3"/>
  </r>
  <r>
    <s v="ORD-02388"/>
    <x v="1086"/>
    <x v="1086"/>
    <s v="CUST96079"/>
    <s v="Kavya Bose"/>
    <n v="33"/>
    <s v="Male"/>
    <x v="1"/>
    <s v="Ahmedabad"/>
    <x v="4"/>
    <s v="Kurta"/>
    <n v="8"/>
    <n v="3591.12"/>
    <n v="0.04"/>
    <n v="23914.76"/>
    <n v="6348.6"/>
    <n v="50.27"/>
    <s v="Cash on Delivery"/>
    <x v="3"/>
    <b v="0"/>
    <x v="3"/>
    <n v="8"/>
  </r>
  <r>
    <s v="ORD-02554"/>
    <x v="263"/>
    <x v="263"/>
    <s v="CUST72987"/>
    <s v="Sanjay Verma"/>
    <n v="32"/>
    <s v="Male"/>
    <x v="2"/>
    <s v="Ludhiana"/>
    <x v="1"/>
    <s v="Lipstick"/>
    <n v="5"/>
    <n v="1481.3"/>
    <n v="0.31"/>
    <n v="4531.1499999999996"/>
    <n v="1360.74"/>
    <n v="44.59"/>
    <s v="Cash on Delivery"/>
    <x v="3"/>
    <b v="0"/>
    <x v="2"/>
    <n v="2"/>
  </r>
  <r>
    <s v="ORD-03926"/>
    <x v="979"/>
    <x v="979"/>
    <s v="CUST32277"/>
    <s v="Priya Shah"/>
    <n v="14"/>
    <s v="Other"/>
    <x v="2"/>
    <s v="Ludhiana"/>
    <x v="5"/>
    <s v="Tablet"/>
    <n v="7"/>
    <n v="56616.08"/>
    <n v="0.37"/>
    <n v="409146.2"/>
    <n v="52669.59"/>
    <n v="72.56"/>
    <s v="Net Banking"/>
    <x v="4"/>
    <b v="0"/>
    <x v="1"/>
    <n v="9"/>
  </r>
  <r>
    <s v="ORD-01761"/>
    <x v="999"/>
    <x v="999"/>
    <s v="CUST42165"/>
    <s v="Vikram Joshi"/>
    <n v="60"/>
    <s v="Female"/>
    <x v="3"/>
    <s v="Kolkata"/>
    <x v="4"/>
    <s v="Saree"/>
    <n v="1"/>
    <n v="944.02"/>
    <n v="0.18"/>
    <n v="670.28"/>
    <n v="181.9"/>
    <n v="78.510000000000005"/>
    <s v="Credit Card"/>
    <x v="1"/>
    <b v="0"/>
    <x v="1"/>
    <n v="3"/>
  </r>
  <r>
    <s v="ORD-03280"/>
    <x v="71"/>
    <x v="71"/>
    <s v="CUST58917"/>
    <s v="Rohan Joshi"/>
    <n v="40"/>
    <s v="Other"/>
    <x v="3"/>
    <s v="Kolkata"/>
    <x v="3"/>
    <s v="Cook Book"/>
    <n v="6"/>
    <n v="1395.75"/>
    <n v="0.22"/>
    <n v="5091"/>
    <n v="2066.2800000000002"/>
    <n v="73.099999999999994"/>
    <s v="Debit Card"/>
    <x v="3"/>
    <b v="0"/>
    <x v="1"/>
    <n v="7"/>
  </r>
  <r>
    <s v="ORD-01966"/>
    <x v="860"/>
    <x v="860"/>
    <s v="CUST97427"/>
    <s v="Priya Bose"/>
    <n v="15"/>
    <s v="Female"/>
    <x v="2"/>
    <s v="Amritsar"/>
    <x v="6"/>
    <s v="Tennis Racket"/>
    <n v="1"/>
    <n v="2681.34"/>
    <n v="0.12"/>
    <n v="3807.13"/>
    <n v="587.09"/>
    <n v="75.5"/>
    <s v="UPI"/>
    <x v="0"/>
    <b v="1"/>
    <x v="0"/>
    <n v="4"/>
  </r>
  <r>
    <s v="ORD-02949"/>
    <x v="282"/>
    <x v="282"/>
    <s v="CUST29456"/>
    <s v="Priya Sharma"/>
    <n v="20"/>
    <s v="Other"/>
    <x v="3"/>
    <s v="Bhubaneswar"/>
    <x v="0"/>
    <s v="Flour"/>
    <n v="3"/>
    <n v="108.19"/>
    <n v="0.4"/>
    <n v="272.74"/>
    <n v="18.29"/>
    <n v="82.45"/>
    <s v="Cash on Delivery"/>
    <x v="3"/>
    <b v="0"/>
    <x v="3"/>
    <n v="5"/>
  </r>
  <r>
    <s v="ORD-03143"/>
    <x v="1581"/>
    <x v="1581"/>
    <s v="CUST43908"/>
    <s v="Nisha Iyer"/>
    <n v="31"/>
    <s v="Male"/>
    <x v="0"/>
    <s v="Bhopal"/>
    <x v="5"/>
    <s v="Laptop"/>
    <n v="3"/>
    <n v="56628.56"/>
    <n v="0.32"/>
    <n v="145921.20000000001"/>
    <n v="15624.65"/>
    <n v="47.88"/>
    <s v="Credit Card"/>
    <x v="4"/>
    <b v="0"/>
    <x v="4"/>
    <n v="8"/>
  </r>
  <r>
    <s v="ORD-00445"/>
    <x v="518"/>
    <x v="518"/>
    <s v="CUST52068"/>
    <s v="Deepa Reddy"/>
    <n v="48"/>
    <s v="Male"/>
    <x v="3"/>
    <s v="Guwahati"/>
    <x v="5"/>
    <s v="Smartphone"/>
    <n v="10"/>
    <n v="19028.599999999999"/>
    <n v="0.16"/>
    <n v="211424.88"/>
    <n v="15185.24"/>
    <n v="90.95"/>
    <s v="UPI"/>
    <x v="2"/>
    <b v="0"/>
    <x v="1"/>
    <n v="7"/>
  </r>
  <r>
    <s v="ORD-02088"/>
    <x v="614"/>
    <x v="614"/>
    <s v="CUST29896"/>
    <s v="Amit Verma"/>
    <n v="43"/>
    <s v="Other"/>
    <x v="1"/>
    <s v="Mumbai"/>
    <x v="1"/>
    <s v="Sunscreen"/>
    <n v="6"/>
    <n v="2056.5"/>
    <n v="0.18"/>
    <n v="13191.89"/>
    <n v="5400.15"/>
    <n v="38.67"/>
    <s v="Net Banking"/>
    <x v="1"/>
    <b v="0"/>
    <x v="3"/>
    <n v="5"/>
  </r>
  <r>
    <s v="ORD-01265"/>
    <x v="1577"/>
    <x v="1577"/>
    <s v="CUST61301"/>
    <s v="Rohan Singh"/>
    <n v="43"/>
    <s v="Male"/>
    <x v="1"/>
    <s v="Pune"/>
    <x v="2"/>
    <s v="Bed Frame"/>
    <n v="3"/>
    <n v="6493.94"/>
    <n v="0.18"/>
    <n v="18197.59"/>
    <n v="5074.92"/>
    <n v="35.799999999999997"/>
    <s v="Net Banking"/>
    <x v="2"/>
    <b v="0"/>
    <x v="4"/>
    <n v="8"/>
  </r>
  <r>
    <s v="ORD-02754"/>
    <x v="1267"/>
    <x v="1267"/>
    <s v="CUST60353"/>
    <s v="Aarav Kumar"/>
    <n v="52"/>
    <s v="Female"/>
    <x v="3"/>
    <s v="Patna"/>
    <x v="6"/>
    <s v="Cycle"/>
    <n v="5"/>
    <n v="12633.19"/>
    <n v="0.18"/>
    <n v="75906"/>
    <n v="19171.82"/>
    <n v="62.92"/>
    <s v="Cash on Delivery"/>
    <x v="3"/>
    <b v="1"/>
    <x v="0"/>
    <n v="8"/>
  </r>
  <r>
    <s v="ORD-02566"/>
    <x v="36"/>
    <x v="36"/>
    <s v="CUST73248"/>
    <s v="Sunita Nair"/>
    <n v="18"/>
    <s v="Other"/>
    <x v="2"/>
    <s v="Amritsar"/>
    <x v="4"/>
    <s v="Kurta"/>
    <n v="5"/>
    <n v="3294.49"/>
    <n v="0.36"/>
    <n v="11296.68"/>
    <n v="4457.7299999999996"/>
    <n v="69.790000000000006"/>
    <s v="Cash on Delivery"/>
    <x v="0"/>
    <b v="0"/>
    <x v="1"/>
    <n v="3"/>
  </r>
  <r>
    <s v="ORD-03930"/>
    <x v="388"/>
    <x v="388"/>
    <s v="CUST89734"/>
    <s v="Aditya Kapoor"/>
    <n v="15"/>
    <s v="Female"/>
    <x v="0"/>
    <s v="Nagpur"/>
    <x v="5"/>
    <s v="Smartwatch"/>
    <n v="10"/>
    <n v="30417.77"/>
    <n v="0.12"/>
    <n v="407424.79"/>
    <n v="59491.68"/>
    <n v="54"/>
    <s v="Debit Card"/>
    <x v="0"/>
    <b v="0"/>
    <x v="4"/>
    <n v="3"/>
  </r>
  <r>
    <s v="ORD-01077"/>
    <x v="847"/>
    <x v="847"/>
    <s v="CUST86865"/>
    <s v="Amit Pillai"/>
    <n v="29"/>
    <s v="Female"/>
    <x v="1"/>
    <s v="Mumbai"/>
    <x v="0"/>
    <s v="Rice (5kg)"/>
    <n v="2"/>
    <n v="413.27"/>
    <n v="0.22"/>
    <n v="843.51"/>
    <n v="59.92"/>
    <n v="45.09"/>
    <s v="UPI"/>
    <x v="4"/>
    <b v="0"/>
    <x v="1"/>
    <n v="8"/>
  </r>
  <r>
    <s v="ORD-02888"/>
    <x v="983"/>
    <x v="983"/>
    <s v="CUST23652"/>
    <s v="Kavya Mehta"/>
    <n v="39"/>
    <s v="Male"/>
    <x v="1"/>
    <s v="Mumbai"/>
    <x v="6"/>
    <s v="Football"/>
    <n v="9"/>
    <n v="3434.17"/>
    <n v="0.08"/>
    <n v="46040.29"/>
    <n v="10782.3"/>
    <n v="55.14"/>
    <s v="UPI"/>
    <x v="3"/>
    <b v="0"/>
    <x v="1"/>
    <n v="5"/>
  </r>
  <r>
    <s v="ORD-03271"/>
    <x v="1335"/>
    <x v="1335"/>
    <s v="CUST54392"/>
    <s v="Aarav Mishra"/>
    <n v="31"/>
    <s v="Male"/>
    <x v="0"/>
    <s v="Raipur"/>
    <x v="0"/>
    <s v="Dal (1kg)"/>
    <n v="6"/>
    <n v="470.13"/>
    <n v="0.34"/>
    <n v="1607.31"/>
    <n v="145.53"/>
    <n v="73.23"/>
    <s v="Debit Card"/>
    <x v="2"/>
    <b v="0"/>
    <x v="1"/>
    <n v="2"/>
  </r>
  <r>
    <s v="ORD-01228"/>
    <x v="958"/>
    <x v="958"/>
    <s v="CUST18110"/>
    <s v="Karan Rao"/>
    <n v="31"/>
    <s v="Female"/>
    <x v="3"/>
    <s v="Patna"/>
    <x v="3"/>
    <s v="Self-Help Book"/>
    <n v="3"/>
    <n v="453.81"/>
    <n v="0.14000000000000001"/>
    <n v="1633.5"/>
    <n v="658.01"/>
    <n v="88.97"/>
    <s v="Cash on Delivery"/>
    <x v="3"/>
    <b v="0"/>
    <x v="1"/>
    <n v="6"/>
  </r>
  <r>
    <s v="ORD-01152"/>
    <x v="1391"/>
    <x v="1391"/>
    <s v="CUST51781"/>
    <s v="Karan Verma"/>
    <n v="50"/>
    <s v="Female"/>
    <x v="1"/>
    <s v="Ahmedabad"/>
    <x v="3"/>
    <s v="Fiction Novel"/>
    <n v="10"/>
    <n v="736.78"/>
    <n v="0.05"/>
    <n v="8312.64"/>
    <n v="3354.33"/>
    <n v="65.760000000000005"/>
    <s v="Credit Card"/>
    <x v="0"/>
    <b v="0"/>
    <x v="1"/>
    <n v="9"/>
  </r>
  <r>
    <s v="ORD-03728"/>
    <x v="724"/>
    <x v="724"/>
    <s v="CUST36060"/>
    <s v="Aditya Bose"/>
    <n v="48"/>
    <s v="Female"/>
    <x v="4"/>
    <s v="Bangalore"/>
    <x v="1"/>
    <s v="Face Cream"/>
    <n v="3"/>
    <n v="1059.55"/>
    <n v="0.28999999999999998"/>
    <n v="3720.84"/>
    <n v="1778.64"/>
    <n v="88.2"/>
    <s v="Credit Card"/>
    <x v="2"/>
    <b v="0"/>
    <x v="4"/>
    <n v="6"/>
  </r>
  <r>
    <s v="ORD-04031"/>
    <x v="242"/>
    <x v="242"/>
    <s v="CUST16901"/>
    <s v="Aarav Singh"/>
    <n v="36"/>
    <s v="Other"/>
    <x v="0"/>
    <s v="Raipur"/>
    <x v="6"/>
    <s v="Cycle"/>
    <n v="4"/>
    <n v="10043.459999999999"/>
    <n v="0.01"/>
    <n v="42595.96"/>
    <n v="8765.23"/>
    <n v="45.62"/>
    <s v="EMI"/>
    <x v="2"/>
    <b v="0"/>
    <x v="3"/>
    <n v="2"/>
  </r>
  <r>
    <s v="ORD-03935"/>
    <x v="567"/>
    <x v="567"/>
    <s v="CUST84410"/>
    <s v="Ananya Pillai"/>
    <n v="37"/>
    <s v="Female"/>
    <x v="4"/>
    <s v="Kochi"/>
    <x v="1"/>
    <s v="Sunscreen"/>
    <n v="3"/>
    <n v="1547.78"/>
    <n v="0.27"/>
    <n v="4796.68"/>
    <n v="2149.21"/>
    <n v="79.739999999999995"/>
    <s v="Debit Card"/>
    <x v="2"/>
    <b v="0"/>
    <x v="1"/>
    <n v="6"/>
  </r>
  <r>
    <s v="ORD-00418"/>
    <x v="1582"/>
    <x v="1582"/>
    <s v="CUST85780"/>
    <s v="Rahul Pillai"/>
    <n v="28"/>
    <s v="Female"/>
    <x v="2"/>
    <s v="Ludhiana"/>
    <x v="0"/>
    <s v="Flour"/>
    <n v="5"/>
    <n v="88.16"/>
    <n v="0.25"/>
    <n v="81.73"/>
    <n v="8.41"/>
    <n v="26.09"/>
    <s v="Cash on Delivery"/>
    <x v="4"/>
    <b v="0"/>
    <x v="1"/>
    <n v="7"/>
  </r>
  <r>
    <s v="ORD-01243"/>
    <x v="760"/>
    <x v="760"/>
    <s v="CUST88419"/>
    <s v="Amit Pillai"/>
    <n v="39"/>
    <s v="Female"/>
    <x v="2"/>
    <s v="Delhi"/>
    <x v="6"/>
    <s v="Cycle"/>
    <n v="9"/>
    <n v="8547.4599999999991"/>
    <n v="0.01"/>
    <n v="109622.85"/>
    <n v="14504.29"/>
    <n v="50.6"/>
    <s v="Net Banking"/>
    <x v="0"/>
    <b v="0"/>
    <x v="1"/>
    <n v="1"/>
  </r>
  <r>
    <s v="ORD-01867"/>
    <x v="1520"/>
    <x v="1520"/>
    <s v="CUST11136"/>
    <s v="Meera Gupta"/>
    <n v="39"/>
    <s v="Other"/>
    <x v="3"/>
    <s v="Kolkata"/>
    <x v="6"/>
    <s v="Cricket Bat"/>
    <n v="4"/>
    <n v="1061.5899999999999"/>
    <n v="0.01"/>
    <n v="5761.67"/>
    <n v="990.61"/>
    <n v="66.63"/>
    <s v="Credit Card"/>
    <x v="4"/>
    <b v="0"/>
    <x v="1"/>
    <n v="7"/>
  </r>
  <r>
    <s v="ORD-03167"/>
    <x v="1466"/>
    <x v="1466"/>
    <s v="CUST14358"/>
    <s v="Arjun Singh"/>
    <n v="45"/>
    <s v="Female"/>
    <x v="4"/>
    <s v="Bangalore"/>
    <x v="0"/>
    <s v="Cooking Oil"/>
    <n v="2"/>
    <n v="487.25"/>
    <n v="0.31"/>
    <n v="715.47"/>
    <n v="59.76"/>
    <n v="64.430000000000007"/>
    <s v="Debit Card"/>
    <x v="4"/>
    <b v="0"/>
    <x v="1"/>
    <n v="6"/>
  </r>
  <r>
    <s v="ORD-03664"/>
    <x v="286"/>
    <x v="286"/>
    <s v="CUST92119"/>
    <s v="Amit Singh"/>
    <n v="39"/>
    <s v="Male"/>
    <x v="4"/>
    <s v="Kochi"/>
    <x v="0"/>
    <s v="Cooking Oil"/>
    <n v="9"/>
    <n v="188.1"/>
    <n v="0.08"/>
    <n v="2301.06"/>
    <n v="192.79"/>
    <n v="67.95"/>
    <s v="EMI"/>
    <x v="3"/>
    <b v="1"/>
    <x v="0"/>
    <n v="9"/>
  </r>
  <r>
    <s v="ORD-03716"/>
    <x v="1553"/>
    <x v="1553"/>
    <s v="CUST52321"/>
    <s v="Rohan Pillai"/>
    <n v="21"/>
    <s v="Other"/>
    <x v="4"/>
    <s v="Hyderabad"/>
    <x v="1"/>
    <s v="Sunscreen"/>
    <n v="5"/>
    <n v="1069.3599999999999"/>
    <n v="0.28999999999999998"/>
    <n v="1279.93"/>
    <n v="639.85"/>
    <n v="62.49"/>
    <s v="EMI"/>
    <x v="3"/>
    <b v="0"/>
    <x v="1"/>
    <n v="8"/>
  </r>
  <r>
    <s v="ORD-01279"/>
    <x v="70"/>
    <x v="70"/>
    <s v="CUST14981"/>
    <s v="Nikhil Pillai"/>
    <n v="40"/>
    <s v="Other"/>
    <x v="1"/>
    <s v="Surat"/>
    <x v="6"/>
    <s v="Cricket Bat"/>
    <n v="5"/>
    <n v="1698.17"/>
    <n v="0.21"/>
    <n v="1998.56"/>
    <n v="334.69"/>
    <n v="57.32"/>
    <s v="EMI"/>
    <x v="4"/>
    <b v="0"/>
    <x v="1"/>
    <n v="7"/>
  </r>
  <r>
    <s v="ORD-02638"/>
    <x v="591"/>
    <x v="591"/>
    <s v="CUST24560"/>
    <s v="Ritu Pillai"/>
    <n v="34"/>
    <s v="Male"/>
    <x v="1"/>
    <s v="Mumbai"/>
    <x v="2"/>
    <s v="Bookshelf"/>
    <n v="4"/>
    <n v="17789.72"/>
    <n v="7.0000000000000007E-2"/>
    <n v="69297.429999999993"/>
    <n v="19802.240000000002"/>
    <n v="80.3"/>
    <s v="EMI"/>
    <x v="0"/>
    <b v="0"/>
    <x v="1"/>
    <n v="5"/>
  </r>
  <r>
    <s v="ORD-03111"/>
    <x v="837"/>
    <x v="837"/>
    <s v="CUST09406"/>
    <s v="Meera Nair"/>
    <n v="66"/>
    <s v="Other"/>
    <x v="4"/>
    <s v="Hyderabad"/>
    <x v="6"/>
    <s v="Cricket Bat"/>
    <n v="2"/>
    <n v="548.20000000000005"/>
    <n v="0.12"/>
    <n v="1180.05"/>
    <n v="281.25"/>
    <n v="57.13"/>
    <s v="Net Banking"/>
    <x v="0"/>
    <b v="0"/>
    <x v="1"/>
    <n v="9"/>
  </r>
  <r>
    <s v="ORD-00621"/>
    <x v="1559"/>
    <x v="1559"/>
    <s v="CUST05543"/>
    <s v="Vikram Bose"/>
    <n v="32"/>
    <s v="Female"/>
    <x v="1"/>
    <s v="Ahmedabad"/>
    <x v="5"/>
    <s v="Camera"/>
    <n v="6"/>
    <n v="25397.18"/>
    <n v="0.27"/>
    <n v="82799.59"/>
    <n v="14030.93"/>
    <n v="71.52"/>
    <s v="Credit Card"/>
    <x v="2"/>
    <b v="0"/>
    <x v="1"/>
    <n v="3"/>
  </r>
  <r>
    <s v="ORD-02552"/>
    <x v="263"/>
    <x v="263"/>
    <s v="CUST30853"/>
    <s v="Ritu Singh"/>
    <n v="40"/>
    <s v="Female"/>
    <x v="2"/>
    <s v="Delhi"/>
    <x v="1"/>
    <s v="Lipstick"/>
    <n v="10"/>
    <n v="544.05999999999995"/>
    <n v="0.02"/>
    <n v="4863.92"/>
    <n v="2369.17"/>
    <n v="69.040000000000006"/>
    <s v="Cash on Delivery"/>
    <x v="0"/>
    <b v="0"/>
    <x v="4"/>
    <n v="6"/>
  </r>
  <r>
    <s v="ORD-02971"/>
    <x v="604"/>
    <x v="604"/>
    <s v="CUST11958"/>
    <s v="Rahul Bose"/>
    <n v="41"/>
    <s v="Female"/>
    <x v="3"/>
    <s v="Guwahati"/>
    <x v="4"/>
    <s v="Saree"/>
    <n v="2"/>
    <n v="1764.31"/>
    <n v="0.05"/>
    <n v="4950.24"/>
    <n v="1681.63"/>
    <n v="91.22"/>
    <s v="EMI"/>
    <x v="1"/>
    <b v="0"/>
    <x v="1"/>
    <n v="7"/>
  </r>
  <r>
    <s v="ORD-02208"/>
    <x v="75"/>
    <x v="75"/>
    <s v="CUST55072"/>
    <s v="Rohan Pillai"/>
    <n v="35"/>
    <s v="Other"/>
    <x v="1"/>
    <s v="Surat"/>
    <x v="5"/>
    <s v="Laptop"/>
    <n v="7"/>
    <n v="5978.14"/>
    <n v="0.38"/>
    <n v="31403.119999999999"/>
    <n v="3202.9"/>
    <n v="68.28"/>
    <s v="EMI"/>
    <x v="3"/>
    <b v="0"/>
    <x v="3"/>
    <n v="9"/>
  </r>
  <r>
    <s v="ORD-03467"/>
    <x v="568"/>
    <x v="568"/>
    <s v="CUST83168"/>
    <s v="Nisha Kapoor"/>
    <n v="30"/>
    <s v="Female"/>
    <x v="2"/>
    <s v="Chandigarh"/>
    <x v="2"/>
    <s v="Wardrobe"/>
    <n v="1"/>
    <n v="34040.99"/>
    <n v="0.35"/>
    <n v="24095.35"/>
    <n v="6731.99"/>
    <n v="44"/>
    <s v="EMI"/>
    <x v="3"/>
    <b v="0"/>
    <x v="3"/>
    <n v="7"/>
  </r>
  <r>
    <s v="ORD-00538"/>
    <x v="814"/>
    <x v="814"/>
    <s v="CUST99927"/>
    <s v="Nikhil Kapoor"/>
    <n v="41"/>
    <s v="Female"/>
    <x v="0"/>
    <s v="Raipur"/>
    <x v="0"/>
    <s v="Flour"/>
    <n v="5"/>
    <n v="195.75"/>
    <n v="0.23"/>
    <n v="857.03"/>
    <n v="70.849999999999994"/>
    <n v="48.01"/>
    <s v="Cash on Delivery"/>
    <x v="4"/>
    <b v="1"/>
    <x v="0"/>
    <n v="7"/>
  </r>
  <r>
    <s v="ORD-03768"/>
    <x v="825"/>
    <x v="825"/>
    <s v="CUST05494"/>
    <s v="Rahul Kumar"/>
    <n v="42"/>
    <s v="Female"/>
    <x v="1"/>
    <s v="Pune"/>
    <x v="4"/>
    <s v="Saree"/>
    <n v="9"/>
    <n v="419.53"/>
    <n v="0.09"/>
    <n v="6597.21"/>
    <n v="2226.42"/>
    <n v="55.39"/>
    <s v="EMI"/>
    <x v="4"/>
    <b v="0"/>
    <x v="1"/>
    <n v="6"/>
  </r>
  <r>
    <s v="ORD-02289"/>
    <x v="1147"/>
    <x v="1147"/>
    <s v="CUST74884"/>
    <s v="Kavya Mishra"/>
    <n v="28"/>
    <s v="Other"/>
    <x v="3"/>
    <s v="Bhubaneswar"/>
    <x v="5"/>
    <s v="Laptop"/>
    <n v="5"/>
    <n v="76773.58"/>
    <n v="0.12"/>
    <n v="367938.22"/>
    <n v="45756.9"/>
    <n v="84.18"/>
    <s v="UPI"/>
    <x v="3"/>
    <b v="0"/>
    <x v="1"/>
    <n v="5"/>
  </r>
  <r>
    <s v="ORD-00014"/>
    <x v="566"/>
    <x v="566"/>
    <s v="CUST18131"/>
    <s v="Karan Sharma"/>
    <n v="52"/>
    <s v="Male"/>
    <x v="1"/>
    <s v="Surat"/>
    <x v="4"/>
    <s v="Dress"/>
    <n v="3"/>
    <n v="471.05"/>
    <n v="0.16"/>
    <n v="815.57"/>
    <n v="414.35"/>
    <n v="64.239999999999995"/>
    <s v="Cash on Delivery"/>
    <x v="3"/>
    <b v="0"/>
    <x v="1"/>
    <n v="6"/>
  </r>
  <r>
    <s v="ORD-01682"/>
    <x v="1313"/>
    <x v="1313"/>
    <s v="CUST60153"/>
    <s v="Meera Verma"/>
    <n v="3"/>
    <s v="Male"/>
    <x v="2"/>
    <s v="Chandigarh"/>
    <x v="1"/>
    <s v="Sunscreen"/>
    <n v="3"/>
    <n v="790.57"/>
    <n v="0.33"/>
    <n v="1419.61"/>
    <n v="752.09"/>
    <n v="45.71"/>
    <s v="UPI"/>
    <x v="4"/>
    <b v="0"/>
    <x v="1"/>
    <n v="2"/>
  </r>
  <r>
    <s v="ORD-00741"/>
    <x v="489"/>
    <x v="489"/>
    <s v="CUST07400"/>
    <s v="Arjun Pillai"/>
    <n v="39"/>
    <s v="Male"/>
    <x v="4"/>
    <s v="Chennai"/>
    <x v="5"/>
    <s v="Smartwatch"/>
    <n v="5"/>
    <n v="17354.95"/>
    <n v="0.32"/>
    <n v="42550.65"/>
    <n v="5443.79"/>
    <n v="87.73"/>
    <s v="UPI"/>
    <x v="0"/>
    <b v="0"/>
    <x v="1"/>
    <n v="4"/>
  </r>
  <r>
    <s v="ORD-02977"/>
    <x v="1583"/>
    <x v="1583"/>
    <s v="CUST30941"/>
    <s v="Amit Rao"/>
    <n v="36"/>
    <s v="Male"/>
    <x v="4"/>
    <s v="Kochi"/>
    <x v="4"/>
    <s v="Dress"/>
    <n v="3"/>
    <n v="3416.07"/>
    <n v="0.14000000000000001"/>
    <n v="15099.86"/>
    <n v="6787.12"/>
    <n v="56.49"/>
    <s v="Cash on Delivery"/>
    <x v="2"/>
    <b v="0"/>
    <x v="4"/>
    <n v="8"/>
  </r>
  <r>
    <s v="ORD-03387"/>
    <x v="753"/>
    <x v="753"/>
    <s v="CUST28149"/>
    <s v="Sunita Kapoor"/>
    <n v="30"/>
    <s v="Female"/>
    <x v="1"/>
    <s v="Surat"/>
    <x v="2"/>
    <s v="Bookshelf"/>
    <n v="6"/>
    <n v="20348.09"/>
    <n v="0.27"/>
    <n v="89448.76"/>
    <n v="23773.69"/>
    <n v="74.42"/>
    <s v="EMI"/>
    <x v="3"/>
    <b v="0"/>
    <x v="3"/>
    <n v="1"/>
  </r>
  <r>
    <s v="ORD-01386"/>
    <x v="90"/>
    <x v="90"/>
    <s v="CUST40254"/>
    <s v="Shreya Mehta"/>
    <n v="26"/>
    <s v="Male"/>
    <x v="3"/>
    <s v="Bhubaneswar"/>
    <x v="1"/>
    <s v="Sunscreen"/>
    <n v="9"/>
    <n v="1633.93"/>
    <n v="0.26"/>
    <n v="13364.21"/>
    <n v="6165.22"/>
    <n v="62.78"/>
    <s v="UPI"/>
    <x v="2"/>
    <b v="0"/>
    <x v="1"/>
    <n v="2"/>
  </r>
  <r>
    <s v="ORD-02844"/>
    <x v="95"/>
    <x v="95"/>
    <s v="CUST72283"/>
    <s v="Aarav Reddy"/>
    <n v="48"/>
    <s v="Male"/>
    <x v="1"/>
    <s v="Mumbai"/>
    <x v="2"/>
    <s v="Chair"/>
    <n v="2"/>
    <n v="16498.439999999999"/>
    <n v="0.32"/>
    <n v="35854.5"/>
    <n v="11294.07"/>
    <n v="57.11"/>
    <s v="Credit Card"/>
    <x v="2"/>
    <b v="0"/>
    <x v="1"/>
    <n v="5"/>
  </r>
  <r>
    <s v="ORD-02404"/>
    <x v="1261"/>
    <x v="1261"/>
    <s v="CUST20182"/>
    <s v="Kavya Joshi"/>
    <n v="33"/>
    <s v="Male"/>
    <x v="1"/>
    <s v="Surat"/>
    <x v="5"/>
    <s v="Laptop"/>
    <n v="4"/>
    <n v="6142.5"/>
    <n v="0.28000000000000003"/>
    <n v="15055.56"/>
    <n v="2596.19"/>
    <n v="76.47"/>
    <s v="EMI"/>
    <x v="1"/>
    <b v="0"/>
    <x v="1"/>
    <n v="4"/>
  </r>
  <r>
    <s v="ORD-00335"/>
    <x v="955"/>
    <x v="955"/>
    <s v="CUST11141"/>
    <s v="Aarav Chatterjee"/>
    <n v="45"/>
    <s v="Female"/>
    <x v="1"/>
    <s v="Pune"/>
    <x v="4"/>
    <s v="Dress"/>
    <n v="2"/>
    <n v="2283.88"/>
    <n v="0.38"/>
    <n v="3053.06"/>
    <n v="1108.5"/>
    <n v="35.32"/>
    <s v="Debit Card"/>
    <x v="2"/>
    <b v="1"/>
    <x v="0"/>
    <n v="5"/>
  </r>
  <r>
    <s v="ORD-02737"/>
    <x v="234"/>
    <x v="234"/>
    <s v="CUST77328"/>
    <s v="Meera Pillai"/>
    <n v="34"/>
    <s v="Other"/>
    <x v="3"/>
    <s v="Bhubaneswar"/>
    <x v="4"/>
    <s v="Dress"/>
    <n v="4"/>
    <n v="1407.93"/>
    <n v="0.05"/>
    <n v="6398.88"/>
    <n v="2389.35"/>
    <n v="107.41"/>
    <s v="Debit Card"/>
    <x v="1"/>
    <b v="0"/>
    <x v="1"/>
    <n v="2"/>
  </r>
  <r>
    <s v="ORD-03496"/>
    <x v="1290"/>
    <x v="1290"/>
    <s v="CUST72195"/>
    <s v="Rohan Kapoor"/>
    <n v="26"/>
    <s v="Female"/>
    <x v="1"/>
    <s v="Ahmedabad"/>
    <x v="4"/>
    <s v="Dress"/>
    <n v="3"/>
    <n v="1849.16"/>
    <n v="0.24"/>
    <n v="4817.3500000000004"/>
    <n v="2118.33"/>
    <n v="38.42"/>
    <s v="Net Banking"/>
    <x v="3"/>
    <b v="0"/>
    <x v="1"/>
    <n v="4"/>
  </r>
  <r>
    <s v="ORD-02990"/>
    <x v="637"/>
    <x v="637"/>
    <s v="CUST58369"/>
    <s v="Aditya Kumar"/>
    <n v="25"/>
    <s v="Other"/>
    <x v="3"/>
    <s v="Patna"/>
    <x v="1"/>
    <s v="Perfume"/>
    <n v="2"/>
    <n v="524.05999999999995"/>
    <n v="0.35"/>
    <n v="992.13"/>
    <n v="703.91"/>
    <n v="91.44"/>
    <s v="Cash on Delivery"/>
    <x v="1"/>
    <b v="0"/>
    <x v="1"/>
    <n v="3"/>
  </r>
  <r>
    <s v="ORD-03398"/>
    <x v="266"/>
    <x v="266"/>
    <s v="CUST65122"/>
    <s v="Rahul Mehta"/>
    <n v="27"/>
    <s v="Other"/>
    <x v="1"/>
    <s v="Mumbai"/>
    <x v="0"/>
    <s v="Tea"/>
    <n v="8"/>
    <n v="381.64"/>
    <n v="0.15"/>
    <n v="2926.92"/>
    <n v="195.11"/>
    <n v="61.1"/>
    <s v="Net Banking"/>
    <x v="4"/>
    <b v="0"/>
    <x v="4"/>
    <n v="1"/>
  </r>
  <r>
    <s v="ORD-03050"/>
    <x v="1282"/>
    <x v="1282"/>
    <s v="CUST75754"/>
    <s v="Karan Das"/>
    <n v="48"/>
    <s v="Other"/>
    <x v="2"/>
    <s v="Chandigarh"/>
    <x v="2"/>
    <s v="Sofa"/>
    <n v="5"/>
    <n v="2325.92"/>
    <n v="0.02"/>
    <n v="17516.82"/>
    <n v="4426.97"/>
    <n v="68.39"/>
    <s v="Cash on Delivery"/>
    <x v="4"/>
    <b v="0"/>
    <x v="1"/>
    <n v="5"/>
  </r>
  <r>
    <s v="ORD-02236"/>
    <x v="1504"/>
    <x v="1504"/>
    <s v="CUST58809"/>
    <s v="Rohan Iyer"/>
    <n v="34"/>
    <s v="Female"/>
    <x v="4"/>
    <s v="Chennai"/>
    <x v="1"/>
    <s v="Shampoo"/>
    <n v="9"/>
    <n v="1011.72"/>
    <n v="0.19"/>
    <n v="8905.76"/>
    <n v="2925.83"/>
    <n v="96.59"/>
    <s v="Net Banking"/>
    <x v="4"/>
    <b v="0"/>
    <x v="1"/>
    <n v="4"/>
  </r>
  <r>
    <s v="ORD-00942"/>
    <x v="99"/>
    <x v="99"/>
    <s v="CUST93436"/>
    <s v="Rohan Bose"/>
    <n v="26"/>
    <s v="Other"/>
    <x v="1"/>
    <s v="Pune"/>
    <x v="1"/>
    <s v="Sunscreen"/>
    <n v="10"/>
    <n v="1967.69"/>
    <n v="0.12"/>
    <n v="19952.419999999998"/>
    <n v="8446.34"/>
    <n v="29.78"/>
    <s v="Credit Card"/>
    <x v="2"/>
    <b v="0"/>
    <x v="4"/>
    <n v="4"/>
  </r>
  <r>
    <s v="ORD-02948"/>
    <x v="282"/>
    <x v="282"/>
    <s v="CUST47347"/>
    <s v="Deepa Mishra"/>
    <n v="36"/>
    <s v="Male"/>
    <x v="2"/>
    <s v="Chandigarh"/>
    <x v="1"/>
    <s v="Hair Oil"/>
    <n v="9"/>
    <n v="384.12"/>
    <n v="0.06"/>
    <n v="5112.1400000000003"/>
    <n v="2559.12"/>
    <n v="26.49"/>
    <s v="UPI"/>
    <x v="0"/>
    <b v="0"/>
    <x v="1"/>
    <n v="8"/>
  </r>
  <r>
    <s v="ORD-01185"/>
    <x v="1375"/>
    <x v="1375"/>
    <s v="CUST20075"/>
    <s v="Deepa Bhat"/>
    <n v="48"/>
    <s v="Other"/>
    <x v="1"/>
    <s v="Ahmedabad"/>
    <x v="6"/>
    <s v="Tennis Racket"/>
    <n v="7"/>
    <n v="13866.5"/>
    <n v="0.4"/>
    <n v="89463.92"/>
    <n v="27530.1"/>
    <n v="63.5"/>
    <s v="EMI"/>
    <x v="3"/>
    <b v="1"/>
    <x v="0"/>
    <n v="9"/>
  </r>
  <r>
    <s v="ORD-02278"/>
    <x v="921"/>
    <x v="921"/>
    <s v="CUST26869"/>
    <s v="Aarav Mehta"/>
    <n v="28"/>
    <s v="Female"/>
    <x v="3"/>
    <s v="Bhubaneswar"/>
    <x v="6"/>
    <s v="Cycle"/>
    <n v="5"/>
    <n v="10621.22"/>
    <n v="0.03"/>
    <n v="58513.74"/>
    <n v="13918.5"/>
    <n v="72.95"/>
    <s v="Credit Card"/>
    <x v="2"/>
    <b v="0"/>
    <x v="2"/>
    <n v="3"/>
  </r>
  <r>
    <s v="ORD-03932"/>
    <x v="567"/>
    <x v="567"/>
    <s v="CUST12409"/>
    <s v="Sunita Iyer"/>
    <n v="45"/>
    <s v="Female"/>
    <x v="0"/>
    <s v="Raipur"/>
    <x v="2"/>
    <s v="Bookshelf"/>
    <n v="7"/>
    <n v="26483.31"/>
    <n v="0.19"/>
    <n v="218498.09"/>
    <n v="59352.07"/>
    <n v="51.56"/>
    <s v="Debit Card"/>
    <x v="3"/>
    <b v="0"/>
    <x v="1"/>
    <n v="8"/>
  </r>
  <r>
    <s v="ORD-01852"/>
    <x v="507"/>
    <x v="507"/>
    <s v="CUST44543"/>
    <s v="Shreya Nair"/>
    <n v="21"/>
    <s v="Female"/>
    <x v="0"/>
    <s v="Nagpur"/>
    <x v="1"/>
    <s v="Shampoo"/>
    <n v="1"/>
    <n v="2086.4699999999998"/>
    <n v="0.4"/>
    <n v="1378.93"/>
    <n v="777.51"/>
    <n v="51"/>
    <s v="EMI"/>
    <x v="1"/>
    <b v="0"/>
    <x v="4"/>
    <n v="6"/>
  </r>
  <r>
    <s v="ORD-04138"/>
    <x v="310"/>
    <x v="310"/>
    <s v="CUST97139"/>
    <s v="Rohan Bhat"/>
    <n v="25"/>
    <s v="Male"/>
    <x v="0"/>
    <s v="Nagpur"/>
    <x v="3"/>
    <s v="Cook Book"/>
    <n v="1"/>
    <n v="395.88"/>
    <n v="0.05"/>
    <n v="323.02999999999997"/>
    <n v="152.9"/>
    <n v="52.45"/>
    <s v="Cash on Delivery"/>
    <x v="0"/>
    <b v="0"/>
    <x v="1"/>
    <n v="5"/>
  </r>
  <r>
    <s v="ORD-02797"/>
    <x v="533"/>
    <x v="533"/>
    <s v="CUST19934"/>
    <s v="Vikram Shah"/>
    <n v="37"/>
    <s v="Female"/>
    <x v="1"/>
    <s v="Surat"/>
    <x v="0"/>
    <s v="Dal (1kg)"/>
    <n v="7"/>
    <n v="345.21"/>
    <n v="0.31"/>
    <n v="2467.58"/>
    <n v="210.23"/>
    <n v="60.08"/>
    <s v="EMI"/>
    <x v="2"/>
    <b v="0"/>
    <x v="1"/>
    <n v="10"/>
  </r>
  <r>
    <s v="ORD-01887"/>
    <x v="1584"/>
    <x v="1584"/>
    <s v="CUST32630"/>
    <s v="Vikram Shah"/>
    <n v="27"/>
    <s v="Male"/>
    <x v="0"/>
    <s v="Raipur"/>
    <x v="6"/>
    <s v="Tennis Racket"/>
    <n v="8"/>
    <n v="10307.31"/>
    <n v="0.04"/>
    <n v="110726.11"/>
    <n v="34280.730000000003"/>
    <n v="65.12"/>
    <s v="UPI"/>
    <x v="2"/>
    <b v="0"/>
    <x v="1"/>
    <n v="8"/>
  </r>
  <r>
    <s v="ORD-03660"/>
    <x v="1487"/>
    <x v="1487"/>
    <s v="CUST42839"/>
    <s v="Ananya Pillai"/>
    <n v="24"/>
    <s v="Other"/>
    <x v="1"/>
    <s v="Pune"/>
    <x v="2"/>
    <s v="Bookshelf"/>
    <n v="6"/>
    <n v="28581.8"/>
    <n v="0.38"/>
    <n v="181310.38"/>
    <n v="46448.05"/>
    <n v="45.42"/>
    <s v="Cash on Delivery"/>
    <x v="0"/>
    <b v="0"/>
    <x v="1"/>
    <n v="9"/>
  </r>
  <r>
    <s v="ORD-03616"/>
    <x v="1176"/>
    <x v="1176"/>
    <s v="CUST58545"/>
    <s v="Pooja Das"/>
    <n v="33"/>
    <s v="Other"/>
    <x v="3"/>
    <s v="Kolkata"/>
    <x v="2"/>
    <s v="Desk"/>
    <n v="9"/>
    <n v="14817.04"/>
    <n v="0"/>
    <n v="202150.56"/>
    <n v="62640.08"/>
    <n v="83.25"/>
    <s v="UPI"/>
    <x v="3"/>
    <b v="0"/>
    <x v="1"/>
    <n v="2"/>
  </r>
  <r>
    <s v="ORD-02398"/>
    <x v="1585"/>
    <x v="1585"/>
    <s v="CUST32655"/>
    <s v="Shreya Gupta"/>
    <n v="23"/>
    <s v="Male"/>
    <x v="3"/>
    <s v="Kolkata"/>
    <x v="4"/>
    <s v="Dress"/>
    <n v="1"/>
    <n v="978.49"/>
    <n v="0.12"/>
    <n v="736.31"/>
    <n v="317.25"/>
    <n v="92.46"/>
    <s v="EMI"/>
    <x v="3"/>
    <b v="0"/>
    <x v="1"/>
    <n v="2"/>
  </r>
  <r>
    <s v="ORD-02094"/>
    <x v="1280"/>
    <x v="1280"/>
    <s v="CUST96963"/>
    <s v="Pooja Singh"/>
    <n v="28"/>
    <s v="Female"/>
    <x v="3"/>
    <s v="Kolkata"/>
    <x v="6"/>
    <s v="Football"/>
    <n v="8"/>
    <n v="3340.32"/>
    <n v="0.25"/>
    <n v="28705.040000000001"/>
    <n v="6012.3"/>
    <n v="87.45"/>
    <s v="Net Banking"/>
    <x v="0"/>
    <b v="0"/>
    <x v="4"/>
    <n v="5"/>
  </r>
  <r>
    <s v="ORD-02157"/>
    <x v="873"/>
    <x v="873"/>
    <s v="CUST68003"/>
    <s v="Rahul Iyer"/>
    <n v="31"/>
    <s v="Other"/>
    <x v="0"/>
    <s v="Indore"/>
    <x v="1"/>
    <s v="Sunscreen"/>
    <n v="10"/>
    <n v="1462.52"/>
    <n v="0.36"/>
    <n v="14294.75"/>
    <n v="8359.9599999999991"/>
    <n v="63.11"/>
    <s v="Credit Card"/>
    <x v="0"/>
    <b v="0"/>
    <x v="3"/>
    <n v="4"/>
  </r>
  <r>
    <s v="ORD-03690"/>
    <x v="89"/>
    <x v="89"/>
    <s v="CUST65586"/>
    <s v="Aditya Rao"/>
    <n v="42"/>
    <s v="Other"/>
    <x v="0"/>
    <s v="Bhopal"/>
    <x v="5"/>
    <s v="Camera"/>
    <n v="1"/>
    <n v="44361.97"/>
    <n v="0.28000000000000003"/>
    <n v="54397.95"/>
    <n v="6985.15"/>
    <n v="30.74"/>
    <s v="Credit Card"/>
    <x v="2"/>
    <b v="0"/>
    <x v="1"/>
    <n v="2"/>
  </r>
  <r>
    <s v="ORD-00030"/>
    <x v="484"/>
    <x v="484"/>
    <s v="CUST05185"/>
    <s v="Sanjay Rao"/>
    <n v="35"/>
    <s v="Other"/>
    <x v="3"/>
    <s v="Kolkata"/>
    <x v="3"/>
    <s v="Fiction Novel"/>
    <n v="2"/>
    <n v="1132.17"/>
    <n v="0.12"/>
    <n v="1451.01"/>
    <n v="458.01"/>
    <n v="90.46"/>
    <s v="UPI"/>
    <x v="1"/>
    <b v="0"/>
    <x v="3"/>
    <n v="6"/>
  </r>
  <r>
    <s v="ORD-02670"/>
    <x v="576"/>
    <x v="576"/>
    <s v="CUST97284"/>
    <s v="Priya Bose"/>
    <n v="39"/>
    <s v="Female"/>
    <x v="2"/>
    <s v="Ludhiana"/>
    <x v="6"/>
    <s v="Cricket Bat"/>
    <n v="3"/>
    <n v="12089.59"/>
    <n v="0.15"/>
    <n v="27702.22"/>
    <n v="5345.08"/>
    <n v="42.62"/>
    <s v="UPI"/>
    <x v="1"/>
    <b v="0"/>
    <x v="4"/>
    <n v="5"/>
  </r>
  <r>
    <s v="ORD-03492"/>
    <x v="677"/>
    <x v="677"/>
    <s v="CUST31030"/>
    <s v="Vikram Rao"/>
    <n v="40"/>
    <s v="Female"/>
    <x v="3"/>
    <s v="Guwahati"/>
    <x v="1"/>
    <s v="Hair Oil"/>
    <n v="1"/>
    <n v="2292.1799999999998"/>
    <n v="0.21"/>
    <n v="2545.3000000000002"/>
    <n v="1471.5"/>
    <n v="115.4"/>
    <s v="Cash on Delivery"/>
    <x v="1"/>
    <b v="0"/>
    <x v="1"/>
    <n v="7"/>
  </r>
  <r>
    <s v="ORD-04157"/>
    <x v="24"/>
    <x v="24"/>
    <s v="CUST48612"/>
    <s v="Nisha Bose"/>
    <n v="56"/>
    <s v="Male"/>
    <x v="4"/>
    <s v="Hyderabad"/>
    <x v="2"/>
    <s v="Bookshelf"/>
    <n v="6"/>
    <n v="10501.71"/>
    <n v="0.38"/>
    <n v="35801.199999999997"/>
    <n v="13056.43"/>
    <n v="75.180000000000007"/>
    <s v="Credit Card"/>
    <x v="4"/>
    <b v="0"/>
    <x v="3"/>
    <n v="6"/>
  </r>
  <r>
    <s v="ORD-01108"/>
    <x v="841"/>
    <x v="841"/>
    <s v="CUST42651"/>
    <s v="Amit Pillai"/>
    <n v="25"/>
    <s v="Female"/>
    <x v="1"/>
    <s v="Ahmedabad"/>
    <x v="2"/>
    <s v="Chair"/>
    <n v="1"/>
    <n v="5140.1899999999996"/>
    <n v="0.1"/>
    <n v="6859.73"/>
    <n v="1640.29"/>
    <n v="59.15"/>
    <s v="EMI"/>
    <x v="0"/>
    <b v="0"/>
    <x v="1"/>
    <n v="4"/>
  </r>
  <r>
    <s v="ORD-00491"/>
    <x v="57"/>
    <x v="57"/>
    <s v="CUST01461"/>
    <s v="Priya Kumar"/>
    <n v="28"/>
    <s v="Male"/>
    <x v="3"/>
    <s v="Patna"/>
    <x v="6"/>
    <s v="Dumbbells"/>
    <n v="10"/>
    <n v="9368.59"/>
    <n v="0.14000000000000001"/>
    <n v="92987.57"/>
    <n v="23130.27"/>
    <n v="86.8"/>
    <s v="Net Banking"/>
    <x v="0"/>
    <b v="0"/>
    <x v="1"/>
    <n v="2"/>
  </r>
  <r>
    <s v="ORD-00316"/>
    <x v="1586"/>
    <x v="1586"/>
    <s v="CUST46191"/>
    <s v="Nisha Shah"/>
    <n v="19"/>
    <s v="Other"/>
    <x v="0"/>
    <s v="Bhopal"/>
    <x v="3"/>
    <s v="Comic Book"/>
    <n v="5"/>
    <n v="231.93"/>
    <n v="0.18"/>
    <n v="194.19"/>
    <n v="47.57"/>
    <n v="54.75"/>
    <s v="EMI"/>
    <x v="4"/>
    <b v="0"/>
    <x v="1"/>
    <n v="6"/>
  </r>
  <r>
    <s v="ORD-01475"/>
    <x v="26"/>
    <x v="26"/>
    <s v="CUST99554"/>
    <s v="Pooja Singh"/>
    <n v="34"/>
    <s v="Male"/>
    <x v="4"/>
    <s v="Bangalore"/>
    <x v="0"/>
    <s v="Sugar"/>
    <n v="2"/>
    <n v="94.21"/>
    <n v="0.04"/>
    <n v="161.58000000000001"/>
    <n v="12.72"/>
    <n v="51.52"/>
    <s v="Debit Card"/>
    <x v="0"/>
    <b v="0"/>
    <x v="1"/>
    <n v="7"/>
  </r>
  <r>
    <s v="ORD-00382"/>
    <x v="374"/>
    <x v="374"/>
    <s v="CUST28553"/>
    <s v="Nikhil Rao"/>
    <n v="25"/>
    <s v="Male"/>
    <x v="2"/>
    <s v="Chandigarh"/>
    <x v="3"/>
    <s v="Textbook"/>
    <n v="9"/>
    <n v="1096.6400000000001"/>
    <n v="0.38"/>
    <n v="7522.38"/>
    <n v="2771.77"/>
    <n v="69.739999999999995"/>
    <s v="Debit Card"/>
    <x v="2"/>
    <b v="0"/>
    <x v="3"/>
    <n v="8"/>
  </r>
  <r>
    <s v="ORD-03812"/>
    <x v="1587"/>
    <x v="1587"/>
    <s v="CUST84668"/>
    <s v="Aditya Kumar"/>
    <n v="15"/>
    <s v="Other"/>
    <x v="1"/>
    <s v="Mumbai"/>
    <x v="1"/>
    <s v="Shampoo"/>
    <n v="5"/>
    <n v="162.51"/>
    <n v="0.02"/>
    <n v="1292.81"/>
    <n v="494.7"/>
    <n v="66.88"/>
    <s v="EMI"/>
    <x v="0"/>
    <b v="0"/>
    <x v="1"/>
    <n v="8"/>
  </r>
  <r>
    <s v="ORD-03596"/>
    <x v="1588"/>
    <x v="1588"/>
    <s v="CUST47686"/>
    <s v="Ritu Das"/>
    <n v="49"/>
    <s v="Male"/>
    <x v="3"/>
    <s v="Kolkata"/>
    <x v="5"/>
    <s v="Smartphone"/>
    <n v="9"/>
    <n v="64870.17"/>
    <n v="0.04"/>
    <n v="931056.13"/>
    <n v="126890.46"/>
    <n v="83.98"/>
    <s v="Cash on Delivery"/>
    <x v="2"/>
    <b v="0"/>
    <x v="2"/>
    <n v="8"/>
  </r>
  <r>
    <s v="ORD-00446"/>
    <x v="518"/>
    <x v="518"/>
    <s v="CUST01334"/>
    <s v="Nikhil Rao"/>
    <n v="22"/>
    <s v="Other"/>
    <x v="4"/>
    <s v="Chennai"/>
    <x v="2"/>
    <s v="Desk"/>
    <n v="3"/>
    <n v="7359.98"/>
    <n v="0.26"/>
    <n v="18237.3"/>
    <n v="4022.85"/>
    <n v="82.84"/>
    <s v="Credit Card"/>
    <x v="4"/>
    <b v="0"/>
    <x v="1"/>
    <n v="8"/>
  </r>
  <r>
    <s v="ORD-02828"/>
    <x v="972"/>
    <x v="972"/>
    <s v="CUST68781"/>
    <s v="Rahul Pillai"/>
    <n v="27"/>
    <s v="Male"/>
    <x v="4"/>
    <s v="Bangalore"/>
    <x v="1"/>
    <s v="Face Cream"/>
    <n v="7"/>
    <n v="1149.53"/>
    <n v="0.19"/>
    <n v="11894.14"/>
    <n v="7264.17"/>
    <n v="62.38"/>
    <s v="Cash on Delivery"/>
    <x v="2"/>
    <b v="0"/>
    <x v="2"/>
    <n v="2"/>
  </r>
  <r>
    <s v="ORD-04073"/>
    <x v="1163"/>
    <x v="1163"/>
    <s v="CUST43498"/>
    <s v="Aarav Iyer"/>
    <n v="34"/>
    <s v="Female"/>
    <x v="0"/>
    <s v="Nagpur"/>
    <x v="1"/>
    <s v="Hair Oil"/>
    <n v="1"/>
    <n v="240.18"/>
    <n v="0.12"/>
    <n v="217.16"/>
    <n v="104.3"/>
    <n v="65.14"/>
    <s v="Credit Card"/>
    <x v="0"/>
    <b v="0"/>
    <x v="1"/>
    <n v="7"/>
  </r>
  <r>
    <s v="ORD-00627"/>
    <x v="1589"/>
    <x v="1589"/>
    <s v="CUST31310"/>
    <s v="Rahul Mehta"/>
    <n v="44"/>
    <s v="Other"/>
    <x v="0"/>
    <s v="Indore"/>
    <x v="3"/>
    <s v="Fiction Novel"/>
    <n v="10"/>
    <n v="571.76"/>
    <n v="0.34"/>
    <n v="2924.85"/>
    <n v="1315.18"/>
    <n v="66.48"/>
    <s v="Credit Card"/>
    <x v="0"/>
    <b v="0"/>
    <x v="2"/>
    <n v="4"/>
  </r>
  <r>
    <s v="ORD-01113"/>
    <x v="565"/>
    <x v="565"/>
    <s v="CUST01886"/>
    <s v="Deepa Bose"/>
    <n v="38"/>
    <s v="Male"/>
    <x v="4"/>
    <s v="Chennai"/>
    <x v="6"/>
    <s v="Tennis Racket"/>
    <n v="6"/>
    <n v="13738.11"/>
    <n v="0.34"/>
    <n v="71562.45"/>
    <n v="13685.23"/>
    <n v="96.34"/>
    <s v="UPI"/>
    <x v="2"/>
    <b v="1"/>
    <x v="0"/>
    <n v="4"/>
  </r>
  <r>
    <s v="ORD-01485"/>
    <x v="1456"/>
    <x v="1456"/>
    <s v="CUST30209"/>
    <s v="Sanjay Iyer"/>
    <n v="48"/>
    <s v="Female"/>
    <x v="3"/>
    <s v="Patna"/>
    <x v="4"/>
    <s v="Dress"/>
    <n v="5"/>
    <n v="3082.63"/>
    <n v="0.21"/>
    <n v="11512.76"/>
    <n v="2611.62"/>
    <n v="79.569999999999993"/>
    <s v="EMI"/>
    <x v="2"/>
    <b v="0"/>
    <x v="2"/>
    <n v="7"/>
  </r>
  <r>
    <s v="ORD-02978"/>
    <x v="1369"/>
    <x v="1369"/>
    <s v="CUST72850"/>
    <s v="Nikhil Kapoor"/>
    <n v="28"/>
    <s v="Male"/>
    <x v="2"/>
    <s v="Delhi"/>
    <x v="6"/>
    <s v="Football"/>
    <n v="4"/>
    <n v="10069.780000000001"/>
    <n v="0.33"/>
    <n v="43500.13"/>
    <n v="6733.75"/>
    <n v="81.56"/>
    <s v="UPI"/>
    <x v="3"/>
    <b v="0"/>
    <x v="1"/>
    <n v="9"/>
  </r>
  <r>
    <s v="ORD-03196"/>
    <x v="714"/>
    <x v="714"/>
    <s v="CUST46008"/>
    <s v="Sunita Shah"/>
    <n v="27"/>
    <s v="Other"/>
    <x v="1"/>
    <s v="Surat"/>
    <x v="2"/>
    <s v="Sofa"/>
    <n v="6"/>
    <n v="28759.21"/>
    <n v="0.28000000000000003"/>
    <n v="142656.4"/>
    <n v="33781.29"/>
    <n v="54.72"/>
    <s v="Debit Card"/>
    <x v="4"/>
    <b v="0"/>
    <x v="3"/>
    <n v="5"/>
  </r>
  <r>
    <s v="ORD-03806"/>
    <x v="104"/>
    <x v="104"/>
    <s v="CUST73502"/>
    <s v="Meera Gupta"/>
    <n v="34"/>
    <s v="Male"/>
    <x v="1"/>
    <s v="Mumbai"/>
    <x v="4"/>
    <s v="Kurta"/>
    <n v="9"/>
    <n v="1781.89"/>
    <n v="0.21"/>
    <n v="20730.43"/>
    <n v="4832"/>
    <n v="54.08"/>
    <s v="EMI"/>
    <x v="3"/>
    <b v="1"/>
    <x v="0"/>
    <n v="5"/>
  </r>
  <r>
    <s v="ORD-00012"/>
    <x v="592"/>
    <x v="592"/>
    <s v="CUST61608"/>
    <s v="Karan Singh"/>
    <n v="21"/>
    <s v="Male"/>
    <x v="1"/>
    <s v="Ahmedabad"/>
    <x v="5"/>
    <s v="Laptop"/>
    <n v="9"/>
    <n v="29868.65"/>
    <n v="0.32"/>
    <n v="117822.65"/>
    <n v="12480.5"/>
    <n v="51.76"/>
    <s v="UPI"/>
    <x v="4"/>
    <b v="0"/>
    <x v="1"/>
    <n v="9"/>
  </r>
  <r>
    <s v="ORD-01453"/>
    <x v="1349"/>
    <x v="1349"/>
    <s v="CUST65544"/>
    <s v="Aditya Verma"/>
    <n v="11"/>
    <s v="Other"/>
    <x v="1"/>
    <s v="Ahmedabad"/>
    <x v="4"/>
    <s v="Dress"/>
    <n v="10"/>
    <n v="1794.59"/>
    <n v="0.28999999999999998"/>
    <n v="11310.93"/>
    <n v="5145.3599999999997"/>
    <n v="72.92"/>
    <s v="Credit Card"/>
    <x v="1"/>
    <b v="0"/>
    <x v="1"/>
    <n v="6"/>
  </r>
  <r>
    <s v="ORD-01974"/>
    <x v="131"/>
    <x v="131"/>
    <s v="CUST96684"/>
    <s v="Rahul Pillai"/>
    <n v="25"/>
    <s v="Female"/>
    <x v="4"/>
    <s v="Bangalore"/>
    <x v="3"/>
    <s v="Self-Help Book"/>
    <n v="1"/>
    <n v="429.32"/>
    <n v="0.37"/>
    <n v="331.72"/>
    <n v="193.26"/>
    <n v="89.48"/>
    <s v="Net Banking"/>
    <x v="0"/>
    <b v="0"/>
    <x v="3"/>
    <n v="9"/>
  </r>
  <r>
    <s v="ORD-01789"/>
    <x v="227"/>
    <x v="227"/>
    <s v="CUST43962"/>
    <s v="Rohan Mishra"/>
    <n v="49"/>
    <s v="Male"/>
    <x v="0"/>
    <s v="Indore"/>
    <x v="4"/>
    <s v="Kurta"/>
    <n v="1"/>
    <n v="2434.6"/>
    <n v="0.04"/>
    <n v="2589.54"/>
    <n v="635.65"/>
    <n v="29.56"/>
    <s v="EMI"/>
    <x v="0"/>
    <b v="0"/>
    <x v="1"/>
    <n v="1"/>
  </r>
  <r>
    <s v="ORD-02401"/>
    <x v="217"/>
    <x v="217"/>
    <s v="CUST64655"/>
    <s v="Karan Chatterjee"/>
    <n v="21"/>
    <s v="Male"/>
    <x v="2"/>
    <s v="Chandigarh"/>
    <x v="4"/>
    <s v="Kurta"/>
    <n v="9"/>
    <n v="3802.99"/>
    <n v="0.17"/>
    <n v="24949.89"/>
    <n v="9516.59"/>
    <n v="50.21"/>
    <s v="Credit Card"/>
    <x v="4"/>
    <b v="0"/>
    <x v="4"/>
    <n v="4"/>
  </r>
  <r>
    <s v="ORD-02701"/>
    <x v="704"/>
    <x v="704"/>
    <s v="CUST61925"/>
    <s v="Rohan Rao"/>
    <n v="37"/>
    <s v="Other"/>
    <x v="1"/>
    <s v="Pune"/>
    <x v="1"/>
    <s v="Hair Oil"/>
    <n v="3"/>
    <n v="2346.2600000000002"/>
    <n v="0.36"/>
    <n v="6011.01"/>
    <n v="2771.99"/>
    <n v="60.72"/>
    <s v="Credit Card"/>
    <x v="4"/>
    <b v="0"/>
    <x v="1"/>
    <n v="6"/>
  </r>
  <r>
    <s v="ORD-00774"/>
    <x v="1590"/>
    <x v="1590"/>
    <s v="CUST03427"/>
    <s v="Vikram Kapoor"/>
    <n v="32"/>
    <s v="Other"/>
    <x v="1"/>
    <s v="Ahmedabad"/>
    <x v="6"/>
    <s v="Football"/>
    <n v="9"/>
    <n v="12132.54"/>
    <n v="0.37"/>
    <n v="48966.18"/>
    <n v="9632.31"/>
    <n v="31.17"/>
    <s v="Credit Card"/>
    <x v="2"/>
    <b v="0"/>
    <x v="4"/>
    <n v="5"/>
  </r>
  <r>
    <s v="ORD-00791"/>
    <x v="1172"/>
    <x v="1172"/>
    <s v="CUST50607"/>
    <s v="Shreya Pillai"/>
    <n v="33"/>
    <s v="Male"/>
    <x v="0"/>
    <s v="Indore"/>
    <x v="2"/>
    <s v="Bed Frame"/>
    <n v="10"/>
    <n v="20725.97"/>
    <n v="0.06"/>
    <n v="123725.25"/>
    <n v="32970.370000000003"/>
    <n v="54.51"/>
    <s v="Debit Card"/>
    <x v="1"/>
    <b v="0"/>
    <x v="3"/>
    <n v="5"/>
  </r>
  <r>
    <s v="ORD-02916"/>
    <x v="1495"/>
    <x v="1495"/>
    <s v="CUST68649"/>
    <s v="Rahul Patel"/>
    <n v="20"/>
    <s v="Other"/>
    <x v="4"/>
    <s v="Chennai"/>
    <x v="0"/>
    <s v="Dal (1kg)"/>
    <n v="8"/>
    <n v="246.15"/>
    <n v="0.21"/>
    <n v="2555.54"/>
    <n v="179.49"/>
    <n v="95.73"/>
    <s v="Net Banking"/>
    <x v="4"/>
    <b v="0"/>
    <x v="1"/>
    <n v="2"/>
  </r>
  <r>
    <s v="ORD-03350"/>
    <x v="461"/>
    <x v="461"/>
    <s v="CUST53832"/>
    <s v="Rahul Mehta"/>
    <n v="14"/>
    <s v="Female"/>
    <x v="2"/>
    <s v="Ludhiana"/>
    <x v="4"/>
    <s v="Jeans"/>
    <n v="5"/>
    <n v="645.04"/>
    <n v="0.13"/>
    <n v="2174.4499999999998"/>
    <n v="643.44000000000005"/>
    <n v="51.85"/>
    <s v="Credit Card"/>
    <x v="1"/>
    <b v="0"/>
    <x v="1"/>
    <n v="8"/>
  </r>
  <r>
    <s v="ORD-02122"/>
    <x v="710"/>
    <x v="710"/>
    <s v="CUST58669"/>
    <s v="Ananya Rao"/>
    <n v="54"/>
    <s v="Other"/>
    <x v="3"/>
    <s v="Bhubaneswar"/>
    <x v="1"/>
    <s v="Perfume"/>
    <n v="9"/>
    <n v="1933.74"/>
    <n v="0.4"/>
    <n v="14508.76"/>
    <n v="4077.16"/>
    <n v="88.26"/>
    <s v="Debit Card"/>
    <x v="2"/>
    <b v="0"/>
    <x v="1"/>
    <n v="6"/>
  </r>
  <r>
    <s v="ORD-01554"/>
    <x v="619"/>
    <x v="619"/>
    <s v="CUST42573"/>
    <s v="Amit Verma"/>
    <n v="32"/>
    <s v="Male"/>
    <x v="2"/>
    <s v="Ludhiana"/>
    <x v="0"/>
    <s v="Flour"/>
    <n v="3"/>
    <n v="60.31"/>
    <n v="0.18"/>
    <n v="108.58"/>
    <n v="6.36"/>
    <n v="35.049999999999997"/>
    <s v="Credit Card"/>
    <x v="3"/>
    <b v="0"/>
    <x v="1"/>
    <n v="2"/>
  </r>
  <r>
    <s v="ORD-03135"/>
    <x v="1339"/>
    <x v="1339"/>
    <s v="CUST31542"/>
    <s v="Meera Kumar"/>
    <n v="43"/>
    <s v="Other"/>
    <x v="2"/>
    <s v="Ludhiana"/>
    <x v="3"/>
    <s v="Textbook"/>
    <n v="10"/>
    <n v="344.89"/>
    <n v="0.21"/>
    <n v="2919.85"/>
    <n v="480.69"/>
    <n v="36.51"/>
    <s v="Cash on Delivery"/>
    <x v="2"/>
    <b v="0"/>
    <x v="1"/>
    <n v="1"/>
  </r>
  <r>
    <s v="ORD-02879"/>
    <x v="74"/>
    <x v="74"/>
    <s v="CUST55177"/>
    <s v="Ananya Reddy"/>
    <n v="27"/>
    <s v="Other"/>
    <x v="3"/>
    <s v="Kolkata"/>
    <x v="0"/>
    <s v="Sugar"/>
    <n v="6"/>
    <n v="386.8"/>
    <n v="0.21"/>
    <n v="3078.58"/>
    <n v="318.39"/>
    <n v="79.260000000000005"/>
    <s v="EMI"/>
    <x v="4"/>
    <b v="0"/>
    <x v="4"/>
    <n v="5"/>
  </r>
  <r>
    <s v="ORD-01820"/>
    <x v="1178"/>
    <x v="1178"/>
    <s v="CUST54684"/>
    <s v="Rohan Shah"/>
    <n v="25"/>
    <s v="Female"/>
    <x v="3"/>
    <s v="Guwahati"/>
    <x v="2"/>
    <s v="Chair"/>
    <n v="9"/>
    <n v="28064.62"/>
    <n v="0.13"/>
    <n v="212852.52"/>
    <n v="53977.66"/>
    <n v="65.040000000000006"/>
    <s v="Cash on Delivery"/>
    <x v="0"/>
    <b v="0"/>
    <x v="1"/>
    <n v="5"/>
  </r>
  <r>
    <s v="ORD-02811"/>
    <x v="372"/>
    <x v="372"/>
    <s v="CUST06279"/>
    <s v="Amit Joshi"/>
    <n v="35"/>
    <s v="Female"/>
    <x v="2"/>
    <s v="Ludhiana"/>
    <x v="1"/>
    <s v="Lipstick"/>
    <n v="10"/>
    <n v="239.33"/>
    <n v="0.23"/>
    <n v="2481.9299999999998"/>
    <n v="780.04"/>
    <n v="61.7"/>
    <s v="Net Banking"/>
    <x v="2"/>
    <b v="0"/>
    <x v="1"/>
    <n v="10"/>
  </r>
  <r>
    <s v="ORD-00592"/>
    <x v="151"/>
    <x v="151"/>
    <s v="CUST72170"/>
    <s v="Arjun Iyer"/>
    <n v="34"/>
    <s v="Male"/>
    <x v="2"/>
    <s v="Amritsar"/>
    <x v="0"/>
    <s v="Sugar"/>
    <n v="9"/>
    <n v="302.37"/>
    <n v="0.03"/>
    <n v="3176.16"/>
    <n v="269.45"/>
    <n v="33.590000000000003"/>
    <s v="EMI"/>
    <x v="2"/>
    <b v="0"/>
    <x v="4"/>
    <n v="6"/>
  </r>
  <r>
    <s v="ORD-01045"/>
    <x v="905"/>
    <x v="905"/>
    <s v="CUST27554"/>
    <s v="Nikhil Reddy"/>
    <n v="27"/>
    <s v="Female"/>
    <x v="3"/>
    <s v="Bhubaneswar"/>
    <x v="3"/>
    <s v="Textbook"/>
    <n v="8"/>
    <n v="1199.3399999999999"/>
    <n v="0.14000000000000001"/>
    <n v="11154.85"/>
    <n v="6783.73"/>
    <n v="76.89"/>
    <s v="Debit Card"/>
    <x v="3"/>
    <b v="1"/>
    <x v="0"/>
    <n v="7"/>
  </r>
  <r>
    <s v="ORD-04041"/>
    <x v="1464"/>
    <x v="1464"/>
    <s v="CUST75620"/>
    <s v="Aarav Pillai"/>
    <n v="39"/>
    <s v="Female"/>
    <x v="3"/>
    <s v="Kolkata"/>
    <x v="0"/>
    <s v="Dal (1kg)"/>
    <n v="6"/>
    <n v="287.91000000000003"/>
    <n v="0.05"/>
    <n v="2083.21"/>
    <n v="185.74"/>
    <n v="79.81"/>
    <s v="Net Banking"/>
    <x v="0"/>
    <b v="1"/>
    <x v="0"/>
    <n v="3"/>
  </r>
  <r>
    <s v="ORD-00245"/>
    <x v="1579"/>
    <x v="1579"/>
    <s v="CUST17070"/>
    <s v="Aditya Kapoor"/>
    <n v="30"/>
    <s v="Female"/>
    <x v="0"/>
    <s v="Raipur"/>
    <x v="0"/>
    <s v="Flour"/>
    <n v="4"/>
    <n v="368.44"/>
    <n v="0.05"/>
    <n v="1419.14"/>
    <n v="133.75"/>
    <n v="54.97"/>
    <s v="Credit Card"/>
    <x v="3"/>
    <b v="0"/>
    <x v="1"/>
    <n v="2"/>
  </r>
  <r>
    <s v="ORD-01388"/>
    <x v="946"/>
    <x v="946"/>
    <s v="CUST01168"/>
    <s v="Aarav Verma"/>
    <n v="30"/>
    <s v="Male"/>
    <x v="1"/>
    <s v="Surat"/>
    <x v="2"/>
    <s v="Desk"/>
    <n v="7"/>
    <n v="9634.5300000000007"/>
    <n v="0.06"/>
    <n v="66658.37"/>
    <n v="21356.74"/>
    <n v="42.02"/>
    <s v="Debit Card"/>
    <x v="0"/>
    <b v="0"/>
    <x v="4"/>
    <n v="3"/>
  </r>
  <r>
    <s v="ORD-02023"/>
    <x v="440"/>
    <x v="440"/>
    <s v="CUST72866"/>
    <s v="Vikram Mishra"/>
    <n v="41"/>
    <s v="Male"/>
    <x v="2"/>
    <s v="Amritsar"/>
    <x v="6"/>
    <s v="Tennis Racket"/>
    <n v="4"/>
    <n v="11418.62"/>
    <n v="0.21"/>
    <n v="52022.28"/>
    <n v="11855.66"/>
    <n v="52.64"/>
    <s v="Cash on Delivery"/>
    <x v="3"/>
    <b v="0"/>
    <x v="1"/>
    <n v="1"/>
  </r>
  <r>
    <s v="ORD-00060"/>
    <x v="73"/>
    <x v="73"/>
    <s v="CUST06516"/>
    <s v="Pooja Das"/>
    <n v="41"/>
    <s v="Female"/>
    <x v="4"/>
    <s v="Bangalore"/>
    <x v="6"/>
    <s v="Cricket Bat"/>
    <n v="3"/>
    <n v="14511.24"/>
    <n v="0.21"/>
    <n v="36886.86"/>
    <n v="8351.7800000000007"/>
    <n v="63.58"/>
    <s v="EMI"/>
    <x v="0"/>
    <b v="0"/>
    <x v="1"/>
    <n v="3"/>
  </r>
  <r>
    <s v="ORD-00177"/>
    <x v="985"/>
    <x v="985"/>
    <s v="CUST74936"/>
    <s v="Aditya Sharma"/>
    <n v="49"/>
    <s v="Female"/>
    <x v="1"/>
    <s v="Mumbai"/>
    <x v="4"/>
    <s v="Jacket"/>
    <n v="9"/>
    <n v="2298.37"/>
    <n v="0.21"/>
    <n v="20461.060000000001"/>
    <n v="7107.09"/>
    <n v="64.34"/>
    <s v="Debit Card"/>
    <x v="0"/>
    <b v="0"/>
    <x v="1"/>
    <n v="2"/>
  </r>
  <r>
    <s v="ORD-00450"/>
    <x v="1416"/>
    <x v="1416"/>
    <s v="CUST20483"/>
    <s v="Kavya Iyer"/>
    <n v="29"/>
    <s v="Other"/>
    <x v="4"/>
    <s v="Chennai"/>
    <x v="2"/>
    <s v="Wardrobe"/>
    <n v="10"/>
    <n v="9945.43"/>
    <n v="0.24"/>
    <n v="94093.98"/>
    <n v="30233.13"/>
    <n v="76.34"/>
    <s v="Credit Card"/>
    <x v="0"/>
    <b v="0"/>
    <x v="1"/>
    <n v="10"/>
  </r>
  <r>
    <s v="ORD-04082"/>
    <x v="1410"/>
    <x v="1410"/>
    <s v="CUST72244"/>
    <s v="Aditya Patel"/>
    <n v="19"/>
    <s v="Female"/>
    <x v="3"/>
    <s v="Guwahati"/>
    <x v="0"/>
    <s v="Cooking Oil"/>
    <n v="10"/>
    <n v="400.5"/>
    <n v="0.32"/>
    <n v="2696.95"/>
    <n v="174.53"/>
    <n v="55.61"/>
    <s v="EMI"/>
    <x v="2"/>
    <b v="0"/>
    <x v="1"/>
    <n v="9"/>
  </r>
  <r>
    <s v="ORD-00056"/>
    <x v="198"/>
    <x v="198"/>
    <s v="CUST85136"/>
    <s v="Sanjay Sharma"/>
    <n v="45"/>
    <s v="Female"/>
    <x v="1"/>
    <s v="Pune"/>
    <x v="6"/>
    <s v="Football"/>
    <n v="6"/>
    <n v="1871.46"/>
    <n v="0.22"/>
    <n v="6895.34"/>
    <n v="1811.03"/>
    <n v="62.59"/>
    <s v="EMI"/>
    <x v="0"/>
    <b v="1"/>
    <x v="0"/>
    <n v="9"/>
  </r>
  <r>
    <s v="ORD-03458"/>
    <x v="153"/>
    <x v="153"/>
    <s v="CUST09746"/>
    <s v="Karan Pillai"/>
    <n v="25"/>
    <s v="Male"/>
    <x v="4"/>
    <s v="Chennai"/>
    <x v="4"/>
    <s v="Kurta"/>
    <n v="7"/>
    <n v="3147.97"/>
    <n v="0.13"/>
    <n v="22125.94"/>
    <n v="10153.44"/>
    <n v="38.76"/>
    <s v="EMI"/>
    <x v="3"/>
    <b v="0"/>
    <x v="3"/>
    <n v="2"/>
  </r>
  <r>
    <s v="ORD-01769"/>
    <x v="1269"/>
    <x v="1269"/>
    <s v="CUST64190"/>
    <s v="Karan Reddy"/>
    <n v="39"/>
    <s v="Male"/>
    <x v="3"/>
    <s v="Guwahati"/>
    <x v="1"/>
    <s v="Face Cream"/>
    <n v="7"/>
    <n v="422.45"/>
    <n v="0.02"/>
    <n v="2726.49"/>
    <n v="759.36"/>
    <n v="39.409999999999997"/>
    <s v="Credit Card"/>
    <x v="0"/>
    <b v="0"/>
    <x v="1"/>
    <n v="5"/>
  </r>
  <r>
    <s v="ORD-01738"/>
    <x v="1591"/>
    <x v="1591"/>
    <s v="CUST50460"/>
    <s v="Amit Mehta"/>
    <n v="40"/>
    <s v="Female"/>
    <x v="3"/>
    <s v="Bhubaneswar"/>
    <x v="3"/>
    <s v="Biography"/>
    <n v="5"/>
    <n v="1456.57"/>
    <n v="0.27"/>
    <n v="4835.66"/>
    <n v="2312.44"/>
    <n v="71.900000000000006"/>
    <s v="Cash on Delivery"/>
    <x v="4"/>
    <b v="0"/>
    <x v="3"/>
    <n v="4"/>
  </r>
  <r>
    <s v="ORD-03241"/>
    <x v="824"/>
    <x v="824"/>
    <s v="CUST36164"/>
    <s v="Nikhil Rao"/>
    <n v="23"/>
    <s v="Other"/>
    <x v="2"/>
    <s v="Delhi"/>
    <x v="2"/>
    <s v="Desk"/>
    <n v="10"/>
    <n v="28349.81"/>
    <n v="0.14000000000000001"/>
    <n v="211857.48"/>
    <n v="59966.21"/>
    <n v="53.88"/>
    <s v="Debit Card"/>
    <x v="3"/>
    <b v="0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CD4EB-0B35-44CE-A136-A5EF721CDE5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1:E47" firstHeaderRow="0" firstDataRow="1" firstDataCol="1"/>
  <pivotFields count="26">
    <pivotField dataField="1" showAll="0"/>
    <pivotField numFmtId="164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numFmtId="165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showAll="0"/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/>
    <pivotField showAll="0">
      <items count="8">
        <item x="1"/>
        <item x="3"/>
        <item x="4"/>
        <item x="5"/>
        <item x="2"/>
        <item x="0"/>
        <item x="6"/>
        <item t="default"/>
      </items>
    </pivotField>
    <pivotField showAll="0"/>
    <pivotField showAll="0"/>
    <pivotField numFmtId="167" showAll="0"/>
    <pivotField numFmtId="10" showAll="0"/>
    <pivotField dataField="1" numFmtId="167" showAll="0"/>
    <pivotField dataField="1" numFmtId="167" showAll="0"/>
    <pivotField numFmtId="167"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_amount" fld="14" baseField="0" baseItem="0" numFmtId="167"/>
    <dataField name="Sum of profit" fld="15" baseField="0" baseItem="0" numFmtId="167"/>
  </dataFields>
  <chartFormats count="5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E55BD-8D87-4B9C-BE36-7BD6F1D1E5C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5:D21" firstHeaderRow="0" firstDataRow="1" firstDataCol="1"/>
  <pivotFields count="26">
    <pivotField showAll="0"/>
    <pivotField numFmtId="164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numFmtId="165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>
      <items count="8">
        <item x="1"/>
        <item x="3"/>
        <item x="4"/>
        <item x="5"/>
        <item x="2"/>
        <item x="0"/>
        <item x="6"/>
        <item t="default"/>
      </items>
    </pivotField>
    <pivotField showAll="0"/>
    <pivotField showAll="0"/>
    <pivotField numFmtId="167" showAll="0"/>
    <pivotField numFmtId="10" showAll="0"/>
    <pivotField dataField="1" numFmtId="167" showAll="0"/>
    <pivotField dataField="1" numFmtId="167" showAll="0"/>
    <pivotField numFmtId="167" showAll="0"/>
    <pivotField showAll="0"/>
    <pivotField showAll="0"/>
    <pivotField showAll="0"/>
    <pivotField showAll="0"/>
    <pivotField showAl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4" baseField="0" baseItem="0" numFmtId="167"/>
    <dataField name="Sum of profit" fld="15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65034-FB67-497B-9945-5473948E5E7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11" firstHeaderRow="1" firstDataRow="1" firstDataCol="1"/>
  <pivotFields count="26">
    <pivotField showAll="0"/>
    <pivotField numFmtId="164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numFmtId="165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5"/>
        <item x="2"/>
        <item x="0"/>
        <item x="6"/>
        <item t="default"/>
      </items>
    </pivotField>
    <pivotField showAll="0"/>
    <pivotField showAll="0"/>
    <pivotField numFmtId="167" showAll="0"/>
    <pivotField numFmtId="10" showAll="0"/>
    <pivotField dataField="1" numFmtId="167"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14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8F1EB-72E5-4C84-8FE5-2E6FB7208E2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8:C34" firstHeaderRow="1" firstDataRow="1" firstDataCol="1"/>
  <pivotFields count="26">
    <pivotField dataField="1" showAll="0"/>
    <pivotField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numFmtId="166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8E4E9-ABE4-4847-A5F3-FC9BB281BCB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58:D71" firstHeaderRow="0" firstDataRow="1" firstDataCol="1"/>
  <pivotFields count="26">
    <pivotField showAll="0"/>
    <pivotField numFmtId="164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numFmtId="165" showAll="0">
      <items count="1593">
        <item x="597"/>
        <item x="1098"/>
        <item x="72"/>
        <item x="592"/>
        <item x="566"/>
        <item x="818"/>
        <item x="1091"/>
        <item x="416"/>
        <item x="803"/>
        <item x="39"/>
        <item x="484"/>
        <item x="272"/>
        <item x="868"/>
        <item x="237"/>
        <item x="1074"/>
        <item x="940"/>
        <item x="904"/>
        <item x="1087"/>
        <item x="19"/>
        <item x="505"/>
        <item x="198"/>
        <item x="73"/>
        <item x="516"/>
        <item x="1465"/>
        <item x="920"/>
        <item x="727"/>
        <item x="1003"/>
        <item x="139"/>
        <item x="587"/>
        <item x="1111"/>
        <item x="111"/>
        <item x="620"/>
        <item x="685"/>
        <item x="467"/>
        <item x="550"/>
        <item x="63"/>
        <item x="9"/>
        <item x="740"/>
        <item x="895"/>
        <item x="56"/>
        <item x="913"/>
        <item x="1047"/>
        <item x="1275"/>
        <item x="495"/>
        <item x="303"/>
        <item x="1508"/>
        <item x="773"/>
        <item x="442"/>
        <item x="1337"/>
        <item x="358"/>
        <item x="1342"/>
        <item x="755"/>
        <item x="1141"/>
        <item x="1517"/>
        <item x="526"/>
        <item x="971"/>
        <item x="785"/>
        <item x="92"/>
        <item x="1515"/>
        <item x="532"/>
        <item x="455"/>
        <item x="1440"/>
        <item x="252"/>
        <item x="519"/>
        <item x="985"/>
        <item x="1022"/>
        <item x="1202"/>
        <item x="1312"/>
        <item x="209"/>
        <item x="1265"/>
        <item x="828"/>
        <item x="1457"/>
        <item x="1015"/>
        <item x="1142"/>
        <item x="327"/>
        <item x="1279"/>
        <item x="220"/>
        <item x="1503"/>
        <item x="544"/>
        <item x="1168"/>
        <item x="1432"/>
        <item x="772"/>
        <item x="441"/>
        <item x="1034"/>
        <item x="1427"/>
        <item x="1010"/>
        <item x="1254"/>
        <item x="396"/>
        <item x="966"/>
        <item x="1434"/>
        <item x="725"/>
        <item x="1419"/>
        <item x="1392"/>
        <item x="1579"/>
        <item x="726"/>
        <item x="351"/>
        <item x="1509"/>
        <item x="996"/>
        <item x="967"/>
        <item x="657"/>
        <item x="228"/>
        <item x="689"/>
        <item x="120"/>
        <item x="384"/>
        <item x="1051"/>
        <item x="169"/>
        <item x="1110"/>
        <item x="182"/>
        <item x="361"/>
        <item x="1447"/>
        <item x="4"/>
        <item x="188"/>
        <item x="1085"/>
        <item x="938"/>
        <item x="1241"/>
        <item x="588"/>
        <item x="1131"/>
        <item x="1295"/>
        <item x="1126"/>
        <item x="654"/>
        <item x="866"/>
        <item x="1586"/>
        <item x="490"/>
        <item x="492"/>
        <item x="267"/>
        <item x="1036"/>
        <item x="678"/>
        <item x="1182"/>
        <item x="955"/>
        <item x="291"/>
        <item x="203"/>
        <item x="316"/>
        <item x="1528"/>
        <item x="486"/>
        <item x="794"/>
        <item x="293"/>
        <item x="54"/>
        <item x="863"/>
        <item x="10"/>
        <item x="1376"/>
        <item x="1343"/>
        <item x="850"/>
        <item x="557"/>
        <item x="660"/>
        <item x="430"/>
        <item x="1406"/>
        <item x="374"/>
        <item x="629"/>
        <item x="1004"/>
        <item x="1220"/>
        <item x="674"/>
        <item x="1200"/>
        <item x="1422"/>
        <item x="1132"/>
        <item x="79"/>
        <item x="194"/>
        <item x="875"/>
        <item x="118"/>
        <item x="990"/>
        <item x="861"/>
        <item x="29"/>
        <item x="1046"/>
        <item x="1582"/>
        <item x="658"/>
        <item x="135"/>
        <item x="501"/>
        <item x="514"/>
        <item x="239"/>
        <item x="315"/>
        <item x="862"/>
        <item x="518"/>
        <item x="1416"/>
        <item x="483"/>
        <item x="1109"/>
        <item x="214"/>
        <item x="1362"/>
        <item x="768"/>
        <item x="8"/>
        <item x="1449"/>
        <item x="1273"/>
        <item x="1542"/>
        <item x="1125"/>
        <item x="1160"/>
        <item x="626"/>
        <item x="770"/>
        <item x="309"/>
        <item x="52"/>
        <item x="57"/>
        <item x="436"/>
        <item x="1525"/>
        <item x="811"/>
        <item x="766"/>
        <item x="1114"/>
        <item x="570"/>
        <item x="1324"/>
        <item x="531"/>
        <item x="719"/>
        <item x="1529"/>
        <item x="1102"/>
        <item x="764"/>
        <item x="1152"/>
        <item x="399"/>
        <item x="703"/>
        <item x="119"/>
        <item x="190"/>
        <item x="995"/>
        <item x="1186"/>
        <item x="814"/>
        <item x="133"/>
        <item x="168"/>
        <item x="743"/>
        <item x="728"/>
        <item x="1568"/>
        <item x="546"/>
        <item x="1205"/>
        <item x="1471"/>
        <item x="301"/>
        <item x="1192"/>
        <item x="356"/>
        <item x="397"/>
        <item x="473"/>
        <item x="628"/>
        <item x="335"/>
        <item x="1048"/>
        <item x="1436"/>
        <item x="472"/>
        <item x="889"/>
        <item x="1057"/>
        <item x="1485"/>
        <item x="151"/>
        <item x="81"/>
        <item x="341"/>
        <item x="202"/>
        <item x="807"/>
        <item x="1218"/>
        <item x="1389"/>
        <item x="1327"/>
        <item x="957"/>
        <item x="1428"/>
        <item x="444"/>
        <item x="477"/>
        <item x="1559"/>
        <item x="542"/>
        <item x="1135"/>
        <item x="1589"/>
        <item x="313"/>
        <item x="1352"/>
        <item x="84"/>
        <item x="707"/>
        <item x="769"/>
        <item x="347"/>
        <item x="831"/>
        <item x="1383"/>
        <item x="1277"/>
        <item x="159"/>
        <item x="652"/>
        <item x="406"/>
        <item x="1368"/>
        <item x="1264"/>
        <item x="434"/>
        <item x="463"/>
        <item x="1210"/>
        <item x="125"/>
        <item x="784"/>
        <item x="569"/>
        <item x="1390"/>
        <item x="1053"/>
        <item x="522"/>
        <item x="687"/>
        <item x="1072"/>
        <item x="186"/>
        <item x="1281"/>
        <item x="1524"/>
        <item x="1365"/>
        <item x="314"/>
        <item x="998"/>
        <item x="46"/>
        <item x="164"/>
        <item x="1549"/>
        <item x="255"/>
        <item x="1309"/>
        <item x="616"/>
        <item x="1209"/>
        <item x="1143"/>
        <item x="537"/>
        <item x="296"/>
        <item x="88"/>
        <item x="431"/>
        <item x="465"/>
        <item x="489"/>
        <item x="1439"/>
        <item x="1516"/>
        <item x="197"/>
        <item x="226"/>
        <item x="665"/>
        <item x="42"/>
        <item x="110"/>
        <item x="1078"/>
        <item x="711"/>
        <item x="275"/>
        <item x="799"/>
        <item x="584"/>
        <item x="1590"/>
        <item x="613"/>
        <item x="448"/>
        <item x="424"/>
        <item x="1301"/>
        <item x="1452"/>
        <item x="1029"/>
        <item x="635"/>
        <item x="1172"/>
        <item x="112"/>
        <item x="271"/>
        <item x="415"/>
        <item x="991"/>
        <item x="1041"/>
        <item x="560"/>
        <item x="918"/>
        <item x="1404"/>
        <item x="1223"/>
        <item x="1055"/>
        <item x="1454"/>
        <item x="622"/>
        <item x="1237"/>
        <item x="1079"/>
        <item x="1179"/>
        <item x="1271"/>
        <item x="1101"/>
        <item x="969"/>
        <item x="1326"/>
        <item x="294"/>
        <item x="1068"/>
        <item x="538"/>
        <item x="64"/>
        <item x="761"/>
        <item x="1225"/>
        <item x="853"/>
        <item x="93"/>
        <item x="651"/>
        <item x="1412"/>
        <item x="1027"/>
        <item x="624"/>
        <item x="954"/>
        <item x="886"/>
        <item x="60"/>
        <item x="1243"/>
        <item x="148"/>
        <item x="602"/>
        <item x="675"/>
        <item x="596"/>
        <item x="706"/>
        <item x="1381"/>
        <item x="1420"/>
        <item x="645"/>
        <item x="1550"/>
        <item x="1094"/>
        <item x="338"/>
        <item x="109"/>
        <item x="1299"/>
        <item x="240"/>
        <item x="163"/>
        <item x="1001"/>
        <item x="1120"/>
        <item x="1397"/>
        <item x="32"/>
        <item x="1058"/>
        <item x="462"/>
        <item x="99"/>
        <item x="930"/>
        <item x="1016"/>
        <item x="122"/>
        <item x="1399"/>
        <item x="717"/>
        <item x="1133"/>
        <item x="524"/>
        <item x="644"/>
        <item x="963"/>
        <item x="21"/>
        <item x="1514"/>
        <item x="1421"/>
        <item x="256"/>
        <item x="1430"/>
        <item x="1245"/>
        <item x="308"/>
        <item x="426"/>
        <item x="922"/>
        <item x="1455"/>
        <item x="1180"/>
        <item x="238"/>
        <item x="808"/>
        <item x="819"/>
        <item x="437"/>
        <item x="330"/>
        <item x="96"/>
        <item x="1484"/>
        <item x="1330"/>
        <item x="1541"/>
        <item x="129"/>
        <item x="1238"/>
        <item x="155"/>
        <item x="1433"/>
        <item x="1505"/>
        <item x="733"/>
        <item x="459"/>
        <item x="453"/>
        <item x="482"/>
        <item x="905"/>
        <item x="48"/>
        <item x="1017"/>
        <item x="76"/>
        <item x="621"/>
        <item x="376"/>
        <item x="1021"/>
        <item x="405"/>
        <item x="1543"/>
        <item x="664"/>
        <item x="1429"/>
        <item x="847"/>
        <item x="381"/>
        <item x="673"/>
        <item x="1480"/>
        <item x="98"/>
        <item x="1106"/>
        <item x="103"/>
        <item x="1012"/>
        <item x="1084"/>
        <item x="1442"/>
        <item x="1355"/>
        <item x="841"/>
        <item x="1474"/>
        <item x="259"/>
        <item x="565"/>
        <item x="1424"/>
        <item x="618"/>
        <item x="838"/>
        <item x="1574"/>
        <item x="939"/>
        <item x="767"/>
        <item x="812"/>
        <item x="1437"/>
        <item x="792"/>
        <item x="318"/>
        <item x="480"/>
        <item x="548"/>
        <item x="1028"/>
        <item x="1391"/>
        <item x="982"/>
        <item x="844"/>
        <item x="1119"/>
        <item x="1075"/>
        <item x="1445"/>
        <item x="708"/>
        <item x="367"/>
        <item x="398"/>
        <item x="1215"/>
        <item x="1060"/>
        <item x="902"/>
        <item x="1284"/>
        <item x="663"/>
        <item x="1375"/>
        <item x="1533"/>
        <item x="183"/>
        <item x="1334"/>
        <item x="249"/>
        <item x="1011"/>
        <item x="250"/>
        <item x="1175"/>
        <item x="305"/>
        <item x="800"/>
        <item x="864"/>
        <item x="149"/>
        <item x="1240"/>
        <item x="251"/>
        <item x="1184"/>
        <item x="752"/>
        <item x="877"/>
        <item x="281"/>
        <item x="211"/>
        <item x="958"/>
        <item x="1576"/>
        <item x="236"/>
        <item x="742"/>
        <item x="246"/>
        <item x="564"/>
        <item x="760"/>
        <item x="500"/>
        <item x="712"/>
        <item x="1475"/>
        <item x="1092"/>
        <item x="1483"/>
        <item x="888"/>
        <item x="933"/>
        <item x="1189"/>
        <item x="1577"/>
        <item x="1306"/>
        <item x="666"/>
        <item x="28"/>
        <item x="1214"/>
        <item x="1497"/>
        <item x="70"/>
        <item x="1268"/>
        <item x="1377"/>
        <item x="343"/>
        <item x="1566"/>
        <item x="903"/>
        <item x="205"/>
        <item x="1118"/>
        <item x="1226"/>
        <item x="745"/>
        <item x="323"/>
        <item x="124"/>
        <item x="270"/>
        <item x="1260"/>
        <item x="1379"/>
        <item x="279"/>
        <item x="630"/>
        <item x="907"/>
        <item x="959"/>
        <item x="876"/>
        <item x="1522"/>
        <item x="61"/>
        <item x="615"/>
        <item x="1093"/>
        <item x="2"/>
        <item x="1526"/>
        <item x="1315"/>
        <item x="86"/>
        <item x="797"/>
        <item x="715"/>
        <item x="1145"/>
        <item x="370"/>
        <item x="1013"/>
        <item x="1304"/>
        <item x="1116"/>
        <item x="947"/>
        <item x="900"/>
        <item x="1154"/>
        <item x="980"/>
        <item x="741"/>
        <item x="446"/>
        <item x="632"/>
        <item x="580"/>
        <item x="90"/>
        <item x="946"/>
        <item x="257"/>
        <item x="977"/>
        <item x="1388"/>
        <item x="1488"/>
        <item x="984"/>
        <item x="353"/>
        <item x="527"/>
        <item x="1570"/>
        <item x="6"/>
        <item x="349"/>
        <item x="512"/>
        <item x="199"/>
        <item x="420"/>
        <item x="1259"/>
        <item x="476"/>
        <item x="730"/>
        <item x="1201"/>
        <item x="600"/>
        <item x="438"/>
        <item x="1286"/>
        <item x="735"/>
        <item x="582"/>
        <item x="1195"/>
        <item x="1050"/>
        <item x="1398"/>
        <item x="1336"/>
        <item x="1283"/>
        <item x="1285"/>
        <item x="964"/>
        <item x="1349"/>
        <item x="908"/>
        <item x="160"/>
        <item x="324"/>
        <item x="744"/>
        <item x="26"/>
        <item x="1257"/>
        <item x="575"/>
        <item x="1456"/>
        <item x="1507"/>
        <item x="1468"/>
        <item x="778"/>
        <item x="830"/>
        <item x="605"/>
        <item x="1351"/>
        <item x="1494"/>
        <item x="34"/>
        <item x="655"/>
        <item x="1384"/>
        <item x="1405"/>
        <item x="1063"/>
        <item x="1557"/>
        <item x="475"/>
        <item x="579"/>
        <item x="340"/>
        <item x="454"/>
        <item x="1249"/>
        <item x="143"/>
        <item x="166"/>
        <item x="941"/>
        <item x="1234"/>
        <item x="452"/>
        <item x="801"/>
        <item x="1127"/>
        <item x="713"/>
        <item x="619"/>
        <item x="414"/>
        <item x="701"/>
        <item x="852"/>
        <item x="224"/>
        <item x="684"/>
        <item x="1104"/>
        <item x="1354"/>
        <item x="1303"/>
        <item x="1146"/>
        <item x="128"/>
        <item x="992"/>
        <item x="810"/>
        <item x="1556"/>
        <item x="328"/>
        <item x="162"/>
        <item x="722"/>
        <item x="529"/>
        <item x="827"/>
        <item x="633"/>
        <item x="887"/>
        <item x="953"/>
        <item x="1359"/>
        <item x="1493"/>
        <item x="1030"/>
        <item x="669"/>
        <item x="355"/>
        <item x="656"/>
        <item x="362"/>
        <item x="1203"/>
        <item x="583"/>
        <item x="1340"/>
        <item x="178"/>
        <item x="874"/>
        <item x="1311"/>
        <item x="1544"/>
        <item x="914"/>
        <item x="333"/>
        <item x="672"/>
        <item x="572"/>
        <item x="413"/>
        <item x="1325"/>
        <item x="1020"/>
        <item x="1356"/>
        <item x="688"/>
        <item x="893"/>
        <item x="577"/>
        <item x="1112"/>
        <item x="906"/>
        <item x="1313"/>
        <item x="590"/>
        <item x="1248"/>
        <item x="479"/>
        <item x="231"/>
        <item x="732"/>
        <item x="1453"/>
        <item x="11"/>
        <item x="332"/>
        <item x="1413"/>
        <item x="290"/>
        <item x="820"/>
        <item x="943"/>
        <item x="390"/>
        <item x="1023"/>
        <item x="1289"/>
        <item x="411"/>
        <item x="1219"/>
        <item x="880"/>
        <item x="1591"/>
        <item x="1134"/>
        <item x="842"/>
        <item x="80"/>
        <item x="849"/>
        <item x="1033"/>
        <item x="856"/>
        <item x="1173"/>
        <item x="999"/>
        <item x="960"/>
        <item x="386"/>
        <item x="1269"/>
        <item x="1294"/>
        <item x="302"/>
        <item x="1000"/>
        <item x="1274"/>
        <item x="1463"/>
        <item x="371"/>
        <item x="817"/>
        <item x="227"/>
        <item x="1121"/>
        <item x="1394"/>
        <item x="1361"/>
        <item x="368"/>
        <item x="1177"/>
        <item x="609"/>
        <item x="749"/>
        <item x="16"/>
        <item x="1178"/>
        <item x="261"/>
        <item x="285"/>
        <item x="1161"/>
        <item x="555"/>
        <item x="748"/>
        <item x="793"/>
        <item x="298"/>
        <item x="1174"/>
        <item x="30"/>
        <item x="507"/>
        <item x="1387"/>
        <item x="175"/>
        <item x="418"/>
        <item x="1520"/>
        <item x="147"/>
        <item x="47"/>
        <item x="235"/>
        <item x="942"/>
        <item x="1513"/>
        <item x="1032"/>
        <item x="1408"/>
        <item x="1007"/>
        <item x="1584"/>
        <item x="1510"/>
        <item x="1035"/>
        <item x="113"/>
        <item x="585"/>
        <item x="1385"/>
        <item x="1319"/>
        <item x="134"/>
        <item x="932"/>
        <item x="274"/>
        <item x="432"/>
        <item x="58"/>
        <item x="781"/>
        <item x="1247"/>
        <item x="1069"/>
        <item x="191"/>
        <item x="1338"/>
        <item x="815"/>
        <item x="1164"/>
        <item x="901"/>
        <item x="506"/>
        <item x="357"/>
        <item x="311"/>
        <item x="1460"/>
        <item x="1448"/>
        <item x="474"/>
        <item x="611"/>
        <item x="1380"/>
        <item x="882"/>
        <item x="488"/>
        <item x="1363"/>
        <item x="860"/>
        <item x="49"/>
        <item x="1258"/>
        <item x="131"/>
        <item x="1364"/>
        <item x="20"/>
        <item x="851"/>
        <item x="634"/>
        <item x="1499"/>
        <item x="1221"/>
        <item x="41"/>
        <item x="127"/>
        <item x="264"/>
        <item x="171"/>
        <item x="216"/>
        <item x="320"/>
        <item x="867"/>
        <item x="1478"/>
        <item x="843"/>
        <item x="440"/>
        <item x="1537"/>
        <item x="1489"/>
        <item x="1418"/>
        <item x="37"/>
        <item x="915"/>
        <item x="898"/>
        <item x="536"/>
        <item x="586"/>
        <item x="1498"/>
        <item x="326"/>
        <item x="989"/>
        <item x="487"/>
        <item x="1140"/>
        <item x="1096"/>
        <item x="67"/>
        <item x="1187"/>
        <item x="736"/>
        <item x="641"/>
        <item x="1341"/>
        <item x="137"/>
        <item x="1064"/>
        <item x="679"/>
        <item x="3"/>
        <item x="649"/>
        <item x="848"/>
        <item x="751"/>
        <item x="614"/>
        <item x="1280"/>
        <item x="1310"/>
        <item x="494"/>
        <item x="647"/>
        <item x="1083"/>
        <item x="1538"/>
        <item x="1333"/>
        <item x="1049"/>
        <item x="739"/>
        <item x="734"/>
        <item x="1562"/>
        <item x="710"/>
        <item x="1123"/>
        <item x="648"/>
        <item x="1052"/>
        <item x="1008"/>
        <item x="1288"/>
        <item x="1090"/>
        <item x="1235"/>
        <item x="176"/>
        <item x="284"/>
        <item x="1256"/>
        <item x="539"/>
        <item x="873"/>
        <item x="859"/>
        <item x="721"/>
        <item x="1307"/>
        <item x="260"/>
        <item x="884"/>
        <item x="464"/>
        <item x="380"/>
        <item x="345"/>
        <item x="268"/>
        <item x="244"/>
        <item x="1"/>
        <item x="543"/>
        <item x="1366"/>
        <item x="1293"/>
        <item x="911"/>
        <item x="75"/>
        <item x="116"/>
        <item x="1393"/>
        <item x="994"/>
        <item x="638"/>
        <item x="1305"/>
        <item x="481"/>
        <item x="919"/>
        <item x="540"/>
        <item x="872"/>
        <item x="1504"/>
        <item x="909"/>
        <item x="559"/>
        <item x="69"/>
        <item x="662"/>
        <item x="59"/>
        <item x="578"/>
        <item x="1065"/>
        <item x="369"/>
        <item x="598"/>
        <item x="696"/>
        <item x="780"/>
        <item x="12"/>
        <item x="363"/>
        <item x="921"/>
        <item x="44"/>
        <item x="456"/>
        <item x="1147"/>
        <item x="493"/>
        <item x="1208"/>
        <item x="331"/>
        <item x="1263"/>
        <item x="916"/>
        <item x="1153"/>
        <item x="737"/>
        <item x="723"/>
        <item x="927"/>
        <item x="354"/>
        <item x="595"/>
        <item x="215"/>
        <item x="412"/>
        <item x="896"/>
        <item x="1222"/>
        <item x="1061"/>
        <item x="288"/>
        <item x="997"/>
        <item x="789"/>
        <item x="1438"/>
        <item x="553"/>
        <item x="1045"/>
        <item x="145"/>
        <item x="949"/>
        <item x="317"/>
        <item x="1151"/>
        <item x="1545"/>
        <item x="1056"/>
        <item x="1239"/>
        <item x="547"/>
        <item x="1467"/>
        <item x="1115"/>
        <item x="201"/>
        <item x="429"/>
        <item x="1086"/>
        <item x="87"/>
        <item x="443"/>
        <item x="1585"/>
        <item x="217"/>
        <item x="1261"/>
        <item x="337"/>
        <item x="325"/>
        <item x="1006"/>
        <item x="1358"/>
        <item x="1228"/>
        <item x="1100"/>
        <item x="1322"/>
        <item x="528"/>
        <item x="1567"/>
        <item x="1308"/>
        <item x="1318"/>
        <item x="1470"/>
        <item x="91"/>
        <item x="1157"/>
        <item x="1071"/>
        <item x="783"/>
        <item x="975"/>
        <item x="312"/>
        <item x="607"/>
        <item x="571"/>
        <item x="1386"/>
        <item x="1555"/>
        <item x="1181"/>
        <item x="1137"/>
        <item x="258"/>
        <item x="1165"/>
        <item x="1155"/>
        <item x="993"/>
        <item x="1196"/>
        <item x="1149"/>
        <item x="101"/>
        <item x="925"/>
        <item x="892"/>
        <item x="1002"/>
        <item x="232"/>
        <item x="140"/>
        <item x="788"/>
        <item x="692"/>
        <item x="1372"/>
        <item x="233"/>
        <item x="460"/>
        <item x="1193"/>
        <item x="1040"/>
        <item x="385"/>
        <item x="1194"/>
        <item x="144"/>
        <item x="1328"/>
        <item x="776"/>
        <item x="297"/>
        <item x="14"/>
        <item x="1571"/>
        <item x="671"/>
        <item x="1373"/>
        <item x="1317"/>
        <item x="458"/>
        <item x="738"/>
        <item x="263"/>
        <item x="1462"/>
        <item x="836"/>
        <item x="950"/>
        <item x="869"/>
        <item x="36"/>
        <item x="1314"/>
        <item x="1107"/>
        <item x="1580"/>
        <item x="774"/>
        <item x="910"/>
        <item x="883"/>
        <item x="1183"/>
        <item x="1224"/>
        <item x="407"/>
        <item x="986"/>
        <item x="554"/>
        <item x="1211"/>
        <item x="1207"/>
        <item x="1506"/>
        <item x="295"/>
        <item x="643"/>
        <item x="1190"/>
        <item x="403"/>
        <item x="222"/>
        <item x="1560"/>
        <item x="1287"/>
        <item x="1019"/>
        <item x="423"/>
        <item x="283"/>
        <item x="591"/>
        <item x="496"/>
        <item x="433"/>
        <item x="1054"/>
        <item x="1113"/>
        <item x="806"/>
        <item x="682"/>
        <item x="1461"/>
        <item x="1554"/>
        <item x="762"/>
        <item x="273"/>
        <item x="576"/>
        <item x="395"/>
        <item x="625"/>
        <item x="1479"/>
        <item x="1395"/>
        <item x="765"/>
        <item x="179"/>
        <item x="1563"/>
        <item x="833"/>
        <item x="31"/>
        <item x="422"/>
        <item x="683"/>
        <item x="344"/>
        <item x="383"/>
        <item x="1043"/>
        <item x="704"/>
        <item x="339"/>
        <item x="387"/>
        <item x="1291"/>
        <item x="1527"/>
        <item x="466"/>
        <item x="934"/>
        <item x="447"/>
        <item x="593"/>
        <item x="138"/>
        <item x="22"/>
        <item x="929"/>
        <item x="234"/>
        <item x="670"/>
        <item x="223"/>
        <item x="184"/>
        <item x="1519"/>
        <item x="334"/>
        <item x="1267"/>
        <item x="225"/>
        <item x="865"/>
        <item x="534"/>
        <item x="1025"/>
        <item x="1443"/>
        <item x="659"/>
        <item x="150"/>
        <item x="102"/>
        <item x="121"/>
        <item x="210"/>
        <item x="948"/>
        <item x="926"/>
        <item x="1272"/>
        <item x="1531"/>
        <item x="924"/>
        <item x="545"/>
        <item x="1548"/>
        <item x="533"/>
        <item x="277"/>
        <item x="393"/>
        <item x="108"/>
        <item x="1124"/>
        <item x="304"/>
        <item x="372"/>
        <item x="427"/>
        <item x="805"/>
        <item x="1564"/>
        <item x="504"/>
        <item x="204"/>
        <item x="1320"/>
        <item x="972"/>
        <item x="51"/>
        <item x="262"/>
        <item x="117"/>
        <item x="425"/>
        <item x="1062"/>
        <item x="956"/>
        <item x="95"/>
        <item x="468"/>
        <item x="65"/>
        <item x="299"/>
        <item x="193"/>
        <item x="1150"/>
        <item x="40"/>
        <item x="105"/>
        <item x="74"/>
        <item x="601"/>
        <item x="983"/>
        <item x="1323"/>
        <item x="813"/>
        <item x="77"/>
        <item x="640"/>
        <item x="7"/>
        <item x="881"/>
        <item x="1329"/>
        <item x="509"/>
        <item x="1495"/>
        <item x="822"/>
        <item x="322"/>
        <item x="348"/>
        <item x="449"/>
        <item x="858"/>
        <item x="581"/>
        <item x="189"/>
        <item x="1451"/>
        <item x="694"/>
        <item x="1270"/>
        <item x="1530"/>
        <item x="187"/>
        <item x="282"/>
        <item x="1425"/>
        <item x="1188"/>
        <item x="83"/>
        <item x="1535"/>
        <item x="511"/>
        <item x="115"/>
        <item x="978"/>
        <item x="604"/>
        <item x="218"/>
        <item x="365"/>
        <item x="1583"/>
        <item x="1369"/>
        <item x="491"/>
        <item x="23"/>
        <item x="637"/>
        <item x="97"/>
        <item x="756"/>
        <item x="1302"/>
        <item x="1500"/>
        <item x="1252"/>
        <item x="352"/>
        <item x="1212"/>
        <item x="409"/>
        <item x="563"/>
        <item x="1250"/>
        <item x="278"/>
        <item x="289"/>
        <item x="928"/>
        <item x="1038"/>
        <item x="937"/>
        <item x="276"/>
        <item x="50"/>
        <item x="1496"/>
        <item x="1099"/>
        <item x="265"/>
        <item x="795"/>
        <item x="1382"/>
        <item x="1282"/>
        <item x="470"/>
        <item x="391"/>
        <item x="931"/>
        <item x="690"/>
        <item x="513"/>
        <item x="759"/>
        <item x="515"/>
        <item x="1231"/>
        <item x="53"/>
        <item x="1080"/>
        <item x="85"/>
        <item x="360"/>
        <item x="1255"/>
        <item x="68"/>
        <item x="173"/>
        <item x="845"/>
        <item x="551"/>
        <item x="562"/>
        <item x="837"/>
        <item x="716"/>
        <item x="987"/>
        <item x="379"/>
        <item x="1450"/>
        <item x="350"/>
        <item x="1370"/>
        <item x="1197"/>
        <item x="366"/>
        <item x="1339"/>
        <item x="680"/>
        <item x="1357"/>
        <item x="1300"/>
        <item x="1230"/>
        <item x="1581"/>
        <item x="1511"/>
        <item x="1472"/>
        <item x="646"/>
        <item x="158"/>
        <item x="1077"/>
        <item x="763"/>
        <item x="855"/>
        <item x="141"/>
        <item x="1345"/>
        <item x="1466"/>
        <item x="196"/>
        <item x="66"/>
        <item x="1482"/>
        <item x="627"/>
        <item x="1217"/>
        <item x="796"/>
        <item x="944"/>
        <item x="787"/>
        <item x="208"/>
        <item x="714"/>
        <item x="589"/>
        <item x="254"/>
        <item x="1144"/>
        <item x="156"/>
        <item x="292"/>
        <item x="364"/>
        <item x="668"/>
        <item x="321"/>
        <item x="1167"/>
        <item x="1578"/>
        <item x="642"/>
        <item x="1396"/>
        <item x="854"/>
        <item x="394"/>
        <item x="661"/>
        <item x="1458"/>
        <item x="824"/>
        <item x="525"/>
        <item x="1426"/>
        <item x="62"/>
        <item x="823"/>
        <item x="17"/>
        <item x="213"/>
        <item x="541"/>
        <item x="617"/>
        <item x="1521"/>
        <item x="1067"/>
        <item x="1335"/>
        <item x="1296"/>
        <item x="245"/>
        <item x="71"/>
        <item x="212"/>
        <item x="720"/>
        <item x="1129"/>
        <item x="1512"/>
        <item x="1411"/>
        <item x="457"/>
        <item x="185"/>
        <item x="936"/>
        <item x="709"/>
        <item x="1348"/>
        <item x="130"/>
        <item x="181"/>
        <item x="885"/>
        <item x="1037"/>
        <item x="746"/>
        <item x="594"/>
        <item x="1435"/>
        <item x="1539"/>
        <item x="401"/>
        <item x="157"/>
        <item x="608"/>
        <item x="1088"/>
        <item x="988"/>
        <item x="106"/>
        <item x="1344"/>
        <item x="558"/>
        <item x="1081"/>
        <item x="461"/>
        <item x="1026"/>
        <item x="1122"/>
        <item x="43"/>
        <item x="1206"/>
        <item x="816"/>
        <item x="1073"/>
        <item x="573"/>
        <item x="136"/>
        <item x="421"/>
        <item x="167"/>
        <item x="1266"/>
        <item x="750"/>
        <item x="753"/>
        <item x="890"/>
        <item x="132"/>
        <item x="1402"/>
        <item x="206"/>
        <item x="1476"/>
        <item x="1044"/>
        <item x="266"/>
        <item x="247"/>
        <item x="502"/>
        <item x="94"/>
        <item x="1278"/>
        <item x="1139"/>
        <item x="878"/>
        <item x="230"/>
        <item x="13"/>
        <item x="428"/>
        <item x="33"/>
        <item x="1018"/>
        <item x="636"/>
        <item x="631"/>
        <item x="435"/>
        <item x="702"/>
        <item x="478"/>
        <item x="829"/>
        <item x="1297"/>
        <item x="695"/>
        <item x="879"/>
        <item x="1042"/>
        <item x="1523"/>
        <item x="153"/>
        <item x="667"/>
        <item x="1347"/>
        <item x="568"/>
        <item x="945"/>
        <item x="1198"/>
        <item x="1573"/>
        <item x="1082"/>
        <item x="1367"/>
        <item x="485"/>
        <item x="408"/>
        <item x="319"/>
        <item x="1321"/>
        <item x="207"/>
        <item x="1473"/>
        <item x="677"/>
        <item x="1213"/>
        <item x="1518"/>
        <item x="1290"/>
        <item x="832"/>
        <item x="1331"/>
        <item x="771"/>
        <item x="1441"/>
        <item x="1414"/>
        <item x="1540"/>
        <item x="1097"/>
        <item x="410"/>
        <item x="15"/>
        <item x="200"/>
        <item x="1492"/>
        <item x="718"/>
        <item x="1378"/>
        <item x="1216"/>
        <item x="894"/>
        <item x="1490"/>
        <item x="1244"/>
        <item x="392"/>
        <item x="840"/>
        <item x="968"/>
        <item x="1136"/>
        <item x="1552"/>
        <item x="1446"/>
        <item x="610"/>
        <item x="1251"/>
        <item x="698"/>
        <item x="1171"/>
        <item x="791"/>
        <item x="804"/>
        <item x="1292"/>
        <item x="1431"/>
        <item x="623"/>
        <item x="981"/>
        <item x="1534"/>
        <item x="498"/>
        <item x="1105"/>
        <item x="912"/>
        <item x="1588"/>
        <item x="1572"/>
        <item x="510"/>
        <item x="1409"/>
        <item x="1009"/>
        <item x="280"/>
        <item x="146"/>
        <item x="300"/>
        <item x="520"/>
        <item x="1176"/>
        <item x="503"/>
        <item x="219"/>
        <item x="1546"/>
        <item x="686"/>
        <item x="603"/>
        <item x="1481"/>
        <item x="497"/>
        <item x="775"/>
        <item x="177"/>
        <item x="790"/>
        <item x="552"/>
        <item x="1089"/>
        <item x="839"/>
        <item x="899"/>
        <item x="1108"/>
        <item x="1487"/>
        <item x="1371"/>
        <item x="1170"/>
        <item x="758"/>
        <item x="286"/>
        <item x="650"/>
        <item x="307"/>
        <item x="123"/>
        <item x="1070"/>
        <item x="1204"/>
        <item x="731"/>
        <item x="1298"/>
        <item x="1158"/>
        <item x="89"/>
        <item x="747"/>
        <item x="1095"/>
        <item x="826"/>
        <item x="834"/>
        <item x="269"/>
        <item x="1276"/>
        <item x="870"/>
        <item x="965"/>
        <item x="1407"/>
        <item x="1059"/>
        <item x="1491"/>
        <item x="439"/>
        <item x="1553"/>
        <item x="1469"/>
        <item x="681"/>
        <item x="1400"/>
        <item x="724"/>
        <item x="378"/>
        <item x="100"/>
        <item x="757"/>
        <item x="1227"/>
        <item x="469"/>
        <item x="195"/>
        <item x="1169"/>
        <item x="451"/>
        <item x="55"/>
        <item x="802"/>
        <item x="574"/>
        <item x="1360"/>
        <item x="1346"/>
        <item x="976"/>
        <item x="825"/>
        <item x="1561"/>
        <item x="38"/>
        <item x="152"/>
        <item x="161"/>
        <item x="549"/>
        <item x="154"/>
        <item x="1536"/>
        <item x="1332"/>
        <item x="27"/>
        <item x="400"/>
        <item x="606"/>
        <item x="499"/>
        <item x="104"/>
        <item x="779"/>
        <item x="1103"/>
        <item x="1587"/>
        <item x="1262"/>
        <item x="676"/>
        <item x="1148"/>
        <item x="1166"/>
        <item x="170"/>
        <item x="798"/>
        <item x="521"/>
        <item x="1159"/>
        <item x="1024"/>
        <item x="241"/>
        <item x="1532"/>
        <item x="556"/>
        <item x="346"/>
        <item x="952"/>
        <item x="782"/>
        <item x="1565"/>
        <item x="174"/>
        <item x="777"/>
        <item x="535"/>
        <item x="639"/>
        <item x="336"/>
        <item x="1156"/>
        <item x="530"/>
        <item x="561"/>
        <item x="809"/>
        <item x="871"/>
        <item x="180"/>
        <item x="0"/>
        <item x="402"/>
        <item x="25"/>
        <item x="897"/>
        <item x="329"/>
        <item x="979"/>
        <item x="388"/>
        <item x="567"/>
        <item x="375"/>
        <item x="471"/>
        <item x="699"/>
        <item x="1502"/>
        <item x="973"/>
        <item x="1415"/>
        <item x="5"/>
        <item x="1233"/>
        <item x="382"/>
        <item x="1039"/>
        <item x="1477"/>
        <item x="508"/>
        <item x="517"/>
        <item x="1117"/>
        <item x="306"/>
        <item x="974"/>
        <item x="653"/>
        <item x="1246"/>
        <item x="612"/>
        <item x="1417"/>
        <item x="1551"/>
        <item x="1403"/>
        <item x="287"/>
        <item x="377"/>
        <item x="142"/>
        <item x="165"/>
        <item x="1401"/>
        <item x="192"/>
        <item x="1423"/>
        <item x="1253"/>
        <item x="1005"/>
        <item x="961"/>
        <item x="172"/>
        <item x="1558"/>
        <item x="82"/>
        <item x="951"/>
        <item x="1374"/>
        <item x="846"/>
        <item x="389"/>
        <item x="1232"/>
        <item x="1162"/>
        <item x="821"/>
        <item x="1242"/>
        <item x="1128"/>
        <item x="242"/>
        <item x="417"/>
        <item x="835"/>
        <item x="1464"/>
        <item x="1076"/>
        <item x="1459"/>
        <item x="35"/>
        <item x="78"/>
        <item x="857"/>
        <item x="221"/>
        <item x="126"/>
        <item x="419"/>
        <item x="1066"/>
        <item x="1185"/>
        <item x="1163"/>
        <item x="1501"/>
        <item x="697"/>
        <item x="962"/>
        <item x="1410"/>
        <item x="705"/>
        <item x="229"/>
        <item x="1486"/>
        <item x="243"/>
        <item x="1130"/>
        <item x="359"/>
        <item x="1191"/>
        <item x="523"/>
        <item x="450"/>
        <item x="1031"/>
        <item x="891"/>
        <item x="114"/>
        <item x="45"/>
        <item x="253"/>
        <item x="1199"/>
        <item x="1350"/>
        <item x="1575"/>
        <item x="729"/>
        <item x="342"/>
        <item x="923"/>
        <item x="691"/>
        <item x="917"/>
        <item x="310"/>
        <item x="1569"/>
        <item x="693"/>
        <item x="599"/>
        <item x="1316"/>
        <item x="1444"/>
        <item x="24"/>
        <item x="248"/>
        <item x="404"/>
        <item x="786"/>
        <item x="373"/>
        <item x="18"/>
        <item x="1229"/>
        <item x="970"/>
        <item x="107"/>
        <item x="1014"/>
        <item x="1547"/>
        <item x="1236"/>
        <item x="1138"/>
        <item x="1353"/>
        <item x="700"/>
        <item x="445"/>
        <item x="935"/>
        <item x="754"/>
        <item t="default"/>
      </items>
    </pivotField>
    <pivotField showAll="0"/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/>
    <pivotField showAll="0">
      <items count="8">
        <item x="1"/>
        <item x="3"/>
        <item x="4"/>
        <item x="5"/>
        <item x="2"/>
        <item x="0"/>
        <item x="6"/>
        <item t="default"/>
      </items>
    </pivotField>
    <pivotField showAll="0"/>
    <pivotField showAll="0"/>
    <pivotField numFmtId="167" showAll="0"/>
    <pivotField numFmtId="10" showAll="0"/>
    <pivotField dataField="1" numFmtId="167" showAll="0"/>
    <pivotField dataField="1" numFmtId="167" showAll="0"/>
    <pivotField numFmtId="167" showAll="0"/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 defaultSubtotal="0">
      <items count="1">
        <item x="0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4" baseField="0" baseItem="0" numFmtId="167"/>
    <dataField name="Sum of profit" fld="15" baseField="0" baseItem="0" numFmtId="167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F5049-FBE4-40E2-8AAF-0F36749A3DE9}" name="Table1" displayName="Table1" ref="A1:V4201" totalsRowShown="0" headerRowDxfId="26" dataDxfId="24" headerRowBorderDxfId="25" tableBorderDxfId="23" totalsRowBorderDxfId="22">
  <autoFilter ref="A1:V4201" xr:uid="{D3EF5049-FBE4-40E2-8AAF-0F36749A3DE9}"/>
  <tableColumns count="22">
    <tableColumn id="1" xr3:uid="{BCB99CF3-114C-427C-85EC-CB1C81057DC7}" name="order_id" dataDxfId="21"/>
    <tableColumn id="2" xr3:uid="{2B49CFEA-0BDE-40AC-ADEA-446CD75E5BF7}" name="order_date" dataDxfId="20"/>
    <tableColumn id="26" xr3:uid="{5E8856C5-9CC2-43BD-81E7-79142A5D969B}" name="order_month" dataDxfId="0"/>
    <tableColumn id="3" xr3:uid="{3A50F53C-54F2-4B78-A52D-241993E2D707}" name="customer_id" dataDxfId="19"/>
    <tableColumn id="4" xr3:uid="{E09DAB43-A31A-42E2-BB08-D704754F8E41}" name="customer_name" dataDxfId="18"/>
    <tableColumn id="5" xr3:uid="{4089DBD7-0583-4B37-ADE3-2E3BA536BDA4}" name="age" dataDxfId="17"/>
    <tableColumn id="6" xr3:uid="{C9D579FF-D9AF-4426-986D-4B977C5613CB}" name="gender" dataDxfId="16"/>
    <tableColumn id="7" xr3:uid="{DCD727AD-2815-4D7E-9FA8-F1A962F4DD04}" name="region" dataDxfId="15"/>
    <tableColumn id="8" xr3:uid="{F8999D89-C2A9-43ED-9320-0FDD9E54EED5}" name="city" dataDxfId="14"/>
    <tableColumn id="9" xr3:uid="{3CB398C3-B8B2-471C-B430-0E015507BFA6}" name="product_category" dataDxfId="13"/>
    <tableColumn id="10" xr3:uid="{7F3351E8-64D0-46F9-A10E-415183ADF454}" name="product_name" dataDxfId="12"/>
    <tableColumn id="11" xr3:uid="{F411CB7A-8EA3-4C6B-BD3D-CB71108422B2}" name="quantity" dataDxfId="11"/>
    <tableColumn id="12" xr3:uid="{994F8CE9-B076-43D0-A990-7F40B74DED7F}" name="unit_price" dataDxfId="10"/>
    <tableColumn id="13" xr3:uid="{6E9E1864-E433-479C-A585-17348E21A080}" name="discount_pct" dataDxfId="9"/>
    <tableColumn id="14" xr3:uid="{16AFC2DC-ABBE-45D2-BE49-131EB5DB078B}" name="sales_amount" dataDxfId="8"/>
    <tableColumn id="15" xr3:uid="{86953221-CFE0-4293-9903-8E3479ECE726}" name="profit" dataDxfId="7"/>
    <tableColumn id="16" xr3:uid="{70214372-B07C-4772-A209-39F47A089D52}" name="shipping_cost" dataDxfId="6"/>
    <tableColumn id="17" xr3:uid="{A545DC5D-6B52-4DF7-BF43-482EAD51F848}" name="payment_method" dataDxfId="5"/>
    <tableColumn id="18" xr3:uid="{C5A77F21-326F-4A0C-8B8B-BD50B5CCB2D2}" name="customer_satisfaction" dataDxfId="4"/>
    <tableColumn id="19" xr3:uid="{EC15C6CC-8A98-4480-BB40-9B9F69172DD7}" name="return_flag" dataDxfId="3"/>
    <tableColumn id="20" xr3:uid="{4239420C-B1A7-49E9-BBA8-23EF29DA6181}" name="order_status" dataDxfId="2"/>
    <tableColumn id="21" xr3:uid="{045D3CAA-6AE8-4741-AB5F-09141B39099F}" name="days_to_shi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E9F6593-4AE6-4DFC-985B-8E5B47E99D2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Rd0ndATLNwxddbC5k03T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33441B6-E27A-495D-83A8-CB40120B9C77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3cd9a9c2-5bea-4beb-9bb1-7b076660cb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C4FF-6F2E-485E-BA3D-B89CF6F56F7B}">
  <dimension ref="A1:V4201"/>
  <sheetViews>
    <sheetView tabSelected="1" zoomScale="89" zoomScaleNormal="89" workbookViewId="0">
      <selection activeCell="C1" sqref="C1:C1048576"/>
    </sheetView>
  </sheetViews>
  <sheetFormatPr defaultRowHeight="14.4" x14ac:dyDescent="0.3"/>
  <cols>
    <col min="1" max="1" width="10.33203125" bestFit="1" customWidth="1"/>
    <col min="2" max="2" width="17.21875" style="12" bestFit="1" customWidth="1"/>
    <col min="3" max="3" width="17.21875" style="23" bestFit="1" customWidth="1"/>
    <col min="4" max="4" width="16.21875" customWidth="1"/>
    <col min="5" max="5" width="19.109375" bestFit="1" customWidth="1"/>
    <col min="6" max="6" width="8.5546875" customWidth="1"/>
    <col min="7" max="7" width="8" customWidth="1"/>
    <col min="8" max="8" width="12" bestFit="1" customWidth="1"/>
    <col min="9" max="9" width="17.33203125" customWidth="1"/>
    <col min="10" max="10" width="14.88671875" customWidth="1"/>
    <col min="11" max="11" width="17.5546875" bestFit="1" customWidth="1"/>
    <col min="12" max="12" width="11.21875" customWidth="1"/>
    <col min="13" max="13" width="13.6640625" customWidth="1"/>
    <col min="14" max="14" width="14.33203125" style="16" customWidth="1"/>
    <col min="15" max="15" width="14.6640625" style="18" bestFit="1" customWidth="1"/>
    <col min="16" max="16" width="14.33203125" style="18" customWidth="1"/>
    <col min="17" max="17" width="17.44140625" style="18" customWidth="1"/>
    <col min="18" max="18" width="21.33203125" customWidth="1"/>
    <col min="19" max="19" width="24.21875" bestFit="1" customWidth="1"/>
    <col min="20" max="20" width="13.21875" customWidth="1"/>
    <col min="21" max="21" width="13.5546875" customWidth="1"/>
  </cols>
  <sheetData>
    <row r="1" spans="1:22" x14ac:dyDescent="0.3">
      <c r="A1" s="4" t="s">
        <v>0</v>
      </c>
      <c r="B1" s="11" t="s">
        <v>1</v>
      </c>
      <c r="C1" s="21" t="s">
        <v>8844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14" t="s">
        <v>12</v>
      </c>
      <c r="O1" s="17" t="s">
        <v>13</v>
      </c>
      <c r="P1" s="17" t="s">
        <v>14</v>
      </c>
      <c r="Q1" s="17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</row>
    <row r="2" spans="1:22" x14ac:dyDescent="0.3">
      <c r="A2" s="2" t="s">
        <v>21</v>
      </c>
      <c r="B2" s="10">
        <v>45519</v>
      </c>
      <c r="C2" s="22">
        <v>45519</v>
      </c>
      <c r="D2" s="1" t="s">
        <v>22</v>
      </c>
      <c r="E2" s="1" t="s">
        <v>23</v>
      </c>
      <c r="F2" s="1">
        <v>39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8</v>
      </c>
      <c r="M2" s="13">
        <v>346.32</v>
      </c>
      <c r="N2" s="15">
        <v>0.21</v>
      </c>
      <c r="O2" s="13">
        <v>4043.14</v>
      </c>
      <c r="P2" s="13">
        <v>289.18</v>
      </c>
      <c r="Q2" s="13">
        <v>56.04</v>
      </c>
      <c r="R2" s="1" t="s">
        <v>29</v>
      </c>
      <c r="S2" s="1">
        <v>3</v>
      </c>
      <c r="T2" s="1" t="b">
        <v>1</v>
      </c>
      <c r="U2" s="1" t="s">
        <v>30</v>
      </c>
      <c r="V2" s="3">
        <v>7</v>
      </c>
    </row>
    <row r="3" spans="1:22" x14ac:dyDescent="0.3">
      <c r="A3" s="2" t="s">
        <v>31</v>
      </c>
      <c r="B3" s="10">
        <v>44789</v>
      </c>
      <c r="C3" s="22">
        <v>44789</v>
      </c>
      <c r="D3" s="1" t="s">
        <v>32</v>
      </c>
      <c r="E3" s="1" t="s">
        <v>33</v>
      </c>
      <c r="F3" s="1">
        <v>28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>
        <v>8</v>
      </c>
      <c r="M3" s="13">
        <v>858.66</v>
      </c>
      <c r="N3" s="15">
        <v>0.08</v>
      </c>
      <c r="O3" s="13">
        <v>9147.31</v>
      </c>
      <c r="P3" s="13">
        <v>5355.56</v>
      </c>
      <c r="Q3" s="13">
        <v>64.489999999999995</v>
      </c>
      <c r="R3" s="1" t="s">
        <v>29</v>
      </c>
      <c r="S3" s="1">
        <v>5</v>
      </c>
      <c r="T3" s="1" t="b">
        <v>0</v>
      </c>
      <c r="U3" s="1" t="s">
        <v>39</v>
      </c>
      <c r="V3" s="3">
        <v>2</v>
      </c>
    </row>
    <row r="4" spans="1:22" x14ac:dyDescent="0.3">
      <c r="A4" s="2" t="s">
        <v>40</v>
      </c>
      <c r="B4" s="10">
        <v>44437</v>
      </c>
      <c r="C4" s="22">
        <v>44437</v>
      </c>
      <c r="D4" s="1" t="s">
        <v>41</v>
      </c>
      <c r="E4" s="1" t="s">
        <v>42</v>
      </c>
      <c r="F4" s="1">
        <v>41</v>
      </c>
      <c r="G4" s="1" t="s">
        <v>24</v>
      </c>
      <c r="H4" s="1" t="s">
        <v>35</v>
      </c>
      <c r="I4" s="1" t="s">
        <v>43</v>
      </c>
      <c r="J4" s="1" t="s">
        <v>44</v>
      </c>
      <c r="K4" s="1" t="s">
        <v>45</v>
      </c>
      <c r="L4" s="1">
        <v>4</v>
      </c>
      <c r="M4" s="13">
        <v>25941.32</v>
      </c>
      <c r="N4" s="15">
        <v>0.14000000000000001</v>
      </c>
      <c r="O4" s="13">
        <v>110156.97</v>
      </c>
      <c r="P4" s="13">
        <v>36956.51</v>
      </c>
      <c r="Q4" s="13">
        <v>67.650000000000006</v>
      </c>
      <c r="R4" s="1" t="s">
        <v>29</v>
      </c>
      <c r="S4" s="1">
        <v>4</v>
      </c>
      <c r="T4" s="1" t="b">
        <v>0</v>
      </c>
      <c r="U4" s="1" t="s">
        <v>39</v>
      </c>
      <c r="V4" s="3">
        <v>5</v>
      </c>
    </row>
    <row r="5" spans="1:22" x14ac:dyDescent="0.3">
      <c r="A5" s="2" t="s">
        <v>46</v>
      </c>
      <c r="B5" s="10">
        <v>44747</v>
      </c>
      <c r="C5" s="22">
        <v>44747</v>
      </c>
      <c r="D5" s="1" t="s">
        <v>47</v>
      </c>
      <c r="E5" s="1" t="s">
        <v>48</v>
      </c>
      <c r="F5" s="1">
        <v>29</v>
      </c>
      <c r="G5" s="1" t="s">
        <v>24</v>
      </c>
      <c r="H5" s="1" t="s">
        <v>35</v>
      </c>
      <c r="I5" s="1" t="s">
        <v>49</v>
      </c>
      <c r="J5" s="1" t="s">
        <v>44</v>
      </c>
      <c r="K5" s="1" t="s">
        <v>50</v>
      </c>
      <c r="L5" s="1">
        <v>9</v>
      </c>
      <c r="M5" s="13">
        <v>22071.919999999998</v>
      </c>
      <c r="N5" s="15">
        <v>0.17</v>
      </c>
      <c r="O5" s="13">
        <v>262066.11</v>
      </c>
      <c r="P5" s="13">
        <v>66644.990000000005</v>
      </c>
      <c r="Q5" s="13">
        <v>54.47</v>
      </c>
      <c r="R5" s="1" t="s">
        <v>51</v>
      </c>
      <c r="S5" s="1">
        <v>3</v>
      </c>
      <c r="T5" s="1" t="b">
        <v>0</v>
      </c>
      <c r="U5" s="1" t="s">
        <v>39</v>
      </c>
      <c r="V5" s="3">
        <v>4</v>
      </c>
    </row>
    <row r="6" spans="1:22" x14ac:dyDescent="0.3">
      <c r="A6" s="2" t="s">
        <v>52</v>
      </c>
      <c r="B6" s="10">
        <v>43958</v>
      </c>
      <c r="C6" s="22">
        <v>43958</v>
      </c>
      <c r="D6" s="1" t="s">
        <v>53</v>
      </c>
      <c r="E6" s="1" t="s">
        <v>54</v>
      </c>
      <c r="F6" s="1">
        <v>9</v>
      </c>
      <c r="G6" s="1" t="s">
        <v>34</v>
      </c>
      <c r="H6" s="1" t="s">
        <v>25</v>
      </c>
      <c r="I6" s="1" t="s">
        <v>55</v>
      </c>
      <c r="J6" s="1" t="s">
        <v>27</v>
      </c>
      <c r="K6" s="1" t="s">
        <v>56</v>
      </c>
      <c r="L6" s="1">
        <v>1</v>
      </c>
      <c r="M6" s="13">
        <v>320.06</v>
      </c>
      <c r="N6" s="15">
        <v>0.31</v>
      </c>
      <c r="O6" s="13">
        <v>323.95</v>
      </c>
      <c r="P6" s="13">
        <v>31.38</v>
      </c>
      <c r="Q6" s="13">
        <v>48.81</v>
      </c>
      <c r="R6" s="1" t="s">
        <v>57</v>
      </c>
      <c r="S6" s="1">
        <v>4</v>
      </c>
      <c r="T6" s="1" t="b">
        <v>0</v>
      </c>
      <c r="U6" s="1" t="s">
        <v>58</v>
      </c>
      <c r="V6" s="3">
        <v>4</v>
      </c>
    </row>
    <row r="7" spans="1:22" x14ac:dyDescent="0.3">
      <c r="A7" s="2" t="s">
        <v>59</v>
      </c>
      <c r="B7" s="10">
        <v>45537</v>
      </c>
      <c r="C7" s="22">
        <v>45537</v>
      </c>
      <c r="D7" s="1" t="s">
        <v>60</v>
      </c>
      <c r="E7" s="1" t="s">
        <v>61</v>
      </c>
      <c r="F7" s="1">
        <v>29</v>
      </c>
      <c r="G7" s="1" t="s">
        <v>34</v>
      </c>
      <c r="H7" s="1" t="s">
        <v>35</v>
      </c>
      <c r="I7" s="1" t="s">
        <v>43</v>
      </c>
      <c r="J7" s="1" t="s">
        <v>62</v>
      </c>
      <c r="K7" s="1" t="s">
        <v>63</v>
      </c>
      <c r="L7" s="1">
        <v>2</v>
      </c>
      <c r="M7" s="13">
        <v>949.5</v>
      </c>
      <c r="N7" s="15">
        <v>0.22</v>
      </c>
      <c r="O7" s="13">
        <v>2202.33</v>
      </c>
      <c r="P7" s="13">
        <v>964.66</v>
      </c>
      <c r="Q7" s="13">
        <v>62.42</v>
      </c>
      <c r="R7" s="1" t="s">
        <v>64</v>
      </c>
      <c r="S7" s="1">
        <v>2</v>
      </c>
      <c r="T7" s="1" t="b">
        <v>1</v>
      </c>
      <c r="U7" s="1" t="s">
        <v>30</v>
      </c>
      <c r="V7" s="3">
        <v>8</v>
      </c>
    </row>
    <row r="8" spans="1:22" x14ac:dyDescent="0.3">
      <c r="A8" s="2" t="s">
        <v>65</v>
      </c>
      <c r="B8" s="10">
        <v>44467</v>
      </c>
      <c r="C8" s="22">
        <v>44467</v>
      </c>
      <c r="D8" s="1" t="s">
        <v>66</v>
      </c>
      <c r="E8" s="1" t="s">
        <v>67</v>
      </c>
      <c r="F8" s="1">
        <v>31</v>
      </c>
      <c r="G8" s="1" t="s">
        <v>68</v>
      </c>
      <c r="H8" s="1" t="s">
        <v>25</v>
      </c>
      <c r="I8" s="1" t="s">
        <v>69</v>
      </c>
      <c r="J8" s="1" t="s">
        <v>62</v>
      </c>
      <c r="K8" s="1" t="s">
        <v>63</v>
      </c>
      <c r="L8" s="1">
        <v>3</v>
      </c>
      <c r="M8" s="13">
        <v>329.03</v>
      </c>
      <c r="N8" s="15">
        <v>0.02</v>
      </c>
      <c r="O8" s="13">
        <v>994.87</v>
      </c>
      <c r="P8" s="13">
        <v>375.07</v>
      </c>
      <c r="Q8" s="13">
        <v>77.34</v>
      </c>
      <c r="R8" s="1" t="s">
        <v>70</v>
      </c>
      <c r="S8" s="1">
        <v>5</v>
      </c>
      <c r="T8" s="1" t="b">
        <v>1</v>
      </c>
      <c r="U8" s="1" t="s">
        <v>30</v>
      </c>
      <c r="V8" s="3">
        <v>10</v>
      </c>
    </row>
    <row r="9" spans="1:22" x14ac:dyDescent="0.3">
      <c r="A9" s="2" t="s">
        <v>71</v>
      </c>
      <c r="B9" s="10">
        <v>45087</v>
      </c>
      <c r="C9" s="22">
        <v>45087</v>
      </c>
      <c r="D9" s="1" t="s">
        <v>72</v>
      </c>
      <c r="E9" s="1" t="s">
        <v>73</v>
      </c>
      <c r="F9" s="1">
        <v>43</v>
      </c>
      <c r="G9" s="1" t="s">
        <v>68</v>
      </c>
      <c r="H9" s="1" t="s">
        <v>74</v>
      </c>
      <c r="I9" s="1" t="s">
        <v>75</v>
      </c>
      <c r="J9" s="1" t="s">
        <v>76</v>
      </c>
      <c r="K9" s="1" t="s">
        <v>77</v>
      </c>
      <c r="L9" s="1">
        <v>1</v>
      </c>
      <c r="M9" s="13">
        <v>1356.6</v>
      </c>
      <c r="N9" s="15">
        <v>0.01</v>
      </c>
      <c r="O9" s="13">
        <v>2140.41</v>
      </c>
      <c r="P9" s="13">
        <v>717.27</v>
      </c>
      <c r="Q9" s="13">
        <v>82.68</v>
      </c>
      <c r="R9" s="1" t="s">
        <v>78</v>
      </c>
      <c r="S9" s="1">
        <v>1</v>
      </c>
      <c r="T9" s="1" t="b">
        <v>0</v>
      </c>
      <c r="U9" s="1" t="s">
        <v>39</v>
      </c>
      <c r="V9" s="3">
        <v>4</v>
      </c>
    </row>
    <row r="10" spans="1:22" x14ac:dyDescent="0.3">
      <c r="A10" s="2" t="s">
        <v>79</v>
      </c>
      <c r="B10" s="10">
        <v>44036</v>
      </c>
      <c r="C10" s="22">
        <v>44036</v>
      </c>
      <c r="D10" s="1" t="s">
        <v>80</v>
      </c>
      <c r="E10" s="1" t="s">
        <v>81</v>
      </c>
      <c r="F10" s="1">
        <v>44</v>
      </c>
      <c r="G10" s="1" t="s">
        <v>68</v>
      </c>
      <c r="H10" s="1" t="s">
        <v>82</v>
      </c>
      <c r="I10" s="1" t="s">
        <v>83</v>
      </c>
      <c r="J10" s="1" t="s">
        <v>62</v>
      </c>
      <c r="K10" s="1" t="s">
        <v>63</v>
      </c>
      <c r="L10" s="1">
        <v>8</v>
      </c>
      <c r="M10" s="13">
        <v>495.77</v>
      </c>
      <c r="N10" s="15">
        <v>0.37</v>
      </c>
      <c r="O10" s="13">
        <v>2828.82</v>
      </c>
      <c r="P10" s="13">
        <v>1338.88</v>
      </c>
      <c r="Q10" s="13">
        <v>84.5</v>
      </c>
      <c r="R10" s="1" t="s">
        <v>29</v>
      </c>
      <c r="S10" s="1">
        <v>1</v>
      </c>
      <c r="T10" s="1" t="b">
        <v>0</v>
      </c>
      <c r="U10" s="1" t="s">
        <v>84</v>
      </c>
      <c r="V10" s="3">
        <v>10</v>
      </c>
    </row>
    <row r="11" spans="1:22" x14ac:dyDescent="0.3">
      <c r="A11" s="2" t="s">
        <v>85</v>
      </c>
      <c r="B11" s="10">
        <v>43870</v>
      </c>
      <c r="C11" s="22">
        <v>43870</v>
      </c>
      <c r="D11" s="1" t="s">
        <v>86</v>
      </c>
      <c r="E11" s="1" t="s">
        <v>87</v>
      </c>
      <c r="F11" s="1">
        <v>17</v>
      </c>
      <c r="G11" s="1" t="s">
        <v>68</v>
      </c>
      <c r="H11" s="1" t="s">
        <v>82</v>
      </c>
      <c r="I11" s="1" t="s">
        <v>83</v>
      </c>
      <c r="J11" s="1" t="s">
        <v>76</v>
      </c>
      <c r="K11" s="1" t="s">
        <v>89</v>
      </c>
      <c r="L11" s="1">
        <v>9</v>
      </c>
      <c r="M11" s="13">
        <v>2128.77</v>
      </c>
      <c r="N11" s="15">
        <v>0.1</v>
      </c>
      <c r="O11" s="13">
        <v>14568.16</v>
      </c>
      <c r="P11" s="13">
        <v>4173.45</v>
      </c>
      <c r="Q11" s="13">
        <v>75.33</v>
      </c>
      <c r="R11" s="1" t="s">
        <v>78</v>
      </c>
      <c r="S11" s="1">
        <v>3</v>
      </c>
      <c r="T11" s="1" t="b">
        <v>0</v>
      </c>
      <c r="U11" s="1" t="s">
        <v>39</v>
      </c>
      <c r="V11" s="3">
        <v>8</v>
      </c>
    </row>
    <row r="12" spans="1:22" x14ac:dyDescent="0.3">
      <c r="A12" s="2" t="s">
        <v>90</v>
      </c>
      <c r="B12" s="10">
        <v>43986</v>
      </c>
      <c r="C12" s="22">
        <v>43986</v>
      </c>
      <c r="D12" s="1" t="s">
        <v>91</v>
      </c>
      <c r="E12" s="1" t="s">
        <v>92</v>
      </c>
      <c r="F12" s="1">
        <v>51</v>
      </c>
      <c r="G12" s="1" t="s">
        <v>24</v>
      </c>
      <c r="H12" s="1" t="s">
        <v>25</v>
      </c>
      <c r="I12" s="1" t="s">
        <v>26</v>
      </c>
      <c r="J12" s="1" t="s">
        <v>44</v>
      </c>
      <c r="K12" s="1" t="s">
        <v>93</v>
      </c>
      <c r="L12" s="1">
        <v>3</v>
      </c>
      <c r="M12" s="13">
        <v>24460.799999999999</v>
      </c>
      <c r="N12" s="15">
        <v>0.15</v>
      </c>
      <c r="O12" s="13">
        <v>86997.39</v>
      </c>
      <c r="P12" s="13">
        <v>14762.22</v>
      </c>
      <c r="Q12" s="13">
        <v>60.11</v>
      </c>
      <c r="R12" s="1" t="s">
        <v>78</v>
      </c>
      <c r="S12" s="1">
        <v>1</v>
      </c>
      <c r="T12" s="1" t="b">
        <v>0</v>
      </c>
      <c r="U12" s="1" t="s">
        <v>39</v>
      </c>
      <c r="V12" s="3">
        <v>8</v>
      </c>
    </row>
    <row r="13" spans="1:22" x14ac:dyDescent="0.3">
      <c r="A13" s="2" t="s">
        <v>94</v>
      </c>
      <c r="B13" s="10">
        <v>44589</v>
      </c>
      <c r="C13" s="22">
        <v>44589</v>
      </c>
      <c r="D13" s="1" t="s">
        <v>95</v>
      </c>
      <c r="E13" s="1" t="s">
        <v>96</v>
      </c>
      <c r="F13" s="1">
        <v>14</v>
      </c>
      <c r="G13" s="1" t="s">
        <v>68</v>
      </c>
      <c r="H13" s="1" t="s">
        <v>35</v>
      </c>
      <c r="I13" s="1" t="s">
        <v>49</v>
      </c>
      <c r="J13" s="1" t="s">
        <v>27</v>
      </c>
      <c r="K13" s="1" t="s">
        <v>97</v>
      </c>
      <c r="L13" s="1">
        <v>2</v>
      </c>
      <c r="M13" s="13">
        <v>274.81</v>
      </c>
      <c r="N13" s="15">
        <v>0.15</v>
      </c>
      <c r="O13" s="13">
        <v>379.5</v>
      </c>
      <c r="P13" s="13">
        <v>24.26</v>
      </c>
      <c r="Q13" s="13">
        <v>46.69</v>
      </c>
      <c r="R13" s="1" t="s">
        <v>51</v>
      </c>
      <c r="S13" s="1">
        <v>4</v>
      </c>
      <c r="T13" s="1" t="b">
        <v>0</v>
      </c>
      <c r="U13" s="1" t="s">
        <v>39</v>
      </c>
      <c r="V13" s="3">
        <v>4</v>
      </c>
    </row>
    <row r="14" spans="1:22" x14ac:dyDescent="0.3">
      <c r="A14" s="2" t="s">
        <v>98</v>
      </c>
      <c r="B14" s="10">
        <v>44818</v>
      </c>
      <c r="C14" s="22">
        <v>44818</v>
      </c>
      <c r="D14" s="1" t="s">
        <v>99</v>
      </c>
      <c r="E14" s="1" t="s">
        <v>100</v>
      </c>
      <c r="F14" s="1">
        <v>15</v>
      </c>
      <c r="G14" s="1" t="s">
        <v>24</v>
      </c>
      <c r="H14" s="1" t="s">
        <v>74</v>
      </c>
      <c r="I14" s="1" t="s">
        <v>101</v>
      </c>
      <c r="J14" s="1" t="s">
        <v>37</v>
      </c>
      <c r="K14" s="1" t="s">
        <v>102</v>
      </c>
      <c r="L14" s="1">
        <v>7</v>
      </c>
      <c r="M14" s="13">
        <v>111.14</v>
      </c>
      <c r="N14" s="15">
        <v>0.37</v>
      </c>
      <c r="O14" s="13">
        <v>567.33000000000004</v>
      </c>
      <c r="P14" s="13">
        <v>305.64999999999998</v>
      </c>
      <c r="Q14" s="13">
        <v>44.94</v>
      </c>
      <c r="R14" s="1" t="s">
        <v>57</v>
      </c>
      <c r="S14" s="1">
        <v>4</v>
      </c>
      <c r="T14" s="1" t="b">
        <v>0</v>
      </c>
      <c r="U14" s="1" t="s">
        <v>39</v>
      </c>
      <c r="V14" s="3">
        <v>9</v>
      </c>
    </row>
    <row r="15" spans="1:22" x14ac:dyDescent="0.3">
      <c r="A15" s="2" t="s">
        <v>103</v>
      </c>
      <c r="B15" s="10">
        <v>45312</v>
      </c>
      <c r="C15" s="22">
        <v>45312</v>
      </c>
      <c r="D15" s="1" t="s">
        <v>104</v>
      </c>
      <c r="E15" s="1" t="s">
        <v>105</v>
      </c>
      <c r="F15" s="1">
        <v>29</v>
      </c>
      <c r="G15" s="1" t="s">
        <v>68</v>
      </c>
      <c r="H15" s="1" t="s">
        <v>35</v>
      </c>
      <c r="I15" s="1" t="s">
        <v>106</v>
      </c>
      <c r="J15" s="1" t="s">
        <v>62</v>
      </c>
      <c r="K15" s="1" t="s">
        <v>107</v>
      </c>
      <c r="L15" s="1">
        <v>10</v>
      </c>
      <c r="M15" s="13">
        <v>1492.28</v>
      </c>
      <c r="N15" s="15">
        <v>0.38</v>
      </c>
      <c r="O15" s="13">
        <v>9315.19</v>
      </c>
      <c r="P15" s="13">
        <v>4336.3100000000004</v>
      </c>
      <c r="Q15" s="13">
        <v>66.67</v>
      </c>
      <c r="R15" s="1" t="s">
        <v>29</v>
      </c>
      <c r="S15" s="1">
        <v>3</v>
      </c>
      <c r="T15" s="1" t="b">
        <v>1</v>
      </c>
      <c r="U15" s="1" t="s">
        <v>30</v>
      </c>
      <c r="V15" s="3">
        <v>3</v>
      </c>
    </row>
    <row r="16" spans="1:22" x14ac:dyDescent="0.3">
      <c r="A16" s="2" t="s">
        <v>108</v>
      </c>
      <c r="B16" s="10">
        <v>44930</v>
      </c>
      <c r="C16" s="22">
        <v>44930</v>
      </c>
      <c r="D16" s="1" t="s">
        <v>109</v>
      </c>
      <c r="E16" s="1" t="s">
        <v>110</v>
      </c>
      <c r="F16" s="1">
        <v>53</v>
      </c>
      <c r="G16" s="1" t="s">
        <v>34</v>
      </c>
      <c r="H16" s="1" t="s">
        <v>111</v>
      </c>
      <c r="I16" s="1" t="s">
        <v>112</v>
      </c>
      <c r="J16" s="1" t="s">
        <v>76</v>
      </c>
      <c r="K16" s="1" t="s">
        <v>113</v>
      </c>
      <c r="L16" s="1">
        <v>9</v>
      </c>
      <c r="M16" s="13">
        <v>590.14</v>
      </c>
      <c r="N16" s="15">
        <v>0.21</v>
      </c>
      <c r="O16" s="13">
        <v>4824.04</v>
      </c>
      <c r="P16" s="13">
        <v>2277.4</v>
      </c>
      <c r="Q16" s="13">
        <v>79.19</v>
      </c>
      <c r="R16" s="1" t="s">
        <v>51</v>
      </c>
      <c r="S16" s="1">
        <v>1</v>
      </c>
      <c r="T16" s="1" t="b">
        <v>0</v>
      </c>
      <c r="U16" s="1" t="s">
        <v>39</v>
      </c>
      <c r="V16" s="3">
        <v>4</v>
      </c>
    </row>
    <row r="17" spans="1:22" x14ac:dyDescent="0.3">
      <c r="A17" s="2" t="s">
        <v>114</v>
      </c>
      <c r="B17" s="10">
        <v>45361</v>
      </c>
      <c r="C17" s="22">
        <v>45361</v>
      </c>
      <c r="D17" s="1" t="s">
        <v>115</v>
      </c>
      <c r="E17" s="1" t="s">
        <v>116</v>
      </c>
      <c r="F17" s="1">
        <v>30</v>
      </c>
      <c r="G17" s="1" t="s">
        <v>68</v>
      </c>
      <c r="H17" s="1" t="s">
        <v>111</v>
      </c>
      <c r="I17" s="1" t="s">
        <v>112</v>
      </c>
      <c r="J17" s="1" t="s">
        <v>44</v>
      </c>
      <c r="K17" s="1" t="s">
        <v>117</v>
      </c>
      <c r="L17" s="1">
        <v>10</v>
      </c>
      <c r="M17" s="13">
        <v>12138.87</v>
      </c>
      <c r="N17" s="15">
        <v>0.15</v>
      </c>
      <c r="O17" s="13">
        <v>144295.18</v>
      </c>
      <c r="P17" s="13">
        <v>50995.28</v>
      </c>
      <c r="Q17" s="13">
        <v>49.93</v>
      </c>
      <c r="R17" s="1" t="s">
        <v>51</v>
      </c>
      <c r="S17" s="1">
        <v>3</v>
      </c>
      <c r="T17" s="1" t="b">
        <v>0</v>
      </c>
      <c r="U17" s="1" t="s">
        <v>39</v>
      </c>
      <c r="V17" s="3">
        <v>1</v>
      </c>
    </row>
    <row r="18" spans="1:22" x14ac:dyDescent="0.3">
      <c r="A18" s="2" t="s">
        <v>118</v>
      </c>
      <c r="B18" s="10">
        <v>44634</v>
      </c>
      <c r="C18" s="22">
        <v>44634</v>
      </c>
      <c r="D18" s="1" t="s">
        <v>119</v>
      </c>
      <c r="E18" s="1" t="s">
        <v>120</v>
      </c>
      <c r="F18" s="1">
        <v>26</v>
      </c>
      <c r="G18" s="1" t="s">
        <v>34</v>
      </c>
      <c r="H18" s="1" t="s">
        <v>111</v>
      </c>
      <c r="I18" s="1" t="s">
        <v>121</v>
      </c>
      <c r="J18" s="1" t="s">
        <v>76</v>
      </c>
      <c r="K18" s="1" t="s">
        <v>122</v>
      </c>
      <c r="L18" s="1">
        <v>10</v>
      </c>
      <c r="M18" s="13">
        <v>1706.05</v>
      </c>
      <c r="N18" s="15">
        <v>0.04</v>
      </c>
      <c r="O18" s="13">
        <v>17995.41</v>
      </c>
      <c r="P18" s="13">
        <v>6453.4</v>
      </c>
      <c r="Q18" s="13">
        <v>89.15</v>
      </c>
      <c r="R18" s="1" t="s">
        <v>78</v>
      </c>
      <c r="S18" s="1">
        <v>5</v>
      </c>
      <c r="T18" s="1" t="b">
        <v>0</v>
      </c>
      <c r="U18" s="1" t="s">
        <v>39</v>
      </c>
      <c r="V18" s="3">
        <v>4</v>
      </c>
    </row>
    <row r="19" spans="1:22" x14ac:dyDescent="0.3">
      <c r="A19" s="2" t="s">
        <v>123</v>
      </c>
      <c r="B19" s="10">
        <v>45236</v>
      </c>
      <c r="C19" s="22">
        <v>45236</v>
      </c>
      <c r="D19" s="1" t="s">
        <v>124</v>
      </c>
      <c r="E19" s="1" t="s">
        <v>125</v>
      </c>
      <c r="F19" s="1">
        <v>15</v>
      </c>
      <c r="G19" s="1" t="s">
        <v>34</v>
      </c>
      <c r="H19" s="1" t="s">
        <v>82</v>
      </c>
      <c r="I19" s="1" t="s">
        <v>126</v>
      </c>
      <c r="J19" s="1" t="s">
        <v>127</v>
      </c>
      <c r="K19" s="1" t="s">
        <v>128</v>
      </c>
      <c r="L19" s="1">
        <v>8</v>
      </c>
      <c r="M19" s="13">
        <v>73558.44</v>
      </c>
      <c r="N19" s="15">
        <v>0.4</v>
      </c>
      <c r="O19" s="13">
        <v>315130.44</v>
      </c>
      <c r="P19" s="13">
        <v>53808.65</v>
      </c>
      <c r="Q19" s="13">
        <v>82.71</v>
      </c>
      <c r="R19" s="1" t="s">
        <v>78</v>
      </c>
      <c r="S19" s="1">
        <v>3</v>
      </c>
      <c r="T19" s="1" t="b">
        <v>0</v>
      </c>
      <c r="U19" s="1" t="s">
        <v>39</v>
      </c>
      <c r="V19" s="3">
        <v>6</v>
      </c>
    </row>
    <row r="20" spans="1:22" x14ac:dyDescent="0.3">
      <c r="A20" s="2" t="s">
        <v>129</v>
      </c>
      <c r="B20" s="10">
        <v>45643</v>
      </c>
      <c r="C20" s="22">
        <v>45643</v>
      </c>
      <c r="D20" s="1" t="s">
        <v>130</v>
      </c>
      <c r="E20" s="1" t="s">
        <v>131</v>
      </c>
      <c r="F20" s="1">
        <v>43</v>
      </c>
      <c r="G20" s="1" t="s">
        <v>34</v>
      </c>
      <c r="H20" s="1" t="s">
        <v>111</v>
      </c>
      <c r="I20" s="1" t="s">
        <v>112</v>
      </c>
      <c r="J20" s="1" t="s">
        <v>76</v>
      </c>
      <c r="K20" s="1" t="s">
        <v>132</v>
      </c>
      <c r="L20" s="1">
        <v>5</v>
      </c>
      <c r="M20" s="13">
        <v>3006.52</v>
      </c>
      <c r="N20" s="15">
        <v>0.12</v>
      </c>
      <c r="O20" s="13">
        <v>10622.32</v>
      </c>
      <c r="P20" s="13">
        <v>4837.79</v>
      </c>
      <c r="Q20" s="13">
        <v>75.97</v>
      </c>
      <c r="R20" s="1" t="s">
        <v>70</v>
      </c>
      <c r="S20" s="1">
        <v>1</v>
      </c>
      <c r="T20" s="1" t="b">
        <v>0</v>
      </c>
      <c r="U20" s="1" t="s">
        <v>39</v>
      </c>
      <c r="V20" s="3">
        <v>5</v>
      </c>
    </row>
    <row r="21" spans="1:22" x14ac:dyDescent="0.3">
      <c r="A21" s="2" t="s">
        <v>133</v>
      </c>
      <c r="B21" s="10">
        <v>43849</v>
      </c>
      <c r="C21" s="22">
        <v>43849</v>
      </c>
      <c r="D21" s="1" t="s">
        <v>134</v>
      </c>
      <c r="E21" s="1" t="s">
        <v>135</v>
      </c>
      <c r="F21" s="1">
        <v>21</v>
      </c>
      <c r="G21" s="1" t="s">
        <v>24</v>
      </c>
      <c r="H21" s="1" t="s">
        <v>74</v>
      </c>
      <c r="I21" s="1" t="s">
        <v>136</v>
      </c>
      <c r="J21" s="1" t="s">
        <v>44</v>
      </c>
      <c r="K21" s="1" t="s">
        <v>45</v>
      </c>
      <c r="L21" s="1">
        <v>3</v>
      </c>
      <c r="M21" s="13">
        <v>34890.629999999997</v>
      </c>
      <c r="N21" s="15">
        <v>0.28999999999999998</v>
      </c>
      <c r="O21" s="13">
        <v>64727.53</v>
      </c>
      <c r="P21" s="13">
        <v>18067.63</v>
      </c>
      <c r="Q21" s="13">
        <v>40.97</v>
      </c>
      <c r="R21" s="1" t="s">
        <v>57</v>
      </c>
      <c r="S21" s="1">
        <v>5</v>
      </c>
      <c r="T21" s="1" t="b">
        <v>0</v>
      </c>
      <c r="U21" s="1" t="s">
        <v>137</v>
      </c>
      <c r="V21" s="3">
        <v>3</v>
      </c>
    </row>
    <row r="22" spans="1:22" x14ac:dyDescent="0.3">
      <c r="A22" s="2" t="s">
        <v>138</v>
      </c>
      <c r="B22" s="10">
        <v>44705</v>
      </c>
      <c r="C22" s="22">
        <v>44705</v>
      </c>
      <c r="D22" s="1" t="s">
        <v>139</v>
      </c>
      <c r="E22" s="1" t="s">
        <v>140</v>
      </c>
      <c r="F22" s="1">
        <v>15</v>
      </c>
      <c r="G22" s="1" t="s">
        <v>24</v>
      </c>
      <c r="H22" s="1" t="s">
        <v>111</v>
      </c>
      <c r="I22" s="1" t="s">
        <v>141</v>
      </c>
      <c r="J22" s="1" t="s">
        <v>127</v>
      </c>
      <c r="K22" s="1" t="s">
        <v>142</v>
      </c>
      <c r="L22" s="1">
        <v>7</v>
      </c>
      <c r="M22" s="13">
        <v>48577.53</v>
      </c>
      <c r="N22" s="15">
        <v>7.0000000000000007E-2</v>
      </c>
      <c r="O22" s="13">
        <v>483408.08</v>
      </c>
      <c r="P22" s="13">
        <v>36816.910000000003</v>
      </c>
      <c r="Q22" s="13">
        <v>57.45</v>
      </c>
      <c r="R22" s="1" t="s">
        <v>51</v>
      </c>
      <c r="S22" s="1">
        <v>2</v>
      </c>
      <c r="T22" s="1" t="b">
        <v>0</v>
      </c>
      <c r="U22" s="1" t="s">
        <v>39</v>
      </c>
      <c r="V22" s="3">
        <v>4</v>
      </c>
    </row>
    <row r="23" spans="1:22" x14ac:dyDescent="0.3">
      <c r="A23" s="2" t="s">
        <v>143</v>
      </c>
      <c r="B23" s="10">
        <v>44272</v>
      </c>
      <c r="C23" s="22">
        <v>44272</v>
      </c>
      <c r="D23" s="1" t="s">
        <v>144</v>
      </c>
      <c r="E23" s="1" t="s">
        <v>145</v>
      </c>
      <c r="F23" s="1">
        <v>35</v>
      </c>
      <c r="G23" s="1" t="s">
        <v>68</v>
      </c>
      <c r="H23" s="1" t="s">
        <v>111</v>
      </c>
      <c r="I23" s="1" t="s">
        <v>112</v>
      </c>
      <c r="J23" s="1" t="s">
        <v>146</v>
      </c>
      <c r="K23" s="1" t="s">
        <v>147</v>
      </c>
      <c r="L23" s="1">
        <v>8</v>
      </c>
      <c r="M23" s="13">
        <v>7643.4</v>
      </c>
      <c r="N23" s="15">
        <v>0.09</v>
      </c>
      <c r="O23" s="13">
        <v>61783.199999999997</v>
      </c>
      <c r="P23" s="13">
        <v>10099.620000000001</v>
      </c>
      <c r="Q23" s="13">
        <v>65.760000000000005</v>
      </c>
      <c r="R23" s="1" t="s">
        <v>70</v>
      </c>
      <c r="S23" s="1">
        <v>3</v>
      </c>
      <c r="T23" s="1" t="b">
        <v>0</v>
      </c>
      <c r="U23" s="1" t="s">
        <v>39</v>
      </c>
      <c r="V23" s="3">
        <v>8</v>
      </c>
    </row>
    <row r="24" spans="1:22" x14ac:dyDescent="0.3">
      <c r="A24" s="2" t="s">
        <v>148</v>
      </c>
      <c r="B24" s="10">
        <v>45013</v>
      </c>
      <c r="C24" s="22">
        <v>45013</v>
      </c>
      <c r="D24" s="1" t="s">
        <v>149</v>
      </c>
      <c r="E24" s="1" t="s">
        <v>150</v>
      </c>
      <c r="F24" s="1">
        <v>22</v>
      </c>
      <c r="G24" s="1" t="s">
        <v>68</v>
      </c>
      <c r="H24" s="1" t="s">
        <v>25</v>
      </c>
      <c r="I24" s="1" t="s">
        <v>55</v>
      </c>
      <c r="J24" s="1" t="s">
        <v>62</v>
      </c>
      <c r="K24" s="1" t="s">
        <v>151</v>
      </c>
      <c r="L24" s="1">
        <v>6</v>
      </c>
      <c r="M24" s="13">
        <v>1467.54</v>
      </c>
      <c r="N24" s="15">
        <v>0.28999999999999998</v>
      </c>
      <c r="O24" s="13">
        <v>7477.88</v>
      </c>
      <c r="P24" s="13">
        <v>3606.99</v>
      </c>
      <c r="Q24" s="13">
        <v>50.88</v>
      </c>
      <c r="R24" s="1" t="s">
        <v>78</v>
      </c>
      <c r="S24" s="1">
        <v>3</v>
      </c>
      <c r="T24" s="1" t="b">
        <v>0</v>
      </c>
      <c r="U24" s="1" t="s">
        <v>39</v>
      </c>
      <c r="V24" s="3">
        <v>4</v>
      </c>
    </row>
    <row r="25" spans="1:22" x14ac:dyDescent="0.3">
      <c r="A25" s="2" t="s">
        <v>152</v>
      </c>
      <c r="B25" s="10">
        <v>45124</v>
      </c>
      <c r="C25" s="22">
        <v>45124</v>
      </c>
      <c r="D25" s="1" t="s">
        <v>153</v>
      </c>
      <c r="E25" s="1" t="s">
        <v>154</v>
      </c>
      <c r="F25" s="1">
        <v>30</v>
      </c>
      <c r="G25" s="1" t="s">
        <v>34</v>
      </c>
      <c r="H25" s="1" t="s">
        <v>111</v>
      </c>
      <c r="I25" s="1" t="s">
        <v>121</v>
      </c>
      <c r="J25" s="1" t="s">
        <v>62</v>
      </c>
      <c r="K25" s="1" t="s">
        <v>63</v>
      </c>
      <c r="L25" s="1">
        <v>5</v>
      </c>
      <c r="M25" s="13">
        <v>478.05</v>
      </c>
      <c r="N25" s="15">
        <v>0.02</v>
      </c>
      <c r="O25" s="13">
        <v>621.35</v>
      </c>
      <c r="P25" s="13">
        <v>290.89999999999998</v>
      </c>
      <c r="Q25" s="13">
        <v>63.7</v>
      </c>
      <c r="R25" s="1" t="s">
        <v>64</v>
      </c>
      <c r="S25" s="1">
        <v>2</v>
      </c>
      <c r="T25" s="1" t="b">
        <v>0</v>
      </c>
      <c r="U25" s="1" t="s">
        <v>39</v>
      </c>
      <c r="V25" s="3">
        <v>7</v>
      </c>
    </row>
    <row r="26" spans="1:22" x14ac:dyDescent="0.3">
      <c r="A26" s="2" t="s">
        <v>155</v>
      </c>
      <c r="B26" s="10">
        <v>45636</v>
      </c>
      <c r="C26" s="22">
        <v>45636</v>
      </c>
      <c r="D26" s="1" t="s">
        <v>156</v>
      </c>
      <c r="E26" s="1" t="s">
        <v>157</v>
      </c>
      <c r="F26" s="1">
        <v>44</v>
      </c>
      <c r="G26" s="1" t="s">
        <v>68</v>
      </c>
      <c r="H26" s="1" t="s">
        <v>25</v>
      </c>
      <c r="I26" s="1" t="s">
        <v>55</v>
      </c>
      <c r="J26" s="1" t="s">
        <v>62</v>
      </c>
      <c r="K26" s="1" t="s">
        <v>63</v>
      </c>
      <c r="L26" s="1">
        <v>7</v>
      </c>
      <c r="M26" s="13">
        <v>612.70000000000005</v>
      </c>
      <c r="N26" s="15">
        <v>0.22</v>
      </c>
      <c r="O26" s="13">
        <v>3224.82</v>
      </c>
      <c r="P26" s="13">
        <v>991.03</v>
      </c>
      <c r="Q26" s="13">
        <v>55.8</v>
      </c>
      <c r="R26" s="1" t="s">
        <v>70</v>
      </c>
      <c r="S26" s="1">
        <v>5</v>
      </c>
      <c r="T26" s="1" t="b">
        <v>0</v>
      </c>
      <c r="U26" s="1" t="s">
        <v>39</v>
      </c>
      <c r="V26" s="3">
        <v>4</v>
      </c>
    </row>
    <row r="27" spans="1:22" x14ac:dyDescent="0.3">
      <c r="A27" s="2" t="s">
        <v>158</v>
      </c>
      <c r="B27" s="10">
        <v>45521</v>
      </c>
      <c r="C27" s="22">
        <v>45521</v>
      </c>
      <c r="D27" s="1" t="s">
        <v>159</v>
      </c>
      <c r="E27" s="1" t="s">
        <v>160</v>
      </c>
      <c r="F27" s="1">
        <v>31</v>
      </c>
      <c r="G27" s="1" t="s">
        <v>24</v>
      </c>
      <c r="H27" s="1" t="s">
        <v>35</v>
      </c>
      <c r="I27" s="1" t="s">
        <v>43</v>
      </c>
      <c r="J27" s="1" t="s">
        <v>146</v>
      </c>
      <c r="K27" s="1" t="s">
        <v>161</v>
      </c>
      <c r="L27" s="1">
        <v>9</v>
      </c>
      <c r="M27" s="13">
        <v>3000.32</v>
      </c>
      <c r="N27" s="15">
        <v>0.21</v>
      </c>
      <c r="O27" s="13">
        <v>29267.25</v>
      </c>
      <c r="P27" s="13">
        <v>6330.95</v>
      </c>
      <c r="Q27" s="13">
        <v>68.5</v>
      </c>
      <c r="R27" s="1" t="s">
        <v>78</v>
      </c>
      <c r="S27" s="1">
        <v>4</v>
      </c>
      <c r="T27" s="1" t="b">
        <v>0</v>
      </c>
      <c r="U27" s="1" t="s">
        <v>39</v>
      </c>
      <c r="V27" s="3">
        <v>9</v>
      </c>
    </row>
    <row r="28" spans="1:22" x14ac:dyDescent="0.3">
      <c r="A28" s="2" t="s">
        <v>162</v>
      </c>
      <c r="B28" s="10">
        <v>44494</v>
      </c>
      <c r="C28" s="22">
        <v>44494</v>
      </c>
      <c r="D28" s="1" t="s">
        <v>163</v>
      </c>
      <c r="E28" s="1" t="s">
        <v>164</v>
      </c>
      <c r="F28" s="1">
        <v>31</v>
      </c>
      <c r="G28" s="1" t="s">
        <v>24</v>
      </c>
      <c r="H28" s="1" t="s">
        <v>35</v>
      </c>
      <c r="I28" s="1" t="s">
        <v>43</v>
      </c>
      <c r="J28" s="1" t="s">
        <v>27</v>
      </c>
      <c r="K28" s="1" t="s">
        <v>56</v>
      </c>
      <c r="L28" s="1">
        <v>2</v>
      </c>
      <c r="M28" s="13">
        <v>233.12</v>
      </c>
      <c r="N28" s="15">
        <v>0.28000000000000003</v>
      </c>
      <c r="O28" s="13">
        <v>322.86</v>
      </c>
      <c r="P28" s="13">
        <v>21.37</v>
      </c>
      <c r="Q28" s="13">
        <v>57.3</v>
      </c>
      <c r="R28" s="1" t="s">
        <v>64</v>
      </c>
      <c r="S28" s="1">
        <v>3</v>
      </c>
      <c r="T28" s="1" t="b">
        <v>0</v>
      </c>
      <c r="U28" s="1" t="s">
        <v>39</v>
      </c>
      <c r="V28" s="3">
        <v>7</v>
      </c>
    </row>
    <row r="29" spans="1:22" x14ac:dyDescent="0.3">
      <c r="A29" s="2" t="s">
        <v>165</v>
      </c>
      <c r="B29" s="10">
        <v>45480</v>
      </c>
      <c r="C29" s="22">
        <v>45480</v>
      </c>
      <c r="D29" s="1" t="s">
        <v>166</v>
      </c>
      <c r="E29" s="1" t="s">
        <v>167</v>
      </c>
      <c r="F29" s="1">
        <v>35</v>
      </c>
      <c r="G29" s="1" t="s">
        <v>68</v>
      </c>
      <c r="H29" s="1" t="s">
        <v>25</v>
      </c>
      <c r="I29" s="1" t="s">
        <v>69</v>
      </c>
      <c r="J29" s="1" t="s">
        <v>76</v>
      </c>
      <c r="K29" s="1" t="s">
        <v>113</v>
      </c>
      <c r="L29" s="1">
        <v>2</v>
      </c>
      <c r="M29" s="13">
        <v>735.25</v>
      </c>
      <c r="N29" s="15">
        <v>0.03</v>
      </c>
      <c r="O29" s="13">
        <v>2477.7199999999998</v>
      </c>
      <c r="P29" s="13">
        <v>795.65</v>
      </c>
      <c r="Q29" s="13">
        <v>74.95</v>
      </c>
      <c r="R29" s="1" t="s">
        <v>78</v>
      </c>
      <c r="S29" s="1">
        <v>5</v>
      </c>
      <c r="T29" s="1" t="b">
        <v>0</v>
      </c>
      <c r="U29" s="1" t="s">
        <v>39</v>
      </c>
      <c r="V29" s="3">
        <v>8</v>
      </c>
    </row>
    <row r="30" spans="1:22" x14ac:dyDescent="0.3">
      <c r="A30" s="2" t="s">
        <v>168</v>
      </c>
      <c r="B30" s="10">
        <v>44405</v>
      </c>
      <c r="C30" s="22">
        <v>44405</v>
      </c>
      <c r="D30" s="1" t="s">
        <v>169</v>
      </c>
      <c r="E30" s="1" t="s">
        <v>120</v>
      </c>
      <c r="F30" s="1">
        <v>35</v>
      </c>
      <c r="G30" s="1" t="s">
        <v>34</v>
      </c>
      <c r="H30" s="1" t="s">
        <v>25</v>
      </c>
      <c r="I30" s="1" t="s">
        <v>170</v>
      </c>
      <c r="J30" s="1" t="s">
        <v>127</v>
      </c>
      <c r="K30" s="1" t="s">
        <v>171</v>
      </c>
      <c r="L30" s="1">
        <v>9</v>
      </c>
      <c r="M30" s="13">
        <v>63147.82</v>
      </c>
      <c r="N30" s="15">
        <v>0.14000000000000001</v>
      </c>
      <c r="O30" s="13">
        <v>671607.78</v>
      </c>
      <c r="P30" s="13">
        <v>86070.79</v>
      </c>
      <c r="Q30" s="13">
        <v>60.5</v>
      </c>
      <c r="R30" s="1" t="s">
        <v>64</v>
      </c>
      <c r="S30" s="1">
        <v>4</v>
      </c>
      <c r="T30" s="1" t="b">
        <v>1</v>
      </c>
      <c r="U30" s="1" t="s">
        <v>30</v>
      </c>
      <c r="V30" s="3">
        <v>3</v>
      </c>
    </row>
    <row r="31" spans="1:22" x14ac:dyDescent="0.3">
      <c r="A31" s="2" t="s">
        <v>172</v>
      </c>
      <c r="B31" s="10">
        <v>44013</v>
      </c>
      <c r="C31" s="22">
        <v>44013</v>
      </c>
      <c r="D31" s="1" t="s">
        <v>173</v>
      </c>
      <c r="E31" s="1" t="s">
        <v>174</v>
      </c>
      <c r="F31" s="1">
        <v>51</v>
      </c>
      <c r="G31" s="1" t="s">
        <v>24</v>
      </c>
      <c r="H31" s="1" t="s">
        <v>35</v>
      </c>
      <c r="I31" s="1" t="s">
        <v>49</v>
      </c>
      <c r="J31" s="1" t="s">
        <v>62</v>
      </c>
      <c r="K31" s="1" t="s">
        <v>151</v>
      </c>
      <c r="L31" s="1">
        <v>8</v>
      </c>
      <c r="M31" s="13">
        <v>635.66</v>
      </c>
      <c r="N31" s="15">
        <v>0.34</v>
      </c>
      <c r="O31" s="13">
        <v>3704.84</v>
      </c>
      <c r="P31" s="13">
        <v>1269.07</v>
      </c>
      <c r="Q31" s="13">
        <v>67.010000000000005</v>
      </c>
      <c r="R31" s="1" t="s">
        <v>64</v>
      </c>
      <c r="S31" s="1">
        <v>1</v>
      </c>
      <c r="T31" s="1" t="b">
        <v>0</v>
      </c>
      <c r="U31" s="1" t="s">
        <v>39</v>
      </c>
      <c r="V31" s="3">
        <v>3</v>
      </c>
    </row>
    <row r="32" spans="1:22" x14ac:dyDescent="0.3">
      <c r="A32" s="2" t="s">
        <v>175</v>
      </c>
      <c r="B32" s="10">
        <v>44649</v>
      </c>
      <c r="C32" s="22">
        <v>44649</v>
      </c>
      <c r="D32" s="1" t="s">
        <v>176</v>
      </c>
      <c r="E32" s="1" t="s">
        <v>177</v>
      </c>
      <c r="F32" s="1">
        <v>28</v>
      </c>
      <c r="G32" s="1" t="s">
        <v>34</v>
      </c>
      <c r="H32" s="1" t="s">
        <v>111</v>
      </c>
      <c r="I32" s="1" t="s">
        <v>112</v>
      </c>
      <c r="J32" s="1" t="s">
        <v>146</v>
      </c>
      <c r="K32" s="1" t="s">
        <v>178</v>
      </c>
      <c r="L32" s="1">
        <v>7</v>
      </c>
      <c r="M32" s="13">
        <v>6478.95</v>
      </c>
      <c r="N32" s="15">
        <v>0.22</v>
      </c>
      <c r="O32" s="13">
        <v>43346.6</v>
      </c>
      <c r="P32" s="13">
        <v>8443.99</v>
      </c>
      <c r="Q32" s="13">
        <v>69.59</v>
      </c>
      <c r="R32" s="1" t="s">
        <v>51</v>
      </c>
      <c r="S32" s="1">
        <v>1</v>
      </c>
      <c r="T32" s="1" t="b">
        <v>0</v>
      </c>
      <c r="U32" s="1" t="s">
        <v>39</v>
      </c>
      <c r="V32" s="3">
        <v>2</v>
      </c>
    </row>
    <row r="33" spans="1:22" x14ac:dyDescent="0.3">
      <c r="A33" s="2" t="s">
        <v>179</v>
      </c>
      <c r="B33" s="10">
        <v>44995</v>
      </c>
      <c r="C33" s="22">
        <v>44995</v>
      </c>
      <c r="D33" s="1" t="s">
        <v>180</v>
      </c>
      <c r="E33" s="1" t="s">
        <v>181</v>
      </c>
      <c r="F33" s="1">
        <v>41</v>
      </c>
      <c r="G33" s="1" t="s">
        <v>34</v>
      </c>
      <c r="H33" s="1" t="s">
        <v>111</v>
      </c>
      <c r="I33" s="1" t="s">
        <v>112</v>
      </c>
      <c r="J33" s="1" t="s">
        <v>37</v>
      </c>
      <c r="K33" s="1" t="s">
        <v>182</v>
      </c>
      <c r="L33" s="1">
        <v>3</v>
      </c>
      <c r="M33" s="13">
        <v>1290.21</v>
      </c>
      <c r="N33" s="15">
        <v>0.12</v>
      </c>
      <c r="O33" s="13">
        <v>3690.09</v>
      </c>
      <c r="P33" s="13">
        <v>1777.76</v>
      </c>
      <c r="Q33" s="13">
        <v>64.97</v>
      </c>
      <c r="R33" s="1" t="s">
        <v>64</v>
      </c>
      <c r="S33" s="1">
        <v>3</v>
      </c>
      <c r="T33" s="1" t="b">
        <v>0</v>
      </c>
      <c r="U33" s="1" t="s">
        <v>39</v>
      </c>
      <c r="V33" s="3">
        <v>5</v>
      </c>
    </row>
    <row r="34" spans="1:22" x14ac:dyDescent="0.3">
      <c r="A34" s="2" t="s">
        <v>183</v>
      </c>
      <c r="B34" s="10">
        <v>44254</v>
      </c>
      <c r="C34" s="22">
        <v>44254</v>
      </c>
      <c r="D34" s="1" t="s">
        <v>184</v>
      </c>
      <c r="E34" s="1" t="s">
        <v>185</v>
      </c>
      <c r="F34" s="1">
        <v>29</v>
      </c>
      <c r="G34" s="1" t="s">
        <v>68</v>
      </c>
      <c r="H34" s="1" t="s">
        <v>25</v>
      </c>
      <c r="I34" s="1" t="s">
        <v>55</v>
      </c>
      <c r="J34" s="1" t="s">
        <v>44</v>
      </c>
      <c r="K34" s="1" t="s">
        <v>186</v>
      </c>
      <c r="L34" s="1">
        <v>1</v>
      </c>
      <c r="M34" s="13">
        <v>33537.06</v>
      </c>
      <c r="N34" s="15">
        <v>0.25</v>
      </c>
      <c r="O34" s="13">
        <v>24565.06</v>
      </c>
      <c r="P34" s="13">
        <v>5814.79</v>
      </c>
      <c r="Q34" s="13">
        <v>56.47</v>
      </c>
      <c r="R34" s="1" t="s">
        <v>29</v>
      </c>
      <c r="S34" s="1">
        <v>4</v>
      </c>
      <c r="T34" s="1" t="b">
        <v>0</v>
      </c>
      <c r="U34" s="1" t="s">
        <v>39</v>
      </c>
      <c r="V34" s="3">
        <v>2</v>
      </c>
    </row>
    <row r="35" spans="1:22" x14ac:dyDescent="0.3">
      <c r="A35" s="2" t="s">
        <v>187</v>
      </c>
      <c r="B35" s="10">
        <v>45314</v>
      </c>
      <c r="C35" s="22">
        <v>45314</v>
      </c>
      <c r="D35" s="1" t="s">
        <v>188</v>
      </c>
      <c r="E35" s="1" t="s">
        <v>189</v>
      </c>
      <c r="F35" s="1">
        <v>20</v>
      </c>
      <c r="G35" s="1" t="s">
        <v>34</v>
      </c>
      <c r="H35" s="1" t="s">
        <v>82</v>
      </c>
      <c r="I35" s="1" t="s">
        <v>126</v>
      </c>
      <c r="J35" s="1" t="s">
        <v>127</v>
      </c>
      <c r="K35" s="1" t="s">
        <v>142</v>
      </c>
      <c r="L35" s="1">
        <v>3</v>
      </c>
      <c r="M35" s="13">
        <v>64874.09</v>
      </c>
      <c r="N35" s="15">
        <v>0.02</v>
      </c>
      <c r="O35" s="13">
        <v>177754.39</v>
      </c>
      <c r="P35" s="13">
        <v>20320.939999999999</v>
      </c>
      <c r="Q35" s="13">
        <v>79.56</v>
      </c>
      <c r="R35" s="1" t="s">
        <v>78</v>
      </c>
      <c r="S35" s="1">
        <v>1</v>
      </c>
      <c r="T35" s="1" t="b">
        <v>0</v>
      </c>
      <c r="U35" s="1" t="s">
        <v>39</v>
      </c>
      <c r="V35" s="3">
        <v>7</v>
      </c>
    </row>
    <row r="36" spans="1:22" x14ac:dyDescent="0.3">
      <c r="A36" s="2" t="s">
        <v>190</v>
      </c>
      <c r="B36" s="10">
        <v>44506</v>
      </c>
      <c r="C36" s="22">
        <v>44506</v>
      </c>
      <c r="D36" s="1" t="s">
        <v>191</v>
      </c>
      <c r="E36" s="1" t="s">
        <v>100</v>
      </c>
      <c r="F36" s="1">
        <v>65</v>
      </c>
      <c r="G36" s="1" t="s">
        <v>24</v>
      </c>
      <c r="H36" s="1" t="s">
        <v>74</v>
      </c>
      <c r="I36" s="1" t="s">
        <v>192</v>
      </c>
      <c r="J36" s="1" t="s">
        <v>62</v>
      </c>
      <c r="K36" s="1" t="s">
        <v>151</v>
      </c>
      <c r="L36" s="1">
        <v>4</v>
      </c>
      <c r="M36" s="13">
        <v>1350.95</v>
      </c>
      <c r="N36" s="15">
        <v>0.21</v>
      </c>
      <c r="O36" s="13">
        <v>3635.51</v>
      </c>
      <c r="P36" s="13">
        <v>1854.28</v>
      </c>
      <c r="Q36" s="13">
        <v>44.83</v>
      </c>
      <c r="R36" s="1" t="s">
        <v>70</v>
      </c>
      <c r="S36" s="1">
        <v>3</v>
      </c>
      <c r="T36" s="1" t="b">
        <v>0</v>
      </c>
      <c r="U36" s="1" t="s">
        <v>39</v>
      </c>
      <c r="V36" s="3">
        <v>2</v>
      </c>
    </row>
    <row r="37" spans="1:22" x14ac:dyDescent="0.3">
      <c r="A37" s="2" t="s">
        <v>193</v>
      </c>
      <c r="B37" s="10">
        <v>45587</v>
      </c>
      <c r="C37" s="22">
        <v>45587</v>
      </c>
      <c r="D37" s="1" t="s">
        <v>194</v>
      </c>
      <c r="E37" s="1" t="s">
        <v>195</v>
      </c>
      <c r="F37" s="1">
        <v>26</v>
      </c>
      <c r="G37" s="1" t="s">
        <v>24</v>
      </c>
      <c r="H37" s="1" t="s">
        <v>74</v>
      </c>
      <c r="I37" s="1" t="s">
        <v>75</v>
      </c>
      <c r="J37" s="1" t="s">
        <v>127</v>
      </c>
      <c r="K37" s="1" t="s">
        <v>196</v>
      </c>
      <c r="L37" s="1">
        <v>3</v>
      </c>
      <c r="M37" s="13">
        <v>68799.42</v>
      </c>
      <c r="N37" s="15">
        <v>7.0000000000000007E-2</v>
      </c>
      <c r="O37" s="13">
        <v>232621.97</v>
      </c>
      <c r="P37" s="13">
        <v>36091.769999999997</v>
      </c>
      <c r="Q37" s="13">
        <v>48.01</v>
      </c>
      <c r="R37" s="1" t="s">
        <v>78</v>
      </c>
      <c r="S37" s="1">
        <v>1</v>
      </c>
      <c r="T37" s="1" t="b">
        <v>0</v>
      </c>
      <c r="U37" s="1" t="s">
        <v>197</v>
      </c>
      <c r="V37" s="3">
        <v>7</v>
      </c>
    </row>
    <row r="38" spans="1:22" x14ac:dyDescent="0.3">
      <c r="A38" s="2" t="s">
        <v>198</v>
      </c>
      <c r="B38" s="10">
        <v>44943</v>
      </c>
      <c r="C38" s="22">
        <v>44943</v>
      </c>
      <c r="D38" s="1" t="s">
        <v>199</v>
      </c>
      <c r="E38" s="1" t="s">
        <v>200</v>
      </c>
      <c r="F38" s="1">
        <v>35</v>
      </c>
      <c r="G38" s="1" t="s">
        <v>34</v>
      </c>
      <c r="H38" s="1" t="s">
        <v>74</v>
      </c>
      <c r="I38" s="1" t="s">
        <v>75</v>
      </c>
      <c r="J38" s="1" t="s">
        <v>44</v>
      </c>
      <c r="K38" s="1" t="s">
        <v>45</v>
      </c>
      <c r="L38" s="1">
        <v>3</v>
      </c>
      <c r="M38" s="13">
        <v>31242.32</v>
      </c>
      <c r="N38" s="15">
        <v>0.01</v>
      </c>
      <c r="O38" s="13">
        <v>92924.36</v>
      </c>
      <c r="P38" s="13">
        <v>27403.47</v>
      </c>
      <c r="Q38" s="13">
        <v>52.73</v>
      </c>
      <c r="R38" s="1" t="s">
        <v>29</v>
      </c>
      <c r="S38" s="1">
        <v>3</v>
      </c>
      <c r="T38" s="1" t="b">
        <v>1</v>
      </c>
      <c r="U38" s="1" t="s">
        <v>30</v>
      </c>
      <c r="V38" s="3">
        <v>4</v>
      </c>
    </row>
    <row r="39" spans="1:22" x14ac:dyDescent="0.3">
      <c r="A39" s="2" t="s">
        <v>201</v>
      </c>
      <c r="B39" s="10">
        <v>44726</v>
      </c>
      <c r="C39" s="22">
        <v>44726</v>
      </c>
      <c r="D39" s="1" t="s">
        <v>202</v>
      </c>
      <c r="E39" s="1" t="s">
        <v>203</v>
      </c>
      <c r="F39" s="1">
        <v>30</v>
      </c>
      <c r="G39" s="1" t="s">
        <v>24</v>
      </c>
      <c r="H39" s="1" t="s">
        <v>25</v>
      </c>
      <c r="I39" s="1" t="s">
        <v>69</v>
      </c>
      <c r="J39" s="1" t="s">
        <v>62</v>
      </c>
      <c r="K39" s="1" t="s">
        <v>151</v>
      </c>
      <c r="L39" s="1">
        <v>5</v>
      </c>
      <c r="M39" s="13">
        <v>1431.29</v>
      </c>
      <c r="N39" s="15">
        <v>0.04</v>
      </c>
      <c r="O39" s="13">
        <v>1929.4</v>
      </c>
      <c r="P39" s="13">
        <v>819.7</v>
      </c>
      <c r="Q39" s="13">
        <v>70.38</v>
      </c>
      <c r="R39" s="1" t="s">
        <v>70</v>
      </c>
      <c r="S39" s="1">
        <v>5</v>
      </c>
      <c r="T39" s="1" t="b">
        <v>1</v>
      </c>
      <c r="U39" s="1" t="s">
        <v>30</v>
      </c>
      <c r="V39" s="3">
        <v>8</v>
      </c>
    </row>
    <row r="40" spans="1:22" x14ac:dyDescent="0.3">
      <c r="A40" s="2" t="s">
        <v>204</v>
      </c>
      <c r="B40" s="10">
        <v>45473</v>
      </c>
      <c r="C40" s="22">
        <v>45473</v>
      </c>
      <c r="D40" s="1" t="s">
        <v>205</v>
      </c>
      <c r="E40" s="1" t="s">
        <v>206</v>
      </c>
      <c r="F40" s="1">
        <v>27</v>
      </c>
      <c r="G40" s="1" t="s">
        <v>34</v>
      </c>
      <c r="H40" s="1" t="s">
        <v>111</v>
      </c>
      <c r="I40" s="1" t="s">
        <v>121</v>
      </c>
      <c r="J40" s="1" t="s">
        <v>76</v>
      </c>
      <c r="K40" s="1" t="s">
        <v>207</v>
      </c>
      <c r="L40" s="1">
        <v>3</v>
      </c>
      <c r="M40" s="13">
        <v>1621.83</v>
      </c>
      <c r="N40" s="15">
        <v>0.4</v>
      </c>
      <c r="O40" s="13">
        <v>4851.55</v>
      </c>
      <c r="P40" s="13">
        <v>1799.06</v>
      </c>
      <c r="Q40" s="13">
        <v>67.23</v>
      </c>
      <c r="R40" s="1" t="s">
        <v>70</v>
      </c>
      <c r="S40" s="1">
        <v>2</v>
      </c>
      <c r="T40" s="1" t="b">
        <v>0</v>
      </c>
      <c r="U40" s="1" t="s">
        <v>39</v>
      </c>
      <c r="V40" s="3">
        <v>4</v>
      </c>
    </row>
    <row r="41" spans="1:22" x14ac:dyDescent="0.3">
      <c r="A41" s="2" t="s">
        <v>208</v>
      </c>
      <c r="B41" s="10">
        <v>43840</v>
      </c>
      <c r="C41" s="22">
        <v>43840</v>
      </c>
      <c r="D41" s="1" t="s">
        <v>209</v>
      </c>
      <c r="E41" s="1" t="s">
        <v>210</v>
      </c>
      <c r="F41" s="1">
        <v>52</v>
      </c>
      <c r="G41" s="1" t="s">
        <v>68</v>
      </c>
      <c r="H41" s="1" t="s">
        <v>35</v>
      </c>
      <c r="I41" s="1" t="s">
        <v>36</v>
      </c>
      <c r="J41" s="1" t="s">
        <v>62</v>
      </c>
      <c r="K41" s="1" t="s">
        <v>107</v>
      </c>
      <c r="L41" s="1">
        <v>10</v>
      </c>
      <c r="M41" s="13">
        <v>324.41000000000003</v>
      </c>
      <c r="N41" s="15">
        <v>0.32</v>
      </c>
      <c r="O41" s="13">
        <v>1810.18</v>
      </c>
      <c r="P41" s="13">
        <v>903.99</v>
      </c>
      <c r="Q41" s="13">
        <v>48.24</v>
      </c>
      <c r="R41" s="1" t="s">
        <v>78</v>
      </c>
      <c r="S41" s="1">
        <v>3</v>
      </c>
      <c r="T41" s="1" t="b">
        <v>0</v>
      </c>
      <c r="U41" s="1" t="s">
        <v>39</v>
      </c>
      <c r="V41" s="3">
        <v>4</v>
      </c>
    </row>
    <row r="42" spans="1:22" x14ac:dyDescent="0.3">
      <c r="A42" s="2" t="s">
        <v>211</v>
      </c>
      <c r="B42" s="10">
        <v>45077</v>
      </c>
      <c r="C42" s="22">
        <v>45077</v>
      </c>
      <c r="D42" s="1" t="s">
        <v>212</v>
      </c>
      <c r="E42" s="1" t="s">
        <v>213</v>
      </c>
      <c r="F42" s="1">
        <v>42</v>
      </c>
      <c r="G42" s="1" t="s">
        <v>68</v>
      </c>
      <c r="H42" s="1" t="s">
        <v>25</v>
      </c>
      <c r="I42" s="1" t="s">
        <v>170</v>
      </c>
      <c r="J42" s="1" t="s">
        <v>44</v>
      </c>
      <c r="K42" s="1" t="s">
        <v>93</v>
      </c>
      <c r="L42" s="1">
        <v>6</v>
      </c>
      <c r="M42" s="13">
        <v>20242.36</v>
      </c>
      <c r="N42" s="15">
        <v>0.04</v>
      </c>
      <c r="O42" s="13">
        <v>191398.26</v>
      </c>
      <c r="P42" s="13">
        <v>59116.34</v>
      </c>
      <c r="Q42" s="13">
        <v>83.75</v>
      </c>
      <c r="R42" s="1" t="s">
        <v>70</v>
      </c>
      <c r="S42" s="1">
        <v>2</v>
      </c>
      <c r="T42" s="1" t="b">
        <v>0</v>
      </c>
      <c r="U42" s="1" t="s">
        <v>39</v>
      </c>
      <c r="V42" s="3">
        <v>9</v>
      </c>
    </row>
    <row r="43" spans="1:22" x14ac:dyDescent="0.3">
      <c r="A43" s="2" t="s">
        <v>214</v>
      </c>
      <c r="B43" s="10">
        <v>44711</v>
      </c>
      <c r="C43" s="22">
        <v>44711</v>
      </c>
      <c r="D43" s="1" t="s">
        <v>215</v>
      </c>
      <c r="E43" s="1" t="s">
        <v>216</v>
      </c>
      <c r="F43" s="1">
        <v>40</v>
      </c>
      <c r="G43" s="1" t="s">
        <v>24</v>
      </c>
      <c r="H43" s="1" t="s">
        <v>74</v>
      </c>
      <c r="I43" s="1" t="s">
        <v>101</v>
      </c>
      <c r="J43" s="1" t="s">
        <v>146</v>
      </c>
      <c r="K43" s="1" t="s">
        <v>217</v>
      </c>
      <c r="L43" s="1">
        <v>9</v>
      </c>
      <c r="M43" s="13">
        <v>14422.23</v>
      </c>
      <c r="N43" s="15">
        <v>0.21</v>
      </c>
      <c r="O43" s="13">
        <v>145427.41</v>
      </c>
      <c r="P43" s="13">
        <v>40739.980000000003</v>
      </c>
      <c r="Q43" s="13">
        <v>58.92</v>
      </c>
      <c r="R43" s="1" t="s">
        <v>51</v>
      </c>
      <c r="S43" s="1">
        <v>5</v>
      </c>
      <c r="T43" s="1" t="b">
        <v>0</v>
      </c>
      <c r="U43" s="1" t="s">
        <v>39</v>
      </c>
      <c r="V43" s="3">
        <v>1</v>
      </c>
    </row>
    <row r="44" spans="1:22" x14ac:dyDescent="0.3">
      <c r="A44" s="2" t="s">
        <v>218</v>
      </c>
      <c r="B44" s="10">
        <v>44013</v>
      </c>
      <c r="C44" s="22">
        <v>44013</v>
      </c>
      <c r="D44" s="1" t="s">
        <v>219</v>
      </c>
      <c r="E44" s="1" t="s">
        <v>220</v>
      </c>
      <c r="F44" s="1">
        <v>-6</v>
      </c>
      <c r="G44" s="1" t="s">
        <v>68</v>
      </c>
      <c r="H44" s="1" t="s">
        <v>74</v>
      </c>
      <c r="I44" s="1" t="s">
        <v>192</v>
      </c>
      <c r="J44" s="1" t="s">
        <v>44</v>
      </c>
      <c r="K44" s="1" t="s">
        <v>221</v>
      </c>
      <c r="L44" s="1">
        <v>2</v>
      </c>
      <c r="M44" s="13">
        <v>33115.910000000003</v>
      </c>
      <c r="N44" s="15">
        <v>0.28000000000000003</v>
      </c>
      <c r="O44" s="13">
        <v>53911.88</v>
      </c>
      <c r="P44" s="13">
        <v>13232.77</v>
      </c>
      <c r="Q44" s="13">
        <v>39.83</v>
      </c>
      <c r="R44" s="1" t="s">
        <v>51</v>
      </c>
      <c r="S44" s="1">
        <v>5</v>
      </c>
      <c r="T44" s="1" t="b">
        <v>0</v>
      </c>
      <c r="U44" s="1" t="s">
        <v>39</v>
      </c>
      <c r="V44" s="3">
        <v>1</v>
      </c>
    </row>
    <row r="45" spans="1:22" x14ac:dyDescent="0.3">
      <c r="A45" s="2" t="s">
        <v>222</v>
      </c>
      <c r="B45" s="10">
        <v>45077</v>
      </c>
      <c r="C45" s="22">
        <v>45077</v>
      </c>
      <c r="D45" s="1" t="s">
        <v>223</v>
      </c>
      <c r="E45" s="1" t="s">
        <v>224</v>
      </c>
      <c r="F45" s="1">
        <v>49</v>
      </c>
      <c r="G45" s="1" t="s">
        <v>68</v>
      </c>
      <c r="H45" s="1" t="s">
        <v>74</v>
      </c>
      <c r="I45" s="1" t="s">
        <v>75</v>
      </c>
      <c r="J45" s="1" t="s">
        <v>146</v>
      </c>
      <c r="K45" s="1" t="s">
        <v>178</v>
      </c>
      <c r="L45" s="1">
        <v>8</v>
      </c>
      <c r="M45" s="13">
        <v>3917.74</v>
      </c>
      <c r="N45" s="15">
        <v>0.27</v>
      </c>
      <c r="O45" s="13">
        <v>36596.17</v>
      </c>
      <c r="P45" s="13">
        <v>11271.87</v>
      </c>
      <c r="Q45" s="13">
        <v>60.71</v>
      </c>
      <c r="R45" s="1" t="s">
        <v>64</v>
      </c>
      <c r="S45" s="1">
        <v>3</v>
      </c>
      <c r="T45" s="1" t="b">
        <v>0</v>
      </c>
      <c r="U45" s="1" t="s">
        <v>39</v>
      </c>
      <c r="V45" s="3">
        <v>8</v>
      </c>
    </row>
    <row r="46" spans="1:22" x14ac:dyDescent="0.3">
      <c r="A46" s="2" t="s">
        <v>225</v>
      </c>
      <c r="B46" s="10">
        <v>44174</v>
      </c>
      <c r="C46" s="22">
        <v>44174</v>
      </c>
      <c r="D46" s="1" t="s">
        <v>226</v>
      </c>
      <c r="E46" s="1" t="s">
        <v>227</v>
      </c>
      <c r="F46" s="1">
        <v>999</v>
      </c>
      <c r="G46" s="1" t="s">
        <v>68</v>
      </c>
      <c r="H46" s="1" t="s">
        <v>111</v>
      </c>
      <c r="I46" s="1" t="s">
        <v>112</v>
      </c>
      <c r="J46" s="1" t="s">
        <v>44</v>
      </c>
      <c r="K46" s="1" t="s">
        <v>186</v>
      </c>
      <c r="L46" s="1">
        <v>4</v>
      </c>
      <c r="M46" s="13">
        <v>11267.5</v>
      </c>
      <c r="N46" s="15">
        <v>0.2</v>
      </c>
      <c r="O46" s="13">
        <v>24230.41</v>
      </c>
      <c r="P46" s="13">
        <v>7321.53</v>
      </c>
      <c r="Q46" s="13">
        <v>70.73</v>
      </c>
      <c r="R46" s="1" t="s">
        <v>78</v>
      </c>
      <c r="S46" s="1">
        <v>4</v>
      </c>
      <c r="T46" s="1" t="b">
        <v>0</v>
      </c>
      <c r="U46" s="1" t="s">
        <v>39</v>
      </c>
      <c r="V46" s="3">
        <v>1</v>
      </c>
    </row>
    <row r="47" spans="1:22" x14ac:dyDescent="0.3">
      <c r="A47" s="2" t="s">
        <v>228</v>
      </c>
      <c r="B47" s="10">
        <v>45283</v>
      </c>
      <c r="C47" s="22">
        <v>45283</v>
      </c>
      <c r="D47" s="1" t="s">
        <v>229</v>
      </c>
      <c r="E47" s="1" t="s">
        <v>230</v>
      </c>
      <c r="F47" s="1">
        <v>34</v>
      </c>
      <c r="G47" s="1" t="s">
        <v>34</v>
      </c>
      <c r="H47" s="1" t="s">
        <v>82</v>
      </c>
      <c r="I47" s="1" t="s">
        <v>83</v>
      </c>
      <c r="J47" s="1" t="s">
        <v>37</v>
      </c>
      <c r="K47" s="1" t="s">
        <v>231</v>
      </c>
      <c r="L47" s="1">
        <v>5</v>
      </c>
      <c r="M47" s="13">
        <v>2497.1</v>
      </c>
      <c r="N47" s="15">
        <v>0.37</v>
      </c>
      <c r="O47" s="13">
        <v>6596.23</v>
      </c>
      <c r="P47" s="13">
        <v>2649.2</v>
      </c>
      <c r="Q47" s="13">
        <v>61.27</v>
      </c>
      <c r="R47" s="1" t="s">
        <v>64</v>
      </c>
      <c r="S47" s="1">
        <v>1</v>
      </c>
      <c r="T47" s="1" t="b">
        <v>0</v>
      </c>
      <c r="U47" s="1" t="s">
        <v>137</v>
      </c>
      <c r="V47" s="3">
        <v>5</v>
      </c>
    </row>
    <row r="48" spans="1:22" x14ac:dyDescent="0.3">
      <c r="A48" s="2" t="s">
        <v>232</v>
      </c>
      <c r="B48" s="10">
        <v>44822</v>
      </c>
      <c r="C48" s="22">
        <v>44822</v>
      </c>
      <c r="D48" s="1" t="s">
        <v>233</v>
      </c>
      <c r="E48" s="1" t="s">
        <v>234</v>
      </c>
      <c r="F48" s="1">
        <v>38</v>
      </c>
      <c r="G48" s="1" t="s">
        <v>24</v>
      </c>
      <c r="H48" s="1" t="s">
        <v>25</v>
      </c>
      <c r="I48" s="1" t="s">
        <v>26</v>
      </c>
      <c r="J48" s="1" t="s">
        <v>127</v>
      </c>
      <c r="K48" s="1" t="s">
        <v>196</v>
      </c>
      <c r="L48" s="1">
        <v>5</v>
      </c>
      <c r="M48" s="13">
        <v>11463.02</v>
      </c>
      <c r="N48" s="15">
        <v>0.34</v>
      </c>
      <c r="O48" s="13">
        <v>44107</v>
      </c>
      <c r="P48" s="13">
        <v>3355.55</v>
      </c>
      <c r="Q48" s="13">
        <v>36.32</v>
      </c>
      <c r="R48" s="1" t="s">
        <v>64</v>
      </c>
      <c r="S48" s="1">
        <v>5</v>
      </c>
      <c r="T48" s="1" t="b">
        <v>0</v>
      </c>
      <c r="U48" s="1" t="s">
        <v>39</v>
      </c>
      <c r="V48" s="3">
        <v>10</v>
      </c>
    </row>
    <row r="49" spans="1:22" x14ac:dyDescent="0.3">
      <c r="A49" s="2" t="s">
        <v>235</v>
      </c>
      <c r="B49" s="10">
        <v>45618</v>
      </c>
      <c r="C49" s="22">
        <v>45618</v>
      </c>
      <c r="D49" s="1" t="s">
        <v>236</v>
      </c>
      <c r="E49" s="1" t="s">
        <v>237</v>
      </c>
      <c r="F49" s="1">
        <v>57</v>
      </c>
      <c r="G49" s="1" t="s">
        <v>68</v>
      </c>
      <c r="H49" s="1" t="s">
        <v>25</v>
      </c>
      <c r="I49" s="1" t="s">
        <v>170</v>
      </c>
      <c r="J49" s="1" t="s">
        <v>62</v>
      </c>
      <c r="K49" s="1" t="s">
        <v>151</v>
      </c>
      <c r="L49" s="1">
        <v>7</v>
      </c>
      <c r="M49" s="13">
        <v>785.67</v>
      </c>
      <c r="N49" s="15">
        <v>0.12</v>
      </c>
      <c r="O49" s="13">
        <v>4582.79</v>
      </c>
      <c r="P49" s="13">
        <v>2037.5</v>
      </c>
      <c r="Q49" s="13">
        <v>63.64</v>
      </c>
      <c r="R49" s="1" t="s">
        <v>70</v>
      </c>
      <c r="S49" s="1">
        <v>3</v>
      </c>
      <c r="T49" s="1" t="b">
        <v>0</v>
      </c>
      <c r="U49" s="1" t="s">
        <v>39</v>
      </c>
      <c r="V49" s="3">
        <v>2</v>
      </c>
    </row>
    <row r="50" spans="1:22" x14ac:dyDescent="0.3">
      <c r="A50" s="2" t="s">
        <v>238</v>
      </c>
      <c r="B50" s="10">
        <v>44151</v>
      </c>
      <c r="C50" s="22">
        <v>44151</v>
      </c>
      <c r="D50" s="1" t="s">
        <v>239</v>
      </c>
      <c r="E50" s="1" t="s">
        <v>240</v>
      </c>
      <c r="F50" s="1">
        <v>36</v>
      </c>
      <c r="G50" s="1" t="s">
        <v>68</v>
      </c>
      <c r="H50" s="1" t="s">
        <v>74</v>
      </c>
      <c r="I50" s="1" t="s">
        <v>101</v>
      </c>
      <c r="J50" s="1" t="s">
        <v>76</v>
      </c>
      <c r="K50" s="1" t="s">
        <v>207</v>
      </c>
      <c r="L50" s="1">
        <v>2</v>
      </c>
      <c r="M50" s="13">
        <v>1557.26</v>
      </c>
      <c r="N50" s="15">
        <v>0.13</v>
      </c>
      <c r="O50" s="13">
        <v>1859.03</v>
      </c>
      <c r="P50" s="13">
        <v>840.29</v>
      </c>
      <c r="Q50" s="13">
        <v>50.66</v>
      </c>
      <c r="R50" s="1" t="s">
        <v>51</v>
      </c>
      <c r="S50" s="1">
        <v>2</v>
      </c>
      <c r="T50" s="1" t="b">
        <v>0</v>
      </c>
      <c r="U50" s="1" t="s">
        <v>39</v>
      </c>
      <c r="V50" s="3">
        <v>10</v>
      </c>
    </row>
    <row r="51" spans="1:22" x14ac:dyDescent="0.3">
      <c r="A51" s="2" t="s">
        <v>241</v>
      </c>
      <c r="B51" s="10">
        <v>44656</v>
      </c>
      <c r="C51" s="22">
        <v>44656</v>
      </c>
      <c r="D51" s="1" t="s">
        <v>242</v>
      </c>
      <c r="E51" s="1" t="s">
        <v>243</v>
      </c>
      <c r="F51" s="1">
        <v>48</v>
      </c>
      <c r="G51" s="1" t="s">
        <v>34</v>
      </c>
      <c r="H51" s="1" t="s">
        <v>82</v>
      </c>
      <c r="I51" s="1" t="s">
        <v>244</v>
      </c>
      <c r="J51" s="1" t="s">
        <v>27</v>
      </c>
      <c r="K51" s="1" t="s">
        <v>56</v>
      </c>
      <c r="L51" s="1">
        <v>2</v>
      </c>
      <c r="M51" s="13">
        <v>393.55</v>
      </c>
      <c r="N51" s="15">
        <v>0.02</v>
      </c>
      <c r="O51" s="13">
        <v>1057.6500000000001</v>
      </c>
      <c r="P51" s="13">
        <v>87.14</v>
      </c>
      <c r="Q51" s="13">
        <v>87.03</v>
      </c>
      <c r="R51" s="1" t="s">
        <v>29</v>
      </c>
      <c r="S51" s="1">
        <v>1</v>
      </c>
      <c r="T51" s="1" t="b">
        <v>0</v>
      </c>
      <c r="U51" s="1" t="s">
        <v>39</v>
      </c>
      <c r="V51" s="3">
        <v>1</v>
      </c>
    </row>
    <row r="52" spans="1:22" x14ac:dyDescent="0.3">
      <c r="A52" s="2" t="s">
        <v>245</v>
      </c>
      <c r="B52" s="10">
        <v>44306</v>
      </c>
      <c r="C52" s="22">
        <v>44306</v>
      </c>
      <c r="D52" s="1" t="s">
        <v>246</v>
      </c>
      <c r="E52" s="1" t="s">
        <v>247</v>
      </c>
      <c r="F52" s="1">
        <v>34</v>
      </c>
      <c r="G52" s="1" t="s">
        <v>68</v>
      </c>
      <c r="H52" s="1" t="s">
        <v>74</v>
      </c>
      <c r="I52" s="1" t="s">
        <v>101</v>
      </c>
      <c r="J52" s="1" t="s">
        <v>146</v>
      </c>
      <c r="K52" s="1" t="s">
        <v>161</v>
      </c>
      <c r="L52" s="1">
        <v>5</v>
      </c>
      <c r="M52" s="13">
        <v>8244.31</v>
      </c>
      <c r="N52" s="15">
        <v>0.12</v>
      </c>
      <c r="O52" s="13">
        <v>49710.43</v>
      </c>
      <c r="P52" s="13">
        <v>13744.26</v>
      </c>
      <c r="Q52" s="13">
        <v>51.59</v>
      </c>
      <c r="R52" s="1" t="s">
        <v>64</v>
      </c>
      <c r="S52" s="1">
        <v>1</v>
      </c>
      <c r="T52" s="1" t="b">
        <v>0</v>
      </c>
      <c r="U52" s="1" t="s">
        <v>39</v>
      </c>
      <c r="V52" s="3">
        <v>4</v>
      </c>
    </row>
    <row r="53" spans="1:22" x14ac:dyDescent="0.3">
      <c r="A53" s="2" t="s">
        <v>248</v>
      </c>
      <c r="B53" s="10">
        <v>44701</v>
      </c>
      <c r="C53" s="22">
        <v>44701</v>
      </c>
      <c r="D53" s="1" t="s">
        <v>249</v>
      </c>
      <c r="E53" s="1" t="s">
        <v>250</v>
      </c>
      <c r="F53" s="1">
        <v>28</v>
      </c>
      <c r="G53" s="1" t="s">
        <v>34</v>
      </c>
      <c r="H53" s="1" t="s">
        <v>82</v>
      </c>
      <c r="I53" s="1" t="s">
        <v>126</v>
      </c>
      <c r="J53" s="1" t="s">
        <v>62</v>
      </c>
      <c r="K53" s="1" t="s">
        <v>151</v>
      </c>
      <c r="L53" s="1">
        <v>5</v>
      </c>
      <c r="M53" s="13">
        <v>1063.6199999999999</v>
      </c>
      <c r="N53" s="15">
        <v>0.16</v>
      </c>
      <c r="O53" s="13">
        <v>6991.06</v>
      </c>
      <c r="P53" s="13">
        <v>2963.48</v>
      </c>
      <c r="Q53" s="13">
        <v>62.28</v>
      </c>
      <c r="R53" s="1" t="s">
        <v>78</v>
      </c>
      <c r="S53" s="1">
        <v>3</v>
      </c>
      <c r="T53" s="1" t="b">
        <v>0</v>
      </c>
      <c r="U53" s="1" t="s">
        <v>39</v>
      </c>
      <c r="V53" s="3">
        <v>5</v>
      </c>
    </row>
    <row r="54" spans="1:22" x14ac:dyDescent="0.3">
      <c r="A54" s="2" t="s">
        <v>251</v>
      </c>
      <c r="B54" s="10">
        <v>45143</v>
      </c>
      <c r="C54" s="22">
        <v>45143</v>
      </c>
      <c r="D54" s="1" t="s">
        <v>252</v>
      </c>
      <c r="E54" s="1" t="s">
        <v>253</v>
      </c>
      <c r="F54" s="1">
        <v>34</v>
      </c>
      <c r="G54" s="1" t="s">
        <v>24</v>
      </c>
      <c r="H54" s="1" t="s">
        <v>74</v>
      </c>
      <c r="I54" s="1" t="s">
        <v>75</v>
      </c>
      <c r="J54" s="1" t="s">
        <v>27</v>
      </c>
      <c r="K54" s="1" t="s">
        <v>28</v>
      </c>
      <c r="L54" s="1">
        <v>7</v>
      </c>
      <c r="M54" s="13">
        <v>315.62</v>
      </c>
      <c r="N54" s="15">
        <v>0.28000000000000003</v>
      </c>
      <c r="O54" s="13">
        <v>2026.01</v>
      </c>
      <c r="P54" s="13">
        <v>104.43</v>
      </c>
      <c r="Q54" s="13">
        <v>72.63</v>
      </c>
      <c r="R54" s="1" t="s">
        <v>70</v>
      </c>
      <c r="S54" s="1">
        <v>5</v>
      </c>
      <c r="T54" s="1" t="b">
        <v>0</v>
      </c>
      <c r="U54" s="1" t="s">
        <v>39</v>
      </c>
      <c r="V54" s="3">
        <v>7</v>
      </c>
    </row>
    <row r="55" spans="1:22" x14ac:dyDescent="0.3">
      <c r="A55" s="2" t="s">
        <v>254</v>
      </c>
      <c r="B55" s="10">
        <v>45063</v>
      </c>
      <c r="C55" s="22">
        <v>45063</v>
      </c>
      <c r="D55" s="1" t="s">
        <v>255</v>
      </c>
      <c r="E55" s="1" t="s">
        <v>256</v>
      </c>
      <c r="F55" s="1">
        <v>51</v>
      </c>
      <c r="G55" s="1" t="s">
        <v>68</v>
      </c>
      <c r="H55" s="1" t="s">
        <v>35</v>
      </c>
      <c r="I55" s="1" t="s">
        <v>49</v>
      </c>
      <c r="J55" s="1" t="s">
        <v>37</v>
      </c>
      <c r="K55" s="1" t="s">
        <v>102</v>
      </c>
      <c r="L55" s="1">
        <v>1</v>
      </c>
      <c r="M55" s="13">
        <v>697.15</v>
      </c>
      <c r="N55" s="15">
        <v>0.18</v>
      </c>
      <c r="O55" s="13">
        <v>867.37</v>
      </c>
      <c r="P55" s="13">
        <v>335.66</v>
      </c>
      <c r="Q55" s="13">
        <v>48.84</v>
      </c>
      <c r="R55" s="1" t="s">
        <v>29</v>
      </c>
      <c r="S55" s="1">
        <v>3</v>
      </c>
      <c r="T55" s="1" t="b">
        <v>0</v>
      </c>
      <c r="U55" s="1" t="s">
        <v>58</v>
      </c>
      <c r="V55" s="3">
        <v>10</v>
      </c>
    </row>
    <row r="56" spans="1:22" x14ac:dyDescent="0.3">
      <c r="A56" s="2" t="s">
        <v>257</v>
      </c>
      <c r="B56" s="10">
        <v>44046</v>
      </c>
      <c r="C56" s="22">
        <v>44046</v>
      </c>
      <c r="D56" s="1" t="s">
        <v>258</v>
      </c>
      <c r="E56" s="1" t="s">
        <v>259</v>
      </c>
      <c r="F56" s="1">
        <v>34</v>
      </c>
      <c r="G56" s="1" t="s">
        <v>34</v>
      </c>
      <c r="H56" s="1" t="s">
        <v>25</v>
      </c>
      <c r="I56" s="1" t="s">
        <v>26</v>
      </c>
      <c r="J56" s="1" t="s">
        <v>127</v>
      </c>
      <c r="K56" s="1" t="s">
        <v>128</v>
      </c>
      <c r="L56" s="1">
        <v>2</v>
      </c>
      <c r="M56" s="13">
        <v>52363.15</v>
      </c>
      <c r="N56" s="15">
        <v>0.25</v>
      </c>
      <c r="O56" s="13">
        <v>89225.91</v>
      </c>
      <c r="P56" s="13">
        <v>14474.33</v>
      </c>
      <c r="Q56" s="13">
        <v>45.26</v>
      </c>
      <c r="R56" s="1" t="s">
        <v>57</v>
      </c>
      <c r="S56" s="1">
        <v>2</v>
      </c>
      <c r="T56" s="1" t="b">
        <v>0</v>
      </c>
      <c r="U56" s="1" t="s">
        <v>58</v>
      </c>
      <c r="V56" s="3">
        <v>9</v>
      </c>
    </row>
    <row r="57" spans="1:22" x14ac:dyDescent="0.3">
      <c r="A57" s="2" t="s">
        <v>260</v>
      </c>
      <c r="B57" s="10">
        <v>43986</v>
      </c>
      <c r="C57" s="22">
        <v>43986</v>
      </c>
      <c r="D57" s="1" t="s">
        <v>261</v>
      </c>
      <c r="E57" s="1" t="s">
        <v>262</v>
      </c>
      <c r="F57" s="1">
        <v>37</v>
      </c>
      <c r="G57" s="1" t="s">
        <v>34</v>
      </c>
      <c r="H57" s="1" t="s">
        <v>35</v>
      </c>
      <c r="I57" s="1" t="s">
        <v>43</v>
      </c>
      <c r="J57" s="1" t="s">
        <v>146</v>
      </c>
      <c r="K57" s="1" t="s">
        <v>161</v>
      </c>
      <c r="L57" s="1">
        <v>3</v>
      </c>
      <c r="M57" s="13">
        <v>2684.91</v>
      </c>
      <c r="N57" s="15">
        <v>0.15</v>
      </c>
      <c r="O57" s="13">
        <v>9541.81</v>
      </c>
      <c r="P57" s="13">
        <v>2543.29</v>
      </c>
      <c r="Q57" s="13">
        <v>67.28</v>
      </c>
      <c r="R57" s="1" t="s">
        <v>57</v>
      </c>
      <c r="S57" s="1">
        <v>2</v>
      </c>
      <c r="T57" s="1" t="b">
        <v>0</v>
      </c>
      <c r="U57" s="1" t="s">
        <v>39</v>
      </c>
      <c r="V57" s="3">
        <v>9</v>
      </c>
    </row>
    <row r="58" spans="1:22" x14ac:dyDescent="0.3">
      <c r="A58" s="2" t="s">
        <v>263</v>
      </c>
      <c r="B58" s="10">
        <v>45160</v>
      </c>
      <c r="C58" s="22">
        <v>45160</v>
      </c>
      <c r="D58" s="1" t="s">
        <v>264</v>
      </c>
      <c r="E58" s="1" t="s">
        <v>265</v>
      </c>
      <c r="F58" s="1">
        <v>42</v>
      </c>
      <c r="G58" s="1" t="s">
        <v>68</v>
      </c>
      <c r="H58" s="1" t="s">
        <v>74</v>
      </c>
      <c r="I58" s="1" t="s">
        <v>75</v>
      </c>
      <c r="J58" s="1" t="s">
        <v>62</v>
      </c>
      <c r="K58" s="1" t="s">
        <v>266</v>
      </c>
      <c r="L58" s="1">
        <v>4</v>
      </c>
      <c r="M58" s="13">
        <v>889.6</v>
      </c>
      <c r="N58" s="15">
        <v>0.36</v>
      </c>
      <c r="O58" s="13">
        <v>3597.1</v>
      </c>
      <c r="P58" s="13">
        <v>1076.9100000000001</v>
      </c>
      <c r="Q58" s="13">
        <v>58.16</v>
      </c>
      <c r="R58" s="1" t="s">
        <v>70</v>
      </c>
      <c r="S58" s="1">
        <v>3</v>
      </c>
      <c r="T58" s="1" t="b">
        <v>1</v>
      </c>
      <c r="U58" s="1" t="s">
        <v>30</v>
      </c>
      <c r="V58" s="3">
        <v>3</v>
      </c>
    </row>
    <row r="59" spans="1:22" x14ac:dyDescent="0.3">
      <c r="A59" s="2" t="s">
        <v>267</v>
      </c>
      <c r="B59" s="10">
        <v>43984</v>
      </c>
      <c r="C59" s="22">
        <v>43984</v>
      </c>
      <c r="D59" s="1" t="s">
        <v>268</v>
      </c>
      <c r="E59" s="1" t="s">
        <v>269</v>
      </c>
      <c r="F59" s="1">
        <v>41</v>
      </c>
      <c r="G59" s="1" t="s">
        <v>68</v>
      </c>
      <c r="H59" s="1" t="s">
        <v>25</v>
      </c>
      <c r="I59" s="1" t="s">
        <v>55</v>
      </c>
      <c r="J59" s="1" t="s">
        <v>76</v>
      </c>
      <c r="K59" s="1" t="s">
        <v>207</v>
      </c>
      <c r="L59" s="1">
        <v>2</v>
      </c>
      <c r="M59" s="13">
        <v>1548.43</v>
      </c>
      <c r="N59" s="15">
        <v>0.38</v>
      </c>
      <c r="O59" s="13">
        <v>2480.54</v>
      </c>
      <c r="P59" s="13">
        <v>866.5</v>
      </c>
      <c r="Q59" s="13">
        <v>49.01</v>
      </c>
      <c r="R59" s="1" t="s">
        <v>51</v>
      </c>
      <c r="S59" s="1">
        <v>1</v>
      </c>
      <c r="T59" s="1" t="b">
        <v>0</v>
      </c>
      <c r="U59" s="1" t="s">
        <v>39</v>
      </c>
      <c r="V59" s="3">
        <v>45</v>
      </c>
    </row>
    <row r="60" spans="1:22" x14ac:dyDescent="0.3">
      <c r="A60" s="2" t="s">
        <v>270</v>
      </c>
      <c r="B60" s="10">
        <v>45465</v>
      </c>
      <c r="C60" s="22">
        <v>45465</v>
      </c>
      <c r="D60" s="1" t="s">
        <v>271</v>
      </c>
      <c r="E60" s="1" t="s">
        <v>272</v>
      </c>
      <c r="F60" s="1">
        <v>42</v>
      </c>
      <c r="G60" s="1" t="s">
        <v>24</v>
      </c>
      <c r="H60" s="1" t="s">
        <v>35</v>
      </c>
      <c r="I60" s="1" t="s">
        <v>43</v>
      </c>
      <c r="J60" s="1" t="s">
        <v>62</v>
      </c>
      <c r="K60" s="1" t="s">
        <v>151</v>
      </c>
      <c r="L60" s="1">
        <v>1</v>
      </c>
      <c r="M60" s="13">
        <v>787.78</v>
      </c>
      <c r="N60" s="15">
        <v>0.15</v>
      </c>
      <c r="O60" s="13">
        <v>1146.29</v>
      </c>
      <c r="P60" s="13">
        <v>520.99</v>
      </c>
      <c r="Q60" s="13">
        <v>47.1</v>
      </c>
      <c r="R60" s="1" t="s">
        <v>70</v>
      </c>
      <c r="S60" s="1">
        <v>2</v>
      </c>
      <c r="T60" s="1" t="b">
        <v>0</v>
      </c>
      <c r="U60" s="1" t="s">
        <v>39</v>
      </c>
      <c r="V60" s="3">
        <v>9</v>
      </c>
    </row>
    <row r="61" spans="1:22" x14ac:dyDescent="0.3">
      <c r="A61" s="2" t="s">
        <v>273</v>
      </c>
      <c r="B61" s="10">
        <v>43873</v>
      </c>
      <c r="C61" s="22">
        <v>43873</v>
      </c>
      <c r="D61" s="1" t="s">
        <v>274</v>
      </c>
      <c r="E61" s="1" t="s">
        <v>275</v>
      </c>
      <c r="F61" s="1">
        <v>48</v>
      </c>
      <c r="G61" s="1" t="s">
        <v>68</v>
      </c>
      <c r="H61" s="1" t="s">
        <v>111</v>
      </c>
      <c r="I61" s="1" t="s">
        <v>112</v>
      </c>
      <c r="J61" s="1" t="s">
        <v>146</v>
      </c>
      <c r="K61" s="1" t="s">
        <v>276</v>
      </c>
      <c r="L61" s="1">
        <v>3</v>
      </c>
      <c r="M61" s="13">
        <v>6047.51</v>
      </c>
      <c r="N61" s="15">
        <v>0.08</v>
      </c>
      <c r="O61" s="13">
        <v>13365.94</v>
      </c>
      <c r="P61" s="13">
        <v>2741.49</v>
      </c>
      <c r="Q61" s="13">
        <v>36.15</v>
      </c>
      <c r="R61" s="1" t="s">
        <v>29</v>
      </c>
      <c r="S61" s="1">
        <v>4</v>
      </c>
      <c r="T61" s="1" t="b">
        <v>0</v>
      </c>
      <c r="U61" s="1" t="s">
        <v>39</v>
      </c>
      <c r="V61" s="3">
        <v>3</v>
      </c>
    </row>
    <row r="62" spans="1:22" x14ac:dyDescent="0.3">
      <c r="A62" s="2" t="s">
        <v>277</v>
      </c>
      <c r="B62" s="10">
        <v>44047</v>
      </c>
      <c r="C62" s="22">
        <v>44047</v>
      </c>
      <c r="D62" s="1" t="s">
        <v>278</v>
      </c>
      <c r="E62" s="1" t="s">
        <v>279</v>
      </c>
      <c r="F62" s="1">
        <v>37</v>
      </c>
      <c r="G62" s="1" t="s">
        <v>34</v>
      </c>
      <c r="H62" s="1" t="s">
        <v>25</v>
      </c>
      <c r="I62" s="1" t="s">
        <v>55</v>
      </c>
      <c r="J62" s="1" t="s">
        <v>146</v>
      </c>
      <c r="K62" s="1" t="s">
        <v>217</v>
      </c>
      <c r="L62" s="1">
        <v>1</v>
      </c>
      <c r="M62" s="13">
        <v>5935.12</v>
      </c>
      <c r="N62" s="15">
        <v>0.08</v>
      </c>
      <c r="O62" s="13">
        <v>6293.66</v>
      </c>
      <c r="P62" s="13">
        <v>1165.6300000000001</v>
      </c>
      <c r="Q62" s="13">
        <v>47.97</v>
      </c>
      <c r="R62" s="1" t="s">
        <v>70</v>
      </c>
      <c r="S62" s="1">
        <v>5</v>
      </c>
      <c r="T62" s="1" t="b">
        <v>0</v>
      </c>
      <c r="U62" s="1" t="s">
        <v>39</v>
      </c>
      <c r="V62" s="3">
        <v>7</v>
      </c>
    </row>
    <row r="63" spans="1:22" x14ac:dyDescent="0.3">
      <c r="A63" s="2" t="s">
        <v>280</v>
      </c>
      <c r="B63" s="10">
        <v>44405</v>
      </c>
      <c r="C63" s="22">
        <v>44405</v>
      </c>
      <c r="D63" s="1" t="s">
        <v>281</v>
      </c>
      <c r="E63" s="1" t="s">
        <v>282</v>
      </c>
      <c r="F63" s="1">
        <v>51</v>
      </c>
      <c r="G63" s="1" t="s">
        <v>68</v>
      </c>
      <c r="H63" s="1" t="s">
        <v>35</v>
      </c>
      <c r="I63" s="1" t="s">
        <v>106</v>
      </c>
      <c r="J63" s="1" t="s">
        <v>62</v>
      </c>
      <c r="K63" s="1" t="s">
        <v>283</v>
      </c>
      <c r="L63" s="1">
        <v>5</v>
      </c>
      <c r="M63" s="13">
        <v>1490.57</v>
      </c>
      <c r="N63" s="15">
        <v>0.13</v>
      </c>
      <c r="O63" s="13">
        <v>1761.29</v>
      </c>
      <c r="P63" s="13">
        <v>922.64</v>
      </c>
      <c r="Q63" s="13">
        <v>65.569999999999993</v>
      </c>
      <c r="R63" s="1" t="s">
        <v>51</v>
      </c>
      <c r="S63" s="1">
        <v>1</v>
      </c>
      <c r="T63" s="1" t="b">
        <v>0</v>
      </c>
      <c r="U63" s="1" t="s">
        <v>39</v>
      </c>
      <c r="V63" s="3">
        <v>7</v>
      </c>
    </row>
    <row r="64" spans="1:22" x14ac:dyDescent="0.3">
      <c r="A64" s="2" t="s">
        <v>284</v>
      </c>
      <c r="B64" s="10">
        <v>44676</v>
      </c>
      <c r="C64" s="22">
        <v>44676</v>
      </c>
      <c r="D64" s="1" t="s">
        <v>285</v>
      </c>
      <c r="E64" s="1" t="s">
        <v>286</v>
      </c>
      <c r="F64" s="1">
        <v>34</v>
      </c>
      <c r="G64" s="1" t="s">
        <v>34</v>
      </c>
      <c r="H64" s="1" t="s">
        <v>111</v>
      </c>
      <c r="I64" s="1" t="s">
        <v>141</v>
      </c>
      <c r="J64" s="1" t="s">
        <v>76</v>
      </c>
      <c r="K64" s="1" t="s">
        <v>113</v>
      </c>
      <c r="L64" s="1">
        <v>2</v>
      </c>
      <c r="M64" s="13">
        <v>1244.43</v>
      </c>
      <c r="N64" s="15">
        <v>0.23</v>
      </c>
      <c r="O64" s="13">
        <v>2660.47</v>
      </c>
      <c r="P64" s="13">
        <v>1061.94</v>
      </c>
      <c r="Q64" s="13">
        <v>75.05</v>
      </c>
      <c r="R64" s="1" t="s">
        <v>57</v>
      </c>
      <c r="S64" s="1">
        <v>5</v>
      </c>
      <c r="T64" s="1" t="b">
        <v>0</v>
      </c>
      <c r="U64" s="1" t="s">
        <v>39</v>
      </c>
      <c r="V64" s="3">
        <v>2</v>
      </c>
    </row>
    <row r="65" spans="1:22" x14ac:dyDescent="0.3">
      <c r="A65" s="2" t="s">
        <v>287</v>
      </c>
      <c r="B65" s="10">
        <v>44811</v>
      </c>
      <c r="C65" s="22">
        <v>44811</v>
      </c>
      <c r="D65" s="1" t="s">
        <v>288</v>
      </c>
      <c r="E65" s="1" t="s">
        <v>289</v>
      </c>
      <c r="F65" s="1">
        <v>38</v>
      </c>
      <c r="G65" s="1" t="s">
        <v>24</v>
      </c>
      <c r="H65" s="1" t="s">
        <v>74</v>
      </c>
      <c r="I65" s="1" t="s">
        <v>192</v>
      </c>
      <c r="J65" s="1" t="s">
        <v>44</v>
      </c>
      <c r="K65" s="1" t="s">
        <v>117</v>
      </c>
      <c r="L65" s="1">
        <v>2</v>
      </c>
      <c r="M65" s="13">
        <v>22082.21</v>
      </c>
      <c r="N65" s="15">
        <v>0.21</v>
      </c>
      <c r="O65" s="13">
        <v>51389.35</v>
      </c>
      <c r="P65" s="13">
        <v>9844.24</v>
      </c>
      <c r="Q65" s="13">
        <v>70.14</v>
      </c>
      <c r="R65" s="1" t="s">
        <v>29</v>
      </c>
      <c r="S65" s="1">
        <v>1</v>
      </c>
      <c r="T65" s="1" t="b">
        <v>0</v>
      </c>
      <c r="U65" s="1" t="s">
        <v>58</v>
      </c>
      <c r="V65" s="3">
        <v>7</v>
      </c>
    </row>
    <row r="66" spans="1:22" x14ac:dyDescent="0.3">
      <c r="A66" s="2" t="s">
        <v>290</v>
      </c>
      <c r="B66" s="10">
        <v>44272</v>
      </c>
      <c r="C66" s="22">
        <v>44272</v>
      </c>
      <c r="D66" s="1" t="s">
        <v>291</v>
      </c>
      <c r="E66" s="1" t="s">
        <v>292</v>
      </c>
      <c r="F66" s="1">
        <v>22</v>
      </c>
      <c r="G66" s="1" t="s">
        <v>24</v>
      </c>
      <c r="H66" s="1" t="s">
        <v>82</v>
      </c>
      <c r="I66" s="1" t="s">
        <v>293</v>
      </c>
      <c r="J66" s="1" t="s">
        <v>127</v>
      </c>
      <c r="K66" s="1" t="s">
        <v>171</v>
      </c>
      <c r="L66" s="1">
        <v>4</v>
      </c>
      <c r="M66" s="13">
        <v>11157.11</v>
      </c>
      <c r="N66" s="15">
        <v>0.38</v>
      </c>
      <c r="O66" s="13">
        <v>32774.69</v>
      </c>
      <c r="P66" s="13">
        <v>3797.24</v>
      </c>
      <c r="Q66" s="13">
        <v>55.14</v>
      </c>
      <c r="R66" s="1" t="s">
        <v>70</v>
      </c>
      <c r="S66" s="1">
        <v>1</v>
      </c>
      <c r="T66" s="1" t="b">
        <v>1</v>
      </c>
      <c r="U66" s="1" t="s">
        <v>30</v>
      </c>
      <c r="V66" s="3">
        <v>8</v>
      </c>
    </row>
    <row r="67" spans="1:22" x14ac:dyDescent="0.3">
      <c r="A67" s="2" t="s">
        <v>294</v>
      </c>
      <c r="B67" s="10">
        <v>44229</v>
      </c>
      <c r="C67" s="22">
        <v>44229</v>
      </c>
      <c r="D67" s="1" t="s">
        <v>295</v>
      </c>
      <c r="E67" s="1" t="s">
        <v>189</v>
      </c>
      <c r="F67" s="1">
        <v>17</v>
      </c>
      <c r="G67" s="1" t="s">
        <v>24</v>
      </c>
      <c r="H67" s="1" t="s">
        <v>82</v>
      </c>
      <c r="I67" s="1" t="s">
        <v>293</v>
      </c>
      <c r="J67" s="1" t="s">
        <v>62</v>
      </c>
      <c r="K67" s="1" t="s">
        <v>151</v>
      </c>
      <c r="L67" s="1">
        <v>7</v>
      </c>
      <c r="M67" s="13">
        <v>914.96</v>
      </c>
      <c r="N67" s="15">
        <v>0.36</v>
      </c>
      <c r="O67" s="13">
        <v>3687.74</v>
      </c>
      <c r="P67" s="13">
        <v>1423.3</v>
      </c>
      <c r="Q67" s="13">
        <v>77.84</v>
      </c>
      <c r="R67" s="1" t="s">
        <v>78</v>
      </c>
      <c r="S67" s="1">
        <v>3</v>
      </c>
      <c r="T67" s="1" t="b">
        <v>0</v>
      </c>
      <c r="U67" s="1" t="s">
        <v>39</v>
      </c>
      <c r="V67" s="3">
        <v>5</v>
      </c>
    </row>
    <row r="68" spans="1:22" x14ac:dyDescent="0.3">
      <c r="A68" s="2" t="s">
        <v>296</v>
      </c>
      <c r="B68" s="10">
        <v>44432</v>
      </c>
      <c r="C68" s="22">
        <v>44432</v>
      </c>
      <c r="D68" s="1" t="s">
        <v>297</v>
      </c>
      <c r="E68" s="1" t="s">
        <v>298</v>
      </c>
      <c r="F68" s="1">
        <v>32</v>
      </c>
      <c r="G68" s="1" t="s">
        <v>34</v>
      </c>
      <c r="H68" s="1" t="s">
        <v>74</v>
      </c>
      <c r="I68" s="1" t="s">
        <v>192</v>
      </c>
      <c r="J68" s="1" t="s">
        <v>76</v>
      </c>
      <c r="K68" s="1" t="s">
        <v>132</v>
      </c>
      <c r="L68" s="1">
        <v>5</v>
      </c>
      <c r="M68" s="13">
        <v>1008.19</v>
      </c>
      <c r="N68" s="15">
        <v>0.27</v>
      </c>
      <c r="O68" s="13">
        <v>4205.92</v>
      </c>
      <c r="P68" s="13">
        <v>1377.84</v>
      </c>
      <c r="Q68" s="13">
        <v>53.22</v>
      </c>
      <c r="R68" s="1" t="s">
        <v>78</v>
      </c>
      <c r="S68" s="1">
        <v>1</v>
      </c>
      <c r="T68" s="1" t="b">
        <v>0</v>
      </c>
      <c r="U68" s="1" t="s">
        <v>39</v>
      </c>
      <c r="V68" s="3">
        <v>4</v>
      </c>
    </row>
    <row r="69" spans="1:22" x14ac:dyDescent="0.3">
      <c r="A69" s="2" t="s">
        <v>299</v>
      </c>
      <c r="B69" s="10">
        <v>45234</v>
      </c>
      <c r="C69" s="22">
        <v>45234</v>
      </c>
      <c r="D69" s="1" t="s">
        <v>300</v>
      </c>
      <c r="E69" s="1" t="s">
        <v>301</v>
      </c>
      <c r="F69" s="1">
        <v>30</v>
      </c>
      <c r="G69" s="1" t="s">
        <v>34</v>
      </c>
      <c r="H69" s="1" t="s">
        <v>111</v>
      </c>
      <c r="I69" s="1" t="s">
        <v>112</v>
      </c>
      <c r="J69" s="1" t="s">
        <v>76</v>
      </c>
      <c r="K69" s="1" t="s">
        <v>77</v>
      </c>
      <c r="L69" s="1">
        <v>7</v>
      </c>
      <c r="M69" s="13">
        <v>2102.17</v>
      </c>
      <c r="N69" s="15">
        <v>0.13</v>
      </c>
      <c r="O69" s="13">
        <v>11565.64</v>
      </c>
      <c r="P69" s="13">
        <v>3358.13</v>
      </c>
      <c r="Q69" s="13">
        <v>62.02</v>
      </c>
      <c r="R69" s="1" t="s">
        <v>57</v>
      </c>
      <c r="S69" s="1">
        <v>3</v>
      </c>
      <c r="T69" s="1" t="b">
        <v>0</v>
      </c>
      <c r="U69" s="1" t="s">
        <v>137</v>
      </c>
      <c r="V69" s="3">
        <v>8</v>
      </c>
    </row>
    <row r="70" spans="1:22" x14ac:dyDescent="0.3">
      <c r="A70" s="2" t="s">
        <v>302</v>
      </c>
      <c r="B70" s="10">
        <v>43869</v>
      </c>
      <c r="C70" s="22">
        <v>43869</v>
      </c>
      <c r="D70" s="1" t="s">
        <v>303</v>
      </c>
      <c r="E70" s="1" t="s">
        <v>304</v>
      </c>
      <c r="F70" s="1">
        <v>33</v>
      </c>
      <c r="G70" s="1" t="s">
        <v>24</v>
      </c>
      <c r="H70" s="1" t="s">
        <v>35</v>
      </c>
      <c r="I70" s="1" t="s">
        <v>106</v>
      </c>
      <c r="J70" s="1" t="s">
        <v>44</v>
      </c>
      <c r="K70" s="1" t="s">
        <v>117</v>
      </c>
      <c r="L70" s="1">
        <v>9</v>
      </c>
      <c r="M70" s="13">
        <v>22687.65</v>
      </c>
      <c r="N70" s="15">
        <v>0.33</v>
      </c>
      <c r="O70" s="13">
        <v>117568.37</v>
      </c>
      <c r="P70" s="13">
        <v>33050.92</v>
      </c>
      <c r="Q70" s="13">
        <v>45.04</v>
      </c>
      <c r="R70" s="1" t="s">
        <v>57</v>
      </c>
      <c r="S70" s="1">
        <v>3</v>
      </c>
      <c r="T70" s="1" t="b">
        <v>0</v>
      </c>
      <c r="U70" s="1" t="s">
        <v>39</v>
      </c>
      <c r="V70" s="3">
        <v>2</v>
      </c>
    </row>
    <row r="71" spans="1:22" x14ac:dyDescent="0.3">
      <c r="A71" s="2" t="s">
        <v>305</v>
      </c>
      <c r="B71" s="10">
        <v>44217</v>
      </c>
      <c r="C71" s="22">
        <v>44217</v>
      </c>
      <c r="D71" s="1" t="s">
        <v>306</v>
      </c>
      <c r="E71" s="1" t="s">
        <v>307</v>
      </c>
      <c r="F71" s="1">
        <v>26</v>
      </c>
      <c r="G71" s="1" t="s">
        <v>24</v>
      </c>
      <c r="H71" s="1" t="s">
        <v>74</v>
      </c>
      <c r="I71" s="1" t="s">
        <v>101</v>
      </c>
      <c r="J71" s="1" t="s">
        <v>127</v>
      </c>
      <c r="K71" s="1" t="s">
        <v>308</v>
      </c>
      <c r="L71" s="1">
        <v>10</v>
      </c>
      <c r="M71" s="13">
        <v>57148.46</v>
      </c>
      <c r="N71" s="15">
        <v>0.06</v>
      </c>
      <c r="O71" s="13">
        <v>443615.41</v>
      </c>
      <c r="P71" s="13">
        <v>48368.13</v>
      </c>
      <c r="Q71" s="13">
        <v>33.07</v>
      </c>
      <c r="R71" s="1" t="s">
        <v>51</v>
      </c>
      <c r="S71" s="1">
        <v>1</v>
      </c>
      <c r="T71" s="1" t="b">
        <v>1</v>
      </c>
      <c r="U71" s="1" t="s">
        <v>30</v>
      </c>
      <c r="V71" s="3">
        <v>3</v>
      </c>
    </row>
    <row r="72" spans="1:22" x14ac:dyDescent="0.3">
      <c r="A72" s="2" t="s">
        <v>309</v>
      </c>
      <c r="B72" s="10">
        <v>45072</v>
      </c>
      <c r="C72" s="22">
        <v>45072</v>
      </c>
      <c r="D72" s="1" t="s">
        <v>310</v>
      </c>
      <c r="E72" s="1" t="s">
        <v>311</v>
      </c>
      <c r="F72" s="1">
        <v>28</v>
      </c>
      <c r="G72" s="1" t="s">
        <v>34</v>
      </c>
      <c r="H72" s="1" t="s">
        <v>74</v>
      </c>
      <c r="I72" s="1" t="s">
        <v>192</v>
      </c>
      <c r="J72" s="1" t="s">
        <v>44</v>
      </c>
      <c r="K72" s="1" t="s">
        <v>186</v>
      </c>
      <c r="L72" s="1">
        <v>5</v>
      </c>
      <c r="M72" s="13">
        <v>5493.74</v>
      </c>
      <c r="N72" s="15">
        <v>0.2</v>
      </c>
      <c r="O72" s="13">
        <v>6967.21</v>
      </c>
      <c r="P72" s="13">
        <v>1809.32</v>
      </c>
      <c r="Q72" s="13">
        <v>49</v>
      </c>
      <c r="R72" s="1" t="s">
        <v>70</v>
      </c>
      <c r="S72" s="1">
        <v>1</v>
      </c>
      <c r="T72" s="1" t="b">
        <v>0</v>
      </c>
      <c r="U72" s="1" t="s">
        <v>39</v>
      </c>
      <c r="V72" s="3">
        <v>5</v>
      </c>
    </row>
    <row r="73" spans="1:22" x14ac:dyDescent="0.3">
      <c r="A73" s="2" t="s">
        <v>312</v>
      </c>
      <c r="B73" s="10">
        <v>45204</v>
      </c>
      <c r="C73" s="22">
        <v>45204</v>
      </c>
      <c r="D73" s="1" t="s">
        <v>313</v>
      </c>
      <c r="E73" s="1" t="s">
        <v>314</v>
      </c>
      <c r="F73" s="1">
        <v>45</v>
      </c>
      <c r="G73" s="1" t="s">
        <v>24</v>
      </c>
      <c r="H73" s="1" t="s">
        <v>25</v>
      </c>
      <c r="I73" s="1" t="s">
        <v>26</v>
      </c>
      <c r="J73" s="1" t="s">
        <v>44</v>
      </c>
      <c r="K73" s="1" t="s">
        <v>45</v>
      </c>
      <c r="L73" s="1">
        <v>2</v>
      </c>
      <c r="M73" s="13">
        <v>7616.64</v>
      </c>
      <c r="N73" s="15">
        <v>0.34</v>
      </c>
      <c r="O73" s="13">
        <v>11304.13</v>
      </c>
      <c r="P73" s="13">
        <v>3661.21</v>
      </c>
      <c r="Q73" s="13">
        <v>29.23</v>
      </c>
      <c r="R73" s="1" t="s">
        <v>57</v>
      </c>
      <c r="S73" s="1">
        <v>4</v>
      </c>
      <c r="T73" s="1" t="b">
        <v>0</v>
      </c>
      <c r="U73" s="1" t="s">
        <v>39</v>
      </c>
      <c r="V73" s="3">
        <v>1</v>
      </c>
    </row>
    <row r="74" spans="1:22" x14ac:dyDescent="0.3">
      <c r="A74" s="2" t="s">
        <v>315</v>
      </c>
      <c r="B74" s="10">
        <v>44739</v>
      </c>
      <c r="C74" s="22">
        <v>44739</v>
      </c>
      <c r="D74" s="1" t="s">
        <v>316</v>
      </c>
      <c r="E74" s="1" t="s">
        <v>240</v>
      </c>
      <c r="F74" s="1">
        <v>21</v>
      </c>
      <c r="G74" s="1" t="s">
        <v>24</v>
      </c>
      <c r="H74" s="1" t="s">
        <v>111</v>
      </c>
      <c r="I74" s="1" t="s">
        <v>121</v>
      </c>
      <c r="J74" s="1" t="s">
        <v>44</v>
      </c>
      <c r="K74" s="1" t="s">
        <v>221</v>
      </c>
      <c r="L74" s="1">
        <v>8</v>
      </c>
      <c r="M74" s="13">
        <v>3549.62</v>
      </c>
      <c r="N74" s="15">
        <v>0.22</v>
      </c>
      <c r="O74" s="13">
        <v>30702.91</v>
      </c>
      <c r="P74" s="13">
        <v>10062.41</v>
      </c>
      <c r="Q74" s="13">
        <v>77.819999999999993</v>
      </c>
      <c r="R74" s="1" t="s">
        <v>51</v>
      </c>
      <c r="S74" s="1">
        <v>5</v>
      </c>
      <c r="T74" s="1" t="b">
        <v>1</v>
      </c>
      <c r="U74" s="1" t="s">
        <v>30</v>
      </c>
      <c r="V74" s="3">
        <v>5</v>
      </c>
    </row>
    <row r="75" spans="1:22" x14ac:dyDescent="0.3">
      <c r="A75" s="2" t="s">
        <v>317</v>
      </c>
      <c r="B75" s="10">
        <v>45167</v>
      </c>
      <c r="C75" s="22">
        <v>45167</v>
      </c>
      <c r="D75" s="1" t="s">
        <v>318</v>
      </c>
      <c r="E75" s="1" t="s">
        <v>319</v>
      </c>
      <c r="F75" s="1">
        <v>34</v>
      </c>
      <c r="G75" s="1" t="s">
        <v>24</v>
      </c>
      <c r="H75" s="1" t="s">
        <v>82</v>
      </c>
      <c r="I75" s="1" t="s">
        <v>244</v>
      </c>
      <c r="J75" s="1" t="s">
        <v>127</v>
      </c>
      <c r="K75" s="1" t="s">
        <v>142</v>
      </c>
      <c r="L75" s="1">
        <v>3</v>
      </c>
      <c r="M75" s="13">
        <v>15632.25</v>
      </c>
      <c r="N75" s="15">
        <v>0.34</v>
      </c>
      <c r="O75" s="13">
        <v>44298.79</v>
      </c>
      <c r="P75" s="13">
        <v>4132.26</v>
      </c>
      <c r="Q75" s="13">
        <v>65.5</v>
      </c>
      <c r="R75" s="1" t="s">
        <v>78</v>
      </c>
      <c r="S75" s="1">
        <v>5</v>
      </c>
      <c r="T75" s="1" t="b">
        <v>0</v>
      </c>
      <c r="U75" s="1" t="s">
        <v>39</v>
      </c>
      <c r="V75" s="3">
        <v>1</v>
      </c>
    </row>
    <row r="76" spans="1:22" x14ac:dyDescent="0.3">
      <c r="A76" s="2" t="s">
        <v>320</v>
      </c>
      <c r="B76" s="10">
        <v>44808</v>
      </c>
      <c r="C76" s="22">
        <v>44808</v>
      </c>
      <c r="D76" s="1" t="s">
        <v>321</v>
      </c>
      <c r="E76" s="1" t="s">
        <v>181</v>
      </c>
      <c r="F76" s="1">
        <v>21</v>
      </c>
      <c r="G76" s="1" t="s">
        <v>68</v>
      </c>
      <c r="H76" s="1" t="s">
        <v>82</v>
      </c>
      <c r="I76" s="1" t="s">
        <v>126</v>
      </c>
      <c r="J76" s="1" t="s">
        <v>127</v>
      </c>
      <c r="K76" s="1" t="s">
        <v>142</v>
      </c>
      <c r="L76" s="1">
        <v>4</v>
      </c>
      <c r="M76" s="13">
        <v>41499.339999999997</v>
      </c>
      <c r="N76" s="15">
        <v>0</v>
      </c>
      <c r="O76" s="13">
        <v>175476.12</v>
      </c>
      <c r="P76" s="13">
        <v>19809.16</v>
      </c>
      <c r="Q76" s="13">
        <v>73.44</v>
      </c>
      <c r="R76" s="1" t="s">
        <v>29</v>
      </c>
      <c r="S76" s="1">
        <v>4</v>
      </c>
      <c r="T76" s="1" t="b">
        <v>0</v>
      </c>
      <c r="U76" s="1" t="s">
        <v>137</v>
      </c>
      <c r="V76" s="3">
        <v>1</v>
      </c>
    </row>
    <row r="77" spans="1:22" x14ac:dyDescent="0.3">
      <c r="A77" s="2" t="s">
        <v>322</v>
      </c>
      <c r="B77" s="10">
        <v>44408</v>
      </c>
      <c r="C77" s="22">
        <v>44408</v>
      </c>
      <c r="D77" s="1" t="s">
        <v>323</v>
      </c>
      <c r="E77" s="1" t="s">
        <v>324</v>
      </c>
      <c r="F77" s="1">
        <v>48</v>
      </c>
      <c r="G77" s="1" t="s">
        <v>24</v>
      </c>
      <c r="H77" s="1" t="s">
        <v>82</v>
      </c>
      <c r="I77" s="1" t="s">
        <v>244</v>
      </c>
      <c r="J77" s="1" t="s">
        <v>76</v>
      </c>
      <c r="K77" s="1" t="s">
        <v>89</v>
      </c>
      <c r="L77" s="1">
        <v>5</v>
      </c>
      <c r="M77" s="13">
        <v>3288.5</v>
      </c>
      <c r="N77" s="15">
        <v>0.01</v>
      </c>
      <c r="O77" s="13">
        <v>4673.0200000000004</v>
      </c>
      <c r="P77" s="13">
        <v>1513.25</v>
      </c>
      <c r="Q77" s="13">
        <v>103.27</v>
      </c>
      <c r="R77" s="1" t="s">
        <v>64</v>
      </c>
      <c r="S77" s="1">
        <v>3</v>
      </c>
      <c r="T77" s="1" t="b">
        <v>0</v>
      </c>
      <c r="U77" s="1" t="s">
        <v>39</v>
      </c>
      <c r="V77" s="3">
        <v>4</v>
      </c>
    </row>
    <row r="78" spans="1:22" x14ac:dyDescent="0.3">
      <c r="A78" s="2" t="s">
        <v>325</v>
      </c>
      <c r="B78" s="10">
        <v>45247</v>
      </c>
      <c r="C78" s="22">
        <v>45247</v>
      </c>
      <c r="D78" s="1" t="s">
        <v>326</v>
      </c>
      <c r="E78" s="1" t="s">
        <v>282</v>
      </c>
      <c r="F78" s="1">
        <v>43</v>
      </c>
      <c r="G78" s="1" t="s">
        <v>24</v>
      </c>
      <c r="H78" s="1" t="s">
        <v>74</v>
      </c>
      <c r="I78" s="1" t="s">
        <v>75</v>
      </c>
      <c r="J78" s="1" t="s">
        <v>146</v>
      </c>
      <c r="K78" s="1" t="s">
        <v>161</v>
      </c>
      <c r="L78" s="1">
        <v>4</v>
      </c>
      <c r="M78" s="13">
        <v>3010.43</v>
      </c>
      <c r="N78" s="15">
        <v>0.27</v>
      </c>
      <c r="O78" s="13">
        <v>8396.7900000000009</v>
      </c>
      <c r="P78" s="13">
        <v>1584.03</v>
      </c>
      <c r="Q78" s="13">
        <v>51.24</v>
      </c>
      <c r="R78" s="1" t="s">
        <v>64</v>
      </c>
      <c r="S78" s="1">
        <v>3</v>
      </c>
      <c r="T78" s="1" t="b">
        <v>0</v>
      </c>
      <c r="U78" s="1" t="s">
        <v>39</v>
      </c>
      <c r="V78" s="3">
        <v>3</v>
      </c>
    </row>
    <row r="79" spans="1:22" x14ac:dyDescent="0.3">
      <c r="A79" s="2" t="s">
        <v>327</v>
      </c>
      <c r="B79" s="10">
        <v>43833</v>
      </c>
      <c r="C79" s="22">
        <v>43833</v>
      </c>
      <c r="D79" s="1" t="s">
        <v>328</v>
      </c>
      <c r="E79" s="1" t="s">
        <v>329</v>
      </c>
      <c r="F79" s="1">
        <v>23</v>
      </c>
      <c r="G79" s="1" t="s">
        <v>68</v>
      </c>
      <c r="H79" s="1" t="s">
        <v>111</v>
      </c>
      <c r="I79" s="1" t="s">
        <v>330</v>
      </c>
      <c r="J79" s="1" t="s">
        <v>44</v>
      </c>
      <c r="K79" s="1" t="s">
        <v>45</v>
      </c>
      <c r="L79" s="1">
        <v>8</v>
      </c>
      <c r="M79" s="13">
        <v>22523.15</v>
      </c>
      <c r="N79" s="15">
        <v>0.34</v>
      </c>
      <c r="O79" s="13">
        <v>95036.79</v>
      </c>
      <c r="P79" s="13">
        <v>29818.97</v>
      </c>
      <c r="Q79" s="13">
        <v>65.72</v>
      </c>
      <c r="R79" s="1" t="s">
        <v>51</v>
      </c>
      <c r="S79" s="1">
        <v>2</v>
      </c>
      <c r="T79" s="1" t="b">
        <v>0</v>
      </c>
      <c r="U79" s="1" t="s">
        <v>39</v>
      </c>
      <c r="V79" s="3">
        <v>5</v>
      </c>
    </row>
    <row r="80" spans="1:22" x14ac:dyDescent="0.3">
      <c r="A80" s="2" t="s">
        <v>331</v>
      </c>
      <c r="B80" s="10">
        <v>43852</v>
      </c>
      <c r="C80" s="22">
        <v>43852</v>
      </c>
      <c r="D80" s="1" t="s">
        <v>332</v>
      </c>
      <c r="E80" s="1" t="s">
        <v>333</v>
      </c>
      <c r="F80" s="1">
        <v>16</v>
      </c>
      <c r="G80" s="1" t="s">
        <v>24</v>
      </c>
      <c r="H80" s="1" t="s">
        <v>111</v>
      </c>
      <c r="I80" s="1" t="s">
        <v>121</v>
      </c>
      <c r="J80" s="1" t="s">
        <v>62</v>
      </c>
      <c r="K80" s="1" t="s">
        <v>283</v>
      </c>
      <c r="L80" s="1">
        <v>4</v>
      </c>
      <c r="M80" s="13">
        <v>363.32</v>
      </c>
      <c r="N80" s="15">
        <v>7.0000000000000007E-2</v>
      </c>
      <c r="O80" s="13">
        <v>1026.5</v>
      </c>
      <c r="P80" s="13">
        <v>410.28</v>
      </c>
      <c r="Q80" s="13">
        <v>89.93</v>
      </c>
      <c r="R80" s="1" t="s">
        <v>51</v>
      </c>
      <c r="S80" s="1">
        <v>5</v>
      </c>
      <c r="T80" s="1" t="b">
        <v>0</v>
      </c>
      <c r="U80" s="1" t="s">
        <v>137</v>
      </c>
      <c r="V80" s="3">
        <v>5</v>
      </c>
    </row>
    <row r="81" spans="1:22" x14ac:dyDescent="0.3">
      <c r="A81" s="2" t="s">
        <v>334</v>
      </c>
      <c r="B81" s="10">
        <v>45079</v>
      </c>
      <c r="C81" s="22">
        <v>45079</v>
      </c>
      <c r="D81" s="1" t="s">
        <v>335</v>
      </c>
      <c r="E81" s="1" t="s">
        <v>73</v>
      </c>
      <c r="F81" s="1">
        <v>34</v>
      </c>
      <c r="G81" s="1" t="s">
        <v>68</v>
      </c>
      <c r="H81" s="1" t="s">
        <v>35</v>
      </c>
      <c r="I81" s="1" t="s">
        <v>43</v>
      </c>
      <c r="J81" s="1" t="s">
        <v>44</v>
      </c>
      <c r="K81" s="1" t="s">
        <v>93</v>
      </c>
      <c r="L81" s="1">
        <v>3</v>
      </c>
      <c r="M81" s="13">
        <v>31229.73</v>
      </c>
      <c r="N81" s="15">
        <v>0.32</v>
      </c>
      <c r="O81" s="13">
        <v>100210.97</v>
      </c>
      <c r="P81" s="13">
        <v>34252.99</v>
      </c>
      <c r="Q81" s="13">
        <v>53.79</v>
      </c>
      <c r="R81" s="1" t="s">
        <v>51</v>
      </c>
      <c r="S81" s="1">
        <v>5</v>
      </c>
      <c r="T81" s="1" t="b">
        <v>0</v>
      </c>
      <c r="U81" s="1" t="s">
        <v>58</v>
      </c>
      <c r="V81" s="3">
        <v>3</v>
      </c>
    </row>
    <row r="82" spans="1:22" x14ac:dyDescent="0.3">
      <c r="A82" s="2" t="s">
        <v>336</v>
      </c>
      <c r="B82" s="10">
        <v>44794</v>
      </c>
      <c r="C82" s="22">
        <v>44794</v>
      </c>
      <c r="D82" s="1" t="s">
        <v>337</v>
      </c>
      <c r="E82" s="1" t="s">
        <v>338</v>
      </c>
      <c r="F82" s="1">
        <v>49</v>
      </c>
      <c r="G82" s="1" t="s">
        <v>68</v>
      </c>
      <c r="H82" s="1" t="s">
        <v>111</v>
      </c>
      <c r="I82" s="1" t="s">
        <v>141</v>
      </c>
      <c r="J82" s="1" t="s">
        <v>44</v>
      </c>
      <c r="K82" s="1" t="s">
        <v>117</v>
      </c>
      <c r="L82" s="1">
        <v>3</v>
      </c>
      <c r="M82" s="13">
        <v>25395.64</v>
      </c>
      <c r="N82" s="15">
        <v>0.3</v>
      </c>
      <c r="O82" s="13">
        <v>82667.820000000007</v>
      </c>
      <c r="P82" s="13">
        <v>28762.52</v>
      </c>
      <c r="Q82" s="13">
        <v>86.28</v>
      </c>
      <c r="R82" s="1" t="s">
        <v>78</v>
      </c>
      <c r="S82" s="1">
        <v>4</v>
      </c>
      <c r="T82" s="1" t="b">
        <v>0</v>
      </c>
      <c r="U82" s="1" t="s">
        <v>39</v>
      </c>
      <c r="V82" s="3">
        <v>5</v>
      </c>
    </row>
    <row r="83" spans="1:22" x14ac:dyDescent="0.3">
      <c r="A83" s="2" t="s">
        <v>339</v>
      </c>
      <c r="B83" s="10">
        <v>44308</v>
      </c>
      <c r="C83" s="22">
        <v>44308</v>
      </c>
      <c r="D83" s="1" t="s">
        <v>340</v>
      </c>
      <c r="E83" s="1" t="s">
        <v>341</v>
      </c>
      <c r="F83" s="1">
        <v>27</v>
      </c>
      <c r="G83" s="1" t="s">
        <v>34</v>
      </c>
      <c r="H83" s="1" t="s">
        <v>74</v>
      </c>
      <c r="I83" s="1" t="s">
        <v>192</v>
      </c>
      <c r="J83" s="1" t="s">
        <v>27</v>
      </c>
      <c r="K83" s="1" t="s">
        <v>97</v>
      </c>
      <c r="L83" s="1">
        <v>3</v>
      </c>
      <c r="M83" s="13">
        <v>457.68</v>
      </c>
      <c r="N83" s="15">
        <v>0.26</v>
      </c>
      <c r="O83" s="13">
        <v>1159.07</v>
      </c>
      <c r="P83" s="13">
        <v>84.35</v>
      </c>
      <c r="Q83" s="13">
        <v>72.86</v>
      </c>
      <c r="R83" s="1" t="s">
        <v>64</v>
      </c>
      <c r="S83" s="1">
        <v>3</v>
      </c>
      <c r="T83" s="1" t="b">
        <v>0</v>
      </c>
      <c r="U83" s="1" t="s">
        <v>197</v>
      </c>
      <c r="V83" s="3">
        <v>2</v>
      </c>
    </row>
    <row r="84" spans="1:22" x14ac:dyDescent="0.3">
      <c r="A84" s="2" t="s">
        <v>342</v>
      </c>
      <c r="B84" s="10">
        <v>45084</v>
      </c>
      <c r="C84" s="22">
        <v>45084</v>
      </c>
      <c r="D84" s="1" t="s">
        <v>343</v>
      </c>
      <c r="E84" s="1" t="s">
        <v>344</v>
      </c>
      <c r="F84" s="1">
        <v>31</v>
      </c>
      <c r="G84" s="1" t="s">
        <v>68</v>
      </c>
      <c r="H84" s="1" t="s">
        <v>111</v>
      </c>
      <c r="I84" s="1" t="s">
        <v>141</v>
      </c>
      <c r="J84" s="1" t="s">
        <v>62</v>
      </c>
      <c r="K84" s="1" t="s">
        <v>63</v>
      </c>
      <c r="L84" s="1">
        <v>1</v>
      </c>
      <c r="M84" s="13">
        <v>715.84</v>
      </c>
      <c r="N84" s="15">
        <v>0.24</v>
      </c>
      <c r="O84" s="13">
        <v>937.54</v>
      </c>
      <c r="P84" s="13">
        <v>470.99</v>
      </c>
      <c r="Q84" s="13">
        <v>59.5</v>
      </c>
      <c r="R84" s="1" t="s">
        <v>70</v>
      </c>
      <c r="S84" s="1">
        <v>2</v>
      </c>
      <c r="T84" s="1" t="b">
        <v>0</v>
      </c>
      <c r="U84" s="1" t="s">
        <v>39</v>
      </c>
      <c r="V84" s="3">
        <v>4</v>
      </c>
    </row>
    <row r="85" spans="1:22" x14ac:dyDescent="0.3">
      <c r="A85" s="2" t="s">
        <v>345</v>
      </c>
      <c r="B85" s="10">
        <v>45588</v>
      </c>
      <c r="C85" s="22">
        <v>45588</v>
      </c>
      <c r="D85" s="1" t="s">
        <v>346</v>
      </c>
      <c r="E85" s="1" t="s">
        <v>33</v>
      </c>
      <c r="F85" s="1">
        <v>34</v>
      </c>
      <c r="G85" s="1" t="s">
        <v>68</v>
      </c>
      <c r="H85" s="1" t="s">
        <v>82</v>
      </c>
      <c r="I85" s="1" t="s">
        <v>126</v>
      </c>
      <c r="J85" s="1" t="s">
        <v>146</v>
      </c>
      <c r="K85" s="1" t="s">
        <v>161</v>
      </c>
      <c r="L85" s="1">
        <v>4</v>
      </c>
      <c r="M85" s="13">
        <v>9803</v>
      </c>
      <c r="N85" s="15">
        <v>0.33</v>
      </c>
      <c r="O85" s="13">
        <v>32120.84</v>
      </c>
      <c r="P85" s="13">
        <v>6215.4</v>
      </c>
      <c r="Q85" s="13">
        <v>88.57</v>
      </c>
      <c r="R85" s="1" t="s">
        <v>78</v>
      </c>
      <c r="S85" s="1">
        <v>4</v>
      </c>
      <c r="T85" s="1" t="b">
        <v>0</v>
      </c>
      <c r="U85" s="1" t="s">
        <v>84</v>
      </c>
      <c r="V85" s="3">
        <v>6</v>
      </c>
    </row>
    <row r="86" spans="1:22" x14ac:dyDescent="0.3">
      <c r="A86" s="2" t="s">
        <v>347</v>
      </c>
      <c r="B86" s="10">
        <v>44003</v>
      </c>
      <c r="C86" s="22">
        <v>44003</v>
      </c>
      <c r="D86" s="1" t="s">
        <v>348</v>
      </c>
      <c r="E86" s="1" t="s">
        <v>349</v>
      </c>
      <c r="F86" s="1">
        <v>37</v>
      </c>
      <c r="G86" s="1" t="s">
        <v>24</v>
      </c>
      <c r="H86" s="1" t="s">
        <v>111</v>
      </c>
      <c r="I86" s="1" t="s">
        <v>141</v>
      </c>
      <c r="J86" s="1" t="s">
        <v>127</v>
      </c>
      <c r="K86" s="1" t="s">
        <v>142</v>
      </c>
      <c r="L86" s="1">
        <v>5</v>
      </c>
      <c r="M86" s="13">
        <v>28892.57</v>
      </c>
      <c r="N86" s="15">
        <v>7.0000000000000007E-2</v>
      </c>
      <c r="O86" s="13">
        <v>205453.46</v>
      </c>
      <c r="P86" s="13">
        <v>25286.68</v>
      </c>
      <c r="Q86" s="13">
        <v>84.72</v>
      </c>
      <c r="R86" s="1" t="s">
        <v>29</v>
      </c>
      <c r="S86" s="1">
        <v>5</v>
      </c>
      <c r="T86" s="1" t="b">
        <v>0</v>
      </c>
      <c r="U86" s="1" t="s">
        <v>39</v>
      </c>
      <c r="V86" s="3">
        <v>6</v>
      </c>
    </row>
    <row r="87" spans="1:22" x14ac:dyDescent="0.3">
      <c r="A87" s="2" t="s">
        <v>350</v>
      </c>
      <c r="B87" s="10">
        <v>44606</v>
      </c>
      <c r="C87" s="22">
        <v>44606</v>
      </c>
      <c r="D87" s="1" t="s">
        <v>351</v>
      </c>
      <c r="E87" s="1" t="s">
        <v>227</v>
      </c>
      <c r="F87" s="1">
        <v>27</v>
      </c>
      <c r="G87" s="1" t="s">
        <v>34</v>
      </c>
      <c r="H87" s="1" t="s">
        <v>74</v>
      </c>
      <c r="I87" s="1" t="s">
        <v>101</v>
      </c>
      <c r="J87" s="1" t="s">
        <v>44</v>
      </c>
      <c r="K87" s="1" t="s">
        <v>93</v>
      </c>
      <c r="L87" s="1">
        <v>9</v>
      </c>
      <c r="M87" s="13">
        <v>14001.85</v>
      </c>
      <c r="N87" s="15">
        <v>0.05</v>
      </c>
      <c r="O87" s="13">
        <v>118164.26</v>
      </c>
      <c r="P87" s="13">
        <v>40660.47</v>
      </c>
      <c r="Q87" s="13">
        <v>55.44</v>
      </c>
      <c r="R87" s="1" t="s">
        <v>78</v>
      </c>
      <c r="S87" s="1">
        <v>1</v>
      </c>
      <c r="T87" s="1" t="b">
        <v>1</v>
      </c>
      <c r="U87" s="1" t="s">
        <v>30</v>
      </c>
      <c r="V87" s="3">
        <v>1</v>
      </c>
    </row>
    <row r="88" spans="1:22" x14ac:dyDescent="0.3">
      <c r="A88" s="2" t="s">
        <v>352</v>
      </c>
      <c r="B88" s="10">
        <v>44096</v>
      </c>
      <c r="C88" s="22">
        <v>44096</v>
      </c>
      <c r="D88" s="1" t="s">
        <v>353</v>
      </c>
      <c r="E88" s="1" t="s">
        <v>354</v>
      </c>
      <c r="F88" s="1">
        <v>38</v>
      </c>
      <c r="G88" s="1" t="s">
        <v>24</v>
      </c>
      <c r="H88" s="1" t="s">
        <v>25</v>
      </c>
      <c r="I88" s="1" t="s">
        <v>69</v>
      </c>
      <c r="J88" s="1" t="s">
        <v>44</v>
      </c>
      <c r="K88" s="1" t="s">
        <v>93</v>
      </c>
      <c r="L88" s="1">
        <v>8</v>
      </c>
      <c r="M88" s="13">
        <v>30292.85</v>
      </c>
      <c r="N88" s="15">
        <v>0.28999999999999998</v>
      </c>
      <c r="O88" s="13">
        <v>173004.24</v>
      </c>
      <c r="P88" s="13">
        <v>45465.04</v>
      </c>
      <c r="Q88" s="13">
        <v>51.64</v>
      </c>
      <c r="R88" s="1" t="s">
        <v>51</v>
      </c>
      <c r="S88" s="1">
        <v>3</v>
      </c>
      <c r="T88" s="1" t="b">
        <v>0</v>
      </c>
      <c r="U88" s="1" t="s">
        <v>39</v>
      </c>
      <c r="V88" s="3">
        <v>5</v>
      </c>
    </row>
    <row r="89" spans="1:22" x14ac:dyDescent="0.3">
      <c r="A89" s="2" t="s">
        <v>355</v>
      </c>
      <c r="B89" s="10">
        <v>45568</v>
      </c>
      <c r="C89" s="22">
        <v>45568</v>
      </c>
      <c r="D89" s="1" t="s">
        <v>356</v>
      </c>
      <c r="E89" s="1" t="s">
        <v>357</v>
      </c>
      <c r="F89" s="1">
        <v>34</v>
      </c>
      <c r="G89" s="1" t="s">
        <v>34</v>
      </c>
      <c r="H89" s="1" t="s">
        <v>82</v>
      </c>
      <c r="I89" s="1" t="s">
        <v>293</v>
      </c>
      <c r="J89" s="1" t="s">
        <v>146</v>
      </c>
      <c r="K89" s="1" t="s">
        <v>217</v>
      </c>
      <c r="L89" s="1">
        <v>2</v>
      </c>
      <c r="M89" s="13">
        <v>2854.89</v>
      </c>
      <c r="N89" s="15">
        <v>0.06</v>
      </c>
      <c r="O89" s="13">
        <v>6360.16</v>
      </c>
      <c r="P89" s="13">
        <v>1203.75</v>
      </c>
      <c r="Q89" s="13">
        <v>86.84</v>
      </c>
      <c r="R89" s="1" t="s">
        <v>78</v>
      </c>
      <c r="S89" s="1">
        <v>3</v>
      </c>
      <c r="T89" s="1" t="b">
        <v>0</v>
      </c>
      <c r="U89" s="1" t="s">
        <v>39</v>
      </c>
      <c r="V89" s="3">
        <v>9</v>
      </c>
    </row>
    <row r="90" spans="1:22" x14ac:dyDescent="0.3">
      <c r="A90" s="2" t="s">
        <v>358</v>
      </c>
      <c r="B90" s="10">
        <v>45111</v>
      </c>
      <c r="C90" s="22">
        <v>45111</v>
      </c>
      <c r="D90" s="1" t="s">
        <v>359</v>
      </c>
      <c r="E90" s="1" t="s">
        <v>360</v>
      </c>
      <c r="F90" s="1">
        <v>10</v>
      </c>
      <c r="G90" s="1" t="s">
        <v>24</v>
      </c>
      <c r="H90" s="1" t="s">
        <v>111</v>
      </c>
      <c r="I90" s="1" t="s">
        <v>141</v>
      </c>
      <c r="J90" s="1" t="s">
        <v>76</v>
      </c>
      <c r="K90" s="1" t="s">
        <v>113</v>
      </c>
      <c r="L90" s="1">
        <v>9</v>
      </c>
      <c r="M90" s="13">
        <v>1340.2</v>
      </c>
      <c r="N90" s="15">
        <v>0.38</v>
      </c>
      <c r="O90" s="13">
        <v>12757.93</v>
      </c>
      <c r="P90" s="13">
        <v>3852.39</v>
      </c>
      <c r="Q90" s="13">
        <v>105.03</v>
      </c>
      <c r="R90" s="1" t="s">
        <v>64</v>
      </c>
      <c r="S90" s="1">
        <v>3</v>
      </c>
      <c r="T90" s="1" t="b">
        <v>0</v>
      </c>
      <c r="U90" s="1" t="s">
        <v>84</v>
      </c>
      <c r="V90" s="3">
        <v>4</v>
      </c>
    </row>
    <row r="91" spans="1:22" x14ac:dyDescent="0.3">
      <c r="A91" s="2" t="s">
        <v>361</v>
      </c>
      <c r="B91" s="10">
        <v>44115</v>
      </c>
      <c r="C91" s="22">
        <v>44115</v>
      </c>
      <c r="D91" s="1" t="s">
        <v>362</v>
      </c>
      <c r="E91" s="1" t="s">
        <v>363</v>
      </c>
      <c r="F91" s="1">
        <v>22</v>
      </c>
      <c r="G91" s="1" t="s">
        <v>68</v>
      </c>
      <c r="H91" s="1" t="s">
        <v>35</v>
      </c>
      <c r="I91" s="1" t="s">
        <v>43</v>
      </c>
      <c r="J91" s="1" t="s">
        <v>44</v>
      </c>
      <c r="K91" s="1" t="s">
        <v>186</v>
      </c>
      <c r="L91" s="1">
        <v>7</v>
      </c>
      <c r="M91" s="13">
        <v>34455.919999999998</v>
      </c>
      <c r="N91" s="15">
        <v>0.28000000000000003</v>
      </c>
      <c r="O91" s="13">
        <v>149044.85999999999</v>
      </c>
      <c r="P91" s="13">
        <v>39164.43</v>
      </c>
      <c r="Q91" s="13">
        <v>54.2</v>
      </c>
      <c r="R91" s="1" t="s">
        <v>29</v>
      </c>
      <c r="S91" s="1">
        <v>3</v>
      </c>
      <c r="T91" s="1" t="b">
        <v>0</v>
      </c>
      <c r="U91" s="1" t="s">
        <v>39</v>
      </c>
      <c r="V91" s="3">
        <v>7</v>
      </c>
    </row>
    <row r="92" spans="1:22" x14ac:dyDescent="0.3">
      <c r="A92" s="2" t="s">
        <v>364</v>
      </c>
      <c r="B92" s="10">
        <v>45163</v>
      </c>
      <c r="C92" s="22">
        <v>45163</v>
      </c>
      <c r="D92" s="1" t="s">
        <v>365</v>
      </c>
      <c r="E92" s="1" t="s">
        <v>319</v>
      </c>
      <c r="F92" s="1">
        <v>25</v>
      </c>
      <c r="G92" s="1" t="s">
        <v>68</v>
      </c>
      <c r="H92" s="1" t="s">
        <v>82</v>
      </c>
      <c r="I92" s="1" t="s">
        <v>244</v>
      </c>
      <c r="J92" s="1" t="s">
        <v>62</v>
      </c>
      <c r="K92" s="1" t="s">
        <v>63</v>
      </c>
      <c r="L92" s="1">
        <v>10</v>
      </c>
      <c r="M92" s="13">
        <v>755.47</v>
      </c>
      <c r="N92" s="15">
        <v>0.04</v>
      </c>
      <c r="O92" s="13">
        <v>10570.33</v>
      </c>
      <c r="P92" s="13">
        <v>4011.83</v>
      </c>
      <c r="Q92" s="13">
        <v>94.06</v>
      </c>
      <c r="R92" s="1" t="s">
        <v>70</v>
      </c>
      <c r="S92" s="1">
        <v>3</v>
      </c>
      <c r="T92" s="1" t="b">
        <v>0</v>
      </c>
      <c r="U92" s="1" t="s">
        <v>84</v>
      </c>
      <c r="V92" s="3">
        <v>5</v>
      </c>
    </row>
    <row r="93" spans="1:22" x14ac:dyDescent="0.3">
      <c r="A93" s="2" t="s">
        <v>366</v>
      </c>
      <c r="B93" s="10">
        <v>44589</v>
      </c>
      <c r="C93" s="22">
        <v>44589</v>
      </c>
      <c r="D93" s="1" t="s">
        <v>367</v>
      </c>
      <c r="E93" s="1" t="s">
        <v>307</v>
      </c>
      <c r="F93" s="1">
        <v>42</v>
      </c>
      <c r="G93" s="1" t="s">
        <v>34</v>
      </c>
      <c r="H93" s="1" t="s">
        <v>74</v>
      </c>
      <c r="I93" s="1" t="s">
        <v>75</v>
      </c>
      <c r="J93" s="1" t="s">
        <v>146</v>
      </c>
      <c r="K93" s="1" t="s">
        <v>217</v>
      </c>
      <c r="L93" s="1">
        <v>10</v>
      </c>
      <c r="M93" s="13">
        <v>6054.48</v>
      </c>
      <c r="N93" s="15">
        <v>0.06</v>
      </c>
      <c r="O93" s="13">
        <v>48184.42</v>
      </c>
      <c r="P93" s="13">
        <v>9832.73</v>
      </c>
      <c r="Q93" s="13">
        <v>59.24</v>
      </c>
      <c r="R93" s="1" t="s">
        <v>70</v>
      </c>
      <c r="S93" s="1">
        <v>1</v>
      </c>
      <c r="T93" s="1" t="b">
        <v>1</v>
      </c>
      <c r="U93" s="1" t="s">
        <v>30</v>
      </c>
      <c r="V93" s="3">
        <v>6</v>
      </c>
    </row>
    <row r="94" spans="1:22" x14ac:dyDescent="0.3">
      <c r="A94" s="2" t="s">
        <v>368</v>
      </c>
      <c r="B94" s="10">
        <v>44440</v>
      </c>
      <c r="C94" s="22">
        <v>44440</v>
      </c>
      <c r="D94" s="1" t="s">
        <v>369</v>
      </c>
      <c r="E94" s="1" t="s">
        <v>370</v>
      </c>
      <c r="F94" s="1">
        <v>42</v>
      </c>
      <c r="G94" s="1" t="s">
        <v>34</v>
      </c>
      <c r="H94" s="1" t="s">
        <v>111</v>
      </c>
      <c r="I94" s="1" t="s">
        <v>330</v>
      </c>
      <c r="J94" s="1" t="s">
        <v>44</v>
      </c>
      <c r="K94" s="1" t="s">
        <v>221</v>
      </c>
      <c r="L94" s="1">
        <v>10</v>
      </c>
      <c r="M94" s="13">
        <v>8753.1200000000008</v>
      </c>
      <c r="N94" s="15">
        <v>0.28000000000000003</v>
      </c>
      <c r="O94" s="13">
        <v>73335.009999999995</v>
      </c>
      <c r="P94" s="13">
        <v>17930.25</v>
      </c>
      <c r="Q94" s="13">
        <v>87.75</v>
      </c>
      <c r="R94" s="1" t="s">
        <v>51</v>
      </c>
      <c r="S94" s="1">
        <v>5</v>
      </c>
      <c r="T94" s="1" t="b">
        <v>0</v>
      </c>
      <c r="U94" s="1" t="s">
        <v>39</v>
      </c>
      <c r="V94" s="3">
        <v>8</v>
      </c>
    </row>
    <row r="95" spans="1:22" x14ac:dyDescent="0.3">
      <c r="A95" s="2" t="s">
        <v>371</v>
      </c>
      <c r="B95" s="10">
        <v>44866</v>
      </c>
      <c r="C95" s="22">
        <v>44866</v>
      </c>
      <c r="D95" s="1" t="s">
        <v>372</v>
      </c>
      <c r="E95" s="1" t="s">
        <v>286</v>
      </c>
      <c r="F95" s="1">
        <v>29</v>
      </c>
      <c r="G95" s="1" t="s">
        <v>34</v>
      </c>
      <c r="H95" s="1" t="s">
        <v>25</v>
      </c>
      <c r="I95" s="1" t="s">
        <v>170</v>
      </c>
      <c r="J95" s="1" t="s">
        <v>62</v>
      </c>
      <c r="K95" s="1" t="s">
        <v>283</v>
      </c>
      <c r="L95" s="1">
        <v>4</v>
      </c>
      <c r="M95" s="13">
        <v>1320.32</v>
      </c>
      <c r="N95" s="15">
        <v>0.01</v>
      </c>
      <c r="O95" s="13">
        <v>4535.42</v>
      </c>
      <c r="P95" s="13">
        <v>950.65</v>
      </c>
      <c r="Q95" s="13">
        <v>39.090000000000003</v>
      </c>
      <c r="R95" s="1" t="s">
        <v>29</v>
      </c>
      <c r="S95" s="1">
        <v>3</v>
      </c>
      <c r="T95" s="1" t="b">
        <v>0</v>
      </c>
      <c r="U95" s="1" t="s">
        <v>39</v>
      </c>
      <c r="V95" s="3">
        <v>5</v>
      </c>
    </row>
    <row r="96" spans="1:22" x14ac:dyDescent="0.3">
      <c r="A96" s="2" t="s">
        <v>373</v>
      </c>
      <c r="B96" s="10">
        <v>44165</v>
      </c>
      <c r="C96" s="22">
        <v>44165</v>
      </c>
      <c r="D96" s="1" t="s">
        <v>374</v>
      </c>
      <c r="E96" s="1" t="s">
        <v>375</v>
      </c>
      <c r="F96" s="1">
        <v>33</v>
      </c>
      <c r="G96" s="1" t="s">
        <v>68</v>
      </c>
      <c r="H96" s="1" t="s">
        <v>35</v>
      </c>
      <c r="I96" s="1" t="s">
        <v>43</v>
      </c>
      <c r="J96" s="1" t="s">
        <v>62</v>
      </c>
      <c r="K96" s="1" t="s">
        <v>107</v>
      </c>
      <c r="L96" s="1">
        <v>8</v>
      </c>
      <c r="M96" s="13">
        <v>707.31</v>
      </c>
      <c r="N96" s="15">
        <v>0.15</v>
      </c>
      <c r="O96" s="13">
        <v>3730.16</v>
      </c>
      <c r="P96" s="13">
        <v>1635.73</v>
      </c>
      <c r="Q96" s="13">
        <v>65.92</v>
      </c>
      <c r="R96" s="1" t="s">
        <v>57</v>
      </c>
      <c r="S96" s="1">
        <v>4</v>
      </c>
      <c r="T96" s="1" t="b">
        <v>0</v>
      </c>
      <c r="U96" s="1" t="s">
        <v>39</v>
      </c>
      <c r="V96" s="3">
        <v>9</v>
      </c>
    </row>
    <row r="97" spans="1:22" x14ac:dyDescent="0.3">
      <c r="A97" s="2" t="s">
        <v>376</v>
      </c>
      <c r="B97" s="10">
        <v>45434</v>
      </c>
      <c r="C97" s="22">
        <v>45434</v>
      </c>
      <c r="D97" s="1" t="s">
        <v>377</v>
      </c>
      <c r="E97" s="1" t="s">
        <v>378</v>
      </c>
      <c r="F97" s="1">
        <v>34</v>
      </c>
      <c r="G97" s="1" t="s">
        <v>34</v>
      </c>
      <c r="H97" s="1" t="s">
        <v>74</v>
      </c>
      <c r="I97" s="1" t="s">
        <v>136</v>
      </c>
      <c r="J97" s="1" t="s">
        <v>27</v>
      </c>
      <c r="K97" s="1" t="s">
        <v>97</v>
      </c>
      <c r="L97" s="1">
        <v>5</v>
      </c>
      <c r="M97" s="13">
        <v>309.97000000000003</v>
      </c>
      <c r="N97" s="15">
        <v>0.04</v>
      </c>
      <c r="O97" s="13">
        <v>2672.61</v>
      </c>
      <c r="P97" s="13">
        <v>214.05</v>
      </c>
      <c r="Q97" s="13">
        <v>37.340000000000003</v>
      </c>
      <c r="R97" s="1" t="s">
        <v>64</v>
      </c>
      <c r="S97" s="1">
        <v>5</v>
      </c>
      <c r="T97" s="1" t="b">
        <v>0</v>
      </c>
      <c r="U97" s="1" t="s">
        <v>137</v>
      </c>
      <c r="V97" s="3">
        <v>4</v>
      </c>
    </row>
    <row r="98" spans="1:22" x14ac:dyDescent="0.3">
      <c r="A98" s="2" t="s">
        <v>379</v>
      </c>
      <c r="B98" s="10">
        <v>44457</v>
      </c>
      <c r="C98" s="22">
        <v>44457</v>
      </c>
      <c r="D98" s="1" t="s">
        <v>380</v>
      </c>
      <c r="E98" s="1" t="s">
        <v>381</v>
      </c>
      <c r="F98" s="1">
        <v>42</v>
      </c>
      <c r="G98" s="1" t="s">
        <v>24</v>
      </c>
      <c r="H98" s="1" t="s">
        <v>82</v>
      </c>
      <c r="I98" s="1" t="s">
        <v>293</v>
      </c>
      <c r="J98" s="1" t="s">
        <v>146</v>
      </c>
      <c r="K98" s="1" t="s">
        <v>178</v>
      </c>
      <c r="L98" s="1">
        <v>8</v>
      </c>
      <c r="M98" s="13">
        <v>12223.45</v>
      </c>
      <c r="N98" s="15">
        <v>0.4</v>
      </c>
      <c r="O98" s="13">
        <v>62483.59</v>
      </c>
      <c r="P98" s="13">
        <v>10563.05</v>
      </c>
      <c r="Q98" s="13">
        <v>68.510000000000005</v>
      </c>
      <c r="R98" s="1" t="s">
        <v>57</v>
      </c>
      <c r="S98" s="1">
        <v>4</v>
      </c>
      <c r="T98" s="1" t="b">
        <v>0</v>
      </c>
      <c r="U98" s="1" t="s">
        <v>197</v>
      </c>
      <c r="V98" s="3">
        <v>7</v>
      </c>
    </row>
    <row r="99" spans="1:22" x14ac:dyDescent="0.3">
      <c r="A99" s="2" t="s">
        <v>382</v>
      </c>
      <c r="B99" s="10">
        <v>44885</v>
      </c>
      <c r="C99" s="22">
        <v>44885</v>
      </c>
      <c r="D99" s="1" t="s">
        <v>383</v>
      </c>
      <c r="E99" s="1" t="s">
        <v>384</v>
      </c>
      <c r="F99" s="1">
        <v>45</v>
      </c>
      <c r="G99" s="1" t="s">
        <v>24</v>
      </c>
      <c r="H99" s="1" t="s">
        <v>35</v>
      </c>
      <c r="I99" s="1" t="s">
        <v>43</v>
      </c>
      <c r="J99" s="1" t="s">
        <v>127</v>
      </c>
      <c r="K99" s="1" t="s">
        <v>128</v>
      </c>
      <c r="L99" s="1">
        <v>4</v>
      </c>
      <c r="M99" s="13">
        <v>73017.83</v>
      </c>
      <c r="N99" s="15">
        <v>0.22</v>
      </c>
      <c r="O99" s="13">
        <v>192150.99</v>
      </c>
      <c r="P99" s="13">
        <v>23288.67</v>
      </c>
      <c r="Q99" s="13">
        <v>32.14</v>
      </c>
      <c r="R99" s="1" t="s">
        <v>70</v>
      </c>
      <c r="S99" s="1">
        <v>3</v>
      </c>
      <c r="T99" s="1" t="b">
        <v>0</v>
      </c>
      <c r="U99" s="1" t="s">
        <v>39</v>
      </c>
      <c r="V99" s="3">
        <v>8</v>
      </c>
    </row>
    <row r="100" spans="1:22" x14ac:dyDescent="0.3">
      <c r="A100" s="2" t="s">
        <v>385</v>
      </c>
      <c r="B100" s="10">
        <v>43897</v>
      </c>
      <c r="C100" s="22">
        <v>43897</v>
      </c>
      <c r="D100" s="1" t="s">
        <v>386</v>
      </c>
      <c r="E100" s="1" t="s">
        <v>387</v>
      </c>
      <c r="F100" s="1">
        <v>35</v>
      </c>
      <c r="G100" s="1" t="s">
        <v>68</v>
      </c>
      <c r="H100" s="1" t="s">
        <v>82</v>
      </c>
      <c r="I100" s="1" t="s">
        <v>244</v>
      </c>
      <c r="J100" s="1" t="s">
        <v>44</v>
      </c>
      <c r="K100" s="1" t="s">
        <v>221</v>
      </c>
      <c r="L100" s="1">
        <v>8</v>
      </c>
      <c r="M100" s="13">
        <v>25624.31</v>
      </c>
      <c r="N100" s="15">
        <v>0.12</v>
      </c>
      <c r="O100" s="13">
        <v>188109.47</v>
      </c>
      <c r="P100" s="13">
        <v>45753.79</v>
      </c>
      <c r="Q100" s="13">
        <v>65.63</v>
      </c>
      <c r="R100" s="1" t="s">
        <v>70</v>
      </c>
      <c r="S100" s="1">
        <v>1</v>
      </c>
      <c r="T100" s="1" t="b">
        <v>0</v>
      </c>
      <c r="U100" s="1" t="s">
        <v>39</v>
      </c>
      <c r="V100" s="3">
        <v>3</v>
      </c>
    </row>
    <row r="101" spans="1:22" x14ac:dyDescent="0.3">
      <c r="A101" s="2" t="s">
        <v>388</v>
      </c>
      <c r="B101" s="10">
        <v>44221</v>
      </c>
      <c r="C101" s="22">
        <v>44221</v>
      </c>
      <c r="D101" s="1" t="s">
        <v>389</v>
      </c>
      <c r="E101" s="1" t="s">
        <v>390</v>
      </c>
      <c r="F101" s="1">
        <v>49</v>
      </c>
      <c r="G101" s="1" t="s">
        <v>391</v>
      </c>
      <c r="H101" s="1" t="s">
        <v>25</v>
      </c>
      <c r="I101" s="1" t="s">
        <v>55</v>
      </c>
      <c r="J101" s="1" t="s">
        <v>37</v>
      </c>
      <c r="K101" s="1" t="s">
        <v>182</v>
      </c>
      <c r="L101" s="1">
        <v>4</v>
      </c>
      <c r="M101" s="13">
        <v>521.44000000000005</v>
      </c>
      <c r="N101" s="15">
        <v>0.14000000000000001</v>
      </c>
      <c r="O101" s="13">
        <v>1538.13</v>
      </c>
      <c r="P101" s="13">
        <v>492.45</v>
      </c>
      <c r="Q101" s="13">
        <v>50.42</v>
      </c>
      <c r="R101" s="1" t="s">
        <v>78</v>
      </c>
      <c r="S101" s="1">
        <v>1</v>
      </c>
      <c r="T101" s="1" t="b">
        <v>0</v>
      </c>
      <c r="U101" s="1" t="s">
        <v>58</v>
      </c>
      <c r="V101" s="3">
        <v>10</v>
      </c>
    </row>
    <row r="102" spans="1:22" x14ac:dyDescent="0.3">
      <c r="A102" s="2" t="s">
        <v>392</v>
      </c>
      <c r="B102" s="10">
        <v>45306</v>
      </c>
      <c r="C102" s="22">
        <v>45306</v>
      </c>
      <c r="D102" s="1" t="s">
        <v>393</v>
      </c>
      <c r="E102" s="1" t="s">
        <v>61</v>
      </c>
      <c r="F102" s="1">
        <v>41</v>
      </c>
      <c r="G102" s="1" t="s">
        <v>24</v>
      </c>
      <c r="H102" s="1" t="s">
        <v>25</v>
      </c>
      <c r="I102" s="1" t="s">
        <v>26</v>
      </c>
      <c r="J102" s="1" t="s">
        <v>76</v>
      </c>
      <c r="K102" s="1" t="s">
        <v>77</v>
      </c>
      <c r="L102" s="1">
        <v>6</v>
      </c>
      <c r="M102" s="13">
        <v>3871.22</v>
      </c>
      <c r="N102" s="15">
        <v>0.33</v>
      </c>
      <c r="O102" s="13">
        <v>16031.48</v>
      </c>
      <c r="P102" s="13">
        <v>5072.13</v>
      </c>
      <c r="Q102" s="13">
        <v>43.12</v>
      </c>
      <c r="R102" s="1" t="s">
        <v>29</v>
      </c>
      <c r="S102" s="1">
        <v>4</v>
      </c>
      <c r="T102" s="1" t="b">
        <v>0</v>
      </c>
      <c r="U102" s="1" t="s">
        <v>39</v>
      </c>
      <c r="V102" s="3">
        <v>3</v>
      </c>
    </row>
    <row r="103" spans="1:22" x14ac:dyDescent="0.3">
      <c r="A103" s="2" t="s">
        <v>394</v>
      </c>
      <c r="B103" s="10">
        <v>45070</v>
      </c>
      <c r="C103" s="22">
        <v>45070</v>
      </c>
      <c r="D103" s="1" t="s">
        <v>395</v>
      </c>
      <c r="E103" s="1" t="s">
        <v>319</v>
      </c>
      <c r="F103" s="1">
        <v>24</v>
      </c>
      <c r="G103" s="1" t="s">
        <v>24</v>
      </c>
      <c r="H103" s="1" t="s">
        <v>35</v>
      </c>
      <c r="I103" s="1" t="s">
        <v>36</v>
      </c>
      <c r="J103" s="1" t="s">
        <v>62</v>
      </c>
      <c r="K103" s="1" t="s">
        <v>63</v>
      </c>
      <c r="L103" s="1">
        <v>8</v>
      </c>
      <c r="M103" s="13">
        <v>579.77</v>
      </c>
      <c r="N103" s="15">
        <v>0.36</v>
      </c>
      <c r="O103" s="13">
        <v>3954.73</v>
      </c>
      <c r="P103" s="13">
        <v>2230.94</v>
      </c>
      <c r="Q103" s="13">
        <v>42.6</v>
      </c>
      <c r="R103" s="1" t="s">
        <v>29</v>
      </c>
      <c r="S103" s="1">
        <v>3</v>
      </c>
      <c r="T103" s="1" t="b">
        <v>0</v>
      </c>
      <c r="U103" s="1" t="s">
        <v>39</v>
      </c>
      <c r="V103" s="3">
        <v>7</v>
      </c>
    </row>
    <row r="104" spans="1:22" x14ac:dyDescent="0.3">
      <c r="A104" s="2" t="s">
        <v>396</v>
      </c>
      <c r="B104" s="10">
        <v>44290</v>
      </c>
      <c r="C104" s="22">
        <v>44290</v>
      </c>
      <c r="D104" s="1" t="s">
        <v>397</v>
      </c>
      <c r="E104" s="1" t="s">
        <v>131</v>
      </c>
      <c r="F104" s="1">
        <v>26</v>
      </c>
      <c r="G104" s="1" t="s">
        <v>34</v>
      </c>
      <c r="H104" s="1" t="s">
        <v>74</v>
      </c>
      <c r="I104" s="1" t="s">
        <v>75</v>
      </c>
      <c r="J104" s="1" t="s">
        <v>27</v>
      </c>
      <c r="K104" s="1" t="s">
        <v>56</v>
      </c>
      <c r="L104" s="1">
        <v>1</v>
      </c>
      <c r="M104" s="13">
        <v>116.68</v>
      </c>
      <c r="N104" s="15">
        <v>0.06</v>
      </c>
      <c r="O104" s="13">
        <v>118.23</v>
      </c>
      <c r="P104" s="13">
        <v>9.75</v>
      </c>
      <c r="Q104" s="13">
        <v>47.55</v>
      </c>
      <c r="R104" s="1" t="s">
        <v>70</v>
      </c>
      <c r="S104" s="1">
        <v>1</v>
      </c>
      <c r="T104" s="1" t="b">
        <v>0</v>
      </c>
      <c r="U104" s="1" t="s">
        <v>39</v>
      </c>
      <c r="V104" s="3">
        <v>8</v>
      </c>
    </row>
    <row r="105" spans="1:22" x14ac:dyDescent="0.3">
      <c r="A105" s="2" t="s">
        <v>398</v>
      </c>
      <c r="B105" s="10">
        <v>45126</v>
      </c>
      <c r="C105" s="22">
        <v>45126</v>
      </c>
      <c r="D105" s="1" t="s">
        <v>399</v>
      </c>
      <c r="E105" s="1" t="s">
        <v>240</v>
      </c>
      <c r="F105" s="1">
        <v>34</v>
      </c>
      <c r="G105" s="1" t="s">
        <v>24</v>
      </c>
      <c r="H105" s="1" t="s">
        <v>74</v>
      </c>
      <c r="I105" s="1" t="s">
        <v>136</v>
      </c>
      <c r="J105" s="1" t="s">
        <v>27</v>
      </c>
      <c r="K105" s="1" t="s">
        <v>400</v>
      </c>
      <c r="L105" s="1">
        <v>4</v>
      </c>
      <c r="M105" s="13">
        <v>161.52000000000001</v>
      </c>
      <c r="N105" s="15">
        <v>0.17</v>
      </c>
      <c r="O105" s="13">
        <v>815.36</v>
      </c>
      <c r="P105" s="13">
        <v>66.150000000000006</v>
      </c>
      <c r="Q105" s="13">
        <v>45.84</v>
      </c>
      <c r="R105" s="1" t="s">
        <v>57</v>
      </c>
      <c r="S105" s="1">
        <v>4</v>
      </c>
      <c r="T105" s="1" t="b">
        <v>0</v>
      </c>
      <c r="U105" s="1" t="s">
        <v>84</v>
      </c>
      <c r="V105" s="3">
        <v>8</v>
      </c>
    </row>
    <row r="106" spans="1:22" x14ac:dyDescent="0.3">
      <c r="A106" s="2" t="s">
        <v>401</v>
      </c>
      <c r="B106" s="10">
        <v>44322</v>
      </c>
      <c r="C106" s="22">
        <v>44322</v>
      </c>
      <c r="D106" s="1" t="s">
        <v>402</v>
      </c>
      <c r="E106" s="1" t="s">
        <v>403</v>
      </c>
      <c r="F106" s="1">
        <v>33</v>
      </c>
      <c r="G106" s="1" t="s">
        <v>24</v>
      </c>
      <c r="H106" s="1" t="s">
        <v>35</v>
      </c>
      <c r="I106" s="1" t="s">
        <v>106</v>
      </c>
      <c r="J106" s="1" t="s">
        <v>62</v>
      </c>
      <c r="K106" s="1" t="s">
        <v>283</v>
      </c>
      <c r="L106" s="1">
        <v>7</v>
      </c>
      <c r="M106" s="13">
        <v>1042.98</v>
      </c>
      <c r="N106" s="15">
        <v>0.3</v>
      </c>
      <c r="O106" s="13">
        <v>7120.16</v>
      </c>
      <c r="P106" s="13">
        <v>2589.16</v>
      </c>
      <c r="Q106" s="13">
        <v>61.15</v>
      </c>
      <c r="R106" s="1" t="s">
        <v>29</v>
      </c>
      <c r="S106" s="1">
        <v>2</v>
      </c>
      <c r="T106" s="1" t="b">
        <v>1</v>
      </c>
      <c r="U106" s="1" t="s">
        <v>30</v>
      </c>
      <c r="V106" s="3">
        <v>4</v>
      </c>
    </row>
    <row r="107" spans="1:22" x14ac:dyDescent="0.3">
      <c r="A107" s="2" t="s">
        <v>404</v>
      </c>
      <c r="B107" s="10">
        <v>44257</v>
      </c>
      <c r="C107" s="22">
        <v>44257</v>
      </c>
      <c r="D107" s="1" t="s">
        <v>405</v>
      </c>
      <c r="E107" s="1" t="s">
        <v>406</v>
      </c>
      <c r="F107" s="1">
        <v>14</v>
      </c>
      <c r="G107" s="1" t="s">
        <v>68</v>
      </c>
      <c r="H107" s="1" t="s">
        <v>25</v>
      </c>
      <c r="I107" s="1" t="s">
        <v>170</v>
      </c>
      <c r="J107" s="1" t="s">
        <v>76</v>
      </c>
      <c r="K107" s="1" t="s">
        <v>207</v>
      </c>
      <c r="L107" s="1">
        <v>3</v>
      </c>
      <c r="M107" s="13">
        <v>3314.25</v>
      </c>
      <c r="N107" s="15">
        <v>0.1</v>
      </c>
      <c r="O107" s="13">
        <v>9673.58</v>
      </c>
      <c r="P107" s="13">
        <v>3783</v>
      </c>
      <c r="Q107" s="13">
        <v>52.17</v>
      </c>
      <c r="R107" s="1" t="s">
        <v>78</v>
      </c>
      <c r="S107" s="1">
        <v>3</v>
      </c>
      <c r="T107" s="1" t="b">
        <v>0</v>
      </c>
      <c r="U107" s="1" t="s">
        <v>137</v>
      </c>
      <c r="V107" s="3">
        <v>8</v>
      </c>
    </row>
    <row r="108" spans="1:22" x14ac:dyDescent="0.3">
      <c r="A108" s="2" t="s">
        <v>407</v>
      </c>
      <c r="B108" s="10">
        <v>45458</v>
      </c>
      <c r="C108" s="22">
        <v>45458</v>
      </c>
      <c r="D108" s="1" t="s">
        <v>408</v>
      </c>
      <c r="E108" s="1" t="s">
        <v>409</v>
      </c>
      <c r="F108" s="1">
        <v>11</v>
      </c>
      <c r="G108" s="1" t="s">
        <v>34</v>
      </c>
      <c r="H108" s="1" t="s">
        <v>82</v>
      </c>
      <c r="I108" s="1" t="s">
        <v>83</v>
      </c>
      <c r="J108" s="1" t="s">
        <v>127</v>
      </c>
      <c r="K108" s="1" t="s">
        <v>128</v>
      </c>
      <c r="L108" s="1">
        <v>3</v>
      </c>
      <c r="M108" s="13">
        <v>48747.69</v>
      </c>
      <c r="N108" s="15">
        <v>0.28999999999999998</v>
      </c>
      <c r="O108" s="13">
        <v>172382.02</v>
      </c>
      <c r="P108" s="13">
        <v>22319.7</v>
      </c>
      <c r="Q108" s="13">
        <v>42.24</v>
      </c>
      <c r="R108" s="1" t="s">
        <v>57</v>
      </c>
      <c r="S108" s="1">
        <v>5</v>
      </c>
      <c r="T108" s="1" t="b">
        <v>0</v>
      </c>
      <c r="U108" s="1" t="s">
        <v>39</v>
      </c>
      <c r="V108" s="3">
        <v>6</v>
      </c>
    </row>
    <row r="109" spans="1:22" x14ac:dyDescent="0.3">
      <c r="A109" s="2" t="s">
        <v>410</v>
      </c>
      <c r="B109" s="10">
        <v>44909</v>
      </c>
      <c r="C109" s="22">
        <v>44909</v>
      </c>
      <c r="D109" s="1" t="s">
        <v>411</v>
      </c>
      <c r="E109" s="1" t="s">
        <v>412</v>
      </c>
      <c r="F109" s="1">
        <v>12</v>
      </c>
      <c r="G109" s="1" t="s">
        <v>34</v>
      </c>
      <c r="H109" s="1" t="s">
        <v>35</v>
      </c>
      <c r="I109" s="1" t="s">
        <v>49</v>
      </c>
      <c r="J109" s="1" t="s">
        <v>62</v>
      </c>
      <c r="K109" s="1" t="s">
        <v>107</v>
      </c>
      <c r="L109" s="1">
        <v>9</v>
      </c>
      <c r="M109" s="13">
        <v>1471.74</v>
      </c>
      <c r="N109" s="15">
        <v>0.05</v>
      </c>
      <c r="O109" s="13">
        <v>10167.9</v>
      </c>
      <c r="P109" s="13">
        <v>5411.76</v>
      </c>
      <c r="Q109" s="13">
        <v>50.89</v>
      </c>
      <c r="R109" s="1" t="s">
        <v>64</v>
      </c>
      <c r="S109" s="1">
        <v>4</v>
      </c>
      <c r="T109" s="1" t="b">
        <v>0</v>
      </c>
      <c r="U109" s="1" t="s">
        <v>39</v>
      </c>
      <c r="V109" s="3">
        <v>7</v>
      </c>
    </row>
    <row r="110" spans="1:22" x14ac:dyDescent="0.3">
      <c r="A110" s="2" t="s">
        <v>413</v>
      </c>
      <c r="B110" s="10">
        <v>45032</v>
      </c>
      <c r="C110" s="22">
        <v>45032</v>
      </c>
      <c r="D110" s="1" t="s">
        <v>414</v>
      </c>
      <c r="E110" s="1" t="s">
        <v>415</v>
      </c>
      <c r="F110" s="1">
        <v>36</v>
      </c>
      <c r="G110" s="1" t="s">
        <v>34</v>
      </c>
      <c r="H110" s="1" t="s">
        <v>35</v>
      </c>
      <c r="I110" s="1" t="s">
        <v>43</v>
      </c>
      <c r="J110" s="1" t="s">
        <v>127</v>
      </c>
      <c r="K110" s="1" t="s">
        <v>171</v>
      </c>
      <c r="L110" s="1">
        <v>8</v>
      </c>
      <c r="M110" s="13">
        <v>27632.84</v>
      </c>
      <c r="N110" s="15">
        <v>0.08</v>
      </c>
      <c r="O110" s="13">
        <v>295286.40999999997</v>
      </c>
      <c r="P110" s="13">
        <v>33436.120000000003</v>
      </c>
      <c r="Q110" s="13">
        <v>20.29</v>
      </c>
      <c r="R110" s="1" t="s">
        <v>57</v>
      </c>
      <c r="S110" s="1">
        <v>3</v>
      </c>
      <c r="T110" s="1" t="b">
        <v>0</v>
      </c>
      <c r="U110" s="1" t="s">
        <v>39</v>
      </c>
      <c r="V110" s="3">
        <v>7</v>
      </c>
    </row>
    <row r="111" spans="1:22" x14ac:dyDescent="0.3">
      <c r="A111" s="2" t="s">
        <v>416</v>
      </c>
      <c r="B111" s="10">
        <v>44324</v>
      </c>
      <c r="C111" s="22">
        <v>44324</v>
      </c>
      <c r="D111" s="1" t="s">
        <v>417</v>
      </c>
      <c r="E111" s="1" t="s">
        <v>418</v>
      </c>
      <c r="F111" s="1">
        <v>37</v>
      </c>
      <c r="G111" s="1" t="s">
        <v>24</v>
      </c>
      <c r="H111" s="1" t="s">
        <v>35</v>
      </c>
      <c r="I111" s="1" t="s">
        <v>36</v>
      </c>
      <c r="J111" s="1" t="s">
        <v>146</v>
      </c>
      <c r="K111" s="1" t="s">
        <v>276</v>
      </c>
      <c r="L111" s="1">
        <v>7</v>
      </c>
      <c r="M111" s="13">
        <v>11542.97</v>
      </c>
      <c r="N111" s="15">
        <v>0.16</v>
      </c>
      <c r="O111" s="13">
        <v>97177.38</v>
      </c>
      <c r="P111" s="13">
        <v>24424.83</v>
      </c>
      <c r="Q111" s="13">
        <v>53.27</v>
      </c>
      <c r="R111" s="1" t="s">
        <v>51</v>
      </c>
      <c r="S111" s="1">
        <v>1</v>
      </c>
      <c r="T111" s="1" t="b">
        <v>1</v>
      </c>
      <c r="U111" s="1" t="s">
        <v>30</v>
      </c>
      <c r="V111" s="3">
        <v>7</v>
      </c>
    </row>
    <row r="112" spans="1:22" x14ac:dyDescent="0.3">
      <c r="A112" s="2" t="s">
        <v>419</v>
      </c>
      <c r="B112" s="10">
        <v>43869</v>
      </c>
      <c r="C112" s="22">
        <v>43869</v>
      </c>
      <c r="D112" s="1" t="s">
        <v>420</v>
      </c>
      <c r="E112" s="1" t="s">
        <v>412</v>
      </c>
      <c r="F112" s="1">
        <v>34</v>
      </c>
      <c r="G112" s="1" t="s">
        <v>24</v>
      </c>
      <c r="H112" s="1" t="s">
        <v>35</v>
      </c>
      <c r="I112" s="1" t="s">
        <v>106</v>
      </c>
      <c r="J112" s="1" t="s">
        <v>62</v>
      </c>
      <c r="K112" s="1" t="s">
        <v>107</v>
      </c>
      <c r="L112" s="1">
        <v>8</v>
      </c>
      <c r="M112" s="13">
        <v>1325.02</v>
      </c>
      <c r="N112" s="15">
        <v>0.09</v>
      </c>
      <c r="O112" s="13">
        <v>8717.89</v>
      </c>
      <c r="P112" s="13">
        <v>3265.49</v>
      </c>
      <c r="Q112" s="13">
        <v>41.67</v>
      </c>
      <c r="R112" s="1" t="s">
        <v>29</v>
      </c>
      <c r="S112" s="1">
        <v>2</v>
      </c>
      <c r="T112" s="1" t="b">
        <v>0</v>
      </c>
      <c r="U112" s="1" t="s">
        <v>84</v>
      </c>
      <c r="V112" s="3">
        <v>5</v>
      </c>
    </row>
    <row r="113" spans="1:22" x14ac:dyDescent="0.3">
      <c r="A113" s="2" t="s">
        <v>421</v>
      </c>
      <c r="B113" s="10">
        <v>45485</v>
      </c>
      <c r="C113" s="22">
        <v>45485</v>
      </c>
      <c r="D113" s="1" t="s">
        <v>422</v>
      </c>
      <c r="E113" s="1" t="s">
        <v>423</v>
      </c>
      <c r="F113" s="1">
        <v>50</v>
      </c>
      <c r="G113" s="1" t="s">
        <v>24</v>
      </c>
      <c r="H113" s="1" t="s">
        <v>111</v>
      </c>
      <c r="I113" s="1" t="s">
        <v>330</v>
      </c>
      <c r="J113" s="1" t="s">
        <v>27</v>
      </c>
      <c r="K113" s="1" t="s">
        <v>28</v>
      </c>
      <c r="L113" s="1">
        <v>5</v>
      </c>
      <c r="M113" s="13">
        <v>84.21</v>
      </c>
      <c r="N113" s="15">
        <v>0.13</v>
      </c>
      <c r="O113" s="13">
        <v>125.78</v>
      </c>
      <c r="P113" s="13">
        <v>8.9</v>
      </c>
      <c r="Q113" s="13">
        <v>47.91</v>
      </c>
      <c r="R113" s="1" t="s">
        <v>64</v>
      </c>
      <c r="S113" s="1">
        <v>4</v>
      </c>
      <c r="T113" s="1" t="b">
        <v>0</v>
      </c>
      <c r="U113" s="1" t="s">
        <v>39</v>
      </c>
      <c r="V113" s="3">
        <v>2</v>
      </c>
    </row>
    <row r="114" spans="1:22" x14ac:dyDescent="0.3">
      <c r="A114" s="2" t="s">
        <v>424</v>
      </c>
      <c r="B114" s="10">
        <v>45078</v>
      </c>
      <c r="C114" s="22">
        <v>45078</v>
      </c>
      <c r="D114" s="1" t="s">
        <v>425</v>
      </c>
      <c r="E114" s="1" t="s">
        <v>426</v>
      </c>
      <c r="F114" s="1">
        <v>34</v>
      </c>
      <c r="G114" s="1" t="s">
        <v>34</v>
      </c>
      <c r="H114" s="1" t="s">
        <v>82</v>
      </c>
      <c r="I114" s="1" t="s">
        <v>126</v>
      </c>
      <c r="J114" s="1" t="s">
        <v>146</v>
      </c>
      <c r="K114" s="1" t="s">
        <v>161</v>
      </c>
      <c r="L114" s="1">
        <v>6</v>
      </c>
      <c r="M114" s="13">
        <v>5611.57</v>
      </c>
      <c r="N114" s="15">
        <v>0.2</v>
      </c>
      <c r="O114" s="13">
        <v>37888.42</v>
      </c>
      <c r="P114" s="13">
        <v>6107.6</v>
      </c>
      <c r="Q114" s="13">
        <v>97.42</v>
      </c>
      <c r="R114" s="1" t="s">
        <v>70</v>
      </c>
      <c r="S114" s="1">
        <v>5</v>
      </c>
      <c r="T114" s="1" t="b">
        <v>0</v>
      </c>
      <c r="U114" s="1" t="s">
        <v>39</v>
      </c>
      <c r="V114" s="3">
        <v>2</v>
      </c>
    </row>
    <row r="115" spans="1:22" x14ac:dyDescent="0.3">
      <c r="A115" s="2" t="s">
        <v>427</v>
      </c>
      <c r="B115" s="10">
        <v>45276</v>
      </c>
      <c r="C115" s="22">
        <v>45276</v>
      </c>
      <c r="D115" s="1" t="s">
        <v>428</v>
      </c>
      <c r="E115" s="1" t="s">
        <v>429</v>
      </c>
      <c r="F115" s="1">
        <v>45</v>
      </c>
      <c r="G115" s="1" t="s">
        <v>68</v>
      </c>
      <c r="H115" s="1" t="s">
        <v>25</v>
      </c>
      <c r="I115" s="1" t="s">
        <v>26</v>
      </c>
      <c r="J115" s="1" t="s">
        <v>27</v>
      </c>
      <c r="K115" s="1" t="s">
        <v>430</v>
      </c>
      <c r="L115" s="1">
        <v>9</v>
      </c>
      <c r="M115" s="13">
        <v>312.52999999999997</v>
      </c>
      <c r="N115" s="15">
        <v>0.35</v>
      </c>
      <c r="O115" s="13">
        <v>1437</v>
      </c>
      <c r="P115" s="13">
        <v>155.72999999999999</v>
      </c>
      <c r="Q115" s="13">
        <v>48.28</v>
      </c>
      <c r="R115" s="1" t="s">
        <v>64</v>
      </c>
      <c r="S115" s="1">
        <v>4</v>
      </c>
      <c r="T115" s="1" t="b">
        <v>0</v>
      </c>
      <c r="U115" s="1" t="s">
        <v>137</v>
      </c>
      <c r="V115" s="3">
        <v>5</v>
      </c>
    </row>
    <row r="116" spans="1:22" x14ac:dyDescent="0.3">
      <c r="A116" s="2" t="s">
        <v>431</v>
      </c>
      <c r="B116" s="10">
        <v>45647</v>
      </c>
      <c r="C116" s="22">
        <v>45647</v>
      </c>
      <c r="D116" s="1" t="s">
        <v>432</v>
      </c>
      <c r="E116" s="1" t="s">
        <v>433</v>
      </c>
      <c r="F116" s="1">
        <v>49</v>
      </c>
      <c r="G116" s="1" t="s">
        <v>434</v>
      </c>
      <c r="H116" s="1" t="s">
        <v>111</v>
      </c>
      <c r="I116" s="1" t="s">
        <v>121</v>
      </c>
      <c r="J116" s="1" t="s">
        <v>146</v>
      </c>
      <c r="K116" s="1" t="s">
        <v>147</v>
      </c>
      <c r="L116" s="1">
        <v>2</v>
      </c>
      <c r="M116" s="13">
        <v>13057.02</v>
      </c>
      <c r="N116" s="15">
        <v>0.35</v>
      </c>
      <c r="O116" s="13">
        <v>14206.67</v>
      </c>
      <c r="P116" s="13">
        <v>3578.76</v>
      </c>
      <c r="Q116" s="13">
        <v>69.31</v>
      </c>
      <c r="R116" s="1" t="s">
        <v>70</v>
      </c>
      <c r="S116" s="1">
        <v>5</v>
      </c>
      <c r="T116" s="1" t="b">
        <v>0</v>
      </c>
      <c r="U116" s="1" t="s">
        <v>39</v>
      </c>
      <c r="V116" s="3">
        <v>10</v>
      </c>
    </row>
    <row r="117" spans="1:22" x14ac:dyDescent="0.3">
      <c r="A117" s="2" t="s">
        <v>435</v>
      </c>
      <c r="B117" s="10">
        <v>45047</v>
      </c>
      <c r="C117" s="22">
        <v>45047</v>
      </c>
      <c r="D117" s="1" t="s">
        <v>436</v>
      </c>
      <c r="E117" s="1" t="s">
        <v>437</v>
      </c>
      <c r="F117" s="1">
        <v>31</v>
      </c>
      <c r="G117" s="1" t="s">
        <v>34</v>
      </c>
      <c r="H117" s="1" t="s">
        <v>111</v>
      </c>
      <c r="I117" s="1" t="s">
        <v>330</v>
      </c>
      <c r="J117" s="1" t="s">
        <v>76</v>
      </c>
      <c r="K117" s="1" t="s">
        <v>77</v>
      </c>
      <c r="L117" s="1">
        <v>7</v>
      </c>
      <c r="M117" s="13">
        <v>3482.32</v>
      </c>
      <c r="N117" s="15">
        <v>0.35</v>
      </c>
      <c r="O117" s="13">
        <v>26908.32</v>
      </c>
      <c r="P117" s="13">
        <v>8716.81</v>
      </c>
      <c r="Q117" s="13">
        <v>68.92</v>
      </c>
      <c r="R117" s="1" t="s">
        <v>78</v>
      </c>
      <c r="S117" s="1">
        <v>4</v>
      </c>
      <c r="T117" s="1" t="b">
        <v>0</v>
      </c>
      <c r="U117" s="1" t="s">
        <v>39</v>
      </c>
      <c r="V117" s="3">
        <v>7</v>
      </c>
    </row>
    <row r="118" spans="1:22" x14ac:dyDescent="0.3">
      <c r="A118" s="2" t="s">
        <v>438</v>
      </c>
      <c r="B118" s="10">
        <v>44244</v>
      </c>
      <c r="C118" s="22">
        <v>44244</v>
      </c>
      <c r="D118" s="1" t="s">
        <v>439</v>
      </c>
      <c r="E118" s="1" t="s">
        <v>440</v>
      </c>
      <c r="F118" s="1">
        <v>48</v>
      </c>
      <c r="G118" s="1" t="s">
        <v>34</v>
      </c>
      <c r="H118" s="1" t="s">
        <v>25</v>
      </c>
      <c r="I118" s="1" t="s">
        <v>170</v>
      </c>
      <c r="J118" s="1" t="s">
        <v>146</v>
      </c>
      <c r="K118" s="1" t="s">
        <v>276</v>
      </c>
      <c r="L118" s="1">
        <v>3</v>
      </c>
      <c r="M118" s="13">
        <v>11359.59</v>
      </c>
      <c r="N118" s="15">
        <v>0.01</v>
      </c>
      <c r="O118" s="13">
        <v>30752.81</v>
      </c>
      <c r="P118" s="13">
        <v>7374.96</v>
      </c>
      <c r="Q118" s="13">
        <v>41.65</v>
      </c>
      <c r="R118" s="1" t="s">
        <v>29</v>
      </c>
      <c r="S118" s="1">
        <v>1</v>
      </c>
      <c r="T118" s="1" t="b">
        <v>0</v>
      </c>
      <c r="U118" s="1" t="s">
        <v>39</v>
      </c>
      <c r="V118" s="3">
        <v>8</v>
      </c>
    </row>
    <row r="119" spans="1:22" x14ac:dyDescent="0.3">
      <c r="A119" s="2" t="s">
        <v>441</v>
      </c>
      <c r="B119" s="10">
        <v>44175</v>
      </c>
      <c r="C119" s="22">
        <v>44175</v>
      </c>
      <c r="D119" s="1" t="s">
        <v>442</v>
      </c>
      <c r="E119" s="1" t="s">
        <v>443</v>
      </c>
      <c r="F119" s="1">
        <v>28</v>
      </c>
      <c r="G119" s="1" t="s">
        <v>24</v>
      </c>
      <c r="H119" s="1" t="s">
        <v>25</v>
      </c>
      <c r="I119" s="1" t="s">
        <v>55</v>
      </c>
      <c r="J119" s="1" t="s">
        <v>146</v>
      </c>
      <c r="K119" s="1" t="s">
        <v>217</v>
      </c>
      <c r="L119" s="1">
        <v>5</v>
      </c>
      <c r="M119" s="13">
        <v>5242.7700000000004</v>
      </c>
      <c r="N119" s="15">
        <v>0.31</v>
      </c>
      <c r="O119" s="13">
        <v>13993.35</v>
      </c>
      <c r="P119" s="13">
        <v>2992.91</v>
      </c>
      <c r="Q119" s="13">
        <v>74.58</v>
      </c>
      <c r="R119" s="1" t="s">
        <v>51</v>
      </c>
      <c r="S119" s="1">
        <v>1</v>
      </c>
      <c r="T119" s="1" t="b">
        <v>1</v>
      </c>
      <c r="U119" s="1" t="s">
        <v>30</v>
      </c>
      <c r="V119" s="3">
        <v>5</v>
      </c>
    </row>
    <row r="120" spans="1:22" x14ac:dyDescent="0.3">
      <c r="A120" s="2" t="s">
        <v>444</v>
      </c>
      <c r="B120" s="10">
        <v>43864</v>
      </c>
      <c r="C120" s="22">
        <v>43864</v>
      </c>
      <c r="D120" s="1" t="s">
        <v>445</v>
      </c>
      <c r="E120" s="1" t="s">
        <v>446</v>
      </c>
      <c r="F120" s="1">
        <v>29</v>
      </c>
      <c r="G120" s="1" t="s">
        <v>68</v>
      </c>
      <c r="H120" s="1" t="s">
        <v>35</v>
      </c>
      <c r="I120" s="1" t="s">
        <v>49</v>
      </c>
      <c r="J120" s="1" t="s">
        <v>44</v>
      </c>
      <c r="K120" s="1" t="s">
        <v>117</v>
      </c>
      <c r="L120" s="1">
        <v>10</v>
      </c>
      <c r="M120" s="13">
        <v>9468.07</v>
      </c>
      <c r="N120" s="15">
        <v>0.32</v>
      </c>
      <c r="O120" s="13">
        <v>57174.239999999998</v>
      </c>
      <c r="P120" s="13">
        <v>15202.22</v>
      </c>
      <c r="Q120" s="13">
        <v>40.98</v>
      </c>
      <c r="R120" s="1" t="s">
        <v>51</v>
      </c>
      <c r="S120" s="1">
        <v>3</v>
      </c>
      <c r="T120" s="1" t="b">
        <v>0</v>
      </c>
      <c r="U120" s="1" t="s">
        <v>39</v>
      </c>
      <c r="V120" s="3">
        <v>2</v>
      </c>
    </row>
    <row r="121" spans="1:22" x14ac:dyDescent="0.3">
      <c r="A121" s="2" t="s">
        <v>447</v>
      </c>
      <c r="B121" s="10">
        <v>44193</v>
      </c>
      <c r="C121" s="22">
        <v>44193</v>
      </c>
      <c r="D121" s="1" t="s">
        <v>448</v>
      </c>
      <c r="E121" s="1" t="s">
        <v>449</v>
      </c>
      <c r="F121" s="1">
        <v>37</v>
      </c>
      <c r="G121" s="1" t="s">
        <v>24</v>
      </c>
      <c r="H121" s="1" t="s">
        <v>111</v>
      </c>
      <c r="I121" s="1" t="s">
        <v>121</v>
      </c>
      <c r="J121" s="1" t="s">
        <v>27</v>
      </c>
      <c r="K121" s="1" t="s">
        <v>450</v>
      </c>
      <c r="L121" s="1">
        <v>8</v>
      </c>
      <c r="M121" s="13">
        <v>491.76</v>
      </c>
      <c r="N121" s="15">
        <v>0.08</v>
      </c>
      <c r="O121" s="13">
        <v>2780.1</v>
      </c>
      <c r="P121" s="13">
        <v>223.65</v>
      </c>
      <c r="Q121" s="13">
        <v>61.84</v>
      </c>
      <c r="R121" s="1" t="s">
        <v>78</v>
      </c>
      <c r="S121" s="1">
        <v>2</v>
      </c>
      <c r="T121" s="1" t="b">
        <v>0</v>
      </c>
      <c r="U121" s="1" t="s">
        <v>39</v>
      </c>
      <c r="V121" s="3">
        <v>4</v>
      </c>
    </row>
    <row r="122" spans="1:22" x14ac:dyDescent="0.3">
      <c r="A122" s="2" t="s">
        <v>451</v>
      </c>
      <c r="B122" s="10">
        <v>44667</v>
      </c>
      <c r="C122" s="22">
        <v>44667</v>
      </c>
      <c r="D122" s="1" t="s">
        <v>452</v>
      </c>
      <c r="E122" s="1" t="s">
        <v>453</v>
      </c>
      <c r="F122" s="1">
        <v>42</v>
      </c>
      <c r="G122" s="1" t="s">
        <v>34</v>
      </c>
      <c r="H122" s="1" t="s">
        <v>82</v>
      </c>
      <c r="I122" s="1" t="s">
        <v>244</v>
      </c>
      <c r="J122" s="1" t="s">
        <v>37</v>
      </c>
      <c r="K122" s="1" t="s">
        <v>454</v>
      </c>
      <c r="L122" s="1">
        <v>7</v>
      </c>
      <c r="M122" s="13">
        <v>2235.02</v>
      </c>
      <c r="N122" s="15">
        <v>0.37</v>
      </c>
      <c r="O122" s="13">
        <v>11756.21</v>
      </c>
      <c r="P122" s="13">
        <v>7295.66</v>
      </c>
      <c r="Q122" s="13">
        <v>68.83</v>
      </c>
      <c r="R122" s="1" t="s">
        <v>78</v>
      </c>
      <c r="S122" s="1">
        <v>1</v>
      </c>
      <c r="T122" s="1" t="b">
        <v>1</v>
      </c>
      <c r="U122" s="1" t="s">
        <v>30</v>
      </c>
      <c r="V122" s="3">
        <v>8</v>
      </c>
    </row>
    <row r="123" spans="1:22" x14ac:dyDescent="0.3">
      <c r="A123" s="2" t="s">
        <v>455</v>
      </c>
      <c r="B123" s="10">
        <v>45616</v>
      </c>
      <c r="C123" s="22">
        <v>45616</v>
      </c>
      <c r="D123" s="1" t="s">
        <v>456</v>
      </c>
      <c r="E123" s="1" t="s">
        <v>457</v>
      </c>
      <c r="F123" s="1">
        <v>27</v>
      </c>
      <c r="G123" s="1" t="s">
        <v>24</v>
      </c>
      <c r="H123" s="1" t="s">
        <v>82</v>
      </c>
      <c r="I123" s="1" t="s">
        <v>126</v>
      </c>
      <c r="J123" s="1" t="s">
        <v>62</v>
      </c>
      <c r="K123" s="1" t="s">
        <v>151</v>
      </c>
      <c r="L123" s="1">
        <v>9</v>
      </c>
      <c r="M123" s="13">
        <v>1324.57</v>
      </c>
      <c r="N123" s="15">
        <v>0.38</v>
      </c>
      <c r="O123" s="13">
        <v>7683.45</v>
      </c>
      <c r="P123" s="13">
        <v>2086.59</v>
      </c>
      <c r="Q123" s="13">
        <v>82.14</v>
      </c>
      <c r="R123" s="1" t="s">
        <v>78</v>
      </c>
      <c r="S123" s="1">
        <v>4</v>
      </c>
      <c r="T123" s="1" t="b">
        <v>0</v>
      </c>
      <c r="U123" s="1" t="s">
        <v>39</v>
      </c>
      <c r="V123" s="3">
        <v>4</v>
      </c>
    </row>
    <row r="124" spans="1:22" x14ac:dyDescent="0.3">
      <c r="A124" s="2" t="s">
        <v>458</v>
      </c>
      <c r="B124" s="10">
        <v>45114</v>
      </c>
      <c r="C124" s="22">
        <v>45114</v>
      </c>
      <c r="D124" s="1" t="s">
        <v>459</v>
      </c>
      <c r="E124" s="1" t="s">
        <v>460</v>
      </c>
      <c r="F124" s="1">
        <v>54</v>
      </c>
      <c r="G124" s="1" t="s">
        <v>34</v>
      </c>
      <c r="H124" s="1" t="s">
        <v>74</v>
      </c>
      <c r="I124" s="1" t="s">
        <v>192</v>
      </c>
      <c r="J124" s="1" t="s">
        <v>146</v>
      </c>
      <c r="K124" s="1" t="s">
        <v>178</v>
      </c>
      <c r="L124" s="1">
        <v>1</v>
      </c>
      <c r="M124" s="13">
        <v>9949.4699999999993</v>
      </c>
      <c r="N124" s="15">
        <v>0.06</v>
      </c>
      <c r="O124" s="13">
        <v>13501.36</v>
      </c>
      <c r="P124" s="13">
        <v>3908.34</v>
      </c>
      <c r="Q124" s="13">
        <v>42.57</v>
      </c>
      <c r="R124" s="1" t="s">
        <v>78</v>
      </c>
      <c r="S124" s="1">
        <v>3</v>
      </c>
      <c r="T124" s="1" t="b">
        <v>0</v>
      </c>
      <c r="U124" s="1" t="s">
        <v>39</v>
      </c>
      <c r="V124" s="3">
        <v>5</v>
      </c>
    </row>
    <row r="125" spans="1:22" x14ac:dyDescent="0.3">
      <c r="A125" s="2" t="s">
        <v>461</v>
      </c>
      <c r="B125" s="10">
        <v>44796</v>
      </c>
      <c r="C125" s="22">
        <v>44796</v>
      </c>
      <c r="D125" s="1" t="s">
        <v>462</v>
      </c>
      <c r="E125" s="1" t="s">
        <v>247</v>
      </c>
      <c r="F125" s="1">
        <v>34</v>
      </c>
      <c r="G125" s="1" t="s">
        <v>463</v>
      </c>
      <c r="H125" s="1" t="s">
        <v>82</v>
      </c>
      <c r="I125" s="1" t="s">
        <v>293</v>
      </c>
      <c r="J125" s="1" t="s">
        <v>127</v>
      </c>
      <c r="K125" s="1" t="s">
        <v>142</v>
      </c>
      <c r="L125" s="1">
        <v>6</v>
      </c>
      <c r="M125" s="13">
        <v>45624.04</v>
      </c>
      <c r="N125" s="15">
        <v>0.24</v>
      </c>
      <c r="O125" s="13">
        <v>274607.48</v>
      </c>
      <c r="P125" s="13">
        <v>23542.83</v>
      </c>
      <c r="Q125" s="13">
        <v>97.97</v>
      </c>
      <c r="R125" s="1" t="s">
        <v>78</v>
      </c>
      <c r="S125" s="1">
        <v>4</v>
      </c>
      <c r="T125" s="1" t="b">
        <v>0</v>
      </c>
      <c r="U125" s="1" t="s">
        <v>39</v>
      </c>
      <c r="V125" s="3">
        <v>7</v>
      </c>
    </row>
    <row r="126" spans="1:22" x14ac:dyDescent="0.3">
      <c r="A126" s="2" t="s">
        <v>464</v>
      </c>
      <c r="B126" s="10">
        <v>45065</v>
      </c>
      <c r="C126" s="22">
        <v>45065</v>
      </c>
      <c r="D126" s="1" t="s">
        <v>465</v>
      </c>
      <c r="E126" s="1" t="s">
        <v>154</v>
      </c>
      <c r="F126" s="1">
        <v>37</v>
      </c>
      <c r="G126" s="1" t="s">
        <v>68</v>
      </c>
      <c r="H126" s="1" t="s">
        <v>25</v>
      </c>
      <c r="I126" s="1" t="s">
        <v>69</v>
      </c>
      <c r="J126" s="1" t="s">
        <v>44</v>
      </c>
      <c r="K126" s="1" t="s">
        <v>186</v>
      </c>
      <c r="L126" s="1">
        <v>10</v>
      </c>
      <c r="M126" s="13">
        <v>7630.7</v>
      </c>
      <c r="N126" s="15">
        <v>0.21</v>
      </c>
      <c r="O126" s="13">
        <v>99978.26</v>
      </c>
      <c r="P126" s="13">
        <v>21558.18</v>
      </c>
      <c r="Q126" s="13">
        <v>46.42</v>
      </c>
      <c r="R126" s="1" t="s">
        <v>64</v>
      </c>
      <c r="S126" s="1">
        <v>5</v>
      </c>
      <c r="T126" s="1" t="b">
        <v>0</v>
      </c>
      <c r="U126" s="1" t="s">
        <v>84</v>
      </c>
      <c r="V126" s="3">
        <v>8</v>
      </c>
    </row>
    <row r="127" spans="1:22" x14ac:dyDescent="0.3">
      <c r="A127" s="2" t="s">
        <v>466</v>
      </c>
      <c r="B127" s="10">
        <v>44009</v>
      </c>
      <c r="C127" s="22">
        <v>44009</v>
      </c>
      <c r="D127" s="1" t="s">
        <v>467</v>
      </c>
      <c r="E127" s="1" t="s">
        <v>468</v>
      </c>
      <c r="F127" s="1">
        <v>46</v>
      </c>
      <c r="G127" s="1" t="s">
        <v>68</v>
      </c>
      <c r="H127" s="1" t="s">
        <v>82</v>
      </c>
      <c r="I127" s="1" t="s">
        <v>244</v>
      </c>
      <c r="J127" s="1" t="s">
        <v>146</v>
      </c>
      <c r="K127" s="1" t="s">
        <v>178</v>
      </c>
      <c r="L127" s="1">
        <v>1</v>
      </c>
      <c r="M127" s="13">
        <v>4889.3</v>
      </c>
      <c r="N127" s="15">
        <v>0.16</v>
      </c>
      <c r="O127" s="13">
        <v>5849.95</v>
      </c>
      <c r="P127" s="13">
        <v>1406.77</v>
      </c>
      <c r="Q127" s="13">
        <v>63.96</v>
      </c>
      <c r="R127" s="1" t="s">
        <v>57</v>
      </c>
      <c r="S127" s="1">
        <v>1</v>
      </c>
      <c r="T127" s="1" t="b">
        <v>0</v>
      </c>
      <c r="U127" s="1" t="s">
        <v>39</v>
      </c>
      <c r="V127" s="3">
        <v>6</v>
      </c>
    </row>
    <row r="128" spans="1:22" x14ac:dyDescent="0.3">
      <c r="A128" s="2" t="s">
        <v>469</v>
      </c>
      <c r="B128" s="10">
        <v>44064</v>
      </c>
      <c r="C128" s="22">
        <v>44064</v>
      </c>
      <c r="D128" s="1" t="s">
        <v>470</v>
      </c>
      <c r="E128" s="1" t="s">
        <v>446</v>
      </c>
      <c r="F128" s="1">
        <v>56</v>
      </c>
      <c r="G128" s="1" t="s">
        <v>34</v>
      </c>
      <c r="H128" s="1" t="s">
        <v>82</v>
      </c>
      <c r="I128" s="1" t="s">
        <v>244</v>
      </c>
      <c r="J128" s="1" t="s">
        <v>76</v>
      </c>
      <c r="K128" s="1" t="s">
        <v>122</v>
      </c>
      <c r="L128" s="1">
        <v>5</v>
      </c>
      <c r="M128" s="13">
        <v>2614.79</v>
      </c>
      <c r="N128" s="15">
        <v>0.12</v>
      </c>
      <c r="O128" s="13">
        <v>12884.93</v>
      </c>
      <c r="P128" s="13">
        <v>2796.07</v>
      </c>
      <c r="Q128" s="13">
        <v>55.45</v>
      </c>
      <c r="R128" s="1" t="s">
        <v>70</v>
      </c>
      <c r="S128" s="1">
        <v>4</v>
      </c>
      <c r="T128" s="1" t="b">
        <v>1</v>
      </c>
      <c r="U128" s="1" t="s">
        <v>30</v>
      </c>
      <c r="V128" s="3">
        <v>9</v>
      </c>
    </row>
    <row r="129" spans="1:22" x14ac:dyDescent="0.3">
      <c r="A129" s="2" t="s">
        <v>471</v>
      </c>
      <c r="B129" s="10">
        <v>43948</v>
      </c>
      <c r="C129" s="22">
        <v>43948</v>
      </c>
      <c r="D129" s="1" t="s">
        <v>472</v>
      </c>
      <c r="E129" s="1" t="s">
        <v>473</v>
      </c>
      <c r="F129" s="1">
        <v>32</v>
      </c>
      <c r="G129" s="1" t="s">
        <v>68</v>
      </c>
      <c r="H129" s="1" t="s">
        <v>35</v>
      </c>
      <c r="I129" s="1" t="s">
        <v>36</v>
      </c>
      <c r="J129" s="1" t="s">
        <v>62</v>
      </c>
      <c r="K129" s="1" t="s">
        <v>107</v>
      </c>
      <c r="L129" s="1">
        <v>7</v>
      </c>
      <c r="M129" s="13">
        <v>257.18</v>
      </c>
      <c r="N129" s="15">
        <v>0.28999999999999998</v>
      </c>
      <c r="O129" s="13">
        <v>1452.88</v>
      </c>
      <c r="P129" s="13">
        <v>604.80999999999995</v>
      </c>
      <c r="Q129" s="13">
        <v>60.36</v>
      </c>
      <c r="R129" s="1" t="s">
        <v>70</v>
      </c>
      <c r="S129" s="1">
        <v>1</v>
      </c>
      <c r="T129" s="1" t="b">
        <v>0</v>
      </c>
      <c r="U129" s="1" t="s">
        <v>84</v>
      </c>
      <c r="V129" s="3">
        <v>5</v>
      </c>
    </row>
    <row r="130" spans="1:22" x14ac:dyDescent="0.3">
      <c r="A130" s="2" t="s">
        <v>474</v>
      </c>
      <c r="B130" s="10">
        <v>45033</v>
      </c>
      <c r="C130" s="22">
        <v>45033</v>
      </c>
      <c r="D130" s="1" t="s">
        <v>475</v>
      </c>
      <c r="E130" s="1" t="s">
        <v>476</v>
      </c>
      <c r="F130" s="1">
        <v>34</v>
      </c>
      <c r="G130" s="1" t="s">
        <v>68</v>
      </c>
      <c r="H130" s="1" t="s">
        <v>35</v>
      </c>
      <c r="I130" s="1" t="s">
        <v>43</v>
      </c>
      <c r="J130" s="1" t="s">
        <v>62</v>
      </c>
      <c r="K130" s="1" t="s">
        <v>283</v>
      </c>
      <c r="L130" s="1">
        <v>8</v>
      </c>
      <c r="M130" s="13">
        <v>337.73</v>
      </c>
      <c r="N130" s="15">
        <v>0.38</v>
      </c>
      <c r="O130" s="13">
        <v>2495.0500000000002</v>
      </c>
      <c r="P130" s="13">
        <v>1142.99</v>
      </c>
      <c r="Q130" s="13">
        <v>48.99</v>
      </c>
      <c r="R130" s="1" t="s">
        <v>64</v>
      </c>
      <c r="S130" s="1">
        <v>5</v>
      </c>
      <c r="T130" s="1" t="b">
        <v>1</v>
      </c>
      <c r="U130" s="1" t="s">
        <v>30</v>
      </c>
      <c r="V130" s="3">
        <v>6</v>
      </c>
    </row>
    <row r="131" spans="1:22" x14ac:dyDescent="0.3">
      <c r="A131" s="2" t="s">
        <v>477</v>
      </c>
      <c r="B131" s="10">
        <v>44260</v>
      </c>
      <c r="C131" s="22">
        <v>44260</v>
      </c>
      <c r="D131" s="1" t="s">
        <v>478</v>
      </c>
      <c r="E131" s="1" t="s">
        <v>384</v>
      </c>
      <c r="F131" s="1">
        <v>47</v>
      </c>
      <c r="G131" s="1" t="s">
        <v>68</v>
      </c>
      <c r="H131" s="1" t="s">
        <v>74</v>
      </c>
      <c r="I131" s="1" t="s">
        <v>75</v>
      </c>
      <c r="J131" s="1" t="s">
        <v>44</v>
      </c>
      <c r="K131" s="1" t="s">
        <v>117</v>
      </c>
      <c r="L131" s="1">
        <v>6</v>
      </c>
      <c r="M131" s="13">
        <v>29194.28</v>
      </c>
      <c r="N131" s="15">
        <v>0.36</v>
      </c>
      <c r="O131" s="13">
        <v>144911.63</v>
      </c>
      <c r="P131" s="13">
        <v>54404.2</v>
      </c>
      <c r="Q131" s="13">
        <v>64.14</v>
      </c>
      <c r="R131" s="1" t="s">
        <v>70</v>
      </c>
      <c r="S131" s="1">
        <v>3</v>
      </c>
      <c r="T131" s="1" t="b">
        <v>0</v>
      </c>
      <c r="U131" s="1" t="s">
        <v>39</v>
      </c>
      <c r="V131" s="3">
        <v>9</v>
      </c>
    </row>
    <row r="132" spans="1:22" x14ac:dyDescent="0.3">
      <c r="A132" s="2" t="s">
        <v>479</v>
      </c>
      <c r="B132" s="10">
        <v>45428</v>
      </c>
      <c r="C132" s="22">
        <v>45428</v>
      </c>
      <c r="D132" s="1" t="s">
        <v>480</v>
      </c>
      <c r="E132" s="1" t="s">
        <v>481</v>
      </c>
      <c r="F132" s="1">
        <v>16</v>
      </c>
      <c r="G132" s="1" t="s">
        <v>34</v>
      </c>
      <c r="H132" s="1" t="s">
        <v>35</v>
      </c>
      <c r="I132" s="1" t="s">
        <v>36</v>
      </c>
      <c r="J132" s="1" t="s">
        <v>127</v>
      </c>
      <c r="K132" s="1" t="s">
        <v>196</v>
      </c>
      <c r="L132" s="1">
        <v>4</v>
      </c>
      <c r="M132" s="13">
        <v>20489.54</v>
      </c>
      <c r="N132" s="15">
        <v>0.01</v>
      </c>
      <c r="O132" s="13">
        <v>161033.98000000001</v>
      </c>
      <c r="P132" s="13">
        <v>22669.85</v>
      </c>
      <c r="Q132" s="13">
        <v>73.53</v>
      </c>
      <c r="R132" s="1" t="s">
        <v>64</v>
      </c>
      <c r="S132" s="1">
        <v>1</v>
      </c>
      <c r="T132" s="1" t="b">
        <v>0</v>
      </c>
      <c r="U132" s="1" t="s">
        <v>58</v>
      </c>
      <c r="V132" s="3">
        <v>4</v>
      </c>
    </row>
    <row r="133" spans="1:22" x14ac:dyDescent="0.3">
      <c r="A133" s="2" t="s">
        <v>482</v>
      </c>
      <c r="B133" s="10">
        <v>44419</v>
      </c>
      <c r="C133" s="22">
        <v>44419</v>
      </c>
      <c r="D133" s="1" t="s">
        <v>483</v>
      </c>
      <c r="E133" s="1" t="s">
        <v>216</v>
      </c>
      <c r="F133" s="1">
        <v>14</v>
      </c>
      <c r="G133" s="1" t="s">
        <v>34</v>
      </c>
      <c r="H133" s="1" t="s">
        <v>111</v>
      </c>
      <c r="I133" s="1" t="s">
        <v>112</v>
      </c>
      <c r="J133" s="1" t="s">
        <v>146</v>
      </c>
      <c r="K133" s="1" t="s">
        <v>484</v>
      </c>
      <c r="L133" s="1">
        <v>2</v>
      </c>
      <c r="M133" s="13">
        <v>11904.59</v>
      </c>
      <c r="N133" s="15">
        <v>0.18</v>
      </c>
      <c r="O133" s="13">
        <v>25494.32</v>
      </c>
      <c r="P133" s="13">
        <v>6649.59</v>
      </c>
      <c r="Q133" s="13">
        <v>66.45</v>
      </c>
      <c r="R133" s="1" t="s">
        <v>51</v>
      </c>
      <c r="S133" s="1">
        <v>5</v>
      </c>
      <c r="T133" s="1" t="b">
        <v>0</v>
      </c>
      <c r="U133" s="1" t="s">
        <v>39</v>
      </c>
      <c r="V133" s="3">
        <v>2</v>
      </c>
    </row>
    <row r="134" spans="1:22" x14ac:dyDescent="0.3">
      <c r="A134" s="2" t="s">
        <v>485</v>
      </c>
      <c r="B134" s="10">
        <v>44135</v>
      </c>
      <c r="C134" s="22">
        <v>44135</v>
      </c>
      <c r="D134" s="1" t="s">
        <v>486</v>
      </c>
      <c r="E134" s="1" t="s">
        <v>487</v>
      </c>
      <c r="F134" s="1">
        <v>35</v>
      </c>
      <c r="G134" s="1" t="s">
        <v>68</v>
      </c>
      <c r="H134" s="1" t="s">
        <v>35</v>
      </c>
      <c r="I134" s="1" t="s">
        <v>49</v>
      </c>
      <c r="J134" s="1" t="s">
        <v>127</v>
      </c>
      <c r="K134" s="1" t="s">
        <v>196</v>
      </c>
      <c r="L134" s="1">
        <v>5</v>
      </c>
      <c r="M134" s="13">
        <v>49817.06</v>
      </c>
      <c r="N134" s="15">
        <v>0.28000000000000003</v>
      </c>
      <c r="O134" s="13">
        <v>167889.68</v>
      </c>
      <c r="P134" s="13">
        <v>16722.18</v>
      </c>
      <c r="Q134" s="13">
        <v>42.95</v>
      </c>
      <c r="R134" s="1" t="s">
        <v>78</v>
      </c>
      <c r="S134" s="1">
        <v>3</v>
      </c>
      <c r="T134" s="1" t="b">
        <v>0</v>
      </c>
      <c r="U134" s="1" t="s">
        <v>58</v>
      </c>
      <c r="V134" s="3">
        <v>3</v>
      </c>
    </row>
    <row r="135" spans="1:22" x14ac:dyDescent="0.3">
      <c r="A135" s="2" t="s">
        <v>488</v>
      </c>
      <c r="B135" s="10">
        <v>45591</v>
      </c>
      <c r="C135" s="22">
        <v>45591</v>
      </c>
      <c r="D135" s="1" t="s">
        <v>489</v>
      </c>
      <c r="E135" s="1" t="s">
        <v>185</v>
      </c>
      <c r="F135" s="1">
        <v>42</v>
      </c>
      <c r="G135" s="1" t="s">
        <v>24</v>
      </c>
      <c r="H135" s="1" t="s">
        <v>35</v>
      </c>
      <c r="I135" s="1" t="s">
        <v>49</v>
      </c>
      <c r="J135" s="1" t="s">
        <v>44</v>
      </c>
      <c r="K135" s="1" t="s">
        <v>45</v>
      </c>
      <c r="L135" s="1">
        <v>4</v>
      </c>
      <c r="M135" s="13">
        <v>10887.68</v>
      </c>
      <c r="N135" s="15">
        <v>0.14000000000000001</v>
      </c>
      <c r="O135" s="13">
        <v>46926.73</v>
      </c>
      <c r="P135" s="13">
        <v>14349.22</v>
      </c>
      <c r="Q135" s="13">
        <v>57.18</v>
      </c>
      <c r="R135" s="1" t="s">
        <v>51</v>
      </c>
      <c r="S135" s="1">
        <v>3</v>
      </c>
      <c r="T135" s="1" t="b">
        <v>0</v>
      </c>
      <c r="U135" s="1" t="s">
        <v>39</v>
      </c>
      <c r="V135" s="3">
        <v>6</v>
      </c>
    </row>
    <row r="136" spans="1:22" x14ac:dyDescent="0.3">
      <c r="A136" s="2" t="s">
        <v>490</v>
      </c>
      <c r="B136" s="10">
        <v>44713</v>
      </c>
      <c r="C136" s="22">
        <v>44713</v>
      </c>
      <c r="D136" s="1" t="s">
        <v>491</v>
      </c>
      <c r="E136" s="1" t="s">
        <v>237</v>
      </c>
      <c r="F136" s="1">
        <v>36</v>
      </c>
      <c r="G136" s="1" t="s">
        <v>34</v>
      </c>
      <c r="H136" s="1" t="s">
        <v>74</v>
      </c>
      <c r="I136" s="1" t="s">
        <v>192</v>
      </c>
      <c r="J136" s="1" t="s">
        <v>76</v>
      </c>
      <c r="K136" s="1" t="s">
        <v>77</v>
      </c>
      <c r="L136" s="1">
        <v>5</v>
      </c>
      <c r="M136" s="13">
        <v>451.03</v>
      </c>
      <c r="N136" s="15">
        <v>0.19</v>
      </c>
      <c r="O136" s="13">
        <v>2632.07</v>
      </c>
      <c r="P136" s="13">
        <v>1165.8900000000001</v>
      </c>
      <c r="Q136" s="13">
        <v>23.32</v>
      </c>
      <c r="R136" s="1" t="s">
        <v>57</v>
      </c>
      <c r="S136" s="1">
        <v>5</v>
      </c>
      <c r="T136" s="1" t="b">
        <v>0</v>
      </c>
      <c r="U136" s="1" t="s">
        <v>39</v>
      </c>
      <c r="V136" s="3">
        <v>10</v>
      </c>
    </row>
    <row r="137" spans="1:22" x14ac:dyDescent="0.3">
      <c r="A137" s="2" t="s">
        <v>492</v>
      </c>
      <c r="B137" s="10">
        <v>44539</v>
      </c>
      <c r="C137" s="22">
        <v>44539</v>
      </c>
      <c r="D137" s="1" t="s">
        <v>493</v>
      </c>
      <c r="E137" s="1" t="s">
        <v>105</v>
      </c>
      <c r="F137" s="1">
        <v>36</v>
      </c>
      <c r="G137" s="1" t="s">
        <v>68</v>
      </c>
      <c r="H137" s="1" t="s">
        <v>74</v>
      </c>
      <c r="I137" s="1" t="s">
        <v>136</v>
      </c>
      <c r="J137" s="1" t="s">
        <v>62</v>
      </c>
      <c r="K137" s="1" t="s">
        <v>63</v>
      </c>
      <c r="L137" s="1">
        <v>3</v>
      </c>
      <c r="M137" s="13">
        <v>586.88</v>
      </c>
      <c r="N137" s="15">
        <v>0.33</v>
      </c>
      <c r="O137" s="13">
        <v>916.67</v>
      </c>
      <c r="P137" s="13">
        <v>373.51</v>
      </c>
      <c r="Q137" s="13">
        <v>36.450000000000003</v>
      </c>
      <c r="R137" s="1" t="s">
        <v>51</v>
      </c>
      <c r="S137" s="1">
        <v>4</v>
      </c>
      <c r="T137" s="1" t="b">
        <v>0</v>
      </c>
      <c r="U137" s="1" t="s">
        <v>39</v>
      </c>
      <c r="V137" s="3">
        <v>1</v>
      </c>
    </row>
    <row r="138" spans="1:22" x14ac:dyDescent="0.3">
      <c r="A138" s="2" t="s">
        <v>494</v>
      </c>
      <c r="B138" s="10">
        <v>44295</v>
      </c>
      <c r="C138" s="22">
        <v>44295</v>
      </c>
      <c r="D138" s="1" t="s">
        <v>495</v>
      </c>
      <c r="E138" s="1" t="s">
        <v>496</v>
      </c>
      <c r="F138" s="1">
        <v>24</v>
      </c>
      <c r="G138" s="1" t="s">
        <v>24</v>
      </c>
      <c r="H138" s="1" t="s">
        <v>111</v>
      </c>
      <c r="I138" s="1" t="s">
        <v>141</v>
      </c>
      <c r="J138" s="1" t="s">
        <v>146</v>
      </c>
      <c r="K138" s="1" t="s">
        <v>161</v>
      </c>
      <c r="L138" s="1">
        <v>10</v>
      </c>
      <c r="M138" s="13">
        <v>6806.6</v>
      </c>
      <c r="N138" s="15">
        <v>0.36</v>
      </c>
      <c r="O138" s="13">
        <v>39614.949999999997</v>
      </c>
      <c r="P138" s="13">
        <v>7458.02</v>
      </c>
      <c r="Q138" s="13">
        <v>66.290000000000006</v>
      </c>
      <c r="R138" s="1" t="s">
        <v>70</v>
      </c>
      <c r="S138" s="1">
        <v>5</v>
      </c>
      <c r="T138" s="1" t="b">
        <v>0</v>
      </c>
      <c r="U138" s="1" t="s">
        <v>197</v>
      </c>
      <c r="V138" s="3">
        <v>7</v>
      </c>
    </row>
    <row r="139" spans="1:22" x14ac:dyDescent="0.3">
      <c r="A139" s="2" t="s">
        <v>497</v>
      </c>
      <c r="B139" s="10">
        <v>45261</v>
      </c>
      <c r="C139" s="22">
        <v>45261</v>
      </c>
      <c r="D139" s="1" t="s">
        <v>498</v>
      </c>
      <c r="E139" s="1" t="s">
        <v>499</v>
      </c>
      <c r="F139" s="1">
        <v>34</v>
      </c>
      <c r="G139" s="1" t="s">
        <v>34</v>
      </c>
      <c r="H139" s="1" t="s">
        <v>35</v>
      </c>
      <c r="I139" s="1" t="s">
        <v>36</v>
      </c>
      <c r="J139" s="1" t="s">
        <v>76</v>
      </c>
      <c r="K139" s="1" t="s">
        <v>207</v>
      </c>
      <c r="L139" s="1">
        <v>3</v>
      </c>
      <c r="M139" s="13">
        <v>3608.42</v>
      </c>
      <c r="N139" s="15">
        <v>0.28999999999999998</v>
      </c>
      <c r="O139" s="13">
        <v>6927.13</v>
      </c>
      <c r="P139" s="13">
        <v>1997.74</v>
      </c>
      <c r="Q139" s="13">
        <v>54.98</v>
      </c>
      <c r="R139" s="1" t="s">
        <v>64</v>
      </c>
      <c r="S139" s="1">
        <v>5</v>
      </c>
      <c r="T139" s="1" t="b">
        <v>0</v>
      </c>
      <c r="U139" s="1" t="s">
        <v>39</v>
      </c>
      <c r="V139" s="3">
        <v>9</v>
      </c>
    </row>
    <row r="140" spans="1:22" x14ac:dyDescent="0.3">
      <c r="A140" s="2" t="s">
        <v>500</v>
      </c>
      <c r="B140" s="10">
        <v>44703</v>
      </c>
      <c r="C140" s="22">
        <v>44703</v>
      </c>
      <c r="D140" s="1" t="s">
        <v>501</v>
      </c>
      <c r="E140" s="1" t="s">
        <v>502</v>
      </c>
      <c r="F140" s="1">
        <v>22</v>
      </c>
      <c r="G140" s="1" t="s">
        <v>34</v>
      </c>
      <c r="H140" s="1" t="s">
        <v>35</v>
      </c>
      <c r="I140" s="1" t="s">
        <v>49</v>
      </c>
      <c r="J140" s="1" t="s">
        <v>127</v>
      </c>
      <c r="K140" s="1" t="s">
        <v>142</v>
      </c>
      <c r="L140" s="1">
        <v>2</v>
      </c>
      <c r="M140" s="13">
        <v>72469.02</v>
      </c>
      <c r="N140" s="15">
        <v>0.38</v>
      </c>
      <c r="O140" s="13">
        <v>127833.79</v>
      </c>
      <c r="P140" s="13">
        <v>12280.09</v>
      </c>
      <c r="Q140" s="13">
        <v>49.21</v>
      </c>
      <c r="R140" s="1" t="s">
        <v>57</v>
      </c>
      <c r="S140" s="1">
        <v>4</v>
      </c>
      <c r="T140" s="1" t="b">
        <v>0</v>
      </c>
      <c r="U140" s="1" t="s">
        <v>84</v>
      </c>
      <c r="V140" s="3">
        <v>1</v>
      </c>
    </row>
    <row r="141" spans="1:22" x14ac:dyDescent="0.3">
      <c r="A141" s="2" t="s">
        <v>503</v>
      </c>
      <c r="B141" s="10">
        <v>45297</v>
      </c>
      <c r="C141" s="22">
        <v>45297</v>
      </c>
      <c r="D141" s="1" t="s">
        <v>504</v>
      </c>
      <c r="E141" s="1" t="s">
        <v>505</v>
      </c>
      <c r="F141" s="1">
        <v>20</v>
      </c>
      <c r="G141" s="1" t="s">
        <v>24</v>
      </c>
      <c r="H141" s="1" t="s">
        <v>35</v>
      </c>
      <c r="I141" s="1" t="s">
        <v>106</v>
      </c>
      <c r="J141" s="1" t="s">
        <v>127</v>
      </c>
      <c r="K141" s="1" t="s">
        <v>171</v>
      </c>
      <c r="L141" s="1">
        <v>3</v>
      </c>
      <c r="M141" s="13">
        <v>42514.99</v>
      </c>
      <c r="N141" s="15">
        <v>0.06</v>
      </c>
      <c r="O141" s="13">
        <v>111205.03</v>
      </c>
      <c r="P141" s="13">
        <v>13533.76</v>
      </c>
      <c r="Q141" s="13">
        <v>59.07</v>
      </c>
      <c r="R141" s="1" t="s">
        <v>51</v>
      </c>
      <c r="S141" s="1">
        <v>5</v>
      </c>
      <c r="T141" s="1" t="b">
        <v>0</v>
      </c>
      <c r="U141" s="1" t="s">
        <v>84</v>
      </c>
      <c r="V141" s="3">
        <v>5</v>
      </c>
    </row>
    <row r="142" spans="1:22" x14ac:dyDescent="0.3">
      <c r="A142" s="2" t="s">
        <v>506</v>
      </c>
      <c r="B142" s="10">
        <v>44069</v>
      </c>
      <c r="C142" s="22">
        <v>44069</v>
      </c>
      <c r="D142" s="1" t="s">
        <v>507</v>
      </c>
      <c r="E142" s="1" t="s">
        <v>508</v>
      </c>
      <c r="F142" s="1">
        <v>29</v>
      </c>
      <c r="G142" s="1" t="s">
        <v>24</v>
      </c>
      <c r="H142" s="1" t="s">
        <v>82</v>
      </c>
      <c r="I142" s="1" t="s">
        <v>83</v>
      </c>
      <c r="J142" s="1" t="s">
        <v>37</v>
      </c>
      <c r="K142" s="1" t="s">
        <v>231</v>
      </c>
      <c r="L142" s="1">
        <v>5</v>
      </c>
      <c r="M142" s="13">
        <v>1644.33</v>
      </c>
      <c r="N142" s="15">
        <v>0.31</v>
      </c>
      <c r="O142" s="13">
        <v>1186.6600000000001</v>
      </c>
      <c r="P142" s="13">
        <v>470.96</v>
      </c>
      <c r="Q142" s="13">
        <v>68.12</v>
      </c>
      <c r="R142" s="1" t="s">
        <v>64</v>
      </c>
      <c r="S142" s="1">
        <v>5</v>
      </c>
      <c r="T142" s="1" t="b">
        <v>1</v>
      </c>
      <c r="U142" s="1" t="s">
        <v>30</v>
      </c>
      <c r="V142" s="3">
        <v>2</v>
      </c>
    </row>
    <row r="143" spans="1:22" x14ac:dyDescent="0.3">
      <c r="A143" s="2" t="s">
        <v>509</v>
      </c>
      <c r="B143" s="10">
        <v>44672</v>
      </c>
      <c r="C143" s="22">
        <v>44672</v>
      </c>
      <c r="D143" s="1" t="s">
        <v>510</v>
      </c>
      <c r="E143" s="1" t="s">
        <v>234</v>
      </c>
      <c r="F143" s="1">
        <v>35</v>
      </c>
      <c r="G143" s="1" t="s">
        <v>68</v>
      </c>
      <c r="H143" s="1" t="s">
        <v>35</v>
      </c>
      <c r="I143" s="1" t="s">
        <v>106</v>
      </c>
      <c r="J143" s="1" t="s">
        <v>62</v>
      </c>
      <c r="K143" s="1" t="s">
        <v>107</v>
      </c>
      <c r="L143" s="1">
        <v>5</v>
      </c>
      <c r="M143" s="13">
        <v>540.77</v>
      </c>
      <c r="N143" s="15">
        <v>0.28000000000000003</v>
      </c>
      <c r="O143" s="13">
        <v>2814.83</v>
      </c>
      <c r="P143" s="13">
        <v>1625.95</v>
      </c>
      <c r="Q143" s="13">
        <v>54.23</v>
      </c>
      <c r="R143" s="1" t="s">
        <v>51</v>
      </c>
      <c r="S143" s="1">
        <v>5</v>
      </c>
      <c r="T143" s="1" t="b">
        <v>0</v>
      </c>
      <c r="U143" s="1" t="s">
        <v>39</v>
      </c>
      <c r="V143" s="3">
        <v>7</v>
      </c>
    </row>
    <row r="144" spans="1:22" x14ac:dyDescent="0.3">
      <c r="A144" s="2" t="s">
        <v>511</v>
      </c>
      <c r="B144" s="10">
        <v>44018</v>
      </c>
      <c r="C144" s="22">
        <v>44018</v>
      </c>
      <c r="D144" s="1" t="s">
        <v>512</v>
      </c>
      <c r="E144" s="1" t="s">
        <v>513</v>
      </c>
      <c r="F144" s="1">
        <v>35</v>
      </c>
      <c r="G144" s="1" t="s">
        <v>24</v>
      </c>
      <c r="H144" s="1" t="s">
        <v>111</v>
      </c>
      <c r="I144" s="1" t="s">
        <v>121</v>
      </c>
      <c r="J144" s="1" t="s">
        <v>76</v>
      </c>
      <c r="K144" s="1" t="s">
        <v>132</v>
      </c>
      <c r="L144" s="1">
        <v>2</v>
      </c>
      <c r="M144" s="13">
        <v>539.35</v>
      </c>
      <c r="N144" s="15">
        <v>0.23</v>
      </c>
      <c r="O144" s="13">
        <v>1124.22</v>
      </c>
      <c r="P144" s="13">
        <v>289.25</v>
      </c>
      <c r="Q144" s="13">
        <v>64.959999999999994</v>
      </c>
      <c r="R144" s="1" t="s">
        <v>64</v>
      </c>
      <c r="S144" s="1">
        <v>5</v>
      </c>
      <c r="T144" s="1" t="b">
        <v>0</v>
      </c>
      <c r="U144" s="1" t="s">
        <v>39</v>
      </c>
      <c r="V144" s="3">
        <v>8</v>
      </c>
    </row>
    <row r="145" spans="1:22" x14ac:dyDescent="0.3">
      <c r="A145" s="2" t="s">
        <v>514</v>
      </c>
      <c r="B145" s="10">
        <v>45289</v>
      </c>
      <c r="C145" s="22">
        <v>45289</v>
      </c>
      <c r="D145" s="1" t="s">
        <v>515</v>
      </c>
      <c r="E145" s="1" t="s">
        <v>516</v>
      </c>
      <c r="F145" s="1">
        <v>34</v>
      </c>
      <c r="G145" s="1" t="s">
        <v>68</v>
      </c>
      <c r="H145" s="1" t="s">
        <v>82</v>
      </c>
      <c r="I145" s="1" t="s">
        <v>83</v>
      </c>
      <c r="J145" s="1" t="s">
        <v>127</v>
      </c>
      <c r="K145" s="1" t="s">
        <v>517</v>
      </c>
      <c r="L145" s="1">
        <v>9</v>
      </c>
      <c r="M145" s="13">
        <v>30674.09</v>
      </c>
      <c r="N145" s="15">
        <v>0.39</v>
      </c>
      <c r="O145" s="13">
        <v>159421.60999999999</v>
      </c>
      <c r="P145" s="13">
        <v>15597.31</v>
      </c>
      <c r="Q145" s="13">
        <v>76.430000000000007</v>
      </c>
      <c r="R145" s="1" t="s">
        <v>64</v>
      </c>
      <c r="S145" s="1">
        <v>3</v>
      </c>
      <c r="T145" s="1" t="b">
        <v>0</v>
      </c>
      <c r="U145" s="1" t="s">
        <v>39</v>
      </c>
      <c r="V145" s="3">
        <v>2</v>
      </c>
    </row>
    <row r="146" spans="1:22" x14ac:dyDescent="0.3">
      <c r="A146" s="2" t="s">
        <v>518</v>
      </c>
      <c r="B146" s="10">
        <v>44744</v>
      </c>
      <c r="C146" s="22">
        <v>44744</v>
      </c>
      <c r="D146" s="1" t="s">
        <v>519</v>
      </c>
      <c r="E146" s="1" t="s">
        <v>520</v>
      </c>
      <c r="F146" s="1">
        <v>32</v>
      </c>
      <c r="G146" s="1" t="s">
        <v>434</v>
      </c>
      <c r="H146" s="1" t="s">
        <v>111</v>
      </c>
      <c r="I146" s="1" t="s">
        <v>112</v>
      </c>
      <c r="J146" s="1" t="s">
        <v>76</v>
      </c>
      <c r="K146" s="1" t="s">
        <v>77</v>
      </c>
      <c r="L146" s="1">
        <v>8</v>
      </c>
      <c r="M146" s="13">
        <v>3278.48</v>
      </c>
      <c r="N146" s="15">
        <v>0.21</v>
      </c>
      <c r="O146" s="13">
        <v>39736.74</v>
      </c>
      <c r="P146" s="13">
        <v>15719.62</v>
      </c>
      <c r="Q146" s="13">
        <v>80.959999999999994</v>
      </c>
      <c r="R146" s="1" t="s">
        <v>70</v>
      </c>
      <c r="S146" s="1">
        <v>3</v>
      </c>
      <c r="T146" s="1" t="b">
        <v>0</v>
      </c>
      <c r="U146" s="1" t="s">
        <v>39</v>
      </c>
      <c r="V146" s="3">
        <v>1</v>
      </c>
    </row>
    <row r="147" spans="1:22" x14ac:dyDescent="0.3">
      <c r="A147" s="2" t="s">
        <v>521</v>
      </c>
      <c r="B147" s="10">
        <v>45012</v>
      </c>
      <c r="C147" s="22">
        <v>45012</v>
      </c>
      <c r="D147" s="1" t="s">
        <v>522</v>
      </c>
      <c r="E147" s="1" t="s">
        <v>523</v>
      </c>
      <c r="F147" s="1">
        <v>12</v>
      </c>
      <c r="G147" s="1" t="s">
        <v>24</v>
      </c>
      <c r="H147" s="1" t="s">
        <v>25</v>
      </c>
      <c r="I147" s="1" t="s">
        <v>26</v>
      </c>
      <c r="J147" s="1" t="s">
        <v>127</v>
      </c>
      <c r="K147" s="1" t="s">
        <v>128</v>
      </c>
      <c r="L147" s="1">
        <v>2</v>
      </c>
      <c r="M147" s="13">
        <v>69342.570000000007</v>
      </c>
      <c r="N147" s="15">
        <v>0.08</v>
      </c>
      <c r="O147" s="13">
        <v>154630.39000000001</v>
      </c>
      <c r="P147" s="13">
        <v>18946.95</v>
      </c>
      <c r="Q147" s="13">
        <v>47.74</v>
      </c>
      <c r="R147" s="1" t="s">
        <v>57</v>
      </c>
      <c r="S147" s="1">
        <v>2</v>
      </c>
      <c r="T147" s="1" t="b">
        <v>0</v>
      </c>
      <c r="U147" s="1" t="s">
        <v>39</v>
      </c>
      <c r="V147" s="3">
        <v>6</v>
      </c>
    </row>
    <row r="148" spans="1:22" x14ac:dyDescent="0.3">
      <c r="A148" s="2" t="s">
        <v>524</v>
      </c>
      <c r="B148" s="10">
        <v>43858</v>
      </c>
      <c r="C148" s="22">
        <v>43858</v>
      </c>
      <c r="D148" s="1" t="s">
        <v>525</v>
      </c>
      <c r="E148" s="1" t="s">
        <v>234</v>
      </c>
      <c r="F148" s="1">
        <v>999</v>
      </c>
      <c r="G148" s="1" t="s">
        <v>34</v>
      </c>
      <c r="H148" s="1" t="s">
        <v>74</v>
      </c>
      <c r="I148" s="1" t="s">
        <v>136</v>
      </c>
      <c r="J148" s="1" t="s">
        <v>146</v>
      </c>
      <c r="K148" s="1" t="s">
        <v>147</v>
      </c>
      <c r="L148" s="1">
        <v>4</v>
      </c>
      <c r="M148" s="13">
        <v>12945.28</v>
      </c>
      <c r="N148" s="15">
        <v>0.13</v>
      </c>
      <c r="O148" s="13">
        <v>31129.56</v>
      </c>
      <c r="P148" s="13">
        <v>7042.29</v>
      </c>
      <c r="Q148" s="13">
        <v>65.38</v>
      </c>
      <c r="R148" s="1" t="s">
        <v>70</v>
      </c>
      <c r="S148" s="1">
        <v>5</v>
      </c>
      <c r="T148" s="1" t="b">
        <v>0</v>
      </c>
      <c r="U148" s="1" t="s">
        <v>39</v>
      </c>
      <c r="V148" s="3">
        <v>4</v>
      </c>
    </row>
    <row r="149" spans="1:22" x14ac:dyDescent="0.3">
      <c r="A149" s="2" t="s">
        <v>526</v>
      </c>
      <c r="B149" s="10">
        <v>44914</v>
      </c>
      <c r="C149" s="22">
        <v>44914</v>
      </c>
      <c r="D149" s="1" t="s">
        <v>527</v>
      </c>
      <c r="E149" s="1" t="s">
        <v>528</v>
      </c>
      <c r="F149" s="1">
        <v>19</v>
      </c>
      <c r="G149" s="1" t="s">
        <v>34</v>
      </c>
      <c r="H149" s="1" t="s">
        <v>82</v>
      </c>
      <c r="I149" s="1" t="s">
        <v>293</v>
      </c>
      <c r="J149" s="1" t="s">
        <v>44</v>
      </c>
      <c r="K149" s="1" t="s">
        <v>186</v>
      </c>
      <c r="L149" s="1">
        <v>5</v>
      </c>
      <c r="M149" s="13">
        <v>29767.34</v>
      </c>
      <c r="N149" s="15">
        <v>0.16</v>
      </c>
      <c r="O149" s="13">
        <v>92126.76</v>
      </c>
      <c r="P149" s="13">
        <v>24089.4</v>
      </c>
      <c r="Q149" s="13">
        <v>72.23</v>
      </c>
      <c r="R149" s="1" t="s">
        <v>64</v>
      </c>
      <c r="S149" s="1">
        <v>3</v>
      </c>
      <c r="T149" s="1" t="b">
        <v>0</v>
      </c>
      <c r="U149" s="1" t="s">
        <v>84</v>
      </c>
      <c r="V149" s="3">
        <v>6</v>
      </c>
    </row>
    <row r="150" spans="1:22" x14ac:dyDescent="0.3">
      <c r="A150" s="2" t="s">
        <v>529</v>
      </c>
      <c r="B150" s="10">
        <v>45200</v>
      </c>
      <c r="C150" s="22">
        <v>45200</v>
      </c>
      <c r="D150" s="1" t="s">
        <v>530</v>
      </c>
      <c r="E150" s="1" t="s">
        <v>531</v>
      </c>
      <c r="F150" s="1">
        <v>29</v>
      </c>
      <c r="G150" s="1" t="s">
        <v>34</v>
      </c>
      <c r="H150" s="1" t="s">
        <v>74</v>
      </c>
      <c r="I150" s="1" t="s">
        <v>192</v>
      </c>
      <c r="J150" s="1" t="s">
        <v>146</v>
      </c>
      <c r="K150" s="1" t="s">
        <v>178</v>
      </c>
      <c r="L150" s="1">
        <v>3</v>
      </c>
      <c r="M150" s="13">
        <v>14810.59</v>
      </c>
      <c r="N150" s="15">
        <v>0.08</v>
      </c>
      <c r="O150" s="13">
        <v>44578.62</v>
      </c>
      <c r="P150" s="13">
        <v>10260.620000000001</v>
      </c>
      <c r="Q150" s="13">
        <v>65.69</v>
      </c>
      <c r="R150" s="1" t="s">
        <v>64</v>
      </c>
      <c r="S150" s="1">
        <v>3</v>
      </c>
      <c r="T150" s="1" t="b">
        <v>0</v>
      </c>
      <c r="U150" s="1" t="s">
        <v>39</v>
      </c>
      <c r="V150" s="3">
        <v>5</v>
      </c>
    </row>
    <row r="151" spans="1:22" x14ac:dyDescent="0.3">
      <c r="A151" s="2" t="s">
        <v>532</v>
      </c>
      <c r="B151" s="10">
        <v>45557</v>
      </c>
      <c r="C151" s="22">
        <v>45557</v>
      </c>
      <c r="D151" s="1" t="s">
        <v>533</v>
      </c>
      <c r="E151" s="1" t="s">
        <v>534</v>
      </c>
      <c r="F151" s="1">
        <v>36</v>
      </c>
      <c r="G151" s="1" t="s">
        <v>34</v>
      </c>
      <c r="H151" s="1" t="s">
        <v>82</v>
      </c>
      <c r="I151" s="1" t="s">
        <v>244</v>
      </c>
      <c r="J151" s="1" t="s">
        <v>37</v>
      </c>
      <c r="K151" s="1" t="s">
        <v>38</v>
      </c>
      <c r="L151" s="1">
        <v>4</v>
      </c>
      <c r="M151" s="13">
        <v>2333.1</v>
      </c>
      <c r="N151" s="15">
        <v>0.22</v>
      </c>
      <c r="O151" s="13">
        <v>11296.75</v>
      </c>
      <c r="P151" s="13">
        <v>4828.37</v>
      </c>
      <c r="Q151" s="13">
        <v>72.08</v>
      </c>
      <c r="R151" s="1" t="s">
        <v>78</v>
      </c>
      <c r="S151" s="1">
        <v>3</v>
      </c>
      <c r="T151" s="1" t="b">
        <v>1</v>
      </c>
      <c r="U151" s="1" t="s">
        <v>30</v>
      </c>
      <c r="V151" s="3">
        <v>10</v>
      </c>
    </row>
    <row r="152" spans="1:22" x14ac:dyDescent="0.3">
      <c r="A152" s="2" t="s">
        <v>535</v>
      </c>
      <c r="B152" s="10">
        <v>44818</v>
      </c>
      <c r="C152" s="22">
        <v>44818</v>
      </c>
      <c r="D152" s="1" t="s">
        <v>536</v>
      </c>
      <c r="E152" s="1" t="s">
        <v>537</v>
      </c>
      <c r="F152" s="1">
        <v>51</v>
      </c>
      <c r="G152" s="1" t="s">
        <v>34</v>
      </c>
      <c r="H152" s="1" t="s">
        <v>111</v>
      </c>
      <c r="I152" s="1" t="s">
        <v>141</v>
      </c>
      <c r="J152" s="1" t="s">
        <v>146</v>
      </c>
      <c r="K152" s="1" t="s">
        <v>161</v>
      </c>
      <c r="L152" s="1">
        <v>2</v>
      </c>
      <c r="M152" s="13">
        <v>13833.36</v>
      </c>
      <c r="N152" s="15">
        <v>0.06</v>
      </c>
      <c r="O152" s="13">
        <v>30150.799999999999</v>
      </c>
      <c r="P152" s="13">
        <v>8534.61</v>
      </c>
      <c r="Q152" s="13">
        <v>40.57</v>
      </c>
      <c r="R152" s="1" t="s">
        <v>57</v>
      </c>
      <c r="S152" s="1">
        <v>3</v>
      </c>
      <c r="T152" s="1" t="b">
        <v>0</v>
      </c>
      <c r="U152" s="1" t="s">
        <v>39</v>
      </c>
      <c r="V152" s="3">
        <v>8</v>
      </c>
    </row>
    <row r="153" spans="1:22" x14ac:dyDescent="0.3">
      <c r="A153" s="2" t="s">
        <v>538</v>
      </c>
      <c r="B153" s="10">
        <v>44519</v>
      </c>
      <c r="C153" s="22">
        <v>44519</v>
      </c>
      <c r="D153" s="1" t="s">
        <v>539</v>
      </c>
      <c r="E153" s="1" t="s">
        <v>540</v>
      </c>
      <c r="F153" s="1">
        <v>34</v>
      </c>
      <c r="G153" s="1" t="s">
        <v>24</v>
      </c>
      <c r="H153" s="1" t="s">
        <v>25</v>
      </c>
      <c r="I153" s="1" t="s">
        <v>55</v>
      </c>
      <c r="J153" s="1" t="s">
        <v>44</v>
      </c>
      <c r="K153" s="1" t="s">
        <v>117</v>
      </c>
      <c r="L153" s="1">
        <v>5</v>
      </c>
      <c r="M153" s="13">
        <v>9804.75</v>
      </c>
      <c r="N153" s="15">
        <v>0.09</v>
      </c>
      <c r="O153" s="13">
        <v>36117.01</v>
      </c>
      <c r="P153" s="13">
        <v>8077.49</v>
      </c>
      <c r="Q153" s="13">
        <v>70.12</v>
      </c>
      <c r="R153" s="1" t="s">
        <v>78</v>
      </c>
      <c r="S153" s="1">
        <v>1</v>
      </c>
      <c r="T153" s="1" t="b">
        <v>0</v>
      </c>
      <c r="U153" s="1" t="s">
        <v>39</v>
      </c>
      <c r="V153" s="3">
        <v>5</v>
      </c>
    </row>
    <row r="154" spans="1:22" x14ac:dyDescent="0.3">
      <c r="A154" s="2" t="s">
        <v>541</v>
      </c>
      <c r="B154" s="10">
        <v>44926</v>
      </c>
      <c r="C154" s="22">
        <v>44926</v>
      </c>
      <c r="D154" s="1" t="s">
        <v>542</v>
      </c>
      <c r="E154" s="1" t="s">
        <v>523</v>
      </c>
      <c r="F154" s="1">
        <v>26</v>
      </c>
      <c r="G154" s="1" t="s">
        <v>34</v>
      </c>
      <c r="H154" s="1" t="s">
        <v>35</v>
      </c>
      <c r="I154" s="1" t="s">
        <v>106</v>
      </c>
      <c r="J154" s="1" t="s">
        <v>62</v>
      </c>
      <c r="K154" s="1" t="s">
        <v>283</v>
      </c>
      <c r="L154" s="1">
        <v>3</v>
      </c>
      <c r="M154" s="13">
        <v>1379.58</v>
      </c>
      <c r="N154" s="15">
        <v>0.06</v>
      </c>
      <c r="O154" s="13">
        <v>3040.53</v>
      </c>
      <c r="P154" s="13">
        <v>976.28</v>
      </c>
      <c r="Q154" s="13">
        <v>64.67</v>
      </c>
      <c r="R154" s="1" t="s">
        <v>57</v>
      </c>
      <c r="S154" s="1">
        <v>4</v>
      </c>
      <c r="T154" s="1" t="b">
        <v>0</v>
      </c>
      <c r="U154" s="1" t="s">
        <v>137</v>
      </c>
      <c r="V154" s="3">
        <v>4</v>
      </c>
    </row>
    <row r="155" spans="1:22" x14ac:dyDescent="0.3">
      <c r="A155" s="2" t="s">
        <v>543</v>
      </c>
      <c r="B155" s="10">
        <v>44850</v>
      </c>
      <c r="C155" s="22">
        <v>44850</v>
      </c>
      <c r="D155" s="1" t="s">
        <v>544</v>
      </c>
      <c r="E155" s="1" t="s">
        <v>185</v>
      </c>
      <c r="F155" s="1">
        <v>36</v>
      </c>
      <c r="G155" s="1" t="s">
        <v>463</v>
      </c>
      <c r="H155" s="1" t="s">
        <v>111</v>
      </c>
      <c r="I155" s="1" t="s">
        <v>141</v>
      </c>
      <c r="J155" s="1" t="s">
        <v>44</v>
      </c>
      <c r="K155" s="1" t="s">
        <v>117</v>
      </c>
      <c r="L155" s="1">
        <v>8</v>
      </c>
      <c r="M155" s="13">
        <v>33543.43</v>
      </c>
      <c r="N155" s="15">
        <v>0.22</v>
      </c>
      <c r="O155" s="13">
        <v>218733.7</v>
      </c>
      <c r="P155" s="13">
        <v>59861.82</v>
      </c>
      <c r="Q155" s="13">
        <v>56.8</v>
      </c>
      <c r="R155" s="1" t="s">
        <v>51</v>
      </c>
      <c r="S155" s="1">
        <v>2</v>
      </c>
      <c r="T155" s="1" t="b">
        <v>0</v>
      </c>
      <c r="U155" s="1" t="s">
        <v>39</v>
      </c>
      <c r="V155" s="3">
        <v>8</v>
      </c>
    </row>
    <row r="156" spans="1:22" x14ac:dyDescent="0.3">
      <c r="A156" s="2" t="s">
        <v>545</v>
      </c>
      <c r="B156" s="10">
        <v>45401</v>
      </c>
      <c r="C156" s="22">
        <v>45401</v>
      </c>
      <c r="D156" s="1" t="s">
        <v>546</v>
      </c>
      <c r="E156" s="1" t="s">
        <v>547</v>
      </c>
      <c r="F156" s="1">
        <v>31</v>
      </c>
      <c r="G156" s="1" t="s">
        <v>68</v>
      </c>
      <c r="H156" s="1" t="s">
        <v>111</v>
      </c>
      <c r="I156" s="1" t="s">
        <v>121</v>
      </c>
      <c r="J156" s="1" t="s">
        <v>37</v>
      </c>
      <c r="K156" s="1" t="s">
        <v>454</v>
      </c>
      <c r="L156" s="1">
        <v>6</v>
      </c>
      <c r="M156" s="13">
        <v>1423.12</v>
      </c>
      <c r="N156" s="15">
        <v>0.11</v>
      </c>
      <c r="O156" s="13">
        <v>10606.52</v>
      </c>
      <c r="P156" s="13">
        <v>4315.91</v>
      </c>
      <c r="Q156" s="13">
        <v>75.2</v>
      </c>
      <c r="R156" s="1" t="s">
        <v>64</v>
      </c>
      <c r="S156" s="1">
        <v>4</v>
      </c>
      <c r="T156" s="1" t="b">
        <v>1</v>
      </c>
      <c r="U156" s="1" t="s">
        <v>30</v>
      </c>
      <c r="V156" s="3">
        <v>4</v>
      </c>
    </row>
    <row r="157" spans="1:22" x14ac:dyDescent="0.3">
      <c r="A157" s="2" t="s">
        <v>548</v>
      </c>
      <c r="B157" s="10">
        <v>44655</v>
      </c>
      <c r="C157" s="22">
        <v>44655</v>
      </c>
      <c r="D157" s="1" t="s">
        <v>549</v>
      </c>
      <c r="E157" s="1" t="s">
        <v>243</v>
      </c>
      <c r="F157" s="1">
        <v>26</v>
      </c>
      <c r="G157" s="1" t="s">
        <v>68</v>
      </c>
      <c r="H157" s="1" t="s">
        <v>82</v>
      </c>
      <c r="I157" s="1" t="s">
        <v>293</v>
      </c>
      <c r="J157" s="1" t="s">
        <v>127</v>
      </c>
      <c r="K157" s="1" t="s">
        <v>196</v>
      </c>
      <c r="L157" s="1">
        <v>8</v>
      </c>
      <c r="M157" s="13">
        <v>64439.74</v>
      </c>
      <c r="N157" s="15">
        <v>0.23</v>
      </c>
      <c r="O157" s="13">
        <v>542100.67000000004</v>
      </c>
      <c r="P157" s="13">
        <v>80671.009999999995</v>
      </c>
      <c r="Q157" s="13">
        <v>103.41</v>
      </c>
      <c r="R157" s="1" t="s">
        <v>29</v>
      </c>
      <c r="S157" s="1">
        <v>1</v>
      </c>
      <c r="T157" s="1" t="b">
        <v>0</v>
      </c>
      <c r="U157" s="1" t="s">
        <v>39</v>
      </c>
      <c r="V157" s="3">
        <v>3</v>
      </c>
    </row>
    <row r="158" spans="1:22" x14ac:dyDescent="0.3">
      <c r="A158" s="2" t="s">
        <v>550</v>
      </c>
      <c r="B158" s="10">
        <v>44231</v>
      </c>
      <c r="C158" s="22">
        <v>44231</v>
      </c>
      <c r="D158" s="1" t="s">
        <v>551</v>
      </c>
      <c r="E158" s="1" t="s">
        <v>552</v>
      </c>
      <c r="F158" s="1">
        <v>49</v>
      </c>
      <c r="G158" s="1" t="s">
        <v>34</v>
      </c>
      <c r="H158" s="1" t="s">
        <v>111</v>
      </c>
      <c r="I158" s="1" t="s">
        <v>141</v>
      </c>
      <c r="J158" s="1" t="s">
        <v>127</v>
      </c>
      <c r="K158" s="1" t="s">
        <v>308</v>
      </c>
      <c r="L158" s="1">
        <v>10</v>
      </c>
      <c r="M158" s="13">
        <v>72812.39</v>
      </c>
      <c r="N158" s="15">
        <v>0.28999999999999998</v>
      </c>
      <c r="O158" s="13">
        <v>520084.41</v>
      </c>
      <c r="P158" s="13">
        <v>94437.03</v>
      </c>
      <c r="Q158" s="13">
        <v>76.77</v>
      </c>
      <c r="R158" s="1" t="s">
        <v>57</v>
      </c>
      <c r="S158" s="1">
        <v>2</v>
      </c>
      <c r="T158" s="1" t="b">
        <v>1</v>
      </c>
      <c r="U158" s="1" t="s">
        <v>30</v>
      </c>
      <c r="V158" s="3">
        <v>10</v>
      </c>
    </row>
    <row r="159" spans="1:22" x14ac:dyDescent="0.3">
      <c r="A159" s="2" t="s">
        <v>553</v>
      </c>
      <c r="B159" s="10">
        <v>44376</v>
      </c>
      <c r="C159" s="22">
        <v>44376</v>
      </c>
      <c r="D159" s="1" t="s">
        <v>554</v>
      </c>
      <c r="E159" s="1" t="s">
        <v>555</v>
      </c>
      <c r="F159" s="1">
        <v>31</v>
      </c>
      <c r="G159" s="1" t="s">
        <v>391</v>
      </c>
      <c r="H159" s="1" t="s">
        <v>111</v>
      </c>
      <c r="I159" s="1" t="s">
        <v>330</v>
      </c>
      <c r="J159" s="1" t="s">
        <v>44</v>
      </c>
      <c r="K159" s="1" t="s">
        <v>117</v>
      </c>
      <c r="L159" s="1">
        <v>6</v>
      </c>
      <c r="M159" s="13">
        <v>3208.32</v>
      </c>
      <c r="N159" s="15">
        <v>0.25</v>
      </c>
      <c r="O159" s="13">
        <v>24685.74</v>
      </c>
      <c r="P159" s="13">
        <v>5146.1000000000004</v>
      </c>
      <c r="Q159" s="13">
        <v>81.25</v>
      </c>
      <c r="R159" s="1" t="s">
        <v>78</v>
      </c>
      <c r="S159" s="1">
        <v>4</v>
      </c>
      <c r="T159" s="1" t="b">
        <v>0</v>
      </c>
      <c r="U159" s="1" t="s">
        <v>58</v>
      </c>
      <c r="V159" s="3">
        <v>0</v>
      </c>
    </row>
    <row r="160" spans="1:22" x14ac:dyDescent="0.3">
      <c r="A160" s="2" t="s">
        <v>556</v>
      </c>
      <c r="B160" s="10">
        <v>45030</v>
      </c>
      <c r="C160" s="22">
        <v>45030</v>
      </c>
      <c r="D160" s="1" t="s">
        <v>557</v>
      </c>
      <c r="E160" s="1" t="s">
        <v>558</v>
      </c>
      <c r="F160" s="1">
        <v>47</v>
      </c>
      <c r="G160" s="1" t="s">
        <v>34</v>
      </c>
      <c r="H160" s="1" t="s">
        <v>82</v>
      </c>
      <c r="I160" s="1" t="s">
        <v>293</v>
      </c>
      <c r="J160" s="1" t="s">
        <v>37</v>
      </c>
      <c r="K160" s="1" t="s">
        <v>38</v>
      </c>
      <c r="L160" s="1">
        <v>8</v>
      </c>
      <c r="M160" s="13">
        <v>415.72</v>
      </c>
      <c r="N160" s="15">
        <v>0.01</v>
      </c>
      <c r="O160" s="13">
        <v>4769.26</v>
      </c>
      <c r="P160" s="13">
        <v>1796.21</v>
      </c>
      <c r="Q160" s="13">
        <v>54.55</v>
      </c>
      <c r="R160" s="1" t="s">
        <v>51</v>
      </c>
      <c r="S160" s="1">
        <v>3</v>
      </c>
      <c r="T160" s="1" t="b">
        <v>0</v>
      </c>
      <c r="U160" s="1" t="s">
        <v>197</v>
      </c>
      <c r="V160" s="3">
        <v>5</v>
      </c>
    </row>
    <row r="161" spans="1:22" x14ac:dyDescent="0.3">
      <c r="A161" s="2" t="s">
        <v>559</v>
      </c>
      <c r="B161" s="10">
        <v>44095</v>
      </c>
      <c r="C161" s="22">
        <v>44095</v>
      </c>
      <c r="D161" s="1" t="s">
        <v>560</v>
      </c>
      <c r="E161" s="1" t="s">
        <v>561</v>
      </c>
      <c r="F161" s="1">
        <v>33</v>
      </c>
      <c r="G161" s="1" t="s">
        <v>68</v>
      </c>
      <c r="H161" s="1" t="s">
        <v>111</v>
      </c>
      <c r="I161" s="1" t="s">
        <v>330</v>
      </c>
      <c r="J161" s="1" t="s">
        <v>27</v>
      </c>
      <c r="K161" s="1" t="s">
        <v>430</v>
      </c>
      <c r="L161" s="1">
        <v>1</v>
      </c>
      <c r="M161" s="13">
        <v>389.24</v>
      </c>
      <c r="N161" s="15">
        <v>0.23</v>
      </c>
      <c r="O161" s="13">
        <v>313.86</v>
      </c>
      <c r="P161" s="13">
        <v>22.71</v>
      </c>
      <c r="Q161" s="13">
        <v>66.8</v>
      </c>
      <c r="R161" s="1" t="s">
        <v>57</v>
      </c>
      <c r="S161" s="1">
        <v>5</v>
      </c>
      <c r="T161" s="1" t="b">
        <v>0</v>
      </c>
      <c r="U161" s="1" t="s">
        <v>197</v>
      </c>
      <c r="V161" s="3">
        <v>10</v>
      </c>
    </row>
    <row r="162" spans="1:22" x14ac:dyDescent="0.3">
      <c r="A162" s="2" t="s">
        <v>562</v>
      </c>
      <c r="B162" s="10">
        <v>45474</v>
      </c>
      <c r="C162" s="22">
        <v>45474</v>
      </c>
      <c r="D162" s="1" t="s">
        <v>563</v>
      </c>
      <c r="E162" s="1" t="s">
        <v>275</v>
      </c>
      <c r="F162" s="1">
        <v>25</v>
      </c>
      <c r="G162" s="1" t="s">
        <v>68</v>
      </c>
      <c r="H162" s="1" t="s">
        <v>74</v>
      </c>
      <c r="I162" s="1" t="s">
        <v>101</v>
      </c>
      <c r="J162" s="1" t="s">
        <v>62</v>
      </c>
      <c r="K162" s="1" t="s">
        <v>63</v>
      </c>
      <c r="L162" s="1">
        <v>5</v>
      </c>
      <c r="M162" s="13">
        <v>1486.09</v>
      </c>
      <c r="N162" s="15">
        <v>0.11</v>
      </c>
      <c r="O162" s="13">
        <v>1967.1</v>
      </c>
      <c r="P162" s="13">
        <v>719.18</v>
      </c>
      <c r="Q162" s="13">
        <v>43.92</v>
      </c>
      <c r="R162" s="1" t="s">
        <v>64</v>
      </c>
      <c r="S162" s="1">
        <v>1</v>
      </c>
      <c r="T162" s="1" t="b">
        <v>0</v>
      </c>
      <c r="U162" s="1" t="s">
        <v>39</v>
      </c>
      <c r="V162" s="3">
        <v>1</v>
      </c>
    </row>
    <row r="163" spans="1:22" x14ac:dyDescent="0.3">
      <c r="A163" s="2" t="s">
        <v>564</v>
      </c>
      <c r="B163" s="10">
        <v>45330</v>
      </c>
      <c r="C163" s="22">
        <v>45330</v>
      </c>
      <c r="D163" s="1" t="s">
        <v>565</v>
      </c>
      <c r="E163" s="1" t="s">
        <v>566</v>
      </c>
      <c r="F163" s="1">
        <v>38</v>
      </c>
      <c r="G163" s="1" t="s">
        <v>34</v>
      </c>
      <c r="H163" s="1" t="s">
        <v>82</v>
      </c>
      <c r="I163" s="1" t="s">
        <v>293</v>
      </c>
      <c r="J163" s="1" t="s">
        <v>127</v>
      </c>
      <c r="K163" s="1" t="s">
        <v>308</v>
      </c>
      <c r="L163" s="1">
        <v>4</v>
      </c>
      <c r="M163" s="13">
        <v>15346.11</v>
      </c>
      <c r="N163" s="15">
        <v>0.06</v>
      </c>
      <c r="O163" s="13">
        <v>67060.7</v>
      </c>
      <c r="P163" s="13">
        <v>9998.89</v>
      </c>
      <c r="Q163" s="13">
        <v>93.55</v>
      </c>
      <c r="R163" s="1" t="s">
        <v>64</v>
      </c>
      <c r="S163" s="1">
        <v>2</v>
      </c>
      <c r="T163" s="1" t="b">
        <v>0</v>
      </c>
      <c r="U163" s="1" t="s">
        <v>39</v>
      </c>
      <c r="V163" s="3">
        <v>6</v>
      </c>
    </row>
    <row r="164" spans="1:22" x14ac:dyDescent="0.3">
      <c r="A164" s="2" t="s">
        <v>567</v>
      </c>
      <c r="B164" s="10">
        <v>45477</v>
      </c>
      <c r="C164" s="22">
        <v>45477</v>
      </c>
      <c r="D164" s="1" t="s">
        <v>568</v>
      </c>
      <c r="E164" s="1" t="s">
        <v>569</v>
      </c>
      <c r="F164" s="1">
        <v>49</v>
      </c>
      <c r="G164" s="1" t="s">
        <v>34</v>
      </c>
      <c r="H164" s="1" t="s">
        <v>25</v>
      </c>
      <c r="I164" s="1" t="s">
        <v>26</v>
      </c>
      <c r="J164" s="1" t="s">
        <v>62</v>
      </c>
      <c r="K164" s="1" t="s">
        <v>570</v>
      </c>
      <c r="L164" s="1">
        <v>8</v>
      </c>
      <c r="M164" s="13">
        <v>1499.77</v>
      </c>
      <c r="N164" s="15">
        <v>0.37</v>
      </c>
      <c r="O164" s="13">
        <v>11632.7</v>
      </c>
      <c r="P164" s="13">
        <v>4863.95</v>
      </c>
      <c r="Q164" s="13">
        <v>68.319999999999993</v>
      </c>
      <c r="R164" s="1" t="s">
        <v>78</v>
      </c>
      <c r="S164" s="1">
        <v>5</v>
      </c>
      <c r="T164" s="1" t="b">
        <v>0</v>
      </c>
      <c r="U164" s="1" t="s">
        <v>39</v>
      </c>
      <c r="V164" s="3">
        <v>3</v>
      </c>
    </row>
    <row r="165" spans="1:22" x14ac:dyDescent="0.3">
      <c r="A165" s="2" t="s">
        <v>571</v>
      </c>
      <c r="B165" s="10">
        <v>44297</v>
      </c>
      <c r="C165" s="22">
        <v>44297</v>
      </c>
      <c r="D165" s="1" t="s">
        <v>572</v>
      </c>
      <c r="E165" s="1" t="s">
        <v>561</v>
      </c>
      <c r="F165" s="1">
        <v>26</v>
      </c>
      <c r="G165" s="1" t="s">
        <v>34</v>
      </c>
      <c r="H165" s="1" t="s">
        <v>111</v>
      </c>
      <c r="I165" s="1" t="s">
        <v>121</v>
      </c>
      <c r="J165" s="1" t="s">
        <v>62</v>
      </c>
      <c r="K165" s="1" t="s">
        <v>266</v>
      </c>
      <c r="L165" s="1">
        <v>9</v>
      </c>
      <c r="M165" s="13">
        <v>816.35</v>
      </c>
      <c r="N165" s="15">
        <v>0.12</v>
      </c>
      <c r="O165" s="13">
        <v>7711.33</v>
      </c>
      <c r="P165" s="13">
        <v>3255</v>
      </c>
      <c r="Q165" s="13">
        <v>81.14</v>
      </c>
      <c r="R165" s="1" t="s">
        <v>78</v>
      </c>
      <c r="S165" s="1">
        <v>5</v>
      </c>
      <c r="T165" s="1" t="b">
        <v>1</v>
      </c>
      <c r="U165" s="1" t="s">
        <v>30</v>
      </c>
      <c r="V165" s="3">
        <v>3</v>
      </c>
    </row>
    <row r="166" spans="1:22" x14ac:dyDescent="0.3">
      <c r="A166" s="2" t="s">
        <v>573</v>
      </c>
      <c r="B166" s="10">
        <v>45217</v>
      </c>
      <c r="C166" s="22">
        <v>45217</v>
      </c>
      <c r="D166" s="1" t="s">
        <v>574</v>
      </c>
      <c r="E166" s="1" t="s">
        <v>575</v>
      </c>
      <c r="F166" s="1">
        <v>40</v>
      </c>
      <c r="G166" s="1" t="s">
        <v>34</v>
      </c>
      <c r="H166" s="1" t="s">
        <v>82</v>
      </c>
      <c r="I166" s="1" t="s">
        <v>244</v>
      </c>
      <c r="J166" s="1" t="s">
        <v>146</v>
      </c>
      <c r="K166" s="1" t="s">
        <v>147</v>
      </c>
      <c r="L166" s="1">
        <v>7</v>
      </c>
      <c r="M166" s="13">
        <v>12597.24</v>
      </c>
      <c r="N166" s="15">
        <v>0.11</v>
      </c>
      <c r="O166" s="13">
        <v>77124.12</v>
      </c>
      <c r="P166" s="13">
        <v>20197.939999999999</v>
      </c>
      <c r="Q166" s="13">
        <v>79.69</v>
      </c>
      <c r="R166" s="1" t="s">
        <v>57</v>
      </c>
      <c r="S166" s="1">
        <v>4</v>
      </c>
      <c r="T166" s="1" t="b">
        <v>0</v>
      </c>
      <c r="U166" s="1" t="s">
        <v>39</v>
      </c>
      <c r="V166" s="3">
        <v>8</v>
      </c>
    </row>
    <row r="167" spans="1:22" x14ac:dyDescent="0.3">
      <c r="A167" s="2" t="s">
        <v>576</v>
      </c>
      <c r="B167" s="10">
        <v>45271</v>
      </c>
      <c r="C167" s="22">
        <v>45271</v>
      </c>
      <c r="D167" s="1" t="s">
        <v>577</v>
      </c>
      <c r="E167" s="1" t="s">
        <v>578</v>
      </c>
      <c r="F167" s="1">
        <v>34</v>
      </c>
      <c r="G167" s="1" t="s">
        <v>34</v>
      </c>
      <c r="H167" s="1" t="s">
        <v>35</v>
      </c>
      <c r="I167" s="1" t="s">
        <v>106</v>
      </c>
      <c r="J167" s="1" t="s">
        <v>76</v>
      </c>
      <c r="K167" s="1" t="s">
        <v>207</v>
      </c>
      <c r="L167" s="1">
        <v>3</v>
      </c>
      <c r="M167" s="13">
        <v>1850.1</v>
      </c>
      <c r="N167" s="15">
        <v>0.03</v>
      </c>
      <c r="O167" s="13">
        <v>4811.57</v>
      </c>
      <c r="P167" s="13">
        <v>1286.23</v>
      </c>
      <c r="Q167" s="13">
        <v>78.13</v>
      </c>
      <c r="R167" s="1" t="s">
        <v>51</v>
      </c>
      <c r="S167" s="1">
        <v>2</v>
      </c>
      <c r="T167" s="1" t="b">
        <v>0</v>
      </c>
      <c r="U167" s="1" t="s">
        <v>39</v>
      </c>
      <c r="V167" s="3">
        <v>10</v>
      </c>
    </row>
    <row r="168" spans="1:22" x14ac:dyDescent="0.3">
      <c r="A168" s="2" t="s">
        <v>579</v>
      </c>
      <c r="B168" s="10">
        <v>45196</v>
      </c>
      <c r="C168" s="22">
        <v>45196</v>
      </c>
      <c r="D168" s="1" t="s">
        <v>580</v>
      </c>
      <c r="E168" s="1" t="s">
        <v>349</v>
      </c>
      <c r="F168" s="1">
        <v>18</v>
      </c>
      <c r="G168" s="1" t="s">
        <v>68</v>
      </c>
      <c r="H168" s="1" t="s">
        <v>82</v>
      </c>
      <c r="I168" s="1" t="s">
        <v>83</v>
      </c>
      <c r="J168" s="1" t="s">
        <v>76</v>
      </c>
      <c r="K168" s="1" t="s">
        <v>122</v>
      </c>
      <c r="L168" s="1">
        <v>10</v>
      </c>
      <c r="M168" s="13">
        <v>2309.23</v>
      </c>
      <c r="N168" s="15">
        <v>0.02</v>
      </c>
      <c r="O168" s="13">
        <v>28827.02</v>
      </c>
      <c r="P168" s="13">
        <v>8270.7999999999993</v>
      </c>
      <c r="Q168" s="13">
        <v>94.75</v>
      </c>
      <c r="R168" s="1" t="s">
        <v>64</v>
      </c>
      <c r="S168" s="1">
        <v>3</v>
      </c>
      <c r="T168" s="1" t="b">
        <v>0</v>
      </c>
      <c r="U168" s="1" t="s">
        <v>39</v>
      </c>
      <c r="V168" s="3">
        <v>5</v>
      </c>
    </row>
    <row r="169" spans="1:22" x14ac:dyDescent="0.3">
      <c r="A169" s="2" t="s">
        <v>581</v>
      </c>
      <c r="B169" s="10">
        <v>44047</v>
      </c>
      <c r="C169" s="22">
        <v>44047</v>
      </c>
      <c r="D169" s="1" t="s">
        <v>582</v>
      </c>
      <c r="E169" s="1" t="s">
        <v>583</v>
      </c>
      <c r="F169" s="1">
        <v>40</v>
      </c>
      <c r="G169" s="1" t="s">
        <v>34</v>
      </c>
      <c r="H169" s="1" t="s">
        <v>111</v>
      </c>
      <c r="I169" s="1" t="s">
        <v>141</v>
      </c>
      <c r="J169" s="1" t="s">
        <v>44</v>
      </c>
      <c r="K169" s="1" t="s">
        <v>93</v>
      </c>
      <c r="L169" s="1">
        <v>5</v>
      </c>
      <c r="M169" s="13">
        <v>12250.19</v>
      </c>
      <c r="N169" s="15">
        <v>0.32</v>
      </c>
      <c r="O169" s="13">
        <v>45443.23</v>
      </c>
      <c r="P169" s="13">
        <v>11573.16</v>
      </c>
      <c r="Q169" s="13">
        <v>71.75</v>
      </c>
      <c r="R169" s="1" t="s">
        <v>51</v>
      </c>
      <c r="S169" s="1">
        <v>3</v>
      </c>
      <c r="T169" s="1" t="b">
        <v>0</v>
      </c>
      <c r="U169" s="1" t="s">
        <v>39</v>
      </c>
      <c r="V169" s="3">
        <v>6</v>
      </c>
    </row>
    <row r="170" spans="1:22" x14ac:dyDescent="0.3">
      <c r="A170" s="2" t="s">
        <v>584</v>
      </c>
      <c r="B170" s="10">
        <v>44124</v>
      </c>
      <c r="C170" s="22">
        <v>44124</v>
      </c>
      <c r="D170" s="1" t="s">
        <v>585</v>
      </c>
      <c r="E170" s="1" t="s">
        <v>200</v>
      </c>
      <c r="F170" s="1">
        <v>22</v>
      </c>
      <c r="G170" s="1" t="s">
        <v>68</v>
      </c>
      <c r="H170" s="1" t="s">
        <v>25</v>
      </c>
      <c r="I170" s="1" t="s">
        <v>55</v>
      </c>
      <c r="J170" s="1" t="s">
        <v>62</v>
      </c>
      <c r="K170" s="1" t="s">
        <v>283</v>
      </c>
      <c r="L170" s="1">
        <v>3</v>
      </c>
      <c r="M170" s="13">
        <v>835.42</v>
      </c>
      <c r="N170" s="15">
        <v>0.33</v>
      </c>
      <c r="O170" s="13">
        <v>1423.3</v>
      </c>
      <c r="P170" s="13">
        <v>458.44</v>
      </c>
      <c r="Q170" s="13">
        <v>55.32</v>
      </c>
      <c r="R170" s="1" t="s">
        <v>64</v>
      </c>
      <c r="S170" s="1">
        <v>5</v>
      </c>
      <c r="T170" s="1" t="b">
        <v>0</v>
      </c>
      <c r="U170" s="1" t="s">
        <v>39</v>
      </c>
      <c r="V170" s="3">
        <v>1</v>
      </c>
    </row>
    <row r="171" spans="1:22" x14ac:dyDescent="0.3">
      <c r="A171" s="2" t="s">
        <v>586</v>
      </c>
      <c r="B171" s="10">
        <v>44491</v>
      </c>
      <c r="C171" s="22">
        <v>44491</v>
      </c>
      <c r="D171" s="1" t="s">
        <v>587</v>
      </c>
      <c r="E171" s="1" t="s">
        <v>588</v>
      </c>
      <c r="F171" s="1">
        <v>53</v>
      </c>
      <c r="G171" s="1" t="s">
        <v>24</v>
      </c>
      <c r="H171" s="1" t="s">
        <v>111</v>
      </c>
      <c r="I171" s="1" t="s">
        <v>141</v>
      </c>
      <c r="J171" s="1" t="s">
        <v>127</v>
      </c>
      <c r="K171" s="1" t="s">
        <v>142</v>
      </c>
      <c r="L171" s="1">
        <v>9</v>
      </c>
      <c r="M171" s="13">
        <v>62284.37</v>
      </c>
      <c r="N171" s="15">
        <v>0.36</v>
      </c>
      <c r="O171" s="13">
        <v>295233.56</v>
      </c>
      <c r="P171" s="13">
        <v>40519.72</v>
      </c>
      <c r="Q171" s="13">
        <v>81.150000000000006</v>
      </c>
      <c r="R171" s="1" t="s">
        <v>70</v>
      </c>
      <c r="S171" s="1">
        <v>3</v>
      </c>
      <c r="T171" s="1" t="b">
        <v>0</v>
      </c>
      <c r="U171" s="1" t="s">
        <v>39</v>
      </c>
      <c r="V171" s="3">
        <v>8</v>
      </c>
    </row>
    <row r="172" spans="1:22" x14ac:dyDescent="0.3">
      <c r="A172" s="2" t="s">
        <v>589</v>
      </c>
      <c r="B172" s="10">
        <v>45475</v>
      </c>
      <c r="C172" s="22">
        <v>45475</v>
      </c>
      <c r="D172" s="1" t="s">
        <v>590</v>
      </c>
      <c r="E172" s="1" t="s">
        <v>591</v>
      </c>
      <c r="F172" s="1">
        <v>56</v>
      </c>
      <c r="G172" s="1" t="s">
        <v>24</v>
      </c>
      <c r="H172" s="1" t="s">
        <v>74</v>
      </c>
      <c r="I172" s="1" t="s">
        <v>101</v>
      </c>
      <c r="J172" s="1" t="s">
        <v>62</v>
      </c>
      <c r="K172" s="1" t="s">
        <v>266</v>
      </c>
      <c r="L172" s="1">
        <v>2</v>
      </c>
      <c r="M172" s="13">
        <v>493.07</v>
      </c>
      <c r="N172" s="15">
        <v>0.4</v>
      </c>
      <c r="O172" s="13">
        <v>1034.25</v>
      </c>
      <c r="P172" s="13">
        <v>466.16</v>
      </c>
      <c r="Q172" s="13">
        <v>79.959999999999994</v>
      </c>
      <c r="R172" s="1" t="s">
        <v>57</v>
      </c>
      <c r="S172" s="1">
        <v>5</v>
      </c>
      <c r="T172" s="1" t="b">
        <v>0</v>
      </c>
      <c r="U172" s="1" t="s">
        <v>39</v>
      </c>
      <c r="V172" s="3">
        <v>5</v>
      </c>
    </row>
    <row r="173" spans="1:22" x14ac:dyDescent="0.3">
      <c r="A173" s="2" t="s">
        <v>592</v>
      </c>
      <c r="B173" s="10">
        <v>44544</v>
      </c>
      <c r="C173" s="22">
        <v>44544</v>
      </c>
      <c r="D173" s="1" t="s">
        <v>593</v>
      </c>
      <c r="E173" s="1" t="s">
        <v>594</v>
      </c>
      <c r="F173" s="1">
        <v>34</v>
      </c>
      <c r="G173" s="1" t="s">
        <v>24</v>
      </c>
      <c r="H173" s="1" t="s">
        <v>74</v>
      </c>
      <c r="I173" s="1" t="s">
        <v>136</v>
      </c>
      <c r="J173" s="1" t="s">
        <v>146</v>
      </c>
      <c r="K173" s="1" t="s">
        <v>147</v>
      </c>
      <c r="L173" s="1">
        <v>2</v>
      </c>
      <c r="M173" s="13">
        <v>4486.05</v>
      </c>
      <c r="N173" s="15">
        <v>0.21</v>
      </c>
      <c r="O173" s="13">
        <v>5037.7700000000004</v>
      </c>
      <c r="P173" s="13">
        <v>1061.82</v>
      </c>
      <c r="Q173" s="13">
        <v>70.400000000000006</v>
      </c>
      <c r="R173" s="1" t="s">
        <v>78</v>
      </c>
      <c r="S173" s="1">
        <v>4</v>
      </c>
      <c r="T173" s="1" t="b">
        <v>0</v>
      </c>
      <c r="U173" s="1" t="s">
        <v>39</v>
      </c>
      <c r="V173" s="3">
        <v>3</v>
      </c>
    </row>
    <row r="174" spans="1:22" x14ac:dyDescent="0.3">
      <c r="A174" s="2" t="s">
        <v>595</v>
      </c>
      <c r="B174" s="10">
        <v>44250</v>
      </c>
      <c r="C174" s="22">
        <v>44250</v>
      </c>
      <c r="D174" s="1" t="s">
        <v>596</v>
      </c>
      <c r="E174" s="1" t="s">
        <v>418</v>
      </c>
      <c r="F174" s="1">
        <v>37</v>
      </c>
      <c r="G174" s="1" t="s">
        <v>68</v>
      </c>
      <c r="H174" s="1" t="s">
        <v>111</v>
      </c>
      <c r="I174" s="1" t="s">
        <v>330</v>
      </c>
      <c r="J174" s="1" t="s">
        <v>76</v>
      </c>
      <c r="K174" s="1" t="s">
        <v>122</v>
      </c>
      <c r="L174" s="1">
        <v>2</v>
      </c>
      <c r="M174" s="13">
        <v>2323.11</v>
      </c>
      <c r="N174" s="15">
        <v>0.1</v>
      </c>
      <c r="O174" s="13">
        <v>3708.79</v>
      </c>
      <c r="P174" s="13">
        <v>1138.78</v>
      </c>
      <c r="Q174" s="13">
        <v>85.32</v>
      </c>
      <c r="R174" s="1" t="s">
        <v>57</v>
      </c>
      <c r="S174" s="1">
        <v>2</v>
      </c>
      <c r="T174" s="1" t="b">
        <v>0</v>
      </c>
      <c r="U174" s="1" t="s">
        <v>39</v>
      </c>
      <c r="V174" s="3">
        <v>7</v>
      </c>
    </row>
    <row r="175" spans="1:22" x14ac:dyDescent="0.3">
      <c r="A175" s="2" t="s">
        <v>597</v>
      </c>
      <c r="B175" s="10">
        <v>44154</v>
      </c>
      <c r="C175" s="22">
        <v>44154</v>
      </c>
      <c r="D175" s="1" t="s">
        <v>598</v>
      </c>
      <c r="E175" s="1" t="s">
        <v>403</v>
      </c>
      <c r="F175" s="1">
        <v>51</v>
      </c>
      <c r="G175" s="1" t="s">
        <v>68</v>
      </c>
      <c r="H175" s="1" t="s">
        <v>82</v>
      </c>
      <c r="I175" s="1" t="s">
        <v>244</v>
      </c>
      <c r="J175" s="1" t="s">
        <v>62</v>
      </c>
      <c r="K175" s="1" t="s">
        <v>266</v>
      </c>
      <c r="L175" s="1">
        <v>10</v>
      </c>
      <c r="M175" s="13">
        <v>331.1</v>
      </c>
      <c r="N175" s="15">
        <v>0.39</v>
      </c>
      <c r="O175" s="13">
        <v>1477.96</v>
      </c>
      <c r="P175" s="13">
        <v>435.14</v>
      </c>
      <c r="Q175" s="13">
        <v>84.94</v>
      </c>
      <c r="R175" s="1" t="s">
        <v>64</v>
      </c>
      <c r="S175" s="1">
        <v>5</v>
      </c>
      <c r="T175" s="1" t="b">
        <v>0</v>
      </c>
      <c r="U175" s="1" t="s">
        <v>39</v>
      </c>
      <c r="V175" s="3">
        <v>7</v>
      </c>
    </row>
    <row r="176" spans="1:22" x14ac:dyDescent="0.3">
      <c r="A176" s="2" t="s">
        <v>599</v>
      </c>
      <c r="B176" s="10">
        <v>45558</v>
      </c>
      <c r="C176" s="22">
        <v>45558</v>
      </c>
      <c r="D176" s="1" t="s">
        <v>600</v>
      </c>
      <c r="E176" s="1" t="s">
        <v>360</v>
      </c>
      <c r="F176" s="1">
        <v>38</v>
      </c>
      <c r="G176" s="1" t="s">
        <v>34</v>
      </c>
      <c r="H176" s="1" t="s">
        <v>25</v>
      </c>
      <c r="I176" s="1" t="s">
        <v>170</v>
      </c>
      <c r="J176" s="1" t="s">
        <v>27</v>
      </c>
      <c r="K176" s="1" t="s">
        <v>450</v>
      </c>
      <c r="L176" s="1">
        <v>5</v>
      </c>
      <c r="M176" s="13">
        <v>195.29</v>
      </c>
      <c r="N176" s="15">
        <v>0.16</v>
      </c>
      <c r="O176" s="13">
        <v>1055.0999999999999</v>
      </c>
      <c r="P176" s="13">
        <v>81.38</v>
      </c>
      <c r="Q176" s="13">
        <v>32.28</v>
      </c>
      <c r="R176" s="1" t="s">
        <v>70</v>
      </c>
      <c r="S176" s="1">
        <v>3</v>
      </c>
      <c r="T176" s="1" t="b">
        <v>0</v>
      </c>
      <c r="U176" s="1" t="s">
        <v>84</v>
      </c>
      <c r="V176" s="3">
        <v>5</v>
      </c>
    </row>
    <row r="177" spans="1:22" x14ac:dyDescent="0.3">
      <c r="A177" s="2" t="s">
        <v>601</v>
      </c>
      <c r="B177" s="10">
        <v>44520</v>
      </c>
      <c r="C177" s="22">
        <v>44520</v>
      </c>
      <c r="D177" s="1" t="s">
        <v>602</v>
      </c>
      <c r="E177" s="1" t="s">
        <v>603</v>
      </c>
      <c r="F177" s="1">
        <v>47</v>
      </c>
      <c r="G177" s="1" t="s">
        <v>34</v>
      </c>
      <c r="H177" s="1" t="s">
        <v>35</v>
      </c>
      <c r="I177" s="1" t="s">
        <v>43</v>
      </c>
      <c r="J177" s="1" t="s">
        <v>76</v>
      </c>
      <c r="K177" s="1" t="s">
        <v>89</v>
      </c>
      <c r="L177" s="1">
        <v>10</v>
      </c>
      <c r="M177" s="13">
        <v>1224.47</v>
      </c>
      <c r="N177" s="15">
        <v>0.4</v>
      </c>
      <c r="O177" s="13">
        <v>5546.22</v>
      </c>
      <c r="P177" s="13">
        <v>2019.44</v>
      </c>
      <c r="Q177" s="13">
        <v>52.99</v>
      </c>
      <c r="R177" s="1" t="s">
        <v>29</v>
      </c>
      <c r="S177" s="1">
        <v>1</v>
      </c>
      <c r="T177" s="1" t="b">
        <v>0</v>
      </c>
      <c r="U177" s="1" t="s">
        <v>39</v>
      </c>
      <c r="V177" s="3">
        <v>6</v>
      </c>
    </row>
    <row r="178" spans="1:22" x14ac:dyDescent="0.3">
      <c r="A178" s="2" t="s">
        <v>604</v>
      </c>
      <c r="B178" s="10">
        <v>45291</v>
      </c>
      <c r="C178" s="22">
        <v>45291</v>
      </c>
      <c r="D178" s="1" t="s">
        <v>605</v>
      </c>
      <c r="E178" s="1" t="s">
        <v>23</v>
      </c>
      <c r="F178" s="1">
        <v>43</v>
      </c>
      <c r="G178" s="1" t="s">
        <v>24</v>
      </c>
      <c r="H178" s="1" t="s">
        <v>111</v>
      </c>
      <c r="I178" s="1" t="s">
        <v>330</v>
      </c>
      <c r="J178" s="1" t="s">
        <v>37</v>
      </c>
      <c r="K178" s="1" t="s">
        <v>102</v>
      </c>
      <c r="L178" s="1">
        <v>7</v>
      </c>
      <c r="M178" s="13">
        <v>1828.2</v>
      </c>
      <c r="N178" s="15">
        <v>0.21</v>
      </c>
      <c r="O178" s="13">
        <v>9118.6299999999992</v>
      </c>
      <c r="P178" s="13">
        <v>3919.89</v>
      </c>
      <c r="Q178" s="13">
        <v>72.63</v>
      </c>
      <c r="R178" s="1" t="s">
        <v>70</v>
      </c>
      <c r="S178" s="1">
        <v>4</v>
      </c>
      <c r="T178" s="1" t="b">
        <v>0</v>
      </c>
      <c r="U178" s="1" t="s">
        <v>39</v>
      </c>
      <c r="V178" s="3">
        <v>1</v>
      </c>
    </row>
    <row r="179" spans="1:22" x14ac:dyDescent="0.3">
      <c r="A179" s="2" t="s">
        <v>606</v>
      </c>
      <c r="B179" s="10">
        <v>44072</v>
      </c>
      <c r="C179" s="22">
        <v>44072</v>
      </c>
      <c r="D179" s="1" t="s">
        <v>607</v>
      </c>
      <c r="E179" s="1" t="s">
        <v>608</v>
      </c>
      <c r="F179" s="1">
        <v>28</v>
      </c>
      <c r="G179" s="1" t="s">
        <v>34</v>
      </c>
      <c r="H179" s="1" t="s">
        <v>35</v>
      </c>
      <c r="I179" s="1" t="s">
        <v>106</v>
      </c>
      <c r="J179" s="1" t="s">
        <v>127</v>
      </c>
      <c r="K179" s="1" t="s">
        <v>308</v>
      </c>
      <c r="L179" s="1">
        <v>0</v>
      </c>
      <c r="M179" s="13">
        <v>9189.44</v>
      </c>
      <c r="N179" s="15">
        <v>0.19</v>
      </c>
      <c r="O179" s="13">
        <v>8306.2900000000009</v>
      </c>
      <c r="P179" s="13">
        <v>916.95</v>
      </c>
      <c r="Q179" s="13">
        <v>59.91</v>
      </c>
      <c r="R179" s="1" t="s">
        <v>29</v>
      </c>
      <c r="S179" s="1">
        <v>4</v>
      </c>
      <c r="T179" s="1" t="b">
        <v>0</v>
      </c>
      <c r="U179" s="1" t="s">
        <v>39</v>
      </c>
      <c r="V179" s="3">
        <v>5</v>
      </c>
    </row>
    <row r="180" spans="1:22" x14ac:dyDescent="0.3">
      <c r="A180" s="2" t="s">
        <v>609</v>
      </c>
      <c r="B180" s="10">
        <v>43952</v>
      </c>
      <c r="C180" s="22">
        <v>43952</v>
      </c>
      <c r="D180" s="1" t="s">
        <v>610</v>
      </c>
      <c r="E180" s="1" t="s">
        <v>611</v>
      </c>
      <c r="F180" s="1">
        <v>34</v>
      </c>
      <c r="G180" s="1" t="s">
        <v>24</v>
      </c>
      <c r="H180" s="1" t="s">
        <v>35</v>
      </c>
      <c r="I180" s="1" t="s">
        <v>106</v>
      </c>
      <c r="J180" s="1" t="s">
        <v>127</v>
      </c>
      <c r="K180" s="1" t="s">
        <v>171</v>
      </c>
      <c r="L180" s="1">
        <v>8</v>
      </c>
      <c r="M180" s="13">
        <v>74156.479999999996</v>
      </c>
      <c r="N180" s="15">
        <v>0.02</v>
      </c>
      <c r="O180" s="13">
        <v>789939.57</v>
      </c>
      <c r="P180" s="13">
        <v>58250.48</v>
      </c>
      <c r="Q180" s="13">
        <v>75.8</v>
      </c>
      <c r="R180" s="1" t="s">
        <v>70</v>
      </c>
      <c r="S180" s="1">
        <v>5</v>
      </c>
      <c r="T180" s="1" t="b">
        <v>0</v>
      </c>
      <c r="U180" s="1" t="s">
        <v>39</v>
      </c>
      <c r="V180" s="3">
        <v>2</v>
      </c>
    </row>
    <row r="181" spans="1:22" x14ac:dyDescent="0.3">
      <c r="A181" s="2" t="s">
        <v>612</v>
      </c>
      <c r="B181" s="10">
        <v>45494</v>
      </c>
      <c r="C181" s="22">
        <v>45494</v>
      </c>
      <c r="D181" s="1" t="s">
        <v>613</v>
      </c>
      <c r="E181" s="1" t="s">
        <v>594</v>
      </c>
      <c r="F181" s="1">
        <v>52</v>
      </c>
      <c r="G181" s="1" t="s">
        <v>68</v>
      </c>
      <c r="H181" s="1" t="s">
        <v>25</v>
      </c>
      <c r="I181" s="1" t="s">
        <v>170</v>
      </c>
      <c r="J181" s="1" t="s">
        <v>27</v>
      </c>
      <c r="K181" s="1" t="s">
        <v>28</v>
      </c>
      <c r="L181" s="1">
        <v>6</v>
      </c>
      <c r="M181" s="13">
        <v>462.8</v>
      </c>
      <c r="N181" s="15">
        <v>0.2</v>
      </c>
      <c r="O181" s="13">
        <v>3702.45</v>
      </c>
      <c r="P181" s="13">
        <v>265.27999999999997</v>
      </c>
      <c r="Q181" s="13">
        <v>81.010000000000005</v>
      </c>
      <c r="R181" s="1" t="s">
        <v>64</v>
      </c>
      <c r="S181" s="1">
        <v>4</v>
      </c>
      <c r="T181" s="1" t="b">
        <v>0</v>
      </c>
      <c r="U181" s="1" t="s">
        <v>39</v>
      </c>
      <c r="V181" s="3">
        <v>7</v>
      </c>
    </row>
    <row r="182" spans="1:22" x14ac:dyDescent="0.3">
      <c r="A182" s="2" t="s">
        <v>614</v>
      </c>
      <c r="B182" s="10">
        <v>44715</v>
      </c>
      <c r="C182" s="22">
        <v>44715</v>
      </c>
      <c r="D182" s="1" t="s">
        <v>615</v>
      </c>
      <c r="E182" s="1" t="s">
        <v>616</v>
      </c>
      <c r="F182" s="1">
        <v>17</v>
      </c>
      <c r="G182" s="1" t="s">
        <v>24</v>
      </c>
      <c r="H182" s="1" t="s">
        <v>35</v>
      </c>
      <c r="I182" s="1" t="s">
        <v>36</v>
      </c>
      <c r="J182" s="1" t="s">
        <v>62</v>
      </c>
      <c r="K182" s="1" t="s">
        <v>63</v>
      </c>
      <c r="L182" s="1">
        <v>4</v>
      </c>
      <c r="M182" s="13">
        <v>664.43</v>
      </c>
      <c r="N182" s="15">
        <v>0.18</v>
      </c>
      <c r="O182" s="13">
        <v>2827.28</v>
      </c>
      <c r="P182" s="13">
        <v>858.56</v>
      </c>
      <c r="Q182" s="13">
        <v>89.26</v>
      </c>
      <c r="R182" s="1" t="s">
        <v>57</v>
      </c>
      <c r="S182" s="1">
        <v>3</v>
      </c>
      <c r="T182" s="1" t="b">
        <v>0</v>
      </c>
      <c r="U182" s="1" t="s">
        <v>39</v>
      </c>
      <c r="V182" s="3">
        <v>8</v>
      </c>
    </row>
    <row r="183" spans="1:22" x14ac:dyDescent="0.3">
      <c r="A183" s="2" t="s">
        <v>617</v>
      </c>
      <c r="B183" s="10">
        <v>45566</v>
      </c>
      <c r="C183" s="22">
        <v>45566</v>
      </c>
      <c r="D183" s="1" t="s">
        <v>618</v>
      </c>
      <c r="E183" s="1" t="s">
        <v>384</v>
      </c>
      <c r="F183" s="1">
        <v>36</v>
      </c>
      <c r="G183" s="1" t="s">
        <v>463</v>
      </c>
      <c r="H183" s="1" t="s">
        <v>74</v>
      </c>
      <c r="I183" s="1" t="s">
        <v>75</v>
      </c>
      <c r="J183" s="1" t="s">
        <v>44</v>
      </c>
      <c r="K183" s="1" t="s">
        <v>50</v>
      </c>
      <c r="L183" s="1">
        <v>5</v>
      </c>
      <c r="M183" s="13">
        <v>16493.240000000002</v>
      </c>
      <c r="N183" s="15">
        <v>0.1</v>
      </c>
      <c r="O183" s="13">
        <v>95102.09</v>
      </c>
      <c r="P183" s="13">
        <v>29222.3</v>
      </c>
      <c r="Q183" s="13">
        <v>63.55</v>
      </c>
      <c r="R183" s="1" t="s">
        <v>64</v>
      </c>
      <c r="S183" s="1">
        <v>5</v>
      </c>
      <c r="T183" s="1" t="b">
        <v>0</v>
      </c>
      <c r="U183" s="1" t="s">
        <v>39</v>
      </c>
      <c r="V183" s="3">
        <v>5</v>
      </c>
    </row>
    <row r="184" spans="1:22" x14ac:dyDescent="0.3">
      <c r="A184" s="2" t="s">
        <v>619</v>
      </c>
      <c r="B184" s="10">
        <v>44520</v>
      </c>
      <c r="C184" s="22">
        <v>44520</v>
      </c>
      <c r="D184" s="1" t="s">
        <v>620</v>
      </c>
      <c r="E184" s="1" t="s">
        <v>621</v>
      </c>
      <c r="F184" s="1">
        <v>28</v>
      </c>
      <c r="G184" s="1" t="s">
        <v>34</v>
      </c>
      <c r="H184" s="1" t="s">
        <v>74</v>
      </c>
      <c r="I184" s="1" t="s">
        <v>136</v>
      </c>
      <c r="J184" s="1" t="s">
        <v>76</v>
      </c>
      <c r="K184" s="1" t="s">
        <v>207</v>
      </c>
      <c r="L184" s="1">
        <v>9</v>
      </c>
      <c r="M184" s="13">
        <v>577.16</v>
      </c>
      <c r="N184" s="15">
        <v>0.35</v>
      </c>
      <c r="O184" s="13">
        <v>2706.28</v>
      </c>
      <c r="P184" s="13">
        <v>896.42</v>
      </c>
      <c r="Q184" s="13">
        <v>45.41</v>
      </c>
      <c r="R184" s="1" t="s">
        <v>78</v>
      </c>
      <c r="S184" s="1">
        <v>3</v>
      </c>
      <c r="T184" s="1" t="b">
        <v>1</v>
      </c>
      <c r="U184" s="1" t="s">
        <v>30</v>
      </c>
      <c r="V184" s="3">
        <v>2</v>
      </c>
    </row>
    <row r="185" spans="1:22" x14ac:dyDescent="0.3">
      <c r="A185" s="2" t="s">
        <v>622</v>
      </c>
      <c r="B185" s="10">
        <v>45168</v>
      </c>
      <c r="C185" s="22">
        <v>45168</v>
      </c>
      <c r="D185" s="1" t="s">
        <v>623</v>
      </c>
      <c r="E185" s="1" t="s">
        <v>624</v>
      </c>
      <c r="F185" s="1">
        <v>42</v>
      </c>
      <c r="G185" s="1" t="s">
        <v>34</v>
      </c>
      <c r="H185" s="1" t="s">
        <v>111</v>
      </c>
      <c r="I185" s="1" t="s">
        <v>112</v>
      </c>
      <c r="J185" s="1" t="s">
        <v>44</v>
      </c>
      <c r="K185" s="1" t="s">
        <v>50</v>
      </c>
      <c r="L185" s="1">
        <v>6</v>
      </c>
      <c r="M185" s="13">
        <v>21712.77</v>
      </c>
      <c r="N185" s="15">
        <v>0.14000000000000001</v>
      </c>
      <c r="O185" s="13">
        <v>157859.91</v>
      </c>
      <c r="P185" s="13">
        <v>48496.37</v>
      </c>
      <c r="Q185" s="13">
        <v>62.68</v>
      </c>
      <c r="R185" s="1" t="s">
        <v>51</v>
      </c>
      <c r="S185" s="1">
        <v>2</v>
      </c>
      <c r="T185" s="1" t="b">
        <v>0</v>
      </c>
      <c r="U185" s="1" t="s">
        <v>84</v>
      </c>
      <c r="V185" s="3">
        <v>9</v>
      </c>
    </row>
    <row r="186" spans="1:22" x14ac:dyDescent="0.3">
      <c r="A186" s="2" t="s">
        <v>625</v>
      </c>
      <c r="B186" s="10">
        <v>45507</v>
      </c>
      <c r="C186" s="22">
        <v>45507</v>
      </c>
      <c r="D186" s="1" t="s">
        <v>626</v>
      </c>
      <c r="E186" s="1" t="s">
        <v>311</v>
      </c>
      <c r="F186" s="1">
        <v>32</v>
      </c>
      <c r="G186" s="1" t="s">
        <v>24</v>
      </c>
      <c r="H186" s="1" t="s">
        <v>35</v>
      </c>
      <c r="I186" s="1" t="s">
        <v>43</v>
      </c>
      <c r="J186" s="1" t="s">
        <v>37</v>
      </c>
      <c r="K186" s="1" t="s">
        <v>182</v>
      </c>
      <c r="L186" s="1">
        <v>5</v>
      </c>
      <c r="M186" s="13">
        <v>2341.12</v>
      </c>
      <c r="N186" s="15">
        <v>7.0000000000000007E-2</v>
      </c>
      <c r="O186" s="13">
        <v>14424.73</v>
      </c>
      <c r="P186" s="13">
        <v>7388.44</v>
      </c>
      <c r="Q186" s="13">
        <v>70.78</v>
      </c>
      <c r="R186" s="1" t="s">
        <v>70</v>
      </c>
      <c r="S186" s="1">
        <v>3</v>
      </c>
      <c r="T186" s="1" t="b">
        <v>1</v>
      </c>
      <c r="U186" s="1" t="s">
        <v>30</v>
      </c>
      <c r="V186" s="3">
        <v>3</v>
      </c>
    </row>
    <row r="187" spans="1:22" x14ac:dyDescent="0.3">
      <c r="A187" s="2" t="s">
        <v>627</v>
      </c>
      <c r="B187" s="10">
        <v>44652</v>
      </c>
      <c r="C187" s="22">
        <v>44652</v>
      </c>
      <c r="D187" s="1" t="s">
        <v>628</v>
      </c>
      <c r="E187" s="1" t="s">
        <v>629</v>
      </c>
      <c r="F187" s="1">
        <v>33</v>
      </c>
      <c r="G187" s="1" t="s">
        <v>34</v>
      </c>
      <c r="H187" s="1" t="s">
        <v>35</v>
      </c>
      <c r="I187" s="1" t="s">
        <v>43</v>
      </c>
      <c r="J187" s="1" t="s">
        <v>37</v>
      </c>
      <c r="K187" s="1" t="s">
        <v>102</v>
      </c>
      <c r="L187" s="1">
        <v>3</v>
      </c>
      <c r="M187" s="13">
        <v>992.1</v>
      </c>
      <c r="N187" s="15">
        <v>0.25</v>
      </c>
      <c r="O187" s="13">
        <v>3344.42</v>
      </c>
      <c r="P187" s="13">
        <v>1765.61</v>
      </c>
      <c r="Q187" s="13">
        <v>59.26</v>
      </c>
      <c r="R187" s="1" t="s">
        <v>70</v>
      </c>
      <c r="S187" s="1">
        <v>3</v>
      </c>
      <c r="T187" s="1" t="b">
        <v>0</v>
      </c>
      <c r="U187" s="1" t="s">
        <v>84</v>
      </c>
      <c r="V187" s="3">
        <v>4</v>
      </c>
    </row>
    <row r="188" spans="1:22" x14ac:dyDescent="0.3">
      <c r="A188" s="2" t="s">
        <v>630</v>
      </c>
      <c r="B188" s="10">
        <v>44773</v>
      </c>
      <c r="C188" s="22">
        <v>44773</v>
      </c>
      <c r="D188" s="1" t="s">
        <v>631</v>
      </c>
      <c r="E188" s="1" t="s">
        <v>632</v>
      </c>
      <c r="F188" s="1">
        <v>47</v>
      </c>
      <c r="G188" s="1" t="s">
        <v>24</v>
      </c>
      <c r="H188" s="1" t="s">
        <v>82</v>
      </c>
      <c r="I188" s="1" t="s">
        <v>83</v>
      </c>
      <c r="J188" s="1" t="s">
        <v>76</v>
      </c>
      <c r="K188" s="1" t="s">
        <v>77</v>
      </c>
      <c r="L188" s="1">
        <v>2</v>
      </c>
      <c r="M188" s="13">
        <v>3551.33</v>
      </c>
      <c r="N188" s="15">
        <v>0.03</v>
      </c>
      <c r="O188" s="13">
        <v>9440.7800000000007</v>
      </c>
      <c r="P188" s="13">
        <v>3804.23</v>
      </c>
      <c r="Q188" s="13">
        <v>97.74</v>
      </c>
      <c r="R188" s="1" t="s">
        <v>57</v>
      </c>
      <c r="S188" s="1">
        <v>3</v>
      </c>
      <c r="T188" s="1" t="b">
        <v>0</v>
      </c>
      <c r="U188" s="1" t="s">
        <v>197</v>
      </c>
      <c r="V188" s="3">
        <v>8</v>
      </c>
    </row>
    <row r="189" spans="1:22" x14ac:dyDescent="0.3">
      <c r="A189" s="2" t="s">
        <v>633</v>
      </c>
      <c r="B189" s="10">
        <v>45414</v>
      </c>
      <c r="C189" s="22">
        <v>45414</v>
      </c>
      <c r="D189" s="1" t="s">
        <v>634</v>
      </c>
      <c r="E189" s="1" t="s">
        <v>635</v>
      </c>
      <c r="F189" s="1">
        <v>34</v>
      </c>
      <c r="G189" s="1" t="s">
        <v>68</v>
      </c>
      <c r="H189" s="1" t="s">
        <v>74</v>
      </c>
      <c r="I189" s="1" t="s">
        <v>136</v>
      </c>
      <c r="J189" s="1" t="s">
        <v>146</v>
      </c>
      <c r="K189" s="1" t="s">
        <v>217</v>
      </c>
      <c r="L189" s="1">
        <v>2</v>
      </c>
      <c r="M189" s="13">
        <v>9159.84</v>
      </c>
      <c r="N189" s="15">
        <v>0.21</v>
      </c>
      <c r="O189" s="13">
        <v>17159.150000000001</v>
      </c>
      <c r="P189" s="13">
        <v>4525.93</v>
      </c>
      <c r="Q189" s="13">
        <v>58.04</v>
      </c>
      <c r="R189" s="1" t="s">
        <v>51</v>
      </c>
      <c r="S189" s="1">
        <v>4</v>
      </c>
      <c r="T189" s="1" t="b">
        <v>0</v>
      </c>
      <c r="U189" s="1" t="s">
        <v>39</v>
      </c>
      <c r="V189" s="3">
        <v>4</v>
      </c>
    </row>
    <row r="190" spans="1:22" x14ac:dyDescent="0.3">
      <c r="A190" s="2" t="s">
        <v>636</v>
      </c>
      <c r="B190" s="10">
        <v>44561</v>
      </c>
      <c r="C190" s="22">
        <v>44561</v>
      </c>
      <c r="D190" s="1" t="s">
        <v>637</v>
      </c>
      <c r="E190" s="1" t="s">
        <v>638</v>
      </c>
      <c r="F190" s="1">
        <v>58</v>
      </c>
      <c r="G190" s="1" t="s">
        <v>34</v>
      </c>
      <c r="H190" s="1" t="s">
        <v>35</v>
      </c>
      <c r="I190" s="1" t="s">
        <v>36</v>
      </c>
      <c r="J190" s="1" t="s">
        <v>146</v>
      </c>
      <c r="K190" s="1" t="s">
        <v>484</v>
      </c>
      <c r="L190" s="1">
        <v>3</v>
      </c>
      <c r="M190" s="13">
        <v>726.67</v>
      </c>
      <c r="N190" s="15">
        <v>0.34</v>
      </c>
      <c r="O190" s="13">
        <v>1042.72</v>
      </c>
      <c r="P190" s="13">
        <v>281.95</v>
      </c>
      <c r="Q190" s="13">
        <v>34.18</v>
      </c>
      <c r="R190" s="1" t="s">
        <v>64</v>
      </c>
      <c r="S190" s="1">
        <v>1</v>
      </c>
      <c r="T190" s="1" t="b">
        <v>0</v>
      </c>
      <c r="U190" s="1" t="s">
        <v>137</v>
      </c>
      <c r="V190" s="3">
        <v>9</v>
      </c>
    </row>
    <row r="191" spans="1:22" x14ac:dyDescent="0.3">
      <c r="A191" s="2" t="s">
        <v>639</v>
      </c>
      <c r="B191" s="10">
        <v>44991</v>
      </c>
      <c r="C191" s="22">
        <v>44991</v>
      </c>
      <c r="D191" s="1" t="s">
        <v>640</v>
      </c>
      <c r="E191" s="1" t="s">
        <v>641</v>
      </c>
      <c r="F191" s="1">
        <v>14</v>
      </c>
      <c r="G191" s="1" t="s">
        <v>34</v>
      </c>
      <c r="H191" s="1" t="s">
        <v>82</v>
      </c>
      <c r="I191" s="1" t="s">
        <v>126</v>
      </c>
      <c r="J191" s="1" t="s">
        <v>127</v>
      </c>
      <c r="K191" s="1" t="s">
        <v>142</v>
      </c>
      <c r="L191" s="1">
        <v>3</v>
      </c>
      <c r="M191" s="13">
        <v>65257.11</v>
      </c>
      <c r="N191" s="15">
        <v>0.2</v>
      </c>
      <c r="O191" s="13">
        <v>196362.97</v>
      </c>
      <c r="P191" s="13">
        <v>27495.56</v>
      </c>
      <c r="Q191" s="13">
        <v>51.41</v>
      </c>
      <c r="R191" s="1" t="s">
        <v>78</v>
      </c>
      <c r="S191" s="1">
        <v>1</v>
      </c>
      <c r="T191" s="1" t="b">
        <v>1</v>
      </c>
      <c r="U191" s="1" t="s">
        <v>30</v>
      </c>
      <c r="V191" s="3">
        <v>4</v>
      </c>
    </row>
    <row r="192" spans="1:22" x14ac:dyDescent="0.3">
      <c r="A192" s="2" t="s">
        <v>642</v>
      </c>
      <c r="B192" s="10">
        <v>45518</v>
      </c>
      <c r="C192" s="22">
        <v>45518</v>
      </c>
      <c r="D192" s="1" t="s">
        <v>643</v>
      </c>
      <c r="E192" s="1" t="s">
        <v>644</v>
      </c>
      <c r="F192" s="1">
        <v>48</v>
      </c>
      <c r="G192" s="1" t="s">
        <v>24</v>
      </c>
      <c r="H192" s="1" t="s">
        <v>25</v>
      </c>
      <c r="I192" s="1" t="s">
        <v>170</v>
      </c>
      <c r="J192" s="1" t="s">
        <v>62</v>
      </c>
      <c r="K192" s="1" t="s">
        <v>63</v>
      </c>
      <c r="L192" s="1">
        <v>6</v>
      </c>
      <c r="M192" s="13">
        <v>797.16</v>
      </c>
      <c r="N192" s="15">
        <v>0.34</v>
      </c>
      <c r="O192" s="13">
        <v>4735.21</v>
      </c>
      <c r="P192" s="13">
        <v>1174.5899999999999</v>
      </c>
      <c r="Q192" s="13">
        <v>15.7</v>
      </c>
      <c r="R192" s="1" t="s">
        <v>64</v>
      </c>
      <c r="S192" s="1">
        <v>4</v>
      </c>
      <c r="T192" s="1" t="b">
        <v>0</v>
      </c>
      <c r="U192" s="1" t="s">
        <v>137</v>
      </c>
      <c r="V192" s="3">
        <v>2</v>
      </c>
    </row>
    <row r="193" spans="1:22" x14ac:dyDescent="0.3">
      <c r="A193" s="2" t="s">
        <v>645</v>
      </c>
      <c r="B193" s="10">
        <v>45262</v>
      </c>
      <c r="C193" s="22">
        <v>45262</v>
      </c>
      <c r="D193" s="1" t="s">
        <v>646</v>
      </c>
      <c r="E193" s="1" t="s">
        <v>243</v>
      </c>
      <c r="F193" s="1">
        <v>36</v>
      </c>
      <c r="G193" s="1" t="s">
        <v>68</v>
      </c>
      <c r="H193" s="1" t="s">
        <v>74</v>
      </c>
      <c r="I193" s="1" t="s">
        <v>101</v>
      </c>
      <c r="J193" s="1" t="s">
        <v>146</v>
      </c>
      <c r="K193" s="1" t="s">
        <v>178</v>
      </c>
      <c r="L193" s="1">
        <v>5</v>
      </c>
      <c r="M193" s="13">
        <v>11000.34</v>
      </c>
      <c r="N193" s="15">
        <v>0.04</v>
      </c>
      <c r="O193" s="13">
        <v>9272.7099999999991</v>
      </c>
      <c r="P193" s="13">
        <v>1339.4</v>
      </c>
      <c r="Q193" s="13">
        <v>62.5</v>
      </c>
      <c r="R193" s="1" t="s">
        <v>57</v>
      </c>
      <c r="S193" s="1">
        <v>1</v>
      </c>
      <c r="T193" s="1" t="b">
        <v>0</v>
      </c>
      <c r="U193" s="1" t="s">
        <v>84</v>
      </c>
      <c r="V193" s="3">
        <v>2</v>
      </c>
    </row>
    <row r="194" spans="1:22" x14ac:dyDescent="0.3">
      <c r="A194" s="2" t="s">
        <v>647</v>
      </c>
      <c r="B194" s="10">
        <v>43954</v>
      </c>
      <c r="C194" s="22">
        <v>43954</v>
      </c>
      <c r="D194" s="1" t="s">
        <v>648</v>
      </c>
      <c r="E194" s="1" t="s">
        <v>275</v>
      </c>
      <c r="F194" s="1">
        <v>26</v>
      </c>
      <c r="G194" s="1" t="s">
        <v>34</v>
      </c>
      <c r="H194" s="1" t="s">
        <v>74</v>
      </c>
      <c r="I194" s="1" t="s">
        <v>101</v>
      </c>
      <c r="J194" s="1" t="s">
        <v>62</v>
      </c>
      <c r="K194" s="1" t="s">
        <v>283</v>
      </c>
      <c r="L194" s="1">
        <v>10</v>
      </c>
      <c r="M194" s="13">
        <v>1346.41</v>
      </c>
      <c r="N194" s="15">
        <v>0.24</v>
      </c>
      <c r="O194" s="13">
        <v>12502.33</v>
      </c>
      <c r="P194" s="13">
        <v>5924.88</v>
      </c>
      <c r="Q194" s="13">
        <v>55.15</v>
      </c>
      <c r="R194" s="1" t="s">
        <v>78</v>
      </c>
      <c r="S194" s="1">
        <v>1</v>
      </c>
      <c r="T194" s="1" t="b">
        <v>0</v>
      </c>
      <c r="U194" s="1" t="s">
        <v>58</v>
      </c>
      <c r="V194" s="3">
        <v>2</v>
      </c>
    </row>
    <row r="195" spans="1:22" x14ac:dyDescent="0.3">
      <c r="A195" s="2" t="s">
        <v>649</v>
      </c>
      <c r="B195" s="10">
        <v>45458</v>
      </c>
      <c r="C195" s="22">
        <v>45458</v>
      </c>
      <c r="D195" s="1" t="s">
        <v>650</v>
      </c>
      <c r="E195" s="1" t="s">
        <v>384</v>
      </c>
      <c r="F195" s="1">
        <v>31</v>
      </c>
      <c r="G195" s="1" t="s">
        <v>68</v>
      </c>
      <c r="H195" s="1" t="s">
        <v>74</v>
      </c>
      <c r="I195" s="1" t="s">
        <v>192</v>
      </c>
      <c r="J195" s="1" t="s">
        <v>76</v>
      </c>
      <c r="K195" s="1" t="s">
        <v>207</v>
      </c>
      <c r="L195" s="1">
        <v>10</v>
      </c>
      <c r="M195" s="13">
        <v>1828.09</v>
      </c>
      <c r="N195" s="15">
        <v>0.4</v>
      </c>
      <c r="O195" s="13">
        <v>18651.13</v>
      </c>
      <c r="P195" s="13">
        <v>4543.72</v>
      </c>
      <c r="Q195" s="13">
        <v>54.66</v>
      </c>
      <c r="R195" s="1" t="s">
        <v>78</v>
      </c>
      <c r="S195" s="1">
        <v>5</v>
      </c>
      <c r="T195" s="1" t="b">
        <v>0</v>
      </c>
      <c r="U195" s="1" t="s">
        <v>39</v>
      </c>
      <c r="V195" s="3">
        <v>10</v>
      </c>
    </row>
    <row r="196" spans="1:22" x14ac:dyDescent="0.3">
      <c r="A196" s="2" t="s">
        <v>651</v>
      </c>
      <c r="B196" s="10">
        <v>44365</v>
      </c>
      <c r="C196" s="22">
        <v>44365</v>
      </c>
      <c r="D196" s="1" t="s">
        <v>652</v>
      </c>
      <c r="E196" s="1" t="s">
        <v>390</v>
      </c>
      <c r="F196" s="1">
        <v>27</v>
      </c>
      <c r="G196" s="1" t="s">
        <v>24</v>
      </c>
      <c r="H196" s="1" t="s">
        <v>25</v>
      </c>
      <c r="I196" s="1" t="s">
        <v>26</v>
      </c>
      <c r="J196" s="1" t="s">
        <v>44</v>
      </c>
      <c r="K196" s="1" t="s">
        <v>93</v>
      </c>
      <c r="L196" s="1">
        <v>5</v>
      </c>
      <c r="M196" s="13">
        <v>27399.66</v>
      </c>
      <c r="N196" s="15">
        <v>0.38</v>
      </c>
      <c r="O196" s="13">
        <v>132575.91</v>
      </c>
      <c r="P196" s="13">
        <v>31097.38</v>
      </c>
      <c r="Q196" s="13">
        <v>50.34</v>
      </c>
      <c r="R196" s="1" t="s">
        <v>57</v>
      </c>
      <c r="S196" s="1">
        <v>3</v>
      </c>
      <c r="T196" s="1" t="b">
        <v>0</v>
      </c>
      <c r="U196" s="1" t="s">
        <v>39</v>
      </c>
      <c r="V196" s="3">
        <v>4</v>
      </c>
    </row>
    <row r="197" spans="1:22" x14ac:dyDescent="0.3">
      <c r="A197" s="2" t="s">
        <v>653</v>
      </c>
      <c r="B197" s="10">
        <v>45019</v>
      </c>
      <c r="C197" s="22">
        <v>45019</v>
      </c>
      <c r="D197" s="1" t="s">
        <v>654</v>
      </c>
      <c r="E197" s="1" t="s">
        <v>523</v>
      </c>
      <c r="F197" s="1">
        <v>30</v>
      </c>
      <c r="G197" s="1" t="s">
        <v>24</v>
      </c>
      <c r="H197" s="1" t="s">
        <v>82</v>
      </c>
      <c r="I197" s="1" t="s">
        <v>244</v>
      </c>
      <c r="J197" s="1" t="s">
        <v>62</v>
      </c>
      <c r="K197" s="1" t="s">
        <v>283</v>
      </c>
      <c r="L197" s="1">
        <v>10</v>
      </c>
      <c r="M197" s="13">
        <v>1221.02</v>
      </c>
      <c r="N197" s="15">
        <v>0.17</v>
      </c>
      <c r="O197" s="13">
        <v>15191.82</v>
      </c>
      <c r="P197" s="13">
        <v>5083.3</v>
      </c>
      <c r="Q197" s="13">
        <v>86.46</v>
      </c>
      <c r="R197" s="1" t="s">
        <v>51</v>
      </c>
      <c r="S197" s="1">
        <v>5</v>
      </c>
      <c r="T197" s="1" t="b">
        <v>0</v>
      </c>
      <c r="U197" s="1" t="s">
        <v>58</v>
      </c>
      <c r="V197" s="3">
        <v>4</v>
      </c>
    </row>
    <row r="198" spans="1:22" x14ac:dyDescent="0.3">
      <c r="A198" s="2" t="s">
        <v>655</v>
      </c>
      <c r="B198" s="10">
        <v>45077</v>
      </c>
      <c r="C198" s="22">
        <v>45077</v>
      </c>
      <c r="D198" s="1" t="s">
        <v>656</v>
      </c>
      <c r="E198" s="1" t="s">
        <v>657</v>
      </c>
      <c r="F198" s="1">
        <v>58</v>
      </c>
      <c r="G198" s="1" t="s">
        <v>68</v>
      </c>
      <c r="H198" s="1" t="s">
        <v>111</v>
      </c>
      <c r="I198" s="1" t="s">
        <v>330</v>
      </c>
      <c r="J198" s="1" t="s">
        <v>127</v>
      </c>
      <c r="K198" s="1" t="s">
        <v>142</v>
      </c>
      <c r="L198" s="1">
        <v>5</v>
      </c>
      <c r="M198" s="13">
        <v>26851.1</v>
      </c>
      <c r="N198" s="15">
        <v>0.03</v>
      </c>
      <c r="O198" s="13">
        <v>218111.79</v>
      </c>
      <c r="P198" s="13">
        <v>24902.1</v>
      </c>
      <c r="Q198" s="13">
        <v>72.55</v>
      </c>
      <c r="R198" s="1" t="s">
        <v>78</v>
      </c>
      <c r="S198" s="1">
        <v>2</v>
      </c>
      <c r="T198" s="1" t="b">
        <v>0</v>
      </c>
      <c r="U198" s="1" t="s">
        <v>39</v>
      </c>
      <c r="V198" s="3">
        <v>2</v>
      </c>
    </row>
    <row r="199" spans="1:22" x14ac:dyDescent="0.3">
      <c r="A199" s="2" t="s">
        <v>658</v>
      </c>
      <c r="B199" s="10">
        <v>45256</v>
      </c>
      <c r="C199" s="22">
        <v>45256</v>
      </c>
      <c r="D199" s="1" t="s">
        <v>659</v>
      </c>
      <c r="E199" s="1" t="s">
        <v>660</v>
      </c>
      <c r="F199" s="1">
        <v>-5</v>
      </c>
      <c r="G199" s="1" t="s">
        <v>68</v>
      </c>
      <c r="H199" s="1" t="s">
        <v>35</v>
      </c>
      <c r="I199" s="1" t="s">
        <v>43</v>
      </c>
      <c r="J199" s="1" t="s">
        <v>146</v>
      </c>
      <c r="K199" s="1" t="s">
        <v>161</v>
      </c>
      <c r="L199" s="1">
        <v>3</v>
      </c>
      <c r="M199" s="13">
        <v>11118.32</v>
      </c>
      <c r="N199" s="15">
        <v>0.3</v>
      </c>
      <c r="O199" s="13">
        <v>22974.82</v>
      </c>
      <c r="P199" s="13">
        <v>4866.53</v>
      </c>
      <c r="Q199" s="13">
        <v>53.21</v>
      </c>
      <c r="R199" s="1" t="s">
        <v>57</v>
      </c>
      <c r="S199" s="1">
        <v>4</v>
      </c>
      <c r="T199" s="1" t="b">
        <v>1</v>
      </c>
      <c r="U199" s="1" t="s">
        <v>30</v>
      </c>
      <c r="V199" s="3">
        <v>9</v>
      </c>
    </row>
    <row r="200" spans="1:22" x14ac:dyDescent="0.3">
      <c r="A200" s="2" t="s">
        <v>661</v>
      </c>
      <c r="B200" s="10">
        <v>44144</v>
      </c>
      <c r="C200" s="22">
        <v>44144</v>
      </c>
      <c r="D200" s="1" t="s">
        <v>662</v>
      </c>
      <c r="E200" s="1" t="s">
        <v>423</v>
      </c>
      <c r="F200" s="1">
        <v>31</v>
      </c>
      <c r="G200" s="1" t="s">
        <v>34</v>
      </c>
      <c r="H200" s="1" t="s">
        <v>74</v>
      </c>
      <c r="I200" s="1" t="s">
        <v>136</v>
      </c>
      <c r="J200" s="1" t="s">
        <v>37</v>
      </c>
      <c r="K200" s="1" t="s">
        <v>182</v>
      </c>
      <c r="L200" s="1">
        <v>10</v>
      </c>
      <c r="M200" s="13">
        <v>1973.78</v>
      </c>
      <c r="N200" s="15">
        <v>7.0000000000000007E-2</v>
      </c>
      <c r="O200" s="13">
        <v>14584.96</v>
      </c>
      <c r="P200" s="13">
        <v>5325.39</v>
      </c>
      <c r="Q200" s="13">
        <v>34.79</v>
      </c>
      <c r="R200" s="1" t="s">
        <v>70</v>
      </c>
      <c r="S200" s="1">
        <v>4</v>
      </c>
      <c r="T200" s="1" t="b">
        <v>0</v>
      </c>
      <c r="U200" s="1" t="s">
        <v>39</v>
      </c>
      <c r="V200" s="3">
        <v>8</v>
      </c>
    </row>
    <row r="201" spans="1:22" x14ac:dyDescent="0.3">
      <c r="A201" s="2" t="s">
        <v>663</v>
      </c>
      <c r="B201" s="10">
        <v>45107</v>
      </c>
      <c r="C201" s="22">
        <v>45107</v>
      </c>
      <c r="D201" s="1" t="s">
        <v>664</v>
      </c>
      <c r="E201" s="1" t="s">
        <v>665</v>
      </c>
      <c r="F201" s="1">
        <v>28</v>
      </c>
      <c r="G201" s="1" t="s">
        <v>24</v>
      </c>
      <c r="H201" s="1" t="s">
        <v>82</v>
      </c>
      <c r="I201" s="1" t="s">
        <v>126</v>
      </c>
      <c r="J201" s="1" t="s">
        <v>44</v>
      </c>
      <c r="K201" s="1" t="s">
        <v>50</v>
      </c>
      <c r="L201" s="1">
        <v>9</v>
      </c>
      <c r="M201" s="13">
        <v>12800.64</v>
      </c>
      <c r="N201" s="15">
        <v>0.3</v>
      </c>
      <c r="O201" s="13">
        <v>120310.49</v>
      </c>
      <c r="P201" s="13">
        <v>28867.05</v>
      </c>
      <c r="Q201" s="13">
        <v>77.17</v>
      </c>
      <c r="R201" s="1" t="s">
        <v>64</v>
      </c>
      <c r="S201" s="1">
        <v>5</v>
      </c>
      <c r="T201" s="1" t="b">
        <v>0</v>
      </c>
      <c r="U201" s="1" t="s">
        <v>39</v>
      </c>
      <c r="V201" s="3">
        <v>7</v>
      </c>
    </row>
    <row r="202" spans="1:22" x14ac:dyDescent="0.3">
      <c r="A202" s="2" t="s">
        <v>666</v>
      </c>
      <c r="B202" s="10">
        <v>43959</v>
      </c>
      <c r="C202" s="22">
        <v>43959</v>
      </c>
      <c r="D202" s="1" t="s">
        <v>667</v>
      </c>
      <c r="E202" s="1" t="s">
        <v>668</v>
      </c>
      <c r="F202" s="1">
        <v>43</v>
      </c>
      <c r="G202" s="1" t="s">
        <v>24</v>
      </c>
      <c r="H202" s="1" t="s">
        <v>74</v>
      </c>
      <c r="I202" s="1" t="s">
        <v>136</v>
      </c>
      <c r="J202" s="1" t="s">
        <v>127</v>
      </c>
      <c r="K202" s="1" t="s">
        <v>171</v>
      </c>
      <c r="L202" s="1">
        <v>5</v>
      </c>
      <c r="M202" s="13">
        <v>16919.29</v>
      </c>
      <c r="N202" s="15">
        <v>0.06</v>
      </c>
      <c r="O202" s="13">
        <v>117489.88</v>
      </c>
      <c r="P202" s="13">
        <v>14930.93</v>
      </c>
      <c r="Q202" s="13">
        <v>59.99</v>
      </c>
      <c r="R202" s="1" t="s">
        <v>78</v>
      </c>
      <c r="S202" s="1">
        <v>5</v>
      </c>
      <c r="T202" s="1" t="b">
        <v>1</v>
      </c>
      <c r="U202" s="1" t="s">
        <v>30</v>
      </c>
      <c r="V202" s="3">
        <v>10</v>
      </c>
    </row>
    <row r="203" spans="1:22" x14ac:dyDescent="0.3">
      <c r="A203" s="2" t="s">
        <v>669</v>
      </c>
      <c r="B203" s="10">
        <v>45100</v>
      </c>
      <c r="C203" s="22">
        <v>45100</v>
      </c>
      <c r="D203" s="1" t="s">
        <v>670</v>
      </c>
      <c r="E203" s="1" t="s">
        <v>314</v>
      </c>
      <c r="F203" s="1">
        <v>36</v>
      </c>
      <c r="G203" s="1" t="s">
        <v>24</v>
      </c>
      <c r="H203" s="1" t="s">
        <v>35</v>
      </c>
      <c r="I203" s="1" t="s">
        <v>43</v>
      </c>
      <c r="J203" s="1" t="s">
        <v>37</v>
      </c>
      <c r="K203" s="1" t="s">
        <v>671</v>
      </c>
      <c r="L203" s="1">
        <v>8</v>
      </c>
      <c r="M203" s="13">
        <v>1976.85</v>
      </c>
      <c r="N203" s="15">
        <v>0.3</v>
      </c>
      <c r="O203" s="13">
        <v>17609.099999999999</v>
      </c>
      <c r="P203" s="13">
        <v>8544.51</v>
      </c>
      <c r="Q203" s="13">
        <v>81.44</v>
      </c>
      <c r="R203" s="1" t="s">
        <v>29</v>
      </c>
      <c r="S203" s="1">
        <v>4</v>
      </c>
      <c r="T203" s="1" t="b">
        <v>0</v>
      </c>
      <c r="U203" s="1" t="s">
        <v>39</v>
      </c>
      <c r="V203" s="3">
        <v>6</v>
      </c>
    </row>
    <row r="204" spans="1:22" x14ac:dyDescent="0.3">
      <c r="A204" s="2" t="s">
        <v>672</v>
      </c>
      <c r="B204" s="10">
        <v>44065</v>
      </c>
      <c r="C204" s="22">
        <v>44065</v>
      </c>
      <c r="D204" s="1" t="s">
        <v>673</v>
      </c>
      <c r="E204" s="1" t="s">
        <v>363</v>
      </c>
      <c r="F204" s="1">
        <v>29</v>
      </c>
      <c r="G204" s="1" t="s">
        <v>463</v>
      </c>
      <c r="H204" s="1" t="s">
        <v>82</v>
      </c>
      <c r="I204" s="1" t="s">
        <v>83</v>
      </c>
      <c r="J204" s="1" t="s">
        <v>37</v>
      </c>
      <c r="K204" s="1" t="s">
        <v>102</v>
      </c>
      <c r="L204" s="1">
        <v>1</v>
      </c>
      <c r="M204" s="13">
        <v>357.7</v>
      </c>
      <c r="N204" s="15">
        <v>0.24</v>
      </c>
      <c r="O204" s="13">
        <v>286.61</v>
      </c>
      <c r="P204" s="13">
        <v>137.44999999999999</v>
      </c>
      <c r="Q204" s="13">
        <v>95.23</v>
      </c>
      <c r="R204" s="1" t="s">
        <v>70</v>
      </c>
      <c r="S204" s="1">
        <v>3</v>
      </c>
      <c r="T204" s="1" t="b">
        <v>0</v>
      </c>
      <c r="U204" s="1" t="s">
        <v>39</v>
      </c>
      <c r="V204" s="3">
        <v>1</v>
      </c>
    </row>
    <row r="205" spans="1:22" x14ac:dyDescent="0.3">
      <c r="A205" s="2" t="s">
        <v>674</v>
      </c>
      <c r="B205" s="10">
        <v>44680</v>
      </c>
      <c r="C205" s="22">
        <v>44680</v>
      </c>
      <c r="D205" s="1" t="s">
        <v>675</v>
      </c>
      <c r="E205" s="1" t="s">
        <v>676</v>
      </c>
      <c r="F205" s="1">
        <v>28</v>
      </c>
      <c r="G205" s="1" t="s">
        <v>463</v>
      </c>
      <c r="H205" s="1" t="s">
        <v>35</v>
      </c>
      <c r="I205" s="1" t="s">
        <v>36</v>
      </c>
      <c r="J205" s="1" t="s">
        <v>27</v>
      </c>
      <c r="K205" s="1" t="s">
        <v>28</v>
      </c>
      <c r="L205" s="1">
        <v>10</v>
      </c>
      <c r="M205" s="13">
        <v>321.33999999999997</v>
      </c>
      <c r="N205" s="15">
        <v>0.16</v>
      </c>
      <c r="O205" s="13">
        <v>4232.71</v>
      </c>
      <c r="P205" s="13">
        <v>408.89</v>
      </c>
      <c r="Q205" s="13">
        <v>47.89</v>
      </c>
      <c r="R205" s="1" t="s">
        <v>70</v>
      </c>
      <c r="S205" s="1">
        <v>1</v>
      </c>
      <c r="T205" s="1" t="b">
        <v>0</v>
      </c>
      <c r="U205" s="1" t="s">
        <v>197</v>
      </c>
      <c r="V205" s="3">
        <v>9</v>
      </c>
    </row>
    <row r="206" spans="1:22" x14ac:dyDescent="0.3">
      <c r="A206" s="2" t="s">
        <v>677</v>
      </c>
      <c r="B206" s="10">
        <v>45560</v>
      </c>
      <c r="C206" s="22">
        <v>45560</v>
      </c>
      <c r="D206" s="1" t="s">
        <v>678</v>
      </c>
      <c r="E206" s="1" t="s">
        <v>131</v>
      </c>
      <c r="F206" s="1">
        <v>27</v>
      </c>
      <c r="G206" s="1" t="s">
        <v>24</v>
      </c>
      <c r="H206" s="1" t="s">
        <v>74</v>
      </c>
      <c r="I206" s="1" t="s">
        <v>75</v>
      </c>
      <c r="J206" s="1" t="s">
        <v>76</v>
      </c>
      <c r="K206" s="1" t="s">
        <v>122</v>
      </c>
      <c r="L206" s="1">
        <v>1</v>
      </c>
      <c r="M206" s="13">
        <v>2472.06</v>
      </c>
      <c r="N206" s="15">
        <v>0.23</v>
      </c>
      <c r="O206" s="13">
        <v>2559.11</v>
      </c>
      <c r="P206" s="13">
        <v>756.36</v>
      </c>
      <c r="Q206" s="13">
        <v>57.21</v>
      </c>
      <c r="R206" s="1" t="s">
        <v>57</v>
      </c>
      <c r="S206" s="1">
        <v>5</v>
      </c>
      <c r="T206" s="1" t="b">
        <v>0</v>
      </c>
      <c r="U206" s="1" t="s">
        <v>39</v>
      </c>
      <c r="V206" s="3">
        <v>10</v>
      </c>
    </row>
    <row r="207" spans="1:22" x14ac:dyDescent="0.3">
      <c r="A207" s="2" t="s">
        <v>679</v>
      </c>
      <c r="B207" s="10">
        <v>45075</v>
      </c>
      <c r="C207" s="22">
        <v>45075</v>
      </c>
      <c r="D207" s="1" t="s">
        <v>680</v>
      </c>
      <c r="E207" s="1" t="s">
        <v>681</v>
      </c>
      <c r="F207" s="1">
        <v>28</v>
      </c>
      <c r="G207" s="1" t="s">
        <v>68</v>
      </c>
      <c r="H207" s="1" t="s">
        <v>74</v>
      </c>
      <c r="I207" s="1" t="s">
        <v>192</v>
      </c>
      <c r="J207" s="1" t="s">
        <v>44</v>
      </c>
      <c r="K207" s="1" t="s">
        <v>50</v>
      </c>
      <c r="L207" s="1">
        <v>4</v>
      </c>
      <c r="M207" s="13">
        <v>25915.33</v>
      </c>
      <c r="N207" s="15">
        <v>0.11</v>
      </c>
      <c r="O207" s="13">
        <v>132743.41</v>
      </c>
      <c r="P207" s="13">
        <v>29427.55</v>
      </c>
      <c r="Q207" s="13">
        <v>58.32</v>
      </c>
      <c r="R207" s="1" t="s">
        <v>29</v>
      </c>
      <c r="S207" s="1">
        <v>5</v>
      </c>
      <c r="T207" s="1" t="b">
        <v>0</v>
      </c>
      <c r="U207" s="1" t="s">
        <v>39</v>
      </c>
      <c r="V207" s="3">
        <v>10</v>
      </c>
    </row>
    <row r="208" spans="1:22" x14ac:dyDescent="0.3">
      <c r="A208" s="2" t="s">
        <v>682</v>
      </c>
      <c r="B208" s="10">
        <v>44004</v>
      </c>
      <c r="C208" s="22">
        <v>44004</v>
      </c>
      <c r="D208" s="1" t="s">
        <v>683</v>
      </c>
      <c r="E208" s="1" t="s">
        <v>684</v>
      </c>
      <c r="F208" s="1">
        <v>32</v>
      </c>
      <c r="G208" s="1" t="s">
        <v>24</v>
      </c>
      <c r="H208" s="1" t="s">
        <v>74</v>
      </c>
      <c r="I208" s="1" t="s">
        <v>136</v>
      </c>
      <c r="J208" s="1" t="s">
        <v>76</v>
      </c>
      <c r="K208" s="1" t="s">
        <v>113</v>
      </c>
      <c r="L208" s="1">
        <v>7</v>
      </c>
      <c r="M208" s="13">
        <v>2701.8</v>
      </c>
      <c r="N208" s="15">
        <v>0.09</v>
      </c>
      <c r="O208" s="13">
        <v>22364.16</v>
      </c>
      <c r="P208" s="13">
        <v>8609.23</v>
      </c>
      <c r="Q208" s="13">
        <v>56.32</v>
      </c>
      <c r="R208" s="1" t="s">
        <v>64</v>
      </c>
      <c r="S208" s="1">
        <v>5</v>
      </c>
      <c r="T208" s="1" t="b">
        <v>1</v>
      </c>
      <c r="U208" s="1" t="s">
        <v>30</v>
      </c>
      <c r="V208" s="3">
        <v>2</v>
      </c>
    </row>
    <row r="209" spans="1:22" x14ac:dyDescent="0.3">
      <c r="A209" s="2" t="s">
        <v>685</v>
      </c>
      <c r="B209" s="10">
        <v>45462</v>
      </c>
      <c r="C209" s="22">
        <v>45462</v>
      </c>
      <c r="D209" s="1" t="s">
        <v>686</v>
      </c>
      <c r="E209" s="1" t="s">
        <v>687</v>
      </c>
      <c r="F209" s="1">
        <v>28</v>
      </c>
      <c r="G209" s="1" t="s">
        <v>24</v>
      </c>
      <c r="H209" s="1" t="s">
        <v>82</v>
      </c>
      <c r="I209" s="1" t="s">
        <v>293</v>
      </c>
      <c r="J209" s="1" t="s">
        <v>76</v>
      </c>
      <c r="K209" s="1" t="s">
        <v>132</v>
      </c>
      <c r="L209" s="1">
        <v>4</v>
      </c>
      <c r="M209" s="13">
        <v>2577.39</v>
      </c>
      <c r="N209" s="15">
        <v>0.11</v>
      </c>
      <c r="O209" s="13">
        <v>15407.9</v>
      </c>
      <c r="P209" s="13">
        <v>5412.09</v>
      </c>
      <c r="Q209" s="13">
        <v>58.52</v>
      </c>
      <c r="R209" s="1" t="s">
        <v>78</v>
      </c>
      <c r="S209" s="1">
        <v>2</v>
      </c>
      <c r="T209" s="1" t="b">
        <v>0</v>
      </c>
      <c r="U209" s="1" t="s">
        <v>39</v>
      </c>
      <c r="V209" s="3">
        <v>1</v>
      </c>
    </row>
    <row r="210" spans="1:22" x14ac:dyDescent="0.3">
      <c r="A210" s="2" t="s">
        <v>688</v>
      </c>
      <c r="B210" s="10">
        <v>45203</v>
      </c>
      <c r="C210" s="22">
        <v>45203</v>
      </c>
      <c r="D210" s="1" t="s">
        <v>689</v>
      </c>
      <c r="E210" s="1" t="s">
        <v>690</v>
      </c>
      <c r="F210" s="1">
        <v>45</v>
      </c>
      <c r="G210" s="1" t="s">
        <v>34</v>
      </c>
      <c r="H210" s="1" t="s">
        <v>35</v>
      </c>
      <c r="I210" s="1" t="s">
        <v>43</v>
      </c>
      <c r="J210" s="1" t="s">
        <v>27</v>
      </c>
      <c r="K210" s="1" t="s">
        <v>97</v>
      </c>
      <c r="L210" s="1">
        <v>4</v>
      </c>
      <c r="M210" s="13">
        <v>309.85000000000002</v>
      </c>
      <c r="N210" s="15">
        <v>0.04</v>
      </c>
      <c r="O210" s="13">
        <v>1375.7</v>
      </c>
      <c r="P210" s="13">
        <v>128.93</v>
      </c>
      <c r="Q210" s="13">
        <v>73.63</v>
      </c>
      <c r="R210" s="1" t="s">
        <v>78</v>
      </c>
      <c r="S210" s="1">
        <v>4</v>
      </c>
      <c r="T210" s="1" t="b">
        <v>1</v>
      </c>
      <c r="U210" s="1" t="s">
        <v>30</v>
      </c>
      <c r="V210" s="3">
        <v>5</v>
      </c>
    </row>
    <row r="211" spans="1:22" x14ac:dyDescent="0.3">
      <c r="A211" s="2" t="s">
        <v>691</v>
      </c>
      <c r="B211" s="10">
        <v>44171</v>
      </c>
      <c r="C211" s="22">
        <v>44171</v>
      </c>
      <c r="D211" s="1" t="s">
        <v>692</v>
      </c>
      <c r="E211" s="1" t="s">
        <v>693</v>
      </c>
      <c r="F211" s="1">
        <v>33</v>
      </c>
      <c r="G211" s="1" t="s">
        <v>24</v>
      </c>
      <c r="H211" s="1" t="s">
        <v>25</v>
      </c>
      <c r="I211" s="1" t="s">
        <v>55</v>
      </c>
      <c r="J211" s="1" t="s">
        <v>76</v>
      </c>
      <c r="K211" s="1" t="s">
        <v>122</v>
      </c>
      <c r="L211" s="1">
        <v>8</v>
      </c>
      <c r="M211" s="13">
        <v>2574.11</v>
      </c>
      <c r="N211" s="15">
        <v>0.12</v>
      </c>
      <c r="O211" s="13">
        <v>12273.11</v>
      </c>
      <c r="P211" s="13">
        <v>5629.65</v>
      </c>
      <c r="Q211" s="13">
        <v>67.94</v>
      </c>
      <c r="R211" s="1" t="s">
        <v>70</v>
      </c>
      <c r="S211" s="1">
        <v>5</v>
      </c>
      <c r="T211" s="1" t="b">
        <v>1</v>
      </c>
      <c r="U211" s="1" t="s">
        <v>30</v>
      </c>
      <c r="V211" s="3">
        <v>10</v>
      </c>
    </row>
    <row r="212" spans="1:22" x14ac:dyDescent="0.3">
      <c r="A212" s="2" t="s">
        <v>694</v>
      </c>
      <c r="B212" s="10">
        <v>43851</v>
      </c>
      <c r="C212" s="22">
        <v>43851</v>
      </c>
      <c r="D212" s="1" t="s">
        <v>695</v>
      </c>
      <c r="E212" s="1" t="s">
        <v>696</v>
      </c>
      <c r="F212" s="1">
        <v>33</v>
      </c>
      <c r="G212" s="1" t="s">
        <v>24</v>
      </c>
      <c r="H212" s="1" t="s">
        <v>82</v>
      </c>
      <c r="I212" s="1" t="s">
        <v>126</v>
      </c>
      <c r="J212" s="1" t="s">
        <v>37</v>
      </c>
      <c r="K212" s="1" t="s">
        <v>102</v>
      </c>
      <c r="L212" s="1">
        <v>9</v>
      </c>
      <c r="M212" s="13">
        <v>1931.61</v>
      </c>
      <c r="N212" s="15">
        <v>0.35</v>
      </c>
      <c r="O212" s="13">
        <v>10532.18</v>
      </c>
      <c r="P212" s="13">
        <v>5257.88</v>
      </c>
      <c r="Q212" s="13">
        <v>98.73</v>
      </c>
      <c r="R212" s="1" t="s">
        <v>57</v>
      </c>
      <c r="S212" s="1">
        <v>5</v>
      </c>
      <c r="T212" s="1" t="b">
        <v>0</v>
      </c>
      <c r="U212" s="1" t="s">
        <v>39</v>
      </c>
      <c r="V212" s="3">
        <v>3</v>
      </c>
    </row>
    <row r="213" spans="1:22" x14ac:dyDescent="0.3">
      <c r="A213" s="2" t="s">
        <v>697</v>
      </c>
      <c r="B213" s="10">
        <v>44470</v>
      </c>
      <c r="C213" s="22">
        <v>44470</v>
      </c>
      <c r="D213" s="1" t="s">
        <v>698</v>
      </c>
      <c r="E213" s="1" t="s">
        <v>298</v>
      </c>
      <c r="F213" s="1">
        <v>52</v>
      </c>
      <c r="G213" s="1" t="s">
        <v>34</v>
      </c>
      <c r="H213" s="1" t="s">
        <v>25</v>
      </c>
      <c r="I213" s="1" t="s">
        <v>26</v>
      </c>
      <c r="J213" s="1" t="s">
        <v>146</v>
      </c>
      <c r="K213" s="1" t="s">
        <v>276</v>
      </c>
      <c r="L213" s="1">
        <v>3</v>
      </c>
      <c r="M213" s="13">
        <v>13585.06</v>
      </c>
      <c r="N213" s="15">
        <v>0.33</v>
      </c>
      <c r="O213" s="13">
        <v>26055.86</v>
      </c>
      <c r="P213" s="13">
        <v>5488.23</v>
      </c>
      <c r="Q213" s="13">
        <v>62.01</v>
      </c>
      <c r="R213" s="1" t="s">
        <v>51</v>
      </c>
      <c r="S213" s="1">
        <v>5</v>
      </c>
      <c r="T213" s="1" t="b">
        <v>0</v>
      </c>
      <c r="U213" s="1" t="s">
        <v>699</v>
      </c>
      <c r="V213" s="3">
        <v>2</v>
      </c>
    </row>
    <row r="214" spans="1:22" x14ac:dyDescent="0.3">
      <c r="A214" s="2" t="s">
        <v>700</v>
      </c>
      <c r="B214" s="10">
        <v>45362</v>
      </c>
      <c r="C214" s="22">
        <v>45362</v>
      </c>
      <c r="D214" s="1" t="s">
        <v>701</v>
      </c>
      <c r="E214" s="1" t="s">
        <v>702</v>
      </c>
      <c r="F214" s="1">
        <v>11</v>
      </c>
      <c r="G214" s="1" t="s">
        <v>34</v>
      </c>
      <c r="H214" s="1" t="s">
        <v>82</v>
      </c>
      <c r="I214" s="1" t="s">
        <v>126</v>
      </c>
      <c r="J214" s="1" t="s">
        <v>76</v>
      </c>
      <c r="K214" s="1" t="s">
        <v>113</v>
      </c>
      <c r="L214" s="1">
        <v>2</v>
      </c>
      <c r="M214" s="13">
        <v>1543.23</v>
      </c>
      <c r="N214" s="15">
        <v>0.26</v>
      </c>
      <c r="O214" s="13">
        <v>3196.43</v>
      </c>
      <c r="P214" s="13">
        <v>1291.0999999999999</v>
      </c>
      <c r="Q214" s="13">
        <v>71.02</v>
      </c>
      <c r="R214" s="1" t="s">
        <v>78</v>
      </c>
      <c r="S214" s="1">
        <v>5</v>
      </c>
      <c r="T214" s="1" t="b">
        <v>0</v>
      </c>
      <c r="U214" s="1" t="s">
        <v>39</v>
      </c>
      <c r="V214" s="3">
        <v>6</v>
      </c>
    </row>
    <row r="215" spans="1:22" x14ac:dyDescent="0.3">
      <c r="A215" s="2" t="s">
        <v>703</v>
      </c>
      <c r="B215" s="10">
        <v>44862</v>
      </c>
      <c r="C215" s="22">
        <v>44862</v>
      </c>
      <c r="D215" s="1" t="s">
        <v>704</v>
      </c>
      <c r="E215" s="1" t="s">
        <v>705</v>
      </c>
      <c r="F215" s="1">
        <v>48</v>
      </c>
      <c r="G215" s="1" t="s">
        <v>434</v>
      </c>
      <c r="H215" s="1" t="s">
        <v>35</v>
      </c>
      <c r="I215" s="1" t="s">
        <v>106</v>
      </c>
      <c r="J215" s="1" t="s">
        <v>146</v>
      </c>
      <c r="K215" s="1" t="s">
        <v>147</v>
      </c>
      <c r="L215" s="1">
        <v>1</v>
      </c>
      <c r="M215" s="13">
        <v>14172.12</v>
      </c>
      <c r="N215" s="15">
        <v>0.14000000000000001</v>
      </c>
      <c r="O215" s="13">
        <v>12312.75</v>
      </c>
      <c r="P215" s="13">
        <v>2055.13</v>
      </c>
      <c r="Q215" s="13">
        <v>79.52</v>
      </c>
      <c r="R215" s="1" t="s">
        <v>51</v>
      </c>
      <c r="S215" s="1">
        <v>5</v>
      </c>
      <c r="T215" s="1" t="b">
        <v>0</v>
      </c>
      <c r="U215" s="1" t="s">
        <v>39</v>
      </c>
      <c r="V215" s="3">
        <v>6</v>
      </c>
    </row>
    <row r="216" spans="1:22" x14ac:dyDescent="0.3">
      <c r="A216" s="2" t="s">
        <v>706</v>
      </c>
      <c r="B216" s="10">
        <v>44099</v>
      </c>
      <c r="C216" s="22">
        <v>44099</v>
      </c>
      <c r="D216" s="1" t="s">
        <v>707</v>
      </c>
      <c r="E216" s="1" t="s">
        <v>708</v>
      </c>
      <c r="F216" s="1">
        <v>53</v>
      </c>
      <c r="G216" s="1" t="s">
        <v>34</v>
      </c>
      <c r="H216" s="1" t="s">
        <v>111</v>
      </c>
      <c r="I216" s="1" t="s">
        <v>112</v>
      </c>
      <c r="J216" s="1" t="s">
        <v>62</v>
      </c>
      <c r="K216" s="1" t="s">
        <v>283</v>
      </c>
      <c r="L216" s="1">
        <v>7</v>
      </c>
      <c r="M216" s="13">
        <v>298.01</v>
      </c>
      <c r="N216" s="15">
        <v>0.2</v>
      </c>
      <c r="O216" s="13">
        <v>1735.77</v>
      </c>
      <c r="P216" s="13">
        <v>683.51</v>
      </c>
      <c r="Q216" s="13">
        <v>71.67</v>
      </c>
      <c r="R216" s="1" t="s">
        <v>51</v>
      </c>
      <c r="S216" s="1">
        <v>2</v>
      </c>
      <c r="T216" s="1" t="b">
        <v>1</v>
      </c>
      <c r="U216" s="1" t="s">
        <v>30</v>
      </c>
      <c r="V216" s="3">
        <v>2</v>
      </c>
    </row>
    <row r="217" spans="1:22" x14ac:dyDescent="0.3">
      <c r="A217" s="2" t="s">
        <v>709</v>
      </c>
      <c r="B217" s="10">
        <v>43978</v>
      </c>
      <c r="C217" s="22">
        <v>43978</v>
      </c>
      <c r="D217" s="1" t="s">
        <v>710</v>
      </c>
      <c r="E217" s="1" t="s">
        <v>711</v>
      </c>
      <c r="F217" s="1">
        <v>28</v>
      </c>
      <c r="G217" s="1" t="s">
        <v>24</v>
      </c>
      <c r="H217" s="1" t="s">
        <v>35</v>
      </c>
      <c r="I217" s="1" t="s">
        <v>106</v>
      </c>
      <c r="J217" s="1" t="s">
        <v>44</v>
      </c>
      <c r="K217" s="1" t="s">
        <v>93</v>
      </c>
      <c r="L217" s="1">
        <v>10</v>
      </c>
      <c r="M217" s="13">
        <v>2690.93</v>
      </c>
      <c r="N217" s="15">
        <v>0.35</v>
      </c>
      <c r="O217" s="13">
        <v>23373.24</v>
      </c>
      <c r="P217" s="13">
        <v>7410.64</v>
      </c>
      <c r="Q217" s="13">
        <v>43.86</v>
      </c>
      <c r="R217" s="1" t="s">
        <v>78</v>
      </c>
      <c r="S217" s="1">
        <v>4</v>
      </c>
      <c r="T217" s="1" t="b">
        <v>1</v>
      </c>
      <c r="U217" s="1" t="s">
        <v>30</v>
      </c>
      <c r="V217" s="3">
        <v>4</v>
      </c>
    </row>
    <row r="218" spans="1:22" x14ac:dyDescent="0.3">
      <c r="A218" s="2" t="s">
        <v>712</v>
      </c>
      <c r="B218" s="10">
        <v>45058</v>
      </c>
      <c r="C218" s="22">
        <v>45058</v>
      </c>
      <c r="D218" s="1" t="s">
        <v>713</v>
      </c>
      <c r="E218" s="1" t="s">
        <v>279</v>
      </c>
      <c r="F218" s="1">
        <v>51</v>
      </c>
      <c r="G218" s="1" t="s">
        <v>24</v>
      </c>
      <c r="H218" s="1" t="s">
        <v>25</v>
      </c>
      <c r="I218" s="1" t="s">
        <v>26</v>
      </c>
      <c r="J218" s="1" t="s">
        <v>27</v>
      </c>
      <c r="K218" s="1" t="s">
        <v>400</v>
      </c>
      <c r="L218" s="1">
        <v>1</v>
      </c>
      <c r="M218" s="13">
        <v>380.33</v>
      </c>
      <c r="N218" s="15">
        <v>0.2</v>
      </c>
      <c r="O218" s="13">
        <v>506.19</v>
      </c>
      <c r="P218" s="13">
        <v>44.82</v>
      </c>
      <c r="Q218" s="13">
        <v>61.88</v>
      </c>
      <c r="R218" s="1" t="s">
        <v>78</v>
      </c>
      <c r="S218" s="1">
        <v>3</v>
      </c>
      <c r="T218" s="1" t="b">
        <v>0</v>
      </c>
      <c r="U218" s="1" t="s">
        <v>39</v>
      </c>
      <c r="V218" s="3">
        <v>3</v>
      </c>
    </row>
    <row r="219" spans="1:22" x14ac:dyDescent="0.3">
      <c r="A219" s="2" t="s">
        <v>714</v>
      </c>
      <c r="B219" s="10">
        <v>44414</v>
      </c>
      <c r="C219" s="22">
        <v>44414</v>
      </c>
      <c r="D219" s="1" t="s">
        <v>715</v>
      </c>
      <c r="E219" s="1" t="s">
        <v>716</v>
      </c>
      <c r="F219" s="1">
        <v>21</v>
      </c>
      <c r="G219" s="1" t="s">
        <v>68</v>
      </c>
      <c r="H219" s="1" t="s">
        <v>35</v>
      </c>
      <c r="I219" s="1" t="s">
        <v>43</v>
      </c>
      <c r="J219" s="1" t="s">
        <v>37</v>
      </c>
      <c r="K219" s="1" t="s">
        <v>102</v>
      </c>
      <c r="L219" s="1">
        <v>3</v>
      </c>
      <c r="M219" s="13">
        <v>1302.9000000000001</v>
      </c>
      <c r="N219" s="15">
        <v>0.23</v>
      </c>
      <c r="O219" s="13">
        <v>4258.29</v>
      </c>
      <c r="P219" s="13">
        <v>1724.59</v>
      </c>
      <c r="Q219" s="13">
        <v>82.26</v>
      </c>
      <c r="R219" s="1" t="s">
        <v>78</v>
      </c>
      <c r="S219" s="1">
        <v>2</v>
      </c>
      <c r="T219" s="1" t="b">
        <v>0</v>
      </c>
      <c r="U219" s="1" t="s">
        <v>84</v>
      </c>
      <c r="V219" s="3">
        <v>5</v>
      </c>
    </row>
    <row r="220" spans="1:22" x14ac:dyDescent="0.3">
      <c r="A220" s="2" t="s">
        <v>717</v>
      </c>
      <c r="B220" s="10">
        <v>45300</v>
      </c>
      <c r="C220" s="22">
        <v>45300</v>
      </c>
      <c r="D220" s="1" t="s">
        <v>718</v>
      </c>
      <c r="E220" s="1" t="s">
        <v>719</v>
      </c>
      <c r="F220" s="1">
        <v>26</v>
      </c>
      <c r="G220" s="1" t="s">
        <v>34</v>
      </c>
      <c r="H220" s="1" t="s">
        <v>74</v>
      </c>
      <c r="I220" s="1" t="s">
        <v>101</v>
      </c>
      <c r="J220" s="1" t="s">
        <v>127</v>
      </c>
      <c r="K220" s="1" t="s">
        <v>308</v>
      </c>
      <c r="L220" s="1">
        <v>4</v>
      </c>
      <c r="M220" s="13">
        <v>13215.16</v>
      </c>
      <c r="N220" s="15">
        <v>0.15</v>
      </c>
      <c r="O220" s="13">
        <v>41177.25</v>
      </c>
      <c r="P220" s="13">
        <v>3874.92</v>
      </c>
      <c r="Q220" s="13">
        <v>36.17</v>
      </c>
      <c r="R220" s="1" t="s">
        <v>57</v>
      </c>
      <c r="S220" s="1">
        <v>2</v>
      </c>
      <c r="T220" s="1" t="b">
        <v>0</v>
      </c>
      <c r="U220" s="1" t="s">
        <v>39</v>
      </c>
      <c r="V220" s="3">
        <v>3</v>
      </c>
    </row>
    <row r="221" spans="1:22" x14ac:dyDescent="0.3">
      <c r="A221" s="2" t="s">
        <v>720</v>
      </c>
      <c r="B221" s="10">
        <v>45346</v>
      </c>
      <c r="C221" s="22">
        <v>45346</v>
      </c>
      <c r="D221" s="1" t="s">
        <v>721</v>
      </c>
      <c r="E221" s="1" t="s">
        <v>440</v>
      </c>
      <c r="F221" s="1">
        <v>28</v>
      </c>
      <c r="G221" s="1" t="s">
        <v>68</v>
      </c>
      <c r="H221" s="1" t="s">
        <v>82</v>
      </c>
      <c r="I221" s="1" t="s">
        <v>126</v>
      </c>
      <c r="J221" s="1" t="s">
        <v>76</v>
      </c>
      <c r="K221" s="1" t="s">
        <v>77</v>
      </c>
      <c r="L221" s="1">
        <v>5</v>
      </c>
      <c r="M221" s="13">
        <v>3018.53</v>
      </c>
      <c r="N221" s="15">
        <v>0.26</v>
      </c>
      <c r="O221" s="13">
        <v>13152.75</v>
      </c>
      <c r="P221" s="13">
        <v>5208.9399999999996</v>
      </c>
      <c r="Q221" s="13">
        <v>73.33</v>
      </c>
      <c r="R221" s="1" t="s">
        <v>70</v>
      </c>
      <c r="S221" s="1">
        <v>1</v>
      </c>
      <c r="T221" s="1" t="b">
        <v>0</v>
      </c>
      <c r="U221" s="1" t="s">
        <v>137</v>
      </c>
      <c r="V221" s="3">
        <v>4</v>
      </c>
    </row>
    <row r="222" spans="1:22" x14ac:dyDescent="0.3">
      <c r="A222" s="2" t="s">
        <v>722</v>
      </c>
      <c r="B222" s="10">
        <v>45212</v>
      </c>
      <c r="C222" s="22">
        <v>45212</v>
      </c>
      <c r="D222" s="1" t="s">
        <v>723</v>
      </c>
      <c r="E222" s="1" t="s">
        <v>635</v>
      </c>
      <c r="F222" s="1">
        <v>37</v>
      </c>
      <c r="G222" s="1" t="s">
        <v>463</v>
      </c>
      <c r="H222" s="1" t="s">
        <v>111</v>
      </c>
      <c r="I222" s="1" t="s">
        <v>330</v>
      </c>
      <c r="J222" s="1" t="s">
        <v>37</v>
      </c>
      <c r="K222" s="1" t="s">
        <v>671</v>
      </c>
      <c r="L222" s="1">
        <v>4</v>
      </c>
      <c r="M222" s="13">
        <v>817.47</v>
      </c>
      <c r="N222" s="15">
        <v>0.24</v>
      </c>
      <c r="O222" s="13">
        <v>2848.99</v>
      </c>
      <c r="P222" s="13">
        <v>1431.62</v>
      </c>
      <c r="Q222" s="13">
        <v>61.6</v>
      </c>
      <c r="R222" s="1" t="s">
        <v>29</v>
      </c>
      <c r="S222" s="1">
        <v>5</v>
      </c>
      <c r="T222" s="1" t="b">
        <v>0</v>
      </c>
      <c r="U222" s="1" t="s">
        <v>84</v>
      </c>
      <c r="V222" s="3">
        <v>2</v>
      </c>
    </row>
    <row r="223" spans="1:22" x14ac:dyDescent="0.3">
      <c r="A223" s="2" t="s">
        <v>724</v>
      </c>
      <c r="B223" s="10">
        <v>43912</v>
      </c>
      <c r="C223" s="22">
        <v>43912</v>
      </c>
      <c r="D223" s="1" t="s">
        <v>725</v>
      </c>
      <c r="E223" s="1" t="s">
        <v>726</v>
      </c>
      <c r="F223" s="1">
        <v>19</v>
      </c>
      <c r="G223" s="1" t="s">
        <v>24</v>
      </c>
      <c r="H223" s="1" t="s">
        <v>25</v>
      </c>
      <c r="I223" s="1" t="s">
        <v>26</v>
      </c>
      <c r="J223" s="1" t="s">
        <v>37</v>
      </c>
      <c r="K223" s="1" t="s">
        <v>38</v>
      </c>
      <c r="L223" s="1">
        <v>9</v>
      </c>
      <c r="M223" s="13">
        <v>646.01</v>
      </c>
      <c r="N223" s="15">
        <v>0.38</v>
      </c>
      <c r="O223" s="13">
        <v>3807.56</v>
      </c>
      <c r="P223" s="13">
        <v>1281.8399999999999</v>
      </c>
      <c r="Q223" s="13">
        <v>51.72</v>
      </c>
      <c r="R223" s="1" t="s">
        <v>70</v>
      </c>
      <c r="S223" s="1">
        <v>2</v>
      </c>
      <c r="T223" s="1" t="b">
        <v>0</v>
      </c>
      <c r="U223" s="1" t="s">
        <v>58</v>
      </c>
      <c r="V223" s="3">
        <v>3</v>
      </c>
    </row>
    <row r="224" spans="1:22" x14ac:dyDescent="0.3">
      <c r="A224" s="2" t="s">
        <v>727</v>
      </c>
      <c r="B224" s="10">
        <v>45034</v>
      </c>
      <c r="C224" s="22">
        <v>45034</v>
      </c>
      <c r="D224" s="1" t="s">
        <v>728</v>
      </c>
      <c r="E224" s="1" t="s">
        <v>729</v>
      </c>
      <c r="F224" s="1">
        <v>32</v>
      </c>
      <c r="G224" s="1" t="s">
        <v>68</v>
      </c>
      <c r="H224" s="1" t="s">
        <v>82</v>
      </c>
      <c r="I224" s="1" t="s">
        <v>244</v>
      </c>
      <c r="J224" s="1" t="s">
        <v>37</v>
      </c>
      <c r="K224" s="1" t="s">
        <v>231</v>
      </c>
      <c r="L224" s="1">
        <v>1</v>
      </c>
      <c r="M224" s="13">
        <v>588.9</v>
      </c>
      <c r="N224" s="15">
        <v>0.03</v>
      </c>
      <c r="O224" s="13">
        <v>804.15</v>
      </c>
      <c r="P224" s="13">
        <v>359.5</v>
      </c>
      <c r="Q224" s="13">
        <v>76.290000000000006</v>
      </c>
      <c r="R224" s="1" t="s">
        <v>57</v>
      </c>
      <c r="S224" s="1">
        <v>5</v>
      </c>
      <c r="T224" s="1" t="b">
        <v>0</v>
      </c>
      <c r="U224" s="1" t="s">
        <v>39</v>
      </c>
      <c r="V224" s="3">
        <v>5</v>
      </c>
    </row>
    <row r="225" spans="1:22" x14ac:dyDescent="0.3">
      <c r="A225" s="2" t="s">
        <v>730</v>
      </c>
      <c r="B225" s="10">
        <v>44383</v>
      </c>
      <c r="C225" s="22">
        <v>44383</v>
      </c>
      <c r="D225" s="1" t="s">
        <v>731</v>
      </c>
      <c r="E225" s="1" t="s">
        <v>732</v>
      </c>
      <c r="F225" s="1">
        <v>40</v>
      </c>
      <c r="G225" s="1" t="s">
        <v>34</v>
      </c>
      <c r="H225" s="1" t="s">
        <v>25</v>
      </c>
      <c r="I225" s="1" t="s">
        <v>69</v>
      </c>
      <c r="J225" s="1" t="s">
        <v>76</v>
      </c>
      <c r="K225" s="1" t="s">
        <v>113</v>
      </c>
      <c r="L225" s="1">
        <v>6</v>
      </c>
      <c r="M225" s="13">
        <v>3032.93</v>
      </c>
      <c r="N225" s="15">
        <v>0.08</v>
      </c>
      <c r="O225" s="13">
        <v>25322.69</v>
      </c>
      <c r="P225" s="13">
        <v>10654.04</v>
      </c>
      <c r="Q225" s="13">
        <v>27.7</v>
      </c>
      <c r="R225" s="1" t="s">
        <v>51</v>
      </c>
      <c r="S225" s="1">
        <v>1</v>
      </c>
      <c r="T225" s="1" t="b">
        <v>0</v>
      </c>
      <c r="U225" s="1" t="s">
        <v>39</v>
      </c>
      <c r="V225" s="3">
        <v>4</v>
      </c>
    </row>
    <row r="226" spans="1:22" x14ac:dyDescent="0.3">
      <c r="A226" s="2" t="s">
        <v>733</v>
      </c>
      <c r="B226" s="10">
        <v>45248</v>
      </c>
      <c r="C226" s="22">
        <v>45248</v>
      </c>
      <c r="D226" s="1" t="s">
        <v>734</v>
      </c>
      <c r="E226" s="1" t="s">
        <v>735</v>
      </c>
      <c r="F226" s="1">
        <v>34</v>
      </c>
      <c r="G226" s="1" t="s">
        <v>68</v>
      </c>
      <c r="H226" s="1" t="s">
        <v>35</v>
      </c>
      <c r="I226" s="1" t="s">
        <v>43</v>
      </c>
      <c r="J226" s="1" t="s">
        <v>146</v>
      </c>
      <c r="K226" s="1" t="s">
        <v>484</v>
      </c>
      <c r="L226" s="1">
        <v>3</v>
      </c>
      <c r="M226" s="13">
        <v>14108.02</v>
      </c>
      <c r="N226" s="15">
        <v>0.12</v>
      </c>
      <c r="O226" s="13">
        <v>36649.85</v>
      </c>
      <c r="P226" s="13">
        <v>6203.2</v>
      </c>
      <c r="Q226" s="13">
        <v>56.58</v>
      </c>
      <c r="R226" s="1" t="s">
        <v>51</v>
      </c>
      <c r="S226" s="1">
        <v>2</v>
      </c>
      <c r="T226" s="1" t="b">
        <v>0</v>
      </c>
      <c r="U226" s="1" t="s">
        <v>39</v>
      </c>
      <c r="V226" s="3">
        <v>10</v>
      </c>
    </row>
    <row r="227" spans="1:22" x14ac:dyDescent="0.3">
      <c r="A227" s="2" t="s">
        <v>736</v>
      </c>
      <c r="B227" s="10">
        <v>45238</v>
      </c>
      <c r="C227" s="22">
        <v>45238</v>
      </c>
      <c r="D227" s="1" t="s">
        <v>737</v>
      </c>
      <c r="E227" s="1" t="s">
        <v>140</v>
      </c>
      <c r="F227" s="1">
        <v>26</v>
      </c>
      <c r="G227" s="1" t="s">
        <v>68</v>
      </c>
      <c r="H227" s="1" t="s">
        <v>111</v>
      </c>
      <c r="I227" s="1" t="s">
        <v>141</v>
      </c>
      <c r="J227" s="1" t="s">
        <v>27</v>
      </c>
      <c r="K227" s="1" t="s">
        <v>56</v>
      </c>
      <c r="L227" s="1">
        <v>9</v>
      </c>
      <c r="M227" s="13">
        <v>165.39</v>
      </c>
      <c r="N227" s="15">
        <v>0.22</v>
      </c>
      <c r="O227" s="13">
        <v>1080.19</v>
      </c>
      <c r="P227" s="13">
        <v>98.81</v>
      </c>
      <c r="Q227" s="13">
        <v>71.09</v>
      </c>
      <c r="R227" s="1" t="s">
        <v>64</v>
      </c>
      <c r="S227" s="1">
        <v>3</v>
      </c>
      <c r="T227" s="1" t="b">
        <v>0</v>
      </c>
      <c r="U227" s="1" t="s">
        <v>39</v>
      </c>
      <c r="V227" s="3">
        <v>6</v>
      </c>
    </row>
    <row r="228" spans="1:22" x14ac:dyDescent="0.3">
      <c r="A228" s="2" t="s">
        <v>738</v>
      </c>
      <c r="B228" s="10">
        <v>44032</v>
      </c>
      <c r="C228" s="22">
        <v>44032</v>
      </c>
      <c r="D228" s="1" t="s">
        <v>739</v>
      </c>
      <c r="E228" s="1" t="s">
        <v>740</v>
      </c>
      <c r="F228" s="1">
        <v>40</v>
      </c>
      <c r="G228" s="1" t="s">
        <v>24</v>
      </c>
      <c r="H228" s="1" t="s">
        <v>25</v>
      </c>
      <c r="I228" s="1" t="s">
        <v>55</v>
      </c>
      <c r="J228" s="1" t="s">
        <v>62</v>
      </c>
      <c r="K228" s="1" t="s">
        <v>107</v>
      </c>
      <c r="L228" s="1">
        <v>4</v>
      </c>
      <c r="M228" s="13">
        <v>313.79000000000002</v>
      </c>
      <c r="N228" s="15">
        <v>0.37</v>
      </c>
      <c r="O228" s="13">
        <v>885.78</v>
      </c>
      <c r="P228" s="13">
        <v>369.77</v>
      </c>
      <c r="Q228" s="13">
        <v>43.26</v>
      </c>
      <c r="R228" s="1" t="s">
        <v>57</v>
      </c>
      <c r="S228" s="1">
        <v>2</v>
      </c>
      <c r="T228" s="1" t="b">
        <v>0</v>
      </c>
      <c r="U228" s="1" t="s">
        <v>39</v>
      </c>
      <c r="V228" s="3">
        <v>3</v>
      </c>
    </row>
    <row r="229" spans="1:22" x14ac:dyDescent="0.3">
      <c r="A229" s="2" t="s">
        <v>741</v>
      </c>
      <c r="B229" s="10">
        <v>44838</v>
      </c>
      <c r="C229" s="22">
        <v>44838</v>
      </c>
      <c r="D229" s="1" t="s">
        <v>742</v>
      </c>
      <c r="E229" s="1" t="s">
        <v>743</v>
      </c>
      <c r="F229" s="1">
        <v>40</v>
      </c>
      <c r="G229" s="1" t="s">
        <v>24</v>
      </c>
      <c r="H229" s="1" t="s">
        <v>111</v>
      </c>
      <c r="I229" s="1" t="s">
        <v>112</v>
      </c>
      <c r="J229" s="1" t="s">
        <v>27</v>
      </c>
      <c r="K229" s="1" t="s">
        <v>97</v>
      </c>
      <c r="L229" s="1">
        <v>4</v>
      </c>
      <c r="M229" s="13">
        <v>314.73</v>
      </c>
      <c r="N229" s="15">
        <v>0.15</v>
      </c>
      <c r="O229" s="13">
        <v>998.21</v>
      </c>
      <c r="P229" s="13">
        <v>61.22</v>
      </c>
      <c r="Q229" s="13">
        <v>79</v>
      </c>
      <c r="R229" s="1" t="s">
        <v>64</v>
      </c>
      <c r="S229" s="1">
        <v>3</v>
      </c>
      <c r="T229" s="1" t="b">
        <v>0</v>
      </c>
      <c r="U229" s="1" t="s">
        <v>39</v>
      </c>
      <c r="V229" s="3">
        <v>8</v>
      </c>
    </row>
    <row r="230" spans="1:22" x14ac:dyDescent="0.3">
      <c r="A230" s="2" t="s">
        <v>744</v>
      </c>
      <c r="B230" s="10">
        <v>44716</v>
      </c>
      <c r="C230" s="22">
        <v>44716</v>
      </c>
      <c r="D230" s="1" t="s">
        <v>745</v>
      </c>
      <c r="E230" s="1" t="s">
        <v>200</v>
      </c>
      <c r="F230" s="1">
        <v>40</v>
      </c>
      <c r="G230" s="1" t="s">
        <v>24</v>
      </c>
      <c r="H230" s="1" t="s">
        <v>82</v>
      </c>
      <c r="I230" s="1" t="s">
        <v>244</v>
      </c>
      <c r="J230" s="1" t="s">
        <v>127</v>
      </c>
      <c r="K230" s="1" t="s">
        <v>517</v>
      </c>
      <c r="L230" s="1">
        <v>7</v>
      </c>
      <c r="M230" s="13">
        <v>21000.78</v>
      </c>
      <c r="N230" s="15">
        <v>0.3</v>
      </c>
      <c r="O230" s="13">
        <v>174189.34</v>
      </c>
      <c r="P230" s="13">
        <v>24923.4</v>
      </c>
      <c r="Q230" s="13">
        <v>115.73</v>
      </c>
      <c r="R230" s="1" t="s">
        <v>78</v>
      </c>
      <c r="S230" s="1">
        <v>5</v>
      </c>
      <c r="T230" s="1" t="b">
        <v>0</v>
      </c>
      <c r="U230" s="1" t="s">
        <v>39</v>
      </c>
      <c r="V230" s="3">
        <v>6</v>
      </c>
    </row>
    <row r="231" spans="1:22" x14ac:dyDescent="0.3">
      <c r="A231" s="2" t="s">
        <v>746</v>
      </c>
      <c r="B231" s="10">
        <v>44869</v>
      </c>
      <c r="C231" s="22">
        <v>44869</v>
      </c>
      <c r="D231" s="1" t="s">
        <v>747</v>
      </c>
      <c r="E231" s="1" t="s">
        <v>748</v>
      </c>
      <c r="F231" s="1">
        <v>33</v>
      </c>
      <c r="G231" s="1" t="s">
        <v>68</v>
      </c>
      <c r="H231" s="1" t="s">
        <v>35</v>
      </c>
      <c r="I231" s="1" t="s">
        <v>49</v>
      </c>
      <c r="J231" s="1" t="s">
        <v>76</v>
      </c>
      <c r="K231" s="1" t="s">
        <v>77</v>
      </c>
      <c r="L231" s="1">
        <v>7</v>
      </c>
      <c r="M231" s="13">
        <v>525.25</v>
      </c>
      <c r="N231" s="15">
        <v>0.03</v>
      </c>
      <c r="O231" s="13">
        <v>3229.98</v>
      </c>
      <c r="P231" s="13">
        <v>1218.3900000000001</v>
      </c>
      <c r="Q231" s="13">
        <v>48.82</v>
      </c>
      <c r="R231" s="1" t="s">
        <v>78</v>
      </c>
      <c r="S231" s="1">
        <v>4</v>
      </c>
      <c r="T231" s="1" t="b">
        <v>0</v>
      </c>
      <c r="U231" s="1" t="s">
        <v>39</v>
      </c>
      <c r="V231" s="3">
        <v>8</v>
      </c>
    </row>
    <row r="232" spans="1:22" x14ac:dyDescent="0.3">
      <c r="A232" s="2" t="s">
        <v>749</v>
      </c>
      <c r="B232" s="10">
        <v>45117</v>
      </c>
      <c r="C232" s="22">
        <v>45117</v>
      </c>
      <c r="D232" s="1" t="s">
        <v>750</v>
      </c>
      <c r="E232" s="1" t="s">
        <v>110</v>
      </c>
      <c r="F232" s="1">
        <v>37</v>
      </c>
      <c r="G232" s="1" t="s">
        <v>34</v>
      </c>
      <c r="H232" s="1" t="s">
        <v>35</v>
      </c>
      <c r="I232" s="1" t="s">
        <v>106</v>
      </c>
      <c r="J232" s="1" t="s">
        <v>37</v>
      </c>
      <c r="K232" s="1" t="s">
        <v>231</v>
      </c>
      <c r="L232" s="1">
        <v>9</v>
      </c>
      <c r="M232" s="13">
        <v>108.24</v>
      </c>
      <c r="N232" s="15">
        <v>0.18</v>
      </c>
      <c r="O232" s="13">
        <v>1201.96</v>
      </c>
      <c r="P232" s="13">
        <v>569.48</v>
      </c>
      <c r="Q232" s="13">
        <v>55.36</v>
      </c>
      <c r="R232" s="1" t="s">
        <v>78</v>
      </c>
      <c r="S232" s="1">
        <v>4</v>
      </c>
      <c r="T232" s="1" t="b">
        <v>0</v>
      </c>
      <c r="U232" s="1" t="s">
        <v>39</v>
      </c>
      <c r="V232" s="3">
        <v>5</v>
      </c>
    </row>
    <row r="233" spans="1:22" x14ac:dyDescent="0.3">
      <c r="A233" s="2" t="s">
        <v>751</v>
      </c>
      <c r="B233" s="10">
        <v>45406</v>
      </c>
      <c r="C233" s="22">
        <v>45406</v>
      </c>
      <c r="D233" s="1" t="s">
        <v>752</v>
      </c>
      <c r="E233" s="1" t="s">
        <v>566</v>
      </c>
      <c r="F233" s="1">
        <v>39</v>
      </c>
      <c r="G233" s="1" t="s">
        <v>24</v>
      </c>
      <c r="H233" s="1" t="s">
        <v>111</v>
      </c>
      <c r="I233" s="1" t="s">
        <v>330</v>
      </c>
      <c r="J233" s="1" t="s">
        <v>127</v>
      </c>
      <c r="K233" s="1" t="s">
        <v>308</v>
      </c>
      <c r="L233" s="1">
        <v>7</v>
      </c>
      <c r="M233" s="13">
        <v>45364.52</v>
      </c>
      <c r="N233" s="15">
        <v>0.08</v>
      </c>
      <c r="O233" s="13">
        <v>465179.21</v>
      </c>
      <c r="P233" s="13">
        <v>56612.46</v>
      </c>
      <c r="Q233" s="13">
        <v>59.16</v>
      </c>
      <c r="R233" s="1" t="s">
        <v>51</v>
      </c>
      <c r="S233" s="1">
        <v>1</v>
      </c>
      <c r="T233" s="1" t="b">
        <v>1</v>
      </c>
      <c r="U233" s="1" t="s">
        <v>30</v>
      </c>
      <c r="V233" s="3">
        <v>8</v>
      </c>
    </row>
    <row r="234" spans="1:22" x14ac:dyDescent="0.3">
      <c r="A234" s="2" t="s">
        <v>753</v>
      </c>
      <c r="B234" s="10">
        <v>43920</v>
      </c>
      <c r="C234" s="22">
        <v>43920</v>
      </c>
      <c r="D234" s="1" t="s">
        <v>754</v>
      </c>
      <c r="E234" s="1" t="s">
        <v>755</v>
      </c>
      <c r="F234" s="1">
        <v>23</v>
      </c>
      <c r="G234" s="1" t="s">
        <v>68</v>
      </c>
      <c r="H234" s="1" t="s">
        <v>35</v>
      </c>
      <c r="I234" s="1" t="s">
        <v>36</v>
      </c>
      <c r="J234" s="1" t="s">
        <v>146</v>
      </c>
      <c r="K234" s="1" t="s">
        <v>276</v>
      </c>
      <c r="L234" s="1">
        <v>5</v>
      </c>
      <c r="M234" s="13">
        <v>9009.65</v>
      </c>
      <c r="N234" s="15">
        <v>0.08</v>
      </c>
      <c r="O234" s="13">
        <v>44971.39</v>
      </c>
      <c r="P234" s="13">
        <v>10004.34</v>
      </c>
      <c r="Q234" s="13">
        <v>58.16</v>
      </c>
      <c r="R234" s="1" t="s">
        <v>51</v>
      </c>
      <c r="S234" s="1">
        <v>3</v>
      </c>
      <c r="T234" s="1" t="b">
        <v>0</v>
      </c>
      <c r="U234" s="1" t="s">
        <v>39</v>
      </c>
      <c r="V234" s="3">
        <v>4</v>
      </c>
    </row>
    <row r="235" spans="1:22" x14ac:dyDescent="0.3">
      <c r="A235" s="2" t="s">
        <v>756</v>
      </c>
      <c r="B235" s="10">
        <v>45590</v>
      </c>
      <c r="C235" s="22">
        <v>45590</v>
      </c>
      <c r="D235" s="1" t="s">
        <v>757</v>
      </c>
      <c r="E235" s="1" t="s">
        <v>329</v>
      </c>
      <c r="F235" s="1">
        <v>28</v>
      </c>
      <c r="G235" s="1" t="s">
        <v>68</v>
      </c>
      <c r="H235" s="1" t="s">
        <v>25</v>
      </c>
      <c r="I235" s="1" t="s">
        <v>26</v>
      </c>
      <c r="J235" s="1" t="s">
        <v>127</v>
      </c>
      <c r="K235" s="1" t="s">
        <v>142</v>
      </c>
      <c r="L235" s="1">
        <v>3</v>
      </c>
      <c r="M235" s="13">
        <v>9261.39</v>
      </c>
      <c r="N235" s="15">
        <v>0.24</v>
      </c>
      <c r="O235" s="13">
        <v>25255.17</v>
      </c>
      <c r="P235" s="13">
        <v>3570.94</v>
      </c>
      <c r="Q235" s="13">
        <v>42.63</v>
      </c>
      <c r="R235" s="1" t="s">
        <v>51</v>
      </c>
      <c r="S235" s="1">
        <v>3</v>
      </c>
      <c r="T235" s="1" t="b">
        <v>0</v>
      </c>
      <c r="U235" s="1" t="s">
        <v>84</v>
      </c>
      <c r="V235" s="3">
        <v>4</v>
      </c>
    </row>
    <row r="236" spans="1:22" x14ac:dyDescent="0.3">
      <c r="A236" s="2" t="s">
        <v>758</v>
      </c>
      <c r="B236" s="10">
        <v>44967</v>
      </c>
      <c r="C236" s="22">
        <v>44967</v>
      </c>
      <c r="D236" s="1" t="s">
        <v>759</v>
      </c>
      <c r="E236" s="1" t="s">
        <v>719</v>
      </c>
      <c r="F236" s="1">
        <v>41</v>
      </c>
      <c r="G236" s="1" t="s">
        <v>68</v>
      </c>
      <c r="H236" s="1" t="s">
        <v>74</v>
      </c>
      <c r="I236" s="1" t="s">
        <v>136</v>
      </c>
      <c r="J236" s="1" t="s">
        <v>76</v>
      </c>
      <c r="K236" s="1" t="s">
        <v>77</v>
      </c>
      <c r="L236" s="1">
        <v>5</v>
      </c>
      <c r="M236" s="13">
        <v>2531.54</v>
      </c>
      <c r="N236" s="15">
        <v>0.21</v>
      </c>
      <c r="O236" s="13">
        <v>13540.41</v>
      </c>
      <c r="P236" s="13">
        <v>5111.1099999999997</v>
      </c>
      <c r="Q236" s="13">
        <v>49.22</v>
      </c>
      <c r="R236" s="1" t="s">
        <v>57</v>
      </c>
      <c r="S236" s="1">
        <v>3</v>
      </c>
      <c r="T236" s="1" t="b">
        <v>0</v>
      </c>
      <c r="U236" s="1" t="s">
        <v>137</v>
      </c>
      <c r="V236" s="3">
        <v>4</v>
      </c>
    </row>
    <row r="237" spans="1:22" x14ac:dyDescent="0.3">
      <c r="A237" s="2" t="s">
        <v>760</v>
      </c>
      <c r="B237" s="10">
        <v>45017</v>
      </c>
      <c r="C237" s="22">
        <v>45017</v>
      </c>
      <c r="D237" s="1" t="s">
        <v>761</v>
      </c>
      <c r="E237" s="1" t="s">
        <v>262</v>
      </c>
      <c r="F237" s="1">
        <v>27</v>
      </c>
      <c r="G237" s="1" t="s">
        <v>34</v>
      </c>
      <c r="H237" s="1" t="s">
        <v>35</v>
      </c>
      <c r="I237" s="1" t="s">
        <v>106</v>
      </c>
      <c r="J237" s="1" t="s">
        <v>44</v>
      </c>
      <c r="K237" s="1" t="s">
        <v>186</v>
      </c>
      <c r="L237" s="1">
        <v>7</v>
      </c>
      <c r="M237" s="13">
        <v>23696.15</v>
      </c>
      <c r="N237" s="15">
        <v>0.33</v>
      </c>
      <c r="O237" s="13">
        <v>157416.69</v>
      </c>
      <c r="P237" s="13">
        <v>50425.99</v>
      </c>
      <c r="Q237" s="13">
        <v>51.3</v>
      </c>
      <c r="R237" s="1" t="s">
        <v>64</v>
      </c>
      <c r="S237" s="1">
        <v>3</v>
      </c>
      <c r="T237" s="1" t="b">
        <v>0</v>
      </c>
      <c r="U237" s="1" t="s">
        <v>58</v>
      </c>
      <c r="V237" s="3">
        <v>1</v>
      </c>
    </row>
    <row r="238" spans="1:22" x14ac:dyDescent="0.3">
      <c r="A238" s="2" t="s">
        <v>762</v>
      </c>
      <c r="B238" s="10">
        <v>44532</v>
      </c>
      <c r="C238" s="22">
        <v>44532</v>
      </c>
      <c r="D238" s="1" t="s">
        <v>763</v>
      </c>
      <c r="E238" s="1" t="s">
        <v>764</v>
      </c>
      <c r="F238" s="1">
        <v>24</v>
      </c>
      <c r="G238" s="1" t="s">
        <v>34</v>
      </c>
      <c r="H238" s="1" t="s">
        <v>111</v>
      </c>
      <c r="I238" s="1" t="s">
        <v>112</v>
      </c>
      <c r="J238" s="1" t="s">
        <v>27</v>
      </c>
      <c r="K238" s="1" t="s">
        <v>400</v>
      </c>
      <c r="L238" s="1">
        <v>1</v>
      </c>
      <c r="M238" s="13">
        <v>359.04</v>
      </c>
      <c r="N238" s="15">
        <v>0.01</v>
      </c>
      <c r="O238" s="13">
        <v>276.45999999999998</v>
      </c>
      <c r="P238" s="13">
        <v>18.11</v>
      </c>
      <c r="Q238" s="13">
        <v>72.66</v>
      </c>
      <c r="R238" s="1" t="s">
        <v>64</v>
      </c>
      <c r="S238" s="1">
        <v>3</v>
      </c>
      <c r="T238" s="1" t="b">
        <v>0</v>
      </c>
      <c r="U238" s="1" t="s">
        <v>197</v>
      </c>
      <c r="V238" s="3">
        <v>10</v>
      </c>
    </row>
    <row r="239" spans="1:22" x14ac:dyDescent="0.3">
      <c r="A239" s="2" t="s">
        <v>765</v>
      </c>
      <c r="B239" s="10">
        <v>45024</v>
      </c>
      <c r="C239" s="22">
        <v>45024</v>
      </c>
      <c r="D239" s="1" t="s">
        <v>766</v>
      </c>
      <c r="E239" s="1" t="s">
        <v>767</v>
      </c>
      <c r="F239" s="1">
        <v>49</v>
      </c>
      <c r="G239" s="1" t="s">
        <v>34</v>
      </c>
      <c r="H239" s="1" t="s">
        <v>35</v>
      </c>
      <c r="I239" s="1" t="s">
        <v>49</v>
      </c>
      <c r="J239" s="1" t="s">
        <v>146</v>
      </c>
      <c r="K239" s="1" t="s">
        <v>147</v>
      </c>
      <c r="L239" s="1">
        <v>4</v>
      </c>
      <c r="M239" s="13">
        <v>2360.4</v>
      </c>
      <c r="N239" s="15">
        <v>0.36</v>
      </c>
      <c r="O239" s="13">
        <v>9045.1299999999992</v>
      </c>
      <c r="P239" s="13">
        <v>1640.8</v>
      </c>
      <c r="Q239" s="13">
        <v>46.73</v>
      </c>
      <c r="R239" s="1" t="s">
        <v>70</v>
      </c>
      <c r="S239" s="1">
        <v>2</v>
      </c>
      <c r="T239" s="1" t="b">
        <v>0</v>
      </c>
      <c r="U239" s="1" t="s">
        <v>39</v>
      </c>
      <c r="V239" s="3">
        <v>2</v>
      </c>
    </row>
    <row r="240" spans="1:22" x14ac:dyDescent="0.3">
      <c r="A240" s="2" t="s">
        <v>768</v>
      </c>
      <c r="B240" s="10">
        <v>44229</v>
      </c>
      <c r="C240" s="22">
        <v>44229</v>
      </c>
      <c r="D240" s="1" t="s">
        <v>769</v>
      </c>
      <c r="E240" s="1" t="s">
        <v>770</v>
      </c>
      <c r="F240" s="1">
        <v>48</v>
      </c>
      <c r="G240" s="1" t="s">
        <v>34</v>
      </c>
      <c r="H240" s="1" t="s">
        <v>82</v>
      </c>
      <c r="I240" s="1" t="s">
        <v>244</v>
      </c>
      <c r="J240" s="1" t="s">
        <v>27</v>
      </c>
      <c r="K240" s="1" t="s">
        <v>450</v>
      </c>
      <c r="L240" s="1">
        <v>7</v>
      </c>
      <c r="M240" s="13">
        <v>474.48</v>
      </c>
      <c r="N240" s="15">
        <v>0.26</v>
      </c>
      <c r="O240" s="13">
        <v>2258.19</v>
      </c>
      <c r="P240" s="13">
        <v>189.8</v>
      </c>
      <c r="Q240" s="13">
        <v>40.18</v>
      </c>
      <c r="R240" s="1" t="s">
        <v>29</v>
      </c>
      <c r="S240" s="1">
        <v>1</v>
      </c>
      <c r="T240" s="1" t="b">
        <v>1</v>
      </c>
      <c r="U240" s="1" t="s">
        <v>30</v>
      </c>
      <c r="V240" s="3">
        <v>2</v>
      </c>
    </row>
    <row r="241" spans="1:22" x14ac:dyDescent="0.3">
      <c r="A241" s="2" t="s">
        <v>771</v>
      </c>
      <c r="B241" s="10">
        <v>44589</v>
      </c>
      <c r="C241" s="22">
        <v>44589</v>
      </c>
      <c r="D241" s="1" t="s">
        <v>772</v>
      </c>
      <c r="E241" s="1" t="s">
        <v>773</v>
      </c>
      <c r="F241" s="1">
        <v>16</v>
      </c>
      <c r="G241" s="1" t="s">
        <v>68</v>
      </c>
      <c r="H241" s="1" t="s">
        <v>111</v>
      </c>
      <c r="I241" s="1" t="s">
        <v>121</v>
      </c>
      <c r="J241" s="1" t="s">
        <v>146</v>
      </c>
      <c r="K241" s="1" t="s">
        <v>217</v>
      </c>
      <c r="L241" s="1">
        <v>3</v>
      </c>
      <c r="M241" s="13">
        <v>14928.96</v>
      </c>
      <c r="N241" s="15">
        <v>0.4</v>
      </c>
      <c r="O241" s="13">
        <v>21823.19</v>
      </c>
      <c r="P241" s="13">
        <v>4574.82</v>
      </c>
      <c r="Q241" s="13">
        <v>60.83</v>
      </c>
      <c r="R241" s="1" t="s">
        <v>78</v>
      </c>
      <c r="S241" s="1">
        <v>1</v>
      </c>
      <c r="T241" s="1" t="b">
        <v>0</v>
      </c>
      <c r="U241" s="1" t="s">
        <v>39</v>
      </c>
      <c r="V241" s="3">
        <v>8</v>
      </c>
    </row>
    <row r="242" spans="1:22" x14ac:dyDescent="0.3">
      <c r="A242" s="2" t="s">
        <v>774</v>
      </c>
      <c r="B242" s="10">
        <v>44172</v>
      </c>
      <c r="C242" s="22">
        <v>44172</v>
      </c>
      <c r="D242" s="1" t="s">
        <v>775</v>
      </c>
      <c r="E242" s="1" t="s">
        <v>776</v>
      </c>
      <c r="F242" s="1">
        <v>32</v>
      </c>
      <c r="G242" s="1" t="s">
        <v>34</v>
      </c>
      <c r="H242" s="1" t="s">
        <v>74</v>
      </c>
      <c r="I242" s="1" t="s">
        <v>75</v>
      </c>
      <c r="J242" s="1" t="s">
        <v>62</v>
      </c>
      <c r="K242" s="1" t="s">
        <v>107</v>
      </c>
      <c r="L242" s="1">
        <v>999</v>
      </c>
      <c r="M242" s="13">
        <v>403.63</v>
      </c>
      <c r="N242" s="15">
        <v>0.15</v>
      </c>
      <c r="O242" s="13">
        <v>203951.5</v>
      </c>
      <c r="P242" s="13">
        <v>80603.27</v>
      </c>
      <c r="Q242" s="13">
        <v>48.7</v>
      </c>
      <c r="R242" s="1" t="s">
        <v>51</v>
      </c>
      <c r="S242" s="1">
        <v>5</v>
      </c>
      <c r="T242" s="1" t="b">
        <v>0</v>
      </c>
      <c r="U242" s="1" t="s">
        <v>39</v>
      </c>
      <c r="V242" s="3">
        <v>1</v>
      </c>
    </row>
    <row r="243" spans="1:22" x14ac:dyDescent="0.3">
      <c r="A243" s="2" t="s">
        <v>777</v>
      </c>
      <c r="B243" s="10">
        <v>44624</v>
      </c>
      <c r="C243" s="22">
        <v>44624</v>
      </c>
      <c r="D243" s="1" t="s">
        <v>778</v>
      </c>
      <c r="E243" s="1" t="s">
        <v>140</v>
      </c>
      <c r="F243" s="1">
        <v>51</v>
      </c>
      <c r="G243" s="1" t="s">
        <v>34</v>
      </c>
      <c r="H243" s="1" t="s">
        <v>25</v>
      </c>
      <c r="I243" s="1" t="s">
        <v>170</v>
      </c>
      <c r="J243" s="1" t="s">
        <v>37</v>
      </c>
      <c r="K243" s="1" t="s">
        <v>231</v>
      </c>
      <c r="L243" s="1">
        <v>6</v>
      </c>
      <c r="M243" s="13">
        <v>153.84</v>
      </c>
      <c r="N243" s="15">
        <v>0.09</v>
      </c>
      <c r="O243" s="13">
        <v>1006.96</v>
      </c>
      <c r="P243" s="13">
        <v>616.53</v>
      </c>
      <c r="Q243" s="13">
        <v>54.61</v>
      </c>
      <c r="R243" s="1" t="s">
        <v>29</v>
      </c>
      <c r="S243" s="1">
        <v>3</v>
      </c>
      <c r="T243" s="1" t="b">
        <v>0</v>
      </c>
      <c r="U243" s="1" t="s">
        <v>39</v>
      </c>
      <c r="V243" s="3">
        <v>9</v>
      </c>
    </row>
    <row r="244" spans="1:22" x14ac:dyDescent="0.3">
      <c r="A244" s="2" t="s">
        <v>779</v>
      </c>
      <c r="B244" s="10">
        <v>43946</v>
      </c>
      <c r="C244" s="22">
        <v>43946</v>
      </c>
      <c r="D244" s="1" t="s">
        <v>780</v>
      </c>
      <c r="E244" s="1" t="s">
        <v>781</v>
      </c>
      <c r="F244" s="1">
        <v>24</v>
      </c>
      <c r="G244" s="1" t="s">
        <v>34</v>
      </c>
      <c r="H244" s="1" t="s">
        <v>35</v>
      </c>
      <c r="I244" s="1" t="s">
        <v>43</v>
      </c>
      <c r="J244" s="1" t="s">
        <v>44</v>
      </c>
      <c r="K244" s="1" t="s">
        <v>93</v>
      </c>
      <c r="L244" s="1">
        <v>2</v>
      </c>
      <c r="M244" s="13">
        <v>3582.55</v>
      </c>
      <c r="N244" s="15">
        <v>0.08</v>
      </c>
      <c r="O244" s="13">
        <v>8506.99</v>
      </c>
      <c r="P244" s="13">
        <v>2610.08</v>
      </c>
      <c r="Q244" s="13">
        <v>54.88</v>
      </c>
      <c r="R244" s="1" t="s">
        <v>29</v>
      </c>
      <c r="S244" s="1">
        <v>3</v>
      </c>
      <c r="T244" s="1" t="b">
        <v>0</v>
      </c>
      <c r="U244" s="1" t="s">
        <v>39</v>
      </c>
      <c r="V244" s="3">
        <v>7</v>
      </c>
    </row>
    <row r="245" spans="1:22" x14ac:dyDescent="0.3">
      <c r="A245" s="2" t="s">
        <v>782</v>
      </c>
      <c r="B245" s="10">
        <v>45603</v>
      </c>
      <c r="C245" s="22">
        <v>45603</v>
      </c>
      <c r="D245" s="1" t="s">
        <v>783</v>
      </c>
      <c r="E245" s="1" t="s">
        <v>770</v>
      </c>
      <c r="F245" s="1">
        <v>57</v>
      </c>
      <c r="G245" s="1" t="s">
        <v>24</v>
      </c>
      <c r="H245" s="1" t="s">
        <v>35</v>
      </c>
      <c r="I245" s="1" t="s">
        <v>49</v>
      </c>
      <c r="J245" s="1" t="s">
        <v>127</v>
      </c>
      <c r="K245" s="1" t="s">
        <v>128</v>
      </c>
      <c r="L245" s="1">
        <v>9</v>
      </c>
      <c r="M245" s="13">
        <v>70570.87</v>
      </c>
      <c r="N245" s="15">
        <v>0.27</v>
      </c>
      <c r="O245" s="13">
        <v>436166.56</v>
      </c>
      <c r="P245" s="13">
        <v>54481.93</v>
      </c>
      <c r="Q245" s="13">
        <v>66.680000000000007</v>
      </c>
      <c r="R245" s="1" t="s">
        <v>29</v>
      </c>
      <c r="S245" s="1">
        <v>2</v>
      </c>
      <c r="T245" s="1" t="b">
        <v>0</v>
      </c>
      <c r="U245" s="1" t="s">
        <v>39</v>
      </c>
      <c r="V245" s="3">
        <v>3</v>
      </c>
    </row>
    <row r="246" spans="1:22" x14ac:dyDescent="0.3">
      <c r="A246" s="2" t="s">
        <v>784</v>
      </c>
      <c r="B246" s="10">
        <v>45310</v>
      </c>
      <c r="C246" s="22">
        <v>45310</v>
      </c>
      <c r="D246" s="1" t="s">
        <v>785</v>
      </c>
      <c r="E246" s="1" t="s">
        <v>786</v>
      </c>
      <c r="F246" s="1">
        <v>42</v>
      </c>
      <c r="G246" s="1" t="s">
        <v>34</v>
      </c>
      <c r="H246" s="1" t="s">
        <v>35</v>
      </c>
      <c r="I246" s="1" t="s">
        <v>43</v>
      </c>
      <c r="J246" s="1" t="s">
        <v>127</v>
      </c>
      <c r="K246" s="1" t="s">
        <v>171</v>
      </c>
      <c r="L246" s="1">
        <v>2</v>
      </c>
      <c r="M246" s="13">
        <v>46140.78</v>
      </c>
      <c r="N246" s="15">
        <v>0.21</v>
      </c>
      <c r="O246" s="13">
        <v>86042.12</v>
      </c>
      <c r="P246" s="13">
        <v>11876.13</v>
      </c>
      <c r="Q246" s="13">
        <v>85.6</v>
      </c>
      <c r="R246" s="1" t="s">
        <v>29</v>
      </c>
      <c r="S246" s="1">
        <v>1</v>
      </c>
      <c r="T246" s="1" t="b">
        <v>0</v>
      </c>
      <c r="U246" s="1" t="s">
        <v>39</v>
      </c>
      <c r="V246" s="3">
        <v>6</v>
      </c>
    </row>
    <row r="247" spans="1:22" x14ac:dyDescent="0.3">
      <c r="A247" s="2" t="s">
        <v>787</v>
      </c>
      <c r="B247" s="10">
        <v>44585</v>
      </c>
      <c r="C247" s="22">
        <v>44585</v>
      </c>
      <c r="D247" s="1" t="s">
        <v>788</v>
      </c>
      <c r="E247" s="1" t="s">
        <v>789</v>
      </c>
      <c r="F247" s="1">
        <v>66</v>
      </c>
      <c r="G247" s="1" t="s">
        <v>24</v>
      </c>
      <c r="H247" s="1" t="s">
        <v>74</v>
      </c>
      <c r="I247" s="1" t="s">
        <v>136</v>
      </c>
      <c r="J247" s="1" t="s">
        <v>37</v>
      </c>
      <c r="K247" s="1" t="s">
        <v>102</v>
      </c>
      <c r="L247" s="1">
        <v>9</v>
      </c>
      <c r="M247" s="13">
        <v>265.25</v>
      </c>
      <c r="N247" s="15">
        <v>0.18</v>
      </c>
      <c r="O247" s="13">
        <v>1737.45</v>
      </c>
      <c r="P247" s="13">
        <v>685.06</v>
      </c>
      <c r="Q247" s="13">
        <v>28.69</v>
      </c>
      <c r="R247" s="1" t="s">
        <v>70</v>
      </c>
      <c r="S247" s="1">
        <v>2</v>
      </c>
      <c r="T247" s="1" t="b">
        <v>0</v>
      </c>
      <c r="U247" s="1" t="s">
        <v>39</v>
      </c>
      <c r="V247" s="3">
        <v>5</v>
      </c>
    </row>
    <row r="248" spans="1:22" x14ac:dyDescent="0.3">
      <c r="A248" s="2" t="s">
        <v>790</v>
      </c>
      <c r="B248" s="10">
        <v>44913</v>
      </c>
      <c r="C248" s="22">
        <v>44913</v>
      </c>
      <c r="D248" s="1" t="s">
        <v>791</v>
      </c>
      <c r="E248" s="1" t="s">
        <v>203</v>
      </c>
      <c r="F248" s="1">
        <v>22</v>
      </c>
      <c r="G248" s="1" t="s">
        <v>68</v>
      </c>
      <c r="H248" s="1" t="s">
        <v>111</v>
      </c>
      <c r="I248" s="1" t="s">
        <v>121</v>
      </c>
      <c r="J248" s="1" t="s">
        <v>27</v>
      </c>
      <c r="K248" s="1" t="s">
        <v>28</v>
      </c>
      <c r="L248" s="1">
        <v>7</v>
      </c>
      <c r="M248" s="13">
        <v>56.3</v>
      </c>
      <c r="N248" s="15">
        <v>0.16</v>
      </c>
      <c r="O248" s="13">
        <v>219.23</v>
      </c>
      <c r="P248" s="13">
        <v>17.73</v>
      </c>
      <c r="Q248" s="13">
        <v>83.47</v>
      </c>
      <c r="R248" s="1" t="s">
        <v>57</v>
      </c>
      <c r="S248" s="1">
        <v>4</v>
      </c>
      <c r="T248" s="1" t="b">
        <v>1</v>
      </c>
      <c r="U248" s="1" t="s">
        <v>30</v>
      </c>
      <c r="V248" s="3">
        <v>6</v>
      </c>
    </row>
    <row r="249" spans="1:22" x14ac:dyDescent="0.3">
      <c r="A249" s="2" t="s">
        <v>792</v>
      </c>
      <c r="B249" s="10">
        <v>44919</v>
      </c>
      <c r="C249" s="22">
        <v>44919</v>
      </c>
      <c r="D249" s="1" t="s">
        <v>793</v>
      </c>
      <c r="E249" s="1" t="s">
        <v>794</v>
      </c>
      <c r="F249" s="1">
        <v>27</v>
      </c>
      <c r="G249" s="1" t="s">
        <v>34</v>
      </c>
      <c r="H249" s="1" t="s">
        <v>82</v>
      </c>
      <c r="I249" s="1" t="s">
        <v>293</v>
      </c>
      <c r="J249" s="1" t="s">
        <v>44</v>
      </c>
      <c r="K249" s="1" t="s">
        <v>93</v>
      </c>
      <c r="L249" s="1">
        <v>1</v>
      </c>
      <c r="M249" s="13">
        <v>21949.11</v>
      </c>
      <c r="N249" s="15">
        <v>0.11</v>
      </c>
      <c r="O249" s="13">
        <v>16420.47</v>
      </c>
      <c r="P249" s="13">
        <v>5291.08</v>
      </c>
      <c r="Q249" s="13">
        <v>87.46</v>
      </c>
      <c r="R249" s="1" t="s">
        <v>51</v>
      </c>
      <c r="S249" s="1">
        <v>1</v>
      </c>
      <c r="T249" s="1" t="b">
        <v>0</v>
      </c>
      <c r="U249" s="1" t="s">
        <v>39</v>
      </c>
      <c r="V249" s="3">
        <v>2</v>
      </c>
    </row>
    <row r="250" spans="1:22" x14ac:dyDescent="0.3">
      <c r="A250" s="2" t="s">
        <v>795</v>
      </c>
      <c r="B250" s="10">
        <v>45015</v>
      </c>
      <c r="C250" s="22">
        <v>45015</v>
      </c>
      <c r="D250" s="1" t="s">
        <v>796</v>
      </c>
      <c r="E250" s="1" t="s">
        <v>250</v>
      </c>
      <c r="F250" s="1">
        <v>31</v>
      </c>
      <c r="G250" s="1" t="s">
        <v>34</v>
      </c>
      <c r="H250" s="1" t="s">
        <v>111</v>
      </c>
      <c r="I250" s="1" t="s">
        <v>141</v>
      </c>
      <c r="J250" s="1" t="s">
        <v>62</v>
      </c>
      <c r="K250" s="1" t="s">
        <v>266</v>
      </c>
      <c r="L250" s="1">
        <v>10</v>
      </c>
      <c r="M250" s="13">
        <v>432.2</v>
      </c>
      <c r="N250" s="15">
        <v>0.22</v>
      </c>
      <c r="O250" s="13">
        <v>4097.63</v>
      </c>
      <c r="P250" s="13">
        <v>1857.23</v>
      </c>
      <c r="Q250" s="13">
        <v>69.099999999999994</v>
      </c>
      <c r="R250" s="1" t="s">
        <v>57</v>
      </c>
      <c r="S250" s="1">
        <v>3</v>
      </c>
      <c r="T250" s="1" t="b">
        <v>0</v>
      </c>
      <c r="U250" s="1" t="s">
        <v>39</v>
      </c>
      <c r="V250" s="3">
        <v>5</v>
      </c>
    </row>
    <row r="251" spans="1:22" x14ac:dyDescent="0.3">
      <c r="A251" s="2" t="s">
        <v>797</v>
      </c>
      <c r="B251" s="10">
        <v>44657</v>
      </c>
      <c r="C251" s="22">
        <v>44657</v>
      </c>
      <c r="D251" s="1" t="s">
        <v>798</v>
      </c>
      <c r="E251" s="1" t="s">
        <v>705</v>
      </c>
      <c r="F251" s="1">
        <v>30</v>
      </c>
      <c r="G251" s="1" t="s">
        <v>463</v>
      </c>
      <c r="H251" s="1" t="s">
        <v>74</v>
      </c>
      <c r="I251" s="1" t="s">
        <v>75</v>
      </c>
      <c r="J251" s="1" t="s">
        <v>146</v>
      </c>
      <c r="K251" s="1" t="s">
        <v>178</v>
      </c>
      <c r="L251" s="1">
        <v>10</v>
      </c>
      <c r="M251" s="13">
        <v>8393.4</v>
      </c>
      <c r="N251" s="15">
        <v>0.27</v>
      </c>
      <c r="O251" s="13">
        <v>79799.460000000006</v>
      </c>
      <c r="P251" s="13">
        <v>13093.99</v>
      </c>
      <c r="Q251" s="13">
        <v>54.18</v>
      </c>
      <c r="R251" s="1" t="s">
        <v>57</v>
      </c>
      <c r="S251" s="1">
        <v>2</v>
      </c>
      <c r="T251" s="1" t="b">
        <v>0</v>
      </c>
      <c r="U251" s="1" t="s">
        <v>39</v>
      </c>
      <c r="V251" s="3">
        <v>8</v>
      </c>
    </row>
    <row r="252" spans="1:22" x14ac:dyDescent="0.3">
      <c r="A252" s="2" t="s">
        <v>799</v>
      </c>
      <c r="B252" s="10">
        <v>44387</v>
      </c>
      <c r="C252" s="22">
        <v>44387</v>
      </c>
      <c r="D252" s="1" t="s">
        <v>800</v>
      </c>
      <c r="E252" s="1" t="s">
        <v>801</v>
      </c>
      <c r="F252" s="1">
        <v>33</v>
      </c>
      <c r="G252" s="1" t="s">
        <v>68</v>
      </c>
      <c r="H252" s="1" t="s">
        <v>111</v>
      </c>
      <c r="I252" s="1" t="s">
        <v>330</v>
      </c>
      <c r="J252" s="1" t="s">
        <v>76</v>
      </c>
      <c r="K252" s="1" t="s">
        <v>132</v>
      </c>
      <c r="L252" s="1">
        <v>6</v>
      </c>
      <c r="M252" s="13">
        <v>2619.38</v>
      </c>
      <c r="N252" s="15">
        <v>0.24</v>
      </c>
      <c r="O252" s="13">
        <v>15863.82</v>
      </c>
      <c r="P252" s="13">
        <v>5048.54</v>
      </c>
      <c r="Q252" s="13">
        <v>23.2</v>
      </c>
      <c r="R252" s="1" t="s">
        <v>51</v>
      </c>
      <c r="S252" s="1">
        <v>2</v>
      </c>
      <c r="T252" s="1" t="b">
        <v>0</v>
      </c>
      <c r="U252" s="1" t="s">
        <v>39</v>
      </c>
      <c r="V252" s="3">
        <v>4</v>
      </c>
    </row>
    <row r="253" spans="1:22" x14ac:dyDescent="0.3">
      <c r="A253" s="2" t="s">
        <v>802</v>
      </c>
      <c r="B253" s="10">
        <v>44172</v>
      </c>
      <c r="C253" s="22">
        <v>44172</v>
      </c>
      <c r="D253" s="1" t="s">
        <v>803</v>
      </c>
      <c r="E253" s="1" t="s">
        <v>804</v>
      </c>
      <c r="F253" s="1">
        <v>26</v>
      </c>
      <c r="G253" s="1" t="s">
        <v>34</v>
      </c>
      <c r="H253" s="1" t="s">
        <v>35</v>
      </c>
      <c r="I253" s="1" t="s">
        <v>43</v>
      </c>
      <c r="J253" s="1" t="s">
        <v>146</v>
      </c>
      <c r="K253" s="1" t="s">
        <v>217</v>
      </c>
      <c r="L253" s="1">
        <v>8</v>
      </c>
      <c r="M253" s="13">
        <v>4670.6000000000004</v>
      </c>
      <c r="N253" s="15">
        <v>0.27</v>
      </c>
      <c r="O253" s="13">
        <v>19375.099999999999</v>
      </c>
      <c r="P253" s="13">
        <v>2879.15</v>
      </c>
      <c r="Q253" s="13">
        <v>51.67</v>
      </c>
      <c r="R253" s="1" t="s">
        <v>70</v>
      </c>
      <c r="S253" s="1">
        <v>4</v>
      </c>
      <c r="T253" s="1" t="b">
        <v>0</v>
      </c>
      <c r="U253" s="1" t="s">
        <v>39</v>
      </c>
      <c r="V253" s="3">
        <v>4</v>
      </c>
    </row>
    <row r="254" spans="1:22" x14ac:dyDescent="0.3">
      <c r="A254" s="2" t="s">
        <v>805</v>
      </c>
      <c r="B254" s="10">
        <v>43844</v>
      </c>
      <c r="C254" s="22">
        <v>43844</v>
      </c>
      <c r="D254" s="1" t="s">
        <v>806</v>
      </c>
      <c r="E254" s="1" t="s">
        <v>473</v>
      </c>
      <c r="F254" s="1">
        <v>20</v>
      </c>
      <c r="G254" s="1" t="s">
        <v>34</v>
      </c>
      <c r="H254" s="1" t="s">
        <v>82</v>
      </c>
      <c r="I254" s="1" t="s">
        <v>293</v>
      </c>
      <c r="J254" s="1" t="s">
        <v>62</v>
      </c>
      <c r="K254" s="1" t="s">
        <v>266</v>
      </c>
      <c r="L254" s="1">
        <v>1</v>
      </c>
      <c r="M254" s="13">
        <v>1172.06</v>
      </c>
      <c r="N254" s="15">
        <v>0.18</v>
      </c>
      <c r="O254" s="13">
        <v>613.66</v>
      </c>
      <c r="P254" s="13">
        <v>243.99</v>
      </c>
      <c r="Q254" s="13">
        <v>62.05</v>
      </c>
      <c r="R254" s="1" t="s">
        <v>64</v>
      </c>
      <c r="S254" s="1">
        <v>4</v>
      </c>
      <c r="T254" s="1" t="b">
        <v>0</v>
      </c>
      <c r="U254" s="1" t="s">
        <v>39</v>
      </c>
      <c r="V254" s="3">
        <v>1</v>
      </c>
    </row>
    <row r="255" spans="1:22" x14ac:dyDescent="0.3">
      <c r="A255" s="2" t="s">
        <v>807</v>
      </c>
      <c r="B255" s="10">
        <v>44284</v>
      </c>
      <c r="C255" s="22">
        <v>44284</v>
      </c>
      <c r="D255" s="1" t="s">
        <v>808</v>
      </c>
      <c r="E255" s="1" t="s">
        <v>809</v>
      </c>
      <c r="F255" s="1">
        <v>31</v>
      </c>
      <c r="G255" s="1" t="s">
        <v>34</v>
      </c>
      <c r="H255" s="1" t="s">
        <v>111</v>
      </c>
      <c r="I255" s="1" t="s">
        <v>141</v>
      </c>
      <c r="J255" s="1" t="s">
        <v>127</v>
      </c>
      <c r="K255" s="1" t="s">
        <v>308</v>
      </c>
      <c r="L255" s="1">
        <v>4</v>
      </c>
      <c r="M255" s="13">
        <v>70635.62</v>
      </c>
      <c r="N255" s="15">
        <v>0.32</v>
      </c>
      <c r="O255" s="13">
        <v>207766.8</v>
      </c>
      <c r="P255" s="13">
        <v>19874.73</v>
      </c>
      <c r="Q255" s="13">
        <v>73.83</v>
      </c>
      <c r="R255" s="1" t="s">
        <v>78</v>
      </c>
      <c r="S255" s="1">
        <v>2</v>
      </c>
      <c r="T255" s="1" t="b">
        <v>0</v>
      </c>
      <c r="U255" s="1" t="s">
        <v>58</v>
      </c>
      <c r="V255" s="3">
        <v>1</v>
      </c>
    </row>
    <row r="256" spans="1:22" x14ac:dyDescent="0.3">
      <c r="A256" s="2" t="s">
        <v>810</v>
      </c>
      <c r="B256" s="10">
        <v>44022</v>
      </c>
      <c r="C256" s="22">
        <v>44022</v>
      </c>
      <c r="D256" s="1" t="s">
        <v>811</v>
      </c>
      <c r="E256" s="1" t="s">
        <v>660</v>
      </c>
      <c r="F256" s="1">
        <v>43</v>
      </c>
      <c r="G256" s="1" t="s">
        <v>68</v>
      </c>
      <c r="H256" s="1" t="s">
        <v>35</v>
      </c>
      <c r="I256" s="1" t="s">
        <v>106</v>
      </c>
      <c r="J256" s="1" t="s">
        <v>62</v>
      </c>
      <c r="K256" s="1" t="s">
        <v>570</v>
      </c>
      <c r="L256" s="1">
        <v>2</v>
      </c>
      <c r="M256" s="13">
        <v>449.62</v>
      </c>
      <c r="N256" s="15">
        <v>0.4</v>
      </c>
      <c r="O256" s="13">
        <v>661.09</v>
      </c>
      <c r="P256" s="13">
        <v>247.72</v>
      </c>
      <c r="Q256" s="13">
        <v>68.849999999999994</v>
      </c>
      <c r="R256" s="1" t="s">
        <v>29</v>
      </c>
      <c r="S256" s="1">
        <v>1</v>
      </c>
      <c r="T256" s="1" t="b">
        <v>0</v>
      </c>
      <c r="U256" s="1" t="s">
        <v>39</v>
      </c>
      <c r="V256" s="3">
        <v>6</v>
      </c>
    </row>
    <row r="257" spans="1:22" x14ac:dyDescent="0.3">
      <c r="A257" s="2" t="s">
        <v>812</v>
      </c>
      <c r="B257" s="10">
        <v>44249</v>
      </c>
      <c r="C257" s="22">
        <v>44249</v>
      </c>
      <c r="D257" s="1" t="s">
        <v>813</v>
      </c>
      <c r="E257" s="1" t="s">
        <v>814</v>
      </c>
      <c r="F257" s="1">
        <v>38</v>
      </c>
      <c r="G257" s="1" t="s">
        <v>24</v>
      </c>
      <c r="H257" s="1" t="s">
        <v>25</v>
      </c>
      <c r="I257" s="1" t="s">
        <v>55</v>
      </c>
      <c r="J257" s="1" t="s">
        <v>37</v>
      </c>
      <c r="K257" s="1" t="s">
        <v>671</v>
      </c>
      <c r="L257" s="1">
        <v>7</v>
      </c>
      <c r="M257" s="13">
        <v>322.75</v>
      </c>
      <c r="N257" s="15">
        <v>0.15</v>
      </c>
      <c r="O257" s="13">
        <v>1684.8</v>
      </c>
      <c r="P257" s="13">
        <v>760.63</v>
      </c>
      <c r="Q257" s="13">
        <v>28.86</v>
      </c>
      <c r="R257" s="1" t="s">
        <v>64</v>
      </c>
      <c r="S257" s="1">
        <v>1</v>
      </c>
      <c r="T257" s="1" t="b">
        <v>1</v>
      </c>
      <c r="U257" s="1" t="s">
        <v>30</v>
      </c>
      <c r="V257" s="3">
        <v>5</v>
      </c>
    </row>
    <row r="258" spans="1:22" x14ac:dyDescent="0.3">
      <c r="A258" s="2" t="s">
        <v>815</v>
      </c>
      <c r="B258" s="10">
        <v>45499</v>
      </c>
      <c r="C258" s="22">
        <v>45499</v>
      </c>
      <c r="D258" s="1" t="s">
        <v>816</v>
      </c>
      <c r="E258" s="1" t="s">
        <v>817</v>
      </c>
      <c r="F258" s="1">
        <v>39</v>
      </c>
      <c r="G258" s="1" t="s">
        <v>391</v>
      </c>
      <c r="H258" s="1" t="s">
        <v>74</v>
      </c>
      <c r="I258" s="1" t="s">
        <v>75</v>
      </c>
      <c r="J258" s="1" t="s">
        <v>27</v>
      </c>
      <c r="K258" s="1" t="s">
        <v>56</v>
      </c>
      <c r="L258" s="1">
        <v>2</v>
      </c>
      <c r="M258" s="13">
        <v>92.87</v>
      </c>
      <c r="N258" s="15">
        <v>0.33</v>
      </c>
      <c r="O258" s="13">
        <v>179.13</v>
      </c>
      <c r="P258" s="13">
        <v>19.37</v>
      </c>
      <c r="Q258" s="13">
        <v>36.78</v>
      </c>
      <c r="R258" s="1" t="s">
        <v>51</v>
      </c>
      <c r="S258" s="1">
        <v>3</v>
      </c>
      <c r="T258" s="1" t="b">
        <v>0</v>
      </c>
      <c r="U258" s="1" t="s">
        <v>84</v>
      </c>
      <c r="V258" s="3">
        <v>3</v>
      </c>
    </row>
    <row r="259" spans="1:22" x14ac:dyDescent="0.3">
      <c r="A259" s="2" t="s">
        <v>818</v>
      </c>
      <c r="B259" s="10">
        <v>45581</v>
      </c>
      <c r="C259" s="22">
        <v>45581</v>
      </c>
      <c r="D259" s="1" t="s">
        <v>819</v>
      </c>
      <c r="E259" s="1" t="s">
        <v>516</v>
      </c>
      <c r="F259" s="1">
        <v>20</v>
      </c>
      <c r="G259" s="1" t="s">
        <v>34</v>
      </c>
      <c r="H259" s="1" t="s">
        <v>111</v>
      </c>
      <c r="I259" s="1" t="s">
        <v>112</v>
      </c>
      <c r="J259" s="1" t="s">
        <v>127</v>
      </c>
      <c r="K259" s="1" t="s">
        <v>308</v>
      </c>
      <c r="L259" s="1">
        <v>1</v>
      </c>
      <c r="M259" s="13">
        <v>78299.490000000005</v>
      </c>
      <c r="N259" s="15">
        <v>0.18</v>
      </c>
      <c r="O259" s="13">
        <v>76494.58</v>
      </c>
      <c r="P259" s="13">
        <v>10883.34</v>
      </c>
      <c r="Q259" s="13">
        <v>80.12</v>
      </c>
      <c r="R259" s="1" t="s">
        <v>70</v>
      </c>
      <c r="S259" s="1">
        <v>3</v>
      </c>
      <c r="T259" s="1" t="b">
        <v>0</v>
      </c>
      <c r="U259" s="1" t="s">
        <v>39</v>
      </c>
      <c r="V259" s="3">
        <v>9</v>
      </c>
    </row>
    <row r="260" spans="1:22" x14ac:dyDescent="0.3">
      <c r="A260" s="2" t="s">
        <v>820</v>
      </c>
      <c r="B260" s="10">
        <v>45605</v>
      </c>
      <c r="C260" s="22">
        <v>45605</v>
      </c>
      <c r="D260" s="1" t="s">
        <v>821</v>
      </c>
      <c r="E260" s="1" t="s">
        <v>453</v>
      </c>
      <c r="F260" s="1">
        <v>33</v>
      </c>
      <c r="G260" s="1" t="s">
        <v>34</v>
      </c>
      <c r="H260" s="1" t="s">
        <v>82</v>
      </c>
      <c r="I260" s="1" t="s">
        <v>83</v>
      </c>
      <c r="J260" s="1" t="s">
        <v>76</v>
      </c>
      <c r="K260" s="1" t="s">
        <v>207</v>
      </c>
      <c r="L260" s="1">
        <v>4</v>
      </c>
      <c r="M260" s="13">
        <v>1153.04</v>
      </c>
      <c r="N260" s="15">
        <v>0.23</v>
      </c>
      <c r="O260" s="13">
        <v>3508.11</v>
      </c>
      <c r="P260" s="13">
        <v>1237.0899999999999</v>
      </c>
      <c r="Q260" s="13">
        <v>67.930000000000007</v>
      </c>
      <c r="R260" s="1" t="s">
        <v>70</v>
      </c>
      <c r="S260" s="1">
        <v>2</v>
      </c>
      <c r="T260" s="1" t="b">
        <v>0</v>
      </c>
      <c r="U260" s="1" t="s">
        <v>39</v>
      </c>
      <c r="V260" s="3">
        <v>1</v>
      </c>
    </row>
    <row r="261" spans="1:22" x14ac:dyDescent="0.3">
      <c r="A261" s="2" t="s">
        <v>822</v>
      </c>
      <c r="B261" s="10">
        <v>44788</v>
      </c>
      <c r="C261" s="22">
        <v>44788</v>
      </c>
      <c r="D261" s="1" t="s">
        <v>823</v>
      </c>
      <c r="E261" s="1" t="s">
        <v>824</v>
      </c>
      <c r="F261" s="1">
        <v>65</v>
      </c>
      <c r="G261" s="1" t="s">
        <v>24</v>
      </c>
      <c r="H261" s="1" t="s">
        <v>82</v>
      </c>
      <c r="I261" s="1" t="s">
        <v>293</v>
      </c>
      <c r="J261" s="1" t="s">
        <v>62</v>
      </c>
      <c r="K261" s="1" t="s">
        <v>266</v>
      </c>
      <c r="L261" s="1">
        <v>6</v>
      </c>
      <c r="M261" s="13">
        <v>966.11</v>
      </c>
      <c r="N261" s="15">
        <v>0.28999999999999998</v>
      </c>
      <c r="O261" s="13">
        <v>5647.04</v>
      </c>
      <c r="P261" s="13">
        <v>1896.58</v>
      </c>
      <c r="Q261" s="13">
        <v>107.74</v>
      </c>
      <c r="R261" s="1" t="s">
        <v>57</v>
      </c>
      <c r="S261" s="1">
        <v>1</v>
      </c>
      <c r="T261" s="1" t="b">
        <v>0</v>
      </c>
      <c r="U261" s="1" t="s">
        <v>84</v>
      </c>
      <c r="V261" s="3">
        <v>3</v>
      </c>
    </row>
    <row r="262" spans="1:22" x14ac:dyDescent="0.3">
      <c r="A262" s="2" t="s">
        <v>825</v>
      </c>
      <c r="B262" s="10">
        <v>45246</v>
      </c>
      <c r="C262" s="22">
        <v>45246</v>
      </c>
      <c r="D262" s="1" t="s">
        <v>826</v>
      </c>
      <c r="E262" s="1" t="s">
        <v>566</v>
      </c>
      <c r="F262" s="1">
        <v>28</v>
      </c>
      <c r="G262" s="1" t="s">
        <v>24</v>
      </c>
      <c r="H262" s="1" t="s">
        <v>35</v>
      </c>
      <c r="I262" s="1" t="s">
        <v>49</v>
      </c>
      <c r="J262" s="1" t="s">
        <v>76</v>
      </c>
      <c r="K262" s="1" t="s">
        <v>77</v>
      </c>
      <c r="L262" s="1">
        <v>8</v>
      </c>
      <c r="M262" s="13">
        <v>1471.86</v>
      </c>
      <c r="N262" s="15">
        <v>0.27</v>
      </c>
      <c r="O262" s="13">
        <v>8376.83</v>
      </c>
      <c r="P262" s="13">
        <v>3013.79</v>
      </c>
      <c r="Q262" s="13">
        <v>87.43</v>
      </c>
      <c r="R262" s="1" t="s">
        <v>70</v>
      </c>
      <c r="S262" s="1">
        <v>3</v>
      </c>
      <c r="T262" s="1" t="b">
        <v>0</v>
      </c>
      <c r="U262" s="1" t="s">
        <v>39</v>
      </c>
      <c r="V262" s="3">
        <v>7</v>
      </c>
    </row>
    <row r="263" spans="1:22" x14ac:dyDescent="0.3">
      <c r="A263" s="2" t="s">
        <v>827</v>
      </c>
      <c r="B263" s="10">
        <v>44389</v>
      </c>
      <c r="C263" s="22">
        <v>44389</v>
      </c>
      <c r="D263" s="1" t="s">
        <v>828</v>
      </c>
      <c r="E263" s="1" t="s">
        <v>33</v>
      </c>
      <c r="F263" s="1">
        <v>20</v>
      </c>
      <c r="G263" s="1" t="s">
        <v>68</v>
      </c>
      <c r="H263" s="1" t="s">
        <v>74</v>
      </c>
      <c r="I263" s="1" t="s">
        <v>75</v>
      </c>
      <c r="J263" s="1" t="s">
        <v>127</v>
      </c>
      <c r="K263" s="1" t="s">
        <v>517</v>
      </c>
      <c r="L263" s="1">
        <v>3</v>
      </c>
      <c r="M263" s="13">
        <v>33090.17</v>
      </c>
      <c r="N263" s="15">
        <v>0.22</v>
      </c>
      <c r="O263" s="13">
        <v>110240.96000000001</v>
      </c>
      <c r="P263" s="13">
        <v>11080.86</v>
      </c>
      <c r="Q263" s="13">
        <v>57.35</v>
      </c>
      <c r="R263" s="1" t="s">
        <v>51</v>
      </c>
      <c r="S263" s="1">
        <v>5</v>
      </c>
      <c r="T263" s="1" t="b">
        <v>1</v>
      </c>
      <c r="U263" s="1" t="s">
        <v>30</v>
      </c>
      <c r="V263" s="3">
        <v>3</v>
      </c>
    </row>
    <row r="264" spans="1:22" x14ac:dyDescent="0.3">
      <c r="A264" s="2" t="s">
        <v>829</v>
      </c>
      <c r="B264" s="10">
        <v>45304</v>
      </c>
      <c r="C264" s="22">
        <v>45304</v>
      </c>
      <c r="D264" s="1" t="s">
        <v>830</v>
      </c>
      <c r="E264" s="1" t="s">
        <v>831</v>
      </c>
      <c r="F264" s="1">
        <v>25</v>
      </c>
      <c r="G264" s="1" t="s">
        <v>24</v>
      </c>
      <c r="H264" s="1" t="s">
        <v>25</v>
      </c>
      <c r="I264" s="1" t="s">
        <v>26</v>
      </c>
      <c r="J264" s="1" t="s">
        <v>62</v>
      </c>
      <c r="K264" s="1" t="s">
        <v>107</v>
      </c>
      <c r="L264" s="1">
        <v>2</v>
      </c>
      <c r="M264" s="13">
        <v>365.34</v>
      </c>
      <c r="N264" s="15">
        <v>0.09</v>
      </c>
      <c r="O264" s="13">
        <v>599.16</v>
      </c>
      <c r="P264" s="13">
        <v>276.45999999999998</v>
      </c>
      <c r="Q264" s="13">
        <v>52.27</v>
      </c>
      <c r="R264" s="1" t="s">
        <v>78</v>
      </c>
      <c r="S264" s="1">
        <v>2</v>
      </c>
      <c r="T264" s="1" t="b">
        <v>0</v>
      </c>
      <c r="U264" s="1" t="s">
        <v>39</v>
      </c>
      <c r="V264" s="3">
        <v>4</v>
      </c>
    </row>
    <row r="265" spans="1:22" x14ac:dyDescent="0.3">
      <c r="A265" s="2" t="s">
        <v>832</v>
      </c>
      <c r="B265" s="10">
        <v>45637</v>
      </c>
      <c r="C265" s="22">
        <v>45637</v>
      </c>
      <c r="D265" s="1" t="s">
        <v>833</v>
      </c>
      <c r="E265" s="1" t="s">
        <v>776</v>
      </c>
      <c r="F265" s="1">
        <v>36</v>
      </c>
      <c r="G265" s="1" t="s">
        <v>34</v>
      </c>
      <c r="H265" s="1" t="s">
        <v>111</v>
      </c>
      <c r="I265" s="1" t="s">
        <v>330</v>
      </c>
      <c r="J265" s="1" t="s">
        <v>62</v>
      </c>
      <c r="K265" s="1" t="s">
        <v>570</v>
      </c>
      <c r="L265" s="1">
        <v>7</v>
      </c>
      <c r="M265" s="13">
        <v>609.79</v>
      </c>
      <c r="N265" s="15">
        <v>0.25</v>
      </c>
      <c r="O265" s="13">
        <v>2905.61</v>
      </c>
      <c r="P265" s="13">
        <v>1079.08</v>
      </c>
      <c r="Q265" s="13">
        <v>68.86</v>
      </c>
      <c r="R265" s="1" t="s">
        <v>78</v>
      </c>
      <c r="S265" s="1">
        <v>3</v>
      </c>
      <c r="T265" s="1" t="b">
        <v>0</v>
      </c>
      <c r="U265" s="1" t="s">
        <v>39</v>
      </c>
      <c r="V265" s="3">
        <v>7</v>
      </c>
    </row>
    <row r="266" spans="1:22" x14ac:dyDescent="0.3">
      <c r="A266" s="2" t="s">
        <v>834</v>
      </c>
      <c r="B266" s="10">
        <v>44367</v>
      </c>
      <c r="C266" s="22">
        <v>44367</v>
      </c>
      <c r="D266" s="1" t="s">
        <v>835</v>
      </c>
      <c r="E266" s="1" t="s">
        <v>660</v>
      </c>
      <c r="F266" s="1">
        <v>34</v>
      </c>
      <c r="G266" s="1" t="s">
        <v>24</v>
      </c>
      <c r="H266" s="1" t="s">
        <v>111</v>
      </c>
      <c r="I266" s="1" t="s">
        <v>112</v>
      </c>
      <c r="J266" s="1" t="s">
        <v>27</v>
      </c>
      <c r="K266" s="1" t="s">
        <v>56</v>
      </c>
      <c r="L266" s="1">
        <v>7</v>
      </c>
      <c r="M266" s="13">
        <v>363.21</v>
      </c>
      <c r="N266" s="15">
        <v>0.38</v>
      </c>
      <c r="O266" s="13">
        <v>2475.37</v>
      </c>
      <c r="P266" s="13">
        <v>175.94</v>
      </c>
      <c r="Q266" s="13">
        <v>73.22</v>
      </c>
      <c r="R266" s="1" t="s">
        <v>78</v>
      </c>
      <c r="S266" s="1">
        <v>4</v>
      </c>
      <c r="T266" s="1" t="b">
        <v>0</v>
      </c>
      <c r="U266" s="1" t="s">
        <v>137</v>
      </c>
      <c r="V266" s="3">
        <v>1</v>
      </c>
    </row>
    <row r="267" spans="1:22" x14ac:dyDescent="0.3">
      <c r="A267" s="2" t="s">
        <v>836</v>
      </c>
      <c r="B267" s="10">
        <v>44370</v>
      </c>
      <c r="C267" s="22">
        <v>44370</v>
      </c>
      <c r="D267" s="1" t="s">
        <v>837</v>
      </c>
      <c r="E267" s="1" t="s">
        <v>743</v>
      </c>
      <c r="F267" s="1">
        <v>40</v>
      </c>
      <c r="G267" s="1" t="s">
        <v>24</v>
      </c>
      <c r="H267" s="1" t="s">
        <v>25</v>
      </c>
      <c r="I267" s="1" t="s">
        <v>55</v>
      </c>
      <c r="J267" s="1" t="s">
        <v>146</v>
      </c>
      <c r="K267" s="1" t="s">
        <v>217</v>
      </c>
      <c r="L267" s="1">
        <v>1</v>
      </c>
      <c r="M267" s="13">
        <v>8678.32</v>
      </c>
      <c r="N267" s="15">
        <v>0.17</v>
      </c>
      <c r="O267" s="13">
        <v>9630.16</v>
      </c>
      <c r="P267" s="13">
        <v>2953.14</v>
      </c>
      <c r="Q267" s="13">
        <v>33.35</v>
      </c>
      <c r="R267" s="1" t="s">
        <v>78</v>
      </c>
      <c r="S267" s="1">
        <v>5</v>
      </c>
      <c r="T267" s="1" t="b">
        <v>0</v>
      </c>
      <c r="U267" s="1" t="s">
        <v>39</v>
      </c>
      <c r="V267" s="3">
        <v>4</v>
      </c>
    </row>
    <row r="268" spans="1:22" x14ac:dyDescent="0.3">
      <c r="A268" s="2" t="s">
        <v>838</v>
      </c>
      <c r="B268" s="10">
        <v>44378</v>
      </c>
      <c r="C268" s="22">
        <v>44378</v>
      </c>
      <c r="D268" s="1" t="s">
        <v>839</v>
      </c>
      <c r="E268" s="1" t="s">
        <v>696</v>
      </c>
      <c r="F268" s="1">
        <v>40</v>
      </c>
      <c r="G268" s="1" t="s">
        <v>24</v>
      </c>
      <c r="H268" s="1" t="s">
        <v>111</v>
      </c>
      <c r="I268" s="1" t="s">
        <v>121</v>
      </c>
      <c r="J268" s="1" t="s">
        <v>76</v>
      </c>
      <c r="K268" s="1" t="s">
        <v>77</v>
      </c>
      <c r="L268" s="1">
        <v>2</v>
      </c>
      <c r="M268" s="13">
        <v>738.48</v>
      </c>
      <c r="N268" s="15">
        <v>0.09</v>
      </c>
      <c r="O268" s="13">
        <v>1795.94</v>
      </c>
      <c r="P268" s="13">
        <v>565.89</v>
      </c>
      <c r="Q268" s="13">
        <v>67.67</v>
      </c>
      <c r="R268" s="1" t="s">
        <v>57</v>
      </c>
      <c r="S268" s="1">
        <v>3</v>
      </c>
      <c r="T268" s="1" t="b">
        <v>0</v>
      </c>
      <c r="U268" s="1" t="s">
        <v>39</v>
      </c>
      <c r="V268" s="3">
        <v>7</v>
      </c>
    </row>
    <row r="269" spans="1:22" x14ac:dyDescent="0.3">
      <c r="A269" s="2" t="s">
        <v>840</v>
      </c>
      <c r="B269" s="10">
        <v>43905</v>
      </c>
      <c r="C269" s="22">
        <v>43905</v>
      </c>
      <c r="D269" s="1" t="s">
        <v>841</v>
      </c>
      <c r="E269" s="1" t="s">
        <v>842</v>
      </c>
      <c r="F269" s="1">
        <v>31</v>
      </c>
      <c r="G269" s="1" t="s">
        <v>391</v>
      </c>
      <c r="H269" s="1" t="s">
        <v>111</v>
      </c>
      <c r="I269" s="1" t="s">
        <v>121</v>
      </c>
      <c r="J269" s="1" t="s">
        <v>27</v>
      </c>
      <c r="K269" s="1" t="s">
        <v>28</v>
      </c>
      <c r="L269" s="1">
        <v>9</v>
      </c>
      <c r="M269" s="13">
        <v>236.54</v>
      </c>
      <c r="N269" s="15">
        <v>0.19</v>
      </c>
      <c r="O269" s="13">
        <v>1658.66</v>
      </c>
      <c r="P269" s="13">
        <v>140.16</v>
      </c>
      <c r="Q269" s="13">
        <v>101.07</v>
      </c>
      <c r="R269" s="1" t="s">
        <v>70</v>
      </c>
      <c r="S269" s="1">
        <v>3</v>
      </c>
      <c r="T269" s="1" t="b">
        <v>1</v>
      </c>
      <c r="U269" s="1" t="s">
        <v>30</v>
      </c>
      <c r="V269" s="3">
        <v>1</v>
      </c>
    </row>
    <row r="270" spans="1:22" x14ac:dyDescent="0.3">
      <c r="A270" s="2" t="s">
        <v>843</v>
      </c>
      <c r="B270" s="10">
        <v>44378</v>
      </c>
      <c r="C270" s="22">
        <v>44378</v>
      </c>
      <c r="D270" s="1" t="s">
        <v>844</v>
      </c>
      <c r="E270" s="1" t="s">
        <v>329</v>
      </c>
      <c r="F270" s="1">
        <v>33</v>
      </c>
      <c r="G270" s="1" t="s">
        <v>34</v>
      </c>
      <c r="H270" s="1" t="s">
        <v>82</v>
      </c>
      <c r="I270" s="1" t="s">
        <v>244</v>
      </c>
      <c r="J270" s="1" t="s">
        <v>37</v>
      </c>
      <c r="K270" s="1" t="s">
        <v>102</v>
      </c>
      <c r="L270" s="1">
        <v>5</v>
      </c>
      <c r="M270" s="13">
        <v>1998.43</v>
      </c>
      <c r="N270" s="15">
        <v>0.26</v>
      </c>
      <c r="O270" s="13">
        <v>9047.98</v>
      </c>
      <c r="P270" s="13">
        <v>4337.88</v>
      </c>
      <c r="Q270" s="13">
        <v>79.62</v>
      </c>
      <c r="R270" s="1" t="s">
        <v>78</v>
      </c>
      <c r="S270" s="1">
        <v>4</v>
      </c>
      <c r="T270" s="1" t="b">
        <v>0</v>
      </c>
      <c r="U270" s="1" t="s">
        <v>137</v>
      </c>
      <c r="V270" s="3">
        <v>3</v>
      </c>
    </row>
    <row r="271" spans="1:22" x14ac:dyDescent="0.3">
      <c r="A271" s="2" t="s">
        <v>845</v>
      </c>
      <c r="B271" s="10">
        <v>45621</v>
      </c>
      <c r="C271" s="22">
        <v>45621</v>
      </c>
      <c r="D271" s="1" t="s">
        <v>846</v>
      </c>
      <c r="E271" s="1" t="s">
        <v>847</v>
      </c>
      <c r="F271" s="1">
        <v>38</v>
      </c>
      <c r="G271" s="1" t="s">
        <v>24</v>
      </c>
      <c r="H271" s="1" t="s">
        <v>82</v>
      </c>
      <c r="I271" s="1" t="s">
        <v>83</v>
      </c>
      <c r="J271" s="1" t="s">
        <v>127</v>
      </c>
      <c r="K271" s="1" t="s">
        <v>308</v>
      </c>
      <c r="L271" s="1">
        <v>9</v>
      </c>
      <c r="M271" s="13">
        <v>76064.53</v>
      </c>
      <c r="N271" s="15">
        <v>0.25</v>
      </c>
      <c r="O271" s="13">
        <v>473255.79</v>
      </c>
      <c r="P271" s="13">
        <v>56343.87</v>
      </c>
      <c r="Q271" s="13">
        <v>79.709999999999994</v>
      </c>
      <c r="R271" s="1" t="s">
        <v>64</v>
      </c>
      <c r="S271" s="1">
        <v>3</v>
      </c>
      <c r="T271" s="1" t="b">
        <v>0</v>
      </c>
      <c r="U271" s="1" t="s">
        <v>39</v>
      </c>
      <c r="V271" s="3">
        <v>1</v>
      </c>
    </row>
    <row r="272" spans="1:22" x14ac:dyDescent="0.3">
      <c r="A272" s="2" t="s">
        <v>848</v>
      </c>
      <c r="B272" s="10">
        <v>45215</v>
      </c>
      <c r="C272" s="22">
        <v>45215</v>
      </c>
      <c r="D272" s="1" t="s">
        <v>849</v>
      </c>
      <c r="E272" s="1" t="s">
        <v>850</v>
      </c>
      <c r="F272" s="1">
        <v>49</v>
      </c>
      <c r="G272" s="1" t="s">
        <v>24</v>
      </c>
      <c r="H272" s="1" t="s">
        <v>74</v>
      </c>
      <c r="I272" s="1" t="s">
        <v>136</v>
      </c>
      <c r="J272" s="1" t="s">
        <v>27</v>
      </c>
      <c r="K272" s="1" t="s">
        <v>430</v>
      </c>
      <c r="L272" s="1">
        <v>1</v>
      </c>
      <c r="M272" s="13">
        <v>97.17</v>
      </c>
      <c r="N272" s="15">
        <v>0.14000000000000001</v>
      </c>
      <c r="O272" s="13">
        <v>86.02</v>
      </c>
      <c r="P272" s="13">
        <v>8.27</v>
      </c>
      <c r="Q272" s="13">
        <v>46.49</v>
      </c>
      <c r="R272" s="1" t="s">
        <v>51</v>
      </c>
      <c r="S272" s="1">
        <v>1</v>
      </c>
      <c r="T272" s="1" t="b">
        <v>0</v>
      </c>
      <c r="U272" s="1" t="s">
        <v>39</v>
      </c>
      <c r="V272" s="3">
        <v>5</v>
      </c>
    </row>
    <row r="273" spans="1:22" x14ac:dyDescent="0.3">
      <c r="A273" s="2" t="s">
        <v>851</v>
      </c>
      <c r="B273" s="10">
        <v>44157</v>
      </c>
      <c r="C273" s="22">
        <v>44157</v>
      </c>
      <c r="D273" s="1" t="s">
        <v>852</v>
      </c>
      <c r="E273" s="1" t="s">
        <v>319</v>
      </c>
      <c r="F273" s="1">
        <v>48</v>
      </c>
      <c r="G273" s="1" t="s">
        <v>24</v>
      </c>
      <c r="H273" s="1" t="s">
        <v>25</v>
      </c>
      <c r="I273" s="1" t="s">
        <v>26</v>
      </c>
      <c r="J273" s="1" t="s">
        <v>27</v>
      </c>
      <c r="K273" s="1" t="s">
        <v>56</v>
      </c>
      <c r="L273" s="1">
        <v>9</v>
      </c>
      <c r="M273" s="13">
        <v>407.45</v>
      </c>
      <c r="N273" s="15">
        <v>0.36</v>
      </c>
      <c r="O273" s="13">
        <v>1769.53</v>
      </c>
      <c r="P273" s="13">
        <v>149.16</v>
      </c>
      <c r="Q273" s="13">
        <v>50.13</v>
      </c>
      <c r="R273" s="1" t="s">
        <v>57</v>
      </c>
      <c r="S273" s="1">
        <v>1</v>
      </c>
      <c r="T273" s="1" t="b">
        <v>1</v>
      </c>
      <c r="U273" s="1" t="s">
        <v>30</v>
      </c>
      <c r="V273" s="3">
        <v>8</v>
      </c>
    </row>
    <row r="274" spans="1:22" x14ac:dyDescent="0.3">
      <c r="A274" s="2" t="s">
        <v>853</v>
      </c>
      <c r="B274" s="10">
        <v>44275</v>
      </c>
      <c r="C274" s="22">
        <v>44275</v>
      </c>
      <c r="D274" s="1" t="s">
        <v>854</v>
      </c>
      <c r="E274" s="1" t="s">
        <v>855</v>
      </c>
      <c r="F274" s="1">
        <v>20</v>
      </c>
      <c r="G274" s="1" t="s">
        <v>34</v>
      </c>
      <c r="H274" s="1" t="s">
        <v>35</v>
      </c>
      <c r="I274" s="1" t="s">
        <v>43</v>
      </c>
      <c r="J274" s="1" t="s">
        <v>44</v>
      </c>
      <c r="K274" s="1" t="s">
        <v>45</v>
      </c>
      <c r="L274" s="1">
        <v>6</v>
      </c>
      <c r="M274" s="13">
        <v>5299.05</v>
      </c>
      <c r="N274" s="15">
        <v>0.13</v>
      </c>
      <c r="O274" s="13">
        <v>28279.75</v>
      </c>
      <c r="P274" s="13">
        <v>5506.48</v>
      </c>
      <c r="Q274" s="13">
        <v>36.549999999999997</v>
      </c>
      <c r="R274" s="1" t="s">
        <v>64</v>
      </c>
      <c r="S274" s="1">
        <v>4</v>
      </c>
      <c r="T274" s="1" t="b">
        <v>0</v>
      </c>
      <c r="U274" s="1" t="s">
        <v>39</v>
      </c>
      <c r="V274" s="3">
        <v>7</v>
      </c>
    </row>
    <row r="275" spans="1:22" x14ac:dyDescent="0.3">
      <c r="A275" s="2" t="s">
        <v>856</v>
      </c>
      <c r="B275" s="10">
        <v>44459</v>
      </c>
      <c r="C275" s="22">
        <v>44459</v>
      </c>
      <c r="D275" s="1" t="s">
        <v>857</v>
      </c>
      <c r="E275" s="1" t="s">
        <v>858</v>
      </c>
      <c r="F275" s="1">
        <v>45</v>
      </c>
      <c r="G275" s="1" t="s">
        <v>24</v>
      </c>
      <c r="H275" s="1" t="s">
        <v>82</v>
      </c>
      <c r="I275" s="1" t="s">
        <v>244</v>
      </c>
      <c r="J275" s="1" t="s">
        <v>27</v>
      </c>
      <c r="K275" s="1" t="s">
        <v>97</v>
      </c>
      <c r="L275" s="1">
        <v>8</v>
      </c>
      <c r="M275" s="13">
        <v>126.77</v>
      </c>
      <c r="N275" s="15">
        <v>0.15</v>
      </c>
      <c r="O275" s="13">
        <v>930.33</v>
      </c>
      <c r="P275" s="13">
        <v>66.45</v>
      </c>
      <c r="Q275" s="13">
        <v>64.290000000000006</v>
      </c>
      <c r="R275" s="1" t="s">
        <v>57</v>
      </c>
      <c r="S275" s="1">
        <v>4</v>
      </c>
      <c r="T275" s="1" t="b">
        <v>0</v>
      </c>
      <c r="U275" s="1" t="s">
        <v>137</v>
      </c>
      <c r="V275" s="3">
        <v>2</v>
      </c>
    </row>
    <row r="276" spans="1:22" x14ac:dyDescent="0.3">
      <c r="A276" s="2" t="s">
        <v>859</v>
      </c>
      <c r="B276" s="10">
        <v>44901</v>
      </c>
      <c r="C276" s="22">
        <v>44901</v>
      </c>
      <c r="D276" s="1" t="s">
        <v>860</v>
      </c>
      <c r="E276" s="1" t="s">
        <v>861</v>
      </c>
      <c r="F276" s="1">
        <v>14</v>
      </c>
      <c r="G276" s="1" t="s">
        <v>68</v>
      </c>
      <c r="H276" s="1" t="s">
        <v>82</v>
      </c>
      <c r="I276" s="1" t="s">
        <v>126</v>
      </c>
      <c r="J276" s="1" t="s">
        <v>127</v>
      </c>
      <c r="K276" s="1" t="s">
        <v>517</v>
      </c>
      <c r="L276" s="1">
        <v>1</v>
      </c>
      <c r="M276" s="13">
        <v>7708.68</v>
      </c>
      <c r="N276" s="15">
        <v>0.26</v>
      </c>
      <c r="O276" s="13">
        <v>4938.4799999999996</v>
      </c>
      <c r="P276" s="13">
        <v>534.97</v>
      </c>
      <c r="Q276" s="13">
        <v>101.65</v>
      </c>
      <c r="R276" s="1" t="s">
        <v>51</v>
      </c>
      <c r="S276" s="1">
        <v>2</v>
      </c>
      <c r="T276" s="1" t="b">
        <v>0</v>
      </c>
      <c r="U276" s="1" t="s">
        <v>137</v>
      </c>
      <c r="V276" s="3">
        <v>6</v>
      </c>
    </row>
    <row r="277" spans="1:22" x14ac:dyDescent="0.3">
      <c r="A277" s="2" t="s">
        <v>862</v>
      </c>
      <c r="B277" s="10">
        <v>44866</v>
      </c>
      <c r="C277" s="22">
        <v>44866</v>
      </c>
      <c r="D277" s="1" t="s">
        <v>863</v>
      </c>
      <c r="E277" s="1" t="s">
        <v>338</v>
      </c>
      <c r="F277" s="1">
        <v>27</v>
      </c>
      <c r="G277" s="1" t="s">
        <v>68</v>
      </c>
      <c r="H277" s="1" t="s">
        <v>35</v>
      </c>
      <c r="I277" s="1" t="s">
        <v>106</v>
      </c>
      <c r="J277" s="1" t="s">
        <v>37</v>
      </c>
      <c r="K277" s="1" t="s">
        <v>102</v>
      </c>
      <c r="L277" s="1">
        <v>6</v>
      </c>
      <c r="M277" s="13">
        <v>835.52</v>
      </c>
      <c r="N277" s="15">
        <v>0.01</v>
      </c>
      <c r="O277" s="13">
        <v>4761.71</v>
      </c>
      <c r="P277" s="13">
        <v>1237.08</v>
      </c>
      <c r="Q277" s="13">
        <v>54.35</v>
      </c>
      <c r="R277" s="1" t="s">
        <v>64</v>
      </c>
      <c r="S277" s="1">
        <v>3</v>
      </c>
      <c r="T277" s="1" t="b">
        <v>0</v>
      </c>
      <c r="U277" s="1" t="s">
        <v>39</v>
      </c>
      <c r="V277" s="3">
        <v>2</v>
      </c>
    </row>
    <row r="278" spans="1:22" x14ac:dyDescent="0.3">
      <c r="A278" s="2" t="s">
        <v>864</v>
      </c>
      <c r="B278" s="10">
        <v>44332</v>
      </c>
      <c r="C278" s="22">
        <v>44332</v>
      </c>
      <c r="D278" s="1" t="s">
        <v>865</v>
      </c>
      <c r="E278" s="1" t="s">
        <v>866</v>
      </c>
      <c r="F278" s="1">
        <v>21</v>
      </c>
      <c r="G278" s="1" t="s">
        <v>34</v>
      </c>
      <c r="H278" s="1" t="s">
        <v>82</v>
      </c>
      <c r="I278" s="1" t="s">
        <v>126</v>
      </c>
      <c r="J278" s="1" t="s">
        <v>146</v>
      </c>
      <c r="K278" s="1" t="s">
        <v>178</v>
      </c>
      <c r="L278" s="1">
        <v>6</v>
      </c>
      <c r="M278" s="13">
        <v>3857.03</v>
      </c>
      <c r="N278" s="15">
        <v>0.3</v>
      </c>
      <c r="O278" s="13">
        <v>21548.37</v>
      </c>
      <c r="P278" s="13">
        <v>6137.14</v>
      </c>
      <c r="Q278" s="13">
        <v>60.48</v>
      </c>
      <c r="R278" s="1" t="s">
        <v>64</v>
      </c>
      <c r="S278" s="1">
        <v>2</v>
      </c>
      <c r="T278" s="1" t="b">
        <v>0</v>
      </c>
      <c r="U278" s="1" t="s">
        <v>39</v>
      </c>
      <c r="V278" s="3">
        <v>4</v>
      </c>
    </row>
    <row r="279" spans="1:22" x14ac:dyDescent="0.3">
      <c r="A279" s="2" t="s">
        <v>867</v>
      </c>
      <c r="B279" s="10">
        <v>44782</v>
      </c>
      <c r="C279" s="22">
        <v>44782</v>
      </c>
      <c r="D279" s="1" t="s">
        <v>868</v>
      </c>
      <c r="E279" s="1" t="s">
        <v>869</v>
      </c>
      <c r="F279" s="1">
        <v>33</v>
      </c>
      <c r="G279" s="1" t="s">
        <v>34</v>
      </c>
      <c r="H279" s="1" t="s">
        <v>111</v>
      </c>
      <c r="I279" s="1" t="s">
        <v>141</v>
      </c>
      <c r="J279" s="1" t="s">
        <v>76</v>
      </c>
      <c r="K279" s="1" t="s">
        <v>77</v>
      </c>
      <c r="L279" s="1">
        <v>1</v>
      </c>
      <c r="M279" s="13">
        <v>1170.22</v>
      </c>
      <c r="N279" s="15">
        <v>0.37</v>
      </c>
      <c r="O279" s="13">
        <v>1011.25</v>
      </c>
      <c r="P279" s="13">
        <v>422.66</v>
      </c>
      <c r="Q279" s="13">
        <v>82.03</v>
      </c>
      <c r="R279" s="1" t="s">
        <v>29</v>
      </c>
      <c r="S279" s="1">
        <v>4</v>
      </c>
      <c r="T279" s="1" t="b">
        <v>0</v>
      </c>
      <c r="U279" s="1" t="s">
        <v>39</v>
      </c>
      <c r="V279" s="3">
        <v>2</v>
      </c>
    </row>
    <row r="280" spans="1:22" x14ac:dyDescent="0.3">
      <c r="A280" s="2" t="s">
        <v>870</v>
      </c>
      <c r="B280" s="10">
        <v>44636</v>
      </c>
      <c r="C280" s="22">
        <v>44636</v>
      </c>
      <c r="D280" s="1" t="s">
        <v>871</v>
      </c>
      <c r="E280" s="1" t="s">
        <v>872</v>
      </c>
      <c r="F280" s="1">
        <v>34</v>
      </c>
      <c r="G280" s="1" t="s">
        <v>68</v>
      </c>
      <c r="H280" s="1" t="s">
        <v>74</v>
      </c>
      <c r="I280" s="1" t="s">
        <v>136</v>
      </c>
      <c r="J280" s="1" t="s">
        <v>76</v>
      </c>
      <c r="K280" s="1" t="s">
        <v>207</v>
      </c>
      <c r="L280" s="1">
        <v>5</v>
      </c>
      <c r="M280" s="13">
        <v>2505.4</v>
      </c>
      <c r="N280" s="15">
        <v>0.11</v>
      </c>
      <c r="O280" s="13">
        <v>12039.52</v>
      </c>
      <c r="P280" s="13">
        <v>4140.53</v>
      </c>
      <c r="Q280" s="13">
        <v>57.65</v>
      </c>
      <c r="R280" s="1" t="s">
        <v>64</v>
      </c>
      <c r="S280" s="1">
        <v>3</v>
      </c>
      <c r="T280" s="1" t="b">
        <v>0</v>
      </c>
      <c r="U280" s="1" t="s">
        <v>39</v>
      </c>
      <c r="V280" s="3">
        <v>1</v>
      </c>
    </row>
    <row r="281" spans="1:22" x14ac:dyDescent="0.3">
      <c r="A281" s="2" t="s">
        <v>873</v>
      </c>
      <c r="B281" s="10">
        <v>45064</v>
      </c>
      <c r="C281" s="22">
        <v>45064</v>
      </c>
      <c r="D281" s="1" t="s">
        <v>874</v>
      </c>
      <c r="E281" s="1" t="s">
        <v>875</v>
      </c>
      <c r="F281" s="1">
        <v>31</v>
      </c>
      <c r="G281" s="1" t="s">
        <v>24</v>
      </c>
      <c r="H281" s="1" t="s">
        <v>74</v>
      </c>
      <c r="I281" s="1" t="s">
        <v>136</v>
      </c>
      <c r="J281" s="1" t="s">
        <v>127</v>
      </c>
      <c r="K281" s="1" t="s">
        <v>517</v>
      </c>
      <c r="L281" s="1">
        <v>2</v>
      </c>
      <c r="M281" s="13">
        <v>73267.64</v>
      </c>
      <c r="N281" s="15">
        <v>0.32</v>
      </c>
      <c r="O281" s="13">
        <v>142488.63</v>
      </c>
      <c r="P281" s="13">
        <v>20643.55</v>
      </c>
      <c r="Q281" s="13">
        <v>69.989999999999995</v>
      </c>
      <c r="R281" s="1" t="s">
        <v>70</v>
      </c>
      <c r="S281" s="1">
        <v>2</v>
      </c>
      <c r="T281" s="1" t="b">
        <v>0</v>
      </c>
      <c r="U281" s="1" t="s">
        <v>39</v>
      </c>
      <c r="V281" s="3">
        <v>6</v>
      </c>
    </row>
    <row r="282" spans="1:22" x14ac:dyDescent="0.3">
      <c r="A282" s="2" t="s">
        <v>876</v>
      </c>
      <c r="B282" s="10">
        <v>45518</v>
      </c>
      <c r="C282" s="22">
        <v>45518</v>
      </c>
      <c r="D282" s="1" t="s">
        <v>877</v>
      </c>
      <c r="E282" s="1" t="s">
        <v>878</v>
      </c>
      <c r="F282" s="1">
        <v>39</v>
      </c>
      <c r="G282" s="1" t="s">
        <v>68</v>
      </c>
      <c r="H282" s="1" t="s">
        <v>35</v>
      </c>
      <c r="I282" s="1" t="s">
        <v>36</v>
      </c>
      <c r="J282" s="1" t="s">
        <v>62</v>
      </c>
      <c r="K282" s="1" t="s">
        <v>266</v>
      </c>
      <c r="L282" s="1">
        <v>3</v>
      </c>
      <c r="M282" s="13">
        <v>705.21</v>
      </c>
      <c r="N282" s="15">
        <v>0.14000000000000001</v>
      </c>
      <c r="O282" s="13">
        <v>2873.31</v>
      </c>
      <c r="P282" s="13">
        <v>1040.42</v>
      </c>
      <c r="Q282" s="13">
        <v>76.63</v>
      </c>
      <c r="R282" s="1" t="s">
        <v>51</v>
      </c>
      <c r="S282" s="1">
        <v>1</v>
      </c>
      <c r="T282" s="1" t="b">
        <v>0</v>
      </c>
      <c r="U282" s="1" t="s">
        <v>39</v>
      </c>
      <c r="V282" s="3">
        <v>8</v>
      </c>
    </row>
    <row r="283" spans="1:22" x14ac:dyDescent="0.3">
      <c r="A283" s="2" t="s">
        <v>879</v>
      </c>
      <c r="B283" s="10">
        <v>44938</v>
      </c>
      <c r="C283" s="22">
        <v>44938</v>
      </c>
      <c r="D283" s="1" t="s">
        <v>880</v>
      </c>
      <c r="E283" s="1" t="s">
        <v>726</v>
      </c>
      <c r="F283" s="1">
        <v>48</v>
      </c>
      <c r="G283" s="1" t="s">
        <v>24</v>
      </c>
      <c r="H283" s="1" t="s">
        <v>74</v>
      </c>
      <c r="I283" s="1" t="s">
        <v>75</v>
      </c>
      <c r="J283" s="1" t="s">
        <v>146</v>
      </c>
      <c r="K283" s="1" t="s">
        <v>484</v>
      </c>
      <c r="L283" s="1">
        <v>6</v>
      </c>
      <c r="M283" s="13">
        <v>13916.75</v>
      </c>
      <c r="N283" s="15">
        <v>0.25</v>
      </c>
      <c r="O283" s="13">
        <v>54342.29</v>
      </c>
      <c r="P283" s="13">
        <v>12305.07</v>
      </c>
      <c r="Q283" s="13">
        <v>38.89</v>
      </c>
      <c r="R283" s="1" t="s">
        <v>78</v>
      </c>
      <c r="S283" s="1">
        <v>4</v>
      </c>
      <c r="T283" s="1" t="b">
        <v>0</v>
      </c>
      <c r="U283" s="1" t="s">
        <v>58</v>
      </c>
      <c r="V283" s="3">
        <v>3</v>
      </c>
    </row>
    <row r="284" spans="1:22" x14ac:dyDescent="0.3">
      <c r="A284" s="2" t="s">
        <v>881</v>
      </c>
      <c r="B284" s="10">
        <v>44788</v>
      </c>
      <c r="C284" s="22">
        <v>44788</v>
      </c>
      <c r="D284" s="1" t="s">
        <v>882</v>
      </c>
      <c r="E284" s="1" t="s">
        <v>203</v>
      </c>
      <c r="F284" s="1">
        <v>32</v>
      </c>
      <c r="G284" s="1" t="s">
        <v>24</v>
      </c>
      <c r="H284" s="1" t="s">
        <v>82</v>
      </c>
      <c r="I284" s="1" t="s">
        <v>293</v>
      </c>
      <c r="J284" s="1" t="s">
        <v>44</v>
      </c>
      <c r="K284" s="1" t="s">
        <v>45</v>
      </c>
      <c r="L284" s="1">
        <v>3</v>
      </c>
      <c r="M284" s="13">
        <v>23445.9</v>
      </c>
      <c r="N284" s="15">
        <v>0.31</v>
      </c>
      <c r="O284" s="13">
        <v>60026.42</v>
      </c>
      <c r="P284" s="13">
        <v>15012.25</v>
      </c>
      <c r="Q284" s="13">
        <v>54.92</v>
      </c>
      <c r="R284" s="1" t="s">
        <v>70</v>
      </c>
      <c r="S284" s="1">
        <v>1</v>
      </c>
      <c r="T284" s="1" t="b">
        <v>1</v>
      </c>
      <c r="U284" s="1" t="s">
        <v>30</v>
      </c>
      <c r="V284" s="3">
        <v>7</v>
      </c>
    </row>
    <row r="285" spans="1:22" x14ac:dyDescent="0.3">
      <c r="A285" s="2" t="s">
        <v>883</v>
      </c>
      <c r="B285" s="10">
        <v>44714</v>
      </c>
      <c r="C285" s="22">
        <v>44714</v>
      </c>
      <c r="D285" s="1" t="s">
        <v>884</v>
      </c>
      <c r="E285" s="1" t="s">
        <v>885</v>
      </c>
      <c r="F285" s="1">
        <v>35</v>
      </c>
      <c r="G285" s="1" t="s">
        <v>68</v>
      </c>
      <c r="H285" s="1" t="s">
        <v>82</v>
      </c>
      <c r="I285" s="1" t="s">
        <v>83</v>
      </c>
      <c r="J285" s="1" t="s">
        <v>146</v>
      </c>
      <c r="K285" s="1" t="s">
        <v>178</v>
      </c>
      <c r="L285" s="1">
        <v>6</v>
      </c>
      <c r="M285" s="13">
        <v>6661.26</v>
      </c>
      <c r="N285" s="15">
        <v>0.13</v>
      </c>
      <c r="O285" s="13">
        <v>55550.3</v>
      </c>
      <c r="P285" s="13">
        <v>11352.36</v>
      </c>
      <c r="Q285" s="13">
        <v>99.9</v>
      </c>
      <c r="R285" s="1" t="s">
        <v>64</v>
      </c>
      <c r="S285" s="1">
        <v>2</v>
      </c>
      <c r="T285" s="1" t="b">
        <v>0</v>
      </c>
      <c r="U285" s="1" t="s">
        <v>39</v>
      </c>
      <c r="V285" s="3">
        <v>8</v>
      </c>
    </row>
    <row r="286" spans="1:22" x14ac:dyDescent="0.3">
      <c r="A286" s="2" t="s">
        <v>886</v>
      </c>
      <c r="B286" s="10">
        <v>45147</v>
      </c>
      <c r="C286" s="22">
        <v>45147</v>
      </c>
      <c r="D286" s="1" t="s">
        <v>887</v>
      </c>
      <c r="E286" s="1" t="s">
        <v>888</v>
      </c>
      <c r="F286" s="1">
        <v>25</v>
      </c>
      <c r="G286" s="1" t="s">
        <v>34</v>
      </c>
      <c r="H286" s="1" t="s">
        <v>74</v>
      </c>
      <c r="I286" s="1" t="s">
        <v>75</v>
      </c>
      <c r="J286" s="1" t="s">
        <v>76</v>
      </c>
      <c r="K286" s="1" t="s">
        <v>77</v>
      </c>
      <c r="L286" s="1">
        <v>2</v>
      </c>
      <c r="M286" s="13">
        <v>3266.34</v>
      </c>
      <c r="N286" s="15">
        <v>0</v>
      </c>
      <c r="O286" s="13">
        <v>9066.91</v>
      </c>
      <c r="P286" s="13">
        <v>3755.8</v>
      </c>
      <c r="Q286" s="13">
        <v>51.58</v>
      </c>
      <c r="R286" s="1" t="s">
        <v>64</v>
      </c>
      <c r="S286" s="1">
        <v>5</v>
      </c>
      <c r="T286" s="1" t="b">
        <v>0</v>
      </c>
      <c r="U286" s="1" t="s">
        <v>39</v>
      </c>
      <c r="V286" s="3">
        <v>1</v>
      </c>
    </row>
    <row r="287" spans="1:22" x14ac:dyDescent="0.3">
      <c r="A287" s="2" t="s">
        <v>889</v>
      </c>
      <c r="B287" s="10">
        <v>45303</v>
      </c>
      <c r="C287" s="22">
        <v>45303</v>
      </c>
      <c r="D287" s="1" t="s">
        <v>890</v>
      </c>
      <c r="E287" s="1" t="s">
        <v>891</v>
      </c>
      <c r="F287" s="1">
        <v>42</v>
      </c>
      <c r="G287" s="1" t="s">
        <v>34</v>
      </c>
      <c r="H287" s="1" t="s">
        <v>111</v>
      </c>
      <c r="I287" s="1" t="s">
        <v>141</v>
      </c>
      <c r="J287" s="1" t="s">
        <v>37</v>
      </c>
      <c r="K287" s="1" t="s">
        <v>38</v>
      </c>
      <c r="L287" s="1">
        <v>1</v>
      </c>
      <c r="M287" s="13">
        <v>2339.83</v>
      </c>
      <c r="N287" s="15">
        <v>0.03</v>
      </c>
      <c r="O287" s="13">
        <v>2319.17</v>
      </c>
      <c r="P287" s="13">
        <v>1351.82</v>
      </c>
      <c r="Q287" s="13">
        <v>88.12</v>
      </c>
      <c r="R287" s="1" t="s">
        <v>57</v>
      </c>
      <c r="S287" s="1">
        <v>3</v>
      </c>
      <c r="T287" s="1" t="b">
        <v>0</v>
      </c>
      <c r="U287" s="1" t="s">
        <v>39</v>
      </c>
      <c r="V287" s="3">
        <v>10</v>
      </c>
    </row>
    <row r="288" spans="1:22" x14ac:dyDescent="0.3">
      <c r="A288" s="2" t="s">
        <v>892</v>
      </c>
      <c r="B288" s="10">
        <v>44711</v>
      </c>
      <c r="C288" s="22">
        <v>44711</v>
      </c>
      <c r="D288" s="1" t="s">
        <v>893</v>
      </c>
      <c r="E288" s="1" t="s">
        <v>894</v>
      </c>
      <c r="F288" s="1">
        <v>24</v>
      </c>
      <c r="G288" s="1" t="s">
        <v>68</v>
      </c>
      <c r="H288" s="1" t="s">
        <v>82</v>
      </c>
      <c r="I288" s="1" t="s">
        <v>244</v>
      </c>
      <c r="J288" s="1" t="s">
        <v>37</v>
      </c>
      <c r="K288" s="1" t="s">
        <v>182</v>
      </c>
      <c r="L288" s="1">
        <v>8</v>
      </c>
      <c r="M288" s="13">
        <v>1075.32</v>
      </c>
      <c r="N288" s="15">
        <v>0.25</v>
      </c>
      <c r="O288" s="13">
        <v>9458.9500000000007</v>
      </c>
      <c r="P288" s="13">
        <v>4920.3500000000004</v>
      </c>
      <c r="Q288" s="13">
        <v>101.65</v>
      </c>
      <c r="R288" s="1" t="s">
        <v>70</v>
      </c>
      <c r="S288" s="1">
        <v>1</v>
      </c>
      <c r="T288" s="1" t="b">
        <v>1</v>
      </c>
      <c r="U288" s="1" t="s">
        <v>30</v>
      </c>
      <c r="V288" s="3">
        <v>8</v>
      </c>
    </row>
    <row r="289" spans="1:22" x14ac:dyDescent="0.3">
      <c r="A289" s="2" t="s">
        <v>895</v>
      </c>
      <c r="B289" s="10">
        <v>43972</v>
      </c>
      <c r="C289" s="22">
        <v>43972</v>
      </c>
      <c r="D289" s="1" t="s">
        <v>896</v>
      </c>
      <c r="E289" s="1" t="s">
        <v>897</v>
      </c>
      <c r="F289" s="1">
        <v>32</v>
      </c>
      <c r="G289" s="1" t="s">
        <v>24</v>
      </c>
      <c r="H289" s="1" t="s">
        <v>82</v>
      </c>
      <c r="I289" s="1" t="s">
        <v>126</v>
      </c>
      <c r="J289" s="1" t="s">
        <v>127</v>
      </c>
      <c r="K289" s="1" t="s">
        <v>308</v>
      </c>
      <c r="L289" s="1">
        <v>5</v>
      </c>
      <c r="M289" s="13">
        <v>59036.18</v>
      </c>
      <c r="N289" s="15">
        <v>0.38</v>
      </c>
      <c r="O289" s="13">
        <v>48186.78</v>
      </c>
      <c r="P289" s="13">
        <v>5073.5</v>
      </c>
      <c r="Q289" s="13">
        <v>67</v>
      </c>
      <c r="R289" s="1" t="s">
        <v>57</v>
      </c>
      <c r="S289" s="1">
        <v>4</v>
      </c>
      <c r="T289" s="1" t="b">
        <v>0</v>
      </c>
      <c r="U289" s="1" t="s">
        <v>39</v>
      </c>
      <c r="V289" s="3">
        <v>3</v>
      </c>
    </row>
    <row r="290" spans="1:22" x14ac:dyDescent="0.3">
      <c r="A290" s="2" t="s">
        <v>898</v>
      </c>
      <c r="B290" s="10">
        <v>45588</v>
      </c>
      <c r="C290" s="22">
        <v>45588</v>
      </c>
      <c r="D290" s="1" t="s">
        <v>899</v>
      </c>
      <c r="E290" s="1" t="s">
        <v>900</v>
      </c>
      <c r="F290" s="1">
        <v>27</v>
      </c>
      <c r="G290" s="1" t="s">
        <v>24</v>
      </c>
      <c r="H290" s="1" t="s">
        <v>25</v>
      </c>
      <c r="I290" s="1" t="s">
        <v>170</v>
      </c>
      <c r="J290" s="1" t="s">
        <v>27</v>
      </c>
      <c r="K290" s="1" t="s">
        <v>450</v>
      </c>
      <c r="L290" s="1">
        <v>8</v>
      </c>
      <c r="M290" s="13">
        <v>174.02</v>
      </c>
      <c r="N290" s="15">
        <v>0.14000000000000001</v>
      </c>
      <c r="O290" s="13">
        <v>1362</v>
      </c>
      <c r="P290" s="13">
        <v>107.89</v>
      </c>
      <c r="Q290" s="13">
        <v>40.35</v>
      </c>
      <c r="R290" s="1" t="s">
        <v>64</v>
      </c>
      <c r="S290" s="1">
        <v>5</v>
      </c>
      <c r="T290" s="1" t="b">
        <v>0</v>
      </c>
      <c r="U290" s="1" t="s">
        <v>39</v>
      </c>
      <c r="V290" s="3">
        <v>10</v>
      </c>
    </row>
    <row r="291" spans="1:22" x14ac:dyDescent="0.3">
      <c r="A291" s="2" t="s">
        <v>901</v>
      </c>
      <c r="B291" s="10">
        <v>44787</v>
      </c>
      <c r="C291" s="22">
        <v>44787</v>
      </c>
      <c r="D291" s="1" t="s">
        <v>902</v>
      </c>
      <c r="E291" s="1" t="s">
        <v>552</v>
      </c>
      <c r="F291" s="1">
        <v>36</v>
      </c>
      <c r="G291" s="1" t="s">
        <v>24</v>
      </c>
      <c r="H291" s="1" t="s">
        <v>74</v>
      </c>
      <c r="I291" s="1" t="s">
        <v>75</v>
      </c>
      <c r="J291" s="1" t="s">
        <v>62</v>
      </c>
      <c r="K291" s="1" t="s">
        <v>151</v>
      </c>
      <c r="L291" s="1">
        <v>1</v>
      </c>
      <c r="M291" s="13">
        <v>1129.04</v>
      </c>
      <c r="N291" s="15">
        <v>0.28000000000000003</v>
      </c>
      <c r="O291" s="13">
        <v>1081.22</v>
      </c>
      <c r="P291" s="13">
        <v>412.61</v>
      </c>
      <c r="Q291" s="13">
        <v>40.43</v>
      </c>
      <c r="R291" s="1" t="s">
        <v>57</v>
      </c>
      <c r="S291" s="1">
        <v>1</v>
      </c>
      <c r="T291" s="1" t="b">
        <v>1</v>
      </c>
      <c r="U291" s="1" t="s">
        <v>30</v>
      </c>
      <c r="V291" s="3">
        <v>10</v>
      </c>
    </row>
    <row r="292" spans="1:22" x14ac:dyDescent="0.3">
      <c r="A292" s="2" t="s">
        <v>903</v>
      </c>
      <c r="B292" s="10">
        <v>45439</v>
      </c>
      <c r="C292" s="22">
        <v>45439</v>
      </c>
      <c r="D292" s="1" t="s">
        <v>904</v>
      </c>
      <c r="E292" s="1" t="s">
        <v>905</v>
      </c>
      <c r="F292" s="1">
        <v>32</v>
      </c>
      <c r="G292" s="1" t="s">
        <v>24</v>
      </c>
      <c r="H292" s="1" t="s">
        <v>35</v>
      </c>
      <c r="I292" s="1" t="s">
        <v>36</v>
      </c>
      <c r="J292" s="1" t="s">
        <v>37</v>
      </c>
      <c r="K292" s="1" t="s">
        <v>38</v>
      </c>
      <c r="L292" s="1">
        <v>4</v>
      </c>
      <c r="M292" s="13">
        <v>722.47</v>
      </c>
      <c r="N292" s="15">
        <v>0.19</v>
      </c>
      <c r="O292" s="13">
        <v>4358.7299999999996</v>
      </c>
      <c r="P292" s="13">
        <v>1526.73</v>
      </c>
      <c r="Q292" s="13">
        <v>71.989999999999995</v>
      </c>
      <c r="R292" s="1" t="s">
        <v>51</v>
      </c>
      <c r="S292" s="1">
        <v>1</v>
      </c>
      <c r="T292" s="1" t="b">
        <v>0</v>
      </c>
      <c r="U292" s="1" t="s">
        <v>84</v>
      </c>
      <c r="V292" s="3">
        <v>7</v>
      </c>
    </row>
    <row r="293" spans="1:22" x14ac:dyDescent="0.3">
      <c r="A293" s="2" t="s">
        <v>906</v>
      </c>
      <c r="B293" s="10">
        <v>44420</v>
      </c>
      <c r="C293" s="22">
        <v>44420</v>
      </c>
      <c r="D293" s="1" t="s">
        <v>907</v>
      </c>
      <c r="E293" s="1" t="s">
        <v>908</v>
      </c>
      <c r="F293" s="1">
        <v>22</v>
      </c>
      <c r="G293" s="1" t="s">
        <v>34</v>
      </c>
      <c r="H293" s="1" t="s">
        <v>74</v>
      </c>
      <c r="I293" s="1" t="s">
        <v>136</v>
      </c>
      <c r="J293" s="1" t="s">
        <v>37</v>
      </c>
      <c r="K293" s="1" t="s">
        <v>38</v>
      </c>
      <c r="L293" s="1">
        <v>2</v>
      </c>
      <c r="M293" s="13">
        <v>542.62</v>
      </c>
      <c r="N293" s="15">
        <v>0.14000000000000001</v>
      </c>
      <c r="O293" s="13">
        <v>971.77</v>
      </c>
      <c r="P293" s="13">
        <v>443.38</v>
      </c>
      <c r="Q293" s="13">
        <v>61.76</v>
      </c>
      <c r="R293" s="1" t="s">
        <v>78</v>
      </c>
      <c r="S293" s="1">
        <v>4</v>
      </c>
      <c r="T293" s="1" t="b">
        <v>0</v>
      </c>
      <c r="U293" s="1" t="s">
        <v>39</v>
      </c>
      <c r="V293" s="3">
        <v>3</v>
      </c>
    </row>
    <row r="294" spans="1:22" x14ac:dyDescent="0.3">
      <c r="A294" s="2" t="s">
        <v>909</v>
      </c>
      <c r="B294" s="10">
        <v>44194</v>
      </c>
      <c r="C294" s="22">
        <v>44194</v>
      </c>
      <c r="D294" s="1" t="s">
        <v>910</v>
      </c>
      <c r="E294" s="1" t="s">
        <v>611</v>
      </c>
      <c r="F294" s="1">
        <v>38</v>
      </c>
      <c r="G294" s="1" t="s">
        <v>391</v>
      </c>
      <c r="H294" s="1" t="s">
        <v>111</v>
      </c>
      <c r="I294" s="1" t="s">
        <v>141</v>
      </c>
      <c r="J294" s="1" t="s">
        <v>37</v>
      </c>
      <c r="K294" s="1" t="s">
        <v>231</v>
      </c>
      <c r="L294" s="1">
        <v>4</v>
      </c>
      <c r="M294" s="13">
        <v>197.52</v>
      </c>
      <c r="N294" s="15">
        <v>0.35</v>
      </c>
      <c r="O294" s="13">
        <v>379.18</v>
      </c>
      <c r="P294" s="13">
        <v>169.93</v>
      </c>
      <c r="Q294" s="13">
        <v>61.28</v>
      </c>
      <c r="R294" s="1" t="s">
        <v>51</v>
      </c>
      <c r="S294" s="1">
        <v>3</v>
      </c>
      <c r="T294" s="1" t="b">
        <v>0</v>
      </c>
      <c r="U294" s="1" t="s">
        <v>39</v>
      </c>
      <c r="V294" s="3">
        <v>2</v>
      </c>
    </row>
    <row r="295" spans="1:22" x14ac:dyDescent="0.3">
      <c r="A295" s="2" t="s">
        <v>911</v>
      </c>
      <c r="B295" s="10">
        <v>43842</v>
      </c>
      <c r="C295" s="22">
        <v>43842</v>
      </c>
      <c r="D295" s="1" t="s">
        <v>912</v>
      </c>
      <c r="E295" s="1" t="s">
        <v>87</v>
      </c>
      <c r="F295" s="1">
        <v>49</v>
      </c>
      <c r="G295" s="1" t="s">
        <v>24</v>
      </c>
      <c r="H295" s="1" t="s">
        <v>35</v>
      </c>
      <c r="I295" s="1" t="s">
        <v>36</v>
      </c>
      <c r="J295" s="1" t="s">
        <v>27</v>
      </c>
      <c r="K295" s="1" t="s">
        <v>450</v>
      </c>
      <c r="L295" s="1">
        <v>0</v>
      </c>
      <c r="M295" s="13">
        <v>315.85000000000002</v>
      </c>
      <c r="N295" s="15">
        <v>0.13</v>
      </c>
      <c r="O295" s="13">
        <v>203.41</v>
      </c>
      <c r="P295" s="13">
        <v>13.82</v>
      </c>
      <c r="Q295" s="13">
        <v>60.46</v>
      </c>
      <c r="R295" s="1" t="s">
        <v>64</v>
      </c>
      <c r="S295" s="1">
        <v>5</v>
      </c>
      <c r="T295" s="1" t="b">
        <v>0</v>
      </c>
      <c r="U295" s="1" t="s">
        <v>39</v>
      </c>
      <c r="V295" s="3">
        <v>10</v>
      </c>
    </row>
    <row r="296" spans="1:22" x14ac:dyDescent="0.3">
      <c r="A296" s="2" t="s">
        <v>913</v>
      </c>
      <c r="B296" s="10">
        <v>44984</v>
      </c>
      <c r="C296" s="22">
        <v>44984</v>
      </c>
      <c r="D296" s="1" t="s">
        <v>914</v>
      </c>
      <c r="E296" s="1" t="s">
        <v>915</v>
      </c>
      <c r="F296" s="1">
        <v>49</v>
      </c>
      <c r="G296" s="1" t="s">
        <v>34</v>
      </c>
      <c r="H296" s="1" t="s">
        <v>82</v>
      </c>
      <c r="I296" s="1" t="s">
        <v>83</v>
      </c>
      <c r="J296" s="1" t="s">
        <v>27</v>
      </c>
      <c r="K296" s="1" t="s">
        <v>97</v>
      </c>
      <c r="L296" s="1">
        <v>4</v>
      </c>
      <c r="M296" s="13">
        <v>230.58</v>
      </c>
      <c r="N296" s="15">
        <v>0.17</v>
      </c>
      <c r="O296" s="13">
        <v>768.3</v>
      </c>
      <c r="P296" s="13">
        <v>50.26</v>
      </c>
      <c r="Q296" s="13">
        <v>81.52</v>
      </c>
      <c r="R296" s="1" t="s">
        <v>78</v>
      </c>
      <c r="S296" s="1">
        <v>1</v>
      </c>
      <c r="T296" s="1" t="b">
        <v>0</v>
      </c>
      <c r="U296" s="1" t="s">
        <v>39</v>
      </c>
      <c r="V296" s="3">
        <v>1</v>
      </c>
    </row>
    <row r="297" spans="1:22" x14ac:dyDescent="0.3">
      <c r="A297" s="2" t="s">
        <v>916</v>
      </c>
      <c r="B297" s="10">
        <v>44674</v>
      </c>
      <c r="C297" s="22">
        <v>44674</v>
      </c>
      <c r="D297" s="1" t="s">
        <v>917</v>
      </c>
      <c r="E297" s="1" t="s">
        <v>250</v>
      </c>
      <c r="F297" s="1">
        <v>31</v>
      </c>
      <c r="G297" s="1" t="s">
        <v>34</v>
      </c>
      <c r="H297" s="1" t="s">
        <v>25</v>
      </c>
      <c r="I297" s="1" t="s">
        <v>26</v>
      </c>
      <c r="J297" s="1" t="s">
        <v>146</v>
      </c>
      <c r="K297" s="1" t="s">
        <v>178</v>
      </c>
      <c r="L297" s="1">
        <v>6</v>
      </c>
      <c r="M297" s="13">
        <v>12397.94</v>
      </c>
      <c r="N297" s="15">
        <v>0.35</v>
      </c>
      <c r="O297" s="13">
        <v>69539.73</v>
      </c>
      <c r="P297" s="13">
        <v>14673.82</v>
      </c>
      <c r="Q297" s="13">
        <v>51.27</v>
      </c>
      <c r="R297" s="1" t="s">
        <v>78</v>
      </c>
      <c r="S297" s="1">
        <v>2</v>
      </c>
      <c r="T297" s="1" t="b">
        <v>0</v>
      </c>
      <c r="U297" s="1" t="s">
        <v>39</v>
      </c>
      <c r="V297" s="3">
        <v>1</v>
      </c>
    </row>
    <row r="298" spans="1:22" x14ac:dyDescent="0.3">
      <c r="A298" s="2" t="s">
        <v>918</v>
      </c>
      <c r="B298" s="10">
        <v>44178</v>
      </c>
      <c r="C298" s="22">
        <v>44178</v>
      </c>
      <c r="D298" s="1" t="s">
        <v>919</v>
      </c>
      <c r="E298" s="1" t="s">
        <v>629</v>
      </c>
      <c r="F298" s="1">
        <v>19</v>
      </c>
      <c r="G298" s="1" t="s">
        <v>68</v>
      </c>
      <c r="H298" s="1" t="s">
        <v>74</v>
      </c>
      <c r="I298" s="1" t="s">
        <v>75</v>
      </c>
      <c r="J298" s="1" t="s">
        <v>62</v>
      </c>
      <c r="K298" s="1" t="s">
        <v>266</v>
      </c>
      <c r="L298" s="1">
        <v>6</v>
      </c>
      <c r="M298" s="13">
        <v>526.32000000000005</v>
      </c>
      <c r="N298" s="15">
        <v>0.14000000000000001</v>
      </c>
      <c r="O298" s="13">
        <v>1927.61</v>
      </c>
      <c r="P298" s="13">
        <v>588.73</v>
      </c>
      <c r="Q298" s="13">
        <v>49.68</v>
      </c>
      <c r="R298" s="1" t="s">
        <v>70</v>
      </c>
      <c r="S298" s="1">
        <v>3</v>
      </c>
      <c r="T298" s="1" t="b">
        <v>1</v>
      </c>
      <c r="U298" s="1" t="s">
        <v>30</v>
      </c>
      <c r="V298" s="3">
        <v>3</v>
      </c>
    </row>
    <row r="299" spans="1:22" x14ac:dyDescent="0.3">
      <c r="A299" s="2" t="s">
        <v>920</v>
      </c>
      <c r="B299" s="10">
        <v>45494</v>
      </c>
      <c r="C299" s="22">
        <v>45494</v>
      </c>
      <c r="D299" s="1" t="s">
        <v>921</v>
      </c>
      <c r="E299" s="1" t="s">
        <v>443</v>
      </c>
      <c r="F299" s="1">
        <v>26</v>
      </c>
      <c r="G299" s="1" t="s">
        <v>24</v>
      </c>
      <c r="H299" s="1" t="s">
        <v>74</v>
      </c>
      <c r="I299" s="1" t="s">
        <v>192</v>
      </c>
      <c r="J299" s="1" t="s">
        <v>27</v>
      </c>
      <c r="K299" s="1" t="s">
        <v>450</v>
      </c>
      <c r="L299" s="1">
        <v>6</v>
      </c>
      <c r="M299" s="13">
        <v>112.85</v>
      </c>
      <c r="N299" s="15">
        <v>0.13</v>
      </c>
      <c r="O299" s="13">
        <v>1196.1099999999999</v>
      </c>
      <c r="P299" s="13">
        <v>116.49</v>
      </c>
      <c r="Q299" s="13">
        <v>40.89</v>
      </c>
      <c r="R299" s="1" t="s">
        <v>64</v>
      </c>
      <c r="S299" s="1">
        <v>5</v>
      </c>
      <c r="T299" s="1" t="b">
        <v>1</v>
      </c>
      <c r="U299" s="1" t="s">
        <v>30</v>
      </c>
      <c r="V299" s="3">
        <v>8</v>
      </c>
    </row>
    <row r="300" spans="1:22" x14ac:dyDescent="0.3">
      <c r="A300" s="2" t="s">
        <v>922</v>
      </c>
      <c r="B300" s="10">
        <v>45142</v>
      </c>
      <c r="C300" s="22">
        <v>45142</v>
      </c>
      <c r="D300" s="1" t="s">
        <v>923</v>
      </c>
      <c r="E300" s="1" t="s">
        <v>185</v>
      </c>
      <c r="F300" s="1">
        <v>24</v>
      </c>
      <c r="G300" s="1" t="s">
        <v>24</v>
      </c>
      <c r="H300" s="1" t="s">
        <v>74</v>
      </c>
      <c r="I300" s="1" t="s">
        <v>136</v>
      </c>
      <c r="J300" s="1" t="s">
        <v>27</v>
      </c>
      <c r="K300" s="1" t="s">
        <v>450</v>
      </c>
      <c r="L300" s="1">
        <v>6</v>
      </c>
      <c r="M300" s="13">
        <v>184.04</v>
      </c>
      <c r="N300" s="15">
        <v>0.32</v>
      </c>
      <c r="O300" s="13">
        <v>1193.08</v>
      </c>
      <c r="P300" s="13">
        <v>80.930000000000007</v>
      </c>
      <c r="Q300" s="13">
        <v>70.55</v>
      </c>
      <c r="R300" s="1" t="s">
        <v>70</v>
      </c>
      <c r="S300" s="1">
        <v>5</v>
      </c>
      <c r="T300" s="1" t="b">
        <v>0</v>
      </c>
      <c r="U300" s="1" t="s">
        <v>39</v>
      </c>
      <c r="V300" s="3">
        <v>1</v>
      </c>
    </row>
    <row r="301" spans="1:22" x14ac:dyDescent="0.3">
      <c r="A301" s="2" t="s">
        <v>924</v>
      </c>
      <c r="B301" s="10">
        <v>45045</v>
      </c>
      <c r="C301" s="22">
        <v>45045</v>
      </c>
      <c r="D301" s="1" t="s">
        <v>925</v>
      </c>
      <c r="E301" s="1" t="s">
        <v>926</v>
      </c>
      <c r="F301" s="1">
        <v>30</v>
      </c>
      <c r="G301" s="1" t="s">
        <v>68</v>
      </c>
      <c r="H301" s="1" t="s">
        <v>82</v>
      </c>
      <c r="I301" s="1" t="s">
        <v>126</v>
      </c>
      <c r="J301" s="1" t="s">
        <v>37</v>
      </c>
      <c r="K301" s="1" t="s">
        <v>182</v>
      </c>
      <c r="L301" s="1">
        <v>7</v>
      </c>
      <c r="M301" s="13">
        <v>1050.3800000000001</v>
      </c>
      <c r="N301" s="15">
        <v>0.06</v>
      </c>
      <c r="O301" s="13">
        <v>8746.39</v>
      </c>
      <c r="P301" s="13">
        <v>3436.69</v>
      </c>
      <c r="Q301" s="13">
        <v>85.61</v>
      </c>
      <c r="R301" s="1" t="s">
        <v>29</v>
      </c>
      <c r="S301" s="1">
        <v>3</v>
      </c>
      <c r="T301" s="1" t="b">
        <v>0</v>
      </c>
      <c r="U301" s="1" t="s">
        <v>39</v>
      </c>
      <c r="V301" s="3">
        <v>5</v>
      </c>
    </row>
    <row r="302" spans="1:22" x14ac:dyDescent="0.3">
      <c r="A302" s="2" t="s">
        <v>927</v>
      </c>
      <c r="B302" s="10">
        <v>45136</v>
      </c>
      <c r="C302" s="22">
        <v>45136</v>
      </c>
      <c r="D302" s="1" t="s">
        <v>928</v>
      </c>
      <c r="E302" s="1" t="s">
        <v>534</v>
      </c>
      <c r="F302" s="1">
        <v>31</v>
      </c>
      <c r="G302" s="1" t="s">
        <v>68</v>
      </c>
      <c r="H302" s="1" t="s">
        <v>111</v>
      </c>
      <c r="I302" s="1" t="s">
        <v>112</v>
      </c>
      <c r="J302" s="1" t="s">
        <v>146</v>
      </c>
      <c r="K302" s="1" t="s">
        <v>147</v>
      </c>
      <c r="L302" s="1">
        <v>5</v>
      </c>
      <c r="M302" s="13">
        <v>8903.5499999999993</v>
      </c>
      <c r="N302" s="15">
        <v>0.12</v>
      </c>
      <c r="O302" s="13">
        <v>11991.16</v>
      </c>
      <c r="P302" s="13">
        <v>1852.66</v>
      </c>
      <c r="Q302" s="13">
        <v>64.95</v>
      </c>
      <c r="R302" s="1" t="s">
        <v>29</v>
      </c>
      <c r="S302" s="1">
        <v>3</v>
      </c>
      <c r="T302" s="1" t="b">
        <v>1</v>
      </c>
      <c r="U302" s="1" t="s">
        <v>30</v>
      </c>
      <c r="V302" s="3">
        <v>7</v>
      </c>
    </row>
    <row r="303" spans="1:22" x14ac:dyDescent="0.3">
      <c r="A303" s="2" t="s">
        <v>929</v>
      </c>
      <c r="B303" s="10">
        <v>44423</v>
      </c>
      <c r="C303" s="22">
        <v>44423</v>
      </c>
      <c r="D303" s="1" t="s">
        <v>930</v>
      </c>
      <c r="E303" s="1" t="s">
        <v>931</v>
      </c>
      <c r="F303" s="1">
        <v>49</v>
      </c>
      <c r="G303" s="1" t="s">
        <v>34</v>
      </c>
      <c r="H303" s="1" t="s">
        <v>25</v>
      </c>
      <c r="I303" s="1" t="s">
        <v>26</v>
      </c>
      <c r="J303" s="1" t="s">
        <v>37</v>
      </c>
      <c r="K303" s="1" t="s">
        <v>182</v>
      </c>
      <c r="L303" s="1">
        <v>4</v>
      </c>
      <c r="M303" s="13">
        <v>525.04999999999995</v>
      </c>
      <c r="N303" s="15">
        <v>0.02</v>
      </c>
      <c r="O303" s="13">
        <v>2333.9899999999998</v>
      </c>
      <c r="P303" s="13">
        <v>964.12</v>
      </c>
      <c r="Q303" s="13">
        <v>71.8</v>
      </c>
      <c r="R303" s="1" t="s">
        <v>51</v>
      </c>
      <c r="S303" s="1">
        <v>5</v>
      </c>
      <c r="T303" s="1" t="b">
        <v>0</v>
      </c>
      <c r="U303" s="1" t="s">
        <v>39</v>
      </c>
      <c r="V303" s="3">
        <v>1</v>
      </c>
    </row>
    <row r="304" spans="1:22" x14ac:dyDescent="0.3">
      <c r="A304" s="2" t="s">
        <v>932</v>
      </c>
      <c r="B304" s="10">
        <v>45399</v>
      </c>
      <c r="C304" s="22">
        <v>45399</v>
      </c>
      <c r="D304" s="1" t="s">
        <v>933</v>
      </c>
      <c r="E304" s="1" t="s">
        <v>732</v>
      </c>
      <c r="F304" s="1">
        <v>26</v>
      </c>
      <c r="G304" s="1" t="s">
        <v>24</v>
      </c>
      <c r="H304" s="1" t="s">
        <v>25</v>
      </c>
      <c r="I304" s="1" t="s">
        <v>170</v>
      </c>
      <c r="J304" s="1" t="s">
        <v>76</v>
      </c>
      <c r="K304" s="1" t="s">
        <v>207</v>
      </c>
      <c r="L304" s="1">
        <v>5</v>
      </c>
      <c r="M304" s="13">
        <v>3541.45</v>
      </c>
      <c r="N304" s="15">
        <v>0.23</v>
      </c>
      <c r="O304" s="13">
        <v>19925.91</v>
      </c>
      <c r="P304" s="13">
        <v>8625.6200000000008</v>
      </c>
      <c r="Q304" s="13">
        <v>58</v>
      </c>
      <c r="R304" s="1" t="s">
        <v>64</v>
      </c>
      <c r="S304" s="1">
        <v>3</v>
      </c>
      <c r="T304" s="1" t="b">
        <v>0</v>
      </c>
      <c r="U304" s="1" t="s">
        <v>58</v>
      </c>
      <c r="V304" s="3">
        <v>9</v>
      </c>
    </row>
    <row r="305" spans="1:22" x14ac:dyDescent="0.3">
      <c r="A305" s="2" t="s">
        <v>934</v>
      </c>
      <c r="B305" s="10">
        <v>44382</v>
      </c>
      <c r="C305" s="22">
        <v>44382</v>
      </c>
      <c r="D305" s="1" t="s">
        <v>935</v>
      </c>
      <c r="E305" s="1" t="s">
        <v>177</v>
      </c>
      <c r="F305" s="1">
        <v>8</v>
      </c>
      <c r="G305" s="1" t="s">
        <v>34</v>
      </c>
      <c r="H305" s="1" t="s">
        <v>82</v>
      </c>
      <c r="I305" s="1" t="s">
        <v>293</v>
      </c>
      <c r="J305" s="1" t="s">
        <v>76</v>
      </c>
      <c r="K305" s="1" t="s">
        <v>77</v>
      </c>
      <c r="L305" s="1">
        <v>9</v>
      </c>
      <c r="M305" s="13">
        <v>1326.38</v>
      </c>
      <c r="N305" s="15">
        <v>0.16</v>
      </c>
      <c r="O305" s="13">
        <v>11602.32</v>
      </c>
      <c r="P305" s="13">
        <v>4308.95</v>
      </c>
      <c r="Q305" s="13">
        <v>58.85</v>
      </c>
      <c r="R305" s="1" t="s">
        <v>70</v>
      </c>
      <c r="S305" s="1">
        <v>4</v>
      </c>
      <c r="T305" s="1" t="b">
        <v>0</v>
      </c>
      <c r="U305" s="1" t="s">
        <v>39</v>
      </c>
      <c r="V305" s="3">
        <v>1</v>
      </c>
    </row>
    <row r="306" spans="1:22" x14ac:dyDescent="0.3">
      <c r="A306" s="2" t="s">
        <v>936</v>
      </c>
      <c r="B306" s="10">
        <v>45108</v>
      </c>
      <c r="C306" s="22">
        <v>45108</v>
      </c>
      <c r="D306" s="1" t="s">
        <v>937</v>
      </c>
      <c r="E306" s="1" t="s">
        <v>842</v>
      </c>
      <c r="F306" s="1">
        <v>44</v>
      </c>
      <c r="G306" s="1" t="s">
        <v>24</v>
      </c>
      <c r="H306" s="1" t="s">
        <v>111</v>
      </c>
      <c r="I306" s="1" t="s">
        <v>112</v>
      </c>
      <c r="J306" s="1" t="s">
        <v>44</v>
      </c>
      <c r="K306" s="1" t="s">
        <v>186</v>
      </c>
      <c r="L306" s="1">
        <v>2</v>
      </c>
      <c r="M306" s="13">
        <v>26714.83</v>
      </c>
      <c r="N306" s="15">
        <v>0.23</v>
      </c>
      <c r="O306" s="13">
        <v>63871.89</v>
      </c>
      <c r="P306" s="13">
        <v>16676.939999999999</v>
      </c>
      <c r="Q306" s="13">
        <v>67.209999999999994</v>
      </c>
      <c r="R306" s="1" t="s">
        <v>78</v>
      </c>
      <c r="S306" s="1">
        <v>5</v>
      </c>
      <c r="T306" s="1" t="b">
        <v>0</v>
      </c>
      <c r="U306" s="1" t="s">
        <v>197</v>
      </c>
      <c r="V306" s="3">
        <v>7</v>
      </c>
    </row>
    <row r="307" spans="1:22" x14ac:dyDescent="0.3">
      <c r="A307" s="2" t="s">
        <v>938</v>
      </c>
      <c r="B307" s="10">
        <v>44972</v>
      </c>
      <c r="C307" s="22">
        <v>44972</v>
      </c>
      <c r="D307" s="1" t="s">
        <v>939</v>
      </c>
      <c r="E307" s="1" t="s">
        <v>940</v>
      </c>
      <c r="F307" s="1">
        <v>47</v>
      </c>
      <c r="G307" s="1" t="s">
        <v>34</v>
      </c>
      <c r="H307" s="1" t="s">
        <v>111</v>
      </c>
      <c r="I307" s="1" t="s">
        <v>330</v>
      </c>
      <c r="J307" s="1" t="s">
        <v>37</v>
      </c>
      <c r="K307" s="1" t="s">
        <v>454</v>
      </c>
      <c r="L307" s="1">
        <v>9</v>
      </c>
      <c r="M307" s="13">
        <v>1698.6</v>
      </c>
      <c r="N307" s="15">
        <v>0.25</v>
      </c>
      <c r="O307" s="13">
        <v>12379.8</v>
      </c>
      <c r="P307" s="13">
        <v>4098.1499999999996</v>
      </c>
      <c r="Q307" s="13">
        <v>63.7</v>
      </c>
      <c r="R307" s="1" t="s">
        <v>51</v>
      </c>
      <c r="S307" s="1">
        <v>3</v>
      </c>
      <c r="T307" s="1" t="b">
        <v>0</v>
      </c>
      <c r="U307" s="1" t="s">
        <v>39</v>
      </c>
      <c r="V307" s="3">
        <v>1</v>
      </c>
    </row>
    <row r="308" spans="1:22" x14ac:dyDescent="0.3">
      <c r="A308" s="2" t="s">
        <v>941</v>
      </c>
      <c r="B308" s="10">
        <v>44726</v>
      </c>
      <c r="C308" s="22">
        <v>44726</v>
      </c>
      <c r="D308" s="1" t="s">
        <v>942</v>
      </c>
      <c r="E308" s="1" t="s">
        <v>943</v>
      </c>
      <c r="F308" s="1">
        <v>17</v>
      </c>
      <c r="G308" s="1" t="s">
        <v>34</v>
      </c>
      <c r="H308" s="1" t="s">
        <v>35</v>
      </c>
      <c r="I308" s="1" t="s">
        <v>106</v>
      </c>
      <c r="J308" s="1" t="s">
        <v>146</v>
      </c>
      <c r="K308" s="1" t="s">
        <v>161</v>
      </c>
      <c r="L308" s="1">
        <v>1</v>
      </c>
      <c r="M308" s="13">
        <v>13827.19</v>
      </c>
      <c r="N308" s="15">
        <v>0.4</v>
      </c>
      <c r="O308" s="13">
        <v>13665.74</v>
      </c>
      <c r="P308" s="13">
        <v>2472.59</v>
      </c>
      <c r="Q308" s="13">
        <v>24.48</v>
      </c>
      <c r="R308" s="1" t="s">
        <v>57</v>
      </c>
      <c r="S308" s="1">
        <v>3</v>
      </c>
      <c r="T308" s="1" t="b">
        <v>0</v>
      </c>
      <c r="U308" s="1" t="s">
        <v>84</v>
      </c>
      <c r="V308" s="3">
        <v>3</v>
      </c>
    </row>
    <row r="309" spans="1:22" x14ac:dyDescent="0.3">
      <c r="A309" s="2" t="s">
        <v>944</v>
      </c>
      <c r="B309" s="10">
        <v>44774</v>
      </c>
      <c r="C309" s="22">
        <v>44774</v>
      </c>
      <c r="D309" s="1" t="s">
        <v>945</v>
      </c>
      <c r="E309" s="1" t="s">
        <v>145</v>
      </c>
      <c r="F309" s="1">
        <v>53</v>
      </c>
      <c r="G309" s="1" t="s">
        <v>68</v>
      </c>
      <c r="H309" s="1" t="s">
        <v>35</v>
      </c>
      <c r="I309" s="1" t="s">
        <v>43</v>
      </c>
      <c r="J309" s="1" t="s">
        <v>37</v>
      </c>
      <c r="K309" s="1" t="s">
        <v>38</v>
      </c>
      <c r="L309" s="1">
        <v>4</v>
      </c>
      <c r="M309" s="13">
        <v>356.27</v>
      </c>
      <c r="N309" s="15">
        <v>0.25</v>
      </c>
      <c r="O309" s="13">
        <v>1442.88</v>
      </c>
      <c r="P309" s="13">
        <v>531.29999999999995</v>
      </c>
      <c r="Q309" s="13">
        <v>38.090000000000003</v>
      </c>
      <c r="R309" s="1" t="s">
        <v>57</v>
      </c>
      <c r="S309" s="1">
        <v>5</v>
      </c>
      <c r="T309" s="1" t="b">
        <v>0</v>
      </c>
      <c r="U309" s="1" t="s">
        <v>39</v>
      </c>
      <c r="V309" s="3">
        <v>5</v>
      </c>
    </row>
    <row r="310" spans="1:22" x14ac:dyDescent="0.3">
      <c r="A310" s="2" t="s">
        <v>946</v>
      </c>
      <c r="B310" s="10">
        <v>44637</v>
      </c>
      <c r="C310" s="22">
        <v>44637</v>
      </c>
      <c r="D310" s="1" t="s">
        <v>947</v>
      </c>
      <c r="E310" s="1" t="s">
        <v>167</v>
      </c>
      <c r="F310" s="1">
        <v>26</v>
      </c>
      <c r="G310" s="1" t="s">
        <v>34</v>
      </c>
      <c r="H310" s="1" t="s">
        <v>111</v>
      </c>
      <c r="I310" s="1" t="s">
        <v>121</v>
      </c>
      <c r="J310" s="1" t="s">
        <v>37</v>
      </c>
      <c r="K310" s="1" t="s">
        <v>38</v>
      </c>
      <c r="L310" s="1">
        <v>2</v>
      </c>
      <c r="M310" s="13">
        <v>563.96</v>
      </c>
      <c r="N310" s="15">
        <v>0.21</v>
      </c>
      <c r="O310" s="13">
        <v>1382.93</v>
      </c>
      <c r="P310" s="13">
        <v>529.71</v>
      </c>
      <c r="Q310" s="13">
        <v>100.92</v>
      </c>
      <c r="R310" s="1" t="s">
        <v>64</v>
      </c>
      <c r="S310" s="1">
        <v>4</v>
      </c>
      <c r="T310" s="1" t="b">
        <v>0</v>
      </c>
      <c r="U310" s="1" t="s">
        <v>39</v>
      </c>
      <c r="V310" s="3">
        <v>1</v>
      </c>
    </row>
    <row r="311" spans="1:22" x14ac:dyDescent="0.3">
      <c r="A311" s="2" t="s">
        <v>948</v>
      </c>
      <c r="B311" s="10">
        <v>45425</v>
      </c>
      <c r="C311" s="22">
        <v>45425</v>
      </c>
      <c r="D311" s="1" t="s">
        <v>949</v>
      </c>
      <c r="E311" s="1" t="s">
        <v>950</v>
      </c>
      <c r="F311" s="1">
        <v>61</v>
      </c>
      <c r="G311" s="1" t="s">
        <v>68</v>
      </c>
      <c r="H311" s="1" t="s">
        <v>82</v>
      </c>
      <c r="I311" s="1" t="s">
        <v>293</v>
      </c>
      <c r="J311" s="1" t="s">
        <v>127</v>
      </c>
      <c r="K311" s="1" t="s">
        <v>128</v>
      </c>
      <c r="L311" s="1">
        <v>1</v>
      </c>
      <c r="M311" s="13">
        <v>42744.12</v>
      </c>
      <c r="N311" s="15">
        <v>0.28999999999999998</v>
      </c>
      <c r="O311" s="13">
        <v>49034.559999999998</v>
      </c>
      <c r="P311" s="13">
        <v>5764.27</v>
      </c>
      <c r="Q311" s="13">
        <v>81.41</v>
      </c>
      <c r="R311" s="1" t="s">
        <v>29</v>
      </c>
      <c r="S311" s="1">
        <v>4</v>
      </c>
      <c r="T311" s="1" t="b">
        <v>0</v>
      </c>
      <c r="U311" s="1" t="s">
        <v>39</v>
      </c>
      <c r="V311" s="3">
        <v>8</v>
      </c>
    </row>
    <row r="312" spans="1:22" x14ac:dyDescent="0.3">
      <c r="A312" s="2" t="s">
        <v>951</v>
      </c>
      <c r="B312" s="10">
        <v>45555</v>
      </c>
      <c r="C312" s="22">
        <v>45555</v>
      </c>
      <c r="D312" s="1" t="s">
        <v>952</v>
      </c>
      <c r="E312" s="1" t="s">
        <v>953</v>
      </c>
      <c r="F312" s="1">
        <v>38</v>
      </c>
      <c r="G312" s="1" t="s">
        <v>68</v>
      </c>
      <c r="H312" s="1" t="s">
        <v>111</v>
      </c>
      <c r="I312" s="1" t="s">
        <v>141</v>
      </c>
      <c r="J312" s="1" t="s">
        <v>62</v>
      </c>
      <c r="K312" s="1" t="s">
        <v>266</v>
      </c>
      <c r="L312" s="1">
        <v>9</v>
      </c>
      <c r="M312" s="13">
        <v>816.41</v>
      </c>
      <c r="N312" s="15">
        <v>0.35</v>
      </c>
      <c r="O312" s="13">
        <v>5054.28</v>
      </c>
      <c r="P312" s="13">
        <v>2136.9</v>
      </c>
      <c r="Q312" s="13">
        <v>42.16</v>
      </c>
      <c r="R312" s="1" t="s">
        <v>78</v>
      </c>
      <c r="S312" s="1">
        <v>2</v>
      </c>
      <c r="T312" s="1" t="b">
        <v>0</v>
      </c>
      <c r="U312" s="1" t="s">
        <v>39</v>
      </c>
      <c r="V312" s="3">
        <v>5</v>
      </c>
    </row>
    <row r="313" spans="1:22" x14ac:dyDescent="0.3">
      <c r="A313" s="2" t="s">
        <v>954</v>
      </c>
      <c r="B313" s="10">
        <v>44843</v>
      </c>
      <c r="C313" s="22">
        <v>44843</v>
      </c>
      <c r="D313" s="1" t="s">
        <v>955</v>
      </c>
      <c r="E313" s="1" t="s">
        <v>767</v>
      </c>
      <c r="F313" s="1">
        <v>32</v>
      </c>
      <c r="G313" s="1" t="s">
        <v>68</v>
      </c>
      <c r="H313" s="1" t="s">
        <v>35</v>
      </c>
      <c r="I313" s="1" t="s">
        <v>49</v>
      </c>
      <c r="J313" s="1" t="s">
        <v>27</v>
      </c>
      <c r="K313" s="1" t="s">
        <v>450</v>
      </c>
      <c r="L313" s="1">
        <v>10</v>
      </c>
      <c r="M313" s="13">
        <v>364.93</v>
      </c>
      <c r="N313" s="15">
        <v>7.0000000000000007E-2</v>
      </c>
      <c r="O313" s="13">
        <v>3274.29</v>
      </c>
      <c r="P313" s="13">
        <v>294.88</v>
      </c>
      <c r="Q313" s="13">
        <v>52.13</v>
      </c>
      <c r="R313" s="1" t="s">
        <v>78</v>
      </c>
      <c r="S313" s="1">
        <v>3</v>
      </c>
      <c r="T313" s="1" t="b">
        <v>0</v>
      </c>
      <c r="U313" s="1" t="s">
        <v>58</v>
      </c>
      <c r="V313" s="3">
        <v>3</v>
      </c>
    </row>
    <row r="314" spans="1:22" x14ac:dyDescent="0.3">
      <c r="A314" s="2" t="s">
        <v>956</v>
      </c>
      <c r="B314" s="10">
        <v>45032</v>
      </c>
      <c r="C314" s="22">
        <v>45032</v>
      </c>
      <c r="D314" s="1" t="s">
        <v>957</v>
      </c>
      <c r="E314" s="1" t="s">
        <v>958</v>
      </c>
      <c r="F314" s="1">
        <v>33</v>
      </c>
      <c r="G314" s="1" t="s">
        <v>34</v>
      </c>
      <c r="H314" s="1" t="s">
        <v>82</v>
      </c>
      <c r="I314" s="1" t="s">
        <v>83</v>
      </c>
      <c r="J314" s="1" t="s">
        <v>146</v>
      </c>
      <c r="K314" s="1" t="s">
        <v>147</v>
      </c>
      <c r="L314" s="1">
        <v>7</v>
      </c>
      <c r="M314" s="13">
        <v>12799.72</v>
      </c>
      <c r="N314" s="15">
        <v>0.11</v>
      </c>
      <c r="O314" s="13">
        <v>114501.45</v>
      </c>
      <c r="P314" s="13">
        <v>25731.03</v>
      </c>
      <c r="Q314" s="13">
        <v>74.55</v>
      </c>
      <c r="R314" s="1" t="s">
        <v>57</v>
      </c>
      <c r="S314" s="1">
        <v>2</v>
      </c>
      <c r="T314" s="1" t="b">
        <v>0</v>
      </c>
      <c r="U314" s="1" t="s">
        <v>39</v>
      </c>
      <c r="V314" s="3">
        <v>2</v>
      </c>
    </row>
    <row r="315" spans="1:22" x14ac:dyDescent="0.3">
      <c r="A315" s="2" t="s">
        <v>959</v>
      </c>
      <c r="B315" s="10">
        <v>45137</v>
      </c>
      <c r="C315" s="22">
        <v>45137</v>
      </c>
      <c r="D315" s="1" t="s">
        <v>960</v>
      </c>
      <c r="E315" s="1" t="s">
        <v>635</v>
      </c>
      <c r="F315" s="1">
        <v>49</v>
      </c>
      <c r="G315" s="1" t="s">
        <v>24</v>
      </c>
      <c r="H315" s="1" t="s">
        <v>74</v>
      </c>
      <c r="I315" s="1" t="s">
        <v>192</v>
      </c>
      <c r="J315" s="1" t="s">
        <v>27</v>
      </c>
      <c r="K315" s="1" t="s">
        <v>97</v>
      </c>
      <c r="L315" s="1">
        <v>5</v>
      </c>
      <c r="M315" s="13">
        <v>380.49</v>
      </c>
      <c r="N315" s="15">
        <v>0.36</v>
      </c>
      <c r="O315" s="13">
        <v>368.28</v>
      </c>
      <c r="P315" s="13">
        <v>36.06</v>
      </c>
      <c r="Q315" s="13">
        <v>27.57</v>
      </c>
      <c r="R315" s="1" t="s">
        <v>51</v>
      </c>
      <c r="S315" s="1">
        <v>5</v>
      </c>
      <c r="T315" s="1" t="b">
        <v>0</v>
      </c>
      <c r="U315" s="1" t="s">
        <v>197</v>
      </c>
      <c r="V315" s="3">
        <v>1</v>
      </c>
    </row>
    <row r="316" spans="1:22" x14ac:dyDescent="0.3">
      <c r="A316" s="2" t="s">
        <v>961</v>
      </c>
      <c r="B316" s="10">
        <v>44593</v>
      </c>
      <c r="C316" s="22">
        <v>44593</v>
      </c>
      <c r="D316" s="1" t="s">
        <v>962</v>
      </c>
      <c r="E316" s="1" t="s">
        <v>547</v>
      </c>
      <c r="F316" s="1">
        <v>31</v>
      </c>
      <c r="G316" s="1" t="s">
        <v>34</v>
      </c>
      <c r="H316" s="1" t="s">
        <v>25</v>
      </c>
      <c r="I316" s="1" t="s">
        <v>170</v>
      </c>
      <c r="J316" s="1" t="s">
        <v>37</v>
      </c>
      <c r="K316" s="1" t="s">
        <v>231</v>
      </c>
      <c r="L316" s="1">
        <v>5</v>
      </c>
      <c r="M316" s="13">
        <v>1868.65</v>
      </c>
      <c r="N316" s="15">
        <v>0.06</v>
      </c>
      <c r="O316" s="13">
        <v>1684.76</v>
      </c>
      <c r="P316" s="13">
        <v>667.36</v>
      </c>
      <c r="Q316" s="13">
        <v>71.239999999999995</v>
      </c>
      <c r="R316" s="1" t="s">
        <v>78</v>
      </c>
      <c r="S316" s="1">
        <v>4</v>
      </c>
      <c r="T316" s="1" t="b">
        <v>0</v>
      </c>
      <c r="U316" s="1" t="s">
        <v>39</v>
      </c>
      <c r="V316" s="3">
        <v>2</v>
      </c>
    </row>
    <row r="317" spans="1:22" x14ac:dyDescent="0.3">
      <c r="A317" s="2" t="s">
        <v>963</v>
      </c>
      <c r="B317" s="10">
        <v>43977</v>
      </c>
      <c r="C317" s="22">
        <v>43977</v>
      </c>
      <c r="D317" s="1" t="s">
        <v>964</v>
      </c>
      <c r="E317" s="1" t="s">
        <v>638</v>
      </c>
      <c r="F317" s="1">
        <v>61</v>
      </c>
      <c r="G317" s="1" t="s">
        <v>68</v>
      </c>
      <c r="H317" s="1" t="s">
        <v>35</v>
      </c>
      <c r="I317" s="1" t="s">
        <v>49</v>
      </c>
      <c r="J317" s="1" t="s">
        <v>62</v>
      </c>
      <c r="K317" s="1" t="s">
        <v>107</v>
      </c>
      <c r="L317" s="1">
        <v>2</v>
      </c>
      <c r="M317" s="13">
        <v>425.83</v>
      </c>
      <c r="N317" s="15">
        <v>0.04</v>
      </c>
      <c r="O317" s="13">
        <v>846.36</v>
      </c>
      <c r="P317" s="13">
        <v>364.43</v>
      </c>
      <c r="Q317" s="13">
        <v>42.68</v>
      </c>
      <c r="R317" s="1" t="s">
        <v>78</v>
      </c>
      <c r="S317" s="1">
        <v>4</v>
      </c>
      <c r="T317" s="1" t="b">
        <v>0</v>
      </c>
      <c r="U317" s="1" t="s">
        <v>39</v>
      </c>
      <c r="V317" s="3">
        <v>10</v>
      </c>
    </row>
    <row r="318" spans="1:22" x14ac:dyDescent="0.3">
      <c r="A318" s="2" t="s">
        <v>965</v>
      </c>
      <c r="B318" s="10">
        <v>45218</v>
      </c>
      <c r="C318" s="22">
        <v>45218</v>
      </c>
      <c r="D318" s="1" t="s">
        <v>966</v>
      </c>
      <c r="E318" s="1" t="s">
        <v>644</v>
      </c>
      <c r="F318" s="1">
        <v>53</v>
      </c>
      <c r="G318" s="1" t="s">
        <v>68</v>
      </c>
      <c r="H318" s="1" t="s">
        <v>111</v>
      </c>
      <c r="I318" s="1" t="s">
        <v>121</v>
      </c>
      <c r="J318" s="1" t="s">
        <v>44</v>
      </c>
      <c r="K318" s="1" t="s">
        <v>50</v>
      </c>
      <c r="L318" s="1">
        <v>5</v>
      </c>
      <c r="M318" s="13">
        <v>2374.77</v>
      </c>
      <c r="N318" s="15">
        <v>0.28000000000000003</v>
      </c>
      <c r="O318" s="13">
        <v>9688.23</v>
      </c>
      <c r="P318" s="13">
        <v>2614.25</v>
      </c>
      <c r="Q318" s="13">
        <v>83.81</v>
      </c>
      <c r="R318" s="1" t="s">
        <v>78</v>
      </c>
      <c r="S318" s="1">
        <v>1</v>
      </c>
      <c r="T318" s="1" t="b">
        <v>0</v>
      </c>
      <c r="U318" s="1" t="s">
        <v>39</v>
      </c>
      <c r="V318" s="3">
        <v>6</v>
      </c>
    </row>
    <row r="319" spans="1:22" x14ac:dyDescent="0.3">
      <c r="A319" s="2" t="s">
        <v>967</v>
      </c>
      <c r="B319" s="10">
        <v>43983</v>
      </c>
      <c r="C319" s="22">
        <v>43983</v>
      </c>
      <c r="D319" s="1" t="s">
        <v>968</v>
      </c>
      <c r="E319" s="1" t="s">
        <v>635</v>
      </c>
      <c r="F319" s="1">
        <v>41</v>
      </c>
      <c r="G319" s="1" t="s">
        <v>24</v>
      </c>
      <c r="H319" s="1" t="s">
        <v>74</v>
      </c>
      <c r="I319" s="1" t="s">
        <v>192</v>
      </c>
      <c r="J319" s="1" t="s">
        <v>27</v>
      </c>
      <c r="K319" s="1" t="s">
        <v>400</v>
      </c>
      <c r="L319" s="1">
        <v>8</v>
      </c>
      <c r="M319" s="13">
        <v>294.27</v>
      </c>
      <c r="N319" s="15">
        <v>0.35</v>
      </c>
      <c r="O319" s="13">
        <v>1927.79</v>
      </c>
      <c r="P319" s="13">
        <v>96.62</v>
      </c>
      <c r="Q319" s="13">
        <v>53.97</v>
      </c>
      <c r="R319" s="1" t="s">
        <v>64</v>
      </c>
      <c r="S319" s="1">
        <v>1</v>
      </c>
      <c r="T319" s="1" t="b">
        <v>0</v>
      </c>
      <c r="U319" s="1" t="s">
        <v>39</v>
      </c>
      <c r="V319" s="3">
        <v>5</v>
      </c>
    </row>
    <row r="320" spans="1:22" x14ac:dyDescent="0.3">
      <c r="A320" s="2" t="s">
        <v>969</v>
      </c>
      <c r="B320" s="10">
        <v>44214</v>
      </c>
      <c r="C320" s="22">
        <v>44214</v>
      </c>
      <c r="D320" s="1" t="s">
        <v>970</v>
      </c>
      <c r="E320" s="1" t="s">
        <v>770</v>
      </c>
      <c r="F320" s="1">
        <v>29</v>
      </c>
      <c r="G320" s="1" t="s">
        <v>24</v>
      </c>
      <c r="H320" s="1" t="s">
        <v>82</v>
      </c>
      <c r="I320" s="1" t="s">
        <v>83</v>
      </c>
      <c r="J320" s="1" t="s">
        <v>127</v>
      </c>
      <c r="K320" s="1" t="s">
        <v>142</v>
      </c>
      <c r="L320" s="1">
        <v>5</v>
      </c>
      <c r="M320" s="13">
        <v>58480.23</v>
      </c>
      <c r="N320" s="15">
        <v>0.09</v>
      </c>
      <c r="O320" s="13">
        <v>200569.38</v>
      </c>
      <c r="P320" s="13">
        <v>24313.05</v>
      </c>
      <c r="Q320" s="13">
        <v>84.38</v>
      </c>
      <c r="R320" s="1" t="s">
        <v>70</v>
      </c>
      <c r="S320" s="1">
        <v>4</v>
      </c>
      <c r="T320" s="1" t="b">
        <v>0</v>
      </c>
      <c r="U320" s="1" t="s">
        <v>39</v>
      </c>
      <c r="V320" s="3">
        <v>2</v>
      </c>
    </row>
    <row r="321" spans="1:22" x14ac:dyDescent="0.3">
      <c r="A321" s="2" t="s">
        <v>971</v>
      </c>
      <c r="B321" s="10">
        <v>44963</v>
      </c>
      <c r="C321" s="22">
        <v>44963</v>
      </c>
      <c r="D321" s="1" t="s">
        <v>972</v>
      </c>
      <c r="E321" s="1" t="s">
        <v>973</v>
      </c>
      <c r="F321" s="1">
        <v>39</v>
      </c>
      <c r="G321" s="1" t="s">
        <v>24</v>
      </c>
      <c r="H321" s="1" t="s">
        <v>111</v>
      </c>
      <c r="I321" s="1" t="s">
        <v>121</v>
      </c>
      <c r="J321" s="1" t="s">
        <v>146</v>
      </c>
      <c r="K321" s="1" t="s">
        <v>484</v>
      </c>
      <c r="L321" s="1">
        <v>8</v>
      </c>
      <c r="M321" s="13">
        <v>5590.43</v>
      </c>
      <c r="N321" s="15">
        <v>0.19</v>
      </c>
      <c r="O321" s="13">
        <v>37398.22</v>
      </c>
      <c r="P321" s="13">
        <v>4824.74</v>
      </c>
      <c r="Q321" s="13">
        <v>69.42</v>
      </c>
      <c r="R321" s="1" t="s">
        <v>70</v>
      </c>
      <c r="S321" s="1">
        <v>4</v>
      </c>
      <c r="T321" s="1" t="b">
        <v>0</v>
      </c>
      <c r="U321" s="1" t="s">
        <v>39</v>
      </c>
      <c r="V321" s="3">
        <v>2</v>
      </c>
    </row>
    <row r="322" spans="1:22" x14ac:dyDescent="0.3">
      <c r="A322" s="2" t="s">
        <v>974</v>
      </c>
      <c r="B322" s="10">
        <v>44164</v>
      </c>
      <c r="C322" s="22">
        <v>44164</v>
      </c>
      <c r="D322" s="1" t="s">
        <v>975</v>
      </c>
      <c r="E322" s="1" t="s">
        <v>976</v>
      </c>
      <c r="F322" s="1">
        <v>29</v>
      </c>
      <c r="G322" s="1" t="s">
        <v>68</v>
      </c>
      <c r="H322" s="1" t="s">
        <v>35</v>
      </c>
      <c r="I322" s="1" t="s">
        <v>36</v>
      </c>
      <c r="J322" s="1" t="s">
        <v>127</v>
      </c>
      <c r="K322" s="1" t="s">
        <v>308</v>
      </c>
      <c r="L322" s="1">
        <v>4</v>
      </c>
      <c r="M322" s="13">
        <v>7981.68</v>
      </c>
      <c r="N322" s="15">
        <v>0.38</v>
      </c>
      <c r="O322" s="13">
        <v>12800.24</v>
      </c>
      <c r="P322" s="13">
        <v>1753.15</v>
      </c>
      <c r="Q322" s="13">
        <v>40.049999999999997</v>
      </c>
      <c r="R322" s="1" t="s">
        <v>29</v>
      </c>
      <c r="S322" s="1">
        <v>4</v>
      </c>
      <c r="T322" s="1" t="b">
        <v>0</v>
      </c>
      <c r="U322" s="1" t="s">
        <v>39</v>
      </c>
      <c r="V322" s="3">
        <v>5</v>
      </c>
    </row>
    <row r="323" spans="1:22" x14ac:dyDescent="0.3">
      <c r="A323" s="2" t="s">
        <v>977</v>
      </c>
      <c r="B323" s="10">
        <v>44929</v>
      </c>
      <c r="C323" s="22">
        <v>44929</v>
      </c>
      <c r="D323" s="1" t="s">
        <v>978</v>
      </c>
      <c r="E323" s="1" t="s">
        <v>496</v>
      </c>
      <c r="F323" s="1">
        <v>34</v>
      </c>
      <c r="G323" s="1" t="s">
        <v>34</v>
      </c>
      <c r="H323" s="1" t="s">
        <v>35</v>
      </c>
      <c r="I323" s="1" t="s">
        <v>106</v>
      </c>
      <c r="J323" s="1" t="s">
        <v>44</v>
      </c>
      <c r="K323" s="1" t="s">
        <v>50</v>
      </c>
      <c r="L323" s="1">
        <v>2</v>
      </c>
      <c r="M323" s="13">
        <v>9783.06</v>
      </c>
      <c r="N323" s="15">
        <v>0.12</v>
      </c>
      <c r="O323" s="13">
        <v>15984.43</v>
      </c>
      <c r="P323" s="13">
        <v>3578.22</v>
      </c>
      <c r="Q323" s="13">
        <v>43.71</v>
      </c>
      <c r="R323" s="1" t="s">
        <v>64</v>
      </c>
      <c r="S323" s="1">
        <v>2</v>
      </c>
      <c r="T323" s="1" t="b">
        <v>1</v>
      </c>
      <c r="U323" s="1" t="s">
        <v>30</v>
      </c>
      <c r="V323" s="3">
        <v>5</v>
      </c>
    </row>
    <row r="324" spans="1:22" x14ac:dyDescent="0.3">
      <c r="A324" s="2" t="s">
        <v>979</v>
      </c>
      <c r="B324" s="10">
        <v>45137</v>
      </c>
      <c r="C324" s="22">
        <v>45137</v>
      </c>
      <c r="D324" s="1" t="s">
        <v>980</v>
      </c>
      <c r="E324" s="1" t="s">
        <v>54</v>
      </c>
      <c r="F324" s="1">
        <v>34</v>
      </c>
      <c r="G324" s="1" t="s">
        <v>24</v>
      </c>
      <c r="H324" s="1" t="s">
        <v>111</v>
      </c>
      <c r="I324" s="1" t="s">
        <v>330</v>
      </c>
      <c r="J324" s="1" t="s">
        <v>127</v>
      </c>
      <c r="K324" s="1" t="s">
        <v>196</v>
      </c>
      <c r="L324" s="1">
        <v>4</v>
      </c>
      <c r="M324" s="13">
        <v>66643.149999999994</v>
      </c>
      <c r="N324" s="15">
        <v>0.14000000000000001</v>
      </c>
      <c r="O324" s="13">
        <v>325899.40000000002</v>
      </c>
      <c r="P324" s="13">
        <v>40690.870000000003</v>
      </c>
      <c r="Q324" s="13">
        <v>51.43</v>
      </c>
      <c r="R324" s="1" t="s">
        <v>64</v>
      </c>
      <c r="S324" s="1">
        <v>1</v>
      </c>
      <c r="T324" s="1" t="b">
        <v>0</v>
      </c>
      <c r="U324" s="1" t="s">
        <v>39</v>
      </c>
      <c r="V324" s="3">
        <v>3</v>
      </c>
    </row>
    <row r="325" spans="1:22" x14ac:dyDescent="0.3">
      <c r="A325" s="2" t="s">
        <v>981</v>
      </c>
      <c r="B325" s="10">
        <v>44646</v>
      </c>
      <c r="C325" s="22">
        <v>44646</v>
      </c>
      <c r="D325" s="1" t="s">
        <v>982</v>
      </c>
      <c r="E325" s="1" t="s">
        <v>983</v>
      </c>
      <c r="F325" s="1">
        <v>26</v>
      </c>
      <c r="G325" s="1" t="s">
        <v>68</v>
      </c>
      <c r="H325" s="1" t="s">
        <v>35</v>
      </c>
      <c r="I325" s="1" t="s">
        <v>43</v>
      </c>
      <c r="J325" s="1" t="s">
        <v>37</v>
      </c>
      <c r="K325" s="1" t="s">
        <v>671</v>
      </c>
      <c r="L325" s="1">
        <v>10</v>
      </c>
      <c r="M325" s="13">
        <v>160.57</v>
      </c>
      <c r="N325" s="15">
        <v>0.38</v>
      </c>
      <c r="O325" s="13">
        <v>1214.0999999999999</v>
      </c>
      <c r="P325" s="13">
        <v>697.82</v>
      </c>
      <c r="Q325" s="13">
        <v>51.31</v>
      </c>
      <c r="R325" s="1" t="s">
        <v>70</v>
      </c>
      <c r="S325" s="1">
        <v>3</v>
      </c>
      <c r="T325" s="1" t="b">
        <v>0</v>
      </c>
      <c r="U325" s="1" t="s">
        <v>39</v>
      </c>
      <c r="V325" s="3">
        <v>2</v>
      </c>
    </row>
    <row r="326" spans="1:22" x14ac:dyDescent="0.3">
      <c r="A326" s="2" t="s">
        <v>984</v>
      </c>
      <c r="B326" s="10">
        <v>45074</v>
      </c>
      <c r="C326" s="22">
        <v>45074</v>
      </c>
      <c r="D326" s="1" t="s">
        <v>985</v>
      </c>
      <c r="E326" s="1" t="s">
        <v>569</v>
      </c>
      <c r="F326" s="1">
        <v>55</v>
      </c>
      <c r="G326" s="1" t="s">
        <v>34</v>
      </c>
      <c r="H326" s="1" t="s">
        <v>25</v>
      </c>
      <c r="I326" s="1" t="s">
        <v>69</v>
      </c>
      <c r="J326" s="1" t="s">
        <v>146</v>
      </c>
      <c r="K326" s="1" t="s">
        <v>178</v>
      </c>
      <c r="L326" s="1">
        <v>7</v>
      </c>
      <c r="M326" s="13">
        <v>12138.63</v>
      </c>
      <c r="N326" s="15">
        <v>0.13</v>
      </c>
      <c r="O326" s="13">
        <v>95488.18</v>
      </c>
      <c r="P326" s="13">
        <v>21101.52</v>
      </c>
      <c r="Q326" s="13">
        <v>32.89</v>
      </c>
      <c r="R326" s="1" t="s">
        <v>78</v>
      </c>
      <c r="S326" s="1">
        <v>5</v>
      </c>
      <c r="T326" s="1" t="b">
        <v>0</v>
      </c>
      <c r="U326" s="1" t="s">
        <v>137</v>
      </c>
      <c r="V326" s="3">
        <v>4</v>
      </c>
    </row>
    <row r="327" spans="1:22" x14ac:dyDescent="0.3">
      <c r="A327" s="2" t="s">
        <v>986</v>
      </c>
      <c r="B327" s="10">
        <v>45647</v>
      </c>
      <c r="C327" s="22">
        <v>45647</v>
      </c>
      <c r="D327" s="1" t="s">
        <v>987</v>
      </c>
      <c r="E327" s="1" t="s">
        <v>988</v>
      </c>
      <c r="F327" s="1">
        <v>30</v>
      </c>
      <c r="G327" s="1" t="s">
        <v>24</v>
      </c>
      <c r="H327" s="1" t="s">
        <v>35</v>
      </c>
      <c r="I327" s="1" t="s">
        <v>43</v>
      </c>
      <c r="J327" s="1" t="s">
        <v>127</v>
      </c>
      <c r="K327" s="1" t="s">
        <v>142</v>
      </c>
      <c r="L327" s="1">
        <v>6</v>
      </c>
      <c r="M327" s="13">
        <v>61234.43</v>
      </c>
      <c r="N327" s="15">
        <v>0.24</v>
      </c>
      <c r="O327" s="13">
        <v>268632.52</v>
      </c>
      <c r="P327" s="13">
        <v>31422.9</v>
      </c>
      <c r="Q327" s="13">
        <v>48.82</v>
      </c>
      <c r="R327" s="1" t="s">
        <v>70</v>
      </c>
      <c r="S327" s="1">
        <v>3</v>
      </c>
      <c r="T327" s="1" t="b">
        <v>0</v>
      </c>
      <c r="U327" s="1" t="s">
        <v>39</v>
      </c>
      <c r="V327" s="3">
        <v>4</v>
      </c>
    </row>
    <row r="328" spans="1:22" x14ac:dyDescent="0.3">
      <c r="A328" s="2" t="s">
        <v>989</v>
      </c>
      <c r="B328" s="10">
        <v>45402</v>
      </c>
      <c r="C328" s="22">
        <v>45402</v>
      </c>
      <c r="D328" s="1" t="s">
        <v>990</v>
      </c>
      <c r="E328" s="1" t="s">
        <v>991</v>
      </c>
      <c r="F328" s="1">
        <v>45</v>
      </c>
      <c r="G328" s="1" t="s">
        <v>34</v>
      </c>
      <c r="H328" s="1" t="s">
        <v>74</v>
      </c>
      <c r="I328" s="1" t="s">
        <v>75</v>
      </c>
      <c r="J328" s="1" t="s">
        <v>62</v>
      </c>
      <c r="K328" s="1" t="s">
        <v>151</v>
      </c>
      <c r="L328" s="1">
        <v>5</v>
      </c>
      <c r="M328" s="13">
        <v>224.92</v>
      </c>
      <c r="N328" s="15">
        <v>0.24</v>
      </c>
      <c r="O328" s="13">
        <v>1230.6600000000001</v>
      </c>
      <c r="P328" s="13">
        <v>529.41999999999996</v>
      </c>
      <c r="Q328" s="13">
        <v>65.16</v>
      </c>
      <c r="R328" s="1" t="s">
        <v>78</v>
      </c>
      <c r="S328" s="1">
        <v>5</v>
      </c>
      <c r="T328" s="1" t="b">
        <v>0</v>
      </c>
      <c r="U328" s="1" t="s">
        <v>39</v>
      </c>
      <c r="V328" s="3">
        <v>2</v>
      </c>
    </row>
    <row r="329" spans="1:22" x14ac:dyDescent="0.3">
      <c r="A329" s="2" t="s">
        <v>992</v>
      </c>
      <c r="B329" s="10">
        <v>44079</v>
      </c>
      <c r="C329" s="22">
        <v>44079</v>
      </c>
      <c r="D329" s="1" t="s">
        <v>993</v>
      </c>
      <c r="E329" s="1" t="s">
        <v>994</v>
      </c>
      <c r="F329" s="1">
        <v>46</v>
      </c>
      <c r="G329" s="1" t="s">
        <v>24</v>
      </c>
      <c r="H329" s="1" t="s">
        <v>35</v>
      </c>
      <c r="I329" s="1" t="s">
        <v>36</v>
      </c>
      <c r="J329" s="1" t="s">
        <v>76</v>
      </c>
      <c r="K329" s="1" t="s">
        <v>207</v>
      </c>
      <c r="L329" s="1">
        <v>8</v>
      </c>
      <c r="M329" s="13">
        <v>2151.16</v>
      </c>
      <c r="N329" s="15">
        <v>0.12</v>
      </c>
      <c r="O329" s="13">
        <v>15432.22</v>
      </c>
      <c r="P329" s="13">
        <v>4651.88</v>
      </c>
      <c r="Q329" s="13">
        <v>67.349999999999994</v>
      </c>
      <c r="R329" s="1" t="s">
        <v>64</v>
      </c>
      <c r="S329" s="1">
        <v>4</v>
      </c>
      <c r="T329" s="1" t="b">
        <v>1</v>
      </c>
      <c r="U329" s="1" t="s">
        <v>30</v>
      </c>
      <c r="V329" s="3">
        <v>4</v>
      </c>
    </row>
    <row r="330" spans="1:22" x14ac:dyDescent="0.3">
      <c r="A330" s="2" t="s">
        <v>995</v>
      </c>
      <c r="B330" s="10">
        <v>44617</v>
      </c>
      <c r="C330" s="22">
        <v>44617</v>
      </c>
      <c r="D330" s="1" t="s">
        <v>996</v>
      </c>
      <c r="E330" s="1" t="s">
        <v>940</v>
      </c>
      <c r="F330" s="1">
        <v>25</v>
      </c>
      <c r="G330" s="1" t="s">
        <v>24</v>
      </c>
      <c r="H330" s="1" t="s">
        <v>25</v>
      </c>
      <c r="I330" s="1" t="s">
        <v>170</v>
      </c>
      <c r="J330" s="1" t="s">
        <v>146</v>
      </c>
      <c r="K330" s="1" t="s">
        <v>217</v>
      </c>
      <c r="L330" s="1">
        <v>1</v>
      </c>
      <c r="M330" s="13">
        <v>7835.77</v>
      </c>
      <c r="N330" s="15">
        <v>0.08</v>
      </c>
      <c r="O330" s="13">
        <v>6868.24</v>
      </c>
      <c r="P330" s="13">
        <v>1599.65</v>
      </c>
      <c r="Q330" s="13">
        <v>44.2</v>
      </c>
      <c r="R330" s="1" t="s">
        <v>70</v>
      </c>
      <c r="S330" s="1">
        <v>3</v>
      </c>
      <c r="T330" s="1" t="b">
        <v>1</v>
      </c>
      <c r="U330" s="1" t="s">
        <v>30</v>
      </c>
      <c r="V330" s="3">
        <v>5</v>
      </c>
    </row>
    <row r="331" spans="1:22" x14ac:dyDescent="0.3">
      <c r="A331" s="2" t="s">
        <v>997</v>
      </c>
      <c r="B331" s="10">
        <v>45077</v>
      </c>
      <c r="C331" s="22">
        <v>45077</v>
      </c>
      <c r="D331" s="1" t="s">
        <v>998</v>
      </c>
      <c r="E331" s="1" t="s">
        <v>801</v>
      </c>
      <c r="F331" s="1">
        <v>27</v>
      </c>
      <c r="G331" s="1" t="s">
        <v>24</v>
      </c>
      <c r="H331" s="1" t="s">
        <v>35</v>
      </c>
      <c r="I331" s="1" t="s">
        <v>43</v>
      </c>
      <c r="J331" s="1" t="s">
        <v>62</v>
      </c>
      <c r="K331" s="1" t="s">
        <v>266</v>
      </c>
      <c r="L331" s="1">
        <v>2</v>
      </c>
      <c r="M331" s="13">
        <v>790.19</v>
      </c>
      <c r="N331" s="15">
        <v>0.12</v>
      </c>
      <c r="O331" s="13">
        <v>2524.52</v>
      </c>
      <c r="P331" s="13">
        <v>1241.47</v>
      </c>
      <c r="Q331" s="13">
        <v>75.5</v>
      </c>
      <c r="R331" s="1" t="s">
        <v>78</v>
      </c>
      <c r="S331" s="1">
        <v>2</v>
      </c>
      <c r="T331" s="1" t="b">
        <v>0</v>
      </c>
      <c r="U331" s="1" t="s">
        <v>39</v>
      </c>
      <c r="V331" s="3">
        <v>1</v>
      </c>
    </row>
    <row r="332" spans="1:22" x14ac:dyDescent="0.3">
      <c r="A332" s="2" t="s">
        <v>999</v>
      </c>
      <c r="B332" s="10">
        <v>43881</v>
      </c>
      <c r="C332" s="22">
        <v>43881</v>
      </c>
      <c r="D332" s="1" t="s">
        <v>1000</v>
      </c>
      <c r="E332" s="1" t="s">
        <v>1001</v>
      </c>
      <c r="F332" s="1">
        <v>28</v>
      </c>
      <c r="G332" s="1" t="s">
        <v>24</v>
      </c>
      <c r="H332" s="1" t="s">
        <v>82</v>
      </c>
      <c r="I332" s="1" t="s">
        <v>126</v>
      </c>
      <c r="J332" s="1" t="s">
        <v>62</v>
      </c>
      <c r="K332" s="1" t="s">
        <v>283</v>
      </c>
      <c r="L332" s="1">
        <v>10</v>
      </c>
      <c r="M332" s="13">
        <v>327.54000000000002</v>
      </c>
      <c r="N332" s="15">
        <v>0.15</v>
      </c>
      <c r="O332" s="13">
        <v>2755.17</v>
      </c>
      <c r="P332" s="13">
        <v>1528.85</v>
      </c>
      <c r="Q332" s="13">
        <v>80.58</v>
      </c>
      <c r="R332" s="1" t="s">
        <v>29</v>
      </c>
      <c r="S332" s="1">
        <v>5</v>
      </c>
      <c r="T332" s="1" t="b">
        <v>1</v>
      </c>
      <c r="U332" s="1" t="s">
        <v>30</v>
      </c>
      <c r="V332" s="3">
        <v>2</v>
      </c>
    </row>
    <row r="333" spans="1:22" x14ac:dyDescent="0.3">
      <c r="A333" s="2" t="s">
        <v>1002</v>
      </c>
      <c r="B333" s="10">
        <v>44787</v>
      </c>
      <c r="C333" s="22">
        <v>44787</v>
      </c>
      <c r="D333" s="1" t="s">
        <v>1003</v>
      </c>
      <c r="E333" s="1" t="s">
        <v>1004</v>
      </c>
      <c r="F333" s="1">
        <v>19</v>
      </c>
      <c r="G333" s="1" t="s">
        <v>24</v>
      </c>
      <c r="H333" s="1" t="s">
        <v>111</v>
      </c>
      <c r="I333" s="1" t="s">
        <v>141</v>
      </c>
      <c r="J333" s="1" t="s">
        <v>127</v>
      </c>
      <c r="K333" s="1" t="s">
        <v>171</v>
      </c>
      <c r="L333" s="1">
        <v>10</v>
      </c>
      <c r="M333" s="13">
        <v>46080.58</v>
      </c>
      <c r="N333" s="15">
        <v>0.33</v>
      </c>
      <c r="O333" s="13">
        <v>392607.23</v>
      </c>
      <c r="P333" s="13">
        <v>38045.24</v>
      </c>
      <c r="Q333" s="13">
        <v>42.13</v>
      </c>
      <c r="R333" s="1" t="s">
        <v>70</v>
      </c>
      <c r="S333" s="1">
        <v>1</v>
      </c>
      <c r="T333" s="1" t="b">
        <v>0</v>
      </c>
      <c r="U333" s="1" t="s">
        <v>39</v>
      </c>
      <c r="V333" s="3">
        <v>7</v>
      </c>
    </row>
    <row r="334" spans="1:22" x14ac:dyDescent="0.3">
      <c r="A334" s="2" t="s">
        <v>1005</v>
      </c>
      <c r="B334" s="10">
        <v>45049</v>
      </c>
      <c r="C334" s="22">
        <v>45049</v>
      </c>
      <c r="D334" s="1" t="s">
        <v>1006</v>
      </c>
      <c r="E334" s="1" t="s">
        <v>641</v>
      </c>
      <c r="F334" s="1">
        <v>29</v>
      </c>
      <c r="G334" s="1" t="s">
        <v>68</v>
      </c>
      <c r="H334" s="1" t="s">
        <v>82</v>
      </c>
      <c r="I334" s="1" t="s">
        <v>244</v>
      </c>
      <c r="J334" s="1" t="s">
        <v>76</v>
      </c>
      <c r="K334" s="1" t="s">
        <v>89</v>
      </c>
      <c r="L334" s="1">
        <v>10</v>
      </c>
      <c r="M334" s="13">
        <v>630.78</v>
      </c>
      <c r="N334" s="15">
        <v>0.21</v>
      </c>
      <c r="O334" s="13">
        <v>10612</v>
      </c>
      <c r="P334" s="13">
        <v>3459.74</v>
      </c>
      <c r="Q334" s="13">
        <v>83.61</v>
      </c>
      <c r="R334" s="1" t="s">
        <v>70</v>
      </c>
      <c r="S334" s="1">
        <v>4</v>
      </c>
      <c r="T334" s="1" t="b">
        <v>0</v>
      </c>
      <c r="U334" s="1" t="s">
        <v>39</v>
      </c>
      <c r="V334" s="3">
        <v>8</v>
      </c>
    </row>
    <row r="335" spans="1:22" x14ac:dyDescent="0.3">
      <c r="A335" s="2" t="s">
        <v>1007</v>
      </c>
      <c r="B335" s="10">
        <v>44372</v>
      </c>
      <c r="C335" s="22">
        <v>44372</v>
      </c>
      <c r="D335" s="1" t="s">
        <v>1008</v>
      </c>
      <c r="E335" s="1" t="s">
        <v>888</v>
      </c>
      <c r="F335" s="1">
        <v>34</v>
      </c>
      <c r="G335" s="1" t="s">
        <v>34</v>
      </c>
      <c r="H335" s="1" t="s">
        <v>111</v>
      </c>
      <c r="I335" s="1" t="s">
        <v>112</v>
      </c>
      <c r="J335" s="1" t="s">
        <v>146</v>
      </c>
      <c r="K335" s="1" t="s">
        <v>178</v>
      </c>
      <c r="L335" s="1">
        <v>5</v>
      </c>
      <c r="M335" s="13">
        <v>10501.07</v>
      </c>
      <c r="N335" s="15">
        <v>0.1</v>
      </c>
      <c r="O335" s="13">
        <v>15147.36</v>
      </c>
      <c r="P335" s="13">
        <v>3020.39</v>
      </c>
      <c r="Q335" s="13">
        <v>56.4</v>
      </c>
      <c r="R335" s="1" t="s">
        <v>64</v>
      </c>
      <c r="S335" s="1">
        <v>5</v>
      </c>
      <c r="T335" s="1" t="b">
        <v>0</v>
      </c>
      <c r="U335" s="1" t="s">
        <v>39</v>
      </c>
      <c r="V335" s="3">
        <v>7</v>
      </c>
    </row>
    <row r="336" spans="1:22" x14ac:dyDescent="0.3">
      <c r="A336" s="2" t="s">
        <v>1009</v>
      </c>
      <c r="B336" s="10">
        <v>45545</v>
      </c>
      <c r="C336" s="22">
        <v>45545</v>
      </c>
      <c r="D336" s="1" t="s">
        <v>1010</v>
      </c>
      <c r="E336" s="1" t="s">
        <v>537</v>
      </c>
      <c r="F336" s="1">
        <v>28</v>
      </c>
      <c r="G336" s="1" t="s">
        <v>34</v>
      </c>
      <c r="H336" s="1" t="s">
        <v>35</v>
      </c>
      <c r="I336" s="1" t="s">
        <v>49</v>
      </c>
      <c r="J336" s="1" t="s">
        <v>127</v>
      </c>
      <c r="K336" s="1" t="s">
        <v>142</v>
      </c>
      <c r="L336" s="1">
        <v>1</v>
      </c>
      <c r="M336" s="13">
        <v>40304.61</v>
      </c>
      <c r="N336" s="15">
        <v>0.04</v>
      </c>
      <c r="O336" s="13">
        <v>54475.55</v>
      </c>
      <c r="P336" s="13">
        <v>5497.55</v>
      </c>
      <c r="Q336" s="13">
        <v>73.05</v>
      </c>
      <c r="R336" s="1" t="s">
        <v>78</v>
      </c>
      <c r="S336" s="1">
        <v>2</v>
      </c>
      <c r="T336" s="1" t="b">
        <v>0</v>
      </c>
      <c r="U336" s="1" t="s">
        <v>84</v>
      </c>
      <c r="V336" s="3">
        <v>5</v>
      </c>
    </row>
    <row r="337" spans="1:22" x14ac:dyDescent="0.3">
      <c r="A337" s="2" t="s">
        <v>1011</v>
      </c>
      <c r="B337" s="10">
        <v>45427</v>
      </c>
      <c r="C337" s="22">
        <v>45427</v>
      </c>
      <c r="D337" s="1" t="s">
        <v>1012</v>
      </c>
      <c r="E337" s="1" t="s">
        <v>940</v>
      </c>
      <c r="F337" s="1">
        <v>37</v>
      </c>
      <c r="G337" s="1" t="s">
        <v>68</v>
      </c>
      <c r="H337" s="1" t="s">
        <v>82</v>
      </c>
      <c r="I337" s="1" t="s">
        <v>293</v>
      </c>
      <c r="J337" s="1" t="s">
        <v>44</v>
      </c>
      <c r="K337" s="1" t="s">
        <v>117</v>
      </c>
      <c r="L337" s="1">
        <v>3</v>
      </c>
      <c r="M337" s="13">
        <v>16806.93</v>
      </c>
      <c r="N337" s="15">
        <v>0.37</v>
      </c>
      <c r="O337" s="13">
        <v>52202.49</v>
      </c>
      <c r="P337" s="13">
        <v>17999.97</v>
      </c>
      <c r="Q337" s="13">
        <v>90.53</v>
      </c>
      <c r="R337" s="1" t="s">
        <v>70</v>
      </c>
      <c r="S337" s="1">
        <v>4</v>
      </c>
      <c r="T337" s="1" t="b">
        <v>0</v>
      </c>
      <c r="U337" s="1" t="s">
        <v>39</v>
      </c>
      <c r="V337" s="3">
        <v>2</v>
      </c>
    </row>
    <row r="338" spans="1:22" x14ac:dyDescent="0.3">
      <c r="A338" s="2" t="s">
        <v>1013</v>
      </c>
      <c r="B338" s="10">
        <v>44278</v>
      </c>
      <c r="C338" s="22">
        <v>44278</v>
      </c>
      <c r="D338" s="1" t="s">
        <v>1014</v>
      </c>
      <c r="E338" s="1" t="s">
        <v>1015</v>
      </c>
      <c r="F338" s="1">
        <v>44</v>
      </c>
      <c r="G338" s="1" t="s">
        <v>24</v>
      </c>
      <c r="H338" s="1" t="s">
        <v>74</v>
      </c>
      <c r="I338" s="1" t="s">
        <v>101</v>
      </c>
      <c r="J338" s="1" t="s">
        <v>44</v>
      </c>
      <c r="K338" s="1" t="s">
        <v>221</v>
      </c>
      <c r="L338" s="1">
        <v>2</v>
      </c>
      <c r="M338" s="13">
        <v>4143.1000000000004</v>
      </c>
      <c r="N338" s="15">
        <v>0.21</v>
      </c>
      <c r="O338" s="13">
        <v>9554.34</v>
      </c>
      <c r="P338" s="13">
        <v>2463.9499999999998</v>
      </c>
      <c r="Q338" s="13">
        <v>56.97</v>
      </c>
      <c r="R338" s="1" t="s">
        <v>57</v>
      </c>
      <c r="S338" s="1">
        <v>5</v>
      </c>
      <c r="T338" s="1" t="b">
        <v>0</v>
      </c>
      <c r="U338" s="1" t="s">
        <v>39</v>
      </c>
      <c r="V338" s="3">
        <v>5</v>
      </c>
    </row>
    <row r="339" spans="1:22" x14ac:dyDescent="0.3">
      <c r="A339" s="2" t="s">
        <v>1016</v>
      </c>
      <c r="B339" s="10">
        <v>44045</v>
      </c>
      <c r="C339" s="22">
        <v>44045</v>
      </c>
      <c r="D339" s="1" t="s">
        <v>1017</v>
      </c>
      <c r="E339" s="1" t="s">
        <v>1018</v>
      </c>
      <c r="F339" s="1">
        <v>46</v>
      </c>
      <c r="G339" s="1" t="s">
        <v>24</v>
      </c>
      <c r="H339" s="1" t="s">
        <v>82</v>
      </c>
      <c r="I339" s="1" t="s">
        <v>293</v>
      </c>
      <c r="J339" s="1" t="s">
        <v>127</v>
      </c>
      <c r="K339" s="1" t="s">
        <v>171</v>
      </c>
      <c r="L339" s="1">
        <v>6</v>
      </c>
      <c r="M339" s="13">
        <v>76471.27</v>
      </c>
      <c r="N339" s="15">
        <v>0.21</v>
      </c>
      <c r="O339" s="13">
        <v>542833.31999999995</v>
      </c>
      <c r="P339" s="13">
        <v>79755.17</v>
      </c>
      <c r="Q339" s="13">
        <v>71.89</v>
      </c>
      <c r="R339" s="1" t="s">
        <v>64</v>
      </c>
      <c r="S339" s="1">
        <v>5</v>
      </c>
      <c r="T339" s="1" t="b">
        <v>0</v>
      </c>
      <c r="U339" s="1" t="s">
        <v>39</v>
      </c>
      <c r="V339" s="3">
        <v>5</v>
      </c>
    </row>
    <row r="340" spans="1:22" x14ac:dyDescent="0.3">
      <c r="A340" s="2" t="s">
        <v>1019</v>
      </c>
      <c r="B340" s="10">
        <v>45256</v>
      </c>
      <c r="C340" s="22">
        <v>45256</v>
      </c>
      <c r="D340" s="1" t="s">
        <v>1020</v>
      </c>
      <c r="E340" s="1" t="s">
        <v>120</v>
      </c>
      <c r="F340" s="1">
        <v>37</v>
      </c>
      <c r="G340" s="1" t="s">
        <v>34</v>
      </c>
      <c r="H340" s="1" t="s">
        <v>35</v>
      </c>
      <c r="I340" s="1" t="s">
        <v>36</v>
      </c>
      <c r="J340" s="1" t="s">
        <v>62</v>
      </c>
      <c r="K340" s="1" t="s">
        <v>107</v>
      </c>
      <c r="L340" s="1">
        <v>10</v>
      </c>
      <c r="M340" s="13">
        <v>666.25</v>
      </c>
      <c r="N340" s="15">
        <v>7.0000000000000007E-2</v>
      </c>
      <c r="O340" s="13">
        <v>5098.3999999999996</v>
      </c>
      <c r="P340" s="13">
        <v>1728.64</v>
      </c>
      <c r="Q340" s="13">
        <v>55.61</v>
      </c>
      <c r="R340" s="1" t="s">
        <v>78</v>
      </c>
      <c r="S340" s="1">
        <v>3</v>
      </c>
      <c r="T340" s="1" t="b">
        <v>0</v>
      </c>
      <c r="U340" s="1" t="s">
        <v>39</v>
      </c>
      <c r="V340" s="3">
        <v>8</v>
      </c>
    </row>
    <row r="341" spans="1:22" x14ac:dyDescent="0.3">
      <c r="A341" s="2" t="s">
        <v>1021</v>
      </c>
      <c r="B341" s="10">
        <v>45630</v>
      </c>
      <c r="C341" s="22">
        <v>45630</v>
      </c>
      <c r="D341" s="1" t="s">
        <v>1022</v>
      </c>
      <c r="E341" s="1" t="s">
        <v>1023</v>
      </c>
      <c r="F341" s="1">
        <v>5</v>
      </c>
      <c r="G341" s="1" t="s">
        <v>24</v>
      </c>
      <c r="H341" s="1" t="s">
        <v>25</v>
      </c>
      <c r="I341" s="1" t="s">
        <v>69</v>
      </c>
      <c r="J341" s="1" t="s">
        <v>127</v>
      </c>
      <c r="K341" s="1" t="s">
        <v>128</v>
      </c>
      <c r="L341" s="1">
        <v>4</v>
      </c>
      <c r="M341" s="13">
        <v>51581.35</v>
      </c>
      <c r="N341" s="15">
        <v>0.38</v>
      </c>
      <c r="O341" s="13">
        <v>131067.26</v>
      </c>
      <c r="P341" s="13">
        <v>15238.43</v>
      </c>
      <c r="Q341" s="13">
        <v>72.66</v>
      </c>
      <c r="R341" s="1" t="s">
        <v>57</v>
      </c>
      <c r="S341" s="1">
        <v>4</v>
      </c>
      <c r="T341" s="1" t="b">
        <v>1</v>
      </c>
      <c r="U341" s="1" t="s">
        <v>30</v>
      </c>
      <c r="V341" s="3">
        <v>8</v>
      </c>
    </row>
    <row r="342" spans="1:22" x14ac:dyDescent="0.3">
      <c r="A342" s="2" t="s">
        <v>1024</v>
      </c>
      <c r="B342" s="10">
        <v>44689</v>
      </c>
      <c r="C342" s="22">
        <v>44689</v>
      </c>
      <c r="D342" s="1" t="s">
        <v>1025</v>
      </c>
      <c r="E342" s="1" t="s">
        <v>324</v>
      </c>
      <c r="F342" s="1">
        <v>57</v>
      </c>
      <c r="G342" s="1" t="s">
        <v>34</v>
      </c>
      <c r="H342" s="1" t="s">
        <v>82</v>
      </c>
      <c r="I342" s="1" t="s">
        <v>293</v>
      </c>
      <c r="J342" s="1" t="s">
        <v>127</v>
      </c>
      <c r="K342" s="1" t="s">
        <v>128</v>
      </c>
      <c r="L342" s="1">
        <v>1</v>
      </c>
      <c r="M342" s="13">
        <v>67980.929999999993</v>
      </c>
      <c r="N342" s="15">
        <v>0.21</v>
      </c>
      <c r="O342" s="13">
        <v>96948</v>
      </c>
      <c r="P342" s="13">
        <v>11975.81</v>
      </c>
      <c r="Q342" s="13">
        <v>63.26</v>
      </c>
      <c r="R342" s="1" t="s">
        <v>64</v>
      </c>
      <c r="S342" s="1">
        <v>4</v>
      </c>
      <c r="T342" s="1" t="b">
        <v>0</v>
      </c>
      <c r="U342" s="1" t="s">
        <v>39</v>
      </c>
      <c r="V342" s="3">
        <v>9</v>
      </c>
    </row>
    <row r="343" spans="1:22" x14ac:dyDescent="0.3">
      <c r="A343" s="2" t="s">
        <v>1026</v>
      </c>
      <c r="B343" s="10">
        <v>44893</v>
      </c>
      <c r="C343" s="22">
        <v>44893</v>
      </c>
      <c r="D343" s="1" t="s">
        <v>1027</v>
      </c>
      <c r="E343" s="1" t="s">
        <v>42</v>
      </c>
      <c r="F343" s="1">
        <v>30</v>
      </c>
      <c r="G343" s="1" t="s">
        <v>24</v>
      </c>
      <c r="H343" s="1" t="s">
        <v>74</v>
      </c>
      <c r="I343" s="1" t="s">
        <v>192</v>
      </c>
      <c r="J343" s="1" t="s">
        <v>62</v>
      </c>
      <c r="K343" s="1" t="s">
        <v>266</v>
      </c>
      <c r="L343" s="1">
        <v>5</v>
      </c>
      <c r="M343" s="13">
        <v>1175.29</v>
      </c>
      <c r="N343" s="15">
        <v>0.36</v>
      </c>
      <c r="O343" s="13">
        <v>3025.64</v>
      </c>
      <c r="P343" s="13">
        <v>1294.96</v>
      </c>
      <c r="Q343" s="13">
        <v>66.209999999999994</v>
      </c>
      <c r="R343" s="1" t="s">
        <v>57</v>
      </c>
      <c r="S343" s="1">
        <v>2</v>
      </c>
      <c r="T343" s="1" t="b">
        <v>0</v>
      </c>
      <c r="U343" s="1" t="s">
        <v>39</v>
      </c>
      <c r="V343" s="3">
        <v>4</v>
      </c>
    </row>
    <row r="344" spans="1:22" x14ac:dyDescent="0.3">
      <c r="A344" s="2" t="s">
        <v>1028</v>
      </c>
      <c r="B344" s="10">
        <v>44178</v>
      </c>
      <c r="C344" s="22">
        <v>44178</v>
      </c>
      <c r="D344" s="1" t="s">
        <v>1029</v>
      </c>
      <c r="E344" s="1" t="s">
        <v>1030</v>
      </c>
      <c r="F344" s="1">
        <v>17</v>
      </c>
      <c r="G344" s="1" t="s">
        <v>24</v>
      </c>
      <c r="H344" s="1" t="s">
        <v>74</v>
      </c>
      <c r="I344" s="1" t="s">
        <v>101</v>
      </c>
      <c r="J344" s="1" t="s">
        <v>44</v>
      </c>
      <c r="K344" s="1" t="s">
        <v>45</v>
      </c>
      <c r="L344" s="1">
        <v>5</v>
      </c>
      <c r="M344" s="13">
        <v>30866.799999999999</v>
      </c>
      <c r="N344" s="15">
        <v>7.0000000000000007E-2</v>
      </c>
      <c r="O344" s="13">
        <v>87823.05</v>
      </c>
      <c r="P344" s="13">
        <v>26550.31</v>
      </c>
      <c r="Q344" s="13">
        <v>38.03</v>
      </c>
      <c r="R344" s="1" t="s">
        <v>29</v>
      </c>
      <c r="S344" s="1">
        <v>5</v>
      </c>
      <c r="T344" s="1" t="b">
        <v>0</v>
      </c>
      <c r="U344" s="1" t="s">
        <v>39</v>
      </c>
      <c r="V344" s="3">
        <v>10</v>
      </c>
    </row>
    <row r="345" spans="1:22" x14ac:dyDescent="0.3">
      <c r="A345" s="2" t="s">
        <v>1031</v>
      </c>
      <c r="B345" s="10">
        <v>44113</v>
      </c>
      <c r="C345" s="22">
        <v>44113</v>
      </c>
      <c r="D345" s="1" t="s">
        <v>1032</v>
      </c>
      <c r="E345" s="1" t="s">
        <v>1033</v>
      </c>
      <c r="F345" s="1">
        <v>48</v>
      </c>
      <c r="G345" s="1" t="s">
        <v>34</v>
      </c>
      <c r="H345" s="1" t="s">
        <v>25</v>
      </c>
      <c r="I345" s="1" t="s">
        <v>69</v>
      </c>
      <c r="J345" s="1" t="s">
        <v>37</v>
      </c>
      <c r="K345" s="1" t="s">
        <v>454</v>
      </c>
      <c r="L345" s="1">
        <v>9</v>
      </c>
      <c r="M345" s="13">
        <v>1406.56</v>
      </c>
      <c r="N345" s="15">
        <v>0.1</v>
      </c>
      <c r="O345" s="13">
        <v>8925.0499999999993</v>
      </c>
      <c r="P345" s="13">
        <v>3776.97</v>
      </c>
      <c r="Q345" s="13">
        <v>39.94</v>
      </c>
      <c r="R345" s="1" t="s">
        <v>64</v>
      </c>
      <c r="S345" s="1">
        <v>3</v>
      </c>
      <c r="T345" s="1" t="b">
        <v>0</v>
      </c>
      <c r="U345" s="1" t="s">
        <v>39</v>
      </c>
      <c r="V345" s="3">
        <v>5</v>
      </c>
    </row>
    <row r="346" spans="1:22" x14ac:dyDescent="0.3">
      <c r="A346" s="2" t="s">
        <v>1034</v>
      </c>
      <c r="B346" s="10">
        <v>44148</v>
      </c>
      <c r="C346" s="22">
        <v>44148</v>
      </c>
      <c r="D346" s="1" t="s">
        <v>1035</v>
      </c>
      <c r="E346" s="1" t="s">
        <v>1036</v>
      </c>
      <c r="F346" s="1">
        <v>42</v>
      </c>
      <c r="G346" s="1" t="s">
        <v>68</v>
      </c>
      <c r="H346" s="1" t="s">
        <v>82</v>
      </c>
      <c r="I346" s="1" t="s">
        <v>83</v>
      </c>
      <c r="J346" s="1" t="s">
        <v>127</v>
      </c>
      <c r="K346" s="1" t="s">
        <v>128</v>
      </c>
      <c r="L346" s="1">
        <v>6</v>
      </c>
      <c r="M346" s="13">
        <v>50084.03</v>
      </c>
      <c r="N346" s="15">
        <v>0.17</v>
      </c>
      <c r="O346" s="13">
        <v>186628.87</v>
      </c>
      <c r="P346" s="13">
        <v>20981.15</v>
      </c>
      <c r="Q346" s="13">
        <v>94.58</v>
      </c>
      <c r="R346" s="1" t="s">
        <v>29</v>
      </c>
      <c r="S346" s="1">
        <v>4</v>
      </c>
      <c r="T346" s="1" t="b">
        <v>0</v>
      </c>
      <c r="U346" s="1" t="s">
        <v>84</v>
      </c>
      <c r="V346" s="3">
        <v>6</v>
      </c>
    </row>
    <row r="347" spans="1:22" x14ac:dyDescent="0.3">
      <c r="A347" s="2" t="s">
        <v>1037</v>
      </c>
      <c r="B347" s="10">
        <v>44024</v>
      </c>
      <c r="C347" s="22">
        <v>44024</v>
      </c>
      <c r="D347" s="1" t="s">
        <v>1038</v>
      </c>
      <c r="E347" s="1" t="s">
        <v>1039</v>
      </c>
      <c r="F347" s="1">
        <v>22</v>
      </c>
      <c r="G347" s="1" t="s">
        <v>34</v>
      </c>
      <c r="H347" s="1" t="s">
        <v>35</v>
      </c>
      <c r="I347" s="1" t="s">
        <v>49</v>
      </c>
      <c r="J347" s="1" t="s">
        <v>27</v>
      </c>
      <c r="K347" s="1" t="s">
        <v>56</v>
      </c>
      <c r="L347" s="1">
        <v>2</v>
      </c>
      <c r="M347" s="13">
        <v>379.2</v>
      </c>
      <c r="N347" s="15">
        <v>0.2</v>
      </c>
      <c r="O347" s="13">
        <v>658.39</v>
      </c>
      <c r="P347" s="13">
        <v>27.25</v>
      </c>
      <c r="Q347" s="13">
        <v>67.650000000000006</v>
      </c>
      <c r="R347" s="1" t="s">
        <v>78</v>
      </c>
      <c r="S347" s="1">
        <v>1</v>
      </c>
      <c r="T347" s="1" t="b">
        <v>0</v>
      </c>
      <c r="U347" s="1" t="s">
        <v>39</v>
      </c>
      <c r="V347" s="3">
        <v>7</v>
      </c>
    </row>
    <row r="348" spans="1:22" x14ac:dyDescent="0.3">
      <c r="A348" s="2" t="s">
        <v>1040</v>
      </c>
      <c r="B348" s="10">
        <v>43881</v>
      </c>
      <c r="C348" s="22">
        <v>43881</v>
      </c>
      <c r="D348" s="1" t="s">
        <v>1041</v>
      </c>
      <c r="E348" s="1" t="s">
        <v>976</v>
      </c>
      <c r="F348" s="1">
        <v>26</v>
      </c>
      <c r="G348" s="1" t="s">
        <v>68</v>
      </c>
      <c r="H348" s="1" t="s">
        <v>111</v>
      </c>
      <c r="I348" s="1" t="s">
        <v>112</v>
      </c>
      <c r="J348" s="1" t="s">
        <v>37</v>
      </c>
      <c r="K348" s="1" t="s">
        <v>102</v>
      </c>
      <c r="L348" s="1">
        <v>2</v>
      </c>
      <c r="M348" s="13">
        <v>959.97</v>
      </c>
      <c r="N348" s="15">
        <v>0.05</v>
      </c>
      <c r="O348" s="13">
        <v>1563.91</v>
      </c>
      <c r="P348" s="13">
        <v>630.51</v>
      </c>
      <c r="Q348" s="13">
        <v>71.849999999999994</v>
      </c>
      <c r="R348" s="1" t="s">
        <v>51</v>
      </c>
      <c r="S348" s="1">
        <v>4</v>
      </c>
      <c r="T348" s="1" t="b">
        <v>0</v>
      </c>
      <c r="U348" s="1" t="s">
        <v>39</v>
      </c>
      <c r="V348" s="3">
        <v>2</v>
      </c>
    </row>
    <row r="349" spans="1:22" x14ac:dyDescent="0.3">
      <c r="A349" s="2" t="s">
        <v>1042</v>
      </c>
      <c r="B349" s="10">
        <v>43979</v>
      </c>
      <c r="C349" s="22">
        <v>43979</v>
      </c>
      <c r="D349" s="1" t="s">
        <v>1043</v>
      </c>
      <c r="E349" s="1" t="s">
        <v>1044</v>
      </c>
      <c r="F349" s="1">
        <v>20</v>
      </c>
      <c r="G349" s="1" t="s">
        <v>34</v>
      </c>
      <c r="H349" s="1" t="s">
        <v>25</v>
      </c>
      <c r="I349" s="1" t="s">
        <v>55</v>
      </c>
      <c r="J349" s="1" t="s">
        <v>76</v>
      </c>
      <c r="K349" s="1" t="s">
        <v>89</v>
      </c>
      <c r="L349" s="1">
        <v>1</v>
      </c>
      <c r="M349" s="13">
        <v>1604.88</v>
      </c>
      <c r="N349" s="15">
        <v>0.22</v>
      </c>
      <c r="O349" s="13">
        <v>1620.42</v>
      </c>
      <c r="P349" s="13">
        <v>414.75</v>
      </c>
      <c r="Q349" s="13">
        <v>71.08</v>
      </c>
      <c r="R349" s="1" t="s">
        <v>29</v>
      </c>
      <c r="S349" s="1">
        <v>3</v>
      </c>
      <c r="T349" s="1" t="b">
        <v>1</v>
      </c>
      <c r="U349" s="1" t="s">
        <v>30</v>
      </c>
      <c r="V349" s="3">
        <v>4</v>
      </c>
    </row>
    <row r="350" spans="1:22" x14ac:dyDescent="0.3">
      <c r="A350" s="2" t="s">
        <v>1045</v>
      </c>
      <c r="B350" s="10">
        <v>44852</v>
      </c>
      <c r="C350" s="22">
        <v>44852</v>
      </c>
      <c r="D350" s="1" t="s">
        <v>1046</v>
      </c>
      <c r="E350" s="1" t="s">
        <v>1047</v>
      </c>
      <c r="F350" s="1">
        <v>2</v>
      </c>
      <c r="G350" s="1" t="s">
        <v>24</v>
      </c>
      <c r="H350" s="1" t="s">
        <v>74</v>
      </c>
      <c r="I350" s="1" t="s">
        <v>101</v>
      </c>
      <c r="J350" s="1" t="s">
        <v>76</v>
      </c>
      <c r="K350" s="1" t="s">
        <v>89</v>
      </c>
      <c r="L350" s="1">
        <v>5</v>
      </c>
      <c r="M350" s="13">
        <v>3077.69</v>
      </c>
      <c r="N350" s="15">
        <v>0.12</v>
      </c>
      <c r="O350" s="13">
        <v>12279.25</v>
      </c>
      <c r="P350" s="13">
        <v>4018.97</v>
      </c>
      <c r="Q350" s="13">
        <v>55.38</v>
      </c>
      <c r="R350" s="1" t="s">
        <v>78</v>
      </c>
      <c r="S350" s="1">
        <v>3</v>
      </c>
      <c r="T350" s="1" t="b">
        <v>0</v>
      </c>
      <c r="U350" s="1" t="s">
        <v>39</v>
      </c>
      <c r="V350" s="3">
        <v>8</v>
      </c>
    </row>
    <row r="351" spans="1:22" x14ac:dyDescent="0.3">
      <c r="A351" s="2" t="s">
        <v>1048</v>
      </c>
      <c r="B351" s="10">
        <v>44344</v>
      </c>
      <c r="C351" s="22">
        <v>44344</v>
      </c>
      <c r="D351" s="1" t="s">
        <v>1049</v>
      </c>
      <c r="E351" s="1" t="s">
        <v>1050</v>
      </c>
      <c r="F351" s="1">
        <v>12</v>
      </c>
      <c r="G351" s="1" t="s">
        <v>24</v>
      </c>
      <c r="H351" s="1" t="s">
        <v>25</v>
      </c>
      <c r="I351" s="1" t="s">
        <v>26</v>
      </c>
      <c r="J351" s="1" t="s">
        <v>27</v>
      </c>
      <c r="K351" s="1" t="s">
        <v>430</v>
      </c>
      <c r="L351" s="1">
        <v>10</v>
      </c>
      <c r="M351" s="13">
        <v>179.45</v>
      </c>
      <c r="N351" s="15">
        <v>0.1</v>
      </c>
      <c r="O351" s="13">
        <v>2253.34</v>
      </c>
      <c r="P351" s="13">
        <v>170.8</v>
      </c>
      <c r="Q351" s="13">
        <v>35.54</v>
      </c>
      <c r="R351" s="1" t="s">
        <v>51</v>
      </c>
      <c r="S351" s="1">
        <v>3</v>
      </c>
      <c r="T351" s="1" t="b">
        <v>0</v>
      </c>
      <c r="U351" s="1" t="s">
        <v>39</v>
      </c>
      <c r="V351" s="3">
        <v>7</v>
      </c>
    </row>
    <row r="352" spans="1:22" x14ac:dyDescent="0.3">
      <c r="A352" s="2" t="s">
        <v>1051</v>
      </c>
      <c r="B352" s="10">
        <v>45344</v>
      </c>
      <c r="C352" s="22">
        <v>45344</v>
      </c>
      <c r="D352" s="1" t="s">
        <v>1052</v>
      </c>
      <c r="E352" s="1" t="s">
        <v>624</v>
      </c>
      <c r="F352" s="1">
        <v>25</v>
      </c>
      <c r="G352" s="1" t="s">
        <v>24</v>
      </c>
      <c r="H352" s="1" t="s">
        <v>35</v>
      </c>
      <c r="I352" s="1" t="s">
        <v>49</v>
      </c>
      <c r="J352" s="1" t="s">
        <v>76</v>
      </c>
      <c r="K352" s="1" t="s">
        <v>113</v>
      </c>
      <c r="L352" s="1">
        <v>6</v>
      </c>
      <c r="M352" s="13">
        <v>1277.6600000000001</v>
      </c>
      <c r="N352" s="15">
        <v>0.21</v>
      </c>
      <c r="O352" s="13">
        <v>7425.11</v>
      </c>
      <c r="P352" s="13">
        <v>2123.71</v>
      </c>
      <c r="Q352" s="13">
        <v>43.17</v>
      </c>
      <c r="R352" s="1" t="s">
        <v>57</v>
      </c>
      <c r="S352" s="1">
        <v>1</v>
      </c>
      <c r="T352" s="1" t="b">
        <v>0</v>
      </c>
      <c r="U352" s="1" t="s">
        <v>39</v>
      </c>
      <c r="V352" s="3">
        <v>10</v>
      </c>
    </row>
    <row r="353" spans="1:22" x14ac:dyDescent="0.3">
      <c r="A353" s="2" t="s">
        <v>1053</v>
      </c>
      <c r="B353" s="10">
        <v>44717</v>
      </c>
      <c r="C353" s="22">
        <v>44717</v>
      </c>
      <c r="D353" s="1" t="s">
        <v>1054</v>
      </c>
      <c r="E353" s="1" t="s">
        <v>770</v>
      </c>
      <c r="F353" s="1">
        <v>52</v>
      </c>
      <c r="G353" s="1" t="s">
        <v>68</v>
      </c>
      <c r="H353" s="1" t="s">
        <v>35</v>
      </c>
      <c r="I353" s="1" t="s">
        <v>106</v>
      </c>
      <c r="J353" s="1" t="s">
        <v>146</v>
      </c>
      <c r="K353" s="1" t="s">
        <v>178</v>
      </c>
      <c r="L353" s="1">
        <v>10</v>
      </c>
      <c r="M353" s="13">
        <v>6308.82</v>
      </c>
      <c r="N353" s="15">
        <v>0.36</v>
      </c>
      <c r="O353" s="13">
        <v>65319.25</v>
      </c>
      <c r="P353" s="13">
        <v>13727.44</v>
      </c>
      <c r="Q353" s="13">
        <v>63.87</v>
      </c>
      <c r="R353" s="1" t="s">
        <v>57</v>
      </c>
      <c r="S353" s="1">
        <v>1</v>
      </c>
      <c r="T353" s="1" t="b">
        <v>1</v>
      </c>
      <c r="U353" s="1" t="s">
        <v>30</v>
      </c>
      <c r="V353" s="3">
        <v>7</v>
      </c>
    </row>
    <row r="354" spans="1:22" x14ac:dyDescent="0.3">
      <c r="A354" s="2" t="s">
        <v>1055</v>
      </c>
      <c r="B354" s="10">
        <v>45221</v>
      </c>
      <c r="C354" s="22">
        <v>45221</v>
      </c>
      <c r="D354" s="1" t="s">
        <v>1056</v>
      </c>
      <c r="E354" s="1" t="s">
        <v>1057</v>
      </c>
      <c r="F354" s="1">
        <v>41</v>
      </c>
      <c r="G354" s="1" t="s">
        <v>24</v>
      </c>
      <c r="H354" s="1" t="s">
        <v>74</v>
      </c>
      <c r="I354" s="1" t="s">
        <v>75</v>
      </c>
      <c r="J354" s="1" t="s">
        <v>37</v>
      </c>
      <c r="K354" s="1" t="s">
        <v>182</v>
      </c>
      <c r="L354" s="1">
        <v>10</v>
      </c>
      <c r="M354" s="13">
        <v>850.71</v>
      </c>
      <c r="N354" s="15">
        <v>0.4</v>
      </c>
      <c r="O354" s="13">
        <v>5762.75</v>
      </c>
      <c r="P354" s="13">
        <v>2735.24</v>
      </c>
      <c r="Q354" s="13">
        <v>38.04</v>
      </c>
      <c r="R354" s="1" t="s">
        <v>64</v>
      </c>
      <c r="S354" s="1">
        <v>4</v>
      </c>
      <c r="T354" s="1" t="b">
        <v>0</v>
      </c>
      <c r="U354" s="1" t="s">
        <v>39</v>
      </c>
      <c r="V354" s="3">
        <v>6</v>
      </c>
    </row>
    <row r="355" spans="1:22" x14ac:dyDescent="0.3">
      <c r="A355" s="2" t="s">
        <v>1058</v>
      </c>
      <c r="B355" s="10">
        <v>45094</v>
      </c>
      <c r="C355" s="22">
        <v>45094</v>
      </c>
      <c r="D355" s="1" t="s">
        <v>1059</v>
      </c>
      <c r="E355" s="1" t="s">
        <v>888</v>
      </c>
      <c r="F355" s="1">
        <v>26</v>
      </c>
      <c r="G355" s="1" t="s">
        <v>34</v>
      </c>
      <c r="H355" s="1" t="s">
        <v>74</v>
      </c>
      <c r="I355" s="1" t="s">
        <v>136</v>
      </c>
      <c r="J355" s="1" t="s">
        <v>27</v>
      </c>
      <c r="K355" s="1" t="s">
        <v>400</v>
      </c>
      <c r="L355" s="1">
        <v>5</v>
      </c>
      <c r="M355" s="13">
        <v>200.85</v>
      </c>
      <c r="N355" s="15">
        <v>0.36</v>
      </c>
      <c r="O355" s="13">
        <v>1116.3800000000001</v>
      </c>
      <c r="P355" s="13">
        <v>71.67</v>
      </c>
      <c r="Q355" s="13">
        <v>58.1</v>
      </c>
      <c r="R355" s="1" t="s">
        <v>51</v>
      </c>
      <c r="S355" s="1">
        <v>2</v>
      </c>
      <c r="T355" s="1" t="b">
        <v>0</v>
      </c>
      <c r="U355" s="1" t="s">
        <v>39</v>
      </c>
      <c r="V355" s="3">
        <v>1</v>
      </c>
    </row>
    <row r="356" spans="1:22" x14ac:dyDescent="0.3">
      <c r="A356" s="2" t="s">
        <v>1060</v>
      </c>
      <c r="B356" s="10">
        <v>44418</v>
      </c>
      <c r="C356" s="22">
        <v>44418</v>
      </c>
      <c r="D356" s="1" t="s">
        <v>1061</v>
      </c>
      <c r="E356" s="1" t="s">
        <v>991</v>
      </c>
      <c r="F356" s="1">
        <v>35</v>
      </c>
      <c r="G356" s="1" t="s">
        <v>68</v>
      </c>
      <c r="H356" s="1" t="s">
        <v>82</v>
      </c>
      <c r="I356" s="1" t="s">
        <v>244</v>
      </c>
      <c r="J356" s="1" t="s">
        <v>44</v>
      </c>
      <c r="K356" s="1" t="s">
        <v>45</v>
      </c>
      <c r="L356" s="1">
        <v>3</v>
      </c>
      <c r="M356" s="13">
        <v>23823.69</v>
      </c>
      <c r="N356" s="15">
        <v>0.11</v>
      </c>
      <c r="O356" s="13">
        <v>88956.71</v>
      </c>
      <c r="P356" s="13">
        <v>26211.15</v>
      </c>
      <c r="Q356" s="13">
        <v>95.16</v>
      </c>
      <c r="R356" s="1" t="s">
        <v>51</v>
      </c>
      <c r="S356" s="1">
        <v>5</v>
      </c>
      <c r="T356" s="1" t="b">
        <v>0</v>
      </c>
      <c r="U356" s="1" t="s">
        <v>39</v>
      </c>
      <c r="V356" s="3">
        <v>6</v>
      </c>
    </row>
    <row r="357" spans="1:22" x14ac:dyDescent="0.3">
      <c r="A357" s="2" t="s">
        <v>1062</v>
      </c>
      <c r="B357" s="10">
        <v>44492</v>
      </c>
      <c r="C357" s="22">
        <v>44492</v>
      </c>
      <c r="D357" s="1" t="s">
        <v>1063</v>
      </c>
      <c r="E357" s="1" t="s">
        <v>1064</v>
      </c>
      <c r="F357" s="1">
        <v>35</v>
      </c>
      <c r="G357" s="1" t="s">
        <v>24</v>
      </c>
      <c r="H357" s="1" t="s">
        <v>35</v>
      </c>
      <c r="I357" s="1" t="s">
        <v>49</v>
      </c>
      <c r="J357" s="1" t="s">
        <v>146</v>
      </c>
      <c r="K357" s="1" t="s">
        <v>161</v>
      </c>
      <c r="L357" s="1">
        <v>6</v>
      </c>
      <c r="M357" s="13">
        <v>10030.26</v>
      </c>
      <c r="N357" s="15">
        <v>0.17</v>
      </c>
      <c r="O357" s="13">
        <v>51174.21</v>
      </c>
      <c r="P357" s="13">
        <v>14093.89</v>
      </c>
      <c r="Q357" s="13">
        <v>33.86</v>
      </c>
      <c r="R357" s="1" t="s">
        <v>57</v>
      </c>
      <c r="S357" s="1">
        <v>4</v>
      </c>
      <c r="T357" s="1" t="b">
        <v>0</v>
      </c>
      <c r="U357" s="1" t="s">
        <v>39</v>
      </c>
      <c r="V357" s="3">
        <v>8</v>
      </c>
    </row>
    <row r="358" spans="1:22" x14ac:dyDescent="0.3">
      <c r="A358" s="2" t="s">
        <v>1065</v>
      </c>
      <c r="B358" s="10">
        <v>44873</v>
      </c>
      <c r="C358" s="22">
        <v>44873</v>
      </c>
      <c r="D358" s="1" t="s">
        <v>1066</v>
      </c>
      <c r="E358" s="1" t="s">
        <v>1067</v>
      </c>
      <c r="F358" s="1">
        <v>43</v>
      </c>
      <c r="G358" s="1" t="s">
        <v>34</v>
      </c>
      <c r="H358" s="1" t="s">
        <v>82</v>
      </c>
      <c r="I358" s="1" t="s">
        <v>293</v>
      </c>
      <c r="J358" s="1" t="s">
        <v>127</v>
      </c>
      <c r="K358" s="1" t="s">
        <v>171</v>
      </c>
      <c r="L358" s="1">
        <v>9</v>
      </c>
      <c r="M358" s="13">
        <v>33801.96</v>
      </c>
      <c r="N358" s="15">
        <v>0.4</v>
      </c>
      <c r="O358" s="13">
        <v>175761.72</v>
      </c>
      <c r="P358" s="13">
        <v>23971.25</v>
      </c>
      <c r="Q358" s="13">
        <v>95.97</v>
      </c>
      <c r="R358" s="1" t="s">
        <v>64</v>
      </c>
      <c r="S358" s="1">
        <v>3</v>
      </c>
      <c r="T358" s="1" t="b">
        <v>1</v>
      </c>
      <c r="U358" s="1" t="s">
        <v>30</v>
      </c>
      <c r="V358" s="3">
        <v>7</v>
      </c>
    </row>
    <row r="359" spans="1:22" x14ac:dyDescent="0.3">
      <c r="A359" s="2" t="s">
        <v>1068</v>
      </c>
      <c r="B359" s="10">
        <v>44732</v>
      </c>
      <c r="C359" s="22">
        <v>44732</v>
      </c>
      <c r="D359" s="1" t="s">
        <v>1069</v>
      </c>
      <c r="E359" s="1" t="s">
        <v>426</v>
      </c>
      <c r="F359" s="1">
        <v>34</v>
      </c>
      <c r="G359" s="1" t="s">
        <v>24</v>
      </c>
      <c r="H359" s="1" t="s">
        <v>111</v>
      </c>
      <c r="I359" s="1" t="s">
        <v>112</v>
      </c>
      <c r="J359" s="1" t="s">
        <v>76</v>
      </c>
      <c r="K359" s="1" t="s">
        <v>77</v>
      </c>
      <c r="L359" s="1">
        <v>4</v>
      </c>
      <c r="M359" s="13">
        <v>2288.92</v>
      </c>
      <c r="N359" s="15">
        <v>0.09</v>
      </c>
      <c r="O359" s="13">
        <v>11495.42</v>
      </c>
      <c r="P359" s="13">
        <v>3680.34</v>
      </c>
      <c r="Q359" s="13">
        <v>53.41</v>
      </c>
      <c r="R359" s="1" t="s">
        <v>64</v>
      </c>
      <c r="S359" s="1">
        <v>4</v>
      </c>
      <c r="T359" s="1" t="b">
        <v>0</v>
      </c>
      <c r="U359" s="1" t="s">
        <v>137</v>
      </c>
      <c r="V359" s="3">
        <v>8</v>
      </c>
    </row>
    <row r="360" spans="1:22" x14ac:dyDescent="0.3">
      <c r="A360" s="2" t="s">
        <v>1070</v>
      </c>
      <c r="B360" s="10">
        <v>44732</v>
      </c>
      <c r="C360" s="22">
        <v>44732</v>
      </c>
      <c r="D360" s="1" t="s">
        <v>1071</v>
      </c>
      <c r="E360" s="1" t="s">
        <v>566</v>
      </c>
      <c r="F360" s="1">
        <v>49</v>
      </c>
      <c r="G360" s="1" t="s">
        <v>34</v>
      </c>
      <c r="H360" s="1" t="s">
        <v>25</v>
      </c>
      <c r="I360" s="1" t="s">
        <v>170</v>
      </c>
      <c r="J360" s="1" t="s">
        <v>27</v>
      </c>
      <c r="K360" s="1" t="s">
        <v>450</v>
      </c>
      <c r="L360" s="1">
        <v>8</v>
      </c>
      <c r="M360" s="13">
        <v>377.69</v>
      </c>
      <c r="N360" s="15">
        <v>0.27</v>
      </c>
      <c r="O360" s="13">
        <v>3219.24</v>
      </c>
      <c r="P360" s="13">
        <v>244.77</v>
      </c>
      <c r="Q360" s="13">
        <v>42.69</v>
      </c>
      <c r="R360" s="1" t="s">
        <v>70</v>
      </c>
      <c r="S360" s="1">
        <v>1</v>
      </c>
      <c r="T360" s="1" t="b">
        <v>0</v>
      </c>
      <c r="U360" s="1" t="s">
        <v>197</v>
      </c>
      <c r="V360" s="3">
        <v>4</v>
      </c>
    </row>
    <row r="361" spans="1:22" x14ac:dyDescent="0.3">
      <c r="A361" s="2" t="s">
        <v>1072</v>
      </c>
      <c r="B361" s="10">
        <v>43918</v>
      </c>
      <c r="C361" s="22">
        <v>43918</v>
      </c>
      <c r="D361" s="1" t="s">
        <v>1073</v>
      </c>
      <c r="E361" s="1" t="s">
        <v>1057</v>
      </c>
      <c r="F361" s="1">
        <v>12</v>
      </c>
      <c r="G361" s="1" t="s">
        <v>24</v>
      </c>
      <c r="H361" s="1" t="s">
        <v>74</v>
      </c>
      <c r="I361" s="1" t="s">
        <v>75</v>
      </c>
      <c r="J361" s="1" t="s">
        <v>146</v>
      </c>
      <c r="K361" s="1" t="s">
        <v>276</v>
      </c>
      <c r="L361" s="1">
        <v>8</v>
      </c>
      <c r="M361" s="13">
        <v>10282.68</v>
      </c>
      <c r="N361" s="15">
        <v>0.11</v>
      </c>
      <c r="O361" s="13">
        <v>66340.960000000006</v>
      </c>
      <c r="P361" s="13">
        <v>13106.07</v>
      </c>
      <c r="Q361" s="13">
        <v>65.44</v>
      </c>
      <c r="R361" s="1" t="s">
        <v>57</v>
      </c>
      <c r="S361" s="1">
        <v>1</v>
      </c>
      <c r="T361" s="1" t="b">
        <v>0</v>
      </c>
      <c r="U361" s="1" t="s">
        <v>39</v>
      </c>
      <c r="V361" s="3">
        <v>3</v>
      </c>
    </row>
    <row r="362" spans="1:22" x14ac:dyDescent="0.3">
      <c r="A362" s="2" t="s">
        <v>1074</v>
      </c>
      <c r="B362" s="10">
        <v>44543</v>
      </c>
      <c r="C362" s="22">
        <v>44543</v>
      </c>
      <c r="D362" s="1" t="s">
        <v>1075</v>
      </c>
      <c r="E362" s="1" t="s">
        <v>1076</v>
      </c>
      <c r="F362" s="1">
        <v>38</v>
      </c>
      <c r="G362" s="1" t="s">
        <v>34</v>
      </c>
      <c r="H362" s="1" t="s">
        <v>111</v>
      </c>
      <c r="I362" s="1" t="s">
        <v>112</v>
      </c>
      <c r="J362" s="1" t="s">
        <v>62</v>
      </c>
      <c r="K362" s="1" t="s">
        <v>63</v>
      </c>
      <c r="L362" s="1">
        <v>7</v>
      </c>
      <c r="M362" s="13">
        <v>233.11</v>
      </c>
      <c r="N362" s="15">
        <v>0.36</v>
      </c>
      <c r="O362" s="13">
        <v>762.89</v>
      </c>
      <c r="P362" s="13">
        <v>271.36</v>
      </c>
      <c r="Q362" s="13">
        <v>71.2</v>
      </c>
      <c r="R362" s="1" t="s">
        <v>78</v>
      </c>
      <c r="S362" s="1">
        <v>3</v>
      </c>
      <c r="T362" s="1" t="b">
        <v>0</v>
      </c>
      <c r="U362" s="1" t="s">
        <v>39</v>
      </c>
      <c r="V362" s="3">
        <v>2</v>
      </c>
    </row>
    <row r="363" spans="1:22" x14ac:dyDescent="0.3">
      <c r="A363" s="2" t="s">
        <v>1077</v>
      </c>
      <c r="B363" s="10">
        <v>44194</v>
      </c>
      <c r="C363" s="22">
        <v>44194</v>
      </c>
      <c r="D363" s="1" t="s">
        <v>1078</v>
      </c>
      <c r="E363" s="1" t="s">
        <v>1079</v>
      </c>
      <c r="F363" s="1">
        <v>48</v>
      </c>
      <c r="G363" s="1" t="s">
        <v>34</v>
      </c>
      <c r="H363" s="1" t="s">
        <v>35</v>
      </c>
      <c r="I363" s="1" t="s">
        <v>36</v>
      </c>
      <c r="J363" s="1" t="s">
        <v>146</v>
      </c>
      <c r="K363" s="1" t="s">
        <v>484</v>
      </c>
      <c r="L363" s="1">
        <v>4</v>
      </c>
      <c r="M363" s="13">
        <v>2347.62</v>
      </c>
      <c r="N363" s="15">
        <v>0.22</v>
      </c>
      <c r="O363" s="13">
        <v>5426.75</v>
      </c>
      <c r="P363" s="13">
        <v>1694.29</v>
      </c>
      <c r="Q363" s="13">
        <v>36.229999999999997</v>
      </c>
      <c r="R363" s="1" t="s">
        <v>29</v>
      </c>
      <c r="S363" s="1">
        <v>1</v>
      </c>
      <c r="T363" s="1" t="b">
        <v>0</v>
      </c>
      <c r="U363" s="1" t="s">
        <v>39</v>
      </c>
      <c r="V363" s="3">
        <v>10</v>
      </c>
    </row>
    <row r="364" spans="1:22" x14ac:dyDescent="0.3">
      <c r="A364" s="2" t="s">
        <v>1080</v>
      </c>
      <c r="B364" s="10">
        <v>45524</v>
      </c>
      <c r="C364" s="22">
        <v>45524</v>
      </c>
      <c r="D364" s="1" t="s">
        <v>1081</v>
      </c>
      <c r="E364" s="1" t="s">
        <v>552</v>
      </c>
      <c r="F364" s="1">
        <v>54</v>
      </c>
      <c r="G364" s="1" t="s">
        <v>24</v>
      </c>
      <c r="H364" s="1" t="s">
        <v>35</v>
      </c>
      <c r="I364" s="1" t="s">
        <v>43</v>
      </c>
      <c r="J364" s="1" t="s">
        <v>146</v>
      </c>
      <c r="K364" s="1" t="s">
        <v>147</v>
      </c>
      <c r="L364" s="1">
        <v>8</v>
      </c>
      <c r="M364" s="13">
        <v>8802.69</v>
      </c>
      <c r="N364" s="15">
        <v>0.36</v>
      </c>
      <c r="O364" s="13">
        <v>54768.47</v>
      </c>
      <c r="P364" s="13">
        <v>12390.55</v>
      </c>
      <c r="Q364" s="13">
        <v>76.209999999999994</v>
      </c>
      <c r="R364" s="1" t="s">
        <v>70</v>
      </c>
      <c r="S364" s="1">
        <v>5</v>
      </c>
      <c r="T364" s="1" t="b">
        <v>0</v>
      </c>
      <c r="U364" s="1" t="s">
        <v>39</v>
      </c>
      <c r="V364" s="3">
        <v>3</v>
      </c>
    </row>
    <row r="365" spans="1:22" x14ac:dyDescent="0.3">
      <c r="A365" s="2" t="s">
        <v>1082</v>
      </c>
      <c r="B365" s="10">
        <v>44289</v>
      </c>
      <c r="C365" s="22">
        <v>44289</v>
      </c>
      <c r="D365" s="1" t="s">
        <v>1083</v>
      </c>
      <c r="E365" s="1" t="s">
        <v>1084</v>
      </c>
      <c r="F365" s="1">
        <v>24</v>
      </c>
      <c r="G365" s="1" t="s">
        <v>24</v>
      </c>
      <c r="H365" s="1" t="s">
        <v>82</v>
      </c>
      <c r="I365" s="1" t="s">
        <v>244</v>
      </c>
      <c r="J365" s="1" t="s">
        <v>76</v>
      </c>
      <c r="K365" s="1" t="s">
        <v>132</v>
      </c>
      <c r="L365" s="1">
        <v>8</v>
      </c>
      <c r="M365" s="13">
        <v>1837.46</v>
      </c>
      <c r="N365" s="15">
        <v>0.26</v>
      </c>
      <c r="O365" s="13">
        <v>13934.11</v>
      </c>
      <c r="P365" s="13">
        <v>4142.9399999999996</v>
      </c>
      <c r="Q365" s="13">
        <v>81.400000000000006</v>
      </c>
      <c r="R365" s="1" t="s">
        <v>51</v>
      </c>
      <c r="S365" s="1">
        <v>1</v>
      </c>
      <c r="T365" s="1" t="b">
        <v>0</v>
      </c>
      <c r="U365" s="1" t="s">
        <v>84</v>
      </c>
      <c r="V365" s="3">
        <v>8</v>
      </c>
    </row>
    <row r="366" spans="1:22" x14ac:dyDescent="0.3">
      <c r="A366" s="2" t="s">
        <v>1085</v>
      </c>
      <c r="B366" s="10">
        <v>44827</v>
      </c>
      <c r="C366" s="22">
        <v>44827</v>
      </c>
      <c r="D366" s="1" t="s">
        <v>1086</v>
      </c>
      <c r="E366" s="1" t="s">
        <v>950</v>
      </c>
      <c r="F366" s="1">
        <v>32</v>
      </c>
      <c r="G366" s="1" t="s">
        <v>34</v>
      </c>
      <c r="H366" s="1" t="s">
        <v>82</v>
      </c>
      <c r="I366" s="1" t="s">
        <v>126</v>
      </c>
      <c r="J366" s="1" t="s">
        <v>146</v>
      </c>
      <c r="K366" s="1" t="s">
        <v>217</v>
      </c>
      <c r="L366" s="1">
        <v>5</v>
      </c>
      <c r="M366" s="13">
        <v>7290.72</v>
      </c>
      <c r="N366" s="15">
        <v>0</v>
      </c>
      <c r="O366" s="13">
        <v>8729.66</v>
      </c>
      <c r="P366" s="13">
        <v>2532.61</v>
      </c>
      <c r="Q366" s="13">
        <v>59.36</v>
      </c>
      <c r="R366" s="1" t="s">
        <v>51</v>
      </c>
      <c r="S366" s="1">
        <v>5</v>
      </c>
      <c r="T366" s="1" t="b">
        <v>0</v>
      </c>
      <c r="U366" s="1" t="s">
        <v>39</v>
      </c>
      <c r="V366" s="3">
        <v>2</v>
      </c>
    </row>
    <row r="367" spans="1:22" x14ac:dyDescent="0.3">
      <c r="A367" s="2" t="s">
        <v>1087</v>
      </c>
      <c r="B367" s="10">
        <v>43948</v>
      </c>
      <c r="C367" s="22">
        <v>43948</v>
      </c>
      <c r="D367" s="1" t="s">
        <v>1088</v>
      </c>
      <c r="E367" s="1" t="s">
        <v>256</v>
      </c>
      <c r="F367" s="1">
        <v>21</v>
      </c>
      <c r="G367" s="1" t="s">
        <v>68</v>
      </c>
      <c r="H367" s="1" t="s">
        <v>82</v>
      </c>
      <c r="I367" s="1" t="s">
        <v>293</v>
      </c>
      <c r="J367" s="1" t="s">
        <v>146</v>
      </c>
      <c r="K367" s="1" t="s">
        <v>161</v>
      </c>
      <c r="L367" s="1">
        <v>6</v>
      </c>
      <c r="M367" s="13">
        <v>7876.81</v>
      </c>
      <c r="N367" s="15">
        <v>0.02</v>
      </c>
      <c r="O367" s="13">
        <v>58868.95</v>
      </c>
      <c r="P367" s="13">
        <v>12406.43</v>
      </c>
      <c r="Q367" s="13">
        <v>62.09</v>
      </c>
      <c r="R367" s="1" t="s">
        <v>29</v>
      </c>
      <c r="S367" s="1">
        <v>4</v>
      </c>
      <c r="T367" s="1" t="b">
        <v>0</v>
      </c>
      <c r="U367" s="1" t="s">
        <v>137</v>
      </c>
      <c r="V367" s="3">
        <v>3</v>
      </c>
    </row>
    <row r="368" spans="1:22" x14ac:dyDescent="0.3">
      <c r="A368" s="2" t="s">
        <v>1089</v>
      </c>
      <c r="B368" s="10">
        <v>44591</v>
      </c>
      <c r="C368" s="22">
        <v>44591</v>
      </c>
      <c r="D368" s="1" t="s">
        <v>1090</v>
      </c>
      <c r="E368" s="1" t="s">
        <v>1091</v>
      </c>
      <c r="F368" s="1">
        <v>28</v>
      </c>
      <c r="G368" s="1" t="s">
        <v>68</v>
      </c>
      <c r="H368" s="1" t="s">
        <v>74</v>
      </c>
      <c r="I368" s="1" t="s">
        <v>192</v>
      </c>
      <c r="J368" s="1" t="s">
        <v>62</v>
      </c>
      <c r="K368" s="1" t="s">
        <v>151</v>
      </c>
      <c r="L368" s="1">
        <v>4</v>
      </c>
      <c r="M368" s="13">
        <v>1134.8900000000001</v>
      </c>
      <c r="N368" s="15">
        <v>0.05</v>
      </c>
      <c r="O368" s="13">
        <v>3201.22</v>
      </c>
      <c r="P368" s="13">
        <v>939.71</v>
      </c>
      <c r="Q368" s="13">
        <v>68.97</v>
      </c>
      <c r="R368" s="1" t="s">
        <v>57</v>
      </c>
      <c r="S368" s="1">
        <v>4</v>
      </c>
      <c r="T368" s="1" t="b">
        <v>0</v>
      </c>
      <c r="U368" s="1" t="s">
        <v>39</v>
      </c>
      <c r="V368" s="3">
        <v>2</v>
      </c>
    </row>
    <row r="369" spans="1:22" x14ac:dyDescent="0.3">
      <c r="A369" s="2" t="s">
        <v>1092</v>
      </c>
      <c r="B369" s="10">
        <v>44566</v>
      </c>
      <c r="C369" s="22">
        <v>44566</v>
      </c>
      <c r="D369" s="1" t="s">
        <v>1093</v>
      </c>
      <c r="E369" s="1" t="s">
        <v>247</v>
      </c>
      <c r="F369" s="1">
        <v>41</v>
      </c>
      <c r="G369" s="1" t="s">
        <v>34</v>
      </c>
      <c r="H369" s="1" t="s">
        <v>111</v>
      </c>
      <c r="I369" s="1" t="s">
        <v>112</v>
      </c>
      <c r="J369" s="1" t="s">
        <v>76</v>
      </c>
      <c r="K369" s="1" t="s">
        <v>207</v>
      </c>
      <c r="L369" s="1">
        <v>9</v>
      </c>
      <c r="M369" s="13">
        <v>3373.39</v>
      </c>
      <c r="N369" s="15">
        <v>0.02</v>
      </c>
      <c r="O369" s="13">
        <v>45729.43</v>
      </c>
      <c r="P369" s="13">
        <v>18565.86</v>
      </c>
      <c r="Q369" s="13">
        <v>73.180000000000007</v>
      </c>
      <c r="R369" s="1" t="s">
        <v>64</v>
      </c>
      <c r="S369" s="1">
        <v>2</v>
      </c>
      <c r="T369" s="1" t="b">
        <v>0</v>
      </c>
      <c r="U369" s="1" t="s">
        <v>39</v>
      </c>
      <c r="V369" s="3">
        <v>4</v>
      </c>
    </row>
    <row r="370" spans="1:22" x14ac:dyDescent="0.3">
      <c r="A370" s="2" t="s">
        <v>1094</v>
      </c>
      <c r="B370" s="10">
        <v>45021</v>
      </c>
      <c r="C370" s="22">
        <v>45021</v>
      </c>
      <c r="D370" s="1" t="s">
        <v>1095</v>
      </c>
      <c r="E370" s="1" t="s">
        <v>1096</v>
      </c>
      <c r="F370" s="1">
        <v>41</v>
      </c>
      <c r="G370" s="1" t="s">
        <v>68</v>
      </c>
      <c r="H370" s="1" t="s">
        <v>35</v>
      </c>
      <c r="I370" s="1" t="s">
        <v>43</v>
      </c>
      <c r="J370" s="1" t="s">
        <v>27</v>
      </c>
      <c r="K370" s="1" t="s">
        <v>430</v>
      </c>
      <c r="L370" s="1">
        <v>9</v>
      </c>
      <c r="M370" s="13">
        <v>467.6</v>
      </c>
      <c r="N370" s="15">
        <v>0.02</v>
      </c>
      <c r="O370" s="13">
        <v>5992.24</v>
      </c>
      <c r="P370" s="13">
        <v>654.29</v>
      </c>
      <c r="Q370" s="13">
        <v>37.130000000000003</v>
      </c>
      <c r="R370" s="1" t="s">
        <v>51</v>
      </c>
      <c r="S370" s="1">
        <v>4</v>
      </c>
      <c r="T370" s="1" t="b">
        <v>0</v>
      </c>
      <c r="U370" s="1" t="s">
        <v>39</v>
      </c>
      <c r="V370" s="3">
        <v>7</v>
      </c>
    </row>
    <row r="371" spans="1:22" x14ac:dyDescent="0.3">
      <c r="A371" s="2" t="s">
        <v>1097</v>
      </c>
      <c r="B371" s="10">
        <v>44088</v>
      </c>
      <c r="C371" s="22">
        <v>44088</v>
      </c>
      <c r="D371" s="1" t="s">
        <v>1098</v>
      </c>
      <c r="E371" s="1" t="s">
        <v>1099</v>
      </c>
      <c r="F371" s="1">
        <v>32</v>
      </c>
      <c r="G371" s="1" t="s">
        <v>24</v>
      </c>
      <c r="H371" s="1" t="s">
        <v>82</v>
      </c>
      <c r="I371" s="1" t="s">
        <v>126</v>
      </c>
      <c r="J371" s="1" t="s">
        <v>44</v>
      </c>
      <c r="K371" s="1" t="s">
        <v>186</v>
      </c>
      <c r="L371" s="1">
        <v>7</v>
      </c>
      <c r="M371" s="13">
        <v>5932.53</v>
      </c>
      <c r="N371" s="15">
        <v>0.39</v>
      </c>
      <c r="O371" s="13">
        <v>23093.119999999999</v>
      </c>
      <c r="P371" s="13">
        <v>8164.97</v>
      </c>
      <c r="Q371" s="13">
        <v>84.41</v>
      </c>
      <c r="R371" s="1" t="s">
        <v>78</v>
      </c>
      <c r="S371" s="1">
        <v>3</v>
      </c>
      <c r="T371" s="1" t="b">
        <v>0</v>
      </c>
      <c r="U371" s="1" t="s">
        <v>39</v>
      </c>
      <c r="V371" s="3">
        <v>1</v>
      </c>
    </row>
    <row r="372" spans="1:22" x14ac:dyDescent="0.3">
      <c r="A372" s="2" t="s">
        <v>1100</v>
      </c>
      <c r="B372" s="10">
        <v>45511</v>
      </c>
      <c r="C372" s="22">
        <v>45511</v>
      </c>
      <c r="D372" s="1" t="s">
        <v>1101</v>
      </c>
      <c r="E372" s="1" t="s">
        <v>726</v>
      </c>
      <c r="F372" s="1">
        <v>54</v>
      </c>
      <c r="G372" s="1" t="s">
        <v>24</v>
      </c>
      <c r="H372" s="1" t="s">
        <v>35</v>
      </c>
      <c r="I372" s="1" t="s">
        <v>106</v>
      </c>
      <c r="J372" s="1" t="s">
        <v>76</v>
      </c>
      <c r="K372" s="1" t="s">
        <v>207</v>
      </c>
      <c r="L372" s="1">
        <v>5</v>
      </c>
      <c r="M372" s="13">
        <v>545.99</v>
      </c>
      <c r="N372" s="15">
        <v>0.34</v>
      </c>
      <c r="O372" s="13">
        <v>578.97</v>
      </c>
      <c r="P372" s="13">
        <v>183.45</v>
      </c>
      <c r="Q372" s="13">
        <v>68.2</v>
      </c>
      <c r="R372" s="1" t="s">
        <v>70</v>
      </c>
      <c r="S372" s="1">
        <v>1</v>
      </c>
      <c r="T372" s="1" t="b">
        <v>0</v>
      </c>
      <c r="U372" s="1" t="s">
        <v>39</v>
      </c>
      <c r="V372" s="3">
        <v>9</v>
      </c>
    </row>
    <row r="373" spans="1:22" x14ac:dyDescent="0.3">
      <c r="A373" s="2" t="s">
        <v>1102</v>
      </c>
      <c r="B373" s="10">
        <v>44871</v>
      </c>
      <c r="C373" s="22">
        <v>44871</v>
      </c>
      <c r="D373" s="1" t="s">
        <v>1103</v>
      </c>
      <c r="E373" s="1" t="s">
        <v>363</v>
      </c>
      <c r="F373" s="1">
        <v>31</v>
      </c>
      <c r="G373" s="1" t="s">
        <v>24</v>
      </c>
      <c r="H373" s="1" t="s">
        <v>74</v>
      </c>
      <c r="I373" s="1" t="s">
        <v>136</v>
      </c>
      <c r="J373" s="1" t="s">
        <v>27</v>
      </c>
      <c r="K373" s="1" t="s">
        <v>430</v>
      </c>
      <c r="L373" s="1">
        <v>8</v>
      </c>
      <c r="M373" s="13">
        <v>163.97</v>
      </c>
      <c r="N373" s="15">
        <v>0.16</v>
      </c>
      <c r="O373" s="13">
        <v>1055.3399999999999</v>
      </c>
      <c r="P373" s="13">
        <v>91.59</v>
      </c>
      <c r="Q373" s="13">
        <v>24.74</v>
      </c>
      <c r="R373" s="1" t="s">
        <v>29</v>
      </c>
      <c r="S373" s="1">
        <v>4</v>
      </c>
      <c r="T373" s="1" t="b">
        <v>0</v>
      </c>
      <c r="U373" s="1" t="s">
        <v>137</v>
      </c>
      <c r="V373" s="3">
        <v>8</v>
      </c>
    </row>
    <row r="374" spans="1:22" x14ac:dyDescent="0.3">
      <c r="A374" s="2" t="s">
        <v>1104</v>
      </c>
      <c r="B374" s="10">
        <v>44963</v>
      </c>
      <c r="C374" s="22">
        <v>44963</v>
      </c>
      <c r="D374" s="1" t="s">
        <v>1105</v>
      </c>
      <c r="E374" s="1" t="s">
        <v>569</v>
      </c>
      <c r="F374" s="1">
        <v>39</v>
      </c>
      <c r="G374" s="1" t="s">
        <v>34</v>
      </c>
      <c r="H374" s="1" t="s">
        <v>111</v>
      </c>
      <c r="I374" s="1" t="s">
        <v>112</v>
      </c>
      <c r="J374" s="1" t="s">
        <v>62</v>
      </c>
      <c r="K374" s="1" t="s">
        <v>63</v>
      </c>
      <c r="L374" s="1">
        <v>10</v>
      </c>
      <c r="M374" s="13">
        <v>947.87</v>
      </c>
      <c r="N374" s="15">
        <v>0.24</v>
      </c>
      <c r="O374" s="13">
        <v>7234.13</v>
      </c>
      <c r="P374" s="13">
        <v>3527.5</v>
      </c>
      <c r="Q374" s="13">
        <v>84.4</v>
      </c>
      <c r="R374" s="1" t="s">
        <v>70</v>
      </c>
      <c r="S374" s="1">
        <v>4</v>
      </c>
      <c r="T374" s="1" t="b">
        <v>0</v>
      </c>
      <c r="U374" s="1" t="s">
        <v>39</v>
      </c>
      <c r="V374" s="3">
        <v>4</v>
      </c>
    </row>
    <row r="375" spans="1:22" x14ac:dyDescent="0.3">
      <c r="A375" s="2" t="s">
        <v>1106</v>
      </c>
      <c r="B375" s="10">
        <v>44243</v>
      </c>
      <c r="C375" s="22">
        <v>44243</v>
      </c>
      <c r="D375" s="1" t="s">
        <v>1107</v>
      </c>
      <c r="E375" s="1" t="s">
        <v>1108</v>
      </c>
      <c r="F375" s="1">
        <v>36</v>
      </c>
      <c r="G375" s="1" t="s">
        <v>24</v>
      </c>
      <c r="H375" s="1" t="s">
        <v>74</v>
      </c>
      <c r="I375" s="1" t="s">
        <v>75</v>
      </c>
      <c r="J375" s="1" t="s">
        <v>127</v>
      </c>
      <c r="K375" s="1" t="s">
        <v>308</v>
      </c>
      <c r="L375" s="1">
        <v>3</v>
      </c>
      <c r="M375" s="13">
        <v>48921.59</v>
      </c>
      <c r="N375" s="15">
        <v>0.19</v>
      </c>
      <c r="O375" s="13">
        <v>107608.01</v>
      </c>
      <c r="P375" s="13">
        <v>16935.060000000001</v>
      </c>
      <c r="Q375" s="13">
        <v>46.65</v>
      </c>
      <c r="R375" s="1" t="s">
        <v>70</v>
      </c>
      <c r="S375" s="1">
        <v>1</v>
      </c>
      <c r="T375" s="1" t="b">
        <v>0</v>
      </c>
      <c r="U375" s="1" t="s">
        <v>39</v>
      </c>
      <c r="V375" s="3">
        <v>3</v>
      </c>
    </row>
    <row r="376" spans="1:22" x14ac:dyDescent="0.3">
      <c r="A376" s="2" t="s">
        <v>1109</v>
      </c>
      <c r="B376" s="10">
        <v>45002</v>
      </c>
      <c r="C376" s="22">
        <v>45002</v>
      </c>
      <c r="D376" s="1" t="s">
        <v>1110</v>
      </c>
      <c r="E376" s="1" t="s">
        <v>804</v>
      </c>
      <c r="F376" s="1">
        <v>41</v>
      </c>
      <c r="G376" s="1" t="s">
        <v>68</v>
      </c>
      <c r="H376" s="1" t="s">
        <v>35</v>
      </c>
      <c r="I376" s="1" t="s">
        <v>43</v>
      </c>
      <c r="J376" s="1" t="s">
        <v>37</v>
      </c>
      <c r="K376" s="1" t="s">
        <v>454</v>
      </c>
      <c r="L376" s="1">
        <v>2</v>
      </c>
      <c r="M376" s="13">
        <v>888.49</v>
      </c>
      <c r="N376" s="15">
        <v>0.08</v>
      </c>
      <c r="O376" s="13">
        <v>2115.7399999999998</v>
      </c>
      <c r="P376" s="13">
        <v>795.3</v>
      </c>
      <c r="Q376" s="13">
        <v>42.25</v>
      </c>
      <c r="R376" s="1" t="s">
        <v>29</v>
      </c>
      <c r="S376" s="1">
        <v>1</v>
      </c>
      <c r="T376" s="1" t="b">
        <v>0</v>
      </c>
      <c r="U376" s="1" t="s">
        <v>58</v>
      </c>
      <c r="V376" s="3">
        <v>8</v>
      </c>
    </row>
    <row r="377" spans="1:22" x14ac:dyDescent="0.3">
      <c r="A377" s="2" t="s">
        <v>1111</v>
      </c>
      <c r="B377" s="10">
        <v>44516</v>
      </c>
      <c r="C377" s="22">
        <v>44516</v>
      </c>
      <c r="D377" s="1" t="s">
        <v>1112</v>
      </c>
      <c r="E377" s="1" t="s">
        <v>638</v>
      </c>
      <c r="F377" s="1">
        <v>34</v>
      </c>
      <c r="G377" s="1" t="s">
        <v>24</v>
      </c>
      <c r="H377" s="1" t="s">
        <v>74</v>
      </c>
      <c r="I377" s="1" t="s">
        <v>75</v>
      </c>
      <c r="J377" s="1" t="s">
        <v>27</v>
      </c>
      <c r="K377" s="1" t="s">
        <v>400</v>
      </c>
      <c r="L377" s="1">
        <v>1</v>
      </c>
      <c r="M377" s="13">
        <v>148.49</v>
      </c>
      <c r="N377" s="15">
        <v>0.12</v>
      </c>
      <c r="O377" s="13">
        <v>100.14</v>
      </c>
      <c r="P377" s="13">
        <v>7.46</v>
      </c>
      <c r="Q377" s="13">
        <v>70.77</v>
      </c>
      <c r="R377" s="1" t="s">
        <v>70</v>
      </c>
      <c r="S377" s="1">
        <v>1</v>
      </c>
      <c r="T377" s="1" t="b">
        <v>0</v>
      </c>
      <c r="U377" s="1" t="s">
        <v>39</v>
      </c>
      <c r="V377" s="3">
        <v>9</v>
      </c>
    </row>
    <row r="378" spans="1:22" x14ac:dyDescent="0.3">
      <c r="A378" s="2" t="s">
        <v>1113</v>
      </c>
      <c r="B378" s="10">
        <v>44098</v>
      </c>
      <c r="C378" s="22">
        <v>44098</v>
      </c>
      <c r="D378" s="1" t="s">
        <v>1114</v>
      </c>
      <c r="E378" s="1" t="s">
        <v>1108</v>
      </c>
      <c r="F378" s="1">
        <v>55</v>
      </c>
      <c r="G378" s="1" t="s">
        <v>68</v>
      </c>
      <c r="H378" s="1" t="s">
        <v>35</v>
      </c>
      <c r="I378" s="1" t="s">
        <v>43</v>
      </c>
      <c r="J378" s="1" t="s">
        <v>127</v>
      </c>
      <c r="K378" s="1" t="s">
        <v>128</v>
      </c>
      <c r="L378" s="1">
        <v>1</v>
      </c>
      <c r="M378" s="13">
        <v>38379.550000000003</v>
      </c>
      <c r="N378" s="15">
        <v>0.18</v>
      </c>
      <c r="O378" s="13">
        <v>33725.89</v>
      </c>
      <c r="P378" s="13">
        <v>4708.0600000000004</v>
      </c>
      <c r="Q378" s="13">
        <v>49.85</v>
      </c>
      <c r="R378" s="1" t="s">
        <v>51</v>
      </c>
      <c r="S378" s="1">
        <v>2</v>
      </c>
      <c r="T378" s="1" t="b">
        <v>0</v>
      </c>
      <c r="U378" s="1" t="s">
        <v>39</v>
      </c>
      <c r="V378" s="3">
        <v>3</v>
      </c>
    </row>
    <row r="379" spans="1:22" x14ac:dyDescent="0.3">
      <c r="A379" s="2" t="s">
        <v>1115</v>
      </c>
      <c r="B379" s="10">
        <v>45626</v>
      </c>
      <c r="C379" s="22">
        <v>45626</v>
      </c>
      <c r="D379" s="1" t="s">
        <v>1116</v>
      </c>
      <c r="E379" s="1" t="s">
        <v>547</v>
      </c>
      <c r="F379" s="1">
        <v>30</v>
      </c>
      <c r="G379" s="1" t="s">
        <v>68</v>
      </c>
      <c r="H379" s="1" t="s">
        <v>111</v>
      </c>
      <c r="I379" s="1" t="s">
        <v>141</v>
      </c>
      <c r="J379" s="1" t="s">
        <v>62</v>
      </c>
      <c r="K379" s="1" t="s">
        <v>63</v>
      </c>
      <c r="L379" s="1">
        <v>10</v>
      </c>
      <c r="M379" s="13">
        <v>1308.6300000000001</v>
      </c>
      <c r="N379" s="15">
        <v>0.39</v>
      </c>
      <c r="O379" s="13">
        <v>8038.79</v>
      </c>
      <c r="P379" s="13">
        <v>3691.88</v>
      </c>
      <c r="Q379" s="13">
        <v>59.74</v>
      </c>
      <c r="R379" s="1" t="s">
        <v>51</v>
      </c>
      <c r="S379" s="1">
        <v>5</v>
      </c>
      <c r="T379" s="1" t="b">
        <v>0</v>
      </c>
      <c r="U379" s="1" t="s">
        <v>39</v>
      </c>
      <c r="V379" s="3">
        <v>9</v>
      </c>
    </row>
    <row r="380" spans="1:22" x14ac:dyDescent="0.3">
      <c r="A380" s="2" t="s">
        <v>1117</v>
      </c>
      <c r="B380" s="10">
        <v>44411</v>
      </c>
      <c r="C380" s="22">
        <v>44411</v>
      </c>
      <c r="D380" s="1" t="s">
        <v>1118</v>
      </c>
      <c r="E380" s="1" t="s">
        <v>1119</v>
      </c>
      <c r="F380" s="1">
        <v>24</v>
      </c>
      <c r="G380" s="1" t="s">
        <v>24</v>
      </c>
      <c r="H380" s="1" t="s">
        <v>82</v>
      </c>
      <c r="I380" s="1" t="s">
        <v>244</v>
      </c>
      <c r="J380" s="1" t="s">
        <v>146</v>
      </c>
      <c r="K380" s="1" t="s">
        <v>276</v>
      </c>
      <c r="L380" s="1">
        <v>2</v>
      </c>
      <c r="M380" s="13">
        <v>8857.58</v>
      </c>
      <c r="N380" s="15">
        <v>0.05</v>
      </c>
      <c r="O380" s="13">
        <v>21239.19</v>
      </c>
      <c r="P380" s="13">
        <v>3446.13</v>
      </c>
      <c r="Q380" s="13">
        <v>90.64</v>
      </c>
      <c r="R380" s="1" t="s">
        <v>57</v>
      </c>
      <c r="S380" s="1">
        <v>3</v>
      </c>
      <c r="T380" s="1" t="b">
        <v>1</v>
      </c>
      <c r="U380" s="1" t="s">
        <v>30</v>
      </c>
      <c r="V380" s="3">
        <v>8</v>
      </c>
    </row>
    <row r="381" spans="1:22" x14ac:dyDescent="0.3">
      <c r="A381" s="2" t="s">
        <v>1120</v>
      </c>
      <c r="B381" s="10">
        <v>44711</v>
      </c>
      <c r="C381" s="22">
        <v>44711</v>
      </c>
      <c r="D381" s="1" t="s">
        <v>1121</v>
      </c>
      <c r="E381" s="1" t="s">
        <v>719</v>
      </c>
      <c r="F381" s="1">
        <v>38</v>
      </c>
      <c r="G381" s="1" t="s">
        <v>24</v>
      </c>
      <c r="H381" s="1" t="s">
        <v>111</v>
      </c>
      <c r="I381" s="1" t="s">
        <v>141</v>
      </c>
      <c r="J381" s="1" t="s">
        <v>146</v>
      </c>
      <c r="K381" s="1" t="s">
        <v>217</v>
      </c>
      <c r="L381" s="1">
        <v>10</v>
      </c>
      <c r="M381" s="13">
        <v>2313.34</v>
      </c>
      <c r="N381" s="15">
        <v>7.0000000000000007E-2</v>
      </c>
      <c r="O381" s="13">
        <v>26178.67</v>
      </c>
      <c r="P381" s="13">
        <v>6071.72</v>
      </c>
      <c r="Q381" s="13">
        <v>54.61</v>
      </c>
      <c r="R381" s="1" t="s">
        <v>29</v>
      </c>
      <c r="S381" s="1">
        <v>1</v>
      </c>
      <c r="T381" s="1" t="b">
        <v>1</v>
      </c>
      <c r="U381" s="1" t="s">
        <v>30</v>
      </c>
      <c r="V381" s="3">
        <v>3</v>
      </c>
    </row>
    <row r="382" spans="1:22" x14ac:dyDescent="0.3">
      <c r="A382" s="2" t="s">
        <v>1122</v>
      </c>
      <c r="B382" s="10">
        <v>44998</v>
      </c>
      <c r="C382" s="22">
        <v>44998</v>
      </c>
      <c r="D382" s="1" t="s">
        <v>1123</v>
      </c>
      <c r="E382" s="1" t="s">
        <v>569</v>
      </c>
      <c r="F382" s="1">
        <v>25</v>
      </c>
      <c r="G382" s="1" t="s">
        <v>34</v>
      </c>
      <c r="H382" s="1" t="s">
        <v>111</v>
      </c>
      <c r="I382" s="1" t="s">
        <v>330</v>
      </c>
      <c r="J382" s="1" t="s">
        <v>146</v>
      </c>
      <c r="K382" s="1" t="s">
        <v>276</v>
      </c>
      <c r="L382" s="1">
        <v>4</v>
      </c>
      <c r="M382" s="13">
        <v>7081.6</v>
      </c>
      <c r="N382" s="15">
        <v>0.31</v>
      </c>
      <c r="O382" s="13">
        <v>25039.19</v>
      </c>
      <c r="P382" s="13">
        <v>6611.41</v>
      </c>
      <c r="Q382" s="13">
        <v>89.06</v>
      </c>
      <c r="R382" s="1" t="s">
        <v>29</v>
      </c>
      <c r="S382" s="1">
        <v>3</v>
      </c>
      <c r="T382" s="1" t="b">
        <v>1</v>
      </c>
      <c r="U382" s="1" t="s">
        <v>30</v>
      </c>
      <c r="V382" s="3">
        <v>10</v>
      </c>
    </row>
    <row r="383" spans="1:22" x14ac:dyDescent="0.3">
      <c r="A383" s="2" t="s">
        <v>1124</v>
      </c>
      <c r="B383" s="10">
        <v>44786</v>
      </c>
      <c r="C383" s="22">
        <v>44786</v>
      </c>
      <c r="D383" s="1" t="s">
        <v>1125</v>
      </c>
      <c r="E383" s="1" t="s">
        <v>905</v>
      </c>
      <c r="F383" s="1">
        <v>21</v>
      </c>
      <c r="G383" s="1" t="s">
        <v>463</v>
      </c>
      <c r="H383" s="1" t="s">
        <v>74</v>
      </c>
      <c r="I383" s="1" t="s">
        <v>192</v>
      </c>
      <c r="J383" s="1" t="s">
        <v>76</v>
      </c>
      <c r="K383" s="1" t="s">
        <v>207</v>
      </c>
      <c r="L383" s="1">
        <v>8</v>
      </c>
      <c r="M383" s="13">
        <v>3588.17</v>
      </c>
      <c r="N383" s="15">
        <v>0.24</v>
      </c>
      <c r="O383" s="13">
        <v>31618.79</v>
      </c>
      <c r="P383" s="13">
        <v>13674.74</v>
      </c>
      <c r="Q383" s="13">
        <v>86.78</v>
      </c>
      <c r="R383" s="1" t="s">
        <v>51</v>
      </c>
      <c r="S383" s="1">
        <v>1</v>
      </c>
      <c r="T383" s="1" t="b">
        <v>0</v>
      </c>
      <c r="U383" s="1" t="s">
        <v>39</v>
      </c>
      <c r="V383" s="3">
        <v>7</v>
      </c>
    </row>
    <row r="384" spans="1:22" x14ac:dyDescent="0.3">
      <c r="A384" s="2" t="s">
        <v>1126</v>
      </c>
      <c r="B384" s="10">
        <v>45503</v>
      </c>
      <c r="C384" s="22">
        <v>45503</v>
      </c>
      <c r="D384" s="1" t="s">
        <v>1127</v>
      </c>
      <c r="E384" s="1" t="s">
        <v>1128</v>
      </c>
      <c r="F384" s="1">
        <v>19</v>
      </c>
      <c r="G384" s="1" t="s">
        <v>24</v>
      </c>
      <c r="H384" s="1" t="s">
        <v>35</v>
      </c>
      <c r="I384" s="1" t="s">
        <v>106</v>
      </c>
      <c r="J384" s="1" t="s">
        <v>76</v>
      </c>
      <c r="K384" s="1" t="s">
        <v>89</v>
      </c>
      <c r="L384" s="1">
        <v>4</v>
      </c>
      <c r="M384" s="13">
        <v>2461.65</v>
      </c>
      <c r="N384" s="15">
        <v>0.33</v>
      </c>
      <c r="O384" s="13">
        <v>9963.8700000000008</v>
      </c>
      <c r="P384" s="13">
        <v>2386.31</v>
      </c>
      <c r="Q384" s="13">
        <v>85.19</v>
      </c>
      <c r="R384" s="1" t="s">
        <v>57</v>
      </c>
      <c r="S384" s="1">
        <v>4</v>
      </c>
      <c r="T384" s="1" t="b">
        <v>0</v>
      </c>
      <c r="U384" s="1" t="s">
        <v>39</v>
      </c>
      <c r="V384" s="3">
        <v>1</v>
      </c>
    </row>
    <row r="385" spans="1:22" x14ac:dyDescent="0.3">
      <c r="A385" s="2" t="s">
        <v>1129</v>
      </c>
      <c r="B385" s="10">
        <v>44118</v>
      </c>
      <c r="C385" s="22">
        <v>44118</v>
      </c>
      <c r="D385" s="1" t="s">
        <v>1130</v>
      </c>
      <c r="E385" s="1" t="s">
        <v>1131</v>
      </c>
      <c r="F385" s="1">
        <v>34</v>
      </c>
      <c r="G385" s="1" t="s">
        <v>24</v>
      </c>
      <c r="H385" s="1" t="s">
        <v>25</v>
      </c>
      <c r="I385" s="1" t="s">
        <v>69</v>
      </c>
      <c r="J385" s="1" t="s">
        <v>44</v>
      </c>
      <c r="K385" s="1" t="s">
        <v>50</v>
      </c>
      <c r="L385" s="1">
        <v>4</v>
      </c>
      <c r="M385" s="13">
        <v>22879.02</v>
      </c>
      <c r="N385" s="15">
        <v>0.1</v>
      </c>
      <c r="O385" s="13">
        <v>63905.82</v>
      </c>
      <c r="P385" s="13">
        <v>18612.63</v>
      </c>
      <c r="Q385" s="13">
        <v>53.94</v>
      </c>
      <c r="R385" s="1" t="s">
        <v>64</v>
      </c>
      <c r="S385" s="1">
        <v>1</v>
      </c>
      <c r="T385" s="1" t="b">
        <v>0</v>
      </c>
      <c r="U385" s="1" t="s">
        <v>84</v>
      </c>
      <c r="V385" s="3">
        <v>6</v>
      </c>
    </row>
    <row r="386" spans="1:22" x14ac:dyDescent="0.3">
      <c r="A386" s="2" t="s">
        <v>1132</v>
      </c>
      <c r="B386" s="10">
        <v>45095</v>
      </c>
      <c r="C386" s="22">
        <v>45095</v>
      </c>
      <c r="D386" s="1" t="s">
        <v>1133</v>
      </c>
      <c r="E386" s="1" t="s">
        <v>418</v>
      </c>
      <c r="F386" s="1">
        <v>15</v>
      </c>
      <c r="G386" s="1" t="s">
        <v>34</v>
      </c>
      <c r="H386" s="1" t="s">
        <v>74</v>
      </c>
      <c r="I386" s="1" t="s">
        <v>101</v>
      </c>
      <c r="J386" s="1" t="s">
        <v>62</v>
      </c>
      <c r="K386" s="1" t="s">
        <v>107</v>
      </c>
      <c r="L386" s="1">
        <v>9</v>
      </c>
      <c r="M386" s="13">
        <v>916.14</v>
      </c>
      <c r="N386" s="15">
        <v>0.36</v>
      </c>
      <c r="O386" s="13">
        <v>8220.0400000000009</v>
      </c>
      <c r="P386" s="13">
        <v>2666.27</v>
      </c>
      <c r="Q386" s="13">
        <v>63.91</v>
      </c>
      <c r="R386" s="1" t="s">
        <v>64</v>
      </c>
      <c r="S386" s="1">
        <v>4</v>
      </c>
      <c r="T386" s="1" t="b">
        <v>0</v>
      </c>
      <c r="U386" s="1" t="s">
        <v>84</v>
      </c>
      <c r="V386" s="3">
        <v>7</v>
      </c>
    </row>
    <row r="387" spans="1:22" x14ac:dyDescent="0.3">
      <c r="A387" s="2" t="s">
        <v>1134</v>
      </c>
      <c r="B387" s="10">
        <v>44468</v>
      </c>
      <c r="C387" s="22">
        <v>44468</v>
      </c>
      <c r="D387" s="1" t="s">
        <v>1135</v>
      </c>
      <c r="E387" s="1" t="s">
        <v>286</v>
      </c>
      <c r="F387" s="1">
        <v>32</v>
      </c>
      <c r="G387" s="1" t="s">
        <v>24</v>
      </c>
      <c r="H387" s="1" t="s">
        <v>111</v>
      </c>
      <c r="I387" s="1" t="s">
        <v>121</v>
      </c>
      <c r="J387" s="1" t="s">
        <v>44</v>
      </c>
      <c r="K387" s="1" t="s">
        <v>45</v>
      </c>
      <c r="L387" s="1">
        <v>6</v>
      </c>
      <c r="M387" s="13">
        <v>3717.72</v>
      </c>
      <c r="N387" s="15">
        <v>0.22</v>
      </c>
      <c r="O387" s="13">
        <v>17177.150000000001</v>
      </c>
      <c r="P387" s="13">
        <v>4949.58</v>
      </c>
      <c r="Q387" s="13">
        <v>62.81</v>
      </c>
      <c r="R387" s="1" t="s">
        <v>57</v>
      </c>
      <c r="S387" s="1">
        <v>2</v>
      </c>
      <c r="T387" s="1" t="b">
        <v>0</v>
      </c>
      <c r="U387" s="1" t="s">
        <v>39</v>
      </c>
      <c r="V387" s="3">
        <v>3</v>
      </c>
    </row>
    <row r="388" spans="1:22" x14ac:dyDescent="0.3">
      <c r="A388" s="2" t="s">
        <v>1136</v>
      </c>
      <c r="B388" s="10">
        <v>45180</v>
      </c>
      <c r="C388" s="22">
        <v>45180</v>
      </c>
      <c r="D388" s="1" t="s">
        <v>1137</v>
      </c>
      <c r="E388" s="1" t="s">
        <v>983</v>
      </c>
      <c r="F388" s="1">
        <v>42</v>
      </c>
      <c r="G388" s="1" t="s">
        <v>24</v>
      </c>
      <c r="H388" s="1" t="s">
        <v>111</v>
      </c>
      <c r="I388" s="1" t="s">
        <v>121</v>
      </c>
      <c r="J388" s="1" t="s">
        <v>146</v>
      </c>
      <c r="K388" s="1" t="s">
        <v>178</v>
      </c>
      <c r="L388" s="1">
        <v>7</v>
      </c>
      <c r="M388" s="13">
        <v>7005.09</v>
      </c>
      <c r="N388" s="15">
        <v>0.21</v>
      </c>
      <c r="O388" s="13">
        <v>55004.13</v>
      </c>
      <c r="P388" s="13">
        <v>13825.48</v>
      </c>
      <c r="Q388" s="13">
        <v>39.04</v>
      </c>
      <c r="R388" s="1" t="s">
        <v>57</v>
      </c>
      <c r="S388" s="1">
        <v>3</v>
      </c>
      <c r="T388" s="1" t="b">
        <v>0</v>
      </c>
      <c r="U388" s="1" t="s">
        <v>39</v>
      </c>
      <c r="V388" s="3">
        <v>3</v>
      </c>
    </row>
    <row r="389" spans="1:22" x14ac:dyDescent="0.3">
      <c r="A389" s="2" t="s">
        <v>1138</v>
      </c>
      <c r="B389" s="10">
        <v>43941</v>
      </c>
      <c r="C389" s="22">
        <v>43941</v>
      </c>
      <c r="D389" s="1" t="s">
        <v>1139</v>
      </c>
      <c r="E389" s="1" t="s">
        <v>1096</v>
      </c>
      <c r="F389" s="1">
        <v>26</v>
      </c>
      <c r="G389" s="1" t="s">
        <v>34</v>
      </c>
      <c r="H389" s="1" t="s">
        <v>74</v>
      </c>
      <c r="I389" s="1" t="s">
        <v>101</v>
      </c>
      <c r="J389" s="1" t="s">
        <v>44</v>
      </c>
      <c r="K389" s="1" t="s">
        <v>45</v>
      </c>
      <c r="L389" s="1">
        <v>1</v>
      </c>
      <c r="M389" s="13">
        <v>6470.7</v>
      </c>
      <c r="N389" s="15">
        <v>0.34</v>
      </c>
      <c r="O389" s="13">
        <v>4394.74</v>
      </c>
      <c r="P389" s="13">
        <v>1235.03</v>
      </c>
      <c r="Q389" s="13">
        <v>66.87</v>
      </c>
      <c r="R389" s="1" t="s">
        <v>57</v>
      </c>
      <c r="S389" s="1">
        <v>4</v>
      </c>
      <c r="T389" s="1" t="b">
        <v>0</v>
      </c>
      <c r="U389" s="1" t="s">
        <v>39</v>
      </c>
      <c r="V389" s="3">
        <v>7</v>
      </c>
    </row>
    <row r="390" spans="1:22" x14ac:dyDescent="0.3">
      <c r="A390" s="2" t="s">
        <v>1140</v>
      </c>
      <c r="B390" s="10">
        <v>45131</v>
      </c>
      <c r="C390" s="22">
        <v>45131</v>
      </c>
      <c r="D390" s="1" t="s">
        <v>1141</v>
      </c>
      <c r="E390" s="1" t="s">
        <v>1142</v>
      </c>
      <c r="F390" s="1">
        <v>38</v>
      </c>
      <c r="G390" s="1" t="s">
        <v>68</v>
      </c>
      <c r="H390" s="1" t="s">
        <v>25</v>
      </c>
      <c r="I390" s="1" t="s">
        <v>26</v>
      </c>
      <c r="J390" s="1" t="s">
        <v>62</v>
      </c>
      <c r="K390" s="1" t="s">
        <v>107</v>
      </c>
      <c r="L390" s="1">
        <v>10</v>
      </c>
      <c r="M390" s="13">
        <v>680.67</v>
      </c>
      <c r="N390" s="15">
        <v>0.28000000000000003</v>
      </c>
      <c r="O390" s="13">
        <v>7920.13</v>
      </c>
      <c r="P390" s="13">
        <v>4381.82</v>
      </c>
      <c r="Q390" s="13">
        <v>60.91</v>
      </c>
      <c r="R390" s="1" t="s">
        <v>70</v>
      </c>
      <c r="S390" s="1">
        <v>3</v>
      </c>
      <c r="T390" s="1" t="b">
        <v>0</v>
      </c>
      <c r="U390" s="1" t="s">
        <v>39</v>
      </c>
      <c r="V390" s="3">
        <v>4</v>
      </c>
    </row>
    <row r="391" spans="1:22" x14ac:dyDescent="0.3">
      <c r="A391" s="2" t="s">
        <v>1143</v>
      </c>
      <c r="B391" s="10">
        <v>44464</v>
      </c>
      <c r="C391" s="22">
        <v>44464</v>
      </c>
      <c r="D391" s="1" t="s">
        <v>1144</v>
      </c>
      <c r="E391" s="1" t="s">
        <v>1047</v>
      </c>
      <c r="F391" s="1">
        <v>38</v>
      </c>
      <c r="G391" s="1" t="s">
        <v>434</v>
      </c>
      <c r="H391" s="1" t="s">
        <v>25</v>
      </c>
      <c r="I391" s="1" t="s">
        <v>26</v>
      </c>
      <c r="J391" s="1" t="s">
        <v>37</v>
      </c>
      <c r="K391" s="1" t="s">
        <v>231</v>
      </c>
      <c r="L391" s="1">
        <v>2</v>
      </c>
      <c r="M391" s="13">
        <v>1348.14</v>
      </c>
      <c r="N391" s="15">
        <v>0.25</v>
      </c>
      <c r="O391" s="13">
        <v>2363.6999999999998</v>
      </c>
      <c r="P391" s="13">
        <v>904.82</v>
      </c>
      <c r="Q391" s="13">
        <v>48.59</v>
      </c>
      <c r="R391" s="1" t="s">
        <v>78</v>
      </c>
      <c r="S391" s="1">
        <v>2</v>
      </c>
      <c r="T391" s="1" t="b">
        <v>0</v>
      </c>
      <c r="U391" s="1" t="s">
        <v>39</v>
      </c>
      <c r="V391" s="3">
        <v>5</v>
      </c>
    </row>
    <row r="392" spans="1:22" x14ac:dyDescent="0.3">
      <c r="A392" s="2" t="s">
        <v>1145</v>
      </c>
      <c r="B392" s="10">
        <v>44836</v>
      </c>
      <c r="C392" s="22">
        <v>44836</v>
      </c>
      <c r="D392" s="1" t="s">
        <v>1146</v>
      </c>
      <c r="E392" s="1" t="s">
        <v>505</v>
      </c>
      <c r="F392" s="1">
        <v>34</v>
      </c>
      <c r="G392" s="1" t="s">
        <v>68</v>
      </c>
      <c r="H392" s="1" t="s">
        <v>111</v>
      </c>
      <c r="I392" s="1" t="s">
        <v>121</v>
      </c>
      <c r="J392" s="1" t="s">
        <v>76</v>
      </c>
      <c r="K392" s="1" t="s">
        <v>122</v>
      </c>
      <c r="L392" s="1">
        <v>10</v>
      </c>
      <c r="M392" s="13">
        <v>2259.7800000000002</v>
      </c>
      <c r="N392" s="15">
        <v>0.04</v>
      </c>
      <c r="O392" s="13">
        <v>20953.37</v>
      </c>
      <c r="P392" s="13">
        <v>7949.05</v>
      </c>
      <c r="Q392" s="13">
        <v>52.93</v>
      </c>
      <c r="R392" s="1" t="s">
        <v>78</v>
      </c>
      <c r="S392" s="1">
        <v>5</v>
      </c>
      <c r="T392" s="1" t="b">
        <v>0</v>
      </c>
      <c r="U392" s="1" t="s">
        <v>39</v>
      </c>
      <c r="V392" s="3">
        <v>7</v>
      </c>
    </row>
    <row r="393" spans="1:22" x14ac:dyDescent="0.3">
      <c r="A393" s="2" t="s">
        <v>1147</v>
      </c>
      <c r="B393" s="10">
        <v>44555</v>
      </c>
      <c r="C393" s="22">
        <v>44555</v>
      </c>
      <c r="D393" s="1" t="s">
        <v>759</v>
      </c>
      <c r="E393" s="1" t="s">
        <v>644</v>
      </c>
      <c r="F393" s="1">
        <v>27</v>
      </c>
      <c r="G393" s="1" t="s">
        <v>68</v>
      </c>
      <c r="H393" s="1" t="s">
        <v>74</v>
      </c>
      <c r="I393" s="1" t="s">
        <v>75</v>
      </c>
      <c r="J393" s="1" t="s">
        <v>37</v>
      </c>
      <c r="K393" s="1" t="s">
        <v>38</v>
      </c>
      <c r="L393" s="1">
        <v>1</v>
      </c>
      <c r="M393" s="13">
        <v>805.29</v>
      </c>
      <c r="N393" s="15">
        <v>0.36</v>
      </c>
      <c r="O393" s="13">
        <v>359.88</v>
      </c>
      <c r="P393" s="13">
        <v>172.3</v>
      </c>
      <c r="Q393" s="13">
        <v>52.35</v>
      </c>
      <c r="R393" s="1" t="s">
        <v>57</v>
      </c>
      <c r="S393" s="1">
        <v>3</v>
      </c>
      <c r="T393" s="1" t="b">
        <v>0</v>
      </c>
      <c r="U393" s="1" t="s">
        <v>39</v>
      </c>
      <c r="V393" s="3">
        <v>6</v>
      </c>
    </row>
    <row r="394" spans="1:22" x14ac:dyDescent="0.3">
      <c r="A394" s="2" t="s">
        <v>1148</v>
      </c>
      <c r="B394" s="10">
        <v>44081</v>
      </c>
      <c r="C394" s="22">
        <v>44081</v>
      </c>
      <c r="D394" s="1" t="s">
        <v>1149</v>
      </c>
      <c r="E394" s="1" t="s">
        <v>831</v>
      </c>
      <c r="F394" s="1">
        <v>33</v>
      </c>
      <c r="G394" s="1" t="s">
        <v>68</v>
      </c>
      <c r="H394" s="1" t="s">
        <v>111</v>
      </c>
      <c r="I394" s="1" t="s">
        <v>121</v>
      </c>
      <c r="J394" s="1" t="s">
        <v>62</v>
      </c>
      <c r="K394" s="1" t="s">
        <v>107</v>
      </c>
      <c r="L394" s="1">
        <v>6</v>
      </c>
      <c r="M394" s="13">
        <v>1105.96</v>
      </c>
      <c r="N394" s="15">
        <v>0.28999999999999998</v>
      </c>
      <c r="O394" s="13">
        <v>5241.79</v>
      </c>
      <c r="P394" s="13">
        <v>1716.01</v>
      </c>
      <c r="Q394" s="13">
        <v>67.650000000000006</v>
      </c>
      <c r="R394" s="1" t="s">
        <v>29</v>
      </c>
      <c r="S394" s="1">
        <v>3</v>
      </c>
      <c r="T394" s="1" t="b">
        <v>1</v>
      </c>
      <c r="U394" s="1" t="s">
        <v>30</v>
      </c>
      <c r="V394" s="3">
        <v>3</v>
      </c>
    </row>
    <row r="395" spans="1:22" x14ac:dyDescent="0.3">
      <c r="A395" s="2" t="s">
        <v>1150</v>
      </c>
      <c r="B395" s="10">
        <v>44687</v>
      </c>
      <c r="C395" s="22">
        <v>44687</v>
      </c>
      <c r="D395" s="1" t="s">
        <v>1151</v>
      </c>
      <c r="E395" s="1" t="s">
        <v>145</v>
      </c>
      <c r="F395" s="1">
        <v>30</v>
      </c>
      <c r="G395" s="1" t="s">
        <v>68</v>
      </c>
      <c r="H395" s="1" t="s">
        <v>35</v>
      </c>
      <c r="I395" s="1" t="s">
        <v>43</v>
      </c>
      <c r="J395" s="1" t="s">
        <v>37</v>
      </c>
      <c r="K395" s="1" t="s">
        <v>38</v>
      </c>
      <c r="L395" s="1">
        <v>8</v>
      </c>
      <c r="M395" s="13">
        <v>2364.86</v>
      </c>
      <c r="N395" s="15">
        <v>0.15</v>
      </c>
      <c r="O395" s="13">
        <v>20195.66</v>
      </c>
      <c r="P395" s="13">
        <v>11817.43</v>
      </c>
      <c r="Q395" s="13">
        <v>58.27</v>
      </c>
      <c r="R395" s="1" t="s">
        <v>29</v>
      </c>
      <c r="S395" s="1">
        <v>5</v>
      </c>
      <c r="T395" s="1" t="b">
        <v>0</v>
      </c>
      <c r="U395" s="1" t="s">
        <v>39</v>
      </c>
      <c r="V395" s="3">
        <v>5</v>
      </c>
    </row>
    <row r="396" spans="1:22" x14ac:dyDescent="0.3">
      <c r="A396" s="2" t="s">
        <v>1152</v>
      </c>
      <c r="B396" s="10">
        <v>43888</v>
      </c>
      <c r="C396" s="22">
        <v>43888</v>
      </c>
      <c r="D396" s="1" t="s">
        <v>1153</v>
      </c>
      <c r="E396" s="1" t="s">
        <v>1154</v>
      </c>
      <c r="F396" s="1">
        <v>40</v>
      </c>
      <c r="G396" s="1" t="s">
        <v>434</v>
      </c>
      <c r="H396" s="1" t="s">
        <v>82</v>
      </c>
      <c r="I396" s="1" t="s">
        <v>244</v>
      </c>
      <c r="J396" s="1" t="s">
        <v>146</v>
      </c>
      <c r="K396" s="1" t="s">
        <v>217</v>
      </c>
      <c r="L396" s="1">
        <v>1</v>
      </c>
      <c r="M396" s="13">
        <v>11227.96</v>
      </c>
      <c r="N396" s="15">
        <v>0.31</v>
      </c>
      <c r="O396" s="13">
        <v>6220.68</v>
      </c>
      <c r="P396" s="13">
        <v>1706.13</v>
      </c>
      <c r="Q396" s="13">
        <v>87.6</v>
      </c>
      <c r="R396" s="1" t="s">
        <v>57</v>
      </c>
      <c r="S396" s="1">
        <v>2</v>
      </c>
      <c r="T396" s="1" t="b">
        <v>0</v>
      </c>
      <c r="U396" s="1" t="s">
        <v>137</v>
      </c>
      <c r="V396" s="3">
        <v>3</v>
      </c>
    </row>
    <row r="397" spans="1:22" x14ac:dyDescent="0.3">
      <c r="A397" s="2" t="s">
        <v>1155</v>
      </c>
      <c r="B397" s="10">
        <v>45143</v>
      </c>
      <c r="C397" s="22">
        <v>45143</v>
      </c>
      <c r="D397" s="1" t="s">
        <v>1156</v>
      </c>
      <c r="E397" s="1" t="s">
        <v>440</v>
      </c>
      <c r="F397" s="1">
        <v>60</v>
      </c>
      <c r="G397" s="1" t="s">
        <v>24</v>
      </c>
      <c r="H397" s="1" t="s">
        <v>35</v>
      </c>
      <c r="I397" s="1" t="s">
        <v>49</v>
      </c>
      <c r="J397" s="1" t="s">
        <v>146</v>
      </c>
      <c r="K397" s="1" t="s">
        <v>217</v>
      </c>
      <c r="L397" s="1">
        <v>3</v>
      </c>
      <c r="M397" s="13">
        <v>6247.18</v>
      </c>
      <c r="N397" s="15">
        <v>0.23</v>
      </c>
      <c r="O397" s="13">
        <v>19652.060000000001</v>
      </c>
      <c r="P397" s="13">
        <v>5128.8900000000003</v>
      </c>
      <c r="Q397" s="13">
        <v>52.48</v>
      </c>
      <c r="R397" s="1" t="s">
        <v>70</v>
      </c>
      <c r="S397" s="1">
        <v>4</v>
      </c>
      <c r="T397" s="1" t="b">
        <v>0</v>
      </c>
      <c r="U397" s="1" t="s">
        <v>39</v>
      </c>
      <c r="V397" s="3">
        <v>7</v>
      </c>
    </row>
    <row r="398" spans="1:22" x14ac:dyDescent="0.3">
      <c r="A398" s="2" t="s">
        <v>1157</v>
      </c>
      <c r="B398" s="10">
        <v>45607</v>
      </c>
      <c r="C398" s="22">
        <v>45607</v>
      </c>
      <c r="D398" s="1" t="s">
        <v>1158</v>
      </c>
      <c r="E398" s="1" t="s">
        <v>1159</v>
      </c>
      <c r="F398" s="1">
        <v>43</v>
      </c>
      <c r="G398" s="1" t="s">
        <v>68</v>
      </c>
      <c r="H398" s="1" t="s">
        <v>111</v>
      </c>
      <c r="I398" s="1" t="s">
        <v>112</v>
      </c>
      <c r="J398" s="1" t="s">
        <v>44</v>
      </c>
      <c r="K398" s="1" t="s">
        <v>50</v>
      </c>
      <c r="L398" s="1">
        <v>2</v>
      </c>
      <c r="M398" s="13">
        <v>28947.69</v>
      </c>
      <c r="N398" s="15">
        <v>0.39</v>
      </c>
      <c r="O398" s="13">
        <v>35266.769999999997</v>
      </c>
      <c r="P398" s="13">
        <v>8167.38</v>
      </c>
      <c r="Q398" s="13">
        <v>63.11</v>
      </c>
      <c r="R398" s="1" t="s">
        <v>78</v>
      </c>
      <c r="S398" s="1">
        <v>3</v>
      </c>
      <c r="T398" s="1" t="b">
        <v>0</v>
      </c>
      <c r="U398" s="1" t="s">
        <v>39</v>
      </c>
      <c r="V398" s="3">
        <v>1</v>
      </c>
    </row>
    <row r="399" spans="1:22" x14ac:dyDescent="0.3">
      <c r="A399" s="2" t="s">
        <v>1160</v>
      </c>
      <c r="B399" s="10">
        <v>45164</v>
      </c>
      <c r="C399" s="22">
        <v>45164</v>
      </c>
      <c r="D399" s="1" t="s">
        <v>1161</v>
      </c>
      <c r="E399" s="1" t="s">
        <v>983</v>
      </c>
      <c r="F399" s="1">
        <v>35</v>
      </c>
      <c r="G399" s="1" t="s">
        <v>24</v>
      </c>
      <c r="H399" s="1" t="s">
        <v>35</v>
      </c>
      <c r="I399" s="1" t="s">
        <v>36</v>
      </c>
      <c r="J399" s="1" t="s">
        <v>127</v>
      </c>
      <c r="K399" s="1" t="s">
        <v>142</v>
      </c>
      <c r="L399" s="1">
        <v>1</v>
      </c>
      <c r="M399" s="13">
        <v>41296.1</v>
      </c>
      <c r="N399" s="15">
        <v>7.0000000000000007E-2</v>
      </c>
      <c r="O399" s="13">
        <v>53611.5</v>
      </c>
      <c r="P399" s="13">
        <v>4184.2299999999996</v>
      </c>
      <c r="Q399" s="13">
        <v>65.67</v>
      </c>
      <c r="R399" s="1" t="s">
        <v>70</v>
      </c>
      <c r="S399" s="1">
        <v>5</v>
      </c>
      <c r="T399" s="1" t="b">
        <v>0</v>
      </c>
      <c r="U399" s="1" t="s">
        <v>39</v>
      </c>
      <c r="V399" s="3">
        <v>5</v>
      </c>
    </row>
    <row r="400" spans="1:22" x14ac:dyDescent="0.3">
      <c r="A400" s="2" t="s">
        <v>1162</v>
      </c>
      <c r="B400" s="10">
        <v>43956</v>
      </c>
      <c r="C400" s="22">
        <v>43956</v>
      </c>
      <c r="D400" s="1" t="s">
        <v>1163</v>
      </c>
      <c r="E400" s="1" t="s">
        <v>905</v>
      </c>
      <c r="F400" s="1">
        <v>32</v>
      </c>
      <c r="G400" s="1" t="s">
        <v>68</v>
      </c>
      <c r="H400" s="1" t="s">
        <v>82</v>
      </c>
      <c r="I400" s="1" t="s">
        <v>83</v>
      </c>
      <c r="J400" s="1" t="s">
        <v>62</v>
      </c>
      <c r="K400" s="1" t="s">
        <v>107</v>
      </c>
      <c r="L400" s="1">
        <v>10</v>
      </c>
      <c r="M400" s="13">
        <v>1387.77</v>
      </c>
      <c r="N400" s="15">
        <v>0.03</v>
      </c>
      <c r="O400" s="13">
        <v>15244.18</v>
      </c>
      <c r="P400" s="13">
        <v>5378.75</v>
      </c>
      <c r="Q400" s="13">
        <v>88.89</v>
      </c>
      <c r="R400" s="1" t="s">
        <v>57</v>
      </c>
      <c r="S400" s="1">
        <v>4</v>
      </c>
      <c r="T400" s="1" t="b">
        <v>0</v>
      </c>
      <c r="U400" s="1" t="s">
        <v>39</v>
      </c>
      <c r="V400" s="3">
        <v>9</v>
      </c>
    </row>
    <row r="401" spans="1:22" x14ac:dyDescent="0.3">
      <c r="A401" s="2" t="s">
        <v>1164</v>
      </c>
      <c r="B401" s="10">
        <v>44636</v>
      </c>
      <c r="C401" s="22">
        <v>44636</v>
      </c>
      <c r="D401" s="1" t="s">
        <v>1165</v>
      </c>
      <c r="E401" s="1" t="s">
        <v>1166</v>
      </c>
      <c r="F401" s="1">
        <v>41</v>
      </c>
      <c r="G401" s="1" t="s">
        <v>434</v>
      </c>
      <c r="H401" s="1" t="s">
        <v>111</v>
      </c>
      <c r="I401" s="1" t="s">
        <v>330</v>
      </c>
      <c r="J401" s="1" t="s">
        <v>62</v>
      </c>
      <c r="K401" s="1" t="s">
        <v>151</v>
      </c>
      <c r="L401" s="1">
        <v>2</v>
      </c>
      <c r="M401" s="13">
        <v>1012.58</v>
      </c>
      <c r="N401" s="15">
        <v>0.21</v>
      </c>
      <c r="O401" s="13">
        <v>2058.59</v>
      </c>
      <c r="P401" s="13">
        <v>942.39</v>
      </c>
      <c r="Q401" s="13">
        <v>79.239999999999995</v>
      </c>
      <c r="R401" s="1" t="s">
        <v>78</v>
      </c>
      <c r="S401" s="1">
        <v>5</v>
      </c>
      <c r="T401" s="1" t="b">
        <v>0</v>
      </c>
      <c r="U401" s="1" t="s">
        <v>39</v>
      </c>
      <c r="V401" s="3">
        <v>3</v>
      </c>
    </row>
    <row r="402" spans="1:22" x14ac:dyDescent="0.3">
      <c r="A402" s="2" t="s">
        <v>1167</v>
      </c>
      <c r="B402" s="10">
        <v>44557</v>
      </c>
      <c r="C402" s="22">
        <v>44557</v>
      </c>
      <c r="D402" s="1" t="s">
        <v>1168</v>
      </c>
      <c r="E402" s="1" t="s">
        <v>537</v>
      </c>
      <c r="F402" s="1">
        <v>48</v>
      </c>
      <c r="G402" s="1" t="s">
        <v>34</v>
      </c>
      <c r="H402" s="1" t="s">
        <v>111</v>
      </c>
      <c r="I402" s="1" t="s">
        <v>112</v>
      </c>
      <c r="J402" s="1" t="s">
        <v>76</v>
      </c>
      <c r="K402" s="1" t="s">
        <v>132</v>
      </c>
      <c r="L402" s="1">
        <v>10</v>
      </c>
      <c r="M402" s="13">
        <v>593.54999999999995</v>
      </c>
      <c r="N402" s="15">
        <v>0.18</v>
      </c>
      <c r="O402" s="13">
        <v>3624.78</v>
      </c>
      <c r="P402" s="13">
        <v>896.12</v>
      </c>
      <c r="Q402" s="13">
        <v>78</v>
      </c>
      <c r="R402" s="1" t="s">
        <v>29</v>
      </c>
      <c r="S402" s="1">
        <v>5</v>
      </c>
      <c r="T402" s="1" t="b">
        <v>0</v>
      </c>
      <c r="U402" s="1" t="s">
        <v>39</v>
      </c>
      <c r="V402" s="3">
        <v>9</v>
      </c>
    </row>
    <row r="403" spans="1:22" x14ac:dyDescent="0.3">
      <c r="A403" s="2" t="s">
        <v>1169</v>
      </c>
      <c r="B403" s="10">
        <v>44819</v>
      </c>
      <c r="C403" s="22">
        <v>44819</v>
      </c>
      <c r="D403" s="1" t="s">
        <v>1170</v>
      </c>
      <c r="E403" s="1" t="s">
        <v>206</v>
      </c>
      <c r="F403" s="1">
        <v>43</v>
      </c>
      <c r="G403" s="1" t="s">
        <v>68</v>
      </c>
      <c r="H403" s="1" t="s">
        <v>111</v>
      </c>
      <c r="I403" s="1" t="s">
        <v>141</v>
      </c>
      <c r="J403" s="1" t="s">
        <v>76</v>
      </c>
      <c r="K403" s="1" t="s">
        <v>113</v>
      </c>
      <c r="L403" s="1">
        <v>0</v>
      </c>
      <c r="M403" s="13">
        <v>803.12</v>
      </c>
      <c r="N403" s="15">
        <v>7.0000000000000007E-2</v>
      </c>
      <c r="O403" s="13">
        <v>911.76</v>
      </c>
      <c r="P403" s="13">
        <v>328.33</v>
      </c>
      <c r="Q403" s="13">
        <v>73.010000000000005</v>
      </c>
      <c r="R403" s="1" t="s">
        <v>70</v>
      </c>
      <c r="S403" s="1">
        <v>3</v>
      </c>
      <c r="T403" s="1" t="b">
        <v>0</v>
      </c>
      <c r="U403" s="1" t="s">
        <v>39</v>
      </c>
      <c r="V403" s="3">
        <v>7</v>
      </c>
    </row>
    <row r="404" spans="1:22" x14ac:dyDescent="0.3">
      <c r="A404" s="2" t="s">
        <v>1171</v>
      </c>
      <c r="B404" s="10">
        <v>45219</v>
      </c>
      <c r="C404" s="22">
        <v>45219</v>
      </c>
      <c r="D404" s="1" t="s">
        <v>1172</v>
      </c>
      <c r="E404" s="1" t="s">
        <v>1173</v>
      </c>
      <c r="F404" s="1">
        <v>47</v>
      </c>
      <c r="G404" s="1" t="s">
        <v>34</v>
      </c>
      <c r="H404" s="1" t="s">
        <v>74</v>
      </c>
      <c r="I404" s="1" t="s">
        <v>101</v>
      </c>
      <c r="J404" s="1" t="s">
        <v>37</v>
      </c>
      <c r="K404" s="1" t="s">
        <v>671</v>
      </c>
      <c r="L404" s="1">
        <v>3</v>
      </c>
      <c r="M404" s="13">
        <v>2099.98</v>
      </c>
      <c r="N404" s="15">
        <v>0.35</v>
      </c>
      <c r="O404" s="13">
        <v>4400.47</v>
      </c>
      <c r="P404" s="13">
        <v>2125.89</v>
      </c>
      <c r="Q404" s="13">
        <v>50.77</v>
      </c>
      <c r="R404" s="1" t="s">
        <v>64</v>
      </c>
      <c r="S404" s="1">
        <v>3</v>
      </c>
      <c r="T404" s="1" t="b">
        <v>1</v>
      </c>
      <c r="U404" s="1" t="s">
        <v>30</v>
      </c>
      <c r="V404" s="3">
        <v>7</v>
      </c>
    </row>
    <row r="405" spans="1:22" x14ac:dyDescent="0.3">
      <c r="A405" s="2" t="s">
        <v>1174</v>
      </c>
      <c r="B405" s="10">
        <v>45118</v>
      </c>
      <c r="C405" s="22">
        <v>45118</v>
      </c>
      <c r="D405" s="1" t="s">
        <v>1175</v>
      </c>
      <c r="E405" s="1" t="s">
        <v>1176</v>
      </c>
      <c r="F405" s="1">
        <v>27</v>
      </c>
      <c r="G405" s="1" t="s">
        <v>463</v>
      </c>
      <c r="H405" s="1" t="s">
        <v>35</v>
      </c>
      <c r="I405" s="1" t="s">
        <v>106</v>
      </c>
      <c r="J405" s="1" t="s">
        <v>62</v>
      </c>
      <c r="K405" s="1" t="s">
        <v>266</v>
      </c>
      <c r="L405" s="1">
        <v>1</v>
      </c>
      <c r="M405" s="13">
        <v>623.96</v>
      </c>
      <c r="N405" s="15">
        <v>0.21</v>
      </c>
      <c r="O405" s="13">
        <v>778.16</v>
      </c>
      <c r="P405" s="13">
        <v>263.81</v>
      </c>
      <c r="Q405" s="13">
        <v>68.14</v>
      </c>
      <c r="R405" s="1" t="s">
        <v>64</v>
      </c>
      <c r="S405" s="1">
        <v>3</v>
      </c>
      <c r="T405" s="1" t="b">
        <v>0</v>
      </c>
      <c r="U405" s="1" t="s">
        <v>39</v>
      </c>
      <c r="V405" s="3">
        <v>6</v>
      </c>
    </row>
    <row r="406" spans="1:22" x14ac:dyDescent="0.3">
      <c r="A406" s="2" t="s">
        <v>1177</v>
      </c>
      <c r="B406" s="10">
        <v>45184</v>
      </c>
      <c r="C406" s="22">
        <v>45184</v>
      </c>
      <c r="D406" s="1" t="s">
        <v>1178</v>
      </c>
      <c r="E406" s="1" t="s">
        <v>635</v>
      </c>
      <c r="F406" s="1">
        <v>29</v>
      </c>
      <c r="G406" s="1" t="s">
        <v>68</v>
      </c>
      <c r="H406" s="1" t="s">
        <v>74</v>
      </c>
      <c r="I406" s="1" t="s">
        <v>192</v>
      </c>
      <c r="J406" s="1" t="s">
        <v>27</v>
      </c>
      <c r="K406" s="1" t="s">
        <v>97</v>
      </c>
      <c r="L406" s="1">
        <v>1</v>
      </c>
      <c r="M406" s="13">
        <v>394.11</v>
      </c>
      <c r="N406" s="15">
        <v>0.22</v>
      </c>
      <c r="O406" s="13">
        <v>414.31</v>
      </c>
      <c r="P406" s="13">
        <v>32.520000000000003</v>
      </c>
      <c r="Q406" s="13">
        <v>55.15</v>
      </c>
      <c r="R406" s="1" t="s">
        <v>78</v>
      </c>
      <c r="S406" s="1">
        <v>3</v>
      </c>
      <c r="T406" s="1" t="b">
        <v>0</v>
      </c>
      <c r="U406" s="1" t="s">
        <v>39</v>
      </c>
      <c r="V406" s="3">
        <v>2</v>
      </c>
    </row>
    <row r="407" spans="1:22" x14ac:dyDescent="0.3">
      <c r="A407" s="2" t="s">
        <v>1179</v>
      </c>
      <c r="B407" s="10">
        <v>44355</v>
      </c>
      <c r="C407" s="22">
        <v>44355</v>
      </c>
      <c r="D407" s="1" t="s">
        <v>1180</v>
      </c>
      <c r="E407" s="1" t="s">
        <v>1181</v>
      </c>
      <c r="F407" s="1">
        <v>40</v>
      </c>
      <c r="G407" s="1" t="s">
        <v>34</v>
      </c>
      <c r="H407" s="1" t="s">
        <v>111</v>
      </c>
      <c r="I407" s="1" t="s">
        <v>330</v>
      </c>
      <c r="J407" s="1" t="s">
        <v>44</v>
      </c>
      <c r="K407" s="1" t="s">
        <v>45</v>
      </c>
      <c r="L407" s="1">
        <v>5</v>
      </c>
      <c r="M407" s="13">
        <v>23260.25</v>
      </c>
      <c r="N407" s="15">
        <v>0.33</v>
      </c>
      <c r="O407" s="13">
        <v>119013.87</v>
      </c>
      <c r="P407" s="13">
        <v>32585.16</v>
      </c>
      <c r="Q407" s="13">
        <v>74.55</v>
      </c>
      <c r="R407" s="1" t="s">
        <v>51</v>
      </c>
      <c r="S407" s="1">
        <v>5</v>
      </c>
      <c r="T407" s="1" t="b">
        <v>0</v>
      </c>
      <c r="U407" s="1" t="s">
        <v>39</v>
      </c>
      <c r="V407" s="3">
        <v>9</v>
      </c>
    </row>
    <row r="408" spans="1:22" x14ac:dyDescent="0.3">
      <c r="A408" s="2" t="s">
        <v>1182</v>
      </c>
      <c r="B408" s="10">
        <v>44628</v>
      </c>
      <c r="C408" s="22">
        <v>44628</v>
      </c>
      <c r="D408" s="1" t="s">
        <v>1183</v>
      </c>
      <c r="E408" s="1" t="s">
        <v>1004</v>
      </c>
      <c r="F408" s="1">
        <v>45</v>
      </c>
      <c r="G408" s="1" t="s">
        <v>68</v>
      </c>
      <c r="H408" s="1" t="s">
        <v>74</v>
      </c>
      <c r="I408" s="1" t="s">
        <v>136</v>
      </c>
      <c r="J408" s="1" t="s">
        <v>76</v>
      </c>
      <c r="K408" s="1" t="s">
        <v>89</v>
      </c>
      <c r="L408" s="1">
        <v>1</v>
      </c>
      <c r="M408" s="13">
        <v>2503.3000000000002</v>
      </c>
      <c r="N408" s="15">
        <v>0.15</v>
      </c>
      <c r="O408" s="13">
        <v>2937.26</v>
      </c>
      <c r="P408" s="13">
        <v>723.88</v>
      </c>
      <c r="Q408" s="13">
        <v>47.55</v>
      </c>
      <c r="R408" s="1" t="s">
        <v>51</v>
      </c>
      <c r="S408" s="1">
        <v>2</v>
      </c>
      <c r="T408" s="1" t="b">
        <v>1</v>
      </c>
      <c r="U408" s="1" t="s">
        <v>30</v>
      </c>
      <c r="V408" s="3">
        <v>10</v>
      </c>
    </row>
    <row r="409" spans="1:22" x14ac:dyDescent="0.3">
      <c r="A409" s="2" t="s">
        <v>1184</v>
      </c>
      <c r="B409" s="10">
        <v>44814</v>
      </c>
      <c r="C409" s="22">
        <v>44814</v>
      </c>
      <c r="D409" s="1" t="s">
        <v>1185</v>
      </c>
      <c r="E409" s="1" t="s">
        <v>1186</v>
      </c>
      <c r="F409" s="1">
        <v>61</v>
      </c>
      <c r="G409" s="1" t="s">
        <v>24</v>
      </c>
      <c r="H409" s="1" t="s">
        <v>35</v>
      </c>
      <c r="I409" s="1" t="s">
        <v>43</v>
      </c>
      <c r="J409" s="1" t="s">
        <v>37</v>
      </c>
      <c r="K409" s="1" t="s">
        <v>102</v>
      </c>
      <c r="L409" s="1">
        <v>9</v>
      </c>
      <c r="M409" s="13">
        <v>1292.1600000000001</v>
      </c>
      <c r="N409" s="15">
        <v>0.22</v>
      </c>
      <c r="O409" s="13">
        <v>10154.82</v>
      </c>
      <c r="P409" s="13">
        <v>3046.85</v>
      </c>
      <c r="Q409" s="13">
        <v>70.59</v>
      </c>
      <c r="R409" s="1" t="s">
        <v>70</v>
      </c>
      <c r="S409" s="1">
        <v>2</v>
      </c>
      <c r="T409" s="1" t="b">
        <v>1</v>
      </c>
      <c r="U409" s="1" t="s">
        <v>30</v>
      </c>
      <c r="V409" s="3">
        <v>6</v>
      </c>
    </row>
    <row r="410" spans="1:22" x14ac:dyDescent="0.3">
      <c r="A410" s="2" t="s">
        <v>1187</v>
      </c>
      <c r="B410" s="10">
        <v>44444</v>
      </c>
      <c r="C410" s="22">
        <v>44444</v>
      </c>
      <c r="D410" s="1" t="s">
        <v>1188</v>
      </c>
      <c r="E410" s="1" t="s">
        <v>702</v>
      </c>
      <c r="F410" s="1">
        <v>40</v>
      </c>
      <c r="G410" s="1" t="s">
        <v>88</v>
      </c>
      <c r="H410" s="1" t="s">
        <v>82</v>
      </c>
      <c r="I410" s="1" t="s">
        <v>244</v>
      </c>
      <c r="J410" s="1" t="s">
        <v>127</v>
      </c>
      <c r="K410" s="1" t="s">
        <v>196</v>
      </c>
      <c r="L410" s="1">
        <v>10</v>
      </c>
      <c r="M410" s="13">
        <v>55908.72</v>
      </c>
      <c r="N410" s="15">
        <v>0.11</v>
      </c>
      <c r="O410" s="13">
        <v>627898.81000000006</v>
      </c>
      <c r="P410" s="13">
        <v>86690.85</v>
      </c>
      <c r="Q410" s="13">
        <v>75.650000000000006</v>
      </c>
      <c r="R410" s="1" t="s">
        <v>64</v>
      </c>
      <c r="S410" s="1">
        <v>5</v>
      </c>
      <c r="T410" s="1" t="b">
        <v>0</v>
      </c>
      <c r="U410" s="1" t="s">
        <v>137</v>
      </c>
      <c r="V410" s="3">
        <v>4</v>
      </c>
    </row>
    <row r="411" spans="1:22" x14ac:dyDescent="0.3">
      <c r="A411" s="2" t="s">
        <v>1189</v>
      </c>
      <c r="B411" s="10">
        <v>44622</v>
      </c>
      <c r="C411" s="22">
        <v>44622</v>
      </c>
      <c r="D411" s="1" t="s">
        <v>1190</v>
      </c>
      <c r="E411" s="1" t="s">
        <v>381</v>
      </c>
      <c r="F411" s="1">
        <v>57</v>
      </c>
      <c r="G411" s="1" t="s">
        <v>434</v>
      </c>
      <c r="H411" s="1" t="s">
        <v>74</v>
      </c>
      <c r="I411" s="1" t="s">
        <v>192</v>
      </c>
      <c r="J411" s="1" t="s">
        <v>37</v>
      </c>
      <c r="K411" s="1" t="s">
        <v>231</v>
      </c>
      <c r="L411" s="1">
        <v>6</v>
      </c>
      <c r="M411" s="13">
        <v>583.99</v>
      </c>
      <c r="N411" s="15">
        <v>0.26</v>
      </c>
      <c r="O411" s="13">
        <v>2822.23</v>
      </c>
      <c r="P411" s="13">
        <v>1322.69</v>
      </c>
      <c r="Q411" s="13">
        <v>22.05</v>
      </c>
      <c r="R411" s="1" t="s">
        <v>70</v>
      </c>
      <c r="S411" s="1">
        <v>4</v>
      </c>
      <c r="T411" s="1" t="b">
        <v>0</v>
      </c>
      <c r="U411" s="1" t="s">
        <v>137</v>
      </c>
      <c r="V411" s="3">
        <v>6</v>
      </c>
    </row>
    <row r="412" spans="1:22" x14ac:dyDescent="0.3">
      <c r="A412" s="2" t="s">
        <v>1191</v>
      </c>
      <c r="B412" s="10">
        <v>45050</v>
      </c>
      <c r="C412" s="22">
        <v>45050</v>
      </c>
      <c r="D412" s="1" t="s">
        <v>1192</v>
      </c>
      <c r="E412" s="1" t="s">
        <v>561</v>
      </c>
      <c r="F412" s="1">
        <v>36</v>
      </c>
      <c r="G412" s="1" t="s">
        <v>68</v>
      </c>
      <c r="H412" s="1" t="s">
        <v>111</v>
      </c>
      <c r="I412" s="1" t="s">
        <v>112</v>
      </c>
      <c r="J412" s="1" t="s">
        <v>76</v>
      </c>
      <c r="K412" s="1" t="s">
        <v>77</v>
      </c>
      <c r="L412" s="1">
        <v>2</v>
      </c>
      <c r="M412" s="13">
        <v>3236.58</v>
      </c>
      <c r="N412" s="15">
        <v>0.04</v>
      </c>
      <c r="O412" s="13">
        <v>9893.9699999999993</v>
      </c>
      <c r="P412" s="13">
        <v>3171.49</v>
      </c>
      <c r="Q412" s="13">
        <v>71.87</v>
      </c>
      <c r="R412" s="1" t="s">
        <v>64</v>
      </c>
      <c r="S412" s="1">
        <v>1</v>
      </c>
      <c r="T412" s="1" t="b">
        <v>0</v>
      </c>
      <c r="U412" s="1" t="s">
        <v>39</v>
      </c>
      <c r="V412" s="3">
        <v>9</v>
      </c>
    </row>
    <row r="413" spans="1:22" x14ac:dyDescent="0.3">
      <c r="A413" s="2" t="s">
        <v>1193</v>
      </c>
      <c r="B413" s="10">
        <v>45642</v>
      </c>
      <c r="C413" s="22">
        <v>45642</v>
      </c>
      <c r="D413" s="1" t="s">
        <v>1194</v>
      </c>
      <c r="E413" s="1" t="s">
        <v>243</v>
      </c>
      <c r="F413" s="1">
        <v>33</v>
      </c>
      <c r="G413" s="1" t="s">
        <v>68</v>
      </c>
      <c r="H413" s="1" t="s">
        <v>111</v>
      </c>
      <c r="I413" s="1" t="s">
        <v>121</v>
      </c>
      <c r="J413" s="1" t="s">
        <v>146</v>
      </c>
      <c r="K413" s="1" t="s">
        <v>161</v>
      </c>
      <c r="L413" s="1">
        <v>9</v>
      </c>
      <c r="M413" s="13">
        <v>7976.73</v>
      </c>
      <c r="N413" s="15">
        <v>0.21</v>
      </c>
      <c r="O413" s="13">
        <v>57905.39</v>
      </c>
      <c r="P413" s="13">
        <v>13844.42</v>
      </c>
      <c r="Q413" s="13">
        <v>69.849999999999994</v>
      </c>
      <c r="R413" s="1" t="s">
        <v>51</v>
      </c>
      <c r="S413" s="1">
        <v>1</v>
      </c>
      <c r="T413" s="1" t="b">
        <v>0</v>
      </c>
      <c r="U413" s="1" t="s">
        <v>39</v>
      </c>
      <c r="V413" s="3">
        <v>8</v>
      </c>
    </row>
    <row r="414" spans="1:22" x14ac:dyDescent="0.3">
      <c r="A414" s="2" t="s">
        <v>1195</v>
      </c>
      <c r="B414" s="10">
        <v>43994</v>
      </c>
      <c r="C414" s="22">
        <v>43994</v>
      </c>
      <c r="D414" s="1" t="s">
        <v>1196</v>
      </c>
      <c r="E414" s="1" t="s">
        <v>621</v>
      </c>
      <c r="F414" s="1">
        <v>25</v>
      </c>
      <c r="G414" s="1" t="s">
        <v>34</v>
      </c>
      <c r="H414" s="1" t="s">
        <v>74</v>
      </c>
      <c r="I414" s="1" t="s">
        <v>101</v>
      </c>
      <c r="J414" s="1" t="s">
        <v>76</v>
      </c>
      <c r="K414" s="1" t="s">
        <v>122</v>
      </c>
      <c r="L414" s="1">
        <v>10</v>
      </c>
      <c r="M414" s="13">
        <v>658.16</v>
      </c>
      <c r="N414" s="15">
        <v>0.25</v>
      </c>
      <c r="O414" s="13">
        <v>6367.6</v>
      </c>
      <c r="P414" s="13">
        <v>1841.64</v>
      </c>
      <c r="Q414" s="13">
        <v>63.58</v>
      </c>
      <c r="R414" s="1" t="s">
        <v>64</v>
      </c>
      <c r="S414" s="1">
        <v>1</v>
      </c>
      <c r="T414" s="1" t="b">
        <v>0</v>
      </c>
      <c r="U414" s="1" t="s">
        <v>39</v>
      </c>
      <c r="V414" s="3">
        <v>7</v>
      </c>
    </row>
    <row r="415" spans="1:22" x14ac:dyDescent="0.3">
      <c r="A415" s="2" t="s">
        <v>1197</v>
      </c>
      <c r="B415" s="10">
        <v>45530</v>
      </c>
      <c r="C415" s="22">
        <v>45530</v>
      </c>
      <c r="D415" s="1" t="s">
        <v>1198</v>
      </c>
      <c r="E415" s="1" t="s">
        <v>96</v>
      </c>
      <c r="F415" s="1">
        <v>35</v>
      </c>
      <c r="G415" s="1" t="s">
        <v>68</v>
      </c>
      <c r="H415" s="1" t="s">
        <v>82</v>
      </c>
      <c r="I415" s="1" t="s">
        <v>244</v>
      </c>
      <c r="J415" s="1" t="s">
        <v>62</v>
      </c>
      <c r="K415" s="1" t="s">
        <v>151</v>
      </c>
      <c r="L415" s="1">
        <v>2</v>
      </c>
      <c r="M415" s="13">
        <v>1157.8900000000001</v>
      </c>
      <c r="N415" s="15">
        <v>0.35</v>
      </c>
      <c r="O415" s="13">
        <v>2443.04</v>
      </c>
      <c r="P415" s="13">
        <v>649.16</v>
      </c>
      <c r="Q415" s="13">
        <v>56.27</v>
      </c>
      <c r="R415" s="1" t="s">
        <v>29</v>
      </c>
      <c r="S415" s="1">
        <v>1</v>
      </c>
      <c r="T415" s="1" t="b">
        <v>0</v>
      </c>
      <c r="U415" s="1" t="s">
        <v>39</v>
      </c>
      <c r="V415" s="3">
        <v>9</v>
      </c>
    </row>
    <row r="416" spans="1:22" x14ac:dyDescent="0.3">
      <c r="A416" s="2" t="s">
        <v>1199</v>
      </c>
      <c r="B416" s="10">
        <v>44311</v>
      </c>
      <c r="C416" s="22">
        <v>44311</v>
      </c>
      <c r="D416" s="1" t="s">
        <v>1200</v>
      </c>
      <c r="E416" s="1" t="s">
        <v>1201</v>
      </c>
      <c r="F416" s="1">
        <v>63</v>
      </c>
      <c r="G416" s="1" t="s">
        <v>24</v>
      </c>
      <c r="H416" s="1" t="s">
        <v>111</v>
      </c>
      <c r="I416" s="1" t="s">
        <v>330</v>
      </c>
      <c r="J416" s="1" t="s">
        <v>127</v>
      </c>
      <c r="K416" s="1" t="s">
        <v>128</v>
      </c>
      <c r="L416" s="1">
        <v>8</v>
      </c>
      <c r="M416" s="13">
        <v>28211.93</v>
      </c>
      <c r="N416" s="15">
        <v>0.33</v>
      </c>
      <c r="O416" s="13">
        <v>175402.71</v>
      </c>
      <c r="P416" s="13">
        <v>20772.79</v>
      </c>
      <c r="Q416" s="13">
        <v>61.29</v>
      </c>
      <c r="R416" s="1" t="s">
        <v>29</v>
      </c>
      <c r="S416" s="1">
        <v>5</v>
      </c>
      <c r="T416" s="1" t="b">
        <v>0</v>
      </c>
      <c r="U416" s="1" t="s">
        <v>39</v>
      </c>
      <c r="V416" s="3">
        <v>4</v>
      </c>
    </row>
    <row r="417" spans="1:22" x14ac:dyDescent="0.3">
      <c r="A417" s="2" t="s">
        <v>1202</v>
      </c>
      <c r="B417" s="10">
        <v>45556</v>
      </c>
      <c r="C417" s="22">
        <v>45556</v>
      </c>
      <c r="D417" s="1" t="s">
        <v>1203</v>
      </c>
      <c r="E417" s="1" t="s">
        <v>1204</v>
      </c>
      <c r="F417" s="1">
        <v>30</v>
      </c>
      <c r="G417" s="1" t="s">
        <v>34</v>
      </c>
      <c r="H417" s="1" t="s">
        <v>25</v>
      </c>
      <c r="I417" s="1" t="s">
        <v>26</v>
      </c>
      <c r="J417" s="1" t="s">
        <v>37</v>
      </c>
      <c r="K417" s="1" t="s">
        <v>38</v>
      </c>
      <c r="L417" s="1">
        <v>7</v>
      </c>
      <c r="M417" s="13">
        <v>2114.17</v>
      </c>
      <c r="N417" s="15">
        <v>0.39</v>
      </c>
      <c r="O417" s="13">
        <v>13036.59</v>
      </c>
      <c r="P417" s="13">
        <v>6081.67</v>
      </c>
      <c r="Q417" s="13">
        <v>26.71</v>
      </c>
      <c r="R417" s="1" t="s">
        <v>29</v>
      </c>
      <c r="S417" s="1">
        <v>3</v>
      </c>
      <c r="T417" s="1" t="b">
        <v>0</v>
      </c>
      <c r="U417" s="1" t="s">
        <v>197</v>
      </c>
      <c r="V417" s="3">
        <v>3</v>
      </c>
    </row>
    <row r="418" spans="1:22" x14ac:dyDescent="0.3">
      <c r="A418" s="2" t="s">
        <v>1205</v>
      </c>
      <c r="B418" s="10">
        <v>45457</v>
      </c>
      <c r="C418" s="22">
        <v>45457</v>
      </c>
      <c r="D418" s="1" t="s">
        <v>1206</v>
      </c>
      <c r="E418" s="1" t="s">
        <v>684</v>
      </c>
      <c r="F418" s="1">
        <v>33</v>
      </c>
      <c r="G418" s="1" t="s">
        <v>24</v>
      </c>
      <c r="H418" s="1" t="s">
        <v>35</v>
      </c>
      <c r="I418" s="1" t="s">
        <v>49</v>
      </c>
      <c r="J418" s="1" t="s">
        <v>76</v>
      </c>
      <c r="K418" s="1" t="s">
        <v>122</v>
      </c>
      <c r="L418" s="1">
        <v>1</v>
      </c>
      <c r="M418" s="13">
        <v>3581.25</v>
      </c>
      <c r="N418" s="15">
        <v>0.01</v>
      </c>
      <c r="O418" s="13">
        <v>6175.08</v>
      </c>
      <c r="P418" s="13">
        <v>1771.61</v>
      </c>
      <c r="Q418" s="13">
        <v>56.33</v>
      </c>
      <c r="R418" s="1" t="s">
        <v>70</v>
      </c>
      <c r="S418" s="1">
        <v>1</v>
      </c>
      <c r="T418" s="1" t="b">
        <v>0</v>
      </c>
      <c r="U418" s="1" t="s">
        <v>39</v>
      </c>
      <c r="V418" s="3">
        <v>3</v>
      </c>
    </row>
    <row r="419" spans="1:22" x14ac:dyDescent="0.3">
      <c r="A419" s="2" t="s">
        <v>1207</v>
      </c>
      <c r="B419" s="10">
        <v>45178</v>
      </c>
      <c r="C419" s="22">
        <v>45178</v>
      </c>
      <c r="D419" s="1" t="s">
        <v>1208</v>
      </c>
      <c r="E419" s="1" t="s">
        <v>583</v>
      </c>
      <c r="F419" s="1">
        <v>30</v>
      </c>
      <c r="G419" s="1" t="s">
        <v>24</v>
      </c>
      <c r="H419" s="1" t="s">
        <v>82</v>
      </c>
      <c r="I419" s="1" t="s">
        <v>293</v>
      </c>
      <c r="J419" s="1" t="s">
        <v>44</v>
      </c>
      <c r="K419" s="1" t="s">
        <v>221</v>
      </c>
      <c r="L419" s="1">
        <v>9</v>
      </c>
      <c r="M419" s="13">
        <v>24481.84</v>
      </c>
      <c r="N419" s="15">
        <v>0.18</v>
      </c>
      <c r="O419" s="13">
        <v>236017.16</v>
      </c>
      <c r="P419" s="13">
        <v>68746.179999999993</v>
      </c>
      <c r="Q419" s="13">
        <v>92.95</v>
      </c>
      <c r="R419" s="1" t="s">
        <v>57</v>
      </c>
      <c r="S419" s="1">
        <v>3</v>
      </c>
      <c r="T419" s="1" t="b">
        <v>0</v>
      </c>
      <c r="U419" s="1" t="s">
        <v>58</v>
      </c>
      <c r="V419" s="3">
        <v>10</v>
      </c>
    </row>
    <row r="420" spans="1:22" x14ac:dyDescent="0.3">
      <c r="A420" s="2" t="s">
        <v>1209</v>
      </c>
      <c r="B420" s="10">
        <v>44785</v>
      </c>
      <c r="C420" s="22">
        <v>44785</v>
      </c>
      <c r="D420" s="1" t="s">
        <v>1210</v>
      </c>
      <c r="E420" s="1" t="s">
        <v>1211</v>
      </c>
      <c r="F420" s="1">
        <v>30</v>
      </c>
      <c r="G420" s="1" t="s">
        <v>24</v>
      </c>
      <c r="H420" s="1" t="s">
        <v>74</v>
      </c>
      <c r="I420" s="1" t="s">
        <v>101</v>
      </c>
      <c r="J420" s="1" t="s">
        <v>146</v>
      </c>
      <c r="K420" s="1" t="s">
        <v>161</v>
      </c>
      <c r="L420" s="1">
        <v>7</v>
      </c>
      <c r="M420" s="13">
        <v>14759.38</v>
      </c>
      <c r="N420" s="15">
        <v>0</v>
      </c>
      <c r="O420" s="13">
        <v>128001.22</v>
      </c>
      <c r="P420" s="13">
        <v>25740.07</v>
      </c>
      <c r="Q420" s="13">
        <v>70.7</v>
      </c>
      <c r="R420" s="1" t="s">
        <v>57</v>
      </c>
      <c r="S420" s="1">
        <v>3</v>
      </c>
      <c r="T420" s="1" t="b">
        <v>0</v>
      </c>
      <c r="U420" s="1" t="s">
        <v>39</v>
      </c>
      <c r="V420" s="3">
        <v>7</v>
      </c>
    </row>
    <row r="421" spans="1:22" x14ac:dyDescent="0.3">
      <c r="A421" s="2" t="s">
        <v>1212</v>
      </c>
      <c r="B421" s="10">
        <v>44319</v>
      </c>
      <c r="C421" s="22">
        <v>44319</v>
      </c>
      <c r="D421" s="1" t="s">
        <v>1213</v>
      </c>
      <c r="E421" s="1" t="s">
        <v>878</v>
      </c>
      <c r="F421" s="1">
        <v>52</v>
      </c>
      <c r="G421" s="1" t="s">
        <v>88</v>
      </c>
      <c r="H421" s="1" t="s">
        <v>82</v>
      </c>
      <c r="I421" s="1" t="s">
        <v>293</v>
      </c>
      <c r="J421" s="1" t="s">
        <v>37</v>
      </c>
      <c r="K421" s="1" t="s">
        <v>454</v>
      </c>
      <c r="L421" s="1">
        <v>2</v>
      </c>
      <c r="M421" s="13">
        <v>608.88</v>
      </c>
      <c r="N421" s="15">
        <v>0.23</v>
      </c>
      <c r="O421" s="13">
        <v>1272.71</v>
      </c>
      <c r="P421" s="13">
        <v>511.96</v>
      </c>
      <c r="Q421" s="13">
        <v>106.95</v>
      </c>
      <c r="R421" s="1" t="s">
        <v>78</v>
      </c>
      <c r="S421" s="1">
        <v>4</v>
      </c>
      <c r="T421" s="1" t="b">
        <v>1</v>
      </c>
      <c r="U421" s="1" t="s">
        <v>30</v>
      </c>
      <c r="V421" s="3">
        <v>4</v>
      </c>
    </row>
    <row r="422" spans="1:22" x14ac:dyDescent="0.3">
      <c r="A422" s="2" t="s">
        <v>1214</v>
      </c>
      <c r="B422" s="10">
        <v>45539</v>
      </c>
      <c r="C422" s="22">
        <v>45539</v>
      </c>
      <c r="D422" s="1" t="s">
        <v>1215</v>
      </c>
      <c r="E422" s="1" t="s">
        <v>1216</v>
      </c>
      <c r="F422" s="1">
        <v>35</v>
      </c>
      <c r="G422" s="1" t="s">
        <v>24</v>
      </c>
      <c r="H422" s="1" t="s">
        <v>35</v>
      </c>
      <c r="I422" s="1" t="s">
        <v>43</v>
      </c>
      <c r="J422" s="1" t="s">
        <v>76</v>
      </c>
      <c r="K422" s="1" t="s">
        <v>132</v>
      </c>
      <c r="L422" s="1">
        <v>10</v>
      </c>
      <c r="M422" s="13">
        <v>1823.02</v>
      </c>
      <c r="N422" s="15">
        <v>0.19</v>
      </c>
      <c r="O422" s="13">
        <v>21680.07</v>
      </c>
      <c r="P422" s="13">
        <v>11667.37</v>
      </c>
      <c r="Q422" s="13">
        <v>63.11</v>
      </c>
      <c r="R422" s="1" t="s">
        <v>78</v>
      </c>
      <c r="S422" s="1">
        <v>5</v>
      </c>
      <c r="T422" s="1" t="b">
        <v>0</v>
      </c>
      <c r="U422" s="1" t="s">
        <v>39</v>
      </c>
      <c r="V422" s="3">
        <v>6</v>
      </c>
    </row>
    <row r="423" spans="1:22" x14ac:dyDescent="0.3">
      <c r="A423" s="2" t="s">
        <v>1217</v>
      </c>
      <c r="B423" s="10">
        <v>44999</v>
      </c>
      <c r="C423" s="22">
        <v>44999</v>
      </c>
      <c r="D423" s="1" t="s">
        <v>1218</v>
      </c>
      <c r="E423" s="1" t="s">
        <v>200</v>
      </c>
      <c r="F423" s="1">
        <v>42</v>
      </c>
      <c r="G423" s="1" t="s">
        <v>24</v>
      </c>
      <c r="H423" s="1" t="s">
        <v>35</v>
      </c>
      <c r="I423" s="1" t="s">
        <v>106</v>
      </c>
      <c r="J423" s="1" t="s">
        <v>127</v>
      </c>
      <c r="K423" s="1" t="s">
        <v>142</v>
      </c>
      <c r="L423" s="1">
        <v>2</v>
      </c>
      <c r="M423" s="13">
        <v>76935.789999999994</v>
      </c>
      <c r="N423" s="15">
        <v>0.01</v>
      </c>
      <c r="O423" s="13">
        <v>171768.97</v>
      </c>
      <c r="P423" s="13">
        <v>27234.01</v>
      </c>
      <c r="Q423" s="13">
        <v>63.96</v>
      </c>
      <c r="R423" s="1" t="s">
        <v>64</v>
      </c>
      <c r="S423" s="1">
        <v>1</v>
      </c>
      <c r="T423" s="1" t="b">
        <v>0</v>
      </c>
      <c r="U423" s="1" t="s">
        <v>39</v>
      </c>
      <c r="V423" s="3">
        <v>3</v>
      </c>
    </row>
    <row r="424" spans="1:22" x14ac:dyDescent="0.3">
      <c r="A424" s="2" t="s">
        <v>1219</v>
      </c>
      <c r="B424" s="10">
        <v>43949</v>
      </c>
      <c r="C424" s="22">
        <v>43949</v>
      </c>
      <c r="D424" s="1" t="s">
        <v>1220</v>
      </c>
      <c r="E424" s="1" t="s">
        <v>481</v>
      </c>
      <c r="F424" s="1">
        <v>-5</v>
      </c>
      <c r="G424" s="1" t="s">
        <v>24</v>
      </c>
      <c r="H424" s="1" t="s">
        <v>82</v>
      </c>
      <c r="I424" s="1" t="s">
        <v>293</v>
      </c>
      <c r="J424" s="1" t="s">
        <v>76</v>
      </c>
      <c r="K424" s="1" t="s">
        <v>207</v>
      </c>
      <c r="L424" s="1">
        <v>6</v>
      </c>
      <c r="M424" s="13">
        <v>2934.92</v>
      </c>
      <c r="N424" s="15">
        <v>0.1</v>
      </c>
      <c r="O424" s="13">
        <v>18790.52</v>
      </c>
      <c r="P424" s="13">
        <v>7715.18</v>
      </c>
      <c r="Q424" s="13">
        <v>74.02</v>
      </c>
      <c r="R424" s="1" t="s">
        <v>29</v>
      </c>
      <c r="S424" s="1">
        <v>5</v>
      </c>
      <c r="T424" s="1" t="b">
        <v>0</v>
      </c>
      <c r="U424" s="1" t="s">
        <v>84</v>
      </c>
      <c r="V424" s="3">
        <v>8</v>
      </c>
    </row>
    <row r="425" spans="1:22" x14ac:dyDescent="0.3">
      <c r="A425" s="2" t="s">
        <v>1221</v>
      </c>
      <c r="B425" s="10">
        <v>44923</v>
      </c>
      <c r="C425" s="22">
        <v>44923</v>
      </c>
      <c r="D425" s="1" t="s">
        <v>1222</v>
      </c>
      <c r="E425" s="1" t="s">
        <v>259</v>
      </c>
      <c r="F425" s="1">
        <v>30</v>
      </c>
      <c r="G425" s="1" t="s">
        <v>34</v>
      </c>
      <c r="H425" s="1" t="s">
        <v>35</v>
      </c>
      <c r="I425" s="1" t="s">
        <v>106</v>
      </c>
      <c r="J425" s="1" t="s">
        <v>62</v>
      </c>
      <c r="K425" s="1" t="s">
        <v>570</v>
      </c>
      <c r="L425" s="1">
        <v>5</v>
      </c>
      <c r="M425" s="13">
        <v>1103.75</v>
      </c>
      <c r="N425" s="15">
        <v>0.25</v>
      </c>
      <c r="O425" s="13">
        <v>3579.91</v>
      </c>
      <c r="P425" s="13">
        <v>1891.54</v>
      </c>
      <c r="Q425" s="13">
        <v>60.86</v>
      </c>
      <c r="R425" s="1" t="s">
        <v>64</v>
      </c>
      <c r="S425" s="1">
        <v>3</v>
      </c>
      <c r="T425" s="1" t="b">
        <v>0</v>
      </c>
      <c r="U425" s="1" t="s">
        <v>84</v>
      </c>
      <c r="V425" s="3">
        <v>1</v>
      </c>
    </row>
    <row r="426" spans="1:22" x14ac:dyDescent="0.3">
      <c r="A426" s="2" t="s">
        <v>1223</v>
      </c>
      <c r="B426" s="10">
        <v>45015</v>
      </c>
      <c r="C426" s="22">
        <v>45015</v>
      </c>
      <c r="D426" s="1" t="s">
        <v>1224</v>
      </c>
      <c r="E426" s="1" t="s">
        <v>770</v>
      </c>
      <c r="F426" s="1">
        <v>38</v>
      </c>
      <c r="G426" s="1" t="s">
        <v>34</v>
      </c>
      <c r="H426" s="1" t="s">
        <v>111</v>
      </c>
      <c r="I426" s="1" t="s">
        <v>141</v>
      </c>
      <c r="J426" s="1" t="s">
        <v>44</v>
      </c>
      <c r="K426" s="1" t="s">
        <v>117</v>
      </c>
      <c r="L426" s="1">
        <v>1</v>
      </c>
      <c r="M426" s="13">
        <v>7329.9</v>
      </c>
      <c r="N426" s="15">
        <v>0.35</v>
      </c>
      <c r="O426" s="13">
        <v>6777.56</v>
      </c>
      <c r="P426" s="13">
        <v>2396.7199999999998</v>
      </c>
      <c r="Q426" s="13">
        <v>101.29</v>
      </c>
      <c r="R426" s="1" t="s">
        <v>70</v>
      </c>
      <c r="S426" s="1">
        <v>5</v>
      </c>
      <c r="T426" s="1" t="b">
        <v>0</v>
      </c>
      <c r="U426" s="1" t="s">
        <v>137</v>
      </c>
      <c r="V426" s="3">
        <v>10</v>
      </c>
    </row>
    <row r="427" spans="1:22" x14ac:dyDescent="0.3">
      <c r="A427" s="2" t="s">
        <v>1225</v>
      </c>
      <c r="B427" s="10">
        <v>44613</v>
      </c>
      <c r="C427" s="22">
        <v>44613</v>
      </c>
      <c r="D427" s="1" t="s">
        <v>1226</v>
      </c>
      <c r="E427" s="1" t="s">
        <v>1211</v>
      </c>
      <c r="F427" s="1">
        <v>46</v>
      </c>
      <c r="G427" s="1" t="s">
        <v>24</v>
      </c>
      <c r="H427" s="1" t="s">
        <v>25</v>
      </c>
      <c r="I427" s="1" t="s">
        <v>55</v>
      </c>
      <c r="J427" s="1" t="s">
        <v>62</v>
      </c>
      <c r="K427" s="1" t="s">
        <v>283</v>
      </c>
      <c r="L427" s="1">
        <v>4</v>
      </c>
      <c r="M427" s="13">
        <v>378.9</v>
      </c>
      <c r="N427" s="15">
        <v>0.39</v>
      </c>
      <c r="O427" s="13">
        <v>957.41</v>
      </c>
      <c r="P427" s="13">
        <v>235.48</v>
      </c>
      <c r="Q427" s="13">
        <v>29.15</v>
      </c>
      <c r="R427" s="1" t="s">
        <v>70</v>
      </c>
      <c r="S427" s="1">
        <v>5</v>
      </c>
      <c r="T427" s="1" t="b">
        <v>0</v>
      </c>
      <c r="U427" s="1" t="s">
        <v>39</v>
      </c>
      <c r="V427" s="3">
        <v>3</v>
      </c>
    </row>
    <row r="428" spans="1:22" x14ac:dyDescent="0.3">
      <c r="A428" s="2" t="s">
        <v>1227</v>
      </c>
      <c r="B428" s="10">
        <v>45003</v>
      </c>
      <c r="C428" s="22">
        <v>45003</v>
      </c>
      <c r="D428" s="1" t="s">
        <v>1228</v>
      </c>
      <c r="E428" s="1" t="s">
        <v>1229</v>
      </c>
      <c r="F428" s="1">
        <v>28</v>
      </c>
      <c r="G428" s="1" t="s">
        <v>24</v>
      </c>
      <c r="H428" s="1" t="s">
        <v>25</v>
      </c>
      <c r="I428" s="1" t="s">
        <v>69</v>
      </c>
      <c r="J428" s="1" t="s">
        <v>62</v>
      </c>
      <c r="K428" s="1" t="s">
        <v>107</v>
      </c>
      <c r="L428" s="1">
        <v>4</v>
      </c>
      <c r="M428" s="13">
        <v>1221.1099999999999</v>
      </c>
      <c r="N428" s="15">
        <v>0.25</v>
      </c>
      <c r="O428" s="13">
        <v>5162.57</v>
      </c>
      <c r="P428" s="13">
        <v>1875.62</v>
      </c>
      <c r="Q428" s="13">
        <v>43.22</v>
      </c>
      <c r="R428" s="1" t="s">
        <v>51</v>
      </c>
      <c r="S428" s="1">
        <v>5</v>
      </c>
      <c r="T428" s="1" t="b">
        <v>0</v>
      </c>
      <c r="U428" s="1" t="s">
        <v>39</v>
      </c>
      <c r="V428" s="3">
        <v>5</v>
      </c>
    </row>
    <row r="429" spans="1:22" x14ac:dyDescent="0.3">
      <c r="A429" s="2" t="s">
        <v>1230</v>
      </c>
      <c r="B429" s="10">
        <v>44135</v>
      </c>
      <c r="C429" s="22">
        <v>44135</v>
      </c>
      <c r="D429" s="1" t="s">
        <v>1231</v>
      </c>
      <c r="E429" s="1" t="s">
        <v>831</v>
      </c>
      <c r="F429" s="1">
        <v>43</v>
      </c>
      <c r="G429" s="1" t="s">
        <v>24</v>
      </c>
      <c r="H429" s="1" t="s">
        <v>35</v>
      </c>
      <c r="I429" s="1" t="s">
        <v>43</v>
      </c>
      <c r="J429" s="1" t="s">
        <v>27</v>
      </c>
      <c r="K429" s="1" t="s">
        <v>56</v>
      </c>
      <c r="L429" s="1">
        <v>8</v>
      </c>
      <c r="M429" s="13">
        <v>347.71</v>
      </c>
      <c r="N429" s="15">
        <v>0.08</v>
      </c>
      <c r="O429" s="13">
        <v>2265.2800000000002</v>
      </c>
      <c r="P429" s="13">
        <v>178.59</v>
      </c>
      <c r="Q429" s="13">
        <v>64.88</v>
      </c>
      <c r="R429" s="1" t="s">
        <v>70</v>
      </c>
      <c r="S429" s="1">
        <v>5</v>
      </c>
      <c r="T429" s="1" t="b">
        <v>0</v>
      </c>
      <c r="U429" s="1" t="s">
        <v>39</v>
      </c>
      <c r="V429" s="3">
        <v>9</v>
      </c>
    </row>
    <row r="430" spans="1:22" x14ac:dyDescent="0.3">
      <c r="A430" s="2" t="s">
        <v>1232</v>
      </c>
      <c r="B430" s="10">
        <v>45527</v>
      </c>
      <c r="C430" s="22">
        <v>45527</v>
      </c>
      <c r="D430" s="1" t="s">
        <v>1233</v>
      </c>
      <c r="E430" s="1" t="s">
        <v>528</v>
      </c>
      <c r="F430" s="1">
        <v>31</v>
      </c>
      <c r="G430" s="1" t="s">
        <v>24</v>
      </c>
      <c r="H430" s="1" t="s">
        <v>111</v>
      </c>
      <c r="I430" s="1" t="s">
        <v>141</v>
      </c>
      <c r="J430" s="1" t="s">
        <v>146</v>
      </c>
      <c r="K430" s="1" t="s">
        <v>484</v>
      </c>
      <c r="L430" s="1">
        <v>6</v>
      </c>
      <c r="M430" s="13">
        <v>9574.41</v>
      </c>
      <c r="N430" s="15">
        <v>0.02</v>
      </c>
      <c r="O430" s="13">
        <v>81951.13</v>
      </c>
      <c r="P430" s="13">
        <v>15952.26</v>
      </c>
      <c r="Q430" s="13">
        <v>75.33</v>
      </c>
      <c r="R430" s="1" t="s">
        <v>51</v>
      </c>
      <c r="S430" s="1">
        <v>4</v>
      </c>
      <c r="T430" s="1" t="b">
        <v>0</v>
      </c>
      <c r="U430" s="1" t="s">
        <v>39</v>
      </c>
      <c r="V430" s="3">
        <v>6</v>
      </c>
    </row>
    <row r="431" spans="1:22" x14ac:dyDescent="0.3">
      <c r="A431" s="2" t="s">
        <v>1234</v>
      </c>
      <c r="B431" s="10">
        <v>45574</v>
      </c>
      <c r="C431" s="22">
        <v>45574</v>
      </c>
      <c r="D431" s="1" t="s">
        <v>1235</v>
      </c>
      <c r="E431" s="1" t="s">
        <v>1236</v>
      </c>
      <c r="F431" s="1">
        <v>34</v>
      </c>
      <c r="G431" s="1" t="s">
        <v>34</v>
      </c>
      <c r="H431" s="1" t="s">
        <v>111</v>
      </c>
      <c r="I431" s="1" t="s">
        <v>112</v>
      </c>
      <c r="J431" s="1" t="s">
        <v>62</v>
      </c>
      <c r="K431" s="1" t="s">
        <v>107</v>
      </c>
      <c r="L431" s="1">
        <v>8</v>
      </c>
      <c r="M431" s="13">
        <v>1268.46</v>
      </c>
      <c r="N431" s="15">
        <v>0.05</v>
      </c>
      <c r="O431" s="13">
        <v>12103.46</v>
      </c>
      <c r="P431" s="13">
        <v>3618.98</v>
      </c>
      <c r="Q431" s="13">
        <v>30.55</v>
      </c>
      <c r="R431" s="1" t="s">
        <v>51</v>
      </c>
      <c r="S431" s="1">
        <v>2</v>
      </c>
      <c r="T431" s="1" t="b">
        <v>0</v>
      </c>
      <c r="U431" s="1" t="s">
        <v>39</v>
      </c>
      <c r="V431" s="3">
        <v>10</v>
      </c>
    </row>
    <row r="432" spans="1:22" x14ac:dyDescent="0.3">
      <c r="A432" s="2" t="s">
        <v>1237</v>
      </c>
      <c r="B432" s="10">
        <v>44597</v>
      </c>
      <c r="C432" s="22">
        <v>44597</v>
      </c>
      <c r="D432" s="1" t="s">
        <v>1238</v>
      </c>
      <c r="E432" s="1" t="s">
        <v>418</v>
      </c>
      <c r="F432" s="1">
        <v>22</v>
      </c>
      <c r="G432" s="1" t="s">
        <v>34</v>
      </c>
      <c r="H432" s="1" t="s">
        <v>35</v>
      </c>
      <c r="I432" s="1" t="s">
        <v>49</v>
      </c>
      <c r="J432" s="1" t="s">
        <v>146</v>
      </c>
      <c r="K432" s="1" t="s">
        <v>161</v>
      </c>
      <c r="L432" s="1">
        <v>8</v>
      </c>
      <c r="M432" s="13">
        <v>11620.56</v>
      </c>
      <c r="N432" s="15">
        <v>0.18</v>
      </c>
      <c r="O432" s="13">
        <v>89828.71</v>
      </c>
      <c r="P432" s="13">
        <v>25898.31</v>
      </c>
      <c r="Q432" s="13">
        <v>50.64</v>
      </c>
      <c r="R432" s="1" t="s">
        <v>29</v>
      </c>
      <c r="S432" s="1">
        <v>4</v>
      </c>
      <c r="T432" s="1" t="b">
        <v>0</v>
      </c>
      <c r="U432" s="1" t="s">
        <v>39</v>
      </c>
      <c r="V432" s="3">
        <v>2</v>
      </c>
    </row>
    <row r="433" spans="1:22" x14ac:dyDescent="0.3">
      <c r="A433" s="2" t="s">
        <v>1239</v>
      </c>
      <c r="B433" s="10">
        <v>45152</v>
      </c>
      <c r="C433" s="22">
        <v>45152</v>
      </c>
      <c r="D433" s="1" t="s">
        <v>1240</v>
      </c>
      <c r="E433" s="1" t="s">
        <v>406</v>
      </c>
      <c r="F433" s="1">
        <v>39</v>
      </c>
      <c r="G433" s="1" t="s">
        <v>68</v>
      </c>
      <c r="H433" s="1" t="s">
        <v>82</v>
      </c>
      <c r="I433" s="1" t="s">
        <v>83</v>
      </c>
      <c r="J433" s="1" t="s">
        <v>127</v>
      </c>
      <c r="K433" s="1" t="s">
        <v>517</v>
      </c>
      <c r="L433" s="1">
        <v>1</v>
      </c>
      <c r="M433" s="13">
        <v>34885.370000000003</v>
      </c>
      <c r="N433" s="15">
        <v>0.1</v>
      </c>
      <c r="O433" s="13">
        <v>44683.38</v>
      </c>
      <c r="P433" s="13">
        <v>3420.51</v>
      </c>
      <c r="Q433" s="13">
        <v>85.38</v>
      </c>
      <c r="R433" s="1" t="s">
        <v>70</v>
      </c>
      <c r="S433" s="1">
        <v>4</v>
      </c>
      <c r="T433" s="1" t="b">
        <v>0</v>
      </c>
      <c r="U433" s="1" t="s">
        <v>137</v>
      </c>
      <c r="V433" s="3">
        <v>3</v>
      </c>
    </row>
    <row r="434" spans="1:22" x14ac:dyDescent="0.3">
      <c r="A434" s="2" t="s">
        <v>1241</v>
      </c>
      <c r="B434" s="10">
        <v>45371</v>
      </c>
      <c r="C434" s="22">
        <v>45371</v>
      </c>
      <c r="D434" s="1" t="s">
        <v>1242</v>
      </c>
      <c r="E434" s="1" t="s">
        <v>1243</v>
      </c>
      <c r="F434" s="1">
        <v>60</v>
      </c>
      <c r="G434" s="1" t="s">
        <v>24</v>
      </c>
      <c r="H434" s="1" t="s">
        <v>25</v>
      </c>
      <c r="I434" s="1" t="s">
        <v>55</v>
      </c>
      <c r="J434" s="1" t="s">
        <v>44</v>
      </c>
      <c r="K434" s="1" t="s">
        <v>50</v>
      </c>
      <c r="L434" s="1">
        <v>7</v>
      </c>
      <c r="M434" s="13">
        <v>28445.23</v>
      </c>
      <c r="N434" s="15">
        <v>0.28000000000000003</v>
      </c>
      <c r="O434" s="13">
        <v>189614.18</v>
      </c>
      <c r="P434" s="13">
        <v>42435.49</v>
      </c>
      <c r="Q434" s="13">
        <v>18.04</v>
      </c>
      <c r="R434" s="1" t="s">
        <v>78</v>
      </c>
      <c r="S434" s="1">
        <v>2</v>
      </c>
      <c r="T434" s="1" t="b">
        <v>0</v>
      </c>
      <c r="U434" s="1" t="s">
        <v>84</v>
      </c>
      <c r="V434" s="3">
        <v>10</v>
      </c>
    </row>
    <row r="435" spans="1:22" x14ac:dyDescent="0.3">
      <c r="A435" s="2" t="s">
        <v>1244</v>
      </c>
      <c r="B435" s="10">
        <v>45046</v>
      </c>
      <c r="C435" s="22">
        <v>45046</v>
      </c>
      <c r="D435" s="1" t="s">
        <v>1245</v>
      </c>
      <c r="E435" s="1" t="s">
        <v>1246</v>
      </c>
      <c r="F435" s="1">
        <v>28</v>
      </c>
      <c r="G435" s="1" t="s">
        <v>68</v>
      </c>
      <c r="H435" s="1" t="s">
        <v>35</v>
      </c>
      <c r="I435" s="1" t="s">
        <v>36</v>
      </c>
      <c r="J435" s="1" t="s">
        <v>127</v>
      </c>
      <c r="K435" s="1" t="s">
        <v>308</v>
      </c>
      <c r="L435" s="1">
        <v>6</v>
      </c>
      <c r="M435" s="13">
        <v>64360.23</v>
      </c>
      <c r="N435" s="15">
        <v>0.32</v>
      </c>
      <c r="O435" s="13">
        <v>385580.53</v>
      </c>
      <c r="P435" s="13">
        <v>28776.57</v>
      </c>
      <c r="Q435" s="13">
        <v>55.31</v>
      </c>
      <c r="R435" s="1" t="s">
        <v>29</v>
      </c>
      <c r="S435" s="1">
        <v>1</v>
      </c>
      <c r="T435" s="1" t="b">
        <v>0</v>
      </c>
      <c r="U435" s="1" t="s">
        <v>39</v>
      </c>
      <c r="V435" s="3">
        <v>1</v>
      </c>
    </row>
    <row r="436" spans="1:22" x14ac:dyDescent="0.3">
      <c r="A436" s="2" t="s">
        <v>1247</v>
      </c>
      <c r="B436" s="10">
        <v>45228</v>
      </c>
      <c r="C436" s="22">
        <v>45228</v>
      </c>
      <c r="D436" s="1" t="s">
        <v>1248</v>
      </c>
      <c r="E436" s="1" t="s">
        <v>426</v>
      </c>
      <c r="F436" s="1">
        <v>50</v>
      </c>
      <c r="G436" s="1" t="s">
        <v>34</v>
      </c>
      <c r="H436" s="1" t="s">
        <v>111</v>
      </c>
      <c r="I436" s="1" t="s">
        <v>330</v>
      </c>
      <c r="J436" s="1" t="s">
        <v>37</v>
      </c>
      <c r="K436" s="1" t="s">
        <v>38</v>
      </c>
      <c r="L436" s="1">
        <v>2</v>
      </c>
      <c r="M436" s="13">
        <v>1820.95</v>
      </c>
      <c r="N436" s="15">
        <v>0.15</v>
      </c>
      <c r="O436" s="13">
        <v>2961.7</v>
      </c>
      <c r="P436" s="13">
        <v>1317.61</v>
      </c>
      <c r="Q436" s="13">
        <v>69.89</v>
      </c>
      <c r="R436" s="1" t="s">
        <v>57</v>
      </c>
      <c r="S436" s="1">
        <v>4</v>
      </c>
      <c r="T436" s="1" t="b">
        <v>0</v>
      </c>
      <c r="U436" s="1" t="s">
        <v>39</v>
      </c>
      <c r="V436" s="3">
        <v>5</v>
      </c>
    </row>
    <row r="437" spans="1:22" x14ac:dyDescent="0.3">
      <c r="A437" s="2" t="s">
        <v>1249</v>
      </c>
      <c r="B437" s="10">
        <v>44986</v>
      </c>
      <c r="C437" s="22">
        <v>44986</v>
      </c>
      <c r="D437" s="1" t="s">
        <v>1250</v>
      </c>
      <c r="E437" s="1" t="s">
        <v>189</v>
      </c>
      <c r="F437" s="1">
        <v>29</v>
      </c>
      <c r="G437" s="1" t="s">
        <v>68</v>
      </c>
      <c r="H437" s="1" t="s">
        <v>82</v>
      </c>
      <c r="I437" s="1" t="s">
        <v>244</v>
      </c>
      <c r="J437" s="1" t="s">
        <v>127</v>
      </c>
      <c r="K437" s="1" t="s">
        <v>142</v>
      </c>
      <c r="L437" s="1">
        <v>6</v>
      </c>
      <c r="M437" s="13">
        <v>78301.55</v>
      </c>
      <c r="N437" s="15">
        <v>0.24</v>
      </c>
      <c r="O437" s="13">
        <v>446345.61</v>
      </c>
      <c r="P437" s="13">
        <v>61437.599999999999</v>
      </c>
      <c r="Q437" s="13">
        <v>87.28</v>
      </c>
      <c r="R437" s="1" t="s">
        <v>51</v>
      </c>
      <c r="S437" s="1">
        <v>4</v>
      </c>
      <c r="T437" s="1" t="b">
        <v>0</v>
      </c>
      <c r="U437" s="1" t="s">
        <v>39</v>
      </c>
      <c r="V437" s="3">
        <v>7</v>
      </c>
    </row>
    <row r="438" spans="1:22" x14ac:dyDescent="0.3">
      <c r="A438" s="2" t="s">
        <v>1251</v>
      </c>
      <c r="B438" s="10">
        <v>43932</v>
      </c>
      <c r="C438" s="22">
        <v>43932</v>
      </c>
      <c r="D438" s="1" t="s">
        <v>1252</v>
      </c>
      <c r="E438" s="1" t="s">
        <v>953</v>
      </c>
      <c r="F438" s="1">
        <v>36</v>
      </c>
      <c r="G438" s="1" t="s">
        <v>24</v>
      </c>
      <c r="H438" s="1" t="s">
        <v>25</v>
      </c>
      <c r="I438" s="1" t="s">
        <v>55</v>
      </c>
      <c r="J438" s="1" t="s">
        <v>37</v>
      </c>
      <c r="K438" s="1" t="s">
        <v>454</v>
      </c>
      <c r="L438" s="1">
        <v>4</v>
      </c>
      <c r="M438" s="13">
        <v>171.85</v>
      </c>
      <c r="N438" s="15">
        <v>0.03</v>
      </c>
      <c r="O438" s="13">
        <v>902.31</v>
      </c>
      <c r="P438" s="13">
        <v>591.14</v>
      </c>
      <c r="Q438" s="13">
        <v>34.270000000000003</v>
      </c>
      <c r="R438" s="1" t="s">
        <v>29</v>
      </c>
      <c r="S438" s="1">
        <v>3</v>
      </c>
      <c r="T438" s="1" t="b">
        <v>0</v>
      </c>
      <c r="U438" s="1" t="s">
        <v>137</v>
      </c>
      <c r="V438" s="3">
        <v>8</v>
      </c>
    </row>
    <row r="439" spans="1:22" x14ac:dyDescent="0.3">
      <c r="A439" s="2" t="s">
        <v>1253</v>
      </c>
      <c r="B439" s="10">
        <v>44083</v>
      </c>
      <c r="C439" s="22">
        <v>44083</v>
      </c>
      <c r="D439" s="1" t="s">
        <v>1254</v>
      </c>
      <c r="E439" s="1" t="s">
        <v>247</v>
      </c>
      <c r="F439" s="1">
        <v>25</v>
      </c>
      <c r="G439" s="1" t="s">
        <v>24</v>
      </c>
      <c r="H439" s="1" t="s">
        <v>74</v>
      </c>
      <c r="I439" s="1" t="s">
        <v>75</v>
      </c>
      <c r="J439" s="1" t="s">
        <v>146</v>
      </c>
      <c r="K439" s="1" t="s">
        <v>147</v>
      </c>
      <c r="L439" s="1">
        <v>5</v>
      </c>
      <c r="M439" s="13">
        <v>603.71</v>
      </c>
      <c r="N439" s="15">
        <v>0.39</v>
      </c>
      <c r="O439" s="13">
        <v>373.9</v>
      </c>
      <c r="P439" s="13">
        <v>76.010000000000005</v>
      </c>
      <c r="Q439" s="13">
        <v>68.010000000000005</v>
      </c>
      <c r="R439" s="1" t="s">
        <v>57</v>
      </c>
      <c r="S439" s="1">
        <v>3</v>
      </c>
      <c r="T439" s="1" t="b">
        <v>0</v>
      </c>
      <c r="U439" s="1" t="s">
        <v>137</v>
      </c>
      <c r="V439" s="3">
        <v>9</v>
      </c>
    </row>
    <row r="440" spans="1:22" x14ac:dyDescent="0.3">
      <c r="A440" s="2" t="s">
        <v>1255</v>
      </c>
      <c r="B440" s="10">
        <v>44356</v>
      </c>
      <c r="C440" s="22">
        <v>44356</v>
      </c>
      <c r="D440" s="1" t="s">
        <v>1256</v>
      </c>
      <c r="E440" s="1" t="s">
        <v>1166</v>
      </c>
      <c r="F440" s="1">
        <v>31</v>
      </c>
      <c r="G440" s="1" t="s">
        <v>68</v>
      </c>
      <c r="H440" s="1" t="s">
        <v>82</v>
      </c>
      <c r="I440" s="1" t="s">
        <v>83</v>
      </c>
      <c r="J440" s="1" t="s">
        <v>27</v>
      </c>
      <c r="K440" s="1" t="s">
        <v>97</v>
      </c>
      <c r="L440" s="1">
        <v>6</v>
      </c>
      <c r="M440" s="13">
        <v>57.72</v>
      </c>
      <c r="N440" s="15">
        <v>0.21</v>
      </c>
      <c r="O440" s="13">
        <v>553.5</v>
      </c>
      <c r="P440" s="13">
        <v>48.28</v>
      </c>
      <c r="Q440" s="13">
        <v>80.69</v>
      </c>
      <c r="R440" s="1" t="s">
        <v>51</v>
      </c>
      <c r="S440" s="1">
        <v>3</v>
      </c>
      <c r="T440" s="1" t="b">
        <v>0</v>
      </c>
      <c r="U440" s="1" t="s">
        <v>137</v>
      </c>
      <c r="V440" s="3">
        <v>5</v>
      </c>
    </row>
    <row r="441" spans="1:22" x14ac:dyDescent="0.3">
      <c r="A441" s="2" t="s">
        <v>1257</v>
      </c>
      <c r="B441" s="10">
        <v>44062</v>
      </c>
      <c r="C441" s="22">
        <v>44062</v>
      </c>
      <c r="D441" s="1" t="s">
        <v>1258</v>
      </c>
      <c r="E441" s="1" t="s">
        <v>279</v>
      </c>
      <c r="F441" s="1">
        <v>49</v>
      </c>
      <c r="G441" s="1" t="s">
        <v>68</v>
      </c>
      <c r="H441" s="1" t="s">
        <v>111</v>
      </c>
      <c r="I441" s="1" t="s">
        <v>330</v>
      </c>
      <c r="J441" s="1" t="s">
        <v>44</v>
      </c>
      <c r="K441" s="1" t="s">
        <v>221</v>
      </c>
      <c r="L441" s="1">
        <v>3</v>
      </c>
      <c r="M441" s="13">
        <v>28093.41</v>
      </c>
      <c r="N441" s="15">
        <v>0.11</v>
      </c>
      <c r="O441" s="13">
        <v>80865.399999999994</v>
      </c>
      <c r="P441" s="13">
        <v>14166.32</v>
      </c>
      <c r="Q441" s="13">
        <v>69.8</v>
      </c>
      <c r="R441" s="1" t="s">
        <v>57</v>
      </c>
      <c r="S441" s="1">
        <v>3</v>
      </c>
      <c r="T441" s="1" t="b">
        <v>1</v>
      </c>
      <c r="U441" s="1" t="s">
        <v>30</v>
      </c>
      <c r="V441" s="3">
        <v>3</v>
      </c>
    </row>
    <row r="442" spans="1:22" x14ac:dyDescent="0.3">
      <c r="A442" s="2" t="s">
        <v>1259</v>
      </c>
      <c r="B442" s="10">
        <v>45482</v>
      </c>
      <c r="C442" s="22">
        <v>45482</v>
      </c>
      <c r="D442" s="1" t="s">
        <v>1260</v>
      </c>
      <c r="E442" s="1" t="s">
        <v>690</v>
      </c>
      <c r="F442" s="1">
        <v>30</v>
      </c>
      <c r="G442" s="1" t="s">
        <v>34</v>
      </c>
      <c r="H442" s="1" t="s">
        <v>74</v>
      </c>
      <c r="I442" s="1" t="s">
        <v>192</v>
      </c>
      <c r="J442" s="1" t="s">
        <v>127</v>
      </c>
      <c r="K442" s="1" t="s">
        <v>142</v>
      </c>
      <c r="L442" s="1">
        <v>3</v>
      </c>
      <c r="M442" s="13">
        <v>39483.93</v>
      </c>
      <c r="N442" s="15">
        <v>0.01</v>
      </c>
      <c r="O442" s="13">
        <v>188221.16</v>
      </c>
      <c r="P442" s="13">
        <v>17116.650000000001</v>
      </c>
      <c r="Q442" s="13">
        <v>68.56</v>
      </c>
      <c r="R442" s="1" t="s">
        <v>78</v>
      </c>
      <c r="S442" s="1">
        <v>3</v>
      </c>
      <c r="T442" s="1" t="b">
        <v>1</v>
      </c>
      <c r="U442" s="1" t="s">
        <v>30</v>
      </c>
      <c r="V442" s="3">
        <v>2</v>
      </c>
    </row>
    <row r="443" spans="1:22" x14ac:dyDescent="0.3">
      <c r="A443" s="2" t="s">
        <v>1261</v>
      </c>
      <c r="B443" s="10">
        <v>45642</v>
      </c>
      <c r="C443" s="22">
        <v>45642</v>
      </c>
      <c r="D443" s="1" t="s">
        <v>1262</v>
      </c>
      <c r="E443" s="1" t="s">
        <v>1263</v>
      </c>
      <c r="F443" s="1">
        <v>14</v>
      </c>
      <c r="G443" s="1" t="s">
        <v>34</v>
      </c>
      <c r="H443" s="1" t="s">
        <v>82</v>
      </c>
      <c r="I443" s="1" t="s">
        <v>293</v>
      </c>
      <c r="J443" s="1" t="s">
        <v>76</v>
      </c>
      <c r="K443" s="1" t="s">
        <v>207</v>
      </c>
      <c r="L443" s="1">
        <v>4</v>
      </c>
      <c r="M443" s="13">
        <v>1999.6</v>
      </c>
      <c r="N443" s="15">
        <v>0.4</v>
      </c>
      <c r="O443" s="13">
        <v>4690.45</v>
      </c>
      <c r="P443" s="13">
        <v>1146.5999999999999</v>
      </c>
      <c r="Q443" s="13">
        <v>66.84</v>
      </c>
      <c r="R443" s="1" t="s">
        <v>57</v>
      </c>
      <c r="S443" s="1">
        <v>3</v>
      </c>
      <c r="T443" s="1" t="b">
        <v>0</v>
      </c>
      <c r="U443" s="1" t="s">
        <v>39</v>
      </c>
      <c r="V443" s="3">
        <v>3</v>
      </c>
    </row>
    <row r="444" spans="1:22" x14ac:dyDescent="0.3">
      <c r="A444" s="2" t="s">
        <v>1264</v>
      </c>
      <c r="B444" s="10">
        <v>45270</v>
      </c>
      <c r="C444" s="22">
        <v>45270</v>
      </c>
      <c r="D444" s="1" t="s">
        <v>1265</v>
      </c>
      <c r="E444" s="1" t="s">
        <v>1266</v>
      </c>
      <c r="F444" s="1">
        <v>30</v>
      </c>
      <c r="G444" s="1" t="s">
        <v>34</v>
      </c>
      <c r="H444" s="1" t="s">
        <v>74</v>
      </c>
      <c r="I444" s="1" t="s">
        <v>101</v>
      </c>
      <c r="J444" s="1" t="s">
        <v>27</v>
      </c>
      <c r="K444" s="1" t="s">
        <v>56</v>
      </c>
      <c r="L444" s="1">
        <v>9</v>
      </c>
      <c r="M444" s="13">
        <v>407.05</v>
      </c>
      <c r="N444" s="15">
        <v>0.3</v>
      </c>
      <c r="O444" s="13">
        <v>1997.66</v>
      </c>
      <c r="P444" s="13">
        <v>139.6</v>
      </c>
      <c r="Q444" s="13">
        <v>72.88</v>
      </c>
      <c r="R444" s="1" t="s">
        <v>57</v>
      </c>
      <c r="S444" s="1">
        <v>4</v>
      </c>
      <c r="T444" s="1" t="b">
        <v>0</v>
      </c>
      <c r="U444" s="1" t="s">
        <v>84</v>
      </c>
      <c r="V444" s="3">
        <v>6</v>
      </c>
    </row>
    <row r="445" spans="1:22" x14ac:dyDescent="0.3">
      <c r="A445" s="2" t="s">
        <v>1267</v>
      </c>
      <c r="B445" s="10">
        <v>45520</v>
      </c>
      <c r="C445" s="22">
        <v>45520</v>
      </c>
      <c r="D445" s="1" t="s">
        <v>1268</v>
      </c>
      <c r="E445" s="1" t="s">
        <v>534</v>
      </c>
      <c r="F445" s="1">
        <v>46</v>
      </c>
      <c r="G445" s="1" t="s">
        <v>68</v>
      </c>
      <c r="H445" s="1" t="s">
        <v>25</v>
      </c>
      <c r="I445" s="1" t="s">
        <v>55</v>
      </c>
      <c r="J445" s="1" t="s">
        <v>146</v>
      </c>
      <c r="K445" s="1" t="s">
        <v>484</v>
      </c>
      <c r="L445" s="1">
        <v>9</v>
      </c>
      <c r="M445" s="13">
        <v>3110.88</v>
      </c>
      <c r="N445" s="15">
        <v>0.28000000000000003</v>
      </c>
      <c r="O445" s="13">
        <v>29090.53</v>
      </c>
      <c r="P445" s="13">
        <v>4498.07</v>
      </c>
      <c r="Q445" s="13">
        <v>43.42</v>
      </c>
      <c r="R445" s="1" t="s">
        <v>51</v>
      </c>
      <c r="S445" s="1">
        <v>2</v>
      </c>
      <c r="T445" s="1" t="b">
        <v>0</v>
      </c>
      <c r="U445" s="1" t="s">
        <v>39</v>
      </c>
      <c r="V445" s="3">
        <v>8</v>
      </c>
    </row>
    <row r="446" spans="1:22" x14ac:dyDescent="0.3">
      <c r="A446" s="2" t="s">
        <v>1269</v>
      </c>
      <c r="B446" s="10">
        <v>44966</v>
      </c>
      <c r="C446" s="22">
        <v>44966</v>
      </c>
      <c r="D446" s="1" t="s">
        <v>1270</v>
      </c>
      <c r="E446" s="1" t="s">
        <v>100</v>
      </c>
      <c r="F446" s="1">
        <v>18</v>
      </c>
      <c r="G446" s="1" t="s">
        <v>34</v>
      </c>
      <c r="H446" s="1" t="s">
        <v>74</v>
      </c>
      <c r="I446" s="1" t="s">
        <v>136</v>
      </c>
      <c r="J446" s="1" t="s">
        <v>146</v>
      </c>
      <c r="K446" s="1" t="s">
        <v>484</v>
      </c>
      <c r="L446" s="1">
        <v>1</v>
      </c>
      <c r="M446" s="13">
        <v>12495.08</v>
      </c>
      <c r="N446" s="15">
        <v>0.27</v>
      </c>
      <c r="O446" s="13">
        <v>9249.06</v>
      </c>
      <c r="P446" s="13">
        <v>1686.4</v>
      </c>
      <c r="Q446" s="13">
        <v>55.06</v>
      </c>
      <c r="R446" s="1" t="s">
        <v>70</v>
      </c>
      <c r="S446" s="1">
        <v>5</v>
      </c>
      <c r="T446" s="1" t="b">
        <v>0</v>
      </c>
      <c r="U446" s="1" t="s">
        <v>39</v>
      </c>
      <c r="V446" s="3">
        <v>9</v>
      </c>
    </row>
    <row r="447" spans="1:22" x14ac:dyDescent="0.3">
      <c r="A447" s="2" t="s">
        <v>1271</v>
      </c>
      <c r="B447" s="10">
        <v>45640</v>
      </c>
      <c r="C447" s="22">
        <v>45640</v>
      </c>
      <c r="D447" s="1" t="s">
        <v>1272</v>
      </c>
      <c r="E447" s="1" t="s">
        <v>696</v>
      </c>
      <c r="F447" s="1">
        <v>46</v>
      </c>
      <c r="G447" s="1" t="s">
        <v>24</v>
      </c>
      <c r="H447" s="1" t="s">
        <v>74</v>
      </c>
      <c r="I447" s="1" t="s">
        <v>75</v>
      </c>
      <c r="J447" s="1" t="s">
        <v>44</v>
      </c>
      <c r="K447" s="1" t="s">
        <v>117</v>
      </c>
      <c r="L447" s="1">
        <v>1</v>
      </c>
      <c r="M447" s="13">
        <v>9449.94</v>
      </c>
      <c r="N447" s="15">
        <v>0.15</v>
      </c>
      <c r="O447" s="13">
        <v>7223.61</v>
      </c>
      <c r="P447" s="13">
        <v>2224.5100000000002</v>
      </c>
      <c r="Q447" s="13">
        <v>32.57</v>
      </c>
      <c r="R447" s="1" t="s">
        <v>78</v>
      </c>
      <c r="S447" s="1">
        <v>1</v>
      </c>
      <c r="T447" s="1" t="b">
        <v>1</v>
      </c>
      <c r="U447" s="1" t="s">
        <v>30</v>
      </c>
      <c r="V447" s="3">
        <v>2</v>
      </c>
    </row>
    <row r="448" spans="1:22" x14ac:dyDescent="0.3">
      <c r="A448" s="2" t="s">
        <v>1273</v>
      </c>
      <c r="B448" s="10">
        <v>44313</v>
      </c>
      <c r="C448" s="22">
        <v>44313</v>
      </c>
      <c r="D448" s="1" t="s">
        <v>1274</v>
      </c>
      <c r="E448" s="1" t="s">
        <v>1275</v>
      </c>
      <c r="F448" s="1">
        <v>35</v>
      </c>
      <c r="G448" s="1" t="s">
        <v>34</v>
      </c>
      <c r="H448" s="1" t="s">
        <v>25</v>
      </c>
      <c r="I448" s="1" t="s">
        <v>69</v>
      </c>
      <c r="J448" s="1" t="s">
        <v>127</v>
      </c>
      <c r="K448" s="1" t="s">
        <v>142</v>
      </c>
      <c r="L448" s="1">
        <v>8</v>
      </c>
      <c r="M448" s="13">
        <v>30314.74</v>
      </c>
      <c r="N448" s="15">
        <v>0.06</v>
      </c>
      <c r="O448" s="13">
        <v>283224.55</v>
      </c>
      <c r="P448" s="13">
        <v>33093.14</v>
      </c>
      <c r="Q448" s="13">
        <v>68.75</v>
      </c>
      <c r="R448" s="1" t="s">
        <v>70</v>
      </c>
      <c r="S448" s="1">
        <v>1</v>
      </c>
      <c r="T448" s="1" t="b">
        <v>1</v>
      </c>
      <c r="U448" s="1" t="s">
        <v>30</v>
      </c>
      <c r="V448" s="3">
        <v>9</v>
      </c>
    </row>
    <row r="449" spans="1:22" x14ac:dyDescent="0.3">
      <c r="A449" s="2" t="s">
        <v>1276</v>
      </c>
      <c r="B449" s="10">
        <v>44126</v>
      </c>
      <c r="C449" s="22">
        <v>44126</v>
      </c>
      <c r="D449" s="1" t="s">
        <v>1277</v>
      </c>
      <c r="E449" s="1" t="s">
        <v>33</v>
      </c>
      <c r="F449" s="1">
        <v>26</v>
      </c>
      <c r="G449" s="1" t="s">
        <v>24</v>
      </c>
      <c r="H449" s="1" t="s">
        <v>111</v>
      </c>
      <c r="I449" s="1" t="s">
        <v>330</v>
      </c>
      <c r="J449" s="1" t="s">
        <v>146</v>
      </c>
      <c r="K449" s="1" t="s">
        <v>276</v>
      </c>
      <c r="L449" s="1">
        <v>1</v>
      </c>
      <c r="M449" s="13">
        <v>12380.73</v>
      </c>
      <c r="N449" s="15">
        <v>0.24</v>
      </c>
      <c r="O449" s="13">
        <v>8294.2999999999993</v>
      </c>
      <c r="P449" s="13">
        <v>2144.64</v>
      </c>
      <c r="Q449" s="13">
        <v>80.23</v>
      </c>
      <c r="R449" s="1" t="s">
        <v>70</v>
      </c>
      <c r="S449" s="1">
        <v>4</v>
      </c>
      <c r="T449" s="1" t="b">
        <v>0</v>
      </c>
      <c r="U449" s="1" t="s">
        <v>84</v>
      </c>
      <c r="V449" s="3">
        <v>5</v>
      </c>
    </row>
    <row r="450" spans="1:22" x14ac:dyDescent="0.3">
      <c r="A450" s="2" t="s">
        <v>1278</v>
      </c>
      <c r="B450" s="10">
        <v>44956</v>
      </c>
      <c r="C450" s="22">
        <v>44956</v>
      </c>
      <c r="D450" s="1" t="s">
        <v>1279</v>
      </c>
      <c r="E450" s="1" t="s">
        <v>869</v>
      </c>
      <c r="F450" s="1">
        <v>13</v>
      </c>
      <c r="G450" s="1" t="s">
        <v>34</v>
      </c>
      <c r="H450" s="1" t="s">
        <v>35</v>
      </c>
      <c r="I450" s="1" t="s">
        <v>43</v>
      </c>
      <c r="J450" s="1" t="s">
        <v>146</v>
      </c>
      <c r="K450" s="1" t="s">
        <v>147</v>
      </c>
      <c r="L450" s="1">
        <v>4</v>
      </c>
      <c r="M450" s="13">
        <v>6304.42</v>
      </c>
      <c r="N450" s="15">
        <v>0.31</v>
      </c>
      <c r="O450" s="13">
        <v>15164.38</v>
      </c>
      <c r="P450" s="13">
        <v>3544.74</v>
      </c>
      <c r="Q450" s="13">
        <v>95.26</v>
      </c>
      <c r="R450" s="1" t="s">
        <v>70</v>
      </c>
      <c r="S450" s="1">
        <v>5</v>
      </c>
      <c r="T450" s="1" t="b">
        <v>0</v>
      </c>
      <c r="U450" s="1" t="s">
        <v>39</v>
      </c>
      <c r="V450" s="3">
        <v>6</v>
      </c>
    </row>
    <row r="451" spans="1:22" x14ac:dyDescent="0.3">
      <c r="A451" s="2" t="s">
        <v>1280</v>
      </c>
      <c r="B451" s="10">
        <v>43905</v>
      </c>
      <c r="C451" s="22">
        <v>43905</v>
      </c>
      <c r="D451" s="1" t="s">
        <v>1281</v>
      </c>
      <c r="E451" s="1" t="s">
        <v>1282</v>
      </c>
      <c r="F451" s="1">
        <v>16</v>
      </c>
      <c r="G451" s="1" t="s">
        <v>24</v>
      </c>
      <c r="H451" s="1" t="s">
        <v>82</v>
      </c>
      <c r="I451" s="1" t="s">
        <v>126</v>
      </c>
      <c r="J451" s="1" t="s">
        <v>76</v>
      </c>
      <c r="K451" s="1" t="s">
        <v>77</v>
      </c>
      <c r="L451" s="1">
        <v>2</v>
      </c>
      <c r="M451" s="13">
        <v>2448.31</v>
      </c>
      <c r="N451" s="15">
        <v>0.35</v>
      </c>
      <c r="O451" s="13">
        <v>3584.88</v>
      </c>
      <c r="P451" s="13">
        <v>1270.1600000000001</v>
      </c>
      <c r="Q451" s="13">
        <v>79.97</v>
      </c>
      <c r="R451" s="1" t="s">
        <v>70</v>
      </c>
      <c r="S451" s="1">
        <v>4</v>
      </c>
      <c r="T451" s="1" t="b">
        <v>0</v>
      </c>
      <c r="U451" s="1" t="s">
        <v>39</v>
      </c>
      <c r="V451" s="3">
        <v>7</v>
      </c>
    </row>
    <row r="452" spans="1:22" x14ac:dyDescent="0.3">
      <c r="A452" s="2" t="s">
        <v>1283</v>
      </c>
      <c r="B452" s="10">
        <v>45343</v>
      </c>
      <c r="C452" s="22">
        <v>45343</v>
      </c>
      <c r="D452" s="1" t="s">
        <v>1284</v>
      </c>
      <c r="E452" s="1" t="s">
        <v>1285</v>
      </c>
      <c r="F452" s="1">
        <v>30</v>
      </c>
      <c r="G452" s="1" t="s">
        <v>24</v>
      </c>
      <c r="H452" s="1" t="s">
        <v>111</v>
      </c>
      <c r="I452" s="1" t="s">
        <v>141</v>
      </c>
      <c r="J452" s="1" t="s">
        <v>127</v>
      </c>
      <c r="K452" s="1" t="s">
        <v>142</v>
      </c>
      <c r="L452" s="1">
        <v>3</v>
      </c>
      <c r="M452" s="13">
        <v>50121.13</v>
      </c>
      <c r="N452" s="15">
        <v>0.25</v>
      </c>
      <c r="O452" s="13">
        <v>130268.18</v>
      </c>
      <c r="P452" s="13">
        <v>18524</v>
      </c>
      <c r="Q452" s="13">
        <v>68.489999999999995</v>
      </c>
      <c r="R452" s="1" t="s">
        <v>29</v>
      </c>
      <c r="S452" s="1">
        <v>5</v>
      </c>
      <c r="T452" s="1" t="b">
        <v>0</v>
      </c>
      <c r="U452" s="1" t="s">
        <v>699</v>
      </c>
      <c r="V452" s="3">
        <v>4</v>
      </c>
    </row>
    <row r="453" spans="1:22" x14ac:dyDescent="0.3">
      <c r="A453" s="2" t="s">
        <v>1286</v>
      </c>
      <c r="B453" s="10">
        <v>45133</v>
      </c>
      <c r="C453" s="22">
        <v>45133</v>
      </c>
      <c r="D453" s="1" t="s">
        <v>1287</v>
      </c>
      <c r="E453" s="1" t="s">
        <v>1108</v>
      </c>
      <c r="F453" s="1">
        <v>35</v>
      </c>
      <c r="G453" s="1" t="s">
        <v>24</v>
      </c>
      <c r="H453" s="1" t="s">
        <v>74</v>
      </c>
      <c r="I453" s="1" t="s">
        <v>192</v>
      </c>
      <c r="J453" s="1" t="s">
        <v>146</v>
      </c>
      <c r="K453" s="1" t="s">
        <v>217</v>
      </c>
      <c r="L453" s="1">
        <v>5</v>
      </c>
      <c r="M453" s="13">
        <v>1956.54</v>
      </c>
      <c r="N453" s="15">
        <v>0.2</v>
      </c>
      <c r="O453" s="13">
        <v>10411.35</v>
      </c>
      <c r="P453" s="13">
        <v>2723.2</v>
      </c>
      <c r="Q453" s="13">
        <v>60.98</v>
      </c>
      <c r="R453" s="1" t="s">
        <v>78</v>
      </c>
      <c r="S453" s="1">
        <v>3</v>
      </c>
      <c r="T453" s="1" t="b">
        <v>0</v>
      </c>
      <c r="U453" s="1" t="s">
        <v>39</v>
      </c>
      <c r="V453" s="3">
        <v>3</v>
      </c>
    </row>
    <row r="454" spans="1:22" x14ac:dyDescent="0.3">
      <c r="A454" s="2" t="s">
        <v>1288</v>
      </c>
      <c r="B454" s="10">
        <v>45360</v>
      </c>
      <c r="C454" s="22">
        <v>45360</v>
      </c>
      <c r="D454" s="1" t="s">
        <v>1289</v>
      </c>
      <c r="E454" s="1" t="s">
        <v>1004</v>
      </c>
      <c r="F454" s="1">
        <v>28</v>
      </c>
      <c r="G454" s="1" t="s">
        <v>24</v>
      </c>
      <c r="H454" s="1" t="s">
        <v>74</v>
      </c>
      <c r="I454" s="1" t="s">
        <v>101</v>
      </c>
      <c r="J454" s="1" t="s">
        <v>127</v>
      </c>
      <c r="K454" s="1" t="s">
        <v>171</v>
      </c>
      <c r="L454" s="1">
        <v>5</v>
      </c>
      <c r="M454" s="13">
        <v>35958.57</v>
      </c>
      <c r="N454" s="15">
        <v>0.23</v>
      </c>
      <c r="O454" s="13">
        <v>180888.8</v>
      </c>
      <c r="P454" s="13">
        <v>18318.66</v>
      </c>
      <c r="Q454" s="13">
        <v>45.69</v>
      </c>
      <c r="R454" s="1" t="s">
        <v>78</v>
      </c>
      <c r="S454" s="1">
        <v>1</v>
      </c>
      <c r="T454" s="1" t="b">
        <v>0</v>
      </c>
      <c r="U454" s="1" t="s">
        <v>39</v>
      </c>
      <c r="V454" s="3">
        <v>6</v>
      </c>
    </row>
    <row r="455" spans="1:22" x14ac:dyDescent="0.3">
      <c r="A455" s="2" t="s">
        <v>1290</v>
      </c>
      <c r="B455" s="10">
        <v>44593</v>
      </c>
      <c r="C455" s="22">
        <v>44593</v>
      </c>
      <c r="D455" s="1" t="s">
        <v>1291</v>
      </c>
      <c r="E455" s="1" t="s">
        <v>195</v>
      </c>
      <c r="F455" s="1">
        <v>30</v>
      </c>
      <c r="G455" s="1" t="s">
        <v>68</v>
      </c>
      <c r="H455" s="1" t="s">
        <v>82</v>
      </c>
      <c r="I455" s="1" t="s">
        <v>244</v>
      </c>
      <c r="J455" s="1" t="s">
        <v>37</v>
      </c>
      <c r="K455" s="1" t="s">
        <v>671</v>
      </c>
      <c r="L455" s="1">
        <v>10</v>
      </c>
      <c r="M455" s="13">
        <v>1797.87</v>
      </c>
      <c r="N455" s="15">
        <v>0.31</v>
      </c>
      <c r="O455" s="13">
        <v>12188.57</v>
      </c>
      <c r="P455" s="13">
        <v>2948.45</v>
      </c>
      <c r="Q455" s="13">
        <v>85.14</v>
      </c>
      <c r="R455" s="1" t="s">
        <v>64</v>
      </c>
      <c r="S455" s="1">
        <v>3</v>
      </c>
      <c r="T455" s="1" t="b">
        <v>0</v>
      </c>
      <c r="U455" s="1" t="s">
        <v>137</v>
      </c>
      <c r="V455" s="3">
        <v>4</v>
      </c>
    </row>
    <row r="456" spans="1:22" x14ac:dyDescent="0.3">
      <c r="A456" s="2" t="s">
        <v>1292</v>
      </c>
      <c r="B456" s="10">
        <v>44600</v>
      </c>
      <c r="C456" s="22">
        <v>44600</v>
      </c>
      <c r="D456" s="1" t="s">
        <v>1293</v>
      </c>
      <c r="E456" s="1" t="s">
        <v>1294</v>
      </c>
      <c r="F456" s="1">
        <v>65</v>
      </c>
      <c r="G456" s="1" t="s">
        <v>34</v>
      </c>
      <c r="H456" s="1" t="s">
        <v>74</v>
      </c>
      <c r="I456" s="1" t="s">
        <v>192</v>
      </c>
      <c r="J456" s="1" t="s">
        <v>27</v>
      </c>
      <c r="K456" s="1" t="s">
        <v>450</v>
      </c>
      <c r="L456" s="1">
        <v>10</v>
      </c>
      <c r="M456" s="13">
        <v>299.20999999999998</v>
      </c>
      <c r="N456" s="15">
        <v>0.19</v>
      </c>
      <c r="O456" s="13">
        <v>2491.46</v>
      </c>
      <c r="P456" s="13">
        <v>268.35000000000002</v>
      </c>
      <c r="Q456" s="13">
        <v>16.739999999999998</v>
      </c>
      <c r="R456" s="1" t="s">
        <v>57</v>
      </c>
      <c r="S456" s="1">
        <v>3</v>
      </c>
      <c r="T456" s="1" t="b">
        <v>0</v>
      </c>
      <c r="U456" s="1" t="s">
        <v>39</v>
      </c>
      <c r="V456" s="3">
        <v>9</v>
      </c>
    </row>
    <row r="457" spans="1:22" x14ac:dyDescent="0.3">
      <c r="A457" s="2" t="s">
        <v>1295</v>
      </c>
      <c r="B457" s="10">
        <v>44839</v>
      </c>
      <c r="C457" s="22">
        <v>44839</v>
      </c>
      <c r="D457" s="1" t="s">
        <v>1296</v>
      </c>
      <c r="E457" s="1" t="s">
        <v>1297</v>
      </c>
      <c r="F457" s="1">
        <v>44</v>
      </c>
      <c r="G457" s="1" t="s">
        <v>24</v>
      </c>
      <c r="H457" s="1" t="s">
        <v>25</v>
      </c>
      <c r="I457" s="1" t="s">
        <v>170</v>
      </c>
      <c r="J457" s="1" t="s">
        <v>44</v>
      </c>
      <c r="K457" s="1" t="s">
        <v>186</v>
      </c>
      <c r="L457" s="1">
        <v>8</v>
      </c>
      <c r="M457" s="13">
        <v>32195.15</v>
      </c>
      <c r="N457" s="15">
        <v>0.25</v>
      </c>
      <c r="O457" s="13">
        <v>191258.73</v>
      </c>
      <c r="P457" s="13">
        <v>53878.3</v>
      </c>
      <c r="Q457" s="13">
        <v>67.87</v>
      </c>
      <c r="R457" s="1" t="s">
        <v>64</v>
      </c>
      <c r="S457" s="1">
        <v>2</v>
      </c>
      <c r="T457" s="1" t="b">
        <v>0</v>
      </c>
      <c r="U457" s="1" t="s">
        <v>39</v>
      </c>
      <c r="V457" s="3">
        <v>4</v>
      </c>
    </row>
    <row r="458" spans="1:22" x14ac:dyDescent="0.3">
      <c r="A458" s="2" t="s">
        <v>1298</v>
      </c>
      <c r="B458" s="10">
        <v>44570</v>
      </c>
      <c r="C458" s="22">
        <v>44570</v>
      </c>
      <c r="D458" s="1" t="s">
        <v>1299</v>
      </c>
      <c r="E458" s="1" t="s">
        <v>1300</v>
      </c>
      <c r="F458" s="1">
        <v>26</v>
      </c>
      <c r="G458" s="1" t="s">
        <v>24</v>
      </c>
      <c r="H458" s="1" t="s">
        <v>111</v>
      </c>
      <c r="I458" s="1" t="s">
        <v>330</v>
      </c>
      <c r="J458" s="1" t="s">
        <v>44</v>
      </c>
      <c r="K458" s="1" t="s">
        <v>117</v>
      </c>
      <c r="L458" s="1">
        <v>7</v>
      </c>
      <c r="M458" s="13">
        <v>2529.87</v>
      </c>
      <c r="N458" s="15">
        <v>0.12</v>
      </c>
      <c r="O458" s="13">
        <v>14719.17</v>
      </c>
      <c r="P458" s="13">
        <v>4154.01</v>
      </c>
      <c r="Q458" s="13">
        <v>90.47</v>
      </c>
      <c r="R458" s="1" t="s">
        <v>51</v>
      </c>
      <c r="S458" s="1">
        <v>5</v>
      </c>
      <c r="T458" s="1" t="b">
        <v>0</v>
      </c>
      <c r="U458" s="1" t="s">
        <v>39</v>
      </c>
      <c r="V458" s="3">
        <v>3</v>
      </c>
    </row>
    <row r="459" spans="1:22" x14ac:dyDescent="0.3">
      <c r="A459" s="2" t="s">
        <v>1301</v>
      </c>
      <c r="B459" s="10">
        <v>44852</v>
      </c>
      <c r="C459" s="22">
        <v>44852</v>
      </c>
      <c r="D459" s="1" t="s">
        <v>1302</v>
      </c>
      <c r="E459" s="1" t="s">
        <v>1154</v>
      </c>
      <c r="F459" s="1">
        <v>51</v>
      </c>
      <c r="G459" s="1" t="s">
        <v>68</v>
      </c>
      <c r="H459" s="1" t="s">
        <v>74</v>
      </c>
      <c r="I459" s="1" t="s">
        <v>75</v>
      </c>
      <c r="J459" s="1" t="s">
        <v>146</v>
      </c>
      <c r="K459" s="1" t="s">
        <v>161</v>
      </c>
      <c r="L459" s="1">
        <v>10</v>
      </c>
      <c r="M459" s="13">
        <v>14562.6</v>
      </c>
      <c r="N459" s="15">
        <v>0.31</v>
      </c>
      <c r="O459" s="13">
        <v>86000.34</v>
      </c>
      <c r="P459" s="13">
        <v>18267.52</v>
      </c>
      <c r="Q459" s="13">
        <v>33.549999999999997</v>
      </c>
      <c r="R459" s="1" t="s">
        <v>64</v>
      </c>
      <c r="S459" s="1">
        <v>5</v>
      </c>
      <c r="T459" s="1" t="b">
        <v>0</v>
      </c>
      <c r="U459" s="1" t="s">
        <v>39</v>
      </c>
      <c r="V459" s="3">
        <v>4</v>
      </c>
    </row>
    <row r="460" spans="1:22" x14ac:dyDescent="0.3">
      <c r="A460" s="2" t="s">
        <v>1303</v>
      </c>
      <c r="B460" s="10">
        <v>43873</v>
      </c>
      <c r="C460" s="22">
        <v>43873</v>
      </c>
      <c r="D460" s="1" t="s">
        <v>1304</v>
      </c>
      <c r="E460" s="1" t="s">
        <v>842</v>
      </c>
      <c r="F460" s="1">
        <v>39</v>
      </c>
      <c r="G460" s="1" t="s">
        <v>68</v>
      </c>
      <c r="H460" s="1" t="s">
        <v>111</v>
      </c>
      <c r="I460" s="1" t="s">
        <v>141</v>
      </c>
      <c r="J460" s="1" t="s">
        <v>37</v>
      </c>
      <c r="K460" s="1" t="s">
        <v>182</v>
      </c>
      <c r="L460" s="1">
        <v>6</v>
      </c>
      <c r="M460" s="13">
        <v>1270.3599999999999</v>
      </c>
      <c r="N460" s="15">
        <v>0.06</v>
      </c>
      <c r="O460" s="13">
        <v>5747.77</v>
      </c>
      <c r="P460" s="13">
        <v>2669</v>
      </c>
      <c r="Q460" s="13">
        <v>62.46</v>
      </c>
      <c r="R460" s="1" t="s">
        <v>51</v>
      </c>
      <c r="S460" s="1">
        <v>3</v>
      </c>
      <c r="T460" s="1" t="b">
        <v>0</v>
      </c>
      <c r="U460" s="1" t="s">
        <v>39</v>
      </c>
      <c r="V460" s="3">
        <v>8</v>
      </c>
    </row>
    <row r="461" spans="1:22" x14ac:dyDescent="0.3">
      <c r="A461" s="2" t="s">
        <v>1305</v>
      </c>
      <c r="B461" s="10">
        <v>44529</v>
      </c>
      <c r="C461" s="22">
        <v>44529</v>
      </c>
      <c r="D461" s="1" t="s">
        <v>1306</v>
      </c>
      <c r="E461" s="1" t="s">
        <v>1091</v>
      </c>
      <c r="F461" s="1">
        <v>54</v>
      </c>
      <c r="G461" s="1" t="s">
        <v>24</v>
      </c>
      <c r="H461" s="1" t="s">
        <v>111</v>
      </c>
      <c r="I461" s="1" t="s">
        <v>121</v>
      </c>
      <c r="J461" s="1" t="s">
        <v>62</v>
      </c>
      <c r="K461" s="1" t="s">
        <v>266</v>
      </c>
      <c r="L461" s="1">
        <v>3</v>
      </c>
      <c r="M461" s="13">
        <v>789.1</v>
      </c>
      <c r="N461" s="15">
        <v>0.18</v>
      </c>
      <c r="O461" s="13">
        <v>1449.86</v>
      </c>
      <c r="P461" s="13">
        <v>562.04</v>
      </c>
      <c r="Q461" s="13">
        <v>72.430000000000007</v>
      </c>
      <c r="R461" s="1" t="s">
        <v>78</v>
      </c>
      <c r="S461" s="1">
        <v>3</v>
      </c>
      <c r="T461" s="1" t="b">
        <v>0</v>
      </c>
      <c r="U461" s="1" t="s">
        <v>84</v>
      </c>
      <c r="V461" s="3">
        <v>2</v>
      </c>
    </row>
    <row r="462" spans="1:22" x14ac:dyDescent="0.3">
      <c r="A462" s="2" t="s">
        <v>1307</v>
      </c>
      <c r="B462" s="10">
        <v>44195</v>
      </c>
      <c r="C462" s="22">
        <v>44195</v>
      </c>
      <c r="D462" s="1" t="s">
        <v>1308</v>
      </c>
      <c r="E462" s="1" t="s">
        <v>1309</v>
      </c>
      <c r="F462" s="1">
        <v>33</v>
      </c>
      <c r="G462" s="1" t="s">
        <v>24</v>
      </c>
      <c r="H462" s="1" t="s">
        <v>82</v>
      </c>
      <c r="I462" s="1" t="s">
        <v>83</v>
      </c>
      <c r="J462" s="1" t="s">
        <v>127</v>
      </c>
      <c r="K462" s="1" t="s">
        <v>196</v>
      </c>
      <c r="L462" s="1">
        <v>7</v>
      </c>
      <c r="M462" s="13">
        <v>56504.32</v>
      </c>
      <c r="N462" s="15">
        <v>0.3</v>
      </c>
      <c r="O462" s="13">
        <v>197546.47</v>
      </c>
      <c r="P462" s="13">
        <v>21532.46</v>
      </c>
      <c r="Q462" s="13">
        <v>53.78</v>
      </c>
      <c r="R462" s="1" t="s">
        <v>64</v>
      </c>
      <c r="S462" s="1">
        <v>5</v>
      </c>
      <c r="T462" s="1" t="b">
        <v>0</v>
      </c>
      <c r="U462" s="1" t="s">
        <v>39</v>
      </c>
      <c r="V462" s="3">
        <v>1</v>
      </c>
    </row>
    <row r="463" spans="1:22" x14ac:dyDescent="0.3">
      <c r="A463" s="2" t="s">
        <v>1310</v>
      </c>
      <c r="B463" s="10">
        <v>43838</v>
      </c>
      <c r="C463" s="22">
        <v>43838</v>
      </c>
      <c r="D463" s="1" t="s">
        <v>1311</v>
      </c>
      <c r="E463" s="1" t="s">
        <v>1312</v>
      </c>
      <c r="F463" s="1">
        <v>12</v>
      </c>
      <c r="G463" s="1" t="s">
        <v>24</v>
      </c>
      <c r="H463" s="1" t="s">
        <v>25</v>
      </c>
      <c r="I463" s="1" t="s">
        <v>55</v>
      </c>
      <c r="J463" s="1" t="s">
        <v>146</v>
      </c>
      <c r="K463" s="1" t="s">
        <v>147</v>
      </c>
      <c r="L463" s="1">
        <v>2</v>
      </c>
      <c r="M463" s="13">
        <v>2448.88</v>
      </c>
      <c r="N463" s="15">
        <v>0.08</v>
      </c>
      <c r="O463" s="13">
        <v>3192.22</v>
      </c>
      <c r="P463" s="13">
        <v>355.63</v>
      </c>
      <c r="Q463" s="13">
        <v>47.54</v>
      </c>
      <c r="R463" s="1" t="s">
        <v>64</v>
      </c>
      <c r="S463" s="1">
        <v>3</v>
      </c>
      <c r="T463" s="1" t="b">
        <v>0</v>
      </c>
      <c r="U463" s="1" t="s">
        <v>39</v>
      </c>
      <c r="V463" s="3">
        <v>9</v>
      </c>
    </row>
    <row r="464" spans="1:22" x14ac:dyDescent="0.3">
      <c r="A464" s="2" t="s">
        <v>1313</v>
      </c>
      <c r="B464" s="10">
        <v>45521</v>
      </c>
      <c r="C464" s="22">
        <v>45521</v>
      </c>
      <c r="D464" s="1" t="s">
        <v>1314</v>
      </c>
      <c r="E464" s="1" t="s">
        <v>279</v>
      </c>
      <c r="F464" s="1">
        <v>41</v>
      </c>
      <c r="G464" s="1" t="s">
        <v>68</v>
      </c>
      <c r="H464" s="1" t="s">
        <v>111</v>
      </c>
      <c r="I464" s="1" t="s">
        <v>121</v>
      </c>
      <c r="J464" s="1" t="s">
        <v>127</v>
      </c>
      <c r="K464" s="1" t="s">
        <v>142</v>
      </c>
      <c r="L464" s="1">
        <v>3</v>
      </c>
      <c r="M464" s="13">
        <v>51479.19</v>
      </c>
      <c r="N464" s="15">
        <v>0.25</v>
      </c>
      <c r="O464" s="13">
        <v>182018.37</v>
      </c>
      <c r="P464" s="13">
        <v>19016.37</v>
      </c>
      <c r="Q464" s="13">
        <v>55.15</v>
      </c>
      <c r="R464" s="1" t="s">
        <v>78</v>
      </c>
      <c r="S464" s="1">
        <v>3</v>
      </c>
      <c r="T464" s="1" t="b">
        <v>0</v>
      </c>
      <c r="U464" s="1" t="s">
        <v>58</v>
      </c>
      <c r="V464" s="3">
        <v>3</v>
      </c>
    </row>
    <row r="465" spans="1:22" x14ac:dyDescent="0.3">
      <c r="A465" s="2" t="s">
        <v>1315</v>
      </c>
      <c r="B465" s="10">
        <v>45582</v>
      </c>
      <c r="C465" s="22">
        <v>45582</v>
      </c>
      <c r="D465" s="1" t="s">
        <v>1316</v>
      </c>
      <c r="E465" s="1" t="s">
        <v>702</v>
      </c>
      <c r="F465" s="1">
        <v>999</v>
      </c>
      <c r="G465" s="1" t="s">
        <v>24</v>
      </c>
      <c r="H465" s="1" t="s">
        <v>74</v>
      </c>
      <c r="I465" s="1" t="s">
        <v>101</v>
      </c>
      <c r="J465" s="1" t="s">
        <v>27</v>
      </c>
      <c r="K465" s="1" t="s">
        <v>450</v>
      </c>
      <c r="L465" s="1">
        <v>8</v>
      </c>
      <c r="M465" s="13">
        <v>184.25</v>
      </c>
      <c r="N465" s="15">
        <v>0.21</v>
      </c>
      <c r="O465" s="13">
        <v>1215.29</v>
      </c>
      <c r="P465" s="13">
        <v>77.92</v>
      </c>
      <c r="Q465" s="13">
        <v>46.09</v>
      </c>
      <c r="R465" s="1" t="s">
        <v>70</v>
      </c>
      <c r="S465" s="1">
        <v>3</v>
      </c>
      <c r="T465" s="1" t="b">
        <v>0</v>
      </c>
      <c r="U465" s="1" t="s">
        <v>137</v>
      </c>
      <c r="V465" s="3">
        <v>6</v>
      </c>
    </row>
    <row r="466" spans="1:22" x14ac:dyDescent="0.3">
      <c r="A466" s="2" t="s">
        <v>1317</v>
      </c>
      <c r="B466" s="10">
        <v>44862</v>
      </c>
      <c r="C466" s="22">
        <v>44862</v>
      </c>
      <c r="D466" s="1" t="s">
        <v>1318</v>
      </c>
      <c r="E466" s="1" t="s">
        <v>1319</v>
      </c>
      <c r="F466" s="1">
        <v>36</v>
      </c>
      <c r="G466" s="1" t="s">
        <v>68</v>
      </c>
      <c r="H466" s="1" t="s">
        <v>74</v>
      </c>
      <c r="I466" s="1" t="s">
        <v>101</v>
      </c>
      <c r="J466" s="1" t="s">
        <v>127</v>
      </c>
      <c r="K466" s="1" t="s">
        <v>196</v>
      </c>
      <c r="L466" s="1">
        <v>6</v>
      </c>
      <c r="M466" s="13">
        <v>6441.62</v>
      </c>
      <c r="N466" s="15">
        <v>0.27</v>
      </c>
      <c r="O466" s="13">
        <v>31528.73</v>
      </c>
      <c r="P466" s="13">
        <v>5997.64</v>
      </c>
      <c r="Q466" s="13">
        <v>53.2</v>
      </c>
      <c r="R466" s="1" t="s">
        <v>51</v>
      </c>
      <c r="S466" s="1">
        <v>3</v>
      </c>
      <c r="T466" s="1" t="b">
        <v>0</v>
      </c>
      <c r="U466" s="1" t="s">
        <v>699</v>
      </c>
      <c r="V466" s="3">
        <v>8</v>
      </c>
    </row>
    <row r="467" spans="1:22" x14ac:dyDescent="0.3">
      <c r="A467" s="2" t="s">
        <v>1320</v>
      </c>
      <c r="B467" s="10">
        <v>44653</v>
      </c>
      <c r="C467" s="22">
        <v>44653</v>
      </c>
      <c r="D467" s="1" t="s">
        <v>1321</v>
      </c>
      <c r="E467" s="1" t="s">
        <v>1039</v>
      </c>
      <c r="F467" s="1">
        <v>39</v>
      </c>
      <c r="G467" s="1" t="s">
        <v>24</v>
      </c>
      <c r="H467" s="1" t="s">
        <v>35</v>
      </c>
      <c r="I467" s="1" t="s">
        <v>49</v>
      </c>
      <c r="J467" s="1" t="s">
        <v>27</v>
      </c>
      <c r="K467" s="1" t="s">
        <v>97</v>
      </c>
      <c r="L467" s="1">
        <v>3</v>
      </c>
      <c r="M467" s="13">
        <v>475.6</v>
      </c>
      <c r="N467" s="15">
        <v>0.18</v>
      </c>
      <c r="O467" s="13">
        <v>1586.7</v>
      </c>
      <c r="P467" s="13">
        <v>154.07</v>
      </c>
      <c r="Q467" s="13">
        <v>65.63</v>
      </c>
      <c r="R467" s="1" t="s">
        <v>70</v>
      </c>
      <c r="S467" s="1">
        <v>1</v>
      </c>
      <c r="T467" s="1" t="b">
        <v>0</v>
      </c>
      <c r="U467" s="1" t="s">
        <v>137</v>
      </c>
      <c r="V467" s="3">
        <v>10</v>
      </c>
    </row>
    <row r="468" spans="1:22" x14ac:dyDescent="0.3">
      <c r="A468" s="2" t="s">
        <v>1322</v>
      </c>
      <c r="B468" s="10">
        <v>45581</v>
      </c>
      <c r="C468" s="22">
        <v>45581</v>
      </c>
      <c r="D468" s="1" t="s">
        <v>1323</v>
      </c>
      <c r="E468" s="1" t="s">
        <v>1324</v>
      </c>
      <c r="F468" s="1">
        <v>40</v>
      </c>
      <c r="G468" s="1" t="s">
        <v>24</v>
      </c>
      <c r="H468" s="1" t="s">
        <v>25</v>
      </c>
      <c r="I468" s="1" t="s">
        <v>69</v>
      </c>
      <c r="J468" s="1" t="s">
        <v>44</v>
      </c>
      <c r="K468" s="1" t="s">
        <v>117</v>
      </c>
      <c r="L468" s="1">
        <v>2</v>
      </c>
      <c r="M468" s="13">
        <v>8590.5300000000007</v>
      </c>
      <c r="N468" s="15">
        <v>0.23</v>
      </c>
      <c r="O468" s="13">
        <v>12705.04</v>
      </c>
      <c r="P468" s="13">
        <v>3529.2</v>
      </c>
      <c r="Q468" s="13">
        <v>40.590000000000003</v>
      </c>
      <c r="R468" s="1" t="s">
        <v>70</v>
      </c>
      <c r="S468" s="1">
        <v>5</v>
      </c>
      <c r="T468" s="1" t="b">
        <v>0</v>
      </c>
      <c r="U468" s="1" t="s">
        <v>39</v>
      </c>
      <c r="V468" s="3">
        <v>6</v>
      </c>
    </row>
    <row r="469" spans="1:22" x14ac:dyDescent="0.3">
      <c r="A469" s="2" t="s">
        <v>1325</v>
      </c>
      <c r="B469" s="10">
        <v>45592</v>
      </c>
      <c r="C469" s="22">
        <v>45592</v>
      </c>
      <c r="D469" s="1" t="s">
        <v>1326</v>
      </c>
      <c r="E469" s="1" t="s">
        <v>1327</v>
      </c>
      <c r="F469" s="1">
        <v>18</v>
      </c>
      <c r="G469" s="1" t="s">
        <v>68</v>
      </c>
      <c r="H469" s="1" t="s">
        <v>74</v>
      </c>
      <c r="I469" s="1" t="s">
        <v>101</v>
      </c>
      <c r="J469" s="1" t="s">
        <v>44</v>
      </c>
      <c r="K469" s="1" t="s">
        <v>50</v>
      </c>
      <c r="L469" s="1">
        <v>1</v>
      </c>
      <c r="M469" s="13">
        <v>14589.01</v>
      </c>
      <c r="N469" s="15">
        <v>0.2</v>
      </c>
      <c r="O469" s="13">
        <v>13208.25</v>
      </c>
      <c r="P469" s="13">
        <v>3174.45</v>
      </c>
      <c r="Q469" s="13">
        <v>52.97</v>
      </c>
      <c r="R469" s="1" t="s">
        <v>70</v>
      </c>
      <c r="S469" s="1">
        <v>3</v>
      </c>
      <c r="T469" s="1" t="b">
        <v>0</v>
      </c>
      <c r="U469" s="1" t="s">
        <v>39</v>
      </c>
      <c r="V469" s="3">
        <v>1</v>
      </c>
    </row>
    <row r="470" spans="1:22" x14ac:dyDescent="0.3">
      <c r="A470" s="2" t="s">
        <v>1328</v>
      </c>
      <c r="B470" s="10">
        <v>44984</v>
      </c>
      <c r="C470" s="22">
        <v>44984</v>
      </c>
      <c r="D470" s="1" t="s">
        <v>1329</v>
      </c>
      <c r="E470" s="1" t="s">
        <v>1330</v>
      </c>
      <c r="F470" s="1">
        <v>32</v>
      </c>
      <c r="G470" s="1" t="s">
        <v>68</v>
      </c>
      <c r="H470" s="1" t="s">
        <v>82</v>
      </c>
      <c r="I470" s="1" t="s">
        <v>293</v>
      </c>
      <c r="J470" s="1" t="s">
        <v>62</v>
      </c>
      <c r="K470" s="1" t="s">
        <v>266</v>
      </c>
      <c r="L470" s="1">
        <v>2</v>
      </c>
      <c r="M470" s="13">
        <v>484.9</v>
      </c>
      <c r="N470" s="15">
        <v>0.1</v>
      </c>
      <c r="O470" s="13">
        <v>1040.24</v>
      </c>
      <c r="P470" s="13">
        <v>423.7</v>
      </c>
      <c r="Q470" s="13">
        <v>69.41</v>
      </c>
      <c r="R470" s="1" t="s">
        <v>57</v>
      </c>
      <c r="S470" s="1">
        <v>1</v>
      </c>
      <c r="T470" s="1" t="b">
        <v>0</v>
      </c>
      <c r="U470" s="1" t="s">
        <v>39</v>
      </c>
      <c r="V470" s="3">
        <v>10</v>
      </c>
    </row>
    <row r="471" spans="1:22" x14ac:dyDescent="0.3">
      <c r="A471" s="2" t="s">
        <v>1331</v>
      </c>
      <c r="B471" s="10">
        <v>44471</v>
      </c>
      <c r="C471" s="22">
        <v>44471</v>
      </c>
      <c r="D471" s="1" t="s">
        <v>1332</v>
      </c>
      <c r="E471" s="1" t="s">
        <v>973</v>
      </c>
      <c r="F471" s="1">
        <v>24</v>
      </c>
      <c r="G471" s="1" t="s">
        <v>24</v>
      </c>
      <c r="H471" s="1" t="s">
        <v>111</v>
      </c>
      <c r="I471" s="1" t="s">
        <v>121</v>
      </c>
      <c r="J471" s="1" t="s">
        <v>127</v>
      </c>
      <c r="K471" s="1" t="s">
        <v>171</v>
      </c>
      <c r="L471" s="1">
        <v>10</v>
      </c>
      <c r="M471" s="13">
        <v>23157.51</v>
      </c>
      <c r="N471" s="15">
        <v>0.12</v>
      </c>
      <c r="O471" s="13">
        <v>176221.6</v>
      </c>
      <c r="P471" s="13">
        <v>21453.69</v>
      </c>
      <c r="Q471" s="13">
        <v>53.6</v>
      </c>
      <c r="R471" s="1" t="s">
        <v>57</v>
      </c>
      <c r="S471" s="1">
        <v>3</v>
      </c>
      <c r="T471" s="1" t="b">
        <v>0</v>
      </c>
      <c r="U471" s="1" t="s">
        <v>39</v>
      </c>
      <c r="V471" s="3">
        <v>4</v>
      </c>
    </row>
    <row r="472" spans="1:22" x14ac:dyDescent="0.3">
      <c r="A472" s="2" t="s">
        <v>1333</v>
      </c>
      <c r="B472" s="10">
        <v>45290</v>
      </c>
      <c r="C472" s="22">
        <v>45290</v>
      </c>
      <c r="D472" s="1" t="s">
        <v>1334</v>
      </c>
      <c r="E472" s="1" t="s">
        <v>1335</v>
      </c>
      <c r="F472" s="1">
        <v>27</v>
      </c>
      <c r="G472" s="1" t="s">
        <v>34</v>
      </c>
      <c r="H472" s="1" t="s">
        <v>25</v>
      </c>
      <c r="I472" s="1" t="s">
        <v>26</v>
      </c>
      <c r="J472" s="1" t="s">
        <v>62</v>
      </c>
      <c r="K472" s="1" t="s">
        <v>283</v>
      </c>
      <c r="L472" s="1">
        <v>9</v>
      </c>
      <c r="M472" s="13">
        <v>609.86</v>
      </c>
      <c r="N472" s="15">
        <v>0.14000000000000001</v>
      </c>
      <c r="O472" s="13">
        <v>3554.23</v>
      </c>
      <c r="P472" s="13">
        <v>1923.48</v>
      </c>
      <c r="Q472" s="13">
        <v>54.96</v>
      </c>
      <c r="R472" s="1" t="s">
        <v>51</v>
      </c>
      <c r="S472" s="1">
        <v>3</v>
      </c>
      <c r="T472" s="1" t="b">
        <v>0</v>
      </c>
      <c r="U472" s="1" t="s">
        <v>137</v>
      </c>
      <c r="V472" s="3">
        <v>1</v>
      </c>
    </row>
    <row r="473" spans="1:22" x14ac:dyDescent="0.3">
      <c r="A473" s="2" t="s">
        <v>1336</v>
      </c>
      <c r="B473" s="10">
        <v>44996</v>
      </c>
      <c r="C473" s="22">
        <v>44996</v>
      </c>
      <c r="D473" s="1" t="s">
        <v>1337</v>
      </c>
      <c r="E473" s="1" t="s">
        <v>878</v>
      </c>
      <c r="F473" s="1">
        <v>42</v>
      </c>
      <c r="G473" s="1" t="s">
        <v>34</v>
      </c>
      <c r="H473" s="1" t="s">
        <v>111</v>
      </c>
      <c r="I473" s="1" t="s">
        <v>330</v>
      </c>
      <c r="J473" s="1" t="s">
        <v>76</v>
      </c>
      <c r="K473" s="1" t="s">
        <v>132</v>
      </c>
      <c r="L473" s="1">
        <v>8</v>
      </c>
      <c r="M473" s="13">
        <v>570.17999999999995</v>
      </c>
      <c r="N473" s="15">
        <v>0.04</v>
      </c>
      <c r="O473" s="13">
        <v>5294.75</v>
      </c>
      <c r="P473" s="13">
        <v>1738.46</v>
      </c>
      <c r="Q473" s="13">
        <v>56.28</v>
      </c>
      <c r="R473" s="1" t="s">
        <v>70</v>
      </c>
      <c r="S473" s="1">
        <v>2</v>
      </c>
      <c r="T473" s="1" t="b">
        <v>0</v>
      </c>
      <c r="U473" s="1" t="s">
        <v>39</v>
      </c>
      <c r="V473" s="3">
        <v>4</v>
      </c>
    </row>
    <row r="474" spans="1:22" x14ac:dyDescent="0.3">
      <c r="A474" s="2" t="s">
        <v>1338</v>
      </c>
      <c r="B474" s="10">
        <v>44971</v>
      </c>
      <c r="C474" s="22">
        <v>44971</v>
      </c>
      <c r="D474" s="1" t="s">
        <v>1339</v>
      </c>
      <c r="E474" s="1" t="s">
        <v>1340</v>
      </c>
      <c r="F474" s="1">
        <v>33</v>
      </c>
      <c r="G474" s="1" t="s">
        <v>68</v>
      </c>
      <c r="H474" s="1" t="s">
        <v>74</v>
      </c>
      <c r="I474" s="1" t="s">
        <v>101</v>
      </c>
      <c r="J474" s="1" t="s">
        <v>127</v>
      </c>
      <c r="K474" s="1" t="s">
        <v>171</v>
      </c>
      <c r="L474" s="1">
        <v>9</v>
      </c>
      <c r="M474" s="13">
        <v>41854.410000000003</v>
      </c>
      <c r="N474" s="15">
        <v>0.33</v>
      </c>
      <c r="O474" s="13">
        <v>247342.73</v>
      </c>
      <c r="P474" s="13">
        <v>30449.06</v>
      </c>
      <c r="Q474" s="13">
        <v>42.16</v>
      </c>
      <c r="R474" s="1" t="s">
        <v>29</v>
      </c>
      <c r="S474" s="1">
        <v>2</v>
      </c>
      <c r="T474" s="1" t="b">
        <v>0</v>
      </c>
      <c r="U474" s="1" t="s">
        <v>39</v>
      </c>
      <c r="V474" s="3">
        <v>8</v>
      </c>
    </row>
    <row r="475" spans="1:22" x14ac:dyDescent="0.3">
      <c r="A475" s="2" t="s">
        <v>1341</v>
      </c>
      <c r="B475" s="10">
        <v>44667</v>
      </c>
      <c r="C475" s="22">
        <v>44667</v>
      </c>
      <c r="D475" s="1" t="s">
        <v>1342</v>
      </c>
      <c r="E475" s="1" t="s">
        <v>531</v>
      </c>
      <c r="F475" s="1">
        <v>39</v>
      </c>
      <c r="G475" s="1" t="s">
        <v>68</v>
      </c>
      <c r="H475" s="1" t="s">
        <v>25</v>
      </c>
      <c r="I475" s="1" t="s">
        <v>69</v>
      </c>
      <c r="J475" s="1" t="s">
        <v>76</v>
      </c>
      <c r="K475" s="1" t="s">
        <v>122</v>
      </c>
      <c r="L475" s="1">
        <v>3</v>
      </c>
      <c r="M475" s="13">
        <v>3710.29</v>
      </c>
      <c r="N475" s="15">
        <v>0.05</v>
      </c>
      <c r="O475" s="13">
        <v>14616.34</v>
      </c>
      <c r="P475" s="13">
        <v>5360.81</v>
      </c>
      <c r="Q475" s="13">
        <v>62.88</v>
      </c>
      <c r="R475" s="1" t="s">
        <v>64</v>
      </c>
      <c r="S475" s="1">
        <v>4</v>
      </c>
      <c r="T475" s="1" t="b">
        <v>0</v>
      </c>
      <c r="U475" s="1" t="s">
        <v>39</v>
      </c>
      <c r="V475" s="3">
        <v>4</v>
      </c>
    </row>
    <row r="476" spans="1:22" x14ac:dyDescent="0.3">
      <c r="A476" s="2" t="s">
        <v>1343</v>
      </c>
      <c r="B476" s="10">
        <v>44591</v>
      </c>
      <c r="C476" s="22">
        <v>44591</v>
      </c>
      <c r="D476" s="1" t="s">
        <v>1344</v>
      </c>
      <c r="E476" s="1" t="s">
        <v>1345</v>
      </c>
      <c r="F476" s="1">
        <v>27</v>
      </c>
      <c r="G476" s="1" t="s">
        <v>34</v>
      </c>
      <c r="H476" s="1" t="s">
        <v>74</v>
      </c>
      <c r="I476" s="1" t="s">
        <v>75</v>
      </c>
      <c r="J476" s="1" t="s">
        <v>37</v>
      </c>
      <c r="K476" s="1" t="s">
        <v>182</v>
      </c>
      <c r="L476" s="1">
        <v>10</v>
      </c>
      <c r="M476" s="13">
        <v>2477.1</v>
      </c>
      <c r="N476" s="15">
        <v>0.19</v>
      </c>
      <c r="O476" s="13">
        <v>19204</v>
      </c>
      <c r="P476" s="13">
        <v>9210.86</v>
      </c>
      <c r="Q476" s="13">
        <v>24.71</v>
      </c>
      <c r="R476" s="1" t="s">
        <v>70</v>
      </c>
      <c r="S476" s="1">
        <v>5</v>
      </c>
      <c r="T476" s="1" t="b">
        <v>0</v>
      </c>
      <c r="U476" s="1" t="s">
        <v>84</v>
      </c>
      <c r="V476" s="3">
        <v>8</v>
      </c>
    </row>
    <row r="477" spans="1:22" x14ac:dyDescent="0.3">
      <c r="A477" s="2" t="s">
        <v>1346</v>
      </c>
      <c r="B477" s="10">
        <v>44186</v>
      </c>
      <c r="C477" s="22">
        <v>44186</v>
      </c>
      <c r="D477" s="1" t="s">
        <v>1347</v>
      </c>
      <c r="E477" s="1" t="s">
        <v>1348</v>
      </c>
      <c r="F477" s="1">
        <v>44</v>
      </c>
      <c r="G477" s="1" t="s">
        <v>34</v>
      </c>
      <c r="H477" s="1" t="s">
        <v>111</v>
      </c>
      <c r="I477" s="1" t="s">
        <v>330</v>
      </c>
      <c r="J477" s="1" t="s">
        <v>146</v>
      </c>
      <c r="K477" s="1" t="s">
        <v>276</v>
      </c>
      <c r="L477" s="1">
        <v>8</v>
      </c>
      <c r="M477" s="13">
        <v>12540.64</v>
      </c>
      <c r="N477" s="15">
        <v>0.16</v>
      </c>
      <c r="O477" s="13">
        <v>54877.82</v>
      </c>
      <c r="P477" s="13">
        <v>12900.73</v>
      </c>
      <c r="Q477" s="13">
        <v>44.66</v>
      </c>
      <c r="R477" s="1" t="s">
        <v>78</v>
      </c>
      <c r="S477" s="1">
        <v>1</v>
      </c>
      <c r="T477" s="1" t="b">
        <v>0</v>
      </c>
      <c r="U477" s="1" t="s">
        <v>39</v>
      </c>
      <c r="V477" s="3">
        <v>8</v>
      </c>
    </row>
    <row r="478" spans="1:22" x14ac:dyDescent="0.3">
      <c r="A478" s="2" t="s">
        <v>1349</v>
      </c>
      <c r="B478" s="10">
        <v>45066</v>
      </c>
      <c r="C478" s="22">
        <v>45066</v>
      </c>
      <c r="D478" s="1" t="s">
        <v>1350</v>
      </c>
      <c r="E478" s="1" t="s">
        <v>286</v>
      </c>
      <c r="F478" s="1">
        <v>17</v>
      </c>
      <c r="G478" s="1" t="s">
        <v>68</v>
      </c>
      <c r="H478" s="1" t="s">
        <v>82</v>
      </c>
      <c r="I478" s="1" t="s">
        <v>83</v>
      </c>
      <c r="J478" s="1" t="s">
        <v>37</v>
      </c>
      <c r="K478" s="1" t="s">
        <v>671</v>
      </c>
      <c r="L478" s="1">
        <v>8</v>
      </c>
      <c r="M478" s="13">
        <v>211.05</v>
      </c>
      <c r="N478" s="15">
        <v>0.17</v>
      </c>
      <c r="O478" s="13">
        <v>2271.48</v>
      </c>
      <c r="P478" s="13">
        <v>1315.77</v>
      </c>
      <c r="Q478" s="13">
        <v>75.69</v>
      </c>
      <c r="R478" s="1" t="s">
        <v>57</v>
      </c>
      <c r="S478" s="1">
        <v>3</v>
      </c>
      <c r="T478" s="1" t="b">
        <v>1</v>
      </c>
      <c r="U478" s="1" t="s">
        <v>30</v>
      </c>
      <c r="V478" s="3">
        <v>3</v>
      </c>
    </row>
    <row r="479" spans="1:22" x14ac:dyDescent="0.3">
      <c r="A479" s="2" t="s">
        <v>1351</v>
      </c>
      <c r="B479" s="10">
        <v>44279</v>
      </c>
      <c r="C479" s="22">
        <v>44279</v>
      </c>
      <c r="D479" s="1" t="s">
        <v>1352</v>
      </c>
      <c r="E479" s="1" t="s">
        <v>1211</v>
      </c>
      <c r="F479" s="1">
        <v>49</v>
      </c>
      <c r="G479" s="1" t="s">
        <v>68</v>
      </c>
      <c r="H479" s="1" t="s">
        <v>74</v>
      </c>
      <c r="I479" s="1" t="s">
        <v>136</v>
      </c>
      <c r="J479" s="1" t="s">
        <v>146</v>
      </c>
      <c r="K479" s="1" t="s">
        <v>484</v>
      </c>
      <c r="L479" s="1">
        <v>7</v>
      </c>
      <c r="M479" s="13">
        <v>2782.21</v>
      </c>
      <c r="N479" s="15">
        <v>0.21</v>
      </c>
      <c r="O479" s="13">
        <v>13694.75</v>
      </c>
      <c r="P479" s="13">
        <v>1856.34</v>
      </c>
      <c r="Q479" s="13">
        <v>60.88</v>
      </c>
      <c r="R479" s="1" t="s">
        <v>57</v>
      </c>
      <c r="S479" s="1">
        <v>3</v>
      </c>
      <c r="T479" s="1" t="b">
        <v>0</v>
      </c>
      <c r="U479" s="1" t="s">
        <v>197</v>
      </c>
      <c r="V479" s="3">
        <v>4</v>
      </c>
    </row>
    <row r="480" spans="1:22" x14ac:dyDescent="0.3">
      <c r="A480" s="2" t="s">
        <v>1353</v>
      </c>
      <c r="B480" s="10">
        <v>44464</v>
      </c>
      <c r="C480" s="22">
        <v>44464</v>
      </c>
      <c r="D480" s="1" t="s">
        <v>1354</v>
      </c>
      <c r="E480" s="1" t="s">
        <v>872</v>
      </c>
      <c r="F480" s="1">
        <v>19</v>
      </c>
      <c r="G480" s="1" t="s">
        <v>34</v>
      </c>
      <c r="H480" s="1" t="s">
        <v>25</v>
      </c>
      <c r="I480" s="1" t="s">
        <v>26</v>
      </c>
      <c r="J480" s="1" t="s">
        <v>37</v>
      </c>
      <c r="K480" s="1" t="s">
        <v>182</v>
      </c>
      <c r="L480" s="1">
        <v>7</v>
      </c>
      <c r="M480" s="13">
        <v>210.31</v>
      </c>
      <c r="N480" s="15">
        <v>0.23</v>
      </c>
      <c r="O480" s="13">
        <v>1209</v>
      </c>
      <c r="P480" s="13">
        <v>600.88</v>
      </c>
      <c r="Q480" s="13">
        <v>67.459999999999994</v>
      </c>
      <c r="R480" s="1" t="s">
        <v>78</v>
      </c>
      <c r="S480" s="1">
        <v>5</v>
      </c>
      <c r="T480" s="1" t="b">
        <v>1</v>
      </c>
      <c r="U480" s="1" t="s">
        <v>30</v>
      </c>
      <c r="V480" s="3">
        <v>6</v>
      </c>
    </row>
    <row r="481" spans="1:22" x14ac:dyDescent="0.3">
      <c r="A481" s="2" t="s">
        <v>1355</v>
      </c>
      <c r="B481" s="10">
        <v>45054</v>
      </c>
      <c r="C481" s="22">
        <v>45054</v>
      </c>
      <c r="D481" s="1" t="s">
        <v>1356</v>
      </c>
      <c r="E481" s="1" t="s">
        <v>1096</v>
      </c>
      <c r="F481" s="1">
        <v>33</v>
      </c>
      <c r="G481" s="1" t="s">
        <v>68</v>
      </c>
      <c r="H481" s="1" t="s">
        <v>82</v>
      </c>
      <c r="I481" s="1" t="s">
        <v>126</v>
      </c>
      <c r="J481" s="1" t="s">
        <v>44</v>
      </c>
      <c r="K481" s="1" t="s">
        <v>117</v>
      </c>
      <c r="L481" s="1">
        <v>2</v>
      </c>
      <c r="M481" s="13">
        <v>27227.5</v>
      </c>
      <c r="N481" s="15">
        <v>0.27</v>
      </c>
      <c r="O481" s="13">
        <v>53652.43</v>
      </c>
      <c r="P481" s="13">
        <v>18467.900000000001</v>
      </c>
      <c r="Q481" s="13">
        <v>69.069999999999993</v>
      </c>
      <c r="R481" s="1" t="s">
        <v>57</v>
      </c>
      <c r="S481" s="1">
        <v>5</v>
      </c>
      <c r="T481" s="1" t="b">
        <v>0</v>
      </c>
      <c r="U481" s="1" t="s">
        <v>39</v>
      </c>
      <c r="V481" s="3">
        <v>9</v>
      </c>
    </row>
    <row r="482" spans="1:22" x14ac:dyDescent="0.3">
      <c r="A482" s="2" t="s">
        <v>1357</v>
      </c>
      <c r="B482" s="10">
        <v>45313</v>
      </c>
      <c r="C482" s="22">
        <v>45313</v>
      </c>
      <c r="D482" s="1" t="s">
        <v>1358</v>
      </c>
      <c r="E482" s="1" t="s">
        <v>1359</v>
      </c>
      <c r="F482" s="1">
        <v>49</v>
      </c>
      <c r="G482" s="1" t="s">
        <v>34</v>
      </c>
      <c r="H482" s="1" t="s">
        <v>25</v>
      </c>
      <c r="I482" s="1" t="s">
        <v>170</v>
      </c>
      <c r="J482" s="1" t="s">
        <v>146</v>
      </c>
      <c r="K482" s="1" t="s">
        <v>217</v>
      </c>
      <c r="L482" s="1">
        <v>2</v>
      </c>
      <c r="M482" s="13">
        <v>11637.71</v>
      </c>
      <c r="N482" s="15">
        <v>0.03</v>
      </c>
      <c r="O482" s="13">
        <v>20228.5</v>
      </c>
      <c r="P482" s="13">
        <v>3894.99</v>
      </c>
      <c r="Q482" s="13">
        <v>49.76</v>
      </c>
      <c r="R482" s="1" t="s">
        <v>51</v>
      </c>
      <c r="S482" s="1">
        <v>4</v>
      </c>
      <c r="T482" s="1" t="b">
        <v>1</v>
      </c>
      <c r="U482" s="1" t="s">
        <v>30</v>
      </c>
      <c r="V482" s="3">
        <v>6</v>
      </c>
    </row>
    <row r="483" spans="1:22" x14ac:dyDescent="0.3">
      <c r="A483" s="2" t="s">
        <v>1360</v>
      </c>
      <c r="B483" s="10">
        <v>44863</v>
      </c>
      <c r="C483" s="22">
        <v>44863</v>
      </c>
      <c r="D483" s="1" t="s">
        <v>1361</v>
      </c>
      <c r="E483" s="1" t="s">
        <v>1030</v>
      </c>
      <c r="F483" s="1">
        <v>30</v>
      </c>
      <c r="G483" s="1" t="s">
        <v>34</v>
      </c>
      <c r="H483" s="1" t="s">
        <v>111</v>
      </c>
      <c r="I483" s="1" t="s">
        <v>330</v>
      </c>
      <c r="J483" s="1" t="s">
        <v>62</v>
      </c>
      <c r="K483" s="1" t="s">
        <v>63</v>
      </c>
      <c r="L483" s="1">
        <v>10</v>
      </c>
      <c r="M483" s="13">
        <v>1494.95</v>
      </c>
      <c r="N483" s="15">
        <v>0.38</v>
      </c>
      <c r="O483" s="13">
        <v>9412.99</v>
      </c>
      <c r="P483" s="13">
        <v>4806.7700000000004</v>
      </c>
      <c r="Q483" s="13">
        <v>81.37</v>
      </c>
      <c r="R483" s="1" t="s">
        <v>70</v>
      </c>
      <c r="S483" s="1">
        <v>3</v>
      </c>
      <c r="T483" s="1" t="b">
        <v>1</v>
      </c>
      <c r="U483" s="1" t="s">
        <v>30</v>
      </c>
      <c r="V483" s="3">
        <v>6</v>
      </c>
    </row>
    <row r="484" spans="1:22" x14ac:dyDescent="0.3">
      <c r="A484" s="2" t="s">
        <v>1362</v>
      </c>
      <c r="B484" s="10">
        <v>43992</v>
      </c>
      <c r="C484" s="22">
        <v>43992</v>
      </c>
      <c r="D484" s="1" t="s">
        <v>1363</v>
      </c>
      <c r="E484" s="1" t="s">
        <v>988</v>
      </c>
      <c r="F484" s="1">
        <v>24</v>
      </c>
      <c r="G484" s="1" t="s">
        <v>34</v>
      </c>
      <c r="H484" s="1" t="s">
        <v>25</v>
      </c>
      <c r="I484" s="1" t="s">
        <v>69</v>
      </c>
      <c r="J484" s="1" t="s">
        <v>76</v>
      </c>
      <c r="K484" s="1" t="s">
        <v>207</v>
      </c>
      <c r="L484" s="1">
        <v>2</v>
      </c>
      <c r="M484" s="13">
        <v>1835.19</v>
      </c>
      <c r="N484" s="15">
        <v>0.03</v>
      </c>
      <c r="O484" s="13">
        <v>4360.6899999999996</v>
      </c>
      <c r="P484" s="13">
        <v>1812.7</v>
      </c>
      <c r="Q484" s="13">
        <v>37.119999999999997</v>
      </c>
      <c r="R484" s="1" t="s">
        <v>51</v>
      </c>
      <c r="S484" s="1">
        <v>5</v>
      </c>
      <c r="T484" s="1" t="b">
        <v>0</v>
      </c>
      <c r="U484" s="1" t="s">
        <v>39</v>
      </c>
      <c r="V484" s="3">
        <v>2</v>
      </c>
    </row>
    <row r="485" spans="1:22" x14ac:dyDescent="0.3">
      <c r="A485" s="2" t="s">
        <v>1364</v>
      </c>
      <c r="B485" s="10">
        <v>44166</v>
      </c>
      <c r="C485" s="22">
        <v>44166</v>
      </c>
      <c r="D485" s="1" t="s">
        <v>1365</v>
      </c>
      <c r="E485" s="1" t="s">
        <v>1275</v>
      </c>
      <c r="F485" s="1">
        <v>25</v>
      </c>
      <c r="G485" s="1" t="s">
        <v>24</v>
      </c>
      <c r="H485" s="1" t="s">
        <v>25</v>
      </c>
      <c r="I485" s="1" t="s">
        <v>170</v>
      </c>
      <c r="J485" s="1" t="s">
        <v>76</v>
      </c>
      <c r="K485" s="1" t="s">
        <v>122</v>
      </c>
      <c r="L485" s="1">
        <v>2</v>
      </c>
      <c r="M485" s="13">
        <v>3263.53</v>
      </c>
      <c r="N485" s="15">
        <v>0.28000000000000003</v>
      </c>
      <c r="O485" s="13">
        <v>3766.06</v>
      </c>
      <c r="P485" s="13">
        <v>1284.73</v>
      </c>
      <c r="Q485" s="13">
        <v>57.51</v>
      </c>
      <c r="R485" s="1" t="s">
        <v>57</v>
      </c>
      <c r="S485" s="1">
        <v>2</v>
      </c>
      <c r="T485" s="1" t="b">
        <v>0</v>
      </c>
      <c r="U485" s="1" t="s">
        <v>39</v>
      </c>
      <c r="V485" s="3">
        <v>10</v>
      </c>
    </row>
    <row r="486" spans="1:22" x14ac:dyDescent="0.3">
      <c r="A486" s="2" t="s">
        <v>1366</v>
      </c>
      <c r="B486" s="10">
        <v>44675</v>
      </c>
      <c r="C486" s="22">
        <v>44675</v>
      </c>
      <c r="D486" s="1" t="s">
        <v>1367</v>
      </c>
      <c r="E486" s="1" t="s">
        <v>81</v>
      </c>
      <c r="F486" s="1">
        <v>19</v>
      </c>
      <c r="G486" s="1" t="s">
        <v>68</v>
      </c>
      <c r="H486" s="1" t="s">
        <v>82</v>
      </c>
      <c r="I486" s="1" t="s">
        <v>293</v>
      </c>
      <c r="J486" s="1" t="s">
        <v>62</v>
      </c>
      <c r="K486" s="1" t="s">
        <v>266</v>
      </c>
      <c r="L486" s="1">
        <v>5</v>
      </c>
      <c r="M486" s="13">
        <v>610.98</v>
      </c>
      <c r="N486" s="15">
        <v>0.16</v>
      </c>
      <c r="O486" s="13">
        <v>3679.38</v>
      </c>
      <c r="P486" s="13">
        <v>1422.56</v>
      </c>
      <c r="Q486" s="13">
        <v>53.99</v>
      </c>
      <c r="R486" s="1" t="s">
        <v>64</v>
      </c>
      <c r="S486" s="1">
        <v>4</v>
      </c>
      <c r="T486" s="1" t="b">
        <v>0</v>
      </c>
      <c r="U486" s="1" t="s">
        <v>39</v>
      </c>
      <c r="V486" s="3">
        <v>4</v>
      </c>
    </row>
    <row r="487" spans="1:22" x14ac:dyDescent="0.3">
      <c r="A487" s="2" t="s">
        <v>1368</v>
      </c>
      <c r="B487" s="10">
        <v>44975</v>
      </c>
      <c r="C487" s="22">
        <v>44975</v>
      </c>
      <c r="D487" s="1" t="s">
        <v>1369</v>
      </c>
      <c r="E487" s="1" t="s">
        <v>338</v>
      </c>
      <c r="F487" s="1">
        <v>30</v>
      </c>
      <c r="G487" s="1" t="s">
        <v>34</v>
      </c>
      <c r="H487" s="1" t="s">
        <v>74</v>
      </c>
      <c r="I487" s="1" t="s">
        <v>136</v>
      </c>
      <c r="J487" s="1" t="s">
        <v>62</v>
      </c>
      <c r="K487" s="1" t="s">
        <v>107</v>
      </c>
      <c r="L487" s="1">
        <v>4</v>
      </c>
      <c r="M487" s="13">
        <v>1488.05</v>
      </c>
      <c r="N487" s="15">
        <v>0.16</v>
      </c>
      <c r="O487" s="13">
        <v>5878.72</v>
      </c>
      <c r="P487" s="13">
        <v>1895.88</v>
      </c>
      <c r="Q487" s="13">
        <v>33.950000000000003</v>
      </c>
      <c r="R487" s="1" t="s">
        <v>29</v>
      </c>
      <c r="S487" s="1">
        <v>3</v>
      </c>
      <c r="T487" s="1" t="b">
        <v>1</v>
      </c>
      <c r="U487" s="1" t="s">
        <v>30</v>
      </c>
      <c r="V487" s="3">
        <v>9</v>
      </c>
    </row>
    <row r="488" spans="1:22" x14ac:dyDescent="0.3">
      <c r="A488" s="2" t="s">
        <v>1370</v>
      </c>
      <c r="B488" s="10">
        <v>44132</v>
      </c>
      <c r="C488" s="22">
        <v>44132</v>
      </c>
      <c r="D488" s="1" t="s">
        <v>1371</v>
      </c>
      <c r="E488" s="1" t="s">
        <v>552</v>
      </c>
      <c r="F488" s="1">
        <v>47</v>
      </c>
      <c r="G488" s="1" t="s">
        <v>68</v>
      </c>
      <c r="H488" s="1" t="s">
        <v>111</v>
      </c>
      <c r="I488" s="1" t="s">
        <v>330</v>
      </c>
      <c r="J488" s="1" t="s">
        <v>62</v>
      </c>
      <c r="K488" s="1" t="s">
        <v>283</v>
      </c>
      <c r="L488" s="1">
        <v>8</v>
      </c>
      <c r="M488" s="13">
        <v>513.63</v>
      </c>
      <c r="N488" s="15">
        <v>0.17</v>
      </c>
      <c r="O488" s="13">
        <v>2804.09</v>
      </c>
      <c r="P488" s="13">
        <v>1009.57</v>
      </c>
      <c r="Q488" s="13">
        <v>48.54</v>
      </c>
      <c r="R488" s="1" t="s">
        <v>64</v>
      </c>
      <c r="S488" s="1">
        <v>4</v>
      </c>
      <c r="T488" s="1" t="b">
        <v>0</v>
      </c>
      <c r="U488" s="1" t="s">
        <v>197</v>
      </c>
      <c r="V488" s="3">
        <v>1</v>
      </c>
    </row>
    <row r="489" spans="1:22" x14ac:dyDescent="0.3">
      <c r="A489" s="2" t="s">
        <v>1372</v>
      </c>
      <c r="B489" s="10">
        <v>43979</v>
      </c>
      <c r="C489" s="22">
        <v>43979</v>
      </c>
      <c r="D489" s="1" t="s">
        <v>1373</v>
      </c>
      <c r="E489" s="1" t="s">
        <v>711</v>
      </c>
      <c r="F489" s="1">
        <v>35</v>
      </c>
      <c r="G489" s="1" t="s">
        <v>24</v>
      </c>
      <c r="H489" s="1" t="s">
        <v>82</v>
      </c>
      <c r="I489" s="1" t="s">
        <v>293</v>
      </c>
      <c r="J489" s="1" t="s">
        <v>27</v>
      </c>
      <c r="K489" s="1" t="s">
        <v>28</v>
      </c>
      <c r="L489" s="1">
        <v>9</v>
      </c>
      <c r="M489" s="13">
        <v>213.6</v>
      </c>
      <c r="N489" s="15">
        <v>0.32</v>
      </c>
      <c r="O489" s="13">
        <v>1665.43</v>
      </c>
      <c r="P489" s="13">
        <v>193.99</v>
      </c>
      <c r="Q489" s="13">
        <v>101.52</v>
      </c>
      <c r="R489" s="1" t="s">
        <v>57</v>
      </c>
      <c r="S489" s="1">
        <v>4</v>
      </c>
      <c r="T489" s="1" t="b">
        <v>0</v>
      </c>
      <c r="U489" s="1" t="s">
        <v>84</v>
      </c>
      <c r="V489" s="3">
        <v>4</v>
      </c>
    </row>
    <row r="490" spans="1:22" x14ac:dyDescent="0.3">
      <c r="A490" s="2" t="s">
        <v>1374</v>
      </c>
      <c r="B490" s="10">
        <v>45320</v>
      </c>
      <c r="C490" s="22">
        <v>45320</v>
      </c>
      <c r="D490" s="1" t="s">
        <v>1375</v>
      </c>
      <c r="E490" s="1" t="s">
        <v>390</v>
      </c>
      <c r="F490" s="1">
        <v>26</v>
      </c>
      <c r="G490" s="1" t="s">
        <v>24</v>
      </c>
      <c r="H490" s="1" t="s">
        <v>74</v>
      </c>
      <c r="I490" s="1" t="s">
        <v>75</v>
      </c>
      <c r="J490" s="1" t="s">
        <v>37</v>
      </c>
      <c r="K490" s="1" t="s">
        <v>38</v>
      </c>
      <c r="L490" s="1">
        <v>4</v>
      </c>
      <c r="M490" s="13">
        <v>1120.04</v>
      </c>
      <c r="N490" s="15">
        <v>0</v>
      </c>
      <c r="O490" s="13">
        <v>4784.7</v>
      </c>
      <c r="P490" s="13">
        <v>1051.2</v>
      </c>
      <c r="Q490" s="13">
        <v>70.2</v>
      </c>
      <c r="R490" s="1" t="s">
        <v>70</v>
      </c>
      <c r="S490" s="1">
        <v>5</v>
      </c>
      <c r="T490" s="1" t="b">
        <v>0</v>
      </c>
      <c r="U490" s="1" t="s">
        <v>39</v>
      </c>
      <c r="V490" s="3">
        <v>6</v>
      </c>
    </row>
    <row r="491" spans="1:22" x14ac:dyDescent="0.3">
      <c r="A491" s="2" t="s">
        <v>1376</v>
      </c>
      <c r="B491" s="10">
        <v>44744</v>
      </c>
      <c r="C491" s="22">
        <v>44744</v>
      </c>
      <c r="D491" s="1" t="s">
        <v>1377</v>
      </c>
      <c r="E491" s="1" t="s">
        <v>256</v>
      </c>
      <c r="F491" s="1">
        <v>42</v>
      </c>
      <c r="G491" s="1" t="s">
        <v>68</v>
      </c>
      <c r="H491" s="1" t="s">
        <v>74</v>
      </c>
      <c r="I491" s="1" t="s">
        <v>101</v>
      </c>
      <c r="J491" s="1" t="s">
        <v>127</v>
      </c>
      <c r="K491" s="1" t="s">
        <v>142</v>
      </c>
      <c r="L491" s="1">
        <v>5</v>
      </c>
      <c r="M491" s="13">
        <v>14814.19</v>
      </c>
      <c r="N491" s="15">
        <v>0.21</v>
      </c>
      <c r="O491" s="13">
        <v>105694.63</v>
      </c>
      <c r="P491" s="13">
        <v>11127.91</v>
      </c>
      <c r="Q491" s="13">
        <v>56.42</v>
      </c>
      <c r="R491" s="1" t="s">
        <v>29</v>
      </c>
      <c r="S491" s="1">
        <v>3</v>
      </c>
      <c r="T491" s="1" t="b">
        <v>0</v>
      </c>
      <c r="U491" s="1" t="s">
        <v>58</v>
      </c>
      <c r="V491" s="3">
        <v>1</v>
      </c>
    </row>
    <row r="492" spans="1:22" x14ac:dyDescent="0.3">
      <c r="A492" s="2" t="s">
        <v>1378</v>
      </c>
      <c r="B492" s="10">
        <v>44048</v>
      </c>
      <c r="C492" s="22">
        <v>44048</v>
      </c>
      <c r="D492" s="1" t="s">
        <v>1379</v>
      </c>
      <c r="E492" s="1" t="s">
        <v>390</v>
      </c>
      <c r="F492" s="1">
        <v>40</v>
      </c>
      <c r="G492" s="1" t="s">
        <v>24</v>
      </c>
      <c r="H492" s="1" t="s">
        <v>82</v>
      </c>
      <c r="I492" s="1" t="s">
        <v>126</v>
      </c>
      <c r="J492" s="1" t="s">
        <v>27</v>
      </c>
      <c r="K492" s="1" t="s">
        <v>400</v>
      </c>
      <c r="L492" s="1">
        <v>4</v>
      </c>
      <c r="M492" s="13">
        <v>57.97</v>
      </c>
      <c r="N492" s="15">
        <v>0.1</v>
      </c>
      <c r="O492" s="13">
        <v>258.54000000000002</v>
      </c>
      <c r="P492" s="13">
        <v>16.670000000000002</v>
      </c>
      <c r="Q492" s="13">
        <v>74.150000000000006</v>
      </c>
      <c r="R492" s="1" t="s">
        <v>57</v>
      </c>
      <c r="S492" s="1">
        <v>3</v>
      </c>
      <c r="T492" s="1" t="b">
        <v>0</v>
      </c>
      <c r="U492" s="1" t="s">
        <v>39</v>
      </c>
      <c r="V492" s="3">
        <v>9</v>
      </c>
    </row>
    <row r="493" spans="1:22" x14ac:dyDescent="0.3">
      <c r="A493" s="2" t="s">
        <v>1380</v>
      </c>
      <c r="B493" s="10">
        <v>44287</v>
      </c>
      <c r="C493" s="22">
        <v>44287</v>
      </c>
      <c r="D493" s="1" t="s">
        <v>1381</v>
      </c>
      <c r="E493" s="1" t="s">
        <v>575</v>
      </c>
      <c r="F493" s="1">
        <v>45</v>
      </c>
      <c r="G493" s="1" t="s">
        <v>34</v>
      </c>
      <c r="H493" s="1" t="s">
        <v>25</v>
      </c>
      <c r="I493" s="1" t="s">
        <v>69</v>
      </c>
      <c r="J493" s="1" t="s">
        <v>27</v>
      </c>
      <c r="K493" s="1" t="s">
        <v>450</v>
      </c>
      <c r="L493" s="1">
        <v>2</v>
      </c>
      <c r="M493" s="13">
        <v>438.16</v>
      </c>
      <c r="N493" s="15">
        <v>0.25</v>
      </c>
      <c r="O493" s="13">
        <v>855.21</v>
      </c>
      <c r="P493" s="13">
        <v>70.3</v>
      </c>
      <c r="Q493" s="13">
        <v>76.819999999999993</v>
      </c>
      <c r="R493" s="1" t="s">
        <v>29</v>
      </c>
      <c r="S493" s="1">
        <v>5</v>
      </c>
      <c r="T493" s="1" t="b">
        <v>0</v>
      </c>
      <c r="U493" s="1" t="s">
        <v>39</v>
      </c>
      <c r="V493" s="3">
        <v>2</v>
      </c>
    </row>
    <row r="494" spans="1:22" x14ac:dyDescent="0.3">
      <c r="A494" s="2" t="s">
        <v>1382</v>
      </c>
      <c r="B494" s="10">
        <v>44477</v>
      </c>
      <c r="C494" s="22">
        <v>44477</v>
      </c>
      <c r="D494" s="1" t="s">
        <v>1383</v>
      </c>
      <c r="E494" s="1" t="s">
        <v>1384</v>
      </c>
      <c r="F494" s="1">
        <v>23</v>
      </c>
      <c r="G494" s="1" t="s">
        <v>34</v>
      </c>
      <c r="H494" s="1" t="s">
        <v>74</v>
      </c>
      <c r="I494" s="1" t="s">
        <v>192</v>
      </c>
      <c r="J494" s="1" t="s">
        <v>27</v>
      </c>
      <c r="K494" s="1" t="s">
        <v>56</v>
      </c>
      <c r="L494" s="1">
        <v>5</v>
      </c>
      <c r="M494" s="13">
        <v>312.3</v>
      </c>
      <c r="N494" s="15">
        <v>0.12</v>
      </c>
      <c r="O494" s="13">
        <v>1270.29</v>
      </c>
      <c r="P494" s="13">
        <v>110.96</v>
      </c>
      <c r="Q494" s="13">
        <v>25.67</v>
      </c>
      <c r="R494" s="1" t="s">
        <v>64</v>
      </c>
      <c r="S494" s="1">
        <v>3</v>
      </c>
      <c r="T494" s="1" t="b">
        <v>0</v>
      </c>
      <c r="U494" s="1" t="s">
        <v>39</v>
      </c>
      <c r="V494" s="3">
        <v>8</v>
      </c>
    </row>
    <row r="495" spans="1:22" x14ac:dyDescent="0.3">
      <c r="A495" s="2" t="s">
        <v>1385</v>
      </c>
      <c r="B495" s="10">
        <v>45450</v>
      </c>
      <c r="C495" s="22">
        <v>45450</v>
      </c>
      <c r="D495" s="1" t="s">
        <v>1386</v>
      </c>
      <c r="E495" s="1" t="s">
        <v>1387</v>
      </c>
      <c r="F495" s="1">
        <v>26</v>
      </c>
      <c r="G495" s="1" t="s">
        <v>68</v>
      </c>
      <c r="H495" s="1" t="s">
        <v>111</v>
      </c>
      <c r="I495" s="1" t="s">
        <v>121</v>
      </c>
      <c r="J495" s="1" t="s">
        <v>76</v>
      </c>
      <c r="K495" s="1" t="s">
        <v>113</v>
      </c>
      <c r="L495" s="1">
        <v>8</v>
      </c>
      <c r="M495" s="13">
        <v>3182.92</v>
      </c>
      <c r="N495" s="15">
        <v>0.17</v>
      </c>
      <c r="O495" s="13">
        <v>35409.06</v>
      </c>
      <c r="P495" s="13">
        <v>17485.080000000002</v>
      </c>
      <c r="Q495" s="13">
        <v>81.77</v>
      </c>
      <c r="R495" s="1" t="s">
        <v>78</v>
      </c>
      <c r="S495" s="1">
        <v>5</v>
      </c>
      <c r="T495" s="1" t="b">
        <v>0</v>
      </c>
      <c r="U495" s="1" t="s">
        <v>39</v>
      </c>
      <c r="V495" s="3">
        <v>9</v>
      </c>
    </row>
    <row r="496" spans="1:22" x14ac:dyDescent="0.3">
      <c r="A496" s="2" t="s">
        <v>1388</v>
      </c>
      <c r="B496" s="10">
        <v>44722</v>
      </c>
      <c r="C496" s="22">
        <v>44722</v>
      </c>
      <c r="D496" s="1" t="s">
        <v>1389</v>
      </c>
      <c r="E496" s="1" t="s">
        <v>1390</v>
      </c>
      <c r="F496" s="1">
        <v>39</v>
      </c>
      <c r="G496" s="1" t="s">
        <v>68</v>
      </c>
      <c r="H496" s="1" t="s">
        <v>82</v>
      </c>
      <c r="I496" s="1" t="s">
        <v>126</v>
      </c>
      <c r="J496" s="1" t="s">
        <v>76</v>
      </c>
      <c r="K496" s="1" t="s">
        <v>89</v>
      </c>
      <c r="L496" s="1">
        <v>3</v>
      </c>
      <c r="M496" s="13">
        <v>1256.1600000000001</v>
      </c>
      <c r="N496" s="15">
        <v>0.05</v>
      </c>
      <c r="O496" s="13">
        <v>5186.09</v>
      </c>
      <c r="P496" s="13">
        <v>2331.2600000000002</v>
      </c>
      <c r="Q496" s="13">
        <v>90.36</v>
      </c>
      <c r="R496" s="1" t="s">
        <v>51</v>
      </c>
      <c r="S496" s="1">
        <v>5</v>
      </c>
      <c r="T496" s="1" t="b">
        <v>0</v>
      </c>
      <c r="U496" s="1" t="s">
        <v>39</v>
      </c>
      <c r="V496" s="3">
        <v>9</v>
      </c>
    </row>
    <row r="497" spans="1:22" x14ac:dyDescent="0.3">
      <c r="A497" s="2" t="s">
        <v>1391</v>
      </c>
      <c r="B497" s="10">
        <v>43926</v>
      </c>
      <c r="C497" s="22">
        <v>43926</v>
      </c>
      <c r="D497" s="1" t="s">
        <v>1392</v>
      </c>
      <c r="E497" s="1" t="s">
        <v>145</v>
      </c>
      <c r="F497" s="1">
        <v>34</v>
      </c>
      <c r="G497" s="1" t="s">
        <v>34</v>
      </c>
      <c r="H497" s="1" t="s">
        <v>25</v>
      </c>
      <c r="I497" s="1" t="s">
        <v>170</v>
      </c>
      <c r="J497" s="1" t="s">
        <v>37</v>
      </c>
      <c r="K497" s="1" t="s">
        <v>231</v>
      </c>
      <c r="L497" s="1">
        <v>9</v>
      </c>
      <c r="M497" s="13">
        <v>1356.81</v>
      </c>
      <c r="N497" s="15">
        <v>0.01</v>
      </c>
      <c r="O497" s="13">
        <v>13938.43</v>
      </c>
      <c r="P497" s="13">
        <v>5273.14</v>
      </c>
      <c r="Q497" s="13">
        <v>76.63</v>
      </c>
      <c r="R497" s="1" t="s">
        <v>70</v>
      </c>
      <c r="S497" s="1">
        <v>3</v>
      </c>
      <c r="T497" s="1" t="b">
        <v>0</v>
      </c>
      <c r="U497" s="1" t="s">
        <v>39</v>
      </c>
      <c r="V497" s="3">
        <v>4</v>
      </c>
    </row>
    <row r="498" spans="1:22" x14ac:dyDescent="0.3">
      <c r="A498" s="2" t="s">
        <v>1393</v>
      </c>
      <c r="B498" s="10">
        <v>43885</v>
      </c>
      <c r="C498" s="22">
        <v>43885</v>
      </c>
      <c r="D498" s="1" t="s">
        <v>1394</v>
      </c>
      <c r="E498" s="1" t="s">
        <v>1309</v>
      </c>
      <c r="F498" s="1">
        <v>27</v>
      </c>
      <c r="G498" s="1" t="s">
        <v>68</v>
      </c>
      <c r="H498" s="1" t="s">
        <v>82</v>
      </c>
      <c r="I498" s="1" t="s">
        <v>83</v>
      </c>
      <c r="J498" s="1" t="s">
        <v>37</v>
      </c>
      <c r="K498" s="1" t="s">
        <v>38</v>
      </c>
      <c r="L498" s="1">
        <v>3</v>
      </c>
      <c r="M498" s="13">
        <v>1655.54</v>
      </c>
      <c r="N498" s="15">
        <v>0.25</v>
      </c>
      <c r="O498" s="13">
        <v>2825.92</v>
      </c>
      <c r="P498" s="13">
        <v>1777.23</v>
      </c>
      <c r="Q498" s="13">
        <v>81.69</v>
      </c>
      <c r="R498" s="1" t="s">
        <v>78</v>
      </c>
      <c r="S498" s="1">
        <v>3</v>
      </c>
      <c r="T498" s="1" t="b">
        <v>0</v>
      </c>
      <c r="U498" s="1" t="s">
        <v>39</v>
      </c>
      <c r="V498" s="3">
        <v>5</v>
      </c>
    </row>
    <row r="499" spans="1:22" x14ac:dyDescent="0.3">
      <c r="A499" s="2" t="s">
        <v>1395</v>
      </c>
      <c r="B499" s="10">
        <v>45050</v>
      </c>
      <c r="C499" s="22">
        <v>45050</v>
      </c>
      <c r="D499" s="1" t="s">
        <v>1396</v>
      </c>
      <c r="E499" s="1" t="s">
        <v>1108</v>
      </c>
      <c r="F499" s="1">
        <v>20</v>
      </c>
      <c r="G499" s="1" t="s">
        <v>24</v>
      </c>
      <c r="H499" s="1" t="s">
        <v>111</v>
      </c>
      <c r="I499" s="1" t="s">
        <v>112</v>
      </c>
      <c r="J499" s="1" t="s">
        <v>37</v>
      </c>
      <c r="K499" s="1" t="s">
        <v>102</v>
      </c>
      <c r="L499" s="1">
        <v>6</v>
      </c>
      <c r="M499" s="13">
        <v>2373.35</v>
      </c>
      <c r="N499" s="15">
        <v>0.3</v>
      </c>
      <c r="O499" s="13">
        <v>15281.74</v>
      </c>
      <c r="P499" s="13">
        <v>8565.14</v>
      </c>
      <c r="Q499" s="13">
        <v>54.97</v>
      </c>
      <c r="R499" s="1" t="s">
        <v>64</v>
      </c>
      <c r="S499" s="1">
        <v>3</v>
      </c>
      <c r="T499" s="1" t="b">
        <v>0</v>
      </c>
      <c r="U499" s="1" t="s">
        <v>39</v>
      </c>
      <c r="V499" s="3">
        <v>3</v>
      </c>
    </row>
    <row r="500" spans="1:22" x14ac:dyDescent="0.3">
      <c r="A500" s="2" t="s">
        <v>1397</v>
      </c>
      <c r="B500" s="10">
        <v>44867</v>
      </c>
      <c r="C500" s="22">
        <v>44867</v>
      </c>
      <c r="D500" s="1" t="s">
        <v>1398</v>
      </c>
      <c r="E500" s="1" t="s">
        <v>1399</v>
      </c>
      <c r="F500" s="1">
        <v>46</v>
      </c>
      <c r="G500" s="1" t="s">
        <v>24</v>
      </c>
      <c r="H500" s="1" t="s">
        <v>74</v>
      </c>
      <c r="I500" s="1" t="s">
        <v>192</v>
      </c>
      <c r="J500" s="1" t="s">
        <v>76</v>
      </c>
      <c r="K500" s="1" t="s">
        <v>122</v>
      </c>
      <c r="L500" s="1">
        <v>3</v>
      </c>
      <c r="M500" s="13">
        <v>1457.48</v>
      </c>
      <c r="N500" s="15">
        <v>0.04</v>
      </c>
      <c r="O500" s="13">
        <v>3326.03</v>
      </c>
      <c r="P500" s="13">
        <v>1139.23</v>
      </c>
      <c r="Q500" s="13">
        <v>47.06</v>
      </c>
      <c r="R500" s="1" t="s">
        <v>70</v>
      </c>
      <c r="S500" s="1">
        <v>5</v>
      </c>
      <c r="T500" s="1" t="b">
        <v>0</v>
      </c>
      <c r="U500" s="1" t="s">
        <v>39</v>
      </c>
      <c r="V500" s="3">
        <v>10</v>
      </c>
    </row>
    <row r="501" spans="1:22" x14ac:dyDescent="0.3">
      <c r="A501" s="2" t="s">
        <v>1400</v>
      </c>
      <c r="B501" s="10">
        <v>44107</v>
      </c>
      <c r="C501" s="22">
        <v>44107</v>
      </c>
      <c r="D501" s="1" t="s">
        <v>1401</v>
      </c>
      <c r="E501" s="1" t="s">
        <v>988</v>
      </c>
      <c r="F501" s="1">
        <v>52</v>
      </c>
      <c r="G501" s="1" t="s">
        <v>434</v>
      </c>
      <c r="H501" s="1" t="s">
        <v>111</v>
      </c>
      <c r="I501" s="1" t="s">
        <v>121</v>
      </c>
      <c r="J501" s="1" t="s">
        <v>127</v>
      </c>
      <c r="K501" s="1" t="s">
        <v>308</v>
      </c>
      <c r="L501" s="1">
        <v>4</v>
      </c>
      <c r="M501" s="13">
        <v>72305.61</v>
      </c>
      <c r="N501" s="15">
        <v>0.03</v>
      </c>
      <c r="O501" s="13">
        <v>221219.87</v>
      </c>
      <c r="P501" s="13">
        <v>28168.080000000002</v>
      </c>
      <c r="Q501" s="13">
        <v>54.29</v>
      </c>
      <c r="R501" s="1" t="s">
        <v>29</v>
      </c>
      <c r="S501" s="1">
        <v>4</v>
      </c>
      <c r="T501" s="1" t="b">
        <v>1</v>
      </c>
      <c r="U501" s="1" t="s">
        <v>30</v>
      </c>
      <c r="V501" s="3">
        <v>10</v>
      </c>
    </row>
    <row r="502" spans="1:22" x14ac:dyDescent="0.3">
      <c r="A502" s="2" t="s">
        <v>1402</v>
      </c>
      <c r="B502" s="10">
        <v>44275</v>
      </c>
      <c r="C502" s="22">
        <v>44275</v>
      </c>
      <c r="D502" s="1" t="s">
        <v>1403</v>
      </c>
      <c r="E502" s="1" t="s">
        <v>1404</v>
      </c>
      <c r="F502" s="1">
        <v>12</v>
      </c>
      <c r="G502" s="1" t="s">
        <v>24</v>
      </c>
      <c r="H502" s="1" t="s">
        <v>35</v>
      </c>
      <c r="I502" s="1" t="s">
        <v>36</v>
      </c>
      <c r="J502" s="1" t="s">
        <v>37</v>
      </c>
      <c r="K502" s="1" t="s">
        <v>182</v>
      </c>
      <c r="L502" s="1">
        <v>3</v>
      </c>
      <c r="M502" s="13">
        <v>956.76</v>
      </c>
      <c r="N502" s="15">
        <v>0.28000000000000003</v>
      </c>
      <c r="O502" s="13">
        <v>2408.87</v>
      </c>
      <c r="P502" s="13">
        <v>1153.68</v>
      </c>
      <c r="Q502" s="13">
        <v>89.77</v>
      </c>
      <c r="R502" s="1" t="s">
        <v>70</v>
      </c>
      <c r="S502" s="1">
        <v>3</v>
      </c>
      <c r="T502" s="1" t="b">
        <v>0</v>
      </c>
      <c r="U502" s="1" t="s">
        <v>39</v>
      </c>
      <c r="V502" s="3">
        <v>9</v>
      </c>
    </row>
    <row r="503" spans="1:22" x14ac:dyDescent="0.3">
      <c r="A503" s="2" t="s">
        <v>1405</v>
      </c>
      <c r="B503" s="10">
        <v>45539</v>
      </c>
      <c r="C503" s="22">
        <v>45539</v>
      </c>
      <c r="D503" s="1" t="s">
        <v>1406</v>
      </c>
      <c r="E503" s="1" t="s">
        <v>1324</v>
      </c>
      <c r="F503" s="1">
        <v>28</v>
      </c>
      <c r="G503" s="1" t="s">
        <v>34</v>
      </c>
      <c r="H503" s="1" t="s">
        <v>35</v>
      </c>
      <c r="I503" s="1" t="s">
        <v>36</v>
      </c>
      <c r="J503" s="1" t="s">
        <v>127</v>
      </c>
      <c r="K503" s="1" t="s">
        <v>517</v>
      </c>
      <c r="L503" s="1">
        <v>3</v>
      </c>
      <c r="M503" s="13">
        <v>57941.59</v>
      </c>
      <c r="N503" s="15">
        <v>0.17</v>
      </c>
      <c r="O503" s="13">
        <v>202708.19</v>
      </c>
      <c r="P503" s="13">
        <v>27362.05</v>
      </c>
      <c r="Q503" s="13">
        <v>70.62</v>
      </c>
      <c r="R503" s="1" t="s">
        <v>70</v>
      </c>
      <c r="S503" s="1">
        <v>2</v>
      </c>
      <c r="T503" s="1" t="b">
        <v>1</v>
      </c>
      <c r="U503" s="1" t="s">
        <v>30</v>
      </c>
      <c r="V503" s="3">
        <v>5</v>
      </c>
    </row>
    <row r="504" spans="1:22" x14ac:dyDescent="0.3">
      <c r="A504" s="2" t="s">
        <v>1407</v>
      </c>
      <c r="B504" s="10">
        <v>45654</v>
      </c>
      <c r="C504" s="22">
        <v>45654</v>
      </c>
      <c r="D504" s="1" t="s">
        <v>1408</v>
      </c>
      <c r="E504" s="1" t="s">
        <v>279</v>
      </c>
      <c r="F504" s="1">
        <v>36</v>
      </c>
      <c r="G504" s="1" t="s">
        <v>24</v>
      </c>
      <c r="H504" s="1" t="s">
        <v>82</v>
      </c>
      <c r="I504" s="1" t="s">
        <v>244</v>
      </c>
      <c r="J504" s="1" t="s">
        <v>44</v>
      </c>
      <c r="K504" s="1" t="s">
        <v>221</v>
      </c>
      <c r="L504" s="1">
        <v>9</v>
      </c>
      <c r="M504" s="13">
        <v>21875.15</v>
      </c>
      <c r="N504" s="15">
        <v>0.01</v>
      </c>
      <c r="O504" s="13">
        <v>161990.01</v>
      </c>
      <c r="P504" s="13">
        <v>51700.42</v>
      </c>
      <c r="Q504" s="13">
        <v>87.08</v>
      </c>
      <c r="R504" s="1" t="s">
        <v>70</v>
      </c>
      <c r="S504" s="1">
        <v>4</v>
      </c>
      <c r="T504" s="1" t="b">
        <v>0</v>
      </c>
      <c r="U504" s="1" t="s">
        <v>39</v>
      </c>
      <c r="V504" s="3">
        <v>10</v>
      </c>
    </row>
    <row r="505" spans="1:22" x14ac:dyDescent="0.3">
      <c r="A505" s="2" t="s">
        <v>1409</v>
      </c>
      <c r="B505" s="10">
        <v>45401</v>
      </c>
      <c r="C505" s="22">
        <v>45401</v>
      </c>
      <c r="D505" s="1" t="s">
        <v>1410</v>
      </c>
      <c r="E505" s="1" t="s">
        <v>1282</v>
      </c>
      <c r="F505" s="1">
        <v>31</v>
      </c>
      <c r="G505" s="1" t="s">
        <v>24</v>
      </c>
      <c r="H505" s="1" t="s">
        <v>35</v>
      </c>
      <c r="I505" s="1" t="s">
        <v>43</v>
      </c>
      <c r="J505" s="1" t="s">
        <v>127</v>
      </c>
      <c r="K505" s="1" t="s">
        <v>142</v>
      </c>
      <c r="L505" s="1">
        <v>5</v>
      </c>
      <c r="M505" s="13">
        <v>48881.01</v>
      </c>
      <c r="N505" s="15">
        <v>0.28999999999999998</v>
      </c>
      <c r="O505" s="13">
        <v>271257.62</v>
      </c>
      <c r="P505" s="13">
        <v>14499.23</v>
      </c>
      <c r="Q505" s="13">
        <v>74.540000000000006</v>
      </c>
      <c r="R505" s="1" t="s">
        <v>78</v>
      </c>
      <c r="S505" s="1">
        <v>4</v>
      </c>
      <c r="T505" s="1" t="b">
        <v>0</v>
      </c>
      <c r="U505" s="1" t="s">
        <v>1411</v>
      </c>
      <c r="V505" s="3">
        <v>2</v>
      </c>
    </row>
    <row r="506" spans="1:22" x14ac:dyDescent="0.3">
      <c r="A506" s="2" t="s">
        <v>1412</v>
      </c>
      <c r="B506" s="10">
        <v>44454</v>
      </c>
      <c r="C506" s="22">
        <v>44454</v>
      </c>
      <c r="D506" s="1" t="s">
        <v>1413</v>
      </c>
      <c r="E506" s="1" t="s">
        <v>338</v>
      </c>
      <c r="F506" s="1">
        <v>46</v>
      </c>
      <c r="G506" s="1" t="s">
        <v>24</v>
      </c>
      <c r="H506" s="1" t="s">
        <v>82</v>
      </c>
      <c r="I506" s="1" t="s">
        <v>244</v>
      </c>
      <c r="J506" s="1" t="s">
        <v>62</v>
      </c>
      <c r="K506" s="1" t="s">
        <v>151</v>
      </c>
      <c r="L506" s="1">
        <v>1</v>
      </c>
      <c r="M506" s="13">
        <v>1391.59</v>
      </c>
      <c r="N506" s="15">
        <v>0.04</v>
      </c>
      <c r="O506" s="13">
        <v>1424.19</v>
      </c>
      <c r="P506" s="13">
        <v>496.68</v>
      </c>
      <c r="Q506" s="13">
        <v>84.05</v>
      </c>
      <c r="R506" s="1" t="s">
        <v>57</v>
      </c>
      <c r="S506" s="1">
        <v>4</v>
      </c>
      <c r="T506" s="1" t="b">
        <v>0</v>
      </c>
      <c r="U506" s="1" t="s">
        <v>137</v>
      </c>
      <c r="V506" s="3">
        <v>5</v>
      </c>
    </row>
    <row r="507" spans="1:22" x14ac:dyDescent="0.3">
      <c r="A507" s="2" t="s">
        <v>1414</v>
      </c>
      <c r="B507" s="10">
        <v>45010</v>
      </c>
      <c r="C507" s="22">
        <v>45010</v>
      </c>
      <c r="D507" s="1" t="s">
        <v>1415</v>
      </c>
      <c r="E507" s="1" t="s">
        <v>403</v>
      </c>
      <c r="F507" s="1">
        <v>24</v>
      </c>
      <c r="G507" s="1" t="s">
        <v>68</v>
      </c>
      <c r="H507" s="1" t="s">
        <v>35</v>
      </c>
      <c r="I507" s="1" t="s">
        <v>43</v>
      </c>
      <c r="J507" s="1" t="s">
        <v>44</v>
      </c>
      <c r="K507" s="1" t="s">
        <v>50</v>
      </c>
      <c r="L507" s="1">
        <v>6</v>
      </c>
      <c r="M507" s="13">
        <v>16778.259999999998</v>
      </c>
      <c r="N507" s="15">
        <v>0.34</v>
      </c>
      <c r="O507" s="13">
        <v>79749.850000000006</v>
      </c>
      <c r="P507" s="13">
        <v>20899.580000000002</v>
      </c>
      <c r="Q507" s="13">
        <v>68.680000000000007</v>
      </c>
      <c r="R507" s="1" t="s">
        <v>78</v>
      </c>
      <c r="S507" s="1">
        <v>3</v>
      </c>
      <c r="T507" s="1" t="b">
        <v>0</v>
      </c>
      <c r="U507" s="1" t="s">
        <v>39</v>
      </c>
      <c r="V507" s="3">
        <v>9</v>
      </c>
    </row>
    <row r="508" spans="1:22" x14ac:dyDescent="0.3">
      <c r="A508" s="2" t="s">
        <v>1416</v>
      </c>
      <c r="B508" s="10">
        <v>44184</v>
      </c>
      <c r="C508" s="22">
        <v>44184</v>
      </c>
      <c r="D508" s="1" t="s">
        <v>1417</v>
      </c>
      <c r="E508" s="1" t="s">
        <v>473</v>
      </c>
      <c r="F508" s="1">
        <v>51</v>
      </c>
      <c r="G508" s="1" t="s">
        <v>68</v>
      </c>
      <c r="H508" s="1" t="s">
        <v>74</v>
      </c>
      <c r="I508" s="1" t="s">
        <v>75</v>
      </c>
      <c r="J508" s="1" t="s">
        <v>127</v>
      </c>
      <c r="K508" s="1" t="s">
        <v>196</v>
      </c>
      <c r="L508" s="1">
        <v>9</v>
      </c>
      <c r="M508" s="13">
        <v>59205.69</v>
      </c>
      <c r="N508" s="15">
        <v>0.28999999999999998</v>
      </c>
      <c r="O508" s="13">
        <v>281237.44</v>
      </c>
      <c r="P508" s="13">
        <v>26659.17</v>
      </c>
      <c r="Q508" s="13">
        <v>68.680000000000007</v>
      </c>
      <c r="R508" s="1" t="s">
        <v>29</v>
      </c>
      <c r="S508" s="1">
        <v>4</v>
      </c>
      <c r="T508" s="1" t="b">
        <v>0</v>
      </c>
      <c r="U508" s="1" t="s">
        <v>39</v>
      </c>
      <c r="V508" s="3">
        <v>8</v>
      </c>
    </row>
    <row r="509" spans="1:22" x14ac:dyDescent="0.3">
      <c r="A509" s="2" t="s">
        <v>1418</v>
      </c>
      <c r="B509" s="10">
        <v>45096</v>
      </c>
      <c r="C509" s="22">
        <v>45096</v>
      </c>
      <c r="D509" s="1" t="s">
        <v>1419</v>
      </c>
      <c r="E509" s="1" t="s">
        <v>976</v>
      </c>
      <c r="F509" s="1">
        <v>20</v>
      </c>
      <c r="G509" s="1" t="s">
        <v>24</v>
      </c>
      <c r="H509" s="1" t="s">
        <v>82</v>
      </c>
      <c r="I509" s="1" t="s">
        <v>83</v>
      </c>
      <c r="J509" s="1" t="s">
        <v>127</v>
      </c>
      <c r="K509" s="1" t="s">
        <v>517</v>
      </c>
      <c r="L509" s="1">
        <v>10</v>
      </c>
      <c r="M509" s="13">
        <v>54102.6</v>
      </c>
      <c r="N509" s="15">
        <v>0.36</v>
      </c>
      <c r="O509" s="13">
        <v>523395.38</v>
      </c>
      <c r="P509" s="13">
        <v>62065.82</v>
      </c>
      <c r="Q509" s="13">
        <v>73.13</v>
      </c>
      <c r="R509" s="1" t="s">
        <v>29</v>
      </c>
      <c r="S509" s="1">
        <v>3</v>
      </c>
      <c r="T509" s="1" t="b">
        <v>0</v>
      </c>
      <c r="U509" s="1" t="s">
        <v>39</v>
      </c>
      <c r="V509" s="3">
        <v>7</v>
      </c>
    </row>
    <row r="510" spans="1:22" x14ac:dyDescent="0.3">
      <c r="A510" s="2" t="s">
        <v>1420</v>
      </c>
      <c r="B510" s="10">
        <v>45612</v>
      </c>
      <c r="C510" s="22">
        <v>45612</v>
      </c>
      <c r="D510" s="1" t="s">
        <v>1421</v>
      </c>
      <c r="E510" s="1" t="s">
        <v>1422</v>
      </c>
      <c r="F510" s="1">
        <v>35</v>
      </c>
      <c r="G510" s="1" t="s">
        <v>68</v>
      </c>
      <c r="H510" s="1" t="s">
        <v>35</v>
      </c>
      <c r="I510" s="1" t="s">
        <v>106</v>
      </c>
      <c r="J510" s="1" t="s">
        <v>127</v>
      </c>
      <c r="K510" s="1" t="s">
        <v>142</v>
      </c>
      <c r="L510" s="1">
        <v>3</v>
      </c>
      <c r="M510" s="13">
        <v>36271.47</v>
      </c>
      <c r="N510" s="15">
        <v>0.08</v>
      </c>
      <c r="O510" s="13">
        <v>106383.22</v>
      </c>
      <c r="P510" s="13">
        <v>8562.92</v>
      </c>
      <c r="Q510" s="13">
        <v>64.31</v>
      </c>
      <c r="R510" s="1" t="s">
        <v>70</v>
      </c>
      <c r="S510" s="1">
        <v>2</v>
      </c>
      <c r="T510" s="1" t="b">
        <v>1</v>
      </c>
      <c r="U510" s="1" t="s">
        <v>30</v>
      </c>
      <c r="V510" s="3">
        <v>10</v>
      </c>
    </row>
    <row r="511" spans="1:22" x14ac:dyDescent="0.3">
      <c r="A511" s="2" t="s">
        <v>1423</v>
      </c>
      <c r="B511" s="10">
        <v>45464</v>
      </c>
      <c r="C511" s="22">
        <v>45464</v>
      </c>
      <c r="D511" s="1" t="s">
        <v>1424</v>
      </c>
      <c r="E511" s="1" t="s">
        <v>1425</v>
      </c>
      <c r="F511" s="1">
        <v>49</v>
      </c>
      <c r="G511" s="1" t="s">
        <v>34</v>
      </c>
      <c r="H511" s="1" t="s">
        <v>74</v>
      </c>
      <c r="I511" s="1" t="s">
        <v>101</v>
      </c>
      <c r="J511" s="1" t="s">
        <v>62</v>
      </c>
      <c r="K511" s="1" t="s">
        <v>266</v>
      </c>
      <c r="L511" s="1">
        <v>6</v>
      </c>
      <c r="M511" s="13">
        <v>587.29999999999995</v>
      </c>
      <c r="N511" s="15">
        <v>0.23</v>
      </c>
      <c r="O511" s="13">
        <v>4643.97</v>
      </c>
      <c r="P511" s="13">
        <v>1923.83</v>
      </c>
      <c r="Q511" s="13">
        <v>52.24</v>
      </c>
      <c r="R511" s="1" t="s">
        <v>57</v>
      </c>
      <c r="S511" s="1">
        <v>5</v>
      </c>
      <c r="T511" s="1" t="b">
        <v>0</v>
      </c>
      <c r="U511" s="1" t="s">
        <v>39</v>
      </c>
      <c r="V511" s="3">
        <v>5</v>
      </c>
    </row>
    <row r="512" spans="1:22" x14ac:dyDescent="0.3">
      <c r="A512" s="2" t="s">
        <v>1426</v>
      </c>
      <c r="B512" s="10">
        <v>44523</v>
      </c>
      <c r="C512" s="22">
        <v>44523</v>
      </c>
      <c r="D512" s="1" t="s">
        <v>1427</v>
      </c>
      <c r="E512" s="1" t="s">
        <v>1428</v>
      </c>
      <c r="F512" s="1">
        <v>23</v>
      </c>
      <c r="G512" s="1" t="s">
        <v>34</v>
      </c>
      <c r="H512" s="1" t="s">
        <v>111</v>
      </c>
      <c r="I512" s="1" t="s">
        <v>141</v>
      </c>
      <c r="J512" s="1" t="s">
        <v>44</v>
      </c>
      <c r="K512" s="1" t="s">
        <v>50</v>
      </c>
      <c r="L512" s="1">
        <v>7</v>
      </c>
      <c r="M512" s="13">
        <v>32709.32</v>
      </c>
      <c r="N512" s="15">
        <v>0.15</v>
      </c>
      <c r="O512" s="13">
        <v>154037.82999999999</v>
      </c>
      <c r="P512" s="13">
        <v>40170.160000000003</v>
      </c>
      <c r="Q512" s="13">
        <v>86.06</v>
      </c>
      <c r="R512" s="1" t="s">
        <v>64</v>
      </c>
      <c r="S512" s="1">
        <v>2</v>
      </c>
      <c r="T512" s="1" t="b">
        <v>0</v>
      </c>
      <c r="U512" s="1" t="s">
        <v>39</v>
      </c>
      <c r="V512" s="3">
        <v>1</v>
      </c>
    </row>
    <row r="513" spans="1:22" x14ac:dyDescent="0.3">
      <c r="A513" s="2" t="s">
        <v>1429</v>
      </c>
      <c r="B513" s="10">
        <v>44303</v>
      </c>
      <c r="C513" s="22">
        <v>44303</v>
      </c>
      <c r="D513" s="1" t="s">
        <v>1430</v>
      </c>
      <c r="E513" s="1" t="s">
        <v>237</v>
      </c>
      <c r="F513" s="1">
        <v>20</v>
      </c>
      <c r="G513" s="1" t="s">
        <v>24</v>
      </c>
      <c r="H513" s="1" t="s">
        <v>25</v>
      </c>
      <c r="I513" s="1" t="s">
        <v>170</v>
      </c>
      <c r="J513" s="1" t="s">
        <v>27</v>
      </c>
      <c r="K513" s="1" t="s">
        <v>97</v>
      </c>
      <c r="L513" s="1">
        <v>7</v>
      </c>
      <c r="M513" s="13">
        <v>228.64</v>
      </c>
      <c r="N513" s="15">
        <v>0.17</v>
      </c>
      <c r="O513" s="13">
        <v>1426.02</v>
      </c>
      <c r="P513" s="13">
        <v>99.2</v>
      </c>
      <c r="Q513" s="13">
        <v>68.16</v>
      </c>
      <c r="R513" s="1" t="s">
        <v>57</v>
      </c>
      <c r="S513" s="1">
        <v>1</v>
      </c>
      <c r="T513" s="1" t="b">
        <v>0</v>
      </c>
      <c r="U513" s="1" t="s">
        <v>39</v>
      </c>
      <c r="V513" s="3">
        <v>8</v>
      </c>
    </row>
    <row r="514" spans="1:22" x14ac:dyDescent="0.3">
      <c r="A514" s="2" t="s">
        <v>1431</v>
      </c>
      <c r="B514" s="10">
        <v>44517</v>
      </c>
      <c r="C514" s="22">
        <v>44517</v>
      </c>
      <c r="D514" s="1" t="s">
        <v>1432</v>
      </c>
      <c r="E514" s="1" t="s">
        <v>1433</v>
      </c>
      <c r="F514" s="1">
        <v>42</v>
      </c>
      <c r="G514" s="1" t="s">
        <v>24</v>
      </c>
      <c r="H514" s="1" t="s">
        <v>74</v>
      </c>
      <c r="I514" s="1" t="s">
        <v>101</v>
      </c>
      <c r="J514" s="1" t="s">
        <v>27</v>
      </c>
      <c r="K514" s="1" t="s">
        <v>430</v>
      </c>
      <c r="L514" s="1">
        <v>3</v>
      </c>
      <c r="M514" s="13">
        <v>308.05</v>
      </c>
      <c r="N514" s="15">
        <v>0.19</v>
      </c>
      <c r="O514" s="13">
        <v>531.13</v>
      </c>
      <c r="P514" s="13">
        <v>41.25</v>
      </c>
      <c r="Q514" s="13">
        <v>45.78</v>
      </c>
      <c r="R514" s="1" t="s">
        <v>64</v>
      </c>
      <c r="S514" s="1">
        <v>3</v>
      </c>
      <c r="T514" s="1" t="b">
        <v>0</v>
      </c>
      <c r="U514" s="1" t="s">
        <v>39</v>
      </c>
      <c r="V514" s="3">
        <v>2</v>
      </c>
    </row>
    <row r="515" spans="1:22" x14ac:dyDescent="0.3">
      <c r="A515" s="2" t="s">
        <v>1434</v>
      </c>
      <c r="B515" s="10">
        <v>43902</v>
      </c>
      <c r="C515" s="22">
        <v>43902</v>
      </c>
      <c r="D515" s="1" t="s">
        <v>1435</v>
      </c>
      <c r="E515" s="1" t="s">
        <v>1436</v>
      </c>
      <c r="F515" s="1">
        <v>34</v>
      </c>
      <c r="G515" s="1" t="s">
        <v>34</v>
      </c>
      <c r="H515" s="1" t="s">
        <v>74</v>
      </c>
      <c r="I515" s="1" t="s">
        <v>101</v>
      </c>
      <c r="J515" s="1" t="s">
        <v>76</v>
      </c>
      <c r="K515" s="1" t="s">
        <v>89</v>
      </c>
      <c r="L515" s="1">
        <v>9</v>
      </c>
      <c r="M515" s="13">
        <v>3971.91</v>
      </c>
      <c r="N515" s="15">
        <v>0.18</v>
      </c>
      <c r="O515" s="13">
        <v>32366.71</v>
      </c>
      <c r="P515" s="13">
        <v>14702.14</v>
      </c>
      <c r="Q515" s="13">
        <v>47.38</v>
      </c>
      <c r="R515" s="1" t="s">
        <v>64</v>
      </c>
      <c r="S515" s="1">
        <v>3</v>
      </c>
      <c r="T515" s="1" t="b">
        <v>0</v>
      </c>
      <c r="U515" s="1" t="s">
        <v>58</v>
      </c>
      <c r="V515" s="3">
        <v>4</v>
      </c>
    </row>
    <row r="516" spans="1:22" x14ac:dyDescent="0.3">
      <c r="A516" s="2" t="s">
        <v>1437</v>
      </c>
      <c r="B516" s="10">
        <v>44823</v>
      </c>
      <c r="C516" s="22">
        <v>44823</v>
      </c>
      <c r="D516" s="1" t="s">
        <v>1438</v>
      </c>
      <c r="E516" s="1" t="s">
        <v>272</v>
      </c>
      <c r="F516" s="1">
        <v>48</v>
      </c>
      <c r="G516" s="1" t="s">
        <v>24</v>
      </c>
      <c r="H516" s="1" t="s">
        <v>111</v>
      </c>
      <c r="I516" s="1" t="s">
        <v>141</v>
      </c>
      <c r="J516" s="1" t="s">
        <v>127</v>
      </c>
      <c r="K516" s="1" t="s">
        <v>142</v>
      </c>
      <c r="L516" s="1">
        <v>7</v>
      </c>
      <c r="M516" s="13">
        <v>10316.01</v>
      </c>
      <c r="N516" s="15">
        <v>0.33</v>
      </c>
      <c r="O516" s="13">
        <v>50301.08</v>
      </c>
      <c r="P516" s="13">
        <v>6888.17</v>
      </c>
      <c r="Q516" s="13">
        <v>90.01</v>
      </c>
      <c r="R516" s="1" t="s">
        <v>57</v>
      </c>
      <c r="S516" s="1">
        <v>3</v>
      </c>
      <c r="T516" s="1" t="b">
        <v>0</v>
      </c>
      <c r="U516" s="1" t="s">
        <v>39</v>
      </c>
      <c r="V516" s="3">
        <v>4</v>
      </c>
    </row>
    <row r="517" spans="1:22" x14ac:dyDescent="0.3">
      <c r="A517" s="2" t="s">
        <v>1439</v>
      </c>
      <c r="B517" s="10">
        <v>45255</v>
      </c>
      <c r="C517" s="22">
        <v>45255</v>
      </c>
      <c r="D517" s="1" t="s">
        <v>1440</v>
      </c>
      <c r="E517" s="1" t="s">
        <v>1425</v>
      </c>
      <c r="F517" s="1">
        <v>32</v>
      </c>
      <c r="G517" s="1" t="s">
        <v>24</v>
      </c>
      <c r="H517" s="1" t="s">
        <v>25</v>
      </c>
      <c r="I517" s="1" t="s">
        <v>26</v>
      </c>
      <c r="J517" s="1" t="s">
        <v>76</v>
      </c>
      <c r="K517" s="1" t="s">
        <v>77</v>
      </c>
      <c r="L517" s="1">
        <v>4</v>
      </c>
      <c r="M517" s="13">
        <v>2037.61</v>
      </c>
      <c r="N517" s="15">
        <v>0.09</v>
      </c>
      <c r="O517" s="13">
        <v>7459.65</v>
      </c>
      <c r="P517" s="13">
        <v>2991.98</v>
      </c>
      <c r="Q517" s="13">
        <v>28.18</v>
      </c>
      <c r="R517" s="1" t="s">
        <v>64</v>
      </c>
      <c r="S517" s="1">
        <v>1</v>
      </c>
      <c r="T517" s="1" t="b">
        <v>1</v>
      </c>
      <c r="U517" s="1" t="s">
        <v>30</v>
      </c>
      <c r="V517" s="3">
        <v>7</v>
      </c>
    </row>
    <row r="518" spans="1:22" x14ac:dyDescent="0.3">
      <c r="A518" s="2" t="s">
        <v>1441</v>
      </c>
      <c r="B518" s="10">
        <v>44935</v>
      </c>
      <c r="C518" s="22">
        <v>44935</v>
      </c>
      <c r="D518" s="1" t="s">
        <v>1442</v>
      </c>
      <c r="E518" s="1" t="s">
        <v>81</v>
      </c>
      <c r="F518" s="1">
        <v>47</v>
      </c>
      <c r="G518" s="1" t="s">
        <v>24</v>
      </c>
      <c r="H518" s="1" t="s">
        <v>74</v>
      </c>
      <c r="I518" s="1" t="s">
        <v>136</v>
      </c>
      <c r="J518" s="1" t="s">
        <v>44</v>
      </c>
      <c r="K518" s="1" t="s">
        <v>221</v>
      </c>
      <c r="L518" s="1">
        <v>4</v>
      </c>
      <c r="M518" s="13">
        <v>16407.34</v>
      </c>
      <c r="N518" s="15">
        <v>0.13</v>
      </c>
      <c r="O518" s="13">
        <v>51661.63</v>
      </c>
      <c r="P518" s="13">
        <v>18819.990000000002</v>
      </c>
      <c r="Q518" s="13">
        <v>55.63</v>
      </c>
      <c r="R518" s="1" t="s">
        <v>64</v>
      </c>
      <c r="S518" s="1">
        <v>3</v>
      </c>
      <c r="T518" s="1" t="b">
        <v>0</v>
      </c>
      <c r="U518" s="1" t="s">
        <v>39</v>
      </c>
      <c r="V518" s="3">
        <v>7</v>
      </c>
    </row>
    <row r="519" spans="1:22" x14ac:dyDescent="0.3">
      <c r="A519" s="2" t="s">
        <v>1443</v>
      </c>
      <c r="B519" s="10">
        <v>44301</v>
      </c>
      <c r="C519" s="22">
        <v>44301</v>
      </c>
      <c r="D519" s="1" t="s">
        <v>1444</v>
      </c>
      <c r="E519" s="1" t="s">
        <v>1229</v>
      </c>
      <c r="F519" s="1">
        <v>43</v>
      </c>
      <c r="G519" s="1" t="s">
        <v>24</v>
      </c>
      <c r="H519" s="1" t="s">
        <v>82</v>
      </c>
      <c r="I519" s="1" t="s">
        <v>83</v>
      </c>
      <c r="J519" s="1" t="s">
        <v>44</v>
      </c>
      <c r="K519" s="1" t="s">
        <v>117</v>
      </c>
      <c r="L519" s="1">
        <v>9</v>
      </c>
      <c r="M519" s="13">
        <v>19514.509999999998</v>
      </c>
      <c r="N519" s="15">
        <v>0.21</v>
      </c>
      <c r="O519" s="13">
        <v>215673.94</v>
      </c>
      <c r="P519" s="13">
        <v>71953.350000000006</v>
      </c>
      <c r="Q519" s="13">
        <v>87.81</v>
      </c>
      <c r="R519" s="1" t="s">
        <v>29</v>
      </c>
      <c r="S519" s="1">
        <v>1</v>
      </c>
      <c r="T519" s="1" t="b">
        <v>1</v>
      </c>
      <c r="U519" s="1" t="s">
        <v>30</v>
      </c>
      <c r="V519" s="3">
        <v>9</v>
      </c>
    </row>
    <row r="520" spans="1:22" x14ac:dyDescent="0.3">
      <c r="A520" s="2" t="s">
        <v>1445</v>
      </c>
      <c r="B520" s="10">
        <v>44231</v>
      </c>
      <c r="C520" s="22">
        <v>44231</v>
      </c>
      <c r="D520" s="1" t="s">
        <v>1446</v>
      </c>
      <c r="E520" s="1" t="s">
        <v>1447</v>
      </c>
      <c r="F520" s="1">
        <v>27</v>
      </c>
      <c r="G520" s="1" t="s">
        <v>24</v>
      </c>
      <c r="H520" s="1" t="s">
        <v>35</v>
      </c>
      <c r="I520" s="1" t="s">
        <v>36</v>
      </c>
      <c r="J520" s="1" t="s">
        <v>76</v>
      </c>
      <c r="K520" s="1" t="s">
        <v>113</v>
      </c>
      <c r="L520" s="1">
        <v>10</v>
      </c>
      <c r="M520" s="13">
        <v>1064.5</v>
      </c>
      <c r="N520" s="15">
        <v>0.2</v>
      </c>
      <c r="O520" s="13">
        <v>8259.5300000000007</v>
      </c>
      <c r="P520" s="13">
        <v>3321.3</v>
      </c>
      <c r="Q520" s="13">
        <v>64.42</v>
      </c>
      <c r="R520" s="1" t="s">
        <v>64</v>
      </c>
      <c r="S520" s="1">
        <v>4</v>
      </c>
      <c r="T520" s="1" t="b">
        <v>0</v>
      </c>
      <c r="U520" s="1" t="s">
        <v>39</v>
      </c>
      <c r="V520" s="3">
        <v>9</v>
      </c>
    </row>
    <row r="521" spans="1:22" x14ac:dyDescent="0.3">
      <c r="A521" s="2" t="s">
        <v>1448</v>
      </c>
      <c r="B521" s="10">
        <v>44920</v>
      </c>
      <c r="C521" s="22">
        <v>44920</v>
      </c>
      <c r="D521" s="1" t="s">
        <v>1449</v>
      </c>
      <c r="E521" s="1" t="s">
        <v>608</v>
      </c>
      <c r="F521" s="1">
        <v>43</v>
      </c>
      <c r="G521" s="1" t="s">
        <v>24</v>
      </c>
      <c r="H521" s="1" t="s">
        <v>111</v>
      </c>
      <c r="I521" s="1" t="s">
        <v>330</v>
      </c>
      <c r="J521" s="1" t="s">
        <v>37</v>
      </c>
      <c r="K521" s="1" t="s">
        <v>671</v>
      </c>
      <c r="L521" s="1">
        <v>4</v>
      </c>
      <c r="M521" s="13">
        <v>1024.2</v>
      </c>
      <c r="N521" s="15">
        <v>0.28000000000000003</v>
      </c>
      <c r="O521" s="13">
        <v>2046.31</v>
      </c>
      <c r="P521" s="13">
        <v>485.53</v>
      </c>
      <c r="Q521" s="13">
        <v>57.96</v>
      </c>
      <c r="R521" s="1" t="s">
        <v>57</v>
      </c>
      <c r="S521" s="1">
        <v>2</v>
      </c>
      <c r="T521" s="1" t="b">
        <v>0</v>
      </c>
      <c r="U521" s="1" t="s">
        <v>39</v>
      </c>
      <c r="V521" s="3">
        <v>9</v>
      </c>
    </row>
    <row r="522" spans="1:22" x14ac:dyDescent="0.3">
      <c r="A522" s="2" t="s">
        <v>1450</v>
      </c>
      <c r="B522" s="10">
        <v>45280</v>
      </c>
      <c r="C522" s="22">
        <v>45280</v>
      </c>
      <c r="D522" s="1" t="s">
        <v>1451</v>
      </c>
      <c r="E522" s="1" t="s">
        <v>210</v>
      </c>
      <c r="F522" s="1">
        <v>36</v>
      </c>
      <c r="G522" s="1" t="s">
        <v>68</v>
      </c>
      <c r="H522" s="1" t="s">
        <v>111</v>
      </c>
      <c r="I522" s="1" t="s">
        <v>121</v>
      </c>
      <c r="J522" s="1" t="s">
        <v>146</v>
      </c>
      <c r="K522" s="1" t="s">
        <v>178</v>
      </c>
      <c r="L522" s="1">
        <v>5</v>
      </c>
      <c r="M522" s="13">
        <v>11277.04</v>
      </c>
      <c r="N522" s="15">
        <v>0.03</v>
      </c>
      <c r="O522" s="13">
        <v>47607.55</v>
      </c>
      <c r="P522" s="13">
        <v>14946.09</v>
      </c>
      <c r="Q522" s="13">
        <v>96.43</v>
      </c>
      <c r="R522" s="1" t="s">
        <v>51</v>
      </c>
      <c r="S522" s="1">
        <v>2</v>
      </c>
      <c r="T522" s="1" t="b">
        <v>0</v>
      </c>
      <c r="U522" s="1" t="s">
        <v>137</v>
      </c>
      <c r="V522" s="3">
        <v>8</v>
      </c>
    </row>
    <row r="523" spans="1:22" x14ac:dyDescent="0.3">
      <c r="A523" s="2" t="s">
        <v>1452</v>
      </c>
      <c r="B523" s="10">
        <v>45450</v>
      </c>
      <c r="C523" s="22">
        <v>45450</v>
      </c>
      <c r="D523" s="1" t="s">
        <v>1453</v>
      </c>
      <c r="E523" s="1" t="s">
        <v>1454</v>
      </c>
      <c r="F523" s="1">
        <v>23</v>
      </c>
      <c r="G523" s="1" t="s">
        <v>68</v>
      </c>
      <c r="H523" s="1" t="s">
        <v>82</v>
      </c>
      <c r="I523" s="1" t="s">
        <v>293</v>
      </c>
      <c r="J523" s="1" t="s">
        <v>76</v>
      </c>
      <c r="K523" s="1" t="s">
        <v>77</v>
      </c>
      <c r="L523" s="1">
        <v>6</v>
      </c>
      <c r="M523" s="13">
        <v>3566.25</v>
      </c>
      <c r="N523" s="15">
        <v>0.19</v>
      </c>
      <c r="O523" s="13">
        <v>31426.55</v>
      </c>
      <c r="P523" s="13">
        <v>12874.37</v>
      </c>
      <c r="Q523" s="13">
        <v>94.51</v>
      </c>
      <c r="R523" s="1" t="s">
        <v>51</v>
      </c>
      <c r="S523" s="1">
        <v>5</v>
      </c>
      <c r="T523" s="1" t="b">
        <v>0</v>
      </c>
      <c r="U523" s="1" t="s">
        <v>39</v>
      </c>
      <c r="V523" s="3">
        <v>2</v>
      </c>
    </row>
    <row r="524" spans="1:22" x14ac:dyDescent="0.3">
      <c r="A524" s="2" t="s">
        <v>1455</v>
      </c>
      <c r="B524" s="10">
        <v>44256</v>
      </c>
      <c r="C524" s="22">
        <v>44256</v>
      </c>
      <c r="D524" s="1" t="s">
        <v>1456</v>
      </c>
      <c r="E524" s="1" t="s">
        <v>690</v>
      </c>
      <c r="F524" s="1">
        <v>27</v>
      </c>
      <c r="G524" s="1" t="s">
        <v>24</v>
      </c>
      <c r="H524" s="1" t="s">
        <v>111</v>
      </c>
      <c r="I524" s="1" t="s">
        <v>330</v>
      </c>
      <c r="J524" s="1" t="s">
        <v>146</v>
      </c>
      <c r="K524" s="1" t="s">
        <v>217</v>
      </c>
      <c r="L524" s="1">
        <v>1</v>
      </c>
      <c r="M524" s="13">
        <v>10397.719999999999</v>
      </c>
      <c r="N524" s="15">
        <v>0.21</v>
      </c>
      <c r="O524" s="13">
        <v>10108.14</v>
      </c>
      <c r="P524" s="13">
        <v>2948.56</v>
      </c>
      <c r="Q524" s="13">
        <v>88.19</v>
      </c>
      <c r="R524" s="1" t="s">
        <v>57</v>
      </c>
      <c r="S524" s="1">
        <v>1</v>
      </c>
      <c r="T524" s="1" t="b">
        <v>0</v>
      </c>
      <c r="U524" s="1" t="s">
        <v>137</v>
      </c>
      <c r="V524" s="3">
        <v>2</v>
      </c>
    </row>
    <row r="525" spans="1:22" x14ac:dyDescent="0.3">
      <c r="A525" s="2" t="s">
        <v>1457</v>
      </c>
      <c r="B525" s="10">
        <v>44133</v>
      </c>
      <c r="C525" s="22">
        <v>44133</v>
      </c>
      <c r="D525" s="1" t="s">
        <v>1458</v>
      </c>
      <c r="E525" s="1" t="s">
        <v>1459</v>
      </c>
      <c r="F525" s="1">
        <v>34</v>
      </c>
      <c r="G525" s="1" t="s">
        <v>24</v>
      </c>
      <c r="H525" s="1" t="s">
        <v>82</v>
      </c>
      <c r="I525" s="1" t="s">
        <v>126</v>
      </c>
      <c r="J525" s="1" t="s">
        <v>76</v>
      </c>
      <c r="K525" s="1" t="s">
        <v>89</v>
      </c>
      <c r="L525" s="1">
        <v>3</v>
      </c>
      <c r="M525" s="13">
        <v>562.94000000000005</v>
      </c>
      <c r="N525" s="15">
        <v>0.27</v>
      </c>
      <c r="O525" s="13">
        <v>1022.04</v>
      </c>
      <c r="P525" s="13">
        <v>309.8</v>
      </c>
      <c r="Q525" s="13">
        <v>88.97</v>
      </c>
      <c r="R525" s="1" t="s">
        <v>78</v>
      </c>
      <c r="S525" s="1">
        <v>2</v>
      </c>
      <c r="T525" s="1" t="b">
        <v>1</v>
      </c>
      <c r="U525" s="1" t="s">
        <v>30</v>
      </c>
      <c r="V525" s="3">
        <v>1</v>
      </c>
    </row>
    <row r="526" spans="1:22" x14ac:dyDescent="0.3">
      <c r="A526" s="2" t="s">
        <v>1460</v>
      </c>
      <c r="B526" s="10">
        <v>44784</v>
      </c>
      <c r="C526" s="22">
        <v>44784</v>
      </c>
      <c r="D526" s="1" t="s">
        <v>1461</v>
      </c>
      <c r="E526" s="1" t="s">
        <v>1462</v>
      </c>
      <c r="F526" s="1">
        <v>37</v>
      </c>
      <c r="G526" s="1" t="s">
        <v>24</v>
      </c>
      <c r="H526" s="1" t="s">
        <v>74</v>
      </c>
      <c r="I526" s="1" t="s">
        <v>75</v>
      </c>
      <c r="J526" s="1" t="s">
        <v>127</v>
      </c>
      <c r="K526" s="1" t="s">
        <v>196</v>
      </c>
      <c r="L526" s="1">
        <v>9</v>
      </c>
      <c r="M526" s="13">
        <v>54464.82</v>
      </c>
      <c r="N526" s="15">
        <v>0</v>
      </c>
      <c r="O526" s="13">
        <v>647259.03</v>
      </c>
      <c r="P526" s="13">
        <v>89846.44</v>
      </c>
      <c r="Q526" s="13">
        <v>53.63</v>
      </c>
      <c r="R526" s="1" t="s">
        <v>70</v>
      </c>
      <c r="S526" s="1">
        <v>3</v>
      </c>
      <c r="T526" s="1" t="b">
        <v>0</v>
      </c>
      <c r="U526" s="1" t="s">
        <v>39</v>
      </c>
      <c r="V526" s="3">
        <v>4</v>
      </c>
    </row>
    <row r="527" spans="1:22" x14ac:dyDescent="0.3">
      <c r="A527" s="2" t="s">
        <v>1463</v>
      </c>
      <c r="B527" s="10">
        <v>44167</v>
      </c>
      <c r="C527" s="22">
        <v>44167</v>
      </c>
      <c r="D527" s="1" t="s">
        <v>1464</v>
      </c>
      <c r="E527" s="1" t="s">
        <v>381</v>
      </c>
      <c r="F527" s="1">
        <v>21</v>
      </c>
      <c r="G527" s="1" t="s">
        <v>34</v>
      </c>
      <c r="H527" s="1" t="s">
        <v>74</v>
      </c>
      <c r="I527" s="1" t="s">
        <v>75</v>
      </c>
      <c r="J527" s="1" t="s">
        <v>27</v>
      </c>
      <c r="K527" s="1" t="s">
        <v>430</v>
      </c>
      <c r="L527" s="1">
        <v>9</v>
      </c>
      <c r="M527" s="13">
        <v>335.03</v>
      </c>
      <c r="N527" s="15">
        <v>0.34</v>
      </c>
      <c r="O527" s="13">
        <v>1431.69</v>
      </c>
      <c r="P527" s="13">
        <v>93.14</v>
      </c>
      <c r="Q527" s="13">
        <v>59.48</v>
      </c>
      <c r="R527" s="1" t="s">
        <v>57</v>
      </c>
      <c r="S527" s="1">
        <v>4</v>
      </c>
      <c r="T527" s="1" t="b">
        <v>1</v>
      </c>
      <c r="U527" s="1" t="s">
        <v>30</v>
      </c>
      <c r="V527" s="3">
        <v>1</v>
      </c>
    </row>
    <row r="528" spans="1:22" x14ac:dyDescent="0.3">
      <c r="A528" s="2" t="s">
        <v>1465</v>
      </c>
      <c r="B528" s="10">
        <v>45007</v>
      </c>
      <c r="C528" s="22">
        <v>45007</v>
      </c>
      <c r="D528" s="1" t="s">
        <v>1466</v>
      </c>
      <c r="E528" s="1" t="s">
        <v>1091</v>
      </c>
      <c r="F528" s="1">
        <v>29</v>
      </c>
      <c r="G528" s="1" t="s">
        <v>24</v>
      </c>
      <c r="H528" s="1" t="s">
        <v>74</v>
      </c>
      <c r="I528" s="1" t="s">
        <v>192</v>
      </c>
      <c r="J528" s="1" t="s">
        <v>27</v>
      </c>
      <c r="K528" s="1" t="s">
        <v>28</v>
      </c>
      <c r="L528" s="1">
        <v>8</v>
      </c>
      <c r="M528" s="13">
        <v>172.53</v>
      </c>
      <c r="N528" s="15">
        <v>0.22</v>
      </c>
      <c r="O528" s="13">
        <v>1491.46</v>
      </c>
      <c r="P528" s="13">
        <v>177.24</v>
      </c>
      <c r="Q528" s="13">
        <v>47.93</v>
      </c>
      <c r="R528" s="1" t="s">
        <v>70</v>
      </c>
      <c r="S528" s="1">
        <v>3</v>
      </c>
      <c r="T528" s="1" t="b">
        <v>0</v>
      </c>
      <c r="U528" s="1" t="s">
        <v>197</v>
      </c>
      <c r="V528" s="3">
        <v>4</v>
      </c>
    </row>
    <row r="529" spans="1:22" x14ac:dyDescent="0.3">
      <c r="A529" s="2" t="s">
        <v>1467</v>
      </c>
      <c r="B529" s="10">
        <v>45160</v>
      </c>
      <c r="C529" s="22">
        <v>45160</v>
      </c>
      <c r="D529" s="1" t="s">
        <v>1468</v>
      </c>
      <c r="E529" s="1" t="s">
        <v>1266</v>
      </c>
      <c r="F529" s="1">
        <v>24</v>
      </c>
      <c r="G529" s="1" t="s">
        <v>68</v>
      </c>
      <c r="H529" s="1" t="s">
        <v>82</v>
      </c>
      <c r="I529" s="1" t="s">
        <v>83</v>
      </c>
      <c r="J529" s="1" t="s">
        <v>146</v>
      </c>
      <c r="K529" s="1" t="s">
        <v>178</v>
      </c>
      <c r="L529" s="1">
        <v>1</v>
      </c>
      <c r="M529" s="13">
        <v>7788.48</v>
      </c>
      <c r="N529" s="15">
        <v>0.16</v>
      </c>
      <c r="O529" s="13">
        <v>9678.82</v>
      </c>
      <c r="P529" s="13">
        <v>2560.56</v>
      </c>
      <c r="Q529" s="13">
        <v>67.88</v>
      </c>
      <c r="R529" s="1" t="s">
        <v>51</v>
      </c>
      <c r="S529" s="1">
        <v>4</v>
      </c>
      <c r="T529" s="1" t="b">
        <v>0</v>
      </c>
      <c r="U529" s="1" t="s">
        <v>137</v>
      </c>
      <c r="V529" s="3">
        <v>3</v>
      </c>
    </row>
    <row r="530" spans="1:22" x14ac:dyDescent="0.3">
      <c r="A530" s="2" t="s">
        <v>1469</v>
      </c>
      <c r="B530" s="10">
        <v>43867</v>
      </c>
      <c r="C530" s="22">
        <v>43867</v>
      </c>
      <c r="D530" s="1" t="s">
        <v>1470</v>
      </c>
      <c r="E530" s="1" t="s">
        <v>1471</v>
      </c>
      <c r="F530" s="1">
        <v>38</v>
      </c>
      <c r="G530" s="1" t="s">
        <v>68</v>
      </c>
      <c r="H530" s="1" t="s">
        <v>82</v>
      </c>
      <c r="I530" s="1" t="s">
        <v>293</v>
      </c>
      <c r="J530" s="1" t="s">
        <v>37</v>
      </c>
      <c r="K530" s="1" t="s">
        <v>182</v>
      </c>
      <c r="L530" s="1">
        <v>3</v>
      </c>
      <c r="M530" s="13">
        <v>1535.87</v>
      </c>
      <c r="N530" s="15">
        <v>0.04</v>
      </c>
      <c r="O530" s="13">
        <v>3186.03</v>
      </c>
      <c r="P530" s="13">
        <v>1346.8</v>
      </c>
      <c r="Q530" s="13">
        <v>86.51</v>
      </c>
      <c r="R530" s="1" t="s">
        <v>64</v>
      </c>
      <c r="S530" s="1">
        <v>5</v>
      </c>
      <c r="T530" s="1" t="b">
        <v>1</v>
      </c>
      <c r="U530" s="1" t="s">
        <v>30</v>
      </c>
      <c r="V530" s="3">
        <v>7</v>
      </c>
    </row>
    <row r="531" spans="1:22" x14ac:dyDescent="0.3">
      <c r="A531" s="2" t="s">
        <v>1472</v>
      </c>
      <c r="B531" s="10">
        <v>45071</v>
      </c>
      <c r="C531" s="22">
        <v>45071</v>
      </c>
      <c r="D531" s="1" t="s">
        <v>1473</v>
      </c>
      <c r="E531" s="1" t="s">
        <v>657</v>
      </c>
      <c r="F531" s="1">
        <v>31</v>
      </c>
      <c r="G531" s="1" t="s">
        <v>434</v>
      </c>
      <c r="H531" s="1" t="s">
        <v>35</v>
      </c>
      <c r="I531" s="1" t="s">
        <v>49</v>
      </c>
      <c r="J531" s="1" t="s">
        <v>27</v>
      </c>
      <c r="K531" s="1" t="s">
        <v>450</v>
      </c>
      <c r="L531" s="1">
        <v>8</v>
      </c>
      <c r="M531" s="13">
        <v>399.28</v>
      </c>
      <c r="N531" s="15">
        <v>0.11</v>
      </c>
      <c r="O531" s="13">
        <v>5100.96</v>
      </c>
      <c r="P531" s="13">
        <v>406.96</v>
      </c>
      <c r="Q531" s="13">
        <v>62.93</v>
      </c>
      <c r="R531" s="1" t="s">
        <v>64</v>
      </c>
      <c r="S531" s="1">
        <v>4</v>
      </c>
      <c r="T531" s="1" t="b">
        <v>0</v>
      </c>
      <c r="U531" s="1" t="s">
        <v>137</v>
      </c>
      <c r="V531" s="3">
        <v>2</v>
      </c>
    </row>
    <row r="532" spans="1:22" x14ac:dyDescent="0.3">
      <c r="A532" s="2" t="s">
        <v>1474</v>
      </c>
      <c r="B532" s="10">
        <v>44920</v>
      </c>
      <c r="C532" s="22">
        <v>44920</v>
      </c>
      <c r="D532" s="1" t="s">
        <v>1475</v>
      </c>
      <c r="E532" s="1" t="s">
        <v>1476</v>
      </c>
      <c r="F532" s="1">
        <v>-5</v>
      </c>
      <c r="G532" s="1" t="s">
        <v>34</v>
      </c>
      <c r="H532" s="1" t="s">
        <v>111</v>
      </c>
      <c r="I532" s="1" t="s">
        <v>330</v>
      </c>
      <c r="J532" s="1" t="s">
        <v>27</v>
      </c>
      <c r="K532" s="1" t="s">
        <v>400</v>
      </c>
      <c r="L532" s="1">
        <v>7</v>
      </c>
      <c r="M532" s="13">
        <v>89.81</v>
      </c>
      <c r="N532" s="15">
        <v>0.34</v>
      </c>
      <c r="O532" s="13">
        <v>325.22000000000003</v>
      </c>
      <c r="P532" s="13">
        <v>31.2</v>
      </c>
      <c r="Q532" s="13">
        <v>64.12</v>
      </c>
      <c r="R532" s="1" t="s">
        <v>51</v>
      </c>
      <c r="S532" s="1">
        <v>3</v>
      </c>
      <c r="T532" s="1" t="b">
        <v>0</v>
      </c>
      <c r="U532" s="1" t="s">
        <v>39</v>
      </c>
      <c r="V532" s="3">
        <v>5</v>
      </c>
    </row>
    <row r="533" spans="1:22" x14ac:dyDescent="0.3">
      <c r="A533" s="2" t="s">
        <v>1477</v>
      </c>
      <c r="B533" s="10">
        <v>44313</v>
      </c>
      <c r="C533" s="22">
        <v>44313</v>
      </c>
      <c r="D533" s="1" t="s">
        <v>1478</v>
      </c>
      <c r="E533" s="1" t="s">
        <v>1324</v>
      </c>
      <c r="F533" s="1">
        <v>35</v>
      </c>
      <c r="G533" s="1" t="s">
        <v>34</v>
      </c>
      <c r="H533" s="1" t="s">
        <v>74</v>
      </c>
      <c r="I533" s="1" t="s">
        <v>136</v>
      </c>
      <c r="J533" s="1" t="s">
        <v>146</v>
      </c>
      <c r="K533" s="1" t="s">
        <v>217</v>
      </c>
      <c r="L533" s="1">
        <v>6</v>
      </c>
      <c r="M533" s="13">
        <v>7246.81</v>
      </c>
      <c r="N533" s="15">
        <v>0.21</v>
      </c>
      <c r="O533" s="13">
        <v>51448.04</v>
      </c>
      <c r="P533" s="13">
        <v>9498.99</v>
      </c>
      <c r="Q533" s="13">
        <v>40.22</v>
      </c>
      <c r="R533" s="1" t="s">
        <v>64</v>
      </c>
      <c r="S533" s="1">
        <v>4</v>
      </c>
      <c r="T533" s="1" t="b">
        <v>0</v>
      </c>
      <c r="U533" s="1" t="s">
        <v>39</v>
      </c>
      <c r="V533" s="3">
        <v>10</v>
      </c>
    </row>
    <row r="534" spans="1:22" x14ac:dyDescent="0.3">
      <c r="A534" s="2" t="s">
        <v>1479</v>
      </c>
      <c r="B534" s="10">
        <v>45461</v>
      </c>
      <c r="C534" s="22">
        <v>45461</v>
      </c>
      <c r="D534" s="1" t="s">
        <v>1480</v>
      </c>
      <c r="E534" s="1" t="s">
        <v>426</v>
      </c>
      <c r="F534" s="1">
        <v>27</v>
      </c>
      <c r="G534" s="1" t="s">
        <v>24</v>
      </c>
      <c r="H534" s="1" t="s">
        <v>25</v>
      </c>
      <c r="I534" s="1" t="s">
        <v>69</v>
      </c>
      <c r="J534" s="1" t="s">
        <v>27</v>
      </c>
      <c r="K534" s="1" t="s">
        <v>56</v>
      </c>
      <c r="L534" s="1">
        <v>5</v>
      </c>
      <c r="M534" s="13">
        <v>167.05</v>
      </c>
      <c r="N534" s="15">
        <v>0.13</v>
      </c>
      <c r="O534" s="13">
        <v>268.86</v>
      </c>
      <c r="P534" s="13">
        <v>21.3</v>
      </c>
      <c r="Q534" s="13">
        <v>51.15</v>
      </c>
      <c r="R534" s="1" t="s">
        <v>57</v>
      </c>
      <c r="S534" s="1">
        <v>5</v>
      </c>
      <c r="T534" s="1" t="b">
        <v>0</v>
      </c>
      <c r="U534" s="1" t="s">
        <v>39</v>
      </c>
      <c r="V534" s="3">
        <v>10</v>
      </c>
    </row>
    <row r="535" spans="1:22" x14ac:dyDescent="0.3">
      <c r="A535" s="2" t="s">
        <v>1481</v>
      </c>
      <c r="B535" s="10">
        <v>45151</v>
      </c>
      <c r="C535" s="22">
        <v>45151</v>
      </c>
      <c r="D535" s="1" t="s">
        <v>1482</v>
      </c>
      <c r="E535" s="1" t="s">
        <v>237</v>
      </c>
      <c r="F535" s="1">
        <v>30</v>
      </c>
      <c r="G535" s="1" t="s">
        <v>68</v>
      </c>
      <c r="H535" s="1" t="s">
        <v>25</v>
      </c>
      <c r="I535" s="1" t="s">
        <v>55</v>
      </c>
      <c r="J535" s="1" t="s">
        <v>44</v>
      </c>
      <c r="K535" s="1" t="s">
        <v>221</v>
      </c>
      <c r="L535" s="1">
        <v>10</v>
      </c>
      <c r="M535" s="13">
        <v>5902.83</v>
      </c>
      <c r="N535" s="15">
        <v>0.26</v>
      </c>
      <c r="O535" s="13">
        <v>61642.35</v>
      </c>
      <c r="P535" s="13">
        <v>21436.01</v>
      </c>
      <c r="Q535" s="13">
        <v>63.39</v>
      </c>
      <c r="R535" s="1" t="s">
        <v>70</v>
      </c>
      <c r="S535" s="1">
        <v>3</v>
      </c>
      <c r="T535" s="1" t="b">
        <v>0</v>
      </c>
      <c r="U535" s="1" t="s">
        <v>39</v>
      </c>
      <c r="V535" s="3">
        <v>7</v>
      </c>
    </row>
    <row r="536" spans="1:22" x14ac:dyDescent="0.3">
      <c r="A536" s="2" t="s">
        <v>1483</v>
      </c>
      <c r="B536" s="10">
        <v>45203</v>
      </c>
      <c r="C536" s="22">
        <v>45203</v>
      </c>
      <c r="D536" s="1" t="s">
        <v>1484</v>
      </c>
      <c r="E536" s="1" t="s">
        <v>1266</v>
      </c>
      <c r="F536" s="1">
        <v>21</v>
      </c>
      <c r="G536" s="1" t="s">
        <v>68</v>
      </c>
      <c r="H536" s="1" t="s">
        <v>25</v>
      </c>
      <c r="I536" s="1" t="s">
        <v>170</v>
      </c>
      <c r="J536" s="1" t="s">
        <v>62</v>
      </c>
      <c r="K536" s="1" t="s">
        <v>107</v>
      </c>
      <c r="L536" s="1">
        <v>9</v>
      </c>
      <c r="M536" s="13">
        <v>641.84</v>
      </c>
      <c r="N536" s="15">
        <v>0.21</v>
      </c>
      <c r="O536" s="13">
        <v>5619.07</v>
      </c>
      <c r="P536" s="13">
        <v>2471.08</v>
      </c>
      <c r="Q536" s="13">
        <v>20.79</v>
      </c>
      <c r="R536" s="1" t="s">
        <v>64</v>
      </c>
      <c r="S536" s="1">
        <v>1</v>
      </c>
      <c r="T536" s="1" t="b">
        <v>0</v>
      </c>
      <c r="U536" s="1" t="s">
        <v>39</v>
      </c>
      <c r="V536" s="3">
        <v>5</v>
      </c>
    </row>
    <row r="537" spans="1:22" x14ac:dyDescent="0.3">
      <c r="A537" s="2" t="s">
        <v>1485</v>
      </c>
      <c r="B537" s="10">
        <v>45531</v>
      </c>
      <c r="C537" s="22">
        <v>45531</v>
      </c>
      <c r="D537" s="1" t="s">
        <v>1486</v>
      </c>
      <c r="E537" s="1" t="s">
        <v>1327</v>
      </c>
      <c r="F537" s="1">
        <v>29</v>
      </c>
      <c r="G537" s="1" t="s">
        <v>34</v>
      </c>
      <c r="H537" s="1" t="s">
        <v>111</v>
      </c>
      <c r="I537" s="1" t="s">
        <v>330</v>
      </c>
      <c r="J537" s="1" t="s">
        <v>146</v>
      </c>
      <c r="K537" s="1" t="s">
        <v>484</v>
      </c>
      <c r="L537" s="1">
        <v>9</v>
      </c>
      <c r="M537" s="13">
        <v>4499.21</v>
      </c>
      <c r="N537" s="15">
        <v>0.06</v>
      </c>
      <c r="O537" s="13">
        <v>57299.76</v>
      </c>
      <c r="P537" s="13">
        <v>12249.26</v>
      </c>
      <c r="Q537" s="13">
        <v>66.59</v>
      </c>
      <c r="R537" s="1" t="s">
        <v>57</v>
      </c>
      <c r="S537" s="1">
        <v>2</v>
      </c>
      <c r="T537" s="1" t="b">
        <v>0</v>
      </c>
      <c r="U537" s="1" t="s">
        <v>39</v>
      </c>
      <c r="V537" s="3">
        <v>4</v>
      </c>
    </row>
    <row r="538" spans="1:22" x14ac:dyDescent="0.3">
      <c r="A538" s="2" t="s">
        <v>1487</v>
      </c>
      <c r="B538" s="10">
        <v>43920</v>
      </c>
      <c r="C538" s="22">
        <v>43920</v>
      </c>
      <c r="D538" s="1" t="s">
        <v>1488</v>
      </c>
      <c r="E538" s="1" t="s">
        <v>1489</v>
      </c>
      <c r="F538" s="1">
        <v>27</v>
      </c>
      <c r="G538" s="1" t="s">
        <v>24</v>
      </c>
      <c r="H538" s="1" t="s">
        <v>35</v>
      </c>
      <c r="I538" s="1" t="s">
        <v>36</v>
      </c>
      <c r="J538" s="1" t="s">
        <v>37</v>
      </c>
      <c r="K538" s="1" t="s">
        <v>231</v>
      </c>
      <c r="L538" s="1">
        <v>4</v>
      </c>
      <c r="M538" s="13">
        <v>2430.1</v>
      </c>
      <c r="N538" s="15">
        <v>0.03</v>
      </c>
      <c r="O538" s="13">
        <v>8709.27</v>
      </c>
      <c r="P538" s="13">
        <v>5472.38</v>
      </c>
      <c r="Q538" s="13">
        <v>60.42</v>
      </c>
      <c r="R538" s="1" t="s">
        <v>29</v>
      </c>
      <c r="S538" s="1">
        <v>5</v>
      </c>
      <c r="T538" s="1" t="b">
        <v>0</v>
      </c>
      <c r="U538" s="1" t="s">
        <v>39</v>
      </c>
      <c r="V538" s="3">
        <v>1</v>
      </c>
    </row>
    <row r="539" spans="1:22" x14ac:dyDescent="0.3">
      <c r="A539" s="2" t="s">
        <v>1490</v>
      </c>
      <c r="B539" s="10">
        <v>44091</v>
      </c>
      <c r="C539" s="22">
        <v>44091</v>
      </c>
      <c r="D539" s="1" t="s">
        <v>1491</v>
      </c>
      <c r="E539" s="1" t="s">
        <v>1492</v>
      </c>
      <c r="F539" s="1">
        <v>31</v>
      </c>
      <c r="G539" s="1" t="s">
        <v>24</v>
      </c>
      <c r="H539" s="1" t="s">
        <v>111</v>
      </c>
      <c r="I539" s="1" t="s">
        <v>121</v>
      </c>
      <c r="J539" s="1" t="s">
        <v>62</v>
      </c>
      <c r="K539" s="1" t="s">
        <v>107</v>
      </c>
      <c r="L539" s="1">
        <v>1</v>
      </c>
      <c r="M539" s="13">
        <v>587.49</v>
      </c>
      <c r="N539" s="15">
        <v>0.09</v>
      </c>
      <c r="O539" s="13">
        <v>560.42999999999995</v>
      </c>
      <c r="P539" s="13">
        <v>178.2</v>
      </c>
      <c r="Q539" s="13">
        <v>82.7</v>
      </c>
      <c r="R539" s="1" t="s">
        <v>29</v>
      </c>
      <c r="S539" s="1">
        <v>3</v>
      </c>
      <c r="T539" s="1" t="b">
        <v>0</v>
      </c>
      <c r="U539" s="1" t="s">
        <v>39</v>
      </c>
      <c r="V539" s="3">
        <v>6</v>
      </c>
    </row>
    <row r="540" spans="1:22" x14ac:dyDescent="0.3">
      <c r="A540" s="2" t="s">
        <v>1493</v>
      </c>
      <c r="B540" s="10">
        <v>44084</v>
      </c>
      <c r="C540" s="22">
        <v>44084</v>
      </c>
      <c r="D540" s="1" t="s">
        <v>1494</v>
      </c>
      <c r="E540" s="1" t="s">
        <v>1495</v>
      </c>
      <c r="F540" s="1">
        <v>16</v>
      </c>
      <c r="G540" s="1" t="s">
        <v>24</v>
      </c>
      <c r="H540" s="1" t="s">
        <v>25</v>
      </c>
      <c r="I540" s="1" t="s">
        <v>26</v>
      </c>
      <c r="J540" s="1" t="s">
        <v>62</v>
      </c>
      <c r="K540" s="1" t="s">
        <v>570</v>
      </c>
      <c r="L540" s="1">
        <v>1</v>
      </c>
      <c r="M540" s="13">
        <v>565.12</v>
      </c>
      <c r="N540" s="15">
        <v>0.08</v>
      </c>
      <c r="O540" s="13">
        <v>539.57000000000005</v>
      </c>
      <c r="P540" s="13">
        <v>249.41</v>
      </c>
      <c r="Q540" s="13">
        <v>49.52</v>
      </c>
      <c r="R540" s="1" t="s">
        <v>78</v>
      </c>
      <c r="S540" s="1">
        <v>4</v>
      </c>
      <c r="T540" s="1" t="b">
        <v>0</v>
      </c>
      <c r="U540" s="1" t="s">
        <v>39</v>
      </c>
      <c r="V540" s="3">
        <v>4</v>
      </c>
    </row>
    <row r="541" spans="1:22" x14ac:dyDescent="0.3">
      <c r="A541" s="2" t="s">
        <v>1496</v>
      </c>
      <c r="B541" s="10">
        <v>44822</v>
      </c>
      <c r="C541" s="22">
        <v>44822</v>
      </c>
      <c r="D541" s="1" t="s">
        <v>1497</v>
      </c>
      <c r="E541" s="1" t="s">
        <v>341</v>
      </c>
      <c r="F541" s="1">
        <v>45</v>
      </c>
      <c r="G541" s="1" t="s">
        <v>68</v>
      </c>
      <c r="H541" s="1" t="s">
        <v>74</v>
      </c>
      <c r="I541" s="1" t="s">
        <v>75</v>
      </c>
      <c r="J541" s="1" t="s">
        <v>37</v>
      </c>
      <c r="K541" s="1" t="s">
        <v>454</v>
      </c>
      <c r="L541" s="1">
        <v>9</v>
      </c>
      <c r="M541" s="13">
        <v>2226.0700000000002</v>
      </c>
      <c r="N541" s="15">
        <v>0.16</v>
      </c>
      <c r="O541" s="13">
        <v>18524.57</v>
      </c>
      <c r="P541" s="13">
        <v>7612.81</v>
      </c>
      <c r="Q541" s="13">
        <v>50.45</v>
      </c>
      <c r="R541" s="1" t="s">
        <v>51</v>
      </c>
      <c r="S541" s="1">
        <v>4</v>
      </c>
      <c r="T541" s="1" t="b">
        <v>0</v>
      </c>
      <c r="U541" s="1" t="s">
        <v>39</v>
      </c>
      <c r="V541" s="3">
        <v>2</v>
      </c>
    </row>
    <row r="542" spans="1:22" x14ac:dyDescent="0.3">
      <c r="A542" s="2" t="s">
        <v>1498</v>
      </c>
      <c r="B542" s="10">
        <v>45033</v>
      </c>
      <c r="C542" s="22">
        <v>45033</v>
      </c>
      <c r="D542" s="1" t="s">
        <v>1499</v>
      </c>
      <c r="E542" s="1" t="s">
        <v>487</v>
      </c>
      <c r="F542" s="1">
        <v>33</v>
      </c>
      <c r="G542" s="1" t="s">
        <v>68</v>
      </c>
      <c r="H542" s="1" t="s">
        <v>74</v>
      </c>
      <c r="I542" s="1" t="s">
        <v>192</v>
      </c>
      <c r="J542" s="1" t="s">
        <v>37</v>
      </c>
      <c r="K542" s="1" t="s">
        <v>231</v>
      </c>
      <c r="L542" s="1">
        <v>6</v>
      </c>
      <c r="M542" s="13">
        <v>438.59</v>
      </c>
      <c r="N542" s="15">
        <v>0.26</v>
      </c>
      <c r="O542" s="13">
        <v>2826.56</v>
      </c>
      <c r="P542" s="13">
        <v>1014.02</v>
      </c>
      <c r="Q542" s="13">
        <v>64.81</v>
      </c>
      <c r="R542" s="1" t="s">
        <v>57</v>
      </c>
      <c r="S542" s="1">
        <v>3</v>
      </c>
      <c r="T542" s="1" t="b">
        <v>1</v>
      </c>
      <c r="U542" s="1" t="s">
        <v>30</v>
      </c>
      <c r="V542" s="3">
        <v>9</v>
      </c>
    </row>
    <row r="543" spans="1:22" x14ac:dyDescent="0.3">
      <c r="A543" s="2" t="s">
        <v>1500</v>
      </c>
      <c r="B543" s="10">
        <v>44692</v>
      </c>
      <c r="C543" s="22">
        <v>44692</v>
      </c>
      <c r="D543" s="1" t="s">
        <v>1501</v>
      </c>
      <c r="E543" s="1" t="s">
        <v>116</v>
      </c>
      <c r="F543" s="1">
        <v>20</v>
      </c>
      <c r="G543" s="1" t="s">
        <v>68</v>
      </c>
      <c r="H543" s="1" t="s">
        <v>111</v>
      </c>
      <c r="I543" s="1" t="s">
        <v>141</v>
      </c>
      <c r="J543" s="1" t="s">
        <v>37</v>
      </c>
      <c r="K543" s="1" t="s">
        <v>231</v>
      </c>
      <c r="L543" s="1">
        <v>6</v>
      </c>
      <c r="M543" s="13">
        <v>2429.19</v>
      </c>
      <c r="N543" s="15">
        <v>0.34</v>
      </c>
      <c r="O543" s="13">
        <v>14916.43</v>
      </c>
      <c r="P543" s="13">
        <v>8055.68</v>
      </c>
      <c r="Q543" s="13">
        <v>40.450000000000003</v>
      </c>
      <c r="R543" s="1" t="s">
        <v>78</v>
      </c>
      <c r="S543" s="1">
        <v>2</v>
      </c>
      <c r="T543" s="1" t="b">
        <v>0</v>
      </c>
      <c r="U543" s="1" t="s">
        <v>39</v>
      </c>
      <c r="V543" s="3">
        <v>10</v>
      </c>
    </row>
    <row r="544" spans="1:22" x14ac:dyDescent="0.3">
      <c r="A544" s="2" t="s">
        <v>1502</v>
      </c>
      <c r="B544" s="10">
        <v>44514</v>
      </c>
      <c r="C544" s="22">
        <v>44514</v>
      </c>
      <c r="D544" s="1" t="s">
        <v>1503</v>
      </c>
      <c r="E544" s="1" t="s">
        <v>131</v>
      </c>
      <c r="F544" s="1">
        <v>24</v>
      </c>
      <c r="G544" s="1" t="s">
        <v>24</v>
      </c>
      <c r="H544" s="1" t="s">
        <v>111</v>
      </c>
      <c r="I544" s="1" t="s">
        <v>112</v>
      </c>
      <c r="J544" s="1" t="s">
        <v>127</v>
      </c>
      <c r="K544" s="1" t="s">
        <v>517</v>
      </c>
      <c r="L544" s="1">
        <v>7</v>
      </c>
      <c r="M544" s="13">
        <v>19882.939999999999</v>
      </c>
      <c r="N544" s="15">
        <v>0.28999999999999998</v>
      </c>
      <c r="O544" s="13">
        <v>79433.81</v>
      </c>
      <c r="P544" s="13">
        <v>8287.36</v>
      </c>
      <c r="Q544" s="13">
        <v>61</v>
      </c>
      <c r="R544" s="1" t="s">
        <v>51</v>
      </c>
      <c r="S544" s="1">
        <v>1</v>
      </c>
      <c r="T544" s="1" t="b">
        <v>0</v>
      </c>
      <c r="U544" s="1" t="s">
        <v>137</v>
      </c>
      <c r="V544" s="3">
        <v>3</v>
      </c>
    </row>
    <row r="545" spans="1:22" x14ac:dyDescent="0.3">
      <c r="A545" s="2" t="s">
        <v>1504</v>
      </c>
      <c r="B545" s="10">
        <v>44473</v>
      </c>
      <c r="C545" s="22">
        <v>44473</v>
      </c>
      <c r="D545" s="1" t="s">
        <v>1505</v>
      </c>
      <c r="E545" s="1" t="s">
        <v>160</v>
      </c>
      <c r="F545" s="1">
        <v>34</v>
      </c>
      <c r="G545" s="1" t="s">
        <v>34</v>
      </c>
      <c r="H545" s="1" t="s">
        <v>74</v>
      </c>
      <c r="I545" s="1" t="s">
        <v>101</v>
      </c>
      <c r="J545" s="1" t="s">
        <v>146</v>
      </c>
      <c r="K545" s="1" t="s">
        <v>276</v>
      </c>
      <c r="L545" s="1">
        <v>4</v>
      </c>
      <c r="M545" s="13">
        <v>13459.01</v>
      </c>
      <c r="N545" s="15">
        <v>0.32</v>
      </c>
      <c r="O545" s="13">
        <v>39215.89</v>
      </c>
      <c r="P545" s="13">
        <v>10601.74</v>
      </c>
      <c r="Q545" s="13">
        <v>48.42</v>
      </c>
      <c r="R545" s="1" t="s">
        <v>70</v>
      </c>
      <c r="S545" s="1">
        <v>2</v>
      </c>
      <c r="T545" s="1" t="b">
        <v>0</v>
      </c>
      <c r="U545" s="1" t="s">
        <v>39</v>
      </c>
      <c r="V545" s="3">
        <v>6</v>
      </c>
    </row>
    <row r="546" spans="1:22" x14ac:dyDescent="0.3">
      <c r="A546" s="2" t="s">
        <v>1506</v>
      </c>
      <c r="B546" s="10">
        <v>45071</v>
      </c>
      <c r="C546" s="22">
        <v>45071</v>
      </c>
      <c r="D546" s="1" t="s">
        <v>1507</v>
      </c>
      <c r="E546" s="1" t="s">
        <v>743</v>
      </c>
      <c r="F546" s="1">
        <v>35</v>
      </c>
      <c r="G546" s="1" t="s">
        <v>34</v>
      </c>
      <c r="H546" s="1" t="s">
        <v>111</v>
      </c>
      <c r="I546" s="1" t="s">
        <v>112</v>
      </c>
      <c r="J546" s="1" t="s">
        <v>44</v>
      </c>
      <c r="K546" s="1" t="s">
        <v>93</v>
      </c>
      <c r="L546" s="1">
        <v>10</v>
      </c>
      <c r="M546" s="13">
        <v>31142.23</v>
      </c>
      <c r="N546" s="15">
        <v>0.12</v>
      </c>
      <c r="O546" s="13">
        <v>475250.99</v>
      </c>
      <c r="P546" s="13">
        <v>133297.06</v>
      </c>
      <c r="Q546" s="13">
        <v>90.65</v>
      </c>
      <c r="R546" s="1" t="s">
        <v>78</v>
      </c>
      <c r="S546" s="1">
        <v>4</v>
      </c>
      <c r="T546" s="1" t="b">
        <v>0</v>
      </c>
      <c r="U546" s="1" t="s">
        <v>84</v>
      </c>
      <c r="V546" s="3">
        <v>1</v>
      </c>
    </row>
    <row r="547" spans="1:22" x14ac:dyDescent="0.3">
      <c r="A547" s="2" t="s">
        <v>1508</v>
      </c>
      <c r="B547" s="10">
        <v>44108</v>
      </c>
      <c r="C547" s="22">
        <v>44108</v>
      </c>
      <c r="D547" s="1" t="s">
        <v>1509</v>
      </c>
      <c r="E547" s="1" t="s">
        <v>1510</v>
      </c>
      <c r="F547" s="1">
        <v>36</v>
      </c>
      <c r="G547" s="1" t="s">
        <v>391</v>
      </c>
      <c r="H547" s="1" t="s">
        <v>25</v>
      </c>
      <c r="I547" s="1" t="s">
        <v>26</v>
      </c>
      <c r="J547" s="1" t="s">
        <v>44</v>
      </c>
      <c r="K547" s="1" t="s">
        <v>93</v>
      </c>
      <c r="L547" s="1">
        <v>5</v>
      </c>
      <c r="M547" s="13">
        <v>11291.76</v>
      </c>
      <c r="N547" s="15">
        <v>0.4</v>
      </c>
      <c r="O547" s="13">
        <v>21297.23</v>
      </c>
      <c r="P547" s="13">
        <v>5332.78</v>
      </c>
      <c r="Q547" s="13">
        <v>40.67</v>
      </c>
      <c r="R547" s="1" t="s">
        <v>70</v>
      </c>
      <c r="S547" s="1">
        <v>4</v>
      </c>
      <c r="T547" s="1" t="b">
        <v>0</v>
      </c>
      <c r="U547" s="1" t="s">
        <v>137</v>
      </c>
      <c r="V547" s="3">
        <v>3</v>
      </c>
    </row>
    <row r="548" spans="1:22" x14ac:dyDescent="0.3">
      <c r="A548" s="2" t="s">
        <v>1511</v>
      </c>
      <c r="B548" s="10">
        <v>44814</v>
      </c>
      <c r="C548" s="22">
        <v>44814</v>
      </c>
      <c r="D548" s="1" t="s">
        <v>1512</v>
      </c>
      <c r="E548" s="1" t="s">
        <v>96</v>
      </c>
      <c r="F548" s="1">
        <v>34</v>
      </c>
      <c r="G548" s="1" t="s">
        <v>34</v>
      </c>
      <c r="H548" s="1" t="s">
        <v>82</v>
      </c>
      <c r="I548" s="1" t="s">
        <v>293</v>
      </c>
      <c r="J548" s="1" t="s">
        <v>146</v>
      </c>
      <c r="K548" s="1" t="s">
        <v>161</v>
      </c>
      <c r="L548" s="1">
        <v>5</v>
      </c>
      <c r="M548" s="13">
        <v>541.85</v>
      </c>
      <c r="N548" s="15">
        <v>0.04</v>
      </c>
      <c r="O548" s="13">
        <v>618.29</v>
      </c>
      <c r="P548" s="13">
        <v>107.23</v>
      </c>
      <c r="Q548" s="13">
        <v>87.16</v>
      </c>
      <c r="R548" s="1" t="s">
        <v>78</v>
      </c>
      <c r="S548" s="1">
        <v>2</v>
      </c>
      <c r="T548" s="1" t="b">
        <v>0</v>
      </c>
      <c r="U548" s="1" t="s">
        <v>39</v>
      </c>
      <c r="V548" s="3">
        <v>1</v>
      </c>
    </row>
    <row r="549" spans="1:22" x14ac:dyDescent="0.3">
      <c r="A549" s="2" t="s">
        <v>1513</v>
      </c>
      <c r="B549" s="10">
        <v>45323</v>
      </c>
      <c r="C549" s="22">
        <v>45323</v>
      </c>
      <c r="D549" s="1" t="s">
        <v>1514</v>
      </c>
      <c r="E549" s="1" t="s">
        <v>195</v>
      </c>
      <c r="F549" s="1">
        <v>21</v>
      </c>
      <c r="G549" s="1" t="s">
        <v>68</v>
      </c>
      <c r="H549" s="1" t="s">
        <v>111</v>
      </c>
      <c r="I549" s="1" t="s">
        <v>330</v>
      </c>
      <c r="J549" s="1" t="s">
        <v>127</v>
      </c>
      <c r="K549" s="1" t="s">
        <v>308</v>
      </c>
      <c r="L549" s="1">
        <v>6</v>
      </c>
      <c r="M549" s="13">
        <v>71178.539999999994</v>
      </c>
      <c r="N549" s="15">
        <v>0.11</v>
      </c>
      <c r="O549" s="13">
        <v>482509.98</v>
      </c>
      <c r="P549" s="13">
        <v>50570.5</v>
      </c>
      <c r="Q549" s="13">
        <v>74.900000000000006</v>
      </c>
      <c r="R549" s="1" t="s">
        <v>78</v>
      </c>
      <c r="S549" s="1">
        <v>3</v>
      </c>
      <c r="T549" s="1" t="b">
        <v>0</v>
      </c>
      <c r="U549" s="1" t="s">
        <v>39</v>
      </c>
      <c r="V549" s="3">
        <v>2</v>
      </c>
    </row>
    <row r="550" spans="1:22" x14ac:dyDescent="0.3">
      <c r="A550" s="2" t="s">
        <v>1515</v>
      </c>
      <c r="B550" s="10">
        <v>44584</v>
      </c>
      <c r="C550" s="22">
        <v>44584</v>
      </c>
      <c r="D550" s="1" t="s">
        <v>1516</v>
      </c>
      <c r="E550" s="1" t="s">
        <v>275</v>
      </c>
      <c r="F550" s="1">
        <v>42</v>
      </c>
      <c r="G550" s="1" t="s">
        <v>24</v>
      </c>
      <c r="H550" s="1" t="s">
        <v>82</v>
      </c>
      <c r="I550" s="1" t="s">
        <v>126</v>
      </c>
      <c r="J550" s="1" t="s">
        <v>62</v>
      </c>
      <c r="K550" s="1" t="s">
        <v>63</v>
      </c>
      <c r="L550" s="1">
        <v>1</v>
      </c>
      <c r="M550" s="13">
        <v>293.64999999999998</v>
      </c>
      <c r="N550" s="15">
        <v>0.21</v>
      </c>
      <c r="O550" s="13">
        <v>216.04</v>
      </c>
      <c r="P550" s="13">
        <v>87.2</v>
      </c>
      <c r="Q550" s="13">
        <v>77.91</v>
      </c>
      <c r="R550" s="1" t="s">
        <v>70</v>
      </c>
      <c r="S550" s="1">
        <v>3</v>
      </c>
      <c r="T550" s="1" t="b">
        <v>0</v>
      </c>
      <c r="U550" s="1" t="s">
        <v>137</v>
      </c>
      <c r="V550" s="3">
        <v>3</v>
      </c>
    </row>
    <row r="551" spans="1:22" x14ac:dyDescent="0.3">
      <c r="A551" s="2" t="s">
        <v>1517</v>
      </c>
      <c r="B551" s="10">
        <v>44345</v>
      </c>
      <c r="C551" s="22">
        <v>44345</v>
      </c>
      <c r="D551" s="1" t="s">
        <v>1518</v>
      </c>
      <c r="E551" s="1" t="s">
        <v>1519</v>
      </c>
      <c r="F551" s="1">
        <v>37</v>
      </c>
      <c r="G551" s="1" t="s">
        <v>24</v>
      </c>
      <c r="H551" s="1" t="s">
        <v>35</v>
      </c>
      <c r="I551" s="1" t="s">
        <v>106</v>
      </c>
      <c r="J551" s="1" t="s">
        <v>76</v>
      </c>
      <c r="K551" s="1" t="s">
        <v>77</v>
      </c>
      <c r="L551" s="1">
        <v>5</v>
      </c>
      <c r="M551" s="13">
        <v>3466.72</v>
      </c>
      <c r="N551" s="15">
        <v>0.15</v>
      </c>
      <c r="O551" s="13">
        <v>22647.02</v>
      </c>
      <c r="P551" s="13">
        <v>8403.2999999999993</v>
      </c>
      <c r="Q551" s="13">
        <v>47.97</v>
      </c>
      <c r="R551" s="1" t="s">
        <v>57</v>
      </c>
      <c r="S551" s="1">
        <v>3</v>
      </c>
      <c r="T551" s="1" t="b">
        <v>0</v>
      </c>
      <c r="U551" s="1" t="s">
        <v>58</v>
      </c>
      <c r="V551" s="3">
        <v>8</v>
      </c>
    </row>
    <row r="552" spans="1:22" x14ac:dyDescent="0.3">
      <c r="A552" s="2" t="s">
        <v>1520</v>
      </c>
      <c r="B552" s="10">
        <v>44801</v>
      </c>
      <c r="C552" s="22">
        <v>44801</v>
      </c>
      <c r="D552" s="1" t="s">
        <v>1521</v>
      </c>
      <c r="E552" s="1" t="s">
        <v>897</v>
      </c>
      <c r="F552" s="1">
        <v>15</v>
      </c>
      <c r="G552" s="1" t="s">
        <v>34</v>
      </c>
      <c r="H552" s="1" t="s">
        <v>82</v>
      </c>
      <c r="I552" s="1" t="s">
        <v>126</v>
      </c>
      <c r="J552" s="1" t="s">
        <v>146</v>
      </c>
      <c r="K552" s="1" t="s">
        <v>147</v>
      </c>
      <c r="L552" s="1">
        <v>1</v>
      </c>
      <c r="M552" s="13">
        <v>8591.44</v>
      </c>
      <c r="N552" s="15">
        <v>0.03</v>
      </c>
      <c r="O552" s="13">
        <v>11764.77</v>
      </c>
      <c r="P552" s="13">
        <v>2988.26</v>
      </c>
      <c r="Q552" s="13">
        <v>69.66</v>
      </c>
      <c r="R552" s="1" t="s">
        <v>78</v>
      </c>
      <c r="S552" s="1">
        <v>3</v>
      </c>
      <c r="T552" s="1" t="b">
        <v>0</v>
      </c>
      <c r="U552" s="1" t="s">
        <v>197</v>
      </c>
      <c r="V552" s="3">
        <v>8</v>
      </c>
    </row>
    <row r="553" spans="1:22" x14ac:dyDescent="0.3">
      <c r="A553" s="2" t="s">
        <v>1522</v>
      </c>
      <c r="B553" s="10">
        <v>44304</v>
      </c>
      <c r="C553" s="22">
        <v>44304</v>
      </c>
      <c r="D553" s="1" t="s">
        <v>1523</v>
      </c>
      <c r="E553" s="1" t="s">
        <v>1119</v>
      </c>
      <c r="F553" s="1">
        <v>31</v>
      </c>
      <c r="G553" s="1" t="s">
        <v>68</v>
      </c>
      <c r="H553" s="1" t="s">
        <v>74</v>
      </c>
      <c r="I553" s="1" t="s">
        <v>136</v>
      </c>
      <c r="J553" s="1" t="s">
        <v>37</v>
      </c>
      <c r="K553" s="1" t="s">
        <v>102</v>
      </c>
      <c r="L553" s="1">
        <v>7</v>
      </c>
      <c r="M553" s="13">
        <v>1384.15</v>
      </c>
      <c r="N553" s="15">
        <v>0.23</v>
      </c>
      <c r="O553" s="13">
        <v>10118.86</v>
      </c>
      <c r="P553" s="13">
        <v>4454.79</v>
      </c>
      <c r="Q553" s="13">
        <v>62.32</v>
      </c>
      <c r="R553" s="1" t="s">
        <v>29</v>
      </c>
      <c r="S553" s="1">
        <v>4</v>
      </c>
      <c r="T553" s="1" t="b">
        <v>0</v>
      </c>
      <c r="U553" s="1" t="s">
        <v>39</v>
      </c>
      <c r="V553" s="3">
        <v>9</v>
      </c>
    </row>
    <row r="554" spans="1:22" x14ac:dyDescent="0.3">
      <c r="A554" s="2" t="s">
        <v>1524</v>
      </c>
      <c r="B554" s="10">
        <v>44030</v>
      </c>
      <c r="C554" s="22">
        <v>44030</v>
      </c>
      <c r="D554" s="1" t="s">
        <v>1525</v>
      </c>
      <c r="E554" s="1" t="s">
        <v>1526</v>
      </c>
      <c r="F554" s="1">
        <v>52</v>
      </c>
      <c r="G554" s="1" t="s">
        <v>34</v>
      </c>
      <c r="H554" s="1" t="s">
        <v>35</v>
      </c>
      <c r="I554" s="1" t="s">
        <v>49</v>
      </c>
      <c r="J554" s="1" t="s">
        <v>62</v>
      </c>
      <c r="K554" s="1" t="s">
        <v>283</v>
      </c>
      <c r="L554" s="1">
        <v>4</v>
      </c>
      <c r="M554" s="13">
        <v>565.16999999999996</v>
      </c>
      <c r="N554" s="15">
        <v>0.05</v>
      </c>
      <c r="O554" s="13">
        <v>2606.02</v>
      </c>
      <c r="P554" s="13">
        <v>1227.07</v>
      </c>
      <c r="Q554" s="13">
        <v>78.290000000000006</v>
      </c>
      <c r="R554" s="1" t="s">
        <v>70</v>
      </c>
      <c r="S554" s="1">
        <v>4</v>
      </c>
      <c r="T554" s="1" t="b">
        <v>0</v>
      </c>
      <c r="U554" s="1" t="s">
        <v>39</v>
      </c>
      <c r="V554" s="3">
        <v>3</v>
      </c>
    </row>
    <row r="555" spans="1:22" x14ac:dyDescent="0.3">
      <c r="A555" s="2" t="s">
        <v>1527</v>
      </c>
      <c r="B555" s="10">
        <v>43841</v>
      </c>
      <c r="C555" s="22">
        <v>43841</v>
      </c>
      <c r="D555" s="1" t="s">
        <v>1528</v>
      </c>
      <c r="E555" s="1" t="s">
        <v>1211</v>
      </c>
      <c r="F555" s="1">
        <v>23</v>
      </c>
      <c r="G555" s="1" t="s">
        <v>34</v>
      </c>
      <c r="H555" s="1" t="s">
        <v>25</v>
      </c>
      <c r="I555" s="1" t="s">
        <v>170</v>
      </c>
      <c r="J555" s="1" t="s">
        <v>146</v>
      </c>
      <c r="K555" s="1" t="s">
        <v>161</v>
      </c>
      <c r="L555" s="1">
        <v>7</v>
      </c>
      <c r="M555" s="13">
        <v>12178.99</v>
      </c>
      <c r="N555" s="15">
        <v>0.01</v>
      </c>
      <c r="O555" s="13">
        <v>66009.55</v>
      </c>
      <c r="P555" s="13">
        <v>17076.439999999999</v>
      </c>
      <c r="Q555" s="13">
        <v>51.51</v>
      </c>
      <c r="R555" s="1" t="s">
        <v>78</v>
      </c>
      <c r="S555" s="1">
        <v>5</v>
      </c>
      <c r="T555" s="1" t="b">
        <v>0</v>
      </c>
      <c r="U555" s="1" t="s">
        <v>84</v>
      </c>
      <c r="V555" s="3">
        <v>10</v>
      </c>
    </row>
    <row r="556" spans="1:22" x14ac:dyDescent="0.3">
      <c r="A556" s="2" t="s">
        <v>1529</v>
      </c>
      <c r="B556" s="10">
        <v>45342</v>
      </c>
      <c r="C556" s="22">
        <v>45342</v>
      </c>
      <c r="D556" s="1" t="s">
        <v>1530</v>
      </c>
      <c r="E556" s="1" t="s">
        <v>1091</v>
      </c>
      <c r="F556" s="1">
        <v>44</v>
      </c>
      <c r="G556" s="1" t="s">
        <v>68</v>
      </c>
      <c r="H556" s="1" t="s">
        <v>25</v>
      </c>
      <c r="I556" s="1" t="s">
        <v>55</v>
      </c>
      <c r="J556" s="1" t="s">
        <v>27</v>
      </c>
      <c r="K556" s="1" t="s">
        <v>400</v>
      </c>
      <c r="L556" s="1">
        <v>7</v>
      </c>
      <c r="M556" s="13">
        <v>447.52</v>
      </c>
      <c r="N556" s="15">
        <v>0.3</v>
      </c>
      <c r="O556" s="13">
        <v>2656.34</v>
      </c>
      <c r="P556" s="13">
        <v>182.91</v>
      </c>
      <c r="Q556" s="13">
        <v>47.41</v>
      </c>
      <c r="R556" s="1" t="s">
        <v>64</v>
      </c>
      <c r="S556" s="1">
        <v>3</v>
      </c>
      <c r="T556" s="1" t="b">
        <v>0</v>
      </c>
      <c r="U556" s="1" t="s">
        <v>197</v>
      </c>
      <c r="V556" s="3">
        <v>5</v>
      </c>
    </row>
    <row r="557" spans="1:22" x14ac:dyDescent="0.3">
      <c r="A557" s="2" t="s">
        <v>1531</v>
      </c>
      <c r="B557" s="10">
        <v>43981</v>
      </c>
      <c r="C557" s="22">
        <v>43981</v>
      </c>
      <c r="D557" s="1" t="s">
        <v>1532</v>
      </c>
      <c r="E557" s="1" t="s">
        <v>855</v>
      </c>
      <c r="F557" s="1">
        <v>26</v>
      </c>
      <c r="G557" s="1" t="s">
        <v>34</v>
      </c>
      <c r="H557" s="1" t="s">
        <v>82</v>
      </c>
      <c r="I557" s="1" t="s">
        <v>126</v>
      </c>
      <c r="J557" s="1" t="s">
        <v>76</v>
      </c>
      <c r="K557" s="1" t="s">
        <v>89</v>
      </c>
      <c r="L557" s="1">
        <v>10</v>
      </c>
      <c r="M557" s="13">
        <v>2738.51</v>
      </c>
      <c r="N557" s="15">
        <v>0.12</v>
      </c>
      <c r="O557" s="13">
        <v>31229.97</v>
      </c>
      <c r="P557" s="13">
        <v>10815.02</v>
      </c>
      <c r="Q557" s="13">
        <v>81.19</v>
      </c>
      <c r="R557" s="1" t="s">
        <v>70</v>
      </c>
      <c r="S557" s="1">
        <v>5</v>
      </c>
      <c r="T557" s="1" t="b">
        <v>0</v>
      </c>
      <c r="U557" s="1" t="s">
        <v>39</v>
      </c>
      <c r="V557" s="3">
        <v>4</v>
      </c>
    </row>
    <row r="558" spans="1:22" x14ac:dyDescent="0.3">
      <c r="A558" s="2" t="s">
        <v>1533</v>
      </c>
      <c r="B558" s="10">
        <v>44862</v>
      </c>
      <c r="C558" s="22">
        <v>44862</v>
      </c>
      <c r="D558" s="1" t="s">
        <v>1534</v>
      </c>
      <c r="E558" s="1" t="s">
        <v>1535</v>
      </c>
      <c r="F558" s="1">
        <v>23</v>
      </c>
      <c r="G558" s="1" t="s">
        <v>24</v>
      </c>
      <c r="H558" s="1" t="s">
        <v>35</v>
      </c>
      <c r="I558" s="1" t="s">
        <v>36</v>
      </c>
      <c r="J558" s="1" t="s">
        <v>146</v>
      </c>
      <c r="K558" s="1" t="s">
        <v>147</v>
      </c>
      <c r="L558" s="1">
        <v>5</v>
      </c>
      <c r="M558" s="13">
        <v>10898.37</v>
      </c>
      <c r="N558" s="15">
        <v>0.05</v>
      </c>
      <c r="O558" s="13">
        <v>11714.4</v>
      </c>
      <c r="P558" s="13">
        <v>2224.4699999999998</v>
      </c>
      <c r="Q558" s="13">
        <v>82.53</v>
      </c>
      <c r="R558" s="1" t="s">
        <v>29</v>
      </c>
      <c r="S558" s="1">
        <v>5</v>
      </c>
      <c r="T558" s="1" t="b">
        <v>0</v>
      </c>
      <c r="U558" s="1" t="s">
        <v>84</v>
      </c>
      <c r="V558" s="3">
        <v>10</v>
      </c>
    </row>
    <row r="559" spans="1:22" x14ac:dyDescent="0.3">
      <c r="A559" s="2" t="s">
        <v>1536</v>
      </c>
      <c r="B559" s="10">
        <v>44735</v>
      </c>
      <c r="C559" s="22">
        <v>44735</v>
      </c>
      <c r="D559" s="1" t="s">
        <v>1537</v>
      </c>
      <c r="E559" s="1" t="s">
        <v>1538</v>
      </c>
      <c r="F559" s="1">
        <v>29</v>
      </c>
      <c r="G559" s="1" t="s">
        <v>34</v>
      </c>
      <c r="H559" s="1" t="s">
        <v>111</v>
      </c>
      <c r="I559" s="1" t="s">
        <v>121</v>
      </c>
      <c r="J559" s="1" t="s">
        <v>127</v>
      </c>
      <c r="K559" s="1" t="s">
        <v>308</v>
      </c>
      <c r="L559" s="1">
        <v>8</v>
      </c>
      <c r="M559" s="13">
        <v>48445.16</v>
      </c>
      <c r="N559" s="15">
        <v>0.26</v>
      </c>
      <c r="O559" s="13">
        <v>371584.08</v>
      </c>
      <c r="P559" s="13">
        <v>63270.83</v>
      </c>
      <c r="Q559" s="13">
        <v>70.06</v>
      </c>
      <c r="R559" s="1" t="s">
        <v>64</v>
      </c>
      <c r="S559" s="1">
        <v>5</v>
      </c>
      <c r="T559" s="1" t="b">
        <v>0</v>
      </c>
      <c r="U559" s="1" t="s">
        <v>39</v>
      </c>
      <c r="V559" s="3">
        <v>8</v>
      </c>
    </row>
    <row r="560" spans="1:22" x14ac:dyDescent="0.3">
      <c r="A560" s="2" t="s">
        <v>1539</v>
      </c>
      <c r="B560" s="10">
        <v>44697</v>
      </c>
      <c r="C560" s="22">
        <v>44697</v>
      </c>
      <c r="D560" s="1" t="s">
        <v>1540</v>
      </c>
      <c r="E560" s="1" t="s">
        <v>1541</v>
      </c>
      <c r="F560" s="1">
        <v>32</v>
      </c>
      <c r="G560" s="1" t="s">
        <v>68</v>
      </c>
      <c r="H560" s="1" t="s">
        <v>35</v>
      </c>
      <c r="I560" s="1" t="s">
        <v>36</v>
      </c>
      <c r="J560" s="1" t="s">
        <v>146</v>
      </c>
      <c r="K560" s="1" t="s">
        <v>147</v>
      </c>
      <c r="L560" s="1">
        <v>6</v>
      </c>
      <c r="M560" s="13">
        <v>1826.8</v>
      </c>
      <c r="N560" s="15">
        <v>7.0000000000000007E-2</v>
      </c>
      <c r="O560" s="13">
        <v>14790.65</v>
      </c>
      <c r="P560" s="13">
        <v>3473.29</v>
      </c>
      <c r="Q560" s="13">
        <v>74.41</v>
      </c>
      <c r="R560" s="1" t="s">
        <v>70</v>
      </c>
      <c r="S560" s="1">
        <v>2</v>
      </c>
      <c r="T560" s="1" t="b">
        <v>1</v>
      </c>
      <c r="U560" s="1" t="s">
        <v>30</v>
      </c>
      <c r="V560" s="3">
        <v>6</v>
      </c>
    </row>
    <row r="561" spans="1:22" x14ac:dyDescent="0.3">
      <c r="A561" s="2" t="s">
        <v>1542</v>
      </c>
      <c r="B561" s="10">
        <v>44004</v>
      </c>
      <c r="C561" s="22">
        <v>44004</v>
      </c>
      <c r="D561" s="1" t="s">
        <v>1543</v>
      </c>
      <c r="E561" s="1" t="s">
        <v>253</v>
      </c>
      <c r="F561" s="1">
        <v>16</v>
      </c>
      <c r="G561" s="1" t="s">
        <v>68</v>
      </c>
      <c r="H561" s="1" t="s">
        <v>35</v>
      </c>
      <c r="I561" s="1" t="s">
        <v>49</v>
      </c>
      <c r="J561" s="1" t="s">
        <v>62</v>
      </c>
      <c r="K561" s="1" t="s">
        <v>283</v>
      </c>
      <c r="L561" s="1">
        <v>3</v>
      </c>
      <c r="M561" s="13">
        <v>541.30999999999995</v>
      </c>
      <c r="N561" s="15">
        <v>0.06</v>
      </c>
      <c r="O561" s="13">
        <v>2139.34</v>
      </c>
      <c r="P561" s="13">
        <v>731.39</v>
      </c>
      <c r="Q561" s="13">
        <v>56.62</v>
      </c>
      <c r="R561" s="1" t="s">
        <v>64</v>
      </c>
      <c r="S561" s="1">
        <v>5</v>
      </c>
      <c r="T561" s="1" t="b">
        <v>0</v>
      </c>
      <c r="U561" s="1" t="s">
        <v>39</v>
      </c>
      <c r="V561" s="3">
        <v>8</v>
      </c>
    </row>
    <row r="562" spans="1:22" x14ac:dyDescent="0.3">
      <c r="A562" s="2" t="s">
        <v>1544</v>
      </c>
      <c r="B562" s="10">
        <v>44168</v>
      </c>
      <c r="C562" s="22">
        <v>44168</v>
      </c>
      <c r="D562" s="1" t="s">
        <v>1545</v>
      </c>
      <c r="E562" s="1" t="s">
        <v>237</v>
      </c>
      <c r="F562" s="1">
        <v>39</v>
      </c>
      <c r="G562" s="1" t="s">
        <v>34</v>
      </c>
      <c r="H562" s="1" t="s">
        <v>35</v>
      </c>
      <c r="I562" s="1" t="s">
        <v>106</v>
      </c>
      <c r="J562" s="1" t="s">
        <v>62</v>
      </c>
      <c r="K562" s="1" t="s">
        <v>151</v>
      </c>
      <c r="L562" s="1">
        <v>2</v>
      </c>
      <c r="M562" s="13">
        <v>1291.54</v>
      </c>
      <c r="N562" s="15">
        <v>0.28999999999999998</v>
      </c>
      <c r="O562" s="13">
        <v>1186.6300000000001</v>
      </c>
      <c r="P562" s="13">
        <v>359.86</v>
      </c>
      <c r="Q562" s="13">
        <v>74.760000000000005</v>
      </c>
      <c r="R562" s="1" t="s">
        <v>51</v>
      </c>
      <c r="S562" s="1">
        <v>3</v>
      </c>
      <c r="T562" s="1" t="b">
        <v>0</v>
      </c>
      <c r="U562" s="1" t="s">
        <v>39</v>
      </c>
      <c r="V562" s="3">
        <v>4</v>
      </c>
    </row>
    <row r="563" spans="1:22" x14ac:dyDescent="0.3">
      <c r="A563" s="2" t="s">
        <v>1546</v>
      </c>
      <c r="B563" s="10">
        <v>43970</v>
      </c>
      <c r="C563" s="22">
        <v>43970</v>
      </c>
      <c r="D563" s="1" t="s">
        <v>1547</v>
      </c>
      <c r="E563" s="1" t="s">
        <v>858</v>
      </c>
      <c r="F563" s="1">
        <v>53</v>
      </c>
      <c r="G563" s="1" t="s">
        <v>24</v>
      </c>
      <c r="H563" s="1" t="s">
        <v>111</v>
      </c>
      <c r="I563" s="1" t="s">
        <v>121</v>
      </c>
      <c r="J563" s="1" t="s">
        <v>27</v>
      </c>
      <c r="K563" s="1" t="s">
        <v>400</v>
      </c>
      <c r="L563" s="1">
        <v>4</v>
      </c>
      <c r="M563" s="13">
        <v>429.54</v>
      </c>
      <c r="N563" s="15">
        <v>0.06</v>
      </c>
      <c r="O563" s="13">
        <v>2163.54</v>
      </c>
      <c r="P563" s="13">
        <v>148.28</v>
      </c>
      <c r="Q563" s="13">
        <v>61.97</v>
      </c>
      <c r="R563" s="1" t="s">
        <v>70</v>
      </c>
      <c r="S563" s="1">
        <v>2</v>
      </c>
      <c r="T563" s="1" t="b">
        <v>1</v>
      </c>
      <c r="U563" s="1" t="s">
        <v>30</v>
      </c>
      <c r="V563" s="3">
        <v>7</v>
      </c>
    </row>
    <row r="564" spans="1:22" x14ac:dyDescent="0.3">
      <c r="A564" s="2" t="s">
        <v>1548</v>
      </c>
      <c r="B564" s="10">
        <v>45122</v>
      </c>
      <c r="C564" s="22">
        <v>45122</v>
      </c>
      <c r="D564" s="1" t="s">
        <v>1549</v>
      </c>
      <c r="E564" s="1" t="s">
        <v>1550</v>
      </c>
      <c r="F564" s="1">
        <v>33</v>
      </c>
      <c r="G564" s="1" t="s">
        <v>24</v>
      </c>
      <c r="H564" s="1" t="s">
        <v>35</v>
      </c>
      <c r="I564" s="1" t="s">
        <v>43</v>
      </c>
      <c r="J564" s="1" t="s">
        <v>37</v>
      </c>
      <c r="K564" s="1" t="s">
        <v>454</v>
      </c>
      <c r="L564" s="1">
        <v>10</v>
      </c>
      <c r="M564" s="13">
        <v>2340.48</v>
      </c>
      <c r="N564" s="15">
        <v>0.21</v>
      </c>
      <c r="O564" s="13">
        <v>30857.19</v>
      </c>
      <c r="P564" s="13">
        <v>16769.400000000001</v>
      </c>
      <c r="Q564" s="13">
        <v>65.62</v>
      </c>
      <c r="R564" s="1" t="s">
        <v>51</v>
      </c>
      <c r="S564" s="1">
        <v>2</v>
      </c>
      <c r="T564" s="1" t="b">
        <v>0</v>
      </c>
      <c r="U564" s="1" t="s">
        <v>39</v>
      </c>
      <c r="V564" s="3">
        <v>9</v>
      </c>
    </row>
    <row r="565" spans="1:22" x14ac:dyDescent="0.3">
      <c r="A565" s="2" t="s">
        <v>1551</v>
      </c>
      <c r="B565" s="10">
        <v>45323</v>
      </c>
      <c r="C565" s="22">
        <v>45323</v>
      </c>
      <c r="D565" s="1" t="s">
        <v>1552</v>
      </c>
      <c r="E565" s="1" t="s">
        <v>1246</v>
      </c>
      <c r="F565" s="1">
        <v>28</v>
      </c>
      <c r="G565" s="1" t="s">
        <v>34</v>
      </c>
      <c r="H565" s="1" t="s">
        <v>82</v>
      </c>
      <c r="I565" s="1" t="s">
        <v>293</v>
      </c>
      <c r="J565" s="1" t="s">
        <v>76</v>
      </c>
      <c r="K565" s="1" t="s">
        <v>122</v>
      </c>
      <c r="L565" s="1">
        <v>6</v>
      </c>
      <c r="M565" s="13">
        <v>604.17999999999995</v>
      </c>
      <c r="N565" s="15">
        <v>0.2</v>
      </c>
      <c r="O565" s="13">
        <v>2790.47</v>
      </c>
      <c r="P565" s="13">
        <v>661.77</v>
      </c>
      <c r="Q565" s="13">
        <v>84.73</v>
      </c>
      <c r="R565" s="1" t="s">
        <v>29</v>
      </c>
      <c r="S565" s="1">
        <v>5</v>
      </c>
      <c r="T565" s="1" t="b">
        <v>0</v>
      </c>
      <c r="U565" s="1" t="s">
        <v>39</v>
      </c>
      <c r="V565" s="3">
        <v>2</v>
      </c>
    </row>
    <row r="566" spans="1:22" x14ac:dyDescent="0.3">
      <c r="A566" s="2" t="s">
        <v>1553</v>
      </c>
      <c r="B566" s="10">
        <v>43971</v>
      </c>
      <c r="C566" s="22">
        <v>43971</v>
      </c>
      <c r="D566" s="1" t="s">
        <v>1554</v>
      </c>
      <c r="E566" s="1" t="s">
        <v>1555</v>
      </c>
      <c r="F566" s="1">
        <v>20</v>
      </c>
      <c r="G566" s="1" t="s">
        <v>24</v>
      </c>
      <c r="H566" s="1" t="s">
        <v>25</v>
      </c>
      <c r="I566" s="1" t="s">
        <v>26</v>
      </c>
      <c r="J566" s="1" t="s">
        <v>146</v>
      </c>
      <c r="K566" s="1" t="s">
        <v>217</v>
      </c>
      <c r="L566" s="1">
        <v>7</v>
      </c>
      <c r="M566" s="13">
        <v>4673.1899999999996</v>
      </c>
      <c r="N566" s="15">
        <v>0.33</v>
      </c>
      <c r="O566" s="13">
        <v>25140.26</v>
      </c>
      <c r="P566" s="13">
        <v>7454.48</v>
      </c>
      <c r="Q566" s="13">
        <v>59.8</v>
      </c>
      <c r="R566" s="1" t="s">
        <v>64</v>
      </c>
      <c r="S566" s="1">
        <v>1</v>
      </c>
      <c r="T566" s="1" t="b">
        <v>0</v>
      </c>
      <c r="U566" s="1" t="s">
        <v>39</v>
      </c>
      <c r="V566" s="3">
        <v>4</v>
      </c>
    </row>
    <row r="567" spans="1:22" x14ac:dyDescent="0.3">
      <c r="A567" s="2" t="s">
        <v>1556</v>
      </c>
      <c r="B567" s="10">
        <v>44825</v>
      </c>
      <c r="C567" s="22">
        <v>44825</v>
      </c>
      <c r="D567" s="1" t="s">
        <v>1557</v>
      </c>
      <c r="E567" s="1" t="s">
        <v>279</v>
      </c>
      <c r="F567" s="1">
        <v>41</v>
      </c>
      <c r="G567" s="1" t="s">
        <v>24</v>
      </c>
      <c r="H567" s="1" t="s">
        <v>82</v>
      </c>
      <c r="I567" s="1" t="s">
        <v>244</v>
      </c>
      <c r="J567" s="1" t="s">
        <v>146</v>
      </c>
      <c r="K567" s="1" t="s">
        <v>484</v>
      </c>
      <c r="L567" s="1">
        <v>2</v>
      </c>
      <c r="M567" s="13">
        <v>8645.73</v>
      </c>
      <c r="N567" s="15">
        <v>0.24</v>
      </c>
      <c r="O567" s="13">
        <v>14376.69</v>
      </c>
      <c r="P567" s="13">
        <v>3461.36</v>
      </c>
      <c r="Q567" s="13">
        <v>94.07</v>
      </c>
      <c r="R567" s="1" t="s">
        <v>51</v>
      </c>
      <c r="S567" s="1">
        <v>4</v>
      </c>
      <c r="T567" s="1" t="b">
        <v>1</v>
      </c>
      <c r="U567" s="1" t="s">
        <v>30</v>
      </c>
      <c r="V567" s="3">
        <v>3</v>
      </c>
    </row>
    <row r="568" spans="1:22" x14ac:dyDescent="0.3">
      <c r="A568" s="2" t="s">
        <v>1558</v>
      </c>
      <c r="B568" s="10">
        <v>45637</v>
      </c>
      <c r="C568" s="22">
        <v>45637</v>
      </c>
      <c r="D568" s="1" t="s">
        <v>1559</v>
      </c>
      <c r="E568" s="1" t="s">
        <v>1236</v>
      </c>
      <c r="F568" s="1">
        <v>22</v>
      </c>
      <c r="G568" s="1" t="s">
        <v>34</v>
      </c>
      <c r="H568" s="1" t="s">
        <v>111</v>
      </c>
      <c r="I568" s="1" t="s">
        <v>141</v>
      </c>
      <c r="J568" s="1" t="s">
        <v>27</v>
      </c>
      <c r="K568" s="1" t="s">
        <v>400</v>
      </c>
      <c r="L568" s="1">
        <v>3</v>
      </c>
      <c r="M568" s="13">
        <v>55.73</v>
      </c>
      <c r="N568" s="15">
        <v>0.25</v>
      </c>
      <c r="O568" s="13">
        <v>132.26</v>
      </c>
      <c r="P568" s="13">
        <v>9.16</v>
      </c>
      <c r="Q568" s="13">
        <v>67.069999999999993</v>
      </c>
      <c r="R568" s="1" t="s">
        <v>70</v>
      </c>
      <c r="S568" s="1">
        <v>4</v>
      </c>
      <c r="T568" s="1" t="b">
        <v>1</v>
      </c>
      <c r="U568" s="1" t="s">
        <v>30</v>
      </c>
      <c r="V568" s="3">
        <v>9</v>
      </c>
    </row>
    <row r="569" spans="1:22" x14ac:dyDescent="0.3">
      <c r="A569" s="2" t="s">
        <v>1560</v>
      </c>
      <c r="B569" s="10">
        <v>44754</v>
      </c>
      <c r="C569" s="22">
        <v>44754</v>
      </c>
      <c r="D569" s="1" t="s">
        <v>1561</v>
      </c>
      <c r="E569" s="1" t="s">
        <v>446</v>
      </c>
      <c r="F569" s="1">
        <v>39</v>
      </c>
      <c r="G569" s="1" t="s">
        <v>34</v>
      </c>
      <c r="H569" s="1" t="s">
        <v>111</v>
      </c>
      <c r="I569" s="1" t="s">
        <v>330</v>
      </c>
      <c r="J569" s="1" t="s">
        <v>37</v>
      </c>
      <c r="K569" s="1" t="s">
        <v>671</v>
      </c>
      <c r="L569" s="1">
        <v>4</v>
      </c>
      <c r="M569" s="13">
        <v>1632.26</v>
      </c>
      <c r="N569" s="15">
        <v>0.4</v>
      </c>
      <c r="O569" s="13">
        <v>5867.49</v>
      </c>
      <c r="P569" s="13">
        <v>2226.87</v>
      </c>
      <c r="Q569" s="13">
        <v>61.99</v>
      </c>
      <c r="R569" s="1" t="s">
        <v>78</v>
      </c>
      <c r="S569" s="1">
        <v>4</v>
      </c>
      <c r="T569" s="1" t="b">
        <v>0</v>
      </c>
      <c r="U569" s="1" t="s">
        <v>39</v>
      </c>
      <c r="V569" s="3">
        <v>7</v>
      </c>
    </row>
    <row r="570" spans="1:22" x14ac:dyDescent="0.3">
      <c r="A570" s="2" t="s">
        <v>1562</v>
      </c>
      <c r="B570" s="10">
        <v>43880</v>
      </c>
      <c r="C570" s="22">
        <v>43880</v>
      </c>
      <c r="D570" s="1" t="s">
        <v>1563</v>
      </c>
      <c r="E570" s="1" t="s">
        <v>298</v>
      </c>
      <c r="F570" s="1">
        <v>48</v>
      </c>
      <c r="G570" s="1" t="s">
        <v>24</v>
      </c>
      <c r="H570" s="1" t="s">
        <v>111</v>
      </c>
      <c r="I570" s="1" t="s">
        <v>121</v>
      </c>
      <c r="J570" s="1" t="s">
        <v>76</v>
      </c>
      <c r="K570" s="1" t="s">
        <v>77</v>
      </c>
      <c r="L570" s="1">
        <v>8</v>
      </c>
      <c r="M570" s="13">
        <v>967.73</v>
      </c>
      <c r="N570" s="15">
        <v>0.36</v>
      </c>
      <c r="O570" s="13">
        <v>4117.6000000000004</v>
      </c>
      <c r="P570" s="13">
        <v>1596.92</v>
      </c>
      <c r="Q570" s="13">
        <v>73.930000000000007</v>
      </c>
      <c r="R570" s="1" t="s">
        <v>70</v>
      </c>
      <c r="S570" s="1">
        <v>3</v>
      </c>
      <c r="T570" s="1" t="b">
        <v>1</v>
      </c>
      <c r="U570" s="1" t="s">
        <v>30</v>
      </c>
      <c r="V570" s="3">
        <v>6</v>
      </c>
    </row>
    <row r="571" spans="1:22" x14ac:dyDescent="0.3">
      <c r="A571" s="2" t="s">
        <v>1564</v>
      </c>
      <c r="B571" s="10">
        <v>45276</v>
      </c>
      <c r="C571" s="22">
        <v>45276</v>
      </c>
      <c r="D571" s="1" t="s">
        <v>1565</v>
      </c>
      <c r="E571" s="1" t="s">
        <v>203</v>
      </c>
      <c r="F571" s="1">
        <v>29</v>
      </c>
      <c r="G571" s="1" t="s">
        <v>34</v>
      </c>
      <c r="H571" s="1" t="s">
        <v>111</v>
      </c>
      <c r="I571" s="1" t="s">
        <v>141</v>
      </c>
      <c r="J571" s="1" t="s">
        <v>44</v>
      </c>
      <c r="K571" s="1" t="s">
        <v>221</v>
      </c>
      <c r="L571" s="1">
        <v>9</v>
      </c>
      <c r="M571" s="13">
        <v>14900.48</v>
      </c>
      <c r="N571" s="15">
        <v>0.2</v>
      </c>
      <c r="O571" s="13">
        <v>103163.26</v>
      </c>
      <c r="P571" s="13">
        <v>31355.08</v>
      </c>
      <c r="Q571" s="13">
        <v>45.89</v>
      </c>
      <c r="R571" s="1" t="s">
        <v>29</v>
      </c>
      <c r="S571" s="1">
        <v>4</v>
      </c>
      <c r="T571" s="1" t="b">
        <v>0</v>
      </c>
      <c r="U571" s="1" t="s">
        <v>39</v>
      </c>
      <c r="V571" s="3">
        <v>9</v>
      </c>
    </row>
    <row r="572" spans="1:22" x14ac:dyDescent="0.3">
      <c r="A572" s="2" t="s">
        <v>1566</v>
      </c>
      <c r="B572" s="10">
        <v>45034</v>
      </c>
      <c r="C572" s="22">
        <v>45034</v>
      </c>
      <c r="D572" s="1" t="s">
        <v>1567</v>
      </c>
      <c r="E572" s="1" t="s">
        <v>1330</v>
      </c>
      <c r="F572" s="1">
        <v>37</v>
      </c>
      <c r="G572" s="1" t="s">
        <v>68</v>
      </c>
      <c r="H572" s="1" t="s">
        <v>25</v>
      </c>
      <c r="I572" s="1" t="s">
        <v>55</v>
      </c>
      <c r="J572" s="1" t="s">
        <v>37</v>
      </c>
      <c r="K572" s="1" t="s">
        <v>454</v>
      </c>
      <c r="L572" s="1">
        <v>8</v>
      </c>
      <c r="M572" s="13">
        <v>899.3</v>
      </c>
      <c r="N572" s="15">
        <v>0.17</v>
      </c>
      <c r="O572" s="13">
        <v>8975.56</v>
      </c>
      <c r="P572" s="13">
        <v>3421.59</v>
      </c>
      <c r="Q572" s="13">
        <v>71.55</v>
      </c>
      <c r="R572" s="1" t="s">
        <v>70</v>
      </c>
      <c r="S572" s="1">
        <v>2</v>
      </c>
      <c r="T572" s="1" t="b">
        <v>0</v>
      </c>
      <c r="U572" s="1" t="s">
        <v>39</v>
      </c>
      <c r="V572" s="3">
        <v>3</v>
      </c>
    </row>
    <row r="573" spans="1:22" x14ac:dyDescent="0.3">
      <c r="A573" s="2" t="s">
        <v>1568</v>
      </c>
      <c r="B573" s="10">
        <v>44544</v>
      </c>
      <c r="C573" s="22">
        <v>44544</v>
      </c>
      <c r="D573" s="1" t="s">
        <v>1569</v>
      </c>
      <c r="E573" s="1" t="s">
        <v>140</v>
      </c>
      <c r="F573" s="1">
        <v>25</v>
      </c>
      <c r="G573" s="1" t="s">
        <v>34</v>
      </c>
      <c r="H573" s="1" t="s">
        <v>25</v>
      </c>
      <c r="I573" s="1" t="s">
        <v>170</v>
      </c>
      <c r="J573" s="1" t="s">
        <v>37</v>
      </c>
      <c r="K573" s="1" t="s">
        <v>231</v>
      </c>
      <c r="L573" s="1">
        <v>1</v>
      </c>
      <c r="M573" s="13">
        <v>2412.42</v>
      </c>
      <c r="N573" s="15">
        <v>0.02</v>
      </c>
      <c r="O573" s="13">
        <v>1867.03</v>
      </c>
      <c r="P573" s="13">
        <v>770.96</v>
      </c>
      <c r="Q573" s="13">
        <v>51.08</v>
      </c>
      <c r="R573" s="1" t="s">
        <v>64</v>
      </c>
      <c r="S573" s="1">
        <v>1</v>
      </c>
      <c r="T573" s="1" t="b">
        <v>0</v>
      </c>
      <c r="U573" s="1" t="s">
        <v>39</v>
      </c>
      <c r="V573" s="3">
        <v>10</v>
      </c>
    </row>
    <row r="574" spans="1:22" x14ac:dyDescent="0.3">
      <c r="A574" s="2" t="s">
        <v>1570</v>
      </c>
      <c r="B574" s="10">
        <v>44974</v>
      </c>
      <c r="C574" s="22">
        <v>44974</v>
      </c>
      <c r="D574" s="1" t="s">
        <v>1571</v>
      </c>
      <c r="E574" s="1" t="s">
        <v>443</v>
      </c>
      <c r="F574" s="1">
        <v>50</v>
      </c>
      <c r="G574" s="1" t="s">
        <v>34</v>
      </c>
      <c r="H574" s="1" t="s">
        <v>35</v>
      </c>
      <c r="I574" s="1" t="s">
        <v>106</v>
      </c>
      <c r="J574" s="1" t="s">
        <v>146</v>
      </c>
      <c r="K574" s="1" t="s">
        <v>178</v>
      </c>
      <c r="L574" s="1">
        <v>6</v>
      </c>
      <c r="M574" s="13">
        <v>9703.74</v>
      </c>
      <c r="N574" s="15">
        <v>0.16</v>
      </c>
      <c r="O574" s="13">
        <v>52648.79</v>
      </c>
      <c r="P574" s="13">
        <v>8966.19</v>
      </c>
      <c r="Q574" s="13">
        <v>50.19</v>
      </c>
      <c r="R574" s="1" t="s">
        <v>51</v>
      </c>
      <c r="S574" s="1">
        <v>1</v>
      </c>
      <c r="T574" s="1" t="b">
        <v>0</v>
      </c>
      <c r="U574" s="1" t="s">
        <v>39</v>
      </c>
      <c r="V574" s="3">
        <v>7</v>
      </c>
    </row>
    <row r="575" spans="1:22" x14ac:dyDescent="0.3">
      <c r="A575" s="2" t="s">
        <v>1572</v>
      </c>
      <c r="B575" s="10">
        <v>45412</v>
      </c>
      <c r="C575" s="22">
        <v>45412</v>
      </c>
      <c r="D575" s="1" t="s">
        <v>1573</v>
      </c>
      <c r="E575" s="1" t="s">
        <v>1574</v>
      </c>
      <c r="F575" s="1">
        <v>19</v>
      </c>
      <c r="G575" s="1" t="s">
        <v>24</v>
      </c>
      <c r="H575" s="1" t="s">
        <v>25</v>
      </c>
      <c r="I575" s="1" t="s">
        <v>55</v>
      </c>
      <c r="J575" s="1" t="s">
        <v>37</v>
      </c>
      <c r="K575" s="1" t="s">
        <v>231</v>
      </c>
      <c r="L575" s="1">
        <v>3</v>
      </c>
      <c r="M575" s="13">
        <v>2213</v>
      </c>
      <c r="N575" s="15">
        <v>0.1</v>
      </c>
      <c r="O575" s="13">
        <v>9293.85</v>
      </c>
      <c r="P575" s="13">
        <v>4453.78</v>
      </c>
      <c r="Q575" s="13">
        <v>86.73</v>
      </c>
      <c r="R575" s="1" t="s">
        <v>51</v>
      </c>
      <c r="S575" s="1">
        <v>4</v>
      </c>
      <c r="T575" s="1" t="b">
        <v>0</v>
      </c>
      <c r="U575" s="1" t="s">
        <v>39</v>
      </c>
      <c r="V575" s="3">
        <v>10</v>
      </c>
    </row>
    <row r="576" spans="1:22" x14ac:dyDescent="0.3">
      <c r="A576" s="2" t="s">
        <v>1575</v>
      </c>
      <c r="B576" s="10">
        <v>45391</v>
      </c>
      <c r="C576" s="22">
        <v>45391</v>
      </c>
      <c r="D576" s="1" t="s">
        <v>1576</v>
      </c>
      <c r="E576" s="1" t="s">
        <v>440</v>
      </c>
      <c r="F576" s="1">
        <v>42</v>
      </c>
      <c r="G576" s="1" t="s">
        <v>24</v>
      </c>
      <c r="H576" s="1" t="s">
        <v>74</v>
      </c>
      <c r="I576" s="1" t="s">
        <v>101</v>
      </c>
      <c r="J576" s="1" t="s">
        <v>146</v>
      </c>
      <c r="K576" s="1" t="s">
        <v>276</v>
      </c>
      <c r="L576" s="1">
        <v>1</v>
      </c>
      <c r="M576" s="13">
        <v>7923.79</v>
      </c>
      <c r="N576" s="15">
        <v>0.02</v>
      </c>
      <c r="O576" s="13">
        <v>12021.65</v>
      </c>
      <c r="P576" s="13">
        <v>3631.41</v>
      </c>
      <c r="Q576" s="13">
        <v>54.15</v>
      </c>
      <c r="R576" s="1" t="s">
        <v>64</v>
      </c>
      <c r="S576" s="1">
        <v>3</v>
      </c>
      <c r="T576" s="1" t="b">
        <v>0</v>
      </c>
      <c r="U576" s="1" t="s">
        <v>137</v>
      </c>
      <c r="V576" s="3">
        <v>3</v>
      </c>
    </row>
    <row r="577" spans="1:22" x14ac:dyDescent="0.3">
      <c r="A577" s="2" t="s">
        <v>1577</v>
      </c>
      <c r="B577" s="10">
        <v>45118</v>
      </c>
      <c r="C577" s="22">
        <v>45118</v>
      </c>
      <c r="D577" s="1" t="s">
        <v>1578</v>
      </c>
      <c r="E577" s="1" t="s">
        <v>433</v>
      </c>
      <c r="F577" s="1">
        <v>44</v>
      </c>
      <c r="G577" s="1" t="s">
        <v>24</v>
      </c>
      <c r="H577" s="1" t="s">
        <v>74</v>
      </c>
      <c r="I577" s="1" t="s">
        <v>75</v>
      </c>
      <c r="J577" s="1" t="s">
        <v>76</v>
      </c>
      <c r="K577" s="1" t="s">
        <v>132</v>
      </c>
      <c r="L577" s="1">
        <v>6</v>
      </c>
      <c r="M577" s="13">
        <v>1202.81</v>
      </c>
      <c r="N577" s="15">
        <v>0.08</v>
      </c>
      <c r="O577" s="13">
        <v>9663.61</v>
      </c>
      <c r="P577" s="13">
        <v>2700.5</v>
      </c>
      <c r="Q577" s="13">
        <v>84.89</v>
      </c>
      <c r="R577" s="1" t="s">
        <v>57</v>
      </c>
      <c r="S577" s="1">
        <v>1</v>
      </c>
      <c r="T577" s="1" t="b">
        <v>1</v>
      </c>
      <c r="U577" s="1" t="s">
        <v>30</v>
      </c>
      <c r="V577" s="3">
        <v>6</v>
      </c>
    </row>
    <row r="578" spans="1:22" x14ac:dyDescent="0.3">
      <c r="A578" s="2" t="s">
        <v>1579</v>
      </c>
      <c r="B578" s="10">
        <v>45484</v>
      </c>
      <c r="C578" s="22">
        <v>45484</v>
      </c>
      <c r="D578" s="1" t="s">
        <v>1580</v>
      </c>
      <c r="E578" s="1" t="s">
        <v>195</v>
      </c>
      <c r="F578" s="1">
        <v>38</v>
      </c>
      <c r="G578" s="1" t="s">
        <v>24</v>
      </c>
      <c r="H578" s="1" t="s">
        <v>35</v>
      </c>
      <c r="I578" s="1" t="s">
        <v>36</v>
      </c>
      <c r="J578" s="1" t="s">
        <v>146</v>
      </c>
      <c r="K578" s="1" t="s">
        <v>161</v>
      </c>
      <c r="L578" s="1">
        <v>2</v>
      </c>
      <c r="M578" s="13">
        <v>13574.46</v>
      </c>
      <c r="N578" s="15">
        <v>0.31</v>
      </c>
      <c r="O578" s="13">
        <v>32632.91</v>
      </c>
      <c r="P578" s="13">
        <v>9812.2999999999993</v>
      </c>
      <c r="Q578" s="13">
        <v>49.47</v>
      </c>
      <c r="R578" s="1" t="s">
        <v>57</v>
      </c>
      <c r="S578" s="1">
        <v>3</v>
      </c>
      <c r="T578" s="1" t="b">
        <v>0</v>
      </c>
      <c r="U578" s="1" t="s">
        <v>39</v>
      </c>
      <c r="V578" s="3">
        <v>7</v>
      </c>
    </row>
    <row r="579" spans="1:22" x14ac:dyDescent="0.3">
      <c r="A579" s="2" t="s">
        <v>1581</v>
      </c>
      <c r="B579" s="10">
        <v>44393</v>
      </c>
      <c r="C579" s="22">
        <v>44393</v>
      </c>
      <c r="D579" s="1" t="s">
        <v>1582</v>
      </c>
      <c r="E579" s="1" t="s">
        <v>1583</v>
      </c>
      <c r="F579" s="1">
        <v>52</v>
      </c>
      <c r="G579" s="1" t="s">
        <v>34</v>
      </c>
      <c r="H579" s="1" t="s">
        <v>74</v>
      </c>
      <c r="I579" s="1" t="s">
        <v>192</v>
      </c>
      <c r="J579" s="1" t="s">
        <v>146</v>
      </c>
      <c r="K579" s="1" t="s">
        <v>217</v>
      </c>
      <c r="L579" s="1">
        <v>9</v>
      </c>
      <c r="M579" s="13">
        <v>10077.49</v>
      </c>
      <c r="N579" s="15">
        <v>0.34</v>
      </c>
      <c r="O579" s="13">
        <v>84123.31</v>
      </c>
      <c r="P579" s="13">
        <v>16599.27</v>
      </c>
      <c r="Q579" s="13">
        <v>71.95</v>
      </c>
      <c r="R579" s="1" t="s">
        <v>64</v>
      </c>
      <c r="S579" s="1">
        <v>3</v>
      </c>
      <c r="T579" s="1" t="b">
        <v>0</v>
      </c>
      <c r="U579" s="1" t="s">
        <v>39</v>
      </c>
      <c r="V579" s="3">
        <v>2</v>
      </c>
    </row>
    <row r="580" spans="1:22" x14ac:dyDescent="0.3">
      <c r="A580" s="2" t="s">
        <v>1584</v>
      </c>
      <c r="B580" s="10">
        <v>44020</v>
      </c>
      <c r="C580" s="22">
        <v>44020</v>
      </c>
      <c r="D580" s="1" t="s">
        <v>1585</v>
      </c>
      <c r="E580" s="1" t="s">
        <v>1586</v>
      </c>
      <c r="F580" s="1">
        <v>47</v>
      </c>
      <c r="G580" s="1" t="s">
        <v>68</v>
      </c>
      <c r="H580" s="1" t="s">
        <v>25</v>
      </c>
      <c r="I580" s="1" t="s">
        <v>55</v>
      </c>
      <c r="J580" s="1" t="s">
        <v>27</v>
      </c>
      <c r="K580" s="1" t="s">
        <v>450</v>
      </c>
      <c r="L580" s="1">
        <v>4</v>
      </c>
      <c r="M580" s="13">
        <v>443.03</v>
      </c>
      <c r="N580" s="15">
        <v>0.32</v>
      </c>
      <c r="O580" s="13">
        <v>1593.89</v>
      </c>
      <c r="P580" s="13">
        <v>115.6</v>
      </c>
      <c r="Q580" s="13">
        <v>71.819999999999993</v>
      </c>
      <c r="R580" s="1" t="s">
        <v>29</v>
      </c>
      <c r="S580" s="1">
        <v>4</v>
      </c>
      <c r="T580" s="1" t="b">
        <v>0</v>
      </c>
      <c r="U580" s="1" t="s">
        <v>137</v>
      </c>
      <c r="V580" s="3">
        <v>2</v>
      </c>
    </row>
    <row r="581" spans="1:22" x14ac:dyDescent="0.3">
      <c r="A581" s="2" t="s">
        <v>1587</v>
      </c>
      <c r="B581" s="10">
        <v>45305</v>
      </c>
      <c r="C581" s="22">
        <v>45305</v>
      </c>
      <c r="D581" s="1" t="s">
        <v>1588</v>
      </c>
      <c r="E581" s="1" t="s">
        <v>1555</v>
      </c>
      <c r="F581" s="1">
        <v>36</v>
      </c>
      <c r="G581" s="1" t="s">
        <v>391</v>
      </c>
      <c r="H581" s="1" t="s">
        <v>74</v>
      </c>
      <c r="I581" s="1" t="s">
        <v>192</v>
      </c>
      <c r="J581" s="1" t="s">
        <v>127</v>
      </c>
      <c r="K581" s="1" t="s">
        <v>308</v>
      </c>
      <c r="L581" s="1">
        <v>1</v>
      </c>
      <c r="M581" s="13">
        <v>16829.03</v>
      </c>
      <c r="N581" s="15">
        <v>0.04</v>
      </c>
      <c r="O581" s="13">
        <v>16558.810000000001</v>
      </c>
      <c r="P581" s="13">
        <v>2537.33</v>
      </c>
      <c r="Q581" s="13">
        <v>43.96</v>
      </c>
      <c r="R581" s="1" t="s">
        <v>70</v>
      </c>
      <c r="S581" s="1">
        <v>1</v>
      </c>
      <c r="T581" s="1" t="b">
        <v>1</v>
      </c>
      <c r="U581" s="1" t="s">
        <v>30</v>
      </c>
      <c r="V581" s="3">
        <v>9</v>
      </c>
    </row>
    <row r="582" spans="1:22" x14ac:dyDescent="0.3">
      <c r="A582" s="2" t="s">
        <v>1589</v>
      </c>
      <c r="B582" s="10">
        <v>45405</v>
      </c>
      <c r="C582" s="22">
        <v>45405</v>
      </c>
      <c r="D582" s="1" t="s">
        <v>1590</v>
      </c>
      <c r="E582" s="1" t="s">
        <v>1591</v>
      </c>
      <c r="F582" s="1">
        <v>24</v>
      </c>
      <c r="G582" s="1" t="s">
        <v>68</v>
      </c>
      <c r="H582" s="1" t="s">
        <v>82</v>
      </c>
      <c r="I582" s="1" t="s">
        <v>293</v>
      </c>
      <c r="J582" s="1" t="s">
        <v>76</v>
      </c>
      <c r="K582" s="1" t="s">
        <v>89</v>
      </c>
      <c r="L582" s="1">
        <v>10</v>
      </c>
      <c r="M582" s="13">
        <v>3066.81</v>
      </c>
      <c r="N582" s="15">
        <v>0.02</v>
      </c>
      <c r="O582" s="13">
        <v>47758.51</v>
      </c>
      <c r="P582" s="13">
        <v>19208.34</v>
      </c>
      <c r="Q582" s="13">
        <v>77.64</v>
      </c>
      <c r="R582" s="1" t="s">
        <v>57</v>
      </c>
      <c r="S582" s="1">
        <v>2</v>
      </c>
      <c r="T582" s="1" t="b">
        <v>0</v>
      </c>
      <c r="U582" s="1" t="s">
        <v>39</v>
      </c>
      <c r="V582" s="3">
        <v>9</v>
      </c>
    </row>
    <row r="583" spans="1:22" x14ac:dyDescent="0.3">
      <c r="A583" s="2" t="s">
        <v>1592</v>
      </c>
      <c r="B583" s="10">
        <v>45015</v>
      </c>
      <c r="C583" s="22">
        <v>45015</v>
      </c>
      <c r="D583" s="1" t="s">
        <v>1593</v>
      </c>
      <c r="E583" s="1" t="s">
        <v>1454</v>
      </c>
      <c r="F583" s="1">
        <v>26</v>
      </c>
      <c r="G583" s="1" t="s">
        <v>34</v>
      </c>
      <c r="H583" s="1" t="s">
        <v>35</v>
      </c>
      <c r="I583" s="1" t="s">
        <v>49</v>
      </c>
      <c r="J583" s="1" t="s">
        <v>76</v>
      </c>
      <c r="K583" s="1" t="s">
        <v>122</v>
      </c>
      <c r="L583" s="1">
        <v>8</v>
      </c>
      <c r="M583" s="13">
        <v>1829.04</v>
      </c>
      <c r="N583" s="15">
        <v>0.24</v>
      </c>
      <c r="O583" s="13">
        <v>14780.74</v>
      </c>
      <c r="P583" s="13">
        <v>6166.69</v>
      </c>
      <c r="Q583" s="13">
        <v>80.06</v>
      </c>
      <c r="R583" s="1" t="s">
        <v>57</v>
      </c>
      <c r="S583" s="1">
        <v>3</v>
      </c>
      <c r="T583" s="1" t="b">
        <v>0</v>
      </c>
      <c r="U583" s="1" t="s">
        <v>84</v>
      </c>
      <c r="V583" s="3">
        <v>4</v>
      </c>
    </row>
    <row r="584" spans="1:22" x14ac:dyDescent="0.3">
      <c r="A584" s="2" t="s">
        <v>1594</v>
      </c>
      <c r="B584" s="10">
        <v>45074</v>
      </c>
      <c r="C584" s="22">
        <v>45074</v>
      </c>
      <c r="D584" s="1" t="s">
        <v>1595</v>
      </c>
      <c r="E584" s="1" t="s">
        <v>1596</v>
      </c>
      <c r="F584" s="1">
        <v>54</v>
      </c>
      <c r="G584" s="1" t="s">
        <v>68</v>
      </c>
      <c r="H584" s="1" t="s">
        <v>74</v>
      </c>
      <c r="I584" s="1" t="s">
        <v>192</v>
      </c>
      <c r="J584" s="1" t="s">
        <v>44</v>
      </c>
      <c r="K584" s="1" t="s">
        <v>50</v>
      </c>
      <c r="L584" s="1">
        <v>8</v>
      </c>
      <c r="M584" s="13">
        <v>30782.92</v>
      </c>
      <c r="N584" s="15">
        <v>0.11</v>
      </c>
      <c r="O584" s="13">
        <v>356477.73</v>
      </c>
      <c r="P584" s="13">
        <v>116445.94</v>
      </c>
      <c r="Q584" s="13">
        <v>61.27</v>
      </c>
      <c r="R584" s="1" t="s">
        <v>51</v>
      </c>
      <c r="S584" s="1">
        <v>3</v>
      </c>
      <c r="T584" s="1" t="b">
        <v>0</v>
      </c>
      <c r="U584" s="1" t="s">
        <v>39</v>
      </c>
      <c r="V584" s="3">
        <v>2</v>
      </c>
    </row>
    <row r="585" spans="1:22" x14ac:dyDescent="0.3">
      <c r="A585" s="2" t="s">
        <v>1597</v>
      </c>
      <c r="B585" s="10">
        <v>44713</v>
      </c>
      <c r="C585" s="22">
        <v>44713</v>
      </c>
      <c r="D585" s="1" t="s">
        <v>1598</v>
      </c>
      <c r="E585" s="1" t="s">
        <v>81</v>
      </c>
      <c r="F585" s="1">
        <v>53</v>
      </c>
      <c r="G585" s="1" t="s">
        <v>24</v>
      </c>
      <c r="H585" s="1" t="s">
        <v>35</v>
      </c>
      <c r="I585" s="1" t="s">
        <v>36</v>
      </c>
      <c r="J585" s="1" t="s">
        <v>37</v>
      </c>
      <c r="K585" s="1" t="s">
        <v>38</v>
      </c>
      <c r="L585" s="1">
        <v>7</v>
      </c>
      <c r="M585" s="13">
        <v>1167.8599999999999</v>
      </c>
      <c r="N585" s="15">
        <v>0.15</v>
      </c>
      <c r="O585" s="13">
        <v>10729.59</v>
      </c>
      <c r="P585" s="13">
        <v>5022.26</v>
      </c>
      <c r="Q585" s="13">
        <v>56.89</v>
      </c>
      <c r="R585" s="1" t="s">
        <v>29</v>
      </c>
      <c r="S585" s="1">
        <v>2</v>
      </c>
      <c r="T585" s="1" t="b">
        <v>0</v>
      </c>
      <c r="U585" s="1" t="s">
        <v>39</v>
      </c>
      <c r="V585" s="3">
        <v>8</v>
      </c>
    </row>
    <row r="586" spans="1:22" x14ac:dyDescent="0.3">
      <c r="A586" s="2" t="s">
        <v>1599</v>
      </c>
      <c r="B586" s="10">
        <v>45057</v>
      </c>
      <c r="C586" s="22">
        <v>45057</v>
      </c>
      <c r="D586" s="1" t="s">
        <v>1600</v>
      </c>
      <c r="E586" s="1" t="s">
        <v>1601</v>
      </c>
      <c r="F586" s="1">
        <v>25</v>
      </c>
      <c r="G586" s="1" t="s">
        <v>24</v>
      </c>
      <c r="H586" s="1" t="s">
        <v>74</v>
      </c>
      <c r="I586" s="1" t="s">
        <v>192</v>
      </c>
      <c r="J586" s="1" t="s">
        <v>127</v>
      </c>
      <c r="K586" s="1" t="s">
        <v>517</v>
      </c>
      <c r="L586" s="1">
        <v>9</v>
      </c>
      <c r="M586" s="13">
        <v>6647.49</v>
      </c>
      <c r="N586" s="15">
        <v>0.34</v>
      </c>
      <c r="O586" s="13">
        <v>68948.2</v>
      </c>
      <c r="P586" s="13">
        <v>8595.8799999999992</v>
      </c>
      <c r="Q586" s="13">
        <v>51.47</v>
      </c>
      <c r="R586" s="1" t="s">
        <v>64</v>
      </c>
      <c r="S586" s="1">
        <v>4</v>
      </c>
      <c r="T586" s="1" t="b">
        <v>0</v>
      </c>
      <c r="U586" s="1" t="s">
        <v>39</v>
      </c>
      <c r="V586" s="3">
        <v>8</v>
      </c>
    </row>
    <row r="587" spans="1:22" x14ac:dyDescent="0.3">
      <c r="A587" s="2" t="s">
        <v>1602</v>
      </c>
      <c r="B587" s="10">
        <v>43850</v>
      </c>
      <c r="C587" s="22">
        <v>43850</v>
      </c>
      <c r="D587" s="1" t="s">
        <v>1603</v>
      </c>
      <c r="E587" s="1" t="s">
        <v>457</v>
      </c>
      <c r="F587" s="1">
        <v>13</v>
      </c>
      <c r="G587" s="1" t="s">
        <v>34</v>
      </c>
      <c r="H587" s="1" t="s">
        <v>111</v>
      </c>
      <c r="I587" s="1" t="s">
        <v>330</v>
      </c>
      <c r="J587" s="1" t="s">
        <v>37</v>
      </c>
      <c r="K587" s="1" t="s">
        <v>454</v>
      </c>
      <c r="L587" s="1">
        <v>6</v>
      </c>
      <c r="M587" s="13">
        <v>1952.59</v>
      </c>
      <c r="N587" s="15">
        <v>0.14000000000000001</v>
      </c>
      <c r="O587" s="13">
        <v>6658.21</v>
      </c>
      <c r="P587" s="13">
        <v>3867.94</v>
      </c>
      <c r="Q587" s="13">
        <v>38.17</v>
      </c>
      <c r="R587" s="1" t="s">
        <v>70</v>
      </c>
      <c r="S587" s="1">
        <v>1</v>
      </c>
      <c r="T587" s="1" t="b">
        <v>0</v>
      </c>
      <c r="U587" s="1" t="s">
        <v>137</v>
      </c>
      <c r="V587" s="3">
        <v>8</v>
      </c>
    </row>
    <row r="588" spans="1:22" x14ac:dyDescent="0.3">
      <c r="A588" s="2" t="s">
        <v>1604</v>
      </c>
      <c r="B588" s="10">
        <v>44686</v>
      </c>
      <c r="C588" s="22">
        <v>44686</v>
      </c>
      <c r="D588" s="1" t="s">
        <v>1605</v>
      </c>
      <c r="E588" s="1" t="s">
        <v>516</v>
      </c>
      <c r="F588" s="1">
        <v>32</v>
      </c>
      <c r="G588" s="1" t="s">
        <v>34</v>
      </c>
      <c r="H588" s="1" t="s">
        <v>35</v>
      </c>
      <c r="I588" s="1" t="s">
        <v>106</v>
      </c>
      <c r="J588" s="1" t="s">
        <v>37</v>
      </c>
      <c r="K588" s="1" t="s">
        <v>671</v>
      </c>
      <c r="L588" s="1">
        <v>3</v>
      </c>
      <c r="M588" s="13">
        <v>1685.48</v>
      </c>
      <c r="N588" s="15">
        <v>0.05</v>
      </c>
      <c r="O588" s="13">
        <v>6564.17</v>
      </c>
      <c r="P588" s="13">
        <v>3034.89</v>
      </c>
      <c r="Q588" s="13">
        <v>79.19</v>
      </c>
      <c r="R588" s="1" t="s">
        <v>29</v>
      </c>
      <c r="S588" s="1">
        <v>1</v>
      </c>
      <c r="T588" s="1" t="b">
        <v>0</v>
      </c>
      <c r="U588" s="1" t="s">
        <v>84</v>
      </c>
      <c r="V588" s="3">
        <v>1</v>
      </c>
    </row>
    <row r="589" spans="1:22" x14ac:dyDescent="0.3">
      <c r="A589" s="2" t="s">
        <v>1606</v>
      </c>
      <c r="B589" s="10">
        <v>44650</v>
      </c>
      <c r="C589" s="22">
        <v>44650</v>
      </c>
      <c r="D589" s="1" t="s">
        <v>1607</v>
      </c>
      <c r="E589" s="1" t="s">
        <v>1535</v>
      </c>
      <c r="F589" s="1">
        <v>36</v>
      </c>
      <c r="G589" s="1" t="s">
        <v>34</v>
      </c>
      <c r="H589" s="1" t="s">
        <v>35</v>
      </c>
      <c r="I589" s="1" t="s">
        <v>43</v>
      </c>
      <c r="J589" s="1" t="s">
        <v>127</v>
      </c>
      <c r="K589" s="1" t="s">
        <v>128</v>
      </c>
      <c r="L589" s="1">
        <v>1</v>
      </c>
      <c r="M589" s="13">
        <v>28957.64</v>
      </c>
      <c r="N589" s="15">
        <v>0.33</v>
      </c>
      <c r="O589" s="13">
        <v>18619.849999999999</v>
      </c>
      <c r="P589" s="13">
        <v>1514.95</v>
      </c>
      <c r="Q589" s="13">
        <v>63.73</v>
      </c>
      <c r="R589" s="1" t="s">
        <v>29</v>
      </c>
      <c r="S589" s="1">
        <v>5</v>
      </c>
      <c r="T589" s="1" t="b">
        <v>0</v>
      </c>
      <c r="U589" s="1" t="s">
        <v>39</v>
      </c>
      <c r="V589" s="3">
        <v>10</v>
      </c>
    </row>
    <row r="590" spans="1:22" x14ac:dyDescent="0.3">
      <c r="A590" s="2" t="s">
        <v>1608</v>
      </c>
      <c r="B590" s="10">
        <v>45542</v>
      </c>
      <c r="C590" s="22">
        <v>45542</v>
      </c>
      <c r="D590" s="1" t="s">
        <v>1609</v>
      </c>
      <c r="E590" s="1" t="s">
        <v>344</v>
      </c>
      <c r="F590" s="1">
        <v>32</v>
      </c>
      <c r="G590" s="1" t="s">
        <v>24</v>
      </c>
      <c r="H590" s="1" t="s">
        <v>82</v>
      </c>
      <c r="I590" s="1" t="s">
        <v>293</v>
      </c>
      <c r="J590" s="1" t="s">
        <v>37</v>
      </c>
      <c r="K590" s="1" t="s">
        <v>454</v>
      </c>
      <c r="L590" s="1">
        <v>3</v>
      </c>
      <c r="M590" s="13">
        <v>1229.8800000000001</v>
      </c>
      <c r="N590" s="15">
        <v>0.16</v>
      </c>
      <c r="O590" s="13">
        <v>4385.2700000000004</v>
      </c>
      <c r="P590" s="13">
        <v>2310.7399999999998</v>
      </c>
      <c r="Q590" s="13">
        <v>75.88</v>
      </c>
      <c r="R590" s="1" t="s">
        <v>70</v>
      </c>
      <c r="S590" s="1">
        <v>5</v>
      </c>
      <c r="T590" s="1" t="b">
        <v>0</v>
      </c>
      <c r="U590" s="1" t="s">
        <v>58</v>
      </c>
      <c r="V590" s="3">
        <v>4</v>
      </c>
    </row>
    <row r="591" spans="1:22" x14ac:dyDescent="0.3">
      <c r="A591" s="2" t="s">
        <v>1610</v>
      </c>
      <c r="B591" s="10">
        <v>45090</v>
      </c>
      <c r="C591" s="22">
        <v>45090</v>
      </c>
      <c r="D591" s="1" t="s">
        <v>1611</v>
      </c>
      <c r="E591" s="1" t="s">
        <v>1612</v>
      </c>
      <c r="F591" s="1">
        <v>47</v>
      </c>
      <c r="G591" s="1" t="s">
        <v>34</v>
      </c>
      <c r="H591" s="1" t="s">
        <v>111</v>
      </c>
      <c r="I591" s="1" t="s">
        <v>330</v>
      </c>
      <c r="J591" s="1" t="s">
        <v>76</v>
      </c>
      <c r="K591" s="1" t="s">
        <v>77</v>
      </c>
      <c r="L591" s="1">
        <v>2</v>
      </c>
      <c r="M591" s="13">
        <v>1474.66</v>
      </c>
      <c r="N591" s="15">
        <v>0.16</v>
      </c>
      <c r="O591" s="13">
        <v>3493.62</v>
      </c>
      <c r="P591" s="13">
        <v>1237.1500000000001</v>
      </c>
      <c r="Q591" s="13">
        <v>83</v>
      </c>
      <c r="R591" s="1" t="s">
        <v>64</v>
      </c>
      <c r="S591" s="1">
        <v>2</v>
      </c>
      <c r="T591" s="1" t="b">
        <v>0</v>
      </c>
      <c r="U591" s="1" t="s">
        <v>39</v>
      </c>
      <c r="V591" s="3">
        <v>9</v>
      </c>
    </row>
    <row r="592" spans="1:22" x14ac:dyDescent="0.3">
      <c r="A592" s="2" t="s">
        <v>1613</v>
      </c>
      <c r="B592" s="10">
        <v>45168</v>
      </c>
      <c r="C592" s="22">
        <v>45168</v>
      </c>
      <c r="D592" s="1" t="s">
        <v>1614</v>
      </c>
      <c r="E592" s="1" t="s">
        <v>528</v>
      </c>
      <c r="F592" s="1">
        <v>35</v>
      </c>
      <c r="G592" s="1" t="s">
        <v>68</v>
      </c>
      <c r="H592" s="1" t="s">
        <v>82</v>
      </c>
      <c r="I592" s="1" t="s">
        <v>83</v>
      </c>
      <c r="J592" s="1" t="s">
        <v>27</v>
      </c>
      <c r="K592" s="1" t="s">
        <v>97</v>
      </c>
      <c r="L592" s="1">
        <v>9</v>
      </c>
      <c r="M592" s="13">
        <v>132.91</v>
      </c>
      <c r="N592" s="15">
        <v>0.37</v>
      </c>
      <c r="O592" s="13">
        <v>1379.32</v>
      </c>
      <c r="P592" s="13">
        <v>95.16</v>
      </c>
      <c r="Q592" s="13">
        <v>84.31</v>
      </c>
      <c r="R592" s="1" t="s">
        <v>64</v>
      </c>
      <c r="S592" s="1">
        <v>1</v>
      </c>
      <c r="T592" s="1" t="b">
        <v>0</v>
      </c>
      <c r="U592" s="1" t="s">
        <v>39</v>
      </c>
      <c r="V592" s="3">
        <v>4</v>
      </c>
    </row>
    <row r="593" spans="1:22" x14ac:dyDescent="0.3">
      <c r="A593" s="2" t="s">
        <v>1615</v>
      </c>
      <c r="B593" s="10">
        <v>44785</v>
      </c>
      <c r="C593" s="22">
        <v>44785</v>
      </c>
      <c r="D593" s="1" t="s">
        <v>1616</v>
      </c>
      <c r="E593" s="1" t="s">
        <v>958</v>
      </c>
      <c r="F593" s="1">
        <v>37</v>
      </c>
      <c r="G593" s="1" t="s">
        <v>34</v>
      </c>
      <c r="H593" s="1" t="s">
        <v>111</v>
      </c>
      <c r="I593" s="1" t="s">
        <v>112</v>
      </c>
      <c r="J593" s="1" t="s">
        <v>37</v>
      </c>
      <c r="K593" s="1" t="s">
        <v>671</v>
      </c>
      <c r="L593" s="1">
        <v>2</v>
      </c>
      <c r="M593" s="13">
        <v>2364.83</v>
      </c>
      <c r="N593" s="15">
        <v>7.0000000000000007E-2</v>
      </c>
      <c r="O593" s="13">
        <v>5331.18</v>
      </c>
      <c r="P593" s="13">
        <v>2254.41</v>
      </c>
      <c r="Q593" s="13">
        <v>60.96</v>
      </c>
      <c r="R593" s="1" t="s">
        <v>51</v>
      </c>
      <c r="S593" s="1">
        <v>1</v>
      </c>
      <c r="T593" s="1" t="b">
        <v>0</v>
      </c>
      <c r="U593" s="1" t="s">
        <v>39</v>
      </c>
      <c r="V593" s="3">
        <v>4</v>
      </c>
    </row>
    <row r="594" spans="1:22" x14ac:dyDescent="0.3">
      <c r="A594" s="2" t="s">
        <v>1617</v>
      </c>
      <c r="B594" s="10">
        <v>45142</v>
      </c>
      <c r="C594" s="22">
        <v>45142</v>
      </c>
      <c r="D594" s="1" t="s">
        <v>1618</v>
      </c>
      <c r="E594" s="1" t="s">
        <v>621</v>
      </c>
      <c r="F594" s="1">
        <v>26</v>
      </c>
      <c r="G594" s="1" t="s">
        <v>68</v>
      </c>
      <c r="H594" s="1" t="s">
        <v>35</v>
      </c>
      <c r="I594" s="1" t="s">
        <v>106</v>
      </c>
      <c r="J594" s="1" t="s">
        <v>146</v>
      </c>
      <c r="K594" s="1" t="s">
        <v>484</v>
      </c>
      <c r="L594" s="1">
        <v>10</v>
      </c>
      <c r="M594" s="13">
        <v>10231.86</v>
      </c>
      <c r="N594" s="15">
        <v>0.33</v>
      </c>
      <c r="O594" s="13">
        <v>98825.46</v>
      </c>
      <c r="P594" s="13">
        <v>17642.86</v>
      </c>
      <c r="Q594" s="13">
        <v>40.200000000000003</v>
      </c>
      <c r="R594" s="1" t="s">
        <v>70</v>
      </c>
      <c r="S594" s="1">
        <v>2</v>
      </c>
      <c r="T594" s="1" t="b">
        <v>0</v>
      </c>
      <c r="U594" s="1" t="s">
        <v>39</v>
      </c>
      <c r="V594" s="3">
        <v>9</v>
      </c>
    </row>
    <row r="595" spans="1:22" x14ac:dyDescent="0.3">
      <c r="A595" s="2" t="s">
        <v>1619</v>
      </c>
      <c r="B595" s="10">
        <v>45396</v>
      </c>
      <c r="C595" s="22">
        <v>45396</v>
      </c>
      <c r="D595" s="1" t="s">
        <v>1620</v>
      </c>
      <c r="E595" s="1" t="s">
        <v>23</v>
      </c>
      <c r="F595" s="1">
        <v>22</v>
      </c>
      <c r="G595" s="1" t="s">
        <v>68</v>
      </c>
      <c r="H595" s="1" t="s">
        <v>82</v>
      </c>
      <c r="I595" s="1" t="s">
        <v>83</v>
      </c>
      <c r="J595" s="1" t="s">
        <v>62</v>
      </c>
      <c r="K595" s="1" t="s">
        <v>570</v>
      </c>
      <c r="L595" s="1">
        <v>1</v>
      </c>
      <c r="M595" s="13">
        <v>675.6</v>
      </c>
      <c r="N595" s="15">
        <v>0.09</v>
      </c>
      <c r="O595" s="13">
        <v>960.99</v>
      </c>
      <c r="P595" s="13">
        <v>301.26</v>
      </c>
      <c r="Q595" s="13">
        <v>94.17</v>
      </c>
      <c r="R595" s="1" t="s">
        <v>57</v>
      </c>
      <c r="S595" s="1">
        <v>5</v>
      </c>
      <c r="T595" s="1" t="b">
        <v>0</v>
      </c>
      <c r="U595" s="1" t="s">
        <v>137</v>
      </c>
      <c r="V595" s="3">
        <v>5</v>
      </c>
    </row>
    <row r="596" spans="1:22" x14ac:dyDescent="0.3">
      <c r="A596" s="2" t="s">
        <v>1621</v>
      </c>
      <c r="B596" s="10">
        <v>45113</v>
      </c>
      <c r="C596" s="22">
        <v>45113</v>
      </c>
      <c r="D596" s="1" t="s">
        <v>1622</v>
      </c>
      <c r="E596" s="1" t="s">
        <v>983</v>
      </c>
      <c r="F596" s="1">
        <v>34</v>
      </c>
      <c r="G596" s="1" t="s">
        <v>68</v>
      </c>
      <c r="H596" s="1" t="s">
        <v>25</v>
      </c>
      <c r="I596" s="1" t="s">
        <v>55</v>
      </c>
      <c r="J596" s="1" t="s">
        <v>127</v>
      </c>
      <c r="K596" s="1" t="s">
        <v>142</v>
      </c>
      <c r="L596" s="1">
        <v>3</v>
      </c>
      <c r="M596" s="13">
        <v>69702.559999999998</v>
      </c>
      <c r="N596" s="15">
        <v>0.36</v>
      </c>
      <c r="O596" s="13">
        <v>204235.41</v>
      </c>
      <c r="P596" s="13">
        <v>30667.19</v>
      </c>
      <c r="Q596" s="13">
        <v>72.010000000000005</v>
      </c>
      <c r="R596" s="1" t="s">
        <v>51</v>
      </c>
      <c r="S596" s="1">
        <v>5</v>
      </c>
      <c r="T596" s="1" t="b">
        <v>0</v>
      </c>
      <c r="U596" s="1" t="s">
        <v>39</v>
      </c>
      <c r="V596" s="3">
        <v>2</v>
      </c>
    </row>
    <row r="597" spans="1:22" x14ac:dyDescent="0.3">
      <c r="A597" s="2" t="s">
        <v>1623</v>
      </c>
      <c r="B597" s="10">
        <v>45280</v>
      </c>
      <c r="C597" s="22">
        <v>45280</v>
      </c>
      <c r="D597" s="1" t="s">
        <v>1624</v>
      </c>
      <c r="E597" s="1" t="s">
        <v>329</v>
      </c>
      <c r="F597" s="1">
        <v>59</v>
      </c>
      <c r="G597" s="1" t="s">
        <v>24</v>
      </c>
      <c r="H597" s="1" t="s">
        <v>82</v>
      </c>
      <c r="I597" s="1" t="s">
        <v>293</v>
      </c>
      <c r="J597" s="1" t="s">
        <v>37</v>
      </c>
      <c r="K597" s="1" t="s">
        <v>231</v>
      </c>
      <c r="L597" s="1">
        <v>4</v>
      </c>
      <c r="M597" s="13">
        <v>1670.09</v>
      </c>
      <c r="N597" s="15">
        <v>0.39</v>
      </c>
      <c r="O597" s="13">
        <v>3402.85</v>
      </c>
      <c r="P597" s="13">
        <v>1861.74</v>
      </c>
      <c r="Q597" s="13">
        <v>94.95</v>
      </c>
      <c r="R597" s="1" t="s">
        <v>78</v>
      </c>
      <c r="S597" s="1">
        <v>1</v>
      </c>
      <c r="T597" s="1" t="b">
        <v>1</v>
      </c>
      <c r="U597" s="1" t="s">
        <v>30</v>
      </c>
      <c r="V597" s="3">
        <v>6</v>
      </c>
    </row>
    <row r="598" spans="1:22" x14ac:dyDescent="0.3">
      <c r="A598" s="2" t="s">
        <v>1625</v>
      </c>
      <c r="B598" s="10">
        <v>45524</v>
      </c>
      <c r="C598" s="22">
        <v>45524</v>
      </c>
      <c r="D598" s="1" t="s">
        <v>1626</v>
      </c>
      <c r="E598" s="1" t="s">
        <v>1627</v>
      </c>
      <c r="F598" s="1">
        <v>20</v>
      </c>
      <c r="G598" s="1" t="s">
        <v>68</v>
      </c>
      <c r="H598" s="1" t="s">
        <v>35</v>
      </c>
      <c r="I598" s="1" t="s">
        <v>49</v>
      </c>
      <c r="J598" s="1" t="s">
        <v>44</v>
      </c>
      <c r="K598" s="1" t="s">
        <v>50</v>
      </c>
      <c r="L598" s="1">
        <v>7</v>
      </c>
      <c r="M598" s="13">
        <v>14200.86</v>
      </c>
      <c r="N598" s="15">
        <v>0.14000000000000001</v>
      </c>
      <c r="O598" s="13">
        <v>123743.08</v>
      </c>
      <c r="P598" s="13">
        <v>37065.68</v>
      </c>
      <c r="Q598" s="13">
        <v>54.52</v>
      </c>
      <c r="R598" s="1" t="s">
        <v>29</v>
      </c>
      <c r="S598" s="1">
        <v>2</v>
      </c>
      <c r="T598" s="1" t="b">
        <v>0</v>
      </c>
      <c r="U598" s="1" t="s">
        <v>39</v>
      </c>
      <c r="V598" s="3">
        <v>10</v>
      </c>
    </row>
    <row r="599" spans="1:22" x14ac:dyDescent="0.3">
      <c r="A599" s="2" t="s">
        <v>1628</v>
      </c>
      <c r="B599" s="10">
        <v>44469</v>
      </c>
      <c r="C599" s="22">
        <v>44469</v>
      </c>
      <c r="D599" s="1" t="s">
        <v>1629</v>
      </c>
      <c r="E599" s="1" t="s">
        <v>341</v>
      </c>
      <c r="F599" s="1">
        <v>31</v>
      </c>
      <c r="G599" s="1" t="s">
        <v>34</v>
      </c>
      <c r="H599" s="1" t="s">
        <v>82</v>
      </c>
      <c r="I599" s="1" t="s">
        <v>83</v>
      </c>
      <c r="J599" s="1" t="s">
        <v>62</v>
      </c>
      <c r="K599" s="1" t="s">
        <v>151</v>
      </c>
      <c r="L599" s="1">
        <v>3</v>
      </c>
      <c r="M599" s="13">
        <v>751.24</v>
      </c>
      <c r="N599" s="15">
        <v>0.34</v>
      </c>
      <c r="O599" s="13">
        <v>1754.21</v>
      </c>
      <c r="P599" s="13">
        <v>458.13</v>
      </c>
      <c r="Q599" s="13">
        <v>103.5</v>
      </c>
      <c r="R599" s="1" t="s">
        <v>29</v>
      </c>
      <c r="S599" s="1">
        <v>3</v>
      </c>
      <c r="T599" s="1" t="b">
        <v>0</v>
      </c>
      <c r="U599" s="1" t="s">
        <v>39</v>
      </c>
      <c r="V599" s="3">
        <v>10</v>
      </c>
    </row>
    <row r="600" spans="1:22" x14ac:dyDescent="0.3">
      <c r="A600" s="2" t="s">
        <v>1630</v>
      </c>
      <c r="B600" s="10">
        <v>45156</v>
      </c>
      <c r="C600" s="22">
        <v>45156</v>
      </c>
      <c r="D600" s="1" t="s">
        <v>1631</v>
      </c>
      <c r="E600" s="1" t="s">
        <v>1154</v>
      </c>
      <c r="F600" s="1">
        <v>50</v>
      </c>
      <c r="G600" s="1" t="s">
        <v>68</v>
      </c>
      <c r="H600" s="1" t="s">
        <v>111</v>
      </c>
      <c r="I600" s="1" t="s">
        <v>330</v>
      </c>
      <c r="J600" s="1" t="s">
        <v>44</v>
      </c>
      <c r="K600" s="1" t="s">
        <v>93</v>
      </c>
      <c r="L600" s="1">
        <v>7</v>
      </c>
      <c r="M600" s="13">
        <v>34829.83</v>
      </c>
      <c r="N600" s="15">
        <v>0.27</v>
      </c>
      <c r="O600" s="13">
        <v>251225.51</v>
      </c>
      <c r="P600" s="13">
        <v>87253.16</v>
      </c>
      <c r="Q600" s="13">
        <v>74.92</v>
      </c>
      <c r="R600" s="1" t="s">
        <v>51</v>
      </c>
      <c r="S600" s="1">
        <v>1</v>
      </c>
      <c r="T600" s="1" t="b">
        <v>0</v>
      </c>
      <c r="U600" s="1" t="s">
        <v>39</v>
      </c>
      <c r="V600" s="3">
        <v>9</v>
      </c>
    </row>
    <row r="601" spans="1:22" x14ac:dyDescent="0.3">
      <c r="A601" s="2" t="s">
        <v>1632</v>
      </c>
      <c r="B601" s="10">
        <v>44021</v>
      </c>
      <c r="C601" s="22">
        <v>44021</v>
      </c>
      <c r="D601" s="1" t="s">
        <v>1633</v>
      </c>
      <c r="E601" s="1" t="s">
        <v>105</v>
      </c>
      <c r="F601" s="1">
        <v>36</v>
      </c>
      <c r="G601" s="1" t="s">
        <v>24</v>
      </c>
      <c r="H601" s="1" t="s">
        <v>111</v>
      </c>
      <c r="I601" s="1" t="s">
        <v>141</v>
      </c>
      <c r="J601" s="1" t="s">
        <v>76</v>
      </c>
      <c r="K601" s="1" t="s">
        <v>113</v>
      </c>
      <c r="L601" s="1">
        <v>2</v>
      </c>
      <c r="M601" s="13">
        <v>2956.54</v>
      </c>
      <c r="N601" s="15">
        <v>0.38</v>
      </c>
      <c r="O601" s="13">
        <v>4033.47</v>
      </c>
      <c r="P601" s="13">
        <v>1730.04</v>
      </c>
      <c r="Q601" s="13">
        <v>80.22</v>
      </c>
      <c r="R601" s="1" t="s">
        <v>29</v>
      </c>
      <c r="S601" s="1">
        <v>4</v>
      </c>
      <c r="T601" s="1" t="b">
        <v>0</v>
      </c>
      <c r="U601" s="1" t="s">
        <v>39</v>
      </c>
      <c r="V601" s="3">
        <v>3</v>
      </c>
    </row>
    <row r="602" spans="1:22" x14ac:dyDescent="0.3">
      <c r="A602" s="2" t="s">
        <v>1634</v>
      </c>
      <c r="B602" s="10">
        <v>45158</v>
      </c>
      <c r="C602" s="22">
        <v>45158</v>
      </c>
      <c r="D602" s="1" t="s">
        <v>1635</v>
      </c>
      <c r="E602" s="1" t="s">
        <v>740</v>
      </c>
      <c r="F602" s="1">
        <v>29</v>
      </c>
      <c r="G602" s="1" t="s">
        <v>34</v>
      </c>
      <c r="H602" s="1" t="s">
        <v>25</v>
      </c>
      <c r="I602" s="1" t="s">
        <v>69</v>
      </c>
      <c r="J602" s="1" t="s">
        <v>146</v>
      </c>
      <c r="K602" s="1" t="s">
        <v>217</v>
      </c>
      <c r="L602" s="1">
        <v>4</v>
      </c>
      <c r="M602" s="13">
        <v>5660.42</v>
      </c>
      <c r="N602" s="15">
        <v>0.24</v>
      </c>
      <c r="O602" s="13">
        <v>22682.85</v>
      </c>
      <c r="P602" s="13">
        <v>4781.05</v>
      </c>
      <c r="Q602" s="13">
        <v>52.61</v>
      </c>
      <c r="R602" s="1" t="s">
        <v>78</v>
      </c>
      <c r="S602" s="1">
        <v>5</v>
      </c>
      <c r="T602" s="1" t="b">
        <v>0</v>
      </c>
      <c r="U602" s="1" t="s">
        <v>137</v>
      </c>
      <c r="V602" s="3">
        <v>6</v>
      </c>
    </row>
    <row r="603" spans="1:22" x14ac:dyDescent="0.3">
      <c r="A603" s="2" t="s">
        <v>1636</v>
      </c>
      <c r="B603" s="10">
        <v>43853</v>
      </c>
      <c r="C603" s="22">
        <v>43853</v>
      </c>
      <c r="D603" s="1" t="s">
        <v>1637</v>
      </c>
      <c r="E603" s="1" t="s">
        <v>1638</v>
      </c>
      <c r="F603" s="1">
        <v>53</v>
      </c>
      <c r="G603" s="1" t="s">
        <v>68</v>
      </c>
      <c r="H603" s="1" t="s">
        <v>74</v>
      </c>
      <c r="I603" s="1" t="s">
        <v>101</v>
      </c>
      <c r="J603" s="1" t="s">
        <v>76</v>
      </c>
      <c r="K603" s="1" t="s">
        <v>89</v>
      </c>
      <c r="L603" s="1">
        <v>1</v>
      </c>
      <c r="M603" s="13">
        <v>3054</v>
      </c>
      <c r="N603" s="15">
        <v>0.03</v>
      </c>
      <c r="O603" s="13">
        <v>2217.29</v>
      </c>
      <c r="P603" s="13">
        <v>558.25</v>
      </c>
      <c r="Q603" s="13">
        <v>82.49</v>
      </c>
      <c r="R603" s="1" t="s">
        <v>51</v>
      </c>
      <c r="S603" s="1">
        <v>4</v>
      </c>
      <c r="T603" s="1" t="b">
        <v>0</v>
      </c>
      <c r="U603" s="1" t="s">
        <v>39</v>
      </c>
      <c r="V603" s="3">
        <v>9</v>
      </c>
    </row>
    <row r="604" spans="1:22" x14ac:dyDescent="0.3">
      <c r="A604" s="2" t="s">
        <v>1639</v>
      </c>
      <c r="B604" s="10">
        <v>45543</v>
      </c>
      <c r="C604" s="22">
        <v>45543</v>
      </c>
      <c r="D604" s="1" t="s">
        <v>1640</v>
      </c>
      <c r="E604" s="1" t="s">
        <v>279</v>
      </c>
      <c r="F604" s="1">
        <v>28</v>
      </c>
      <c r="G604" s="1" t="s">
        <v>24</v>
      </c>
      <c r="H604" s="1" t="s">
        <v>35</v>
      </c>
      <c r="I604" s="1" t="s">
        <v>49</v>
      </c>
      <c r="J604" s="1" t="s">
        <v>76</v>
      </c>
      <c r="K604" s="1" t="s">
        <v>207</v>
      </c>
      <c r="L604" s="1">
        <v>1</v>
      </c>
      <c r="M604" s="13">
        <v>3018.11</v>
      </c>
      <c r="N604" s="15">
        <v>0</v>
      </c>
      <c r="O604" s="13">
        <v>3776.1</v>
      </c>
      <c r="P604" s="13">
        <v>922.32</v>
      </c>
      <c r="Q604" s="13">
        <v>65.86</v>
      </c>
      <c r="R604" s="1" t="s">
        <v>29</v>
      </c>
      <c r="S604" s="1">
        <v>3</v>
      </c>
      <c r="T604" s="1" t="b">
        <v>0</v>
      </c>
      <c r="U604" s="1" t="s">
        <v>84</v>
      </c>
      <c r="V604" s="3">
        <v>3</v>
      </c>
    </row>
    <row r="605" spans="1:22" x14ac:dyDescent="0.3">
      <c r="A605" s="2" t="s">
        <v>1641</v>
      </c>
      <c r="B605" s="10">
        <v>44028</v>
      </c>
      <c r="C605" s="22">
        <v>44028</v>
      </c>
      <c r="D605" s="1" t="s">
        <v>1642</v>
      </c>
      <c r="E605" s="1" t="s">
        <v>476</v>
      </c>
      <c r="F605" s="1">
        <v>20</v>
      </c>
      <c r="G605" s="1" t="s">
        <v>24</v>
      </c>
      <c r="H605" s="1" t="s">
        <v>82</v>
      </c>
      <c r="I605" s="1" t="s">
        <v>83</v>
      </c>
      <c r="J605" s="1" t="s">
        <v>62</v>
      </c>
      <c r="K605" s="1" t="s">
        <v>570</v>
      </c>
      <c r="L605" s="1">
        <v>4</v>
      </c>
      <c r="M605" s="13">
        <v>585.03</v>
      </c>
      <c r="N605" s="15">
        <v>0.39</v>
      </c>
      <c r="O605" s="13">
        <v>1538.2</v>
      </c>
      <c r="P605" s="13">
        <v>656.23</v>
      </c>
      <c r="Q605" s="13">
        <v>105.88</v>
      </c>
      <c r="R605" s="1" t="s">
        <v>57</v>
      </c>
      <c r="S605" s="1">
        <v>5</v>
      </c>
      <c r="T605" s="1" t="b">
        <v>0</v>
      </c>
      <c r="U605" s="1" t="s">
        <v>39</v>
      </c>
      <c r="V605" s="3">
        <v>1</v>
      </c>
    </row>
    <row r="606" spans="1:22" x14ac:dyDescent="0.3">
      <c r="A606" s="2" t="s">
        <v>1643</v>
      </c>
      <c r="B606" s="10">
        <v>43906</v>
      </c>
      <c r="C606" s="22">
        <v>43906</v>
      </c>
      <c r="D606" s="1" t="s">
        <v>1644</v>
      </c>
      <c r="E606" s="1" t="s">
        <v>1645</v>
      </c>
      <c r="F606" s="1">
        <v>35</v>
      </c>
      <c r="G606" s="1" t="s">
        <v>24</v>
      </c>
      <c r="H606" s="1" t="s">
        <v>74</v>
      </c>
      <c r="I606" s="1" t="s">
        <v>192</v>
      </c>
      <c r="J606" s="1" t="s">
        <v>27</v>
      </c>
      <c r="K606" s="1" t="s">
        <v>450</v>
      </c>
      <c r="L606" s="1">
        <v>9</v>
      </c>
      <c r="M606" s="13">
        <v>167.67</v>
      </c>
      <c r="N606" s="15">
        <v>0.25</v>
      </c>
      <c r="O606" s="13">
        <v>1072.27</v>
      </c>
      <c r="P606" s="13">
        <v>93.59</v>
      </c>
      <c r="Q606" s="13">
        <v>68.23</v>
      </c>
      <c r="R606" s="1" t="s">
        <v>64</v>
      </c>
      <c r="S606" s="1">
        <v>1</v>
      </c>
      <c r="T606" s="1" t="b">
        <v>0</v>
      </c>
      <c r="U606" s="1" t="s">
        <v>39</v>
      </c>
      <c r="V606" s="3">
        <v>7</v>
      </c>
    </row>
    <row r="607" spans="1:22" x14ac:dyDescent="0.3">
      <c r="A607" s="2" t="s">
        <v>1646</v>
      </c>
      <c r="B607" s="10">
        <v>45403</v>
      </c>
      <c r="C607" s="22">
        <v>45403</v>
      </c>
      <c r="D607" s="1" t="s">
        <v>1647</v>
      </c>
      <c r="E607" s="1" t="s">
        <v>638</v>
      </c>
      <c r="F607" s="1">
        <v>46</v>
      </c>
      <c r="G607" s="1" t="s">
        <v>68</v>
      </c>
      <c r="H607" s="1" t="s">
        <v>74</v>
      </c>
      <c r="I607" s="1" t="s">
        <v>136</v>
      </c>
      <c r="J607" s="1" t="s">
        <v>62</v>
      </c>
      <c r="K607" s="1" t="s">
        <v>266</v>
      </c>
      <c r="L607" s="1">
        <v>9</v>
      </c>
      <c r="M607" s="13">
        <v>518.92999999999995</v>
      </c>
      <c r="N607" s="15">
        <v>0.18</v>
      </c>
      <c r="O607" s="13">
        <v>6095.48</v>
      </c>
      <c r="P607" s="13">
        <v>2092.3200000000002</v>
      </c>
      <c r="Q607" s="13">
        <v>33.549999999999997</v>
      </c>
      <c r="R607" s="1" t="s">
        <v>57</v>
      </c>
      <c r="S607" s="1">
        <v>3</v>
      </c>
      <c r="T607" s="1" t="b">
        <v>0</v>
      </c>
      <c r="U607" s="1" t="s">
        <v>39</v>
      </c>
      <c r="V607" s="3">
        <v>3</v>
      </c>
    </row>
    <row r="608" spans="1:22" x14ac:dyDescent="0.3">
      <c r="A608" s="2" t="s">
        <v>1648</v>
      </c>
      <c r="B608" s="10">
        <v>45496</v>
      </c>
      <c r="C608" s="22">
        <v>45496</v>
      </c>
      <c r="D608" s="1" t="s">
        <v>1649</v>
      </c>
      <c r="E608" s="1" t="s">
        <v>1650</v>
      </c>
      <c r="F608" s="1">
        <v>12</v>
      </c>
      <c r="G608" s="1" t="s">
        <v>24</v>
      </c>
      <c r="H608" s="1" t="s">
        <v>111</v>
      </c>
      <c r="I608" s="1" t="s">
        <v>112</v>
      </c>
      <c r="J608" s="1" t="s">
        <v>62</v>
      </c>
      <c r="K608" s="1" t="s">
        <v>283</v>
      </c>
      <c r="L608" s="1">
        <v>9</v>
      </c>
      <c r="M608" s="13">
        <v>1016.4</v>
      </c>
      <c r="N608" s="15">
        <v>0.28000000000000003</v>
      </c>
      <c r="O608" s="13">
        <v>11448.61</v>
      </c>
      <c r="P608" s="13">
        <v>5111.04</v>
      </c>
      <c r="Q608" s="13">
        <v>85.13</v>
      </c>
      <c r="R608" s="1" t="s">
        <v>51</v>
      </c>
      <c r="S608" s="1">
        <v>2</v>
      </c>
      <c r="T608" s="1" t="b">
        <v>0</v>
      </c>
      <c r="U608" s="1" t="s">
        <v>39</v>
      </c>
      <c r="V608" s="3">
        <v>5</v>
      </c>
    </row>
    <row r="609" spans="1:22" x14ac:dyDescent="0.3">
      <c r="A609" s="2" t="s">
        <v>1651</v>
      </c>
      <c r="B609" s="10">
        <v>44141</v>
      </c>
      <c r="C609" s="22">
        <v>44141</v>
      </c>
      <c r="D609" s="1" t="s">
        <v>1652</v>
      </c>
      <c r="E609" s="1" t="s">
        <v>1653</v>
      </c>
      <c r="F609" s="1">
        <v>34</v>
      </c>
      <c r="G609" s="1" t="s">
        <v>68</v>
      </c>
      <c r="H609" s="1" t="s">
        <v>111</v>
      </c>
      <c r="I609" s="1" t="s">
        <v>330</v>
      </c>
      <c r="J609" s="1" t="s">
        <v>146</v>
      </c>
      <c r="K609" s="1" t="s">
        <v>178</v>
      </c>
      <c r="L609" s="1">
        <v>1</v>
      </c>
      <c r="M609" s="13">
        <v>1702.99</v>
      </c>
      <c r="N609" s="15">
        <v>0.09</v>
      </c>
      <c r="O609" s="13">
        <v>1106.02</v>
      </c>
      <c r="P609" s="13">
        <v>224.4</v>
      </c>
      <c r="Q609" s="13">
        <v>73.430000000000007</v>
      </c>
      <c r="R609" s="1" t="s">
        <v>70</v>
      </c>
      <c r="S609" s="1">
        <v>5</v>
      </c>
      <c r="T609" s="1" t="b">
        <v>0</v>
      </c>
      <c r="U609" s="1" t="s">
        <v>39</v>
      </c>
      <c r="V609" s="3">
        <v>4</v>
      </c>
    </row>
    <row r="610" spans="1:22" x14ac:dyDescent="0.3">
      <c r="A610" s="2" t="s">
        <v>1654</v>
      </c>
      <c r="B610" s="10">
        <v>45611</v>
      </c>
      <c r="C610" s="22">
        <v>45611</v>
      </c>
      <c r="D610" s="1" t="s">
        <v>1655</v>
      </c>
      <c r="E610" s="1" t="s">
        <v>1591</v>
      </c>
      <c r="F610" s="1">
        <v>23</v>
      </c>
      <c r="G610" s="1" t="s">
        <v>34</v>
      </c>
      <c r="H610" s="1" t="s">
        <v>111</v>
      </c>
      <c r="I610" s="1" t="s">
        <v>330</v>
      </c>
      <c r="J610" s="1" t="s">
        <v>44</v>
      </c>
      <c r="K610" s="1" t="s">
        <v>221</v>
      </c>
      <c r="L610" s="1">
        <v>9</v>
      </c>
      <c r="M610" s="13">
        <v>21959.46</v>
      </c>
      <c r="N610" s="15">
        <v>0.26</v>
      </c>
      <c r="O610" s="13">
        <v>157002.59</v>
      </c>
      <c r="P610" s="13">
        <v>28723.82</v>
      </c>
      <c r="Q610" s="13">
        <v>58.03</v>
      </c>
      <c r="R610" s="1" t="s">
        <v>29</v>
      </c>
      <c r="S610" s="1">
        <v>1</v>
      </c>
      <c r="T610" s="1" t="b">
        <v>0</v>
      </c>
      <c r="U610" s="1" t="s">
        <v>39</v>
      </c>
      <c r="V610" s="3">
        <v>3</v>
      </c>
    </row>
    <row r="611" spans="1:22" x14ac:dyDescent="0.3">
      <c r="A611" s="2" t="s">
        <v>1656</v>
      </c>
      <c r="B611" s="10">
        <v>44266</v>
      </c>
      <c r="C611" s="22">
        <v>44266</v>
      </c>
      <c r="D611" s="1" t="s">
        <v>1657</v>
      </c>
      <c r="E611" s="1" t="s">
        <v>481</v>
      </c>
      <c r="F611" s="1">
        <v>34</v>
      </c>
      <c r="G611" s="1" t="s">
        <v>68</v>
      </c>
      <c r="H611" s="1" t="s">
        <v>74</v>
      </c>
      <c r="I611" s="1" t="s">
        <v>192</v>
      </c>
      <c r="J611" s="1" t="s">
        <v>127</v>
      </c>
      <c r="K611" s="1" t="s">
        <v>128</v>
      </c>
      <c r="L611" s="1">
        <v>7</v>
      </c>
      <c r="M611" s="13">
        <v>75319.55</v>
      </c>
      <c r="N611" s="15">
        <v>0.06</v>
      </c>
      <c r="O611" s="13">
        <v>571655.9</v>
      </c>
      <c r="P611" s="13">
        <v>51762.81</v>
      </c>
      <c r="Q611" s="13">
        <v>44.32</v>
      </c>
      <c r="R611" s="1" t="s">
        <v>29</v>
      </c>
      <c r="S611" s="1">
        <v>3</v>
      </c>
      <c r="T611" s="1" t="b">
        <v>0</v>
      </c>
      <c r="U611" s="1" t="s">
        <v>39</v>
      </c>
      <c r="V611" s="3">
        <v>3</v>
      </c>
    </row>
    <row r="612" spans="1:22" x14ac:dyDescent="0.3">
      <c r="A612" s="2" t="s">
        <v>1658</v>
      </c>
      <c r="B612" s="10">
        <v>45232</v>
      </c>
      <c r="C612" s="22">
        <v>45232</v>
      </c>
      <c r="D612" s="1" t="s">
        <v>1659</v>
      </c>
      <c r="E612" s="1" t="s">
        <v>781</v>
      </c>
      <c r="F612" s="1">
        <v>36</v>
      </c>
      <c r="G612" s="1" t="s">
        <v>24</v>
      </c>
      <c r="H612" s="1" t="s">
        <v>25</v>
      </c>
      <c r="I612" s="1" t="s">
        <v>55</v>
      </c>
      <c r="J612" s="1" t="s">
        <v>44</v>
      </c>
      <c r="K612" s="1" t="s">
        <v>50</v>
      </c>
      <c r="L612" s="1">
        <v>6</v>
      </c>
      <c r="M612" s="13">
        <v>12617.99</v>
      </c>
      <c r="N612" s="15">
        <v>0.05</v>
      </c>
      <c r="O612" s="13">
        <v>66859.47</v>
      </c>
      <c r="P612" s="13">
        <v>19527.7</v>
      </c>
      <c r="Q612" s="13">
        <v>32.57</v>
      </c>
      <c r="R612" s="1" t="s">
        <v>29</v>
      </c>
      <c r="S612" s="1">
        <v>4</v>
      </c>
      <c r="T612" s="1" t="b">
        <v>0</v>
      </c>
      <c r="U612" s="1" t="s">
        <v>39</v>
      </c>
      <c r="V612" s="3">
        <v>9</v>
      </c>
    </row>
    <row r="613" spans="1:22" x14ac:dyDescent="0.3">
      <c r="A613" s="2" t="s">
        <v>1660</v>
      </c>
      <c r="B613" s="10">
        <v>43893</v>
      </c>
      <c r="C613" s="22">
        <v>43893</v>
      </c>
      <c r="D613" s="1" t="s">
        <v>1661</v>
      </c>
      <c r="E613" s="1" t="s">
        <v>473</v>
      </c>
      <c r="F613" s="1">
        <v>35</v>
      </c>
      <c r="G613" s="1" t="s">
        <v>68</v>
      </c>
      <c r="H613" s="1" t="s">
        <v>82</v>
      </c>
      <c r="I613" s="1" t="s">
        <v>293</v>
      </c>
      <c r="J613" s="1" t="s">
        <v>62</v>
      </c>
      <c r="K613" s="1" t="s">
        <v>107</v>
      </c>
      <c r="L613" s="1">
        <v>1</v>
      </c>
      <c r="M613" s="13">
        <v>928.19</v>
      </c>
      <c r="N613" s="15">
        <v>0.28999999999999998</v>
      </c>
      <c r="O613" s="13">
        <v>699.17</v>
      </c>
      <c r="P613" s="13">
        <v>249.77</v>
      </c>
      <c r="Q613" s="13">
        <v>65.349999999999994</v>
      </c>
      <c r="R613" s="1" t="s">
        <v>57</v>
      </c>
      <c r="S613" s="1">
        <v>5</v>
      </c>
      <c r="T613" s="1" t="b">
        <v>0</v>
      </c>
      <c r="U613" s="1" t="s">
        <v>84</v>
      </c>
      <c r="V613" s="3">
        <v>9</v>
      </c>
    </row>
    <row r="614" spans="1:22" x14ac:dyDescent="0.3">
      <c r="A614" s="2" t="s">
        <v>1662</v>
      </c>
      <c r="B614" s="10">
        <v>44465</v>
      </c>
      <c r="C614" s="22">
        <v>44465</v>
      </c>
      <c r="D614" s="1" t="s">
        <v>1270</v>
      </c>
      <c r="E614" s="1" t="s">
        <v>460</v>
      </c>
      <c r="F614" s="1">
        <v>31</v>
      </c>
      <c r="G614" s="1" t="s">
        <v>24</v>
      </c>
      <c r="H614" s="1" t="s">
        <v>35</v>
      </c>
      <c r="I614" s="1" t="s">
        <v>36</v>
      </c>
      <c r="J614" s="1" t="s">
        <v>76</v>
      </c>
      <c r="K614" s="1" t="s">
        <v>132</v>
      </c>
      <c r="L614" s="1">
        <v>6</v>
      </c>
      <c r="M614" s="13">
        <v>1744.18</v>
      </c>
      <c r="N614" s="15">
        <v>0.2</v>
      </c>
      <c r="O614" s="13">
        <v>8503.76</v>
      </c>
      <c r="P614" s="13">
        <v>2737.92</v>
      </c>
      <c r="Q614" s="13">
        <v>72.31</v>
      </c>
      <c r="R614" s="1" t="s">
        <v>64</v>
      </c>
      <c r="S614" s="1">
        <v>5</v>
      </c>
      <c r="T614" s="1" t="b">
        <v>0</v>
      </c>
      <c r="U614" s="1" t="s">
        <v>137</v>
      </c>
      <c r="V614" s="3">
        <v>5</v>
      </c>
    </row>
    <row r="615" spans="1:22" x14ac:dyDescent="0.3">
      <c r="A615" s="2" t="s">
        <v>1663</v>
      </c>
      <c r="B615" s="10">
        <v>45511</v>
      </c>
      <c r="C615" s="22">
        <v>45511</v>
      </c>
      <c r="D615" s="1" t="s">
        <v>1664</v>
      </c>
      <c r="E615" s="1" t="s">
        <v>1665</v>
      </c>
      <c r="F615" s="1">
        <v>34</v>
      </c>
      <c r="G615" s="1" t="s">
        <v>68</v>
      </c>
      <c r="H615" s="1" t="s">
        <v>74</v>
      </c>
      <c r="I615" s="1" t="s">
        <v>101</v>
      </c>
      <c r="J615" s="1" t="s">
        <v>37</v>
      </c>
      <c r="K615" s="1" t="s">
        <v>102</v>
      </c>
      <c r="L615" s="1">
        <v>8</v>
      </c>
      <c r="M615" s="13">
        <v>1652.49</v>
      </c>
      <c r="N615" s="15">
        <v>0.27</v>
      </c>
      <c r="O615" s="13">
        <v>14214.4</v>
      </c>
      <c r="P615" s="13">
        <v>5014</v>
      </c>
      <c r="Q615" s="13">
        <v>26.94</v>
      </c>
      <c r="R615" s="1" t="s">
        <v>57</v>
      </c>
      <c r="S615" s="1">
        <v>1</v>
      </c>
      <c r="T615" s="1" t="b">
        <v>0</v>
      </c>
      <c r="U615" s="1" t="s">
        <v>197</v>
      </c>
      <c r="V615" s="3">
        <v>2</v>
      </c>
    </row>
    <row r="616" spans="1:22" x14ac:dyDescent="0.3">
      <c r="A616" s="2" t="s">
        <v>1666</v>
      </c>
      <c r="B616" s="10">
        <v>44880</v>
      </c>
      <c r="C616" s="22">
        <v>44880</v>
      </c>
      <c r="D616" s="1" t="s">
        <v>1667</v>
      </c>
      <c r="E616" s="1" t="s">
        <v>499</v>
      </c>
      <c r="F616" s="1">
        <v>36</v>
      </c>
      <c r="G616" s="1" t="s">
        <v>34</v>
      </c>
      <c r="H616" s="1" t="s">
        <v>74</v>
      </c>
      <c r="I616" s="1" t="s">
        <v>192</v>
      </c>
      <c r="J616" s="1" t="s">
        <v>146</v>
      </c>
      <c r="K616" s="1" t="s">
        <v>161</v>
      </c>
      <c r="L616" s="1">
        <v>4</v>
      </c>
      <c r="M616" s="13">
        <v>1627.2</v>
      </c>
      <c r="N616" s="15">
        <v>0.35</v>
      </c>
      <c r="O616" s="13">
        <v>3842.87</v>
      </c>
      <c r="P616" s="13">
        <v>894.8</v>
      </c>
      <c r="Q616" s="13">
        <v>32.06</v>
      </c>
      <c r="R616" s="1" t="s">
        <v>51</v>
      </c>
      <c r="S616" s="1">
        <v>4</v>
      </c>
      <c r="T616" s="1" t="b">
        <v>0</v>
      </c>
      <c r="U616" s="1" t="s">
        <v>39</v>
      </c>
      <c r="V616" s="3">
        <v>1</v>
      </c>
    </row>
    <row r="617" spans="1:22" x14ac:dyDescent="0.3">
      <c r="A617" s="2" t="s">
        <v>1668</v>
      </c>
      <c r="B617" s="10">
        <v>44546</v>
      </c>
      <c r="C617" s="22">
        <v>44546</v>
      </c>
      <c r="D617" s="1" t="s">
        <v>1669</v>
      </c>
      <c r="E617" s="1" t="s">
        <v>988</v>
      </c>
      <c r="F617" s="1">
        <v>29</v>
      </c>
      <c r="G617" s="1" t="s">
        <v>434</v>
      </c>
      <c r="H617" s="1" t="s">
        <v>35</v>
      </c>
      <c r="I617" s="1" t="s">
        <v>43</v>
      </c>
      <c r="J617" s="1" t="s">
        <v>76</v>
      </c>
      <c r="K617" s="1" t="s">
        <v>122</v>
      </c>
      <c r="L617" s="1">
        <v>1</v>
      </c>
      <c r="M617" s="13">
        <v>3977.51</v>
      </c>
      <c r="N617" s="15">
        <v>0.3</v>
      </c>
      <c r="O617" s="13">
        <v>1958.29</v>
      </c>
      <c r="P617" s="13">
        <v>447.76</v>
      </c>
      <c r="Q617" s="13">
        <v>61.65</v>
      </c>
      <c r="R617" s="1" t="s">
        <v>78</v>
      </c>
      <c r="S617" s="1">
        <v>1</v>
      </c>
      <c r="T617" s="1" t="b">
        <v>0</v>
      </c>
      <c r="U617" s="1" t="s">
        <v>39</v>
      </c>
      <c r="V617" s="3">
        <v>9</v>
      </c>
    </row>
    <row r="618" spans="1:22" x14ac:dyDescent="0.3">
      <c r="A618" s="2" t="s">
        <v>1670</v>
      </c>
      <c r="B618" s="10">
        <v>45513</v>
      </c>
      <c r="C618" s="22">
        <v>45513</v>
      </c>
      <c r="D618" s="1" t="s">
        <v>1671</v>
      </c>
      <c r="E618" s="1" t="s">
        <v>1672</v>
      </c>
      <c r="F618" s="1">
        <v>22</v>
      </c>
      <c r="G618" s="1" t="s">
        <v>24</v>
      </c>
      <c r="H618" s="1" t="s">
        <v>35</v>
      </c>
      <c r="I618" s="1" t="s">
        <v>36</v>
      </c>
      <c r="J618" s="1" t="s">
        <v>62</v>
      </c>
      <c r="K618" s="1" t="s">
        <v>107</v>
      </c>
      <c r="L618" s="1">
        <v>10</v>
      </c>
      <c r="M618" s="13">
        <v>742.8</v>
      </c>
      <c r="N618" s="15">
        <v>0.27</v>
      </c>
      <c r="O618" s="13">
        <v>7769.9</v>
      </c>
      <c r="P618" s="13">
        <v>2273.34</v>
      </c>
      <c r="Q618" s="13">
        <v>49.53</v>
      </c>
      <c r="R618" s="1" t="s">
        <v>64</v>
      </c>
      <c r="S618" s="1">
        <v>5</v>
      </c>
      <c r="T618" s="1" t="b">
        <v>0</v>
      </c>
      <c r="U618" s="1" t="s">
        <v>39</v>
      </c>
      <c r="V618" s="3">
        <v>2</v>
      </c>
    </row>
    <row r="619" spans="1:22" x14ac:dyDescent="0.3">
      <c r="A619" s="2" t="s">
        <v>1673</v>
      </c>
      <c r="B619" s="10">
        <v>44056</v>
      </c>
      <c r="C619" s="22">
        <v>44056</v>
      </c>
      <c r="D619" s="1" t="s">
        <v>1674</v>
      </c>
      <c r="E619" s="1" t="s">
        <v>594</v>
      </c>
      <c r="F619" s="1">
        <v>21</v>
      </c>
      <c r="G619" s="1" t="s">
        <v>24</v>
      </c>
      <c r="H619" s="1" t="s">
        <v>35</v>
      </c>
      <c r="I619" s="1" t="s">
        <v>43</v>
      </c>
      <c r="J619" s="1" t="s">
        <v>27</v>
      </c>
      <c r="K619" s="1" t="s">
        <v>28</v>
      </c>
      <c r="L619" s="1">
        <v>10</v>
      </c>
      <c r="M619" s="13">
        <v>321.17</v>
      </c>
      <c r="N619" s="15">
        <v>0.36</v>
      </c>
      <c r="O619" s="13">
        <v>2171.58</v>
      </c>
      <c r="P619" s="13">
        <v>181.47</v>
      </c>
      <c r="Q619" s="13">
        <v>51.28</v>
      </c>
      <c r="R619" s="1" t="s">
        <v>57</v>
      </c>
      <c r="S619" s="1">
        <v>5</v>
      </c>
      <c r="T619" s="1" t="b">
        <v>0</v>
      </c>
      <c r="U619" s="1" t="s">
        <v>39</v>
      </c>
      <c r="V619" s="3">
        <v>1</v>
      </c>
    </row>
    <row r="620" spans="1:22" x14ac:dyDescent="0.3">
      <c r="A620" s="2" t="s">
        <v>1675</v>
      </c>
      <c r="B620" s="10">
        <v>43899</v>
      </c>
      <c r="C620" s="22">
        <v>43899</v>
      </c>
      <c r="D620" s="1" t="s">
        <v>1676</v>
      </c>
      <c r="E620" s="1" t="s">
        <v>311</v>
      </c>
      <c r="F620" s="1">
        <v>33</v>
      </c>
      <c r="G620" s="1" t="s">
        <v>34</v>
      </c>
      <c r="H620" s="1" t="s">
        <v>111</v>
      </c>
      <c r="I620" s="1" t="s">
        <v>330</v>
      </c>
      <c r="J620" s="1" t="s">
        <v>62</v>
      </c>
      <c r="K620" s="1" t="s">
        <v>283</v>
      </c>
      <c r="L620" s="1">
        <v>6</v>
      </c>
      <c r="M620" s="13">
        <v>997.06</v>
      </c>
      <c r="N620" s="15">
        <v>0.35</v>
      </c>
      <c r="O620" s="13">
        <v>3628.96</v>
      </c>
      <c r="P620" s="13">
        <v>1433.29</v>
      </c>
      <c r="Q620" s="13">
        <v>49.84</v>
      </c>
      <c r="R620" s="1" t="s">
        <v>64</v>
      </c>
      <c r="S620" s="1">
        <v>3</v>
      </c>
      <c r="T620" s="1" t="b">
        <v>0</v>
      </c>
      <c r="U620" s="1" t="s">
        <v>39</v>
      </c>
      <c r="V620" s="3">
        <v>4</v>
      </c>
    </row>
    <row r="621" spans="1:22" x14ac:dyDescent="0.3">
      <c r="A621" s="2" t="s">
        <v>1677</v>
      </c>
      <c r="B621" s="10">
        <v>45044</v>
      </c>
      <c r="C621" s="22">
        <v>45044</v>
      </c>
      <c r="D621" s="1" t="s">
        <v>1678</v>
      </c>
      <c r="E621" s="1" t="s">
        <v>781</v>
      </c>
      <c r="F621" s="1">
        <v>35</v>
      </c>
      <c r="G621" s="1" t="s">
        <v>68</v>
      </c>
      <c r="H621" s="1" t="s">
        <v>111</v>
      </c>
      <c r="I621" s="1" t="s">
        <v>330</v>
      </c>
      <c r="J621" s="1" t="s">
        <v>27</v>
      </c>
      <c r="K621" s="1" t="s">
        <v>450</v>
      </c>
      <c r="L621" s="1">
        <v>10</v>
      </c>
      <c r="M621" s="13">
        <v>310.75</v>
      </c>
      <c r="N621" s="15">
        <v>0.28000000000000003</v>
      </c>
      <c r="O621" s="13">
        <v>2966.57</v>
      </c>
      <c r="P621" s="13">
        <v>220.38</v>
      </c>
      <c r="Q621" s="13">
        <v>68.83</v>
      </c>
      <c r="R621" s="1" t="s">
        <v>51</v>
      </c>
      <c r="S621" s="1">
        <v>3</v>
      </c>
      <c r="T621" s="1" t="b">
        <v>0</v>
      </c>
      <c r="U621" s="1" t="s">
        <v>39</v>
      </c>
      <c r="V621" s="3">
        <v>7</v>
      </c>
    </row>
    <row r="622" spans="1:22" x14ac:dyDescent="0.3">
      <c r="A622" s="2" t="s">
        <v>1679</v>
      </c>
      <c r="B622" s="10">
        <v>45218</v>
      </c>
      <c r="C622" s="22">
        <v>45218</v>
      </c>
      <c r="D622" s="1" t="s">
        <v>1680</v>
      </c>
      <c r="E622" s="1" t="s">
        <v>1681</v>
      </c>
      <c r="F622" s="1">
        <v>23</v>
      </c>
      <c r="G622" s="1" t="s">
        <v>68</v>
      </c>
      <c r="H622" s="1" t="s">
        <v>25</v>
      </c>
      <c r="I622" s="1" t="s">
        <v>170</v>
      </c>
      <c r="J622" s="1" t="s">
        <v>146</v>
      </c>
      <c r="K622" s="1" t="s">
        <v>276</v>
      </c>
      <c r="L622" s="1">
        <v>3</v>
      </c>
      <c r="M622" s="13">
        <v>13795.34</v>
      </c>
      <c r="N622" s="15">
        <v>0.33</v>
      </c>
      <c r="O622" s="13">
        <v>30187.27</v>
      </c>
      <c r="P622" s="13">
        <v>7482.85</v>
      </c>
      <c r="Q622" s="13">
        <v>39.479999999999997</v>
      </c>
      <c r="R622" s="1" t="s">
        <v>70</v>
      </c>
      <c r="S622" s="1">
        <v>5</v>
      </c>
      <c r="T622" s="1" t="b">
        <v>0</v>
      </c>
      <c r="U622" s="1" t="s">
        <v>39</v>
      </c>
      <c r="V622" s="3">
        <v>9</v>
      </c>
    </row>
    <row r="623" spans="1:22" x14ac:dyDescent="0.3">
      <c r="A623" s="2" t="s">
        <v>1682</v>
      </c>
      <c r="B623" s="10">
        <v>45026</v>
      </c>
      <c r="C623" s="22">
        <v>45026</v>
      </c>
      <c r="D623" s="1" t="s">
        <v>1683</v>
      </c>
      <c r="E623" s="1" t="s">
        <v>1684</v>
      </c>
      <c r="F623" s="1">
        <v>49</v>
      </c>
      <c r="G623" s="1" t="s">
        <v>34</v>
      </c>
      <c r="H623" s="1" t="s">
        <v>35</v>
      </c>
      <c r="I623" s="1" t="s">
        <v>106</v>
      </c>
      <c r="J623" s="1" t="s">
        <v>146</v>
      </c>
      <c r="K623" s="1" t="s">
        <v>276</v>
      </c>
      <c r="L623" s="1">
        <v>3</v>
      </c>
      <c r="M623" s="13">
        <v>11672.79</v>
      </c>
      <c r="N623" s="15">
        <v>0.26</v>
      </c>
      <c r="O623" s="13">
        <v>39508.65</v>
      </c>
      <c r="P623" s="13">
        <v>10514.43</v>
      </c>
      <c r="Q623" s="13">
        <v>77.349999999999994</v>
      </c>
      <c r="R623" s="1" t="s">
        <v>51</v>
      </c>
      <c r="S623" s="1">
        <v>2</v>
      </c>
      <c r="T623" s="1" t="b">
        <v>0</v>
      </c>
      <c r="U623" s="1" t="s">
        <v>137</v>
      </c>
      <c r="V623" s="3">
        <v>2</v>
      </c>
    </row>
    <row r="624" spans="1:22" x14ac:dyDescent="0.3">
      <c r="A624" s="2" t="s">
        <v>1685</v>
      </c>
      <c r="B624" s="10">
        <v>44675</v>
      </c>
      <c r="C624" s="22">
        <v>44675</v>
      </c>
      <c r="D624" s="1" t="s">
        <v>1686</v>
      </c>
      <c r="E624" s="1" t="s">
        <v>611</v>
      </c>
      <c r="F624" s="1">
        <v>18</v>
      </c>
      <c r="G624" s="1" t="s">
        <v>68</v>
      </c>
      <c r="H624" s="1" t="s">
        <v>25</v>
      </c>
      <c r="I624" s="1" t="s">
        <v>26</v>
      </c>
      <c r="J624" s="1" t="s">
        <v>127</v>
      </c>
      <c r="K624" s="1" t="s">
        <v>128</v>
      </c>
      <c r="L624" s="1">
        <v>1</v>
      </c>
      <c r="M624" s="13">
        <v>23696.79</v>
      </c>
      <c r="N624" s="15">
        <v>0.36</v>
      </c>
      <c r="O624" s="13">
        <v>19360.650000000001</v>
      </c>
      <c r="P624" s="13">
        <v>2981.96</v>
      </c>
      <c r="Q624" s="13">
        <v>18.02</v>
      </c>
      <c r="R624" s="1" t="s">
        <v>51</v>
      </c>
      <c r="S624" s="1">
        <v>4</v>
      </c>
      <c r="T624" s="1" t="b">
        <v>0</v>
      </c>
      <c r="U624" s="1" t="s">
        <v>39</v>
      </c>
      <c r="V624" s="3">
        <v>9</v>
      </c>
    </row>
    <row r="625" spans="1:22" x14ac:dyDescent="0.3">
      <c r="A625" s="2" t="s">
        <v>1687</v>
      </c>
      <c r="B625" s="10">
        <v>45509</v>
      </c>
      <c r="C625" s="22">
        <v>45509</v>
      </c>
      <c r="D625" s="1" t="s">
        <v>1688</v>
      </c>
      <c r="E625" s="1" t="s">
        <v>638</v>
      </c>
      <c r="F625" s="1">
        <v>48</v>
      </c>
      <c r="G625" s="1" t="s">
        <v>34</v>
      </c>
      <c r="H625" s="1" t="s">
        <v>111</v>
      </c>
      <c r="I625" s="1" t="s">
        <v>112</v>
      </c>
      <c r="J625" s="1" t="s">
        <v>127</v>
      </c>
      <c r="K625" s="1" t="s">
        <v>171</v>
      </c>
      <c r="L625" s="1">
        <v>8</v>
      </c>
      <c r="M625" s="13">
        <v>50411.34</v>
      </c>
      <c r="N625" s="15">
        <v>0.17</v>
      </c>
      <c r="O625" s="13">
        <v>538833.63</v>
      </c>
      <c r="P625" s="13">
        <v>74291.94</v>
      </c>
      <c r="Q625" s="13">
        <v>56.86</v>
      </c>
      <c r="R625" s="1" t="s">
        <v>78</v>
      </c>
      <c r="S625" s="1">
        <v>2</v>
      </c>
      <c r="T625" s="1" t="b">
        <v>0</v>
      </c>
      <c r="U625" s="1" t="s">
        <v>39</v>
      </c>
      <c r="V625" s="3">
        <v>7</v>
      </c>
    </row>
    <row r="626" spans="1:22" x14ac:dyDescent="0.3">
      <c r="A626" s="2" t="s">
        <v>1689</v>
      </c>
      <c r="B626" s="10">
        <v>44168</v>
      </c>
      <c r="C626" s="22">
        <v>44168</v>
      </c>
      <c r="D626" s="1" t="s">
        <v>1690</v>
      </c>
      <c r="E626" s="1" t="s">
        <v>755</v>
      </c>
      <c r="F626" s="1">
        <v>36</v>
      </c>
      <c r="G626" s="1" t="s">
        <v>68</v>
      </c>
      <c r="H626" s="1" t="s">
        <v>82</v>
      </c>
      <c r="I626" s="1" t="s">
        <v>244</v>
      </c>
      <c r="J626" s="1" t="s">
        <v>37</v>
      </c>
      <c r="K626" s="1" t="s">
        <v>231</v>
      </c>
      <c r="L626" s="1">
        <v>5</v>
      </c>
      <c r="M626" s="13">
        <v>1245.93</v>
      </c>
      <c r="N626" s="15">
        <v>0.14000000000000001</v>
      </c>
      <c r="O626" s="13">
        <v>3724.57</v>
      </c>
      <c r="P626" s="13">
        <v>1585.85</v>
      </c>
      <c r="Q626" s="13">
        <v>84.66</v>
      </c>
      <c r="R626" s="1" t="s">
        <v>64</v>
      </c>
      <c r="S626" s="1">
        <v>4</v>
      </c>
      <c r="T626" s="1" t="b">
        <v>0</v>
      </c>
      <c r="U626" s="1" t="s">
        <v>39</v>
      </c>
      <c r="V626" s="3">
        <v>4</v>
      </c>
    </row>
    <row r="627" spans="1:22" x14ac:dyDescent="0.3">
      <c r="A627" s="2" t="s">
        <v>1691</v>
      </c>
      <c r="B627" s="10">
        <v>45304</v>
      </c>
      <c r="C627" s="22">
        <v>45304</v>
      </c>
      <c r="D627" s="1" t="s">
        <v>1692</v>
      </c>
      <c r="E627" s="1" t="s">
        <v>502</v>
      </c>
      <c r="F627" s="1">
        <v>43</v>
      </c>
      <c r="G627" s="1" t="s">
        <v>34</v>
      </c>
      <c r="H627" s="1" t="s">
        <v>74</v>
      </c>
      <c r="I627" s="1" t="s">
        <v>101</v>
      </c>
      <c r="J627" s="1" t="s">
        <v>44</v>
      </c>
      <c r="K627" s="1" t="s">
        <v>50</v>
      </c>
      <c r="L627" s="1">
        <v>4</v>
      </c>
      <c r="M627" s="13">
        <v>10877.51</v>
      </c>
      <c r="N627" s="15">
        <v>0.4</v>
      </c>
      <c r="O627" s="13">
        <v>25389.56</v>
      </c>
      <c r="P627" s="13">
        <v>5507.59</v>
      </c>
      <c r="Q627" s="13">
        <v>72.069999999999993</v>
      </c>
      <c r="R627" s="1" t="s">
        <v>57</v>
      </c>
      <c r="S627" s="1">
        <v>5</v>
      </c>
      <c r="T627" s="1" t="b">
        <v>0</v>
      </c>
      <c r="U627" s="1" t="s">
        <v>39</v>
      </c>
      <c r="V627" s="3">
        <v>9</v>
      </c>
    </row>
    <row r="628" spans="1:22" x14ac:dyDescent="0.3">
      <c r="A628" s="2" t="s">
        <v>1693</v>
      </c>
      <c r="B628" s="10">
        <v>45167</v>
      </c>
      <c r="C628" s="22">
        <v>45167</v>
      </c>
      <c r="D628" s="1" t="s">
        <v>1694</v>
      </c>
      <c r="E628" s="1" t="s">
        <v>1018</v>
      </c>
      <c r="F628" s="1">
        <v>32</v>
      </c>
      <c r="G628" s="1" t="s">
        <v>24</v>
      </c>
      <c r="H628" s="1" t="s">
        <v>111</v>
      </c>
      <c r="I628" s="1" t="s">
        <v>112</v>
      </c>
      <c r="J628" s="1" t="s">
        <v>44</v>
      </c>
      <c r="K628" s="1" t="s">
        <v>221</v>
      </c>
      <c r="L628" s="1">
        <v>6</v>
      </c>
      <c r="M628" s="13">
        <v>11929.15</v>
      </c>
      <c r="N628" s="15">
        <v>0.13</v>
      </c>
      <c r="O628" s="13">
        <v>90019.76</v>
      </c>
      <c r="P628" s="13">
        <v>15285.49</v>
      </c>
      <c r="Q628" s="13">
        <v>66.849999999999994</v>
      </c>
      <c r="R628" s="1" t="s">
        <v>57</v>
      </c>
      <c r="S628" s="1">
        <v>5</v>
      </c>
      <c r="T628" s="1" t="b">
        <v>0</v>
      </c>
      <c r="U628" s="1" t="s">
        <v>84</v>
      </c>
      <c r="V628" s="3">
        <v>4</v>
      </c>
    </row>
    <row r="629" spans="1:22" x14ac:dyDescent="0.3">
      <c r="A629" s="2" t="s">
        <v>1695</v>
      </c>
      <c r="B629" s="10">
        <v>44729</v>
      </c>
      <c r="C629" s="22">
        <v>44729</v>
      </c>
      <c r="D629" s="1" t="s">
        <v>1696</v>
      </c>
      <c r="E629" s="1" t="s">
        <v>831</v>
      </c>
      <c r="F629" s="1">
        <v>21</v>
      </c>
      <c r="G629" s="1" t="s">
        <v>24</v>
      </c>
      <c r="H629" s="1" t="s">
        <v>74</v>
      </c>
      <c r="I629" s="1" t="s">
        <v>101</v>
      </c>
      <c r="J629" s="1" t="s">
        <v>37</v>
      </c>
      <c r="K629" s="1" t="s">
        <v>182</v>
      </c>
      <c r="L629" s="1">
        <v>9</v>
      </c>
      <c r="M629" s="13">
        <v>217.37</v>
      </c>
      <c r="N629" s="15">
        <v>0.23</v>
      </c>
      <c r="O629" s="13">
        <v>2271.02</v>
      </c>
      <c r="P629" s="13">
        <v>949.07</v>
      </c>
      <c r="Q629" s="13">
        <v>51.63</v>
      </c>
      <c r="R629" s="1" t="s">
        <v>51</v>
      </c>
      <c r="S629" s="1">
        <v>2</v>
      </c>
      <c r="T629" s="1" t="b">
        <v>1</v>
      </c>
      <c r="U629" s="1" t="s">
        <v>30</v>
      </c>
      <c r="V629" s="3">
        <v>8</v>
      </c>
    </row>
    <row r="630" spans="1:22" x14ac:dyDescent="0.3">
      <c r="A630" s="2" t="s">
        <v>1697</v>
      </c>
      <c r="B630" s="10">
        <v>45289</v>
      </c>
      <c r="C630" s="22">
        <v>45289</v>
      </c>
      <c r="D630" s="1" t="s">
        <v>1698</v>
      </c>
      <c r="E630" s="1" t="s">
        <v>520</v>
      </c>
      <c r="F630" s="1">
        <v>33</v>
      </c>
      <c r="G630" s="1" t="s">
        <v>24</v>
      </c>
      <c r="H630" s="1" t="s">
        <v>25</v>
      </c>
      <c r="I630" s="1" t="s">
        <v>69</v>
      </c>
      <c r="J630" s="1" t="s">
        <v>127</v>
      </c>
      <c r="K630" s="1" t="s">
        <v>517</v>
      </c>
      <c r="L630" s="1">
        <v>4</v>
      </c>
      <c r="M630" s="13">
        <v>76576.240000000005</v>
      </c>
      <c r="N630" s="15">
        <v>0.36</v>
      </c>
      <c r="O630" s="13">
        <v>154095.35999999999</v>
      </c>
      <c r="P630" s="13">
        <v>19680.310000000001</v>
      </c>
      <c r="Q630" s="13">
        <v>60.02</v>
      </c>
      <c r="R630" s="1" t="s">
        <v>57</v>
      </c>
      <c r="S630" s="1">
        <v>5</v>
      </c>
      <c r="T630" s="1" t="b">
        <v>0</v>
      </c>
      <c r="U630" s="1" t="s">
        <v>39</v>
      </c>
      <c r="V630" s="3">
        <v>2</v>
      </c>
    </row>
    <row r="631" spans="1:22" x14ac:dyDescent="0.3">
      <c r="A631" s="2" t="s">
        <v>1699</v>
      </c>
      <c r="B631" s="10">
        <v>44162</v>
      </c>
      <c r="C631" s="22">
        <v>44162</v>
      </c>
      <c r="D631" s="1" t="s">
        <v>1700</v>
      </c>
      <c r="E631" s="1" t="s">
        <v>855</v>
      </c>
      <c r="F631" s="1">
        <v>25</v>
      </c>
      <c r="G631" s="1" t="s">
        <v>24</v>
      </c>
      <c r="H631" s="1" t="s">
        <v>74</v>
      </c>
      <c r="I631" s="1" t="s">
        <v>136</v>
      </c>
      <c r="J631" s="1" t="s">
        <v>146</v>
      </c>
      <c r="K631" s="1" t="s">
        <v>484</v>
      </c>
      <c r="L631" s="1">
        <v>1</v>
      </c>
      <c r="M631" s="13">
        <v>8581.84</v>
      </c>
      <c r="N631" s="15">
        <v>0.17</v>
      </c>
      <c r="O631" s="13">
        <v>4599.3500000000004</v>
      </c>
      <c r="P631" s="13">
        <v>941.93</v>
      </c>
      <c r="Q631" s="13">
        <v>62.41</v>
      </c>
      <c r="R631" s="1" t="s">
        <v>78</v>
      </c>
      <c r="S631" s="1">
        <v>3</v>
      </c>
      <c r="T631" s="1" t="b">
        <v>0</v>
      </c>
      <c r="U631" s="1" t="s">
        <v>39</v>
      </c>
      <c r="V631" s="3">
        <v>6</v>
      </c>
    </row>
    <row r="632" spans="1:22" x14ac:dyDescent="0.3">
      <c r="A632" s="2" t="s">
        <v>1701</v>
      </c>
      <c r="B632" s="10">
        <v>44216</v>
      </c>
      <c r="C632" s="22">
        <v>44216</v>
      </c>
      <c r="D632" s="1" t="s">
        <v>1702</v>
      </c>
      <c r="E632" s="1" t="s">
        <v>632</v>
      </c>
      <c r="F632" s="1">
        <v>28</v>
      </c>
      <c r="G632" s="1" t="s">
        <v>68</v>
      </c>
      <c r="H632" s="1" t="s">
        <v>82</v>
      </c>
      <c r="I632" s="1" t="s">
        <v>244</v>
      </c>
      <c r="J632" s="1" t="s">
        <v>27</v>
      </c>
      <c r="K632" s="1" t="s">
        <v>400</v>
      </c>
      <c r="L632" s="1">
        <v>4</v>
      </c>
      <c r="M632" s="13">
        <v>246.81</v>
      </c>
      <c r="N632" s="15">
        <v>0.32</v>
      </c>
      <c r="O632" s="13">
        <v>564.98</v>
      </c>
      <c r="P632" s="13">
        <v>41.55</v>
      </c>
      <c r="Q632" s="13">
        <v>95.51</v>
      </c>
      <c r="R632" s="1" t="s">
        <v>64</v>
      </c>
      <c r="S632" s="1">
        <v>2</v>
      </c>
      <c r="T632" s="1" t="b">
        <v>0</v>
      </c>
      <c r="U632" s="1" t="s">
        <v>84</v>
      </c>
      <c r="V632" s="3">
        <v>6</v>
      </c>
    </row>
    <row r="633" spans="1:22" x14ac:dyDescent="0.3">
      <c r="A633" s="2" t="s">
        <v>1703</v>
      </c>
      <c r="B633" s="10">
        <v>44776</v>
      </c>
      <c r="C633" s="22">
        <v>44776</v>
      </c>
      <c r="D633" s="1" t="s">
        <v>1704</v>
      </c>
      <c r="E633" s="1" t="s">
        <v>1574</v>
      </c>
      <c r="F633" s="1">
        <v>30</v>
      </c>
      <c r="G633" s="1" t="s">
        <v>68</v>
      </c>
      <c r="H633" s="1" t="s">
        <v>35</v>
      </c>
      <c r="I633" s="1" t="s">
        <v>43</v>
      </c>
      <c r="J633" s="1" t="s">
        <v>76</v>
      </c>
      <c r="K633" s="1" t="s">
        <v>77</v>
      </c>
      <c r="L633" s="1">
        <v>8</v>
      </c>
      <c r="M633" s="13">
        <v>1988.03</v>
      </c>
      <c r="N633" s="15">
        <v>0.22</v>
      </c>
      <c r="O633" s="13">
        <v>14005.89</v>
      </c>
      <c r="P633" s="13">
        <v>4000.64</v>
      </c>
      <c r="Q633" s="13">
        <v>66.849999999999994</v>
      </c>
      <c r="R633" s="1" t="s">
        <v>64</v>
      </c>
      <c r="S633" s="1">
        <v>3</v>
      </c>
      <c r="T633" s="1" t="b">
        <v>0</v>
      </c>
      <c r="U633" s="1" t="s">
        <v>39</v>
      </c>
      <c r="V633" s="3">
        <v>5</v>
      </c>
    </row>
    <row r="634" spans="1:22" x14ac:dyDescent="0.3">
      <c r="A634" s="2" t="s">
        <v>1705</v>
      </c>
      <c r="B634" s="10">
        <v>44803</v>
      </c>
      <c r="C634" s="22">
        <v>44803</v>
      </c>
      <c r="D634" s="1" t="s">
        <v>1706</v>
      </c>
      <c r="E634" s="1" t="s">
        <v>861</v>
      </c>
      <c r="F634" s="1">
        <v>36</v>
      </c>
      <c r="G634" s="1" t="s">
        <v>24</v>
      </c>
      <c r="H634" s="1" t="s">
        <v>82</v>
      </c>
      <c r="I634" s="1" t="s">
        <v>293</v>
      </c>
      <c r="J634" s="1" t="s">
        <v>146</v>
      </c>
      <c r="K634" s="1" t="s">
        <v>147</v>
      </c>
      <c r="L634" s="1">
        <v>5</v>
      </c>
      <c r="M634" s="13">
        <v>13503.49</v>
      </c>
      <c r="N634" s="15">
        <v>7.0000000000000007E-2</v>
      </c>
      <c r="O634" s="13">
        <v>73166.710000000006</v>
      </c>
      <c r="P634" s="13">
        <v>10338.379999999999</v>
      </c>
      <c r="Q634" s="13">
        <v>81.11</v>
      </c>
      <c r="R634" s="1" t="s">
        <v>29</v>
      </c>
      <c r="S634" s="1">
        <v>3</v>
      </c>
      <c r="T634" s="1" t="b">
        <v>0</v>
      </c>
      <c r="U634" s="1" t="s">
        <v>39</v>
      </c>
      <c r="V634" s="3">
        <v>9</v>
      </c>
    </row>
    <row r="635" spans="1:22" x14ac:dyDescent="0.3">
      <c r="A635" s="2" t="s">
        <v>1707</v>
      </c>
      <c r="B635" s="10">
        <v>43842</v>
      </c>
      <c r="C635" s="22">
        <v>43842</v>
      </c>
      <c r="D635" s="1" t="s">
        <v>1708</v>
      </c>
      <c r="E635" s="1" t="s">
        <v>307</v>
      </c>
      <c r="F635" s="1">
        <v>34</v>
      </c>
      <c r="G635" s="1" t="s">
        <v>463</v>
      </c>
      <c r="H635" s="1" t="s">
        <v>35</v>
      </c>
      <c r="I635" s="1" t="s">
        <v>36</v>
      </c>
      <c r="J635" s="1" t="s">
        <v>44</v>
      </c>
      <c r="K635" s="1" t="s">
        <v>50</v>
      </c>
      <c r="L635" s="1">
        <v>9</v>
      </c>
      <c r="M635" s="13">
        <v>5472.53</v>
      </c>
      <c r="N635" s="15">
        <v>0.02</v>
      </c>
      <c r="O635" s="13">
        <v>34892.589999999997</v>
      </c>
      <c r="P635" s="13">
        <v>10855.26</v>
      </c>
      <c r="Q635" s="13">
        <v>69.37</v>
      </c>
      <c r="R635" s="1" t="s">
        <v>57</v>
      </c>
      <c r="S635" s="1">
        <v>2</v>
      </c>
      <c r="T635" s="1" t="b">
        <v>0</v>
      </c>
      <c r="U635" s="1" t="s">
        <v>39</v>
      </c>
      <c r="V635" s="3">
        <v>3</v>
      </c>
    </row>
    <row r="636" spans="1:22" x14ac:dyDescent="0.3">
      <c r="A636" s="2" t="s">
        <v>1709</v>
      </c>
      <c r="B636" s="10">
        <v>44999</v>
      </c>
      <c r="C636" s="22">
        <v>44999</v>
      </c>
      <c r="D636" s="1" t="s">
        <v>1710</v>
      </c>
      <c r="E636" s="1" t="s">
        <v>794</v>
      </c>
      <c r="F636" s="1">
        <v>49</v>
      </c>
      <c r="G636" s="1" t="s">
        <v>68</v>
      </c>
      <c r="H636" s="1" t="s">
        <v>74</v>
      </c>
      <c r="I636" s="1" t="s">
        <v>192</v>
      </c>
      <c r="J636" s="1" t="s">
        <v>76</v>
      </c>
      <c r="K636" s="1" t="s">
        <v>113</v>
      </c>
      <c r="L636" s="1">
        <v>9</v>
      </c>
      <c r="M636" s="13">
        <v>3251.19</v>
      </c>
      <c r="N636" s="15">
        <v>0.13</v>
      </c>
      <c r="O636" s="13">
        <v>25267.42</v>
      </c>
      <c r="P636" s="13">
        <v>8081.15</v>
      </c>
      <c r="Q636" s="13">
        <v>70.98</v>
      </c>
      <c r="R636" s="1" t="s">
        <v>29</v>
      </c>
      <c r="S636" s="1">
        <v>2</v>
      </c>
      <c r="T636" s="1" t="b">
        <v>1</v>
      </c>
      <c r="U636" s="1" t="s">
        <v>30</v>
      </c>
      <c r="V636" s="3">
        <v>9</v>
      </c>
    </row>
    <row r="637" spans="1:22" x14ac:dyDescent="0.3">
      <c r="A637" s="2" t="s">
        <v>1711</v>
      </c>
      <c r="B637" s="10">
        <v>45239</v>
      </c>
      <c r="C637" s="22">
        <v>45239</v>
      </c>
      <c r="D637" s="1" t="s">
        <v>1712</v>
      </c>
      <c r="E637" s="1" t="s">
        <v>206</v>
      </c>
      <c r="F637" s="1">
        <v>41</v>
      </c>
      <c r="G637" s="1" t="s">
        <v>68</v>
      </c>
      <c r="H637" s="1" t="s">
        <v>25</v>
      </c>
      <c r="I637" s="1" t="s">
        <v>69</v>
      </c>
      <c r="J637" s="1" t="s">
        <v>37</v>
      </c>
      <c r="K637" s="1" t="s">
        <v>182</v>
      </c>
      <c r="L637" s="1">
        <v>4</v>
      </c>
      <c r="M637" s="13">
        <v>1738.78</v>
      </c>
      <c r="N637" s="15">
        <v>7.0000000000000007E-2</v>
      </c>
      <c r="O637" s="13">
        <v>5920.27</v>
      </c>
      <c r="P637" s="13">
        <v>1693.39</v>
      </c>
      <c r="Q637" s="13">
        <v>61.38</v>
      </c>
      <c r="R637" s="1" t="s">
        <v>57</v>
      </c>
      <c r="S637" s="1">
        <v>1</v>
      </c>
      <c r="T637" s="1" t="b">
        <v>1</v>
      </c>
      <c r="U637" s="1" t="s">
        <v>30</v>
      </c>
      <c r="V637" s="3">
        <v>2</v>
      </c>
    </row>
    <row r="638" spans="1:22" x14ac:dyDescent="0.3">
      <c r="A638" s="2" t="s">
        <v>1713</v>
      </c>
      <c r="B638" s="10">
        <v>44110</v>
      </c>
      <c r="C638" s="22">
        <v>44110</v>
      </c>
      <c r="D638" s="1" t="s">
        <v>1714</v>
      </c>
      <c r="E638" s="1" t="s">
        <v>1033</v>
      </c>
      <c r="F638" s="1">
        <v>44</v>
      </c>
      <c r="G638" s="1" t="s">
        <v>391</v>
      </c>
      <c r="H638" s="1" t="s">
        <v>82</v>
      </c>
      <c r="I638" s="1" t="s">
        <v>293</v>
      </c>
      <c r="J638" s="1" t="s">
        <v>127</v>
      </c>
      <c r="K638" s="1" t="s">
        <v>308</v>
      </c>
      <c r="L638" s="1">
        <v>8</v>
      </c>
      <c r="M638" s="13">
        <v>67654.44</v>
      </c>
      <c r="N638" s="15">
        <v>0.02</v>
      </c>
      <c r="O638" s="13">
        <v>436216.85</v>
      </c>
      <c r="P638" s="13">
        <v>54905.07</v>
      </c>
      <c r="Q638" s="13">
        <v>62.12</v>
      </c>
      <c r="R638" s="1" t="s">
        <v>51</v>
      </c>
      <c r="S638" s="1">
        <v>2</v>
      </c>
      <c r="T638" s="1" t="b">
        <v>0</v>
      </c>
      <c r="U638" s="1" t="s">
        <v>58</v>
      </c>
      <c r="V638" s="3">
        <v>6</v>
      </c>
    </row>
    <row r="639" spans="1:22" x14ac:dyDescent="0.3">
      <c r="A639" s="2" t="s">
        <v>1715</v>
      </c>
      <c r="B639" s="10">
        <v>45050</v>
      </c>
      <c r="C639" s="22">
        <v>45050</v>
      </c>
      <c r="D639" s="1" t="s">
        <v>1716</v>
      </c>
      <c r="E639" s="1" t="s">
        <v>406</v>
      </c>
      <c r="F639" s="1">
        <v>31</v>
      </c>
      <c r="G639" s="1" t="s">
        <v>34</v>
      </c>
      <c r="H639" s="1" t="s">
        <v>82</v>
      </c>
      <c r="I639" s="1" t="s">
        <v>244</v>
      </c>
      <c r="J639" s="1" t="s">
        <v>76</v>
      </c>
      <c r="K639" s="1" t="s">
        <v>207</v>
      </c>
      <c r="L639" s="1">
        <v>3</v>
      </c>
      <c r="M639" s="13">
        <v>3314.75</v>
      </c>
      <c r="N639" s="15">
        <v>0.06</v>
      </c>
      <c r="O639" s="13">
        <v>15452.12</v>
      </c>
      <c r="P639" s="13">
        <v>3519.97</v>
      </c>
      <c r="Q639" s="13">
        <v>85.4</v>
      </c>
      <c r="R639" s="1" t="s">
        <v>29</v>
      </c>
      <c r="S639" s="1">
        <v>2</v>
      </c>
      <c r="T639" s="1" t="b">
        <v>0</v>
      </c>
      <c r="U639" s="1" t="s">
        <v>39</v>
      </c>
      <c r="V639" s="3">
        <v>8</v>
      </c>
    </row>
    <row r="640" spans="1:22" x14ac:dyDescent="0.3">
      <c r="A640" s="2" t="s">
        <v>1717</v>
      </c>
      <c r="B640" s="10">
        <v>44790</v>
      </c>
      <c r="C640" s="22">
        <v>44790</v>
      </c>
      <c r="D640" s="1" t="s">
        <v>1718</v>
      </c>
      <c r="E640" s="1" t="s">
        <v>534</v>
      </c>
      <c r="F640" s="1">
        <v>25</v>
      </c>
      <c r="G640" s="1" t="s">
        <v>34</v>
      </c>
      <c r="H640" s="1" t="s">
        <v>35</v>
      </c>
      <c r="I640" s="1" t="s">
        <v>43</v>
      </c>
      <c r="J640" s="1" t="s">
        <v>127</v>
      </c>
      <c r="K640" s="1" t="s">
        <v>142</v>
      </c>
      <c r="L640" s="1">
        <v>4</v>
      </c>
      <c r="M640" s="13">
        <v>67647.58</v>
      </c>
      <c r="N640" s="15">
        <v>7.0000000000000007E-2</v>
      </c>
      <c r="O640" s="13">
        <v>353527.87</v>
      </c>
      <c r="P640" s="13">
        <v>36275.65</v>
      </c>
      <c r="Q640" s="13">
        <v>52.43</v>
      </c>
      <c r="R640" s="1" t="s">
        <v>51</v>
      </c>
      <c r="S640" s="1">
        <v>2</v>
      </c>
      <c r="T640" s="1" t="b">
        <v>0</v>
      </c>
      <c r="U640" s="1" t="s">
        <v>39</v>
      </c>
      <c r="V640" s="3">
        <v>8</v>
      </c>
    </row>
    <row r="641" spans="1:22" x14ac:dyDescent="0.3">
      <c r="A641" s="2" t="s">
        <v>1719</v>
      </c>
      <c r="B641" s="10">
        <v>43922</v>
      </c>
      <c r="C641" s="22">
        <v>43922</v>
      </c>
      <c r="D641" s="1" t="s">
        <v>1720</v>
      </c>
      <c r="E641" s="1" t="s">
        <v>994</v>
      </c>
      <c r="F641" s="1">
        <v>43</v>
      </c>
      <c r="G641" s="1" t="s">
        <v>24</v>
      </c>
      <c r="H641" s="1" t="s">
        <v>74</v>
      </c>
      <c r="I641" s="1" t="s">
        <v>192</v>
      </c>
      <c r="J641" s="1" t="s">
        <v>62</v>
      </c>
      <c r="K641" s="1" t="s">
        <v>266</v>
      </c>
      <c r="L641" s="1">
        <v>2</v>
      </c>
      <c r="M641" s="13">
        <v>630.66</v>
      </c>
      <c r="N641" s="15">
        <v>0.15</v>
      </c>
      <c r="O641" s="13">
        <v>1278.54</v>
      </c>
      <c r="P641" s="13">
        <v>414.77</v>
      </c>
      <c r="Q641" s="13">
        <v>75.819999999999993</v>
      </c>
      <c r="R641" s="1" t="s">
        <v>64</v>
      </c>
      <c r="S641" s="1">
        <v>3</v>
      </c>
      <c r="T641" s="1" t="b">
        <v>0</v>
      </c>
      <c r="U641" s="1" t="s">
        <v>197</v>
      </c>
      <c r="V641" s="3">
        <v>6</v>
      </c>
    </row>
    <row r="642" spans="1:22" x14ac:dyDescent="0.3">
      <c r="A642" s="2" t="s">
        <v>1721</v>
      </c>
      <c r="B642" s="10">
        <v>45042</v>
      </c>
      <c r="C642" s="22">
        <v>45042</v>
      </c>
      <c r="D642" s="1" t="s">
        <v>1722</v>
      </c>
      <c r="E642" s="1" t="s">
        <v>1263</v>
      </c>
      <c r="F642" s="1">
        <v>26</v>
      </c>
      <c r="G642" s="1" t="s">
        <v>34</v>
      </c>
      <c r="H642" s="1" t="s">
        <v>35</v>
      </c>
      <c r="I642" s="1" t="s">
        <v>36</v>
      </c>
      <c r="J642" s="1" t="s">
        <v>37</v>
      </c>
      <c r="K642" s="1" t="s">
        <v>671</v>
      </c>
      <c r="L642" s="1">
        <v>8</v>
      </c>
      <c r="M642" s="13">
        <v>566.96</v>
      </c>
      <c r="N642" s="15">
        <v>0.36</v>
      </c>
      <c r="O642" s="13">
        <v>4268.95</v>
      </c>
      <c r="P642" s="13">
        <v>2029.92</v>
      </c>
      <c r="Q642" s="13">
        <v>60.59</v>
      </c>
      <c r="R642" s="1" t="s">
        <v>29</v>
      </c>
      <c r="S642" s="1">
        <v>3</v>
      </c>
      <c r="T642" s="1" t="b">
        <v>0</v>
      </c>
      <c r="U642" s="1" t="s">
        <v>39</v>
      </c>
      <c r="V642" s="3">
        <v>5</v>
      </c>
    </row>
    <row r="643" spans="1:22" x14ac:dyDescent="0.3">
      <c r="A643" s="2" t="s">
        <v>1723</v>
      </c>
      <c r="B643" s="10">
        <v>44076</v>
      </c>
      <c r="C643" s="22">
        <v>44076</v>
      </c>
      <c r="D643" s="1" t="s">
        <v>1724</v>
      </c>
      <c r="E643" s="1" t="s">
        <v>684</v>
      </c>
      <c r="F643" s="1">
        <v>34</v>
      </c>
      <c r="G643" s="1" t="s">
        <v>34</v>
      </c>
      <c r="H643" s="1" t="s">
        <v>35</v>
      </c>
      <c r="I643" s="1" t="s">
        <v>36</v>
      </c>
      <c r="J643" s="1" t="s">
        <v>37</v>
      </c>
      <c r="K643" s="1" t="s">
        <v>231</v>
      </c>
      <c r="L643" s="1">
        <v>2</v>
      </c>
      <c r="M643" s="13">
        <v>2054.29</v>
      </c>
      <c r="N643" s="15">
        <v>0.27</v>
      </c>
      <c r="O643" s="13">
        <v>2751.04</v>
      </c>
      <c r="P643" s="13">
        <v>1143.8599999999999</v>
      </c>
      <c r="Q643" s="13">
        <v>51.63</v>
      </c>
      <c r="R643" s="1" t="s">
        <v>70</v>
      </c>
      <c r="S643" s="1">
        <v>2</v>
      </c>
      <c r="T643" s="1" t="b">
        <v>0</v>
      </c>
      <c r="U643" s="1" t="s">
        <v>84</v>
      </c>
      <c r="V643" s="3">
        <v>10</v>
      </c>
    </row>
    <row r="644" spans="1:22" x14ac:dyDescent="0.3">
      <c r="A644" s="2" t="s">
        <v>1725</v>
      </c>
      <c r="B644" s="10">
        <v>44857</v>
      </c>
      <c r="C644" s="22">
        <v>44857</v>
      </c>
      <c r="D644" s="1" t="s">
        <v>1726</v>
      </c>
      <c r="E644" s="1" t="s">
        <v>307</v>
      </c>
      <c r="F644" s="1">
        <v>8</v>
      </c>
      <c r="G644" s="1" t="s">
        <v>34</v>
      </c>
      <c r="H644" s="1" t="s">
        <v>35</v>
      </c>
      <c r="I644" s="1" t="s">
        <v>43</v>
      </c>
      <c r="J644" s="1" t="s">
        <v>127</v>
      </c>
      <c r="K644" s="1" t="s">
        <v>517</v>
      </c>
      <c r="L644" s="1">
        <v>6</v>
      </c>
      <c r="M644" s="13">
        <v>79286.42</v>
      </c>
      <c r="N644" s="15">
        <v>0.37</v>
      </c>
      <c r="O644" s="13">
        <v>281133.53999999998</v>
      </c>
      <c r="P644" s="13">
        <v>33087.68</v>
      </c>
      <c r="Q644" s="13">
        <v>61.66</v>
      </c>
      <c r="R644" s="1" t="s">
        <v>29</v>
      </c>
      <c r="S644" s="1">
        <v>3</v>
      </c>
      <c r="T644" s="1" t="b">
        <v>0</v>
      </c>
      <c r="U644" s="1" t="s">
        <v>39</v>
      </c>
      <c r="V644" s="3">
        <v>8</v>
      </c>
    </row>
    <row r="645" spans="1:22" x14ac:dyDescent="0.3">
      <c r="A645" s="2" t="s">
        <v>1727</v>
      </c>
      <c r="B645" s="10">
        <v>44346</v>
      </c>
      <c r="C645" s="22">
        <v>44346</v>
      </c>
      <c r="D645" s="1" t="s">
        <v>1728</v>
      </c>
      <c r="E645" s="1" t="s">
        <v>578</v>
      </c>
      <c r="F645" s="1">
        <v>36</v>
      </c>
      <c r="G645" s="1" t="s">
        <v>24</v>
      </c>
      <c r="H645" s="1" t="s">
        <v>111</v>
      </c>
      <c r="I645" s="1" t="s">
        <v>330</v>
      </c>
      <c r="J645" s="1" t="s">
        <v>76</v>
      </c>
      <c r="K645" s="1" t="s">
        <v>207</v>
      </c>
      <c r="L645" s="1">
        <v>6</v>
      </c>
      <c r="M645" s="13">
        <v>3055.06</v>
      </c>
      <c r="N645" s="15">
        <v>0.21</v>
      </c>
      <c r="O645" s="13">
        <v>23548.92</v>
      </c>
      <c r="P645" s="13">
        <v>8925.17</v>
      </c>
      <c r="Q645" s="13">
        <v>69.22</v>
      </c>
      <c r="R645" s="1" t="s">
        <v>51</v>
      </c>
      <c r="S645" s="1">
        <v>3</v>
      </c>
      <c r="T645" s="1" t="b">
        <v>0</v>
      </c>
      <c r="U645" s="1" t="s">
        <v>39</v>
      </c>
      <c r="V645" s="3">
        <v>4</v>
      </c>
    </row>
    <row r="646" spans="1:22" x14ac:dyDescent="0.3">
      <c r="A646" s="2" t="s">
        <v>1729</v>
      </c>
      <c r="B646" s="10">
        <v>45476</v>
      </c>
      <c r="C646" s="22">
        <v>45476</v>
      </c>
      <c r="D646" s="1" t="s">
        <v>1730</v>
      </c>
      <c r="E646" s="1" t="s">
        <v>96</v>
      </c>
      <c r="F646" s="1">
        <v>45</v>
      </c>
      <c r="G646" s="1" t="s">
        <v>34</v>
      </c>
      <c r="H646" s="1" t="s">
        <v>25</v>
      </c>
      <c r="I646" s="1" t="s">
        <v>26</v>
      </c>
      <c r="J646" s="1" t="s">
        <v>27</v>
      </c>
      <c r="K646" s="1" t="s">
        <v>430</v>
      </c>
      <c r="L646" s="1">
        <v>9</v>
      </c>
      <c r="M646" s="13">
        <v>276.93</v>
      </c>
      <c r="N646" s="15">
        <v>0.27</v>
      </c>
      <c r="O646" s="13">
        <v>3183.79</v>
      </c>
      <c r="P646" s="13">
        <v>275.45999999999998</v>
      </c>
      <c r="Q646" s="13">
        <v>47.94</v>
      </c>
      <c r="R646" s="1" t="s">
        <v>78</v>
      </c>
      <c r="S646" s="1">
        <v>3</v>
      </c>
      <c r="T646" s="1" t="b">
        <v>0</v>
      </c>
      <c r="U646" s="1" t="s">
        <v>39</v>
      </c>
      <c r="V646" s="3">
        <v>6</v>
      </c>
    </row>
    <row r="647" spans="1:22" x14ac:dyDescent="0.3">
      <c r="A647" s="2" t="s">
        <v>1731</v>
      </c>
      <c r="B647" s="10">
        <v>43868</v>
      </c>
      <c r="C647" s="22">
        <v>43868</v>
      </c>
      <c r="D647" s="1" t="s">
        <v>1732</v>
      </c>
      <c r="E647" s="1" t="s">
        <v>1733</v>
      </c>
      <c r="F647" s="1">
        <v>27</v>
      </c>
      <c r="G647" s="1" t="s">
        <v>24</v>
      </c>
      <c r="H647" s="1" t="s">
        <v>111</v>
      </c>
      <c r="I647" s="1" t="s">
        <v>112</v>
      </c>
      <c r="J647" s="1" t="s">
        <v>37</v>
      </c>
      <c r="K647" s="1" t="s">
        <v>182</v>
      </c>
      <c r="L647" s="1">
        <v>1</v>
      </c>
      <c r="M647" s="13">
        <v>918.65</v>
      </c>
      <c r="N647" s="15">
        <v>0.09</v>
      </c>
      <c r="O647" s="13">
        <v>643.64</v>
      </c>
      <c r="P647" s="13">
        <v>333.85</v>
      </c>
      <c r="Q647" s="13">
        <v>73.92</v>
      </c>
      <c r="R647" s="1" t="s">
        <v>70</v>
      </c>
      <c r="S647" s="1">
        <v>3</v>
      </c>
      <c r="T647" s="1" t="b">
        <v>0</v>
      </c>
      <c r="U647" s="1" t="s">
        <v>137</v>
      </c>
      <c r="V647" s="3">
        <v>10</v>
      </c>
    </row>
    <row r="648" spans="1:22" x14ac:dyDescent="0.3">
      <c r="A648" s="2" t="s">
        <v>1734</v>
      </c>
      <c r="B648" s="10">
        <v>45172</v>
      </c>
      <c r="C648" s="22">
        <v>45172</v>
      </c>
      <c r="D648" s="1" t="s">
        <v>1735</v>
      </c>
      <c r="E648" s="1" t="s">
        <v>1596</v>
      </c>
      <c r="F648" s="1">
        <v>25</v>
      </c>
      <c r="G648" s="1" t="s">
        <v>34</v>
      </c>
      <c r="H648" s="1" t="s">
        <v>25</v>
      </c>
      <c r="I648" s="1" t="s">
        <v>26</v>
      </c>
      <c r="J648" s="1" t="s">
        <v>44</v>
      </c>
      <c r="K648" s="1" t="s">
        <v>50</v>
      </c>
      <c r="L648" s="1">
        <v>1</v>
      </c>
      <c r="M648" s="13">
        <v>11522.93</v>
      </c>
      <c r="N648" s="15">
        <v>0.02</v>
      </c>
      <c r="O648" s="13">
        <v>10840.71</v>
      </c>
      <c r="P648" s="13">
        <v>3173.42</v>
      </c>
      <c r="Q648" s="13">
        <v>65.430000000000007</v>
      </c>
      <c r="R648" s="1" t="s">
        <v>78</v>
      </c>
      <c r="S648" s="1">
        <v>5</v>
      </c>
      <c r="T648" s="1" t="b">
        <v>0</v>
      </c>
      <c r="U648" s="1" t="s">
        <v>39</v>
      </c>
      <c r="V648" s="3">
        <v>5</v>
      </c>
    </row>
    <row r="649" spans="1:22" x14ac:dyDescent="0.3">
      <c r="A649" s="2" t="s">
        <v>1736</v>
      </c>
      <c r="B649" s="10">
        <v>45416</v>
      </c>
      <c r="C649" s="22">
        <v>45416</v>
      </c>
      <c r="D649" s="1" t="s">
        <v>1737</v>
      </c>
      <c r="E649" s="1" t="s">
        <v>988</v>
      </c>
      <c r="F649" s="1">
        <v>28</v>
      </c>
      <c r="G649" s="1" t="s">
        <v>34</v>
      </c>
      <c r="H649" s="1" t="s">
        <v>35</v>
      </c>
      <c r="I649" s="1" t="s">
        <v>49</v>
      </c>
      <c r="J649" s="1" t="s">
        <v>127</v>
      </c>
      <c r="K649" s="1" t="s">
        <v>128</v>
      </c>
      <c r="L649" s="1">
        <v>2</v>
      </c>
      <c r="M649" s="13">
        <v>32171.040000000001</v>
      </c>
      <c r="N649" s="15">
        <v>0.1</v>
      </c>
      <c r="O649" s="13">
        <v>95994.28</v>
      </c>
      <c r="P649" s="13">
        <v>9495.02</v>
      </c>
      <c r="Q649" s="13">
        <v>70.88</v>
      </c>
      <c r="R649" s="1" t="s">
        <v>29</v>
      </c>
      <c r="S649" s="1">
        <v>3</v>
      </c>
      <c r="T649" s="1" t="b">
        <v>1</v>
      </c>
      <c r="U649" s="1" t="s">
        <v>30</v>
      </c>
      <c r="V649" s="3">
        <v>7</v>
      </c>
    </row>
    <row r="650" spans="1:22" x14ac:dyDescent="0.3">
      <c r="A650" s="2" t="s">
        <v>1738</v>
      </c>
      <c r="B650" s="10">
        <v>44847</v>
      </c>
      <c r="C650" s="22">
        <v>44847</v>
      </c>
      <c r="D650" s="1" t="s">
        <v>1739</v>
      </c>
      <c r="E650" s="1" t="s">
        <v>926</v>
      </c>
      <c r="F650" s="1">
        <v>55</v>
      </c>
      <c r="G650" s="1" t="s">
        <v>24</v>
      </c>
      <c r="H650" s="1" t="s">
        <v>25</v>
      </c>
      <c r="I650" s="1" t="s">
        <v>55</v>
      </c>
      <c r="J650" s="1" t="s">
        <v>127</v>
      </c>
      <c r="K650" s="1" t="s">
        <v>171</v>
      </c>
      <c r="L650" s="1">
        <v>7</v>
      </c>
      <c r="M650" s="13">
        <v>16843.150000000001</v>
      </c>
      <c r="N650" s="15">
        <v>0.36</v>
      </c>
      <c r="O650" s="13">
        <v>63975.839999999997</v>
      </c>
      <c r="P650" s="13">
        <v>8190.65</v>
      </c>
      <c r="Q650" s="13">
        <v>81.28</v>
      </c>
      <c r="R650" s="1" t="s">
        <v>64</v>
      </c>
      <c r="S650" s="1">
        <v>3</v>
      </c>
      <c r="T650" s="1" t="b">
        <v>0</v>
      </c>
      <c r="U650" s="1" t="s">
        <v>39</v>
      </c>
      <c r="V650" s="3">
        <v>3</v>
      </c>
    </row>
    <row r="651" spans="1:22" x14ac:dyDescent="0.3">
      <c r="A651" s="2" t="s">
        <v>1740</v>
      </c>
      <c r="B651" s="10">
        <v>45107</v>
      </c>
      <c r="C651" s="22">
        <v>45107</v>
      </c>
      <c r="D651" s="1" t="s">
        <v>1741</v>
      </c>
      <c r="E651" s="1" t="s">
        <v>487</v>
      </c>
      <c r="F651" s="1">
        <v>41</v>
      </c>
      <c r="G651" s="1" t="s">
        <v>24</v>
      </c>
      <c r="H651" s="1" t="s">
        <v>74</v>
      </c>
      <c r="I651" s="1" t="s">
        <v>75</v>
      </c>
      <c r="J651" s="1" t="s">
        <v>146</v>
      </c>
      <c r="K651" s="1" t="s">
        <v>147</v>
      </c>
      <c r="L651" s="1">
        <v>7</v>
      </c>
      <c r="M651" s="13">
        <v>4046</v>
      </c>
      <c r="N651" s="15">
        <v>0.11</v>
      </c>
      <c r="O651" s="13">
        <v>44053.34</v>
      </c>
      <c r="P651" s="13">
        <v>9372.6299999999992</v>
      </c>
      <c r="Q651" s="13">
        <v>42.33</v>
      </c>
      <c r="R651" s="1" t="s">
        <v>29</v>
      </c>
      <c r="S651" s="1">
        <v>2</v>
      </c>
      <c r="T651" s="1" t="b">
        <v>0</v>
      </c>
      <c r="U651" s="1" t="s">
        <v>39</v>
      </c>
      <c r="V651" s="3">
        <v>6</v>
      </c>
    </row>
    <row r="652" spans="1:22" x14ac:dyDescent="0.3">
      <c r="A652" s="2" t="s">
        <v>1742</v>
      </c>
      <c r="B652" s="10">
        <v>45163</v>
      </c>
      <c r="C652" s="22">
        <v>45163</v>
      </c>
      <c r="D652" s="1" t="s">
        <v>1743</v>
      </c>
      <c r="E652" s="1" t="s">
        <v>304</v>
      </c>
      <c r="F652" s="1">
        <v>31</v>
      </c>
      <c r="G652" s="1" t="s">
        <v>24</v>
      </c>
      <c r="H652" s="1" t="s">
        <v>74</v>
      </c>
      <c r="I652" s="1" t="s">
        <v>101</v>
      </c>
      <c r="J652" s="1" t="s">
        <v>62</v>
      </c>
      <c r="K652" s="1" t="s">
        <v>266</v>
      </c>
      <c r="L652" s="1">
        <v>10</v>
      </c>
      <c r="M652" s="13">
        <v>260.93</v>
      </c>
      <c r="N652" s="15">
        <v>0.13</v>
      </c>
      <c r="O652" s="13">
        <v>3566.39</v>
      </c>
      <c r="P652" s="13">
        <v>1435.04</v>
      </c>
      <c r="Q652" s="13">
        <v>28.36</v>
      </c>
      <c r="R652" s="1" t="s">
        <v>64</v>
      </c>
      <c r="S652" s="1">
        <v>3</v>
      </c>
      <c r="T652" s="1" t="b">
        <v>0</v>
      </c>
      <c r="U652" s="1" t="s">
        <v>39</v>
      </c>
      <c r="V652" s="3">
        <v>1</v>
      </c>
    </row>
    <row r="653" spans="1:22" x14ac:dyDescent="0.3">
      <c r="A653" s="2" t="s">
        <v>1744</v>
      </c>
      <c r="B653" s="10">
        <v>45476</v>
      </c>
      <c r="C653" s="22">
        <v>45476</v>
      </c>
      <c r="D653" s="1" t="s">
        <v>1745</v>
      </c>
      <c r="E653" s="1" t="s">
        <v>496</v>
      </c>
      <c r="F653" s="1">
        <v>31</v>
      </c>
      <c r="G653" s="1" t="s">
        <v>34</v>
      </c>
      <c r="H653" s="1" t="s">
        <v>111</v>
      </c>
      <c r="I653" s="1" t="s">
        <v>112</v>
      </c>
      <c r="J653" s="1" t="s">
        <v>146</v>
      </c>
      <c r="K653" s="1" t="s">
        <v>217</v>
      </c>
      <c r="L653" s="1">
        <v>5</v>
      </c>
      <c r="M653" s="13">
        <v>4630.1400000000003</v>
      </c>
      <c r="N653" s="15">
        <v>0.28999999999999998</v>
      </c>
      <c r="O653" s="13">
        <v>28327.7</v>
      </c>
      <c r="P653" s="13">
        <v>3969.38</v>
      </c>
      <c r="Q653" s="13">
        <v>82.73</v>
      </c>
      <c r="R653" s="1" t="s">
        <v>29</v>
      </c>
      <c r="S653" s="1">
        <v>3</v>
      </c>
      <c r="T653" s="1" t="b">
        <v>0</v>
      </c>
      <c r="U653" s="1" t="s">
        <v>39</v>
      </c>
      <c r="V653" s="3">
        <v>5</v>
      </c>
    </row>
    <row r="654" spans="1:22" x14ac:dyDescent="0.3">
      <c r="A654" s="2" t="s">
        <v>1746</v>
      </c>
      <c r="B654" s="10">
        <v>43873</v>
      </c>
      <c r="C654" s="22">
        <v>43873</v>
      </c>
      <c r="D654" s="1" t="s">
        <v>1747</v>
      </c>
      <c r="E654" s="1" t="s">
        <v>1096</v>
      </c>
      <c r="F654" s="1">
        <v>52</v>
      </c>
      <c r="G654" s="1" t="s">
        <v>34</v>
      </c>
      <c r="H654" s="1" t="s">
        <v>82</v>
      </c>
      <c r="I654" s="1" t="s">
        <v>83</v>
      </c>
      <c r="J654" s="1" t="s">
        <v>146</v>
      </c>
      <c r="K654" s="1" t="s">
        <v>217</v>
      </c>
      <c r="L654" s="1">
        <v>4</v>
      </c>
      <c r="M654" s="13">
        <v>5949.42</v>
      </c>
      <c r="N654" s="15">
        <v>0.34</v>
      </c>
      <c r="O654" s="13">
        <v>11315.53</v>
      </c>
      <c r="P654" s="13">
        <v>2670.63</v>
      </c>
      <c r="Q654" s="13">
        <v>82.54</v>
      </c>
      <c r="R654" s="1" t="s">
        <v>51</v>
      </c>
      <c r="S654" s="1">
        <v>5</v>
      </c>
      <c r="T654" s="1" t="b">
        <v>0</v>
      </c>
      <c r="U654" s="1" t="s">
        <v>39</v>
      </c>
      <c r="V654" s="3">
        <v>4</v>
      </c>
    </row>
    <row r="655" spans="1:22" x14ac:dyDescent="0.3">
      <c r="A655" s="2" t="s">
        <v>1748</v>
      </c>
      <c r="B655" s="10">
        <v>44958</v>
      </c>
      <c r="C655" s="22">
        <v>44958</v>
      </c>
      <c r="D655" s="1" t="s">
        <v>1749</v>
      </c>
      <c r="E655" s="1" t="s">
        <v>676</v>
      </c>
      <c r="F655" s="1">
        <v>40</v>
      </c>
      <c r="G655" s="1" t="s">
        <v>34</v>
      </c>
      <c r="H655" s="1" t="s">
        <v>25</v>
      </c>
      <c r="I655" s="1" t="s">
        <v>26</v>
      </c>
      <c r="J655" s="1" t="s">
        <v>37</v>
      </c>
      <c r="K655" s="1" t="s">
        <v>671</v>
      </c>
      <c r="L655" s="1">
        <v>3</v>
      </c>
      <c r="M655" s="13">
        <v>2052.63</v>
      </c>
      <c r="N655" s="15">
        <v>0.2</v>
      </c>
      <c r="O655" s="13">
        <v>5621.99</v>
      </c>
      <c r="P655" s="13">
        <v>2360.34</v>
      </c>
      <c r="Q655" s="13">
        <v>38.92</v>
      </c>
      <c r="R655" s="1" t="s">
        <v>64</v>
      </c>
      <c r="S655" s="1">
        <v>5</v>
      </c>
      <c r="T655" s="1" t="b">
        <v>0</v>
      </c>
      <c r="U655" s="1" t="s">
        <v>39</v>
      </c>
      <c r="V655" s="3">
        <v>8</v>
      </c>
    </row>
    <row r="656" spans="1:22" x14ac:dyDescent="0.3">
      <c r="A656" s="2" t="s">
        <v>1750</v>
      </c>
      <c r="B656" s="10">
        <v>44370</v>
      </c>
      <c r="C656" s="22">
        <v>44370</v>
      </c>
      <c r="D656" s="1" t="s">
        <v>1751</v>
      </c>
      <c r="E656" s="1" t="s">
        <v>976</v>
      </c>
      <c r="F656" s="1">
        <v>40</v>
      </c>
      <c r="G656" s="1" t="s">
        <v>24</v>
      </c>
      <c r="H656" s="1" t="s">
        <v>82</v>
      </c>
      <c r="I656" s="1" t="s">
        <v>126</v>
      </c>
      <c r="J656" s="1" t="s">
        <v>127</v>
      </c>
      <c r="K656" s="1" t="s">
        <v>142</v>
      </c>
      <c r="L656" s="1">
        <v>1</v>
      </c>
      <c r="M656" s="13">
        <v>40389.089999999997</v>
      </c>
      <c r="N656" s="15">
        <v>0.21</v>
      </c>
      <c r="O656" s="13">
        <v>51680.51</v>
      </c>
      <c r="P656" s="13">
        <v>5290.6</v>
      </c>
      <c r="Q656" s="13">
        <v>91.67</v>
      </c>
      <c r="R656" s="1" t="s">
        <v>64</v>
      </c>
      <c r="S656" s="1">
        <v>5</v>
      </c>
      <c r="T656" s="1" t="b">
        <v>0</v>
      </c>
      <c r="U656" s="1" t="s">
        <v>58</v>
      </c>
      <c r="V656" s="3">
        <v>10</v>
      </c>
    </row>
    <row r="657" spans="1:22" x14ac:dyDescent="0.3">
      <c r="A657" s="2" t="s">
        <v>1752</v>
      </c>
      <c r="B657" s="10">
        <v>45291</v>
      </c>
      <c r="C657" s="22">
        <v>45291</v>
      </c>
      <c r="D657" s="1" t="s">
        <v>1753</v>
      </c>
      <c r="E657" s="1" t="s">
        <v>406</v>
      </c>
      <c r="F657" s="1">
        <v>47</v>
      </c>
      <c r="G657" s="1" t="s">
        <v>68</v>
      </c>
      <c r="H657" s="1" t="s">
        <v>111</v>
      </c>
      <c r="I657" s="1" t="s">
        <v>112</v>
      </c>
      <c r="J657" s="1" t="s">
        <v>146</v>
      </c>
      <c r="K657" s="1" t="s">
        <v>484</v>
      </c>
      <c r="L657" s="1">
        <v>3</v>
      </c>
      <c r="M657" s="13">
        <v>2123.23</v>
      </c>
      <c r="N657" s="15">
        <v>0.11</v>
      </c>
      <c r="O657" s="13">
        <v>4790.25</v>
      </c>
      <c r="P657" s="13">
        <v>1126.6600000000001</v>
      </c>
      <c r="Q657" s="13">
        <v>78.63</v>
      </c>
      <c r="R657" s="1" t="s">
        <v>57</v>
      </c>
      <c r="S657" s="1">
        <v>1</v>
      </c>
      <c r="T657" s="1" t="b">
        <v>0</v>
      </c>
      <c r="U657" s="1" t="s">
        <v>197</v>
      </c>
      <c r="V657" s="3">
        <v>10</v>
      </c>
    </row>
    <row r="658" spans="1:22" x14ac:dyDescent="0.3">
      <c r="A658" s="2" t="s">
        <v>1754</v>
      </c>
      <c r="B658" s="10">
        <v>44642</v>
      </c>
      <c r="C658" s="22">
        <v>44642</v>
      </c>
      <c r="D658" s="1" t="s">
        <v>1755</v>
      </c>
      <c r="E658" s="1" t="s">
        <v>1756</v>
      </c>
      <c r="F658" s="1">
        <v>44</v>
      </c>
      <c r="G658" s="1" t="s">
        <v>24</v>
      </c>
      <c r="H658" s="1" t="s">
        <v>25</v>
      </c>
      <c r="I658" s="1" t="s">
        <v>26</v>
      </c>
      <c r="J658" s="1" t="s">
        <v>37</v>
      </c>
      <c r="K658" s="1" t="s">
        <v>231</v>
      </c>
      <c r="L658" s="1">
        <v>1</v>
      </c>
      <c r="M658" s="13">
        <v>2044.93</v>
      </c>
      <c r="N658" s="15">
        <v>0.23</v>
      </c>
      <c r="O658" s="13">
        <v>1828.13</v>
      </c>
      <c r="P658" s="13">
        <v>565</v>
      </c>
      <c r="Q658" s="13">
        <v>44.76</v>
      </c>
      <c r="R658" s="1" t="s">
        <v>78</v>
      </c>
      <c r="S658" s="1">
        <v>2</v>
      </c>
      <c r="T658" s="1" t="b">
        <v>1</v>
      </c>
      <c r="U658" s="1" t="s">
        <v>30</v>
      </c>
      <c r="V658" s="3">
        <v>2</v>
      </c>
    </row>
    <row r="659" spans="1:22" x14ac:dyDescent="0.3">
      <c r="A659" s="2" t="s">
        <v>1757</v>
      </c>
      <c r="B659" s="10">
        <v>45502</v>
      </c>
      <c r="C659" s="22">
        <v>45502</v>
      </c>
      <c r="D659" s="1" t="s">
        <v>1758</v>
      </c>
      <c r="E659" s="1" t="s">
        <v>770</v>
      </c>
      <c r="F659" s="1">
        <v>29</v>
      </c>
      <c r="G659" s="1" t="s">
        <v>68</v>
      </c>
      <c r="H659" s="1" t="s">
        <v>82</v>
      </c>
      <c r="I659" s="1" t="s">
        <v>293</v>
      </c>
      <c r="J659" s="1" t="s">
        <v>37</v>
      </c>
      <c r="K659" s="1" t="s">
        <v>102</v>
      </c>
      <c r="L659" s="1">
        <v>3</v>
      </c>
      <c r="M659" s="13">
        <v>1864.31</v>
      </c>
      <c r="N659" s="15">
        <v>0.21</v>
      </c>
      <c r="O659" s="13">
        <v>9882.2000000000007</v>
      </c>
      <c r="P659" s="13">
        <v>4184.16</v>
      </c>
      <c r="Q659" s="13">
        <v>66.81</v>
      </c>
      <c r="R659" s="1" t="s">
        <v>29</v>
      </c>
      <c r="S659" s="1">
        <v>2</v>
      </c>
      <c r="T659" s="1" t="b">
        <v>0</v>
      </c>
      <c r="U659" s="1" t="s">
        <v>84</v>
      </c>
      <c r="V659" s="3">
        <v>5</v>
      </c>
    </row>
    <row r="660" spans="1:22" x14ac:dyDescent="0.3">
      <c r="A660" s="2" t="s">
        <v>1759</v>
      </c>
      <c r="B660" s="10">
        <v>43990</v>
      </c>
      <c r="C660" s="22">
        <v>43990</v>
      </c>
      <c r="D660" s="1" t="s">
        <v>1760</v>
      </c>
      <c r="E660" s="1" t="s">
        <v>1761</v>
      </c>
      <c r="F660" s="1">
        <v>21</v>
      </c>
      <c r="G660" s="1" t="s">
        <v>34</v>
      </c>
      <c r="H660" s="1" t="s">
        <v>82</v>
      </c>
      <c r="I660" s="1" t="s">
        <v>126</v>
      </c>
      <c r="J660" s="1" t="s">
        <v>76</v>
      </c>
      <c r="K660" s="1" t="s">
        <v>132</v>
      </c>
      <c r="L660" s="1">
        <v>9</v>
      </c>
      <c r="M660" s="13">
        <v>3409.51</v>
      </c>
      <c r="N660" s="15">
        <v>0.33</v>
      </c>
      <c r="O660" s="13">
        <v>26237.94</v>
      </c>
      <c r="P660" s="13">
        <v>12568.82</v>
      </c>
      <c r="Q660" s="13">
        <v>97.18</v>
      </c>
      <c r="R660" s="1" t="s">
        <v>78</v>
      </c>
      <c r="S660" s="1">
        <v>3</v>
      </c>
      <c r="T660" s="1" t="b">
        <v>0</v>
      </c>
      <c r="U660" s="1" t="s">
        <v>84</v>
      </c>
      <c r="V660" s="3">
        <v>3</v>
      </c>
    </row>
    <row r="661" spans="1:22" x14ac:dyDescent="0.3">
      <c r="A661" s="2" t="s">
        <v>1762</v>
      </c>
      <c r="B661" s="10">
        <v>45239</v>
      </c>
      <c r="C661" s="22">
        <v>45239</v>
      </c>
      <c r="D661" s="1" t="s">
        <v>1763</v>
      </c>
      <c r="E661" s="1" t="s">
        <v>157</v>
      </c>
      <c r="F661" s="1">
        <v>32</v>
      </c>
      <c r="G661" s="1" t="s">
        <v>34</v>
      </c>
      <c r="H661" s="1" t="s">
        <v>111</v>
      </c>
      <c r="I661" s="1" t="s">
        <v>112</v>
      </c>
      <c r="J661" s="1" t="s">
        <v>127</v>
      </c>
      <c r="K661" s="1" t="s">
        <v>171</v>
      </c>
      <c r="L661" s="1">
        <v>4</v>
      </c>
      <c r="M661" s="13">
        <v>71997.600000000006</v>
      </c>
      <c r="N661" s="15">
        <v>0.08</v>
      </c>
      <c r="O661" s="13">
        <v>238162.29</v>
      </c>
      <c r="P661" s="13">
        <v>25389.57</v>
      </c>
      <c r="Q661" s="13">
        <v>76.900000000000006</v>
      </c>
      <c r="R661" s="1" t="s">
        <v>64</v>
      </c>
      <c r="S661" s="1">
        <v>2</v>
      </c>
      <c r="T661" s="1" t="b">
        <v>0</v>
      </c>
      <c r="U661" s="1" t="s">
        <v>39</v>
      </c>
      <c r="V661" s="3">
        <v>3</v>
      </c>
    </row>
    <row r="662" spans="1:22" x14ac:dyDescent="0.3">
      <c r="A662" s="2" t="s">
        <v>1764</v>
      </c>
      <c r="B662" s="10">
        <v>45278</v>
      </c>
      <c r="C662" s="22">
        <v>45278</v>
      </c>
      <c r="D662" s="1" t="s">
        <v>1765</v>
      </c>
      <c r="E662" s="1" t="s">
        <v>578</v>
      </c>
      <c r="F662" s="1">
        <v>36</v>
      </c>
      <c r="G662" s="1" t="s">
        <v>24</v>
      </c>
      <c r="H662" s="1" t="s">
        <v>82</v>
      </c>
      <c r="I662" s="1" t="s">
        <v>293</v>
      </c>
      <c r="J662" s="1" t="s">
        <v>127</v>
      </c>
      <c r="K662" s="1" t="s">
        <v>142</v>
      </c>
      <c r="L662" s="1">
        <v>5</v>
      </c>
      <c r="M662" s="13">
        <v>21214.09</v>
      </c>
      <c r="N662" s="15">
        <v>0.05</v>
      </c>
      <c r="O662" s="13">
        <v>18096.43</v>
      </c>
      <c r="P662" s="13">
        <v>1927.45</v>
      </c>
      <c r="Q662" s="13">
        <v>99.77</v>
      </c>
      <c r="R662" s="1" t="s">
        <v>29</v>
      </c>
      <c r="S662" s="1">
        <v>2</v>
      </c>
      <c r="T662" s="1" t="b">
        <v>0</v>
      </c>
      <c r="U662" s="1" t="s">
        <v>84</v>
      </c>
      <c r="V662" s="3">
        <v>2</v>
      </c>
    </row>
    <row r="663" spans="1:22" x14ac:dyDescent="0.3">
      <c r="A663" s="2" t="s">
        <v>1766</v>
      </c>
      <c r="B663" s="10">
        <v>44807</v>
      </c>
      <c r="C663" s="22">
        <v>44807</v>
      </c>
      <c r="D663" s="1" t="s">
        <v>1767</v>
      </c>
      <c r="E663" s="1" t="s">
        <v>1176</v>
      </c>
      <c r="F663" s="1">
        <v>57</v>
      </c>
      <c r="G663" s="1" t="s">
        <v>24</v>
      </c>
      <c r="H663" s="1" t="s">
        <v>35</v>
      </c>
      <c r="I663" s="1" t="s">
        <v>106</v>
      </c>
      <c r="J663" s="1" t="s">
        <v>76</v>
      </c>
      <c r="K663" s="1" t="s">
        <v>113</v>
      </c>
      <c r="L663" s="1">
        <v>3</v>
      </c>
      <c r="M663" s="13">
        <v>3199.67</v>
      </c>
      <c r="N663" s="15">
        <v>0.02</v>
      </c>
      <c r="O663" s="13">
        <v>9330.68</v>
      </c>
      <c r="P663" s="13">
        <v>3697.29</v>
      </c>
      <c r="Q663" s="13">
        <v>67.55</v>
      </c>
      <c r="R663" s="1" t="s">
        <v>78</v>
      </c>
      <c r="S663" s="1">
        <v>5</v>
      </c>
      <c r="T663" s="1" t="b">
        <v>0</v>
      </c>
      <c r="U663" s="1" t="s">
        <v>39</v>
      </c>
      <c r="V663" s="3">
        <v>9</v>
      </c>
    </row>
    <row r="664" spans="1:22" x14ac:dyDescent="0.3">
      <c r="A664" s="2" t="s">
        <v>1768</v>
      </c>
      <c r="B664" s="10">
        <v>44249</v>
      </c>
      <c r="C664" s="22">
        <v>44249</v>
      </c>
      <c r="D664" s="1" t="s">
        <v>1769</v>
      </c>
      <c r="E664" s="1" t="s">
        <v>1181</v>
      </c>
      <c r="F664" s="1">
        <v>38</v>
      </c>
      <c r="G664" s="1" t="s">
        <v>24</v>
      </c>
      <c r="H664" s="1" t="s">
        <v>35</v>
      </c>
      <c r="I664" s="1" t="s">
        <v>49</v>
      </c>
      <c r="J664" s="1" t="s">
        <v>62</v>
      </c>
      <c r="K664" s="1" t="s">
        <v>283</v>
      </c>
      <c r="L664" s="1">
        <v>4</v>
      </c>
      <c r="M664" s="13">
        <v>386.28</v>
      </c>
      <c r="N664" s="15">
        <v>0.3</v>
      </c>
      <c r="O664" s="13">
        <v>1032.77</v>
      </c>
      <c r="P664" s="13">
        <v>513.15</v>
      </c>
      <c r="Q664" s="13">
        <v>50.89</v>
      </c>
      <c r="R664" s="1" t="s">
        <v>51</v>
      </c>
      <c r="S664" s="1">
        <v>5</v>
      </c>
      <c r="T664" s="1" t="b">
        <v>0</v>
      </c>
      <c r="U664" s="1" t="s">
        <v>39</v>
      </c>
      <c r="V664" s="3">
        <v>5</v>
      </c>
    </row>
    <row r="665" spans="1:22" x14ac:dyDescent="0.3">
      <c r="A665" s="2" t="s">
        <v>1770</v>
      </c>
      <c r="B665" s="10">
        <v>44200</v>
      </c>
      <c r="C665" s="22">
        <v>44200</v>
      </c>
      <c r="D665" s="1" t="s">
        <v>1771</v>
      </c>
      <c r="E665" s="1" t="s">
        <v>496</v>
      </c>
      <c r="F665" s="1">
        <v>26</v>
      </c>
      <c r="G665" s="1" t="s">
        <v>68</v>
      </c>
      <c r="H665" s="1" t="s">
        <v>35</v>
      </c>
      <c r="I665" s="1" t="s">
        <v>106</v>
      </c>
      <c r="J665" s="1" t="s">
        <v>44</v>
      </c>
      <c r="K665" s="1" t="s">
        <v>221</v>
      </c>
      <c r="L665" s="1">
        <v>2</v>
      </c>
      <c r="M665" s="13">
        <v>7006.2</v>
      </c>
      <c r="N665" s="15">
        <v>0.24</v>
      </c>
      <c r="O665" s="13">
        <v>8461.81</v>
      </c>
      <c r="P665" s="13">
        <v>2133.62</v>
      </c>
      <c r="Q665" s="13">
        <v>67.349999999999994</v>
      </c>
      <c r="R665" s="1" t="s">
        <v>78</v>
      </c>
      <c r="S665" s="1">
        <v>2</v>
      </c>
      <c r="T665" s="1" t="b">
        <v>0</v>
      </c>
      <c r="U665" s="1" t="s">
        <v>39</v>
      </c>
      <c r="V665" s="3">
        <v>7</v>
      </c>
    </row>
    <row r="666" spans="1:22" x14ac:dyDescent="0.3">
      <c r="A666" s="2" t="s">
        <v>1772</v>
      </c>
      <c r="B666" s="10">
        <v>44021</v>
      </c>
      <c r="C666" s="22">
        <v>44021</v>
      </c>
      <c r="D666" s="1" t="s">
        <v>1773</v>
      </c>
      <c r="E666" s="1" t="s">
        <v>705</v>
      </c>
      <c r="F666" s="1">
        <v>28</v>
      </c>
      <c r="G666" s="1" t="s">
        <v>24</v>
      </c>
      <c r="H666" s="1" t="s">
        <v>82</v>
      </c>
      <c r="I666" s="1" t="s">
        <v>293</v>
      </c>
      <c r="J666" s="1" t="s">
        <v>62</v>
      </c>
      <c r="K666" s="1" t="s">
        <v>63</v>
      </c>
      <c r="L666" s="1">
        <v>2</v>
      </c>
      <c r="M666" s="13">
        <v>472.49</v>
      </c>
      <c r="N666" s="15">
        <v>0.2</v>
      </c>
      <c r="O666" s="13">
        <v>1015.04</v>
      </c>
      <c r="P666" s="13">
        <v>475.52</v>
      </c>
      <c r="Q666" s="13">
        <v>89.97</v>
      </c>
      <c r="R666" s="1" t="s">
        <v>70</v>
      </c>
      <c r="S666" s="1">
        <v>2</v>
      </c>
      <c r="T666" s="1" t="b">
        <v>0</v>
      </c>
      <c r="U666" s="1" t="s">
        <v>39</v>
      </c>
      <c r="V666" s="3">
        <v>1</v>
      </c>
    </row>
    <row r="667" spans="1:22" x14ac:dyDescent="0.3">
      <c r="A667" s="2" t="s">
        <v>1774</v>
      </c>
      <c r="B667" s="10">
        <v>45514</v>
      </c>
      <c r="C667" s="22">
        <v>45514</v>
      </c>
      <c r="D667" s="1" t="s">
        <v>1775</v>
      </c>
      <c r="E667" s="1" t="s">
        <v>1454</v>
      </c>
      <c r="F667" s="1">
        <v>32</v>
      </c>
      <c r="G667" s="1" t="s">
        <v>463</v>
      </c>
      <c r="H667" s="1" t="s">
        <v>82</v>
      </c>
      <c r="I667" s="1" t="s">
        <v>83</v>
      </c>
      <c r="J667" s="1" t="s">
        <v>37</v>
      </c>
      <c r="K667" s="1" t="s">
        <v>231</v>
      </c>
      <c r="L667" s="1">
        <v>6</v>
      </c>
      <c r="M667" s="13">
        <v>1237.08</v>
      </c>
      <c r="N667" s="15">
        <v>0.08</v>
      </c>
      <c r="O667" s="13">
        <v>10495.02</v>
      </c>
      <c r="P667" s="13">
        <v>5178.08</v>
      </c>
      <c r="Q667" s="13">
        <v>78.37</v>
      </c>
      <c r="R667" s="1" t="s">
        <v>51</v>
      </c>
      <c r="S667" s="1">
        <v>3</v>
      </c>
      <c r="T667" s="1" t="b">
        <v>0</v>
      </c>
      <c r="U667" s="1" t="s">
        <v>39</v>
      </c>
      <c r="V667" s="3">
        <v>10</v>
      </c>
    </row>
    <row r="668" spans="1:22" x14ac:dyDescent="0.3">
      <c r="A668" s="2" t="s">
        <v>1776</v>
      </c>
      <c r="B668" s="10">
        <v>45173</v>
      </c>
      <c r="C668" s="22">
        <v>45173</v>
      </c>
      <c r="D668" s="1" t="s">
        <v>1777</v>
      </c>
      <c r="E668" s="1" t="s">
        <v>708</v>
      </c>
      <c r="F668" s="1">
        <v>28</v>
      </c>
      <c r="G668" s="1" t="s">
        <v>34</v>
      </c>
      <c r="H668" s="1" t="s">
        <v>35</v>
      </c>
      <c r="I668" s="1" t="s">
        <v>36</v>
      </c>
      <c r="J668" s="1" t="s">
        <v>44</v>
      </c>
      <c r="K668" s="1" t="s">
        <v>117</v>
      </c>
      <c r="L668" s="1">
        <v>5</v>
      </c>
      <c r="M668" s="13">
        <v>18140.259999999998</v>
      </c>
      <c r="N668" s="15">
        <v>0.03</v>
      </c>
      <c r="O668" s="13">
        <v>21348.67</v>
      </c>
      <c r="P668" s="13">
        <v>6686.71</v>
      </c>
      <c r="Q668" s="13">
        <v>61.79</v>
      </c>
      <c r="R668" s="1" t="s">
        <v>78</v>
      </c>
      <c r="S668" s="1">
        <v>4</v>
      </c>
      <c r="T668" s="1" t="b">
        <v>0</v>
      </c>
      <c r="U668" s="1" t="s">
        <v>137</v>
      </c>
      <c r="V668" s="3">
        <v>10</v>
      </c>
    </row>
    <row r="669" spans="1:22" x14ac:dyDescent="0.3">
      <c r="A669" s="2" t="s">
        <v>1778</v>
      </c>
      <c r="B669" s="10">
        <v>45134</v>
      </c>
      <c r="C669" s="22">
        <v>45134</v>
      </c>
      <c r="D669" s="1" t="s">
        <v>1779</v>
      </c>
      <c r="E669" s="1" t="s">
        <v>1142</v>
      </c>
      <c r="F669" s="1">
        <v>43</v>
      </c>
      <c r="G669" s="1" t="s">
        <v>24</v>
      </c>
      <c r="H669" s="1" t="s">
        <v>111</v>
      </c>
      <c r="I669" s="1" t="s">
        <v>121</v>
      </c>
      <c r="J669" s="1" t="s">
        <v>127</v>
      </c>
      <c r="K669" s="1" t="s">
        <v>308</v>
      </c>
      <c r="L669" s="1">
        <v>4</v>
      </c>
      <c r="M669" s="13">
        <v>14557.67</v>
      </c>
      <c r="N669" s="15">
        <v>0.17</v>
      </c>
      <c r="O669" s="13">
        <v>78608.45</v>
      </c>
      <c r="P669" s="13">
        <v>9451.4500000000007</v>
      </c>
      <c r="Q669" s="13">
        <v>67.92</v>
      </c>
      <c r="R669" s="1" t="s">
        <v>29</v>
      </c>
      <c r="S669" s="1">
        <v>2</v>
      </c>
      <c r="T669" s="1" t="b">
        <v>0</v>
      </c>
      <c r="U669" s="1" t="s">
        <v>137</v>
      </c>
      <c r="V669" s="3">
        <v>5</v>
      </c>
    </row>
    <row r="670" spans="1:22" x14ac:dyDescent="0.3">
      <c r="A670" s="2" t="s">
        <v>1780</v>
      </c>
      <c r="B670" s="10">
        <v>44390</v>
      </c>
      <c r="C670" s="22">
        <v>44390</v>
      </c>
      <c r="D670" s="1" t="s">
        <v>1781</v>
      </c>
      <c r="E670" s="1" t="s">
        <v>1782</v>
      </c>
      <c r="F670" s="1">
        <v>36</v>
      </c>
      <c r="G670" s="1" t="s">
        <v>68</v>
      </c>
      <c r="H670" s="1" t="s">
        <v>35</v>
      </c>
      <c r="I670" s="1" t="s">
        <v>106</v>
      </c>
      <c r="J670" s="1" t="s">
        <v>27</v>
      </c>
      <c r="K670" s="1" t="s">
        <v>400</v>
      </c>
      <c r="L670" s="1">
        <v>4</v>
      </c>
      <c r="M670" s="13">
        <v>88.17</v>
      </c>
      <c r="N670" s="15">
        <v>0.18</v>
      </c>
      <c r="O670" s="13">
        <v>435.55</v>
      </c>
      <c r="P670" s="13">
        <v>36.130000000000003</v>
      </c>
      <c r="Q670" s="13">
        <v>74.3</v>
      </c>
      <c r="R670" s="1" t="s">
        <v>64</v>
      </c>
      <c r="S670" s="1">
        <v>1</v>
      </c>
      <c r="T670" s="1" t="b">
        <v>1</v>
      </c>
      <c r="U670" s="1" t="s">
        <v>30</v>
      </c>
      <c r="V670" s="3">
        <v>7</v>
      </c>
    </row>
    <row r="671" spans="1:22" x14ac:dyDescent="0.3">
      <c r="A671" s="2" t="s">
        <v>1783</v>
      </c>
      <c r="B671" s="10">
        <v>44333</v>
      </c>
      <c r="C671" s="22">
        <v>44333</v>
      </c>
      <c r="D671" s="1" t="s">
        <v>1784</v>
      </c>
      <c r="E671" s="1" t="s">
        <v>384</v>
      </c>
      <c r="F671" s="1">
        <v>40</v>
      </c>
      <c r="G671" s="1" t="s">
        <v>24</v>
      </c>
      <c r="H671" s="1" t="s">
        <v>74</v>
      </c>
      <c r="I671" s="1" t="s">
        <v>101</v>
      </c>
      <c r="J671" s="1" t="s">
        <v>146</v>
      </c>
      <c r="K671" s="1" t="s">
        <v>276</v>
      </c>
      <c r="L671" s="1">
        <v>4</v>
      </c>
      <c r="M671" s="13">
        <v>8417.94</v>
      </c>
      <c r="N671" s="15">
        <v>0.17</v>
      </c>
      <c r="O671" s="13">
        <v>35739.9</v>
      </c>
      <c r="P671" s="13">
        <v>7946.19</v>
      </c>
      <c r="Q671" s="13">
        <v>44.41</v>
      </c>
      <c r="R671" s="1" t="s">
        <v>64</v>
      </c>
      <c r="S671" s="1">
        <v>3</v>
      </c>
      <c r="T671" s="1" t="b">
        <v>1</v>
      </c>
      <c r="U671" s="1" t="s">
        <v>30</v>
      </c>
      <c r="V671" s="3">
        <v>3</v>
      </c>
    </row>
    <row r="672" spans="1:22" x14ac:dyDescent="0.3">
      <c r="A672" s="2" t="s">
        <v>1785</v>
      </c>
      <c r="B672" s="10">
        <v>43835</v>
      </c>
      <c r="C672" s="22">
        <v>43835</v>
      </c>
      <c r="D672" s="1" t="s">
        <v>1786</v>
      </c>
      <c r="E672" s="1" t="s">
        <v>301</v>
      </c>
      <c r="F672" s="1">
        <v>41</v>
      </c>
      <c r="G672" s="1" t="s">
        <v>34</v>
      </c>
      <c r="H672" s="1" t="s">
        <v>111</v>
      </c>
      <c r="I672" s="1" t="s">
        <v>112</v>
      </c>
      <c r="J672" s="1" t="s">
        <v>27</v>
      </c>
      <c r="K672" s="1" t="s">
        <v>430</v>
      </c>
      <c r="L672" s="1">
        <v>6</v>
      </c>
      <c r="M672" s="13">
        <v>375.14</v>
      </c>
      <c r="N672" s="15">
        <v>0.19</v>
      </c>
      <c r="O672" s="13">
        <v>1288.33</v>
      </c>
      <c r="P672" s="13">
        <v>89.5</v>
      </c>
      <c r="Q672" s="13">
        <v>54.85</v>
      </c>
      <c r="R672" s="1" t="s">
        <v>29</v>
      </c>
      <c r="S672" s="1">
        <v>1</v>
      </c>
      <c r="T672" s="1" t="b">
        <v>0</v>
      </c>
      <c r="U672" s="1" t="s">
        <v>197</v>
      </c>
      <c r="V672" s="3">
        <v>9</v>
      </c>
    </row>
    <row r="673" spans="1:22" x14ac:dyDescent="0.3">
      <c r="A673" s="2" t="s">
        <v>1787</v>
      </c>
      <c r="B673" s="10">
        <v>45473</v>
      </c>
      <c r="C673" s="22">
        <v>45473</v>
      </c>
      <c r="D673" s="1" t="s">
        <v>1788</v>
      </c>
      <c r="E673" s="1" t="s">
        <v>177</v>
      </c>
      <c r="F673" s="1">
        <v>38</v>
      </c>
      <c r="G673" s="1" t="s">
        <v>68</v>
      </c>
      <c r="H673" s="1" t="s">
        <v>82</v>
      </c>
      <c r="I673" s="1" t="s">
        <v>293</v>
      </c>
      <c r="J673" s="1" t="s">
        <v>76</v>
      </c>
      <c r="K673" s="1" t="s">
        <v>207</v>
      </c>
      <c r="L673" s="1">
        <v>1</v>
      </c>
      <c r="M673" s="13">
        <v>940.26</v>
      </c>
      <c r="N673" s="15">
        <v>0.15</v>
      </c>
      <c r="O673" s="13">
        <v>1246.04</v>
      </c>
      <c r="P673" s="13">
        <v>538.04</v>
      </c>
      <c r="Q673" s="13">
        <v>74.319999999999993</v>
      </c>
      <c r="R673" s="1" t="s">
        <v>29</v>
      </c>
      <c r="S673" s="1">
        <v>5</v>
      </c>
      <c r="T673" s="1" t="b">
        <v>0</v>
      </c>
      <c r="U673" s="1" t="s">
        <v>39</v>
      </c>
      <c r="V673" s="3">
        <v>4</v>
      </c>
    </row>
    <row r="674" spans="1:22" x14ac:dyDescent="0.3">
      <c r="A674" s="2" t="s">
        <v>1789</v>
      </c>
      <c r="B674" s="10">
        <v>45529</v>
      </c>
      <c r="C674" s="22">
        <v>45529</v>
      </c>
      <c r="D674" s="1" t="s">
        <v>1790</v>
      </c>
      <c r="E674" s="1" t="s">
        <v>1300</v>
      </c>
      <c r="F674" s="1">
        <v>37</v>
      </c>
      <c r="G674" s="1" t="s">
        <v>34</v>
      </c>
      <c r="H674" s="1" t="s">
        <v>25</v>
      </c>
      <c r="I674" s="1" t="s">
        <v>55</v>
      </c>
      <c r="J674" s="1" t="s">
        <v>62</v>
      </c>
      <c r="K674" s="1" t="s">
        <v>283</v>
      </c>
      <c r="L674" s="1">
        <v>4</v>
      </c>
      <c r="M674" s="13">
        <v>504.03</v>
      </c>
      <c r="N674" s="15">
        <v>0.09</v>
      </c>
      <c r="O674" s="13">
        <v>2819.84</v>
      </c>
      <c r="P674" s="13">
        <v>1074.69</v>
      </c>
      <c r="Q674" s="13">
        <v>58.2</v>
      </c>
      <c r="R674" s="1" t="s">
        <v>51</v>
      </c>
      <c r="S674" s="1">
        <v>5</v>
      </c>
      <c r="T674" s="1" t="b">
        <v>0</v>
      </c>
      <c r="U674" s="1" t="s">
        <v>39</v>
      </c>
      <c r="V674" s="3">
        <v>1</v>
      </c>
    </row>
    <row r="675" spans="1:22" x14ac:dyDescent="0.3">
      <c r="A675" s="2" t="s">
        <v>1791</v>
      </c>
      <c r="B675" s="10">
        <v>45335</v>
      </c>
      <c r="C675" s="22">
        <v>45335</v>
      </c>
      <c r="D675" s="1" t="s">
        <v>1792</v>
      </c>
      <c r="E675" s="1" t="s">
        <v>87</v>
      </c>
      <c r="F675" s="1">
        <v>38</v>
      </c>
      <c r="G675" s="1" t="s">
        <v>68</v>
      </c>
      <c r="H675" s="1" t="s">
        <v>111</v>
      </c>
      <c r="I675" s="1" t="s">
        <v>112</v>
      </c>
      <c r="J675" s="1" t="s">
        <v>27</v>
      </c>
      <c r="K675" s="1" t="s">
        <v>56</v>
      </c>
      <c r="L675" s="1">
        <v>9</v>
      </c>
      <c r="M675" s="13">
        <v>121.9</v>
      </c>
      <c r="N675" s="15">
        <v>0.27</v>
      </c>
      <c r="O675" s="13">
        <v>818.88</v>
      </c>
      <c r="P675" s="13">
        <v>88.91</v>
      </c>
      <c r="Q675" s="13">
        <v>66.37</v>
      </c>
      <c r="R675" s="1" t="s">
        <v>29</v>
      </c>
      <c r="S675" s="1">
        <v>5</v>
      </c>
      <c r="T675" s="1" t="b">
        <v>0</v>
      </c>
      <c r="U675" s="1" t="s">
        <v>39</v>
      </c>
      <c r="V675" s="3">
        <v>9</v>
      </c>
    </row>
    <row r="676" spans="1:22" x14ac:dyDescent="0.3">
      <c r="A676" s="2" t="s">
        <v>1793</v>
      </c>
      <c r="B676" s="10">
        <v>44137</v>
      </c>
      <c r="C676" s="22">
        <v>44137</v>
      </c>
      <c r="D676" s="1" t="s">
        <v>1794</v>
      </c>
      <c r="E676" s="1" t="s">
        <v>1596</v>
      </c>
      <c r="F676" s="1">
        <v>40</v>
      </c>
      <c r="G676" s="1" t="s">
        <v>34</v>
      </c>
      <c r="H676" s="1" t="s">
        <v>74</v>
      </c>
      <c r="I676" s="1" t="s">
        <v>75</v>
      </c>
      <c r="J676" s="1" t="s">
        <v>127</v>
      </c>
      <c r="K676" s="1" t="s">
        <v>142</v>
      </c>
      <c r="L676" s="1">
        <v>10</v>
      </c>
      <c r="M676" s="13">
        <v>28972.39</v>
      </c>
      <c r="N676" s="15">
        <v>0.33</v>
      </c>
      <c r="O676" s="13">
        <v>130564.4</v>
      </c>
      <c r="P676" s="13">
        <v>13703.51</v>
      </c>
      <c r="Q676" s="13">
        <v>50.2</v>
      </c>
      <c r="R676" s="1" t="s">
        <v>51</v>
      </c>
      <c r="S676" s="1">
        <v>3</v>
      </c>
      <c r="T676" s="1" t="b">
        <v>0</v>
      </c>
      <c r="U676" s="1" t="s">
        <v>39</v>
      </c>
      <c r="V676" s="3">
        <v>8</v>
      </c>
    </row>
    <row r="677" spans="1:22" x14ac:dyDescent="0.3">
      <c r="A677" s="2" t="s">
        <v>1795</v>
      </c>
      <c r="B677" s="10">
        <v>44054</v>
      </c>
      <c r="C677" s="22">
        <v>44054</v>
      </c>
      <c r="D677" s="1" t="s">
        <v>1796</v>
      </c>
      <c r="E677" s="1" t="s">
        <v>1535</v>
      </c>
      <c r="F677" s="1">
        <v>38</v>
      </c>
      <c r="G677" s="1" t="s">
        <v>34</v>
      </c>
      <c r="H677" s="1" t="s">
        <v>111</v>
      </c>
      <c r="I677" s="1" t="s">
        <v>330</v>
      </c>
      <c r="J677" s="1" t="s">
        <v>146</v>
      </c>
      <c r="K677" s="1" t="s">
        <v>161</v>
      </c>
      <c r="L677" s="1">
        <v>10</v>
      </c>
      <c r="M677" s="13">
        <v>12293.17</v>
      </c>
      <c r="N677" s="15">
        <v>0.28000000000000003</v>
      </c>
      <c r="O677" s="13">
        <v>106448.38</v>
      </c>
      <c r="P677" s="13">
        <v>22757.35</v>
      </c>
      <c r="Q677" s="13">
        <v>56.34</v>
      </c>
      <c r="R677" s="1" t="s">
        <v>51</v>
      </c>
      <c r="S677" s="1">
        <v>4</v>
      </c>
      <c r="T677" s="1" t="b">
        <v>0</v>
      </c>
      <c r="U677" s="1" t="s">
        <v>197</v>
      </c>
      <c r="V677" s="3">
        <v>6</v>
      </c>
    </row>
    <row r="678" spans="1:22" x14ac:dyDescent="0.3">
      <c r="A678" s="2" t="s">
        <v>1797</v>
      </c>
      <c r="B678" s="10">
        <v>44895</v>
      </c>
      <c r="C678" s="22">
        <v>44895</v>
      </c>
      <c r="D678" s="1" t="s">
        <v>1798</v>
      </c>
      <c r="E678" s="1" t="s">
        <v>629</v>
      </c>
      <c r="F678" s="1">
        <v>21</v>
      </c>
      <c r="G678" s="1" t="s">
        <v>34</v>
      </c>
      <c r="H678" s="1" t="s">
        <v>25</v>
      </c>
      <c r="I678" s="1" t="s">
        <v>55</v>
      </c>
      <c r="J678" s="1" t="s">
        <v>127</v>
      </c>
      <c r="K678" s="1" t="s">
        <v>517</v>
      </c>
      <c r="L678" s="1">
        <v>10</v>
      </c>
      <c r="M678" s="13">
        <v>46339.99</v>
      </c>
      <c r="N678" s="15">
        <v>0.36</v>
      </c>
      <c r="O678" s="13">
        <v>266029.05</v>
      </c>
      <c r="P678" s="13">
        <v>36961.78</v>
      </c>
      <c r="Q678" s="13">
        <v>81.540000000000006</v>
      </c>
      <c r="R678" s="1" t="s">
        <v>64</v>
      </c>
      <c r="S678" s="1">
        <v>3</v>
      </c>
      <c r="T678" s="1" t="b">
        <v>0</v>
      </c>
      <c r="U678" s="1" t="s">
        <v>39</v>
      </c>
      <c r="V678" s="3">
        <v>9</v>
      </c>
    </row>
    <row r="679" spans="1:22" x14ac:dyDescent="0.3">
      <c r="A679" s="2" t="s">
        <v>1799</v>
      </c>
      <c r="B679" s="10">
        <v>43946</v>
      </c>
      <c r="C679" s="22">
        <v>43946</v>
      </c>
      <c r="D679" s="1" t="s">
        <v>1800</v>
      </c>
      <c r="E679" s="1" t="s">
        <v>1574</v>
      </c>
      <c r="F679" s="1">
        <v>18</v>
      </c>
      <c r="G679" s="1" t="s">
        <v>68</v>
      </c>
      <c r="H679" s="1" t="s">
        <v>25</v>
      </c>
      <c r="I679" s="1" t="s">
        <v>69</v>
      </c>
      <c r="J679" s="1" t="s">
        <v>127</v>
      </c>
      <c r="K679" s="1" t="s">
        <v>171</v>
      </c>
      <c r="L679" s="1">
        <v>5</v>
      </c>
      <c r="M679" s="13">
        <v>77507.61</v>
      </c>
      <c r="N679" s="15">
        <v>0.11</v>
      </c>
      <c r="O679" s="13">
        <v>80565.98</v>
      </c>
      <c r="P679" s="13">
        <v>9703.67</v>
      </c>
      <c r="Q679" s="13">
        <v>60.01</v>
      </c>
      <c r="R679" s="1" t="s">
        <v>29</v>
      </c>
      <c r="S679" s="1">
        <v>1</v>
      </c>
      <c r="T679" s="1" t="b">
        <v>0</v>
      </c>
      <c r="U679" s="1" t="s">
        <v>39</v>
      </c>
      <c r="V679" s="3">
        <v>5</v>
      </c>
    </row>
    <row r="680" spans="1:22" x14ac:dyDescent="0.3">
      <c r="A680" s="2" t="s">
        <v>1801</v>
      </c>
      <c r="B680" s="10">
        <v>44569</v>
      </c>
      <c r="C680" s="22">
        <v>44569</v>
      </c>
      <c r="D680" s="1" t="s">
        <v>1802</v>
      </c>
      <c r="E680" s="1" t="s">
        <v>1803</v>
      </c>
      <c r="F680" s="1">
        <v>32</v>
      </c>
      <c r="G680" s="1" t="s">
        <v>34</v>
      </c>
      <c r="H680" s="1" t="s">
        <v>35</v>
      </c>
      <c r="I680" s="1" t="s">
        <v>36</v>
      </c>
      <c r="J680" s="1" t="s">
        <v>37</v>
      </c>
      <c r="K680" s="1" t="s">
        <v>38</v>
      </c>
      <c r="L680" s="1">
        <v>2</v>
      </c>
      <c r="M680" s="13">
        <v>332.8</v>
      </c>
      <c r="N680" s="15">
        <v>0.24</v>
      </c>
      <c r="O680" s="13">
        <v>429.47</v>
      </c>
      <c r="P680" s="13">
        <v>235.77</v>
      </c>
      <c r="Q680" s="13">
        <v>47.12</v>
      </c>
      <c r="R680" s="1" t="s">
        <v>57</v>
      </c>
      <c r="S680" s="1">
        <v>1</v>
      </c>
      <c r="T680" s="1" t="b">
        <v>0</v>
      </c>
      <c r="U680" s="1" t="s">
        <v>39</v>
      </c>
      <c r="V680" s="3">
        <v>2</v>
      </c>
    </row>
    <row r="681" spans="1:22" x14ac:dyDescent="0.3">
      <c r="A681" s="2" t="s">
        <v>1804</v>
      </c>
      <c r="B681" s="10">
        <v>45288</v>
      </c>
      <c r="C681" s="22">
        <v>45288</v>
      </c>
      <c r="D681" s="1" t="s">
        <v>1805</v>
      </c>
      <c r="E681" s="1" t="s">
        <v>578</v>
      </c>
      <c r="F681" s="1">
        <v>20</v>
      </c>
      <c r="G681" s="1" t="s">
        <v>68</v>
      </c>
      <c r="H681" s="1" t="s">
        <v>74</v>
      </c>
      <c r="I681" s="1" t="s">
        <v>192</v>
      </c>
      <c r="J681" s="1" t="s">
        <v>76</v>
      </c>
      <c r="K681" s="1" t="s">
        <v>113</v>
      </c>
      <c r="L681" s="1">
        <v>3</v>
      </c>
      <c r="M681" s="13">
        <v>2696.4</v>
      </c>
      <c r="N681" s="15">
        <v>0.19</v>
      </c>
      <c r="O681" s="13">
        <v>5511.95</v>
      </c>
      <c r="P681" s="13">
        <v>1848.17</v>
      </c>
      <c r="Q681" s="13">
        <v>57.33</v>
      </c>
      <c r="R681" s="1" t="s">
        <v>70</v>
      </c>
      <c r="S681" s="1">
        <v>5</v>
      </c>
      <c r="T681" s="1" t="b">
        <v>0</v>
      </c>
      <c r="U681" s="1" t="s">
        <v>197</v>
      </c>
      <c r="V681" s="3">
        <v>10</v>
      </c>
    </row>
    <row r="682" spans="1:22" x14ac:dyDescent="0.3">
      <c r="A682" s="2" t="s">
        <v>1806</v>
      </c>
      <c r="B682" s="10">
        <v>45362</v>
      </c>
      <c r="C682" s="22">
        <v>45362</v>
      </c>
      <c r="D682" s="1" t="s">
        <v>1807</v>
      </c>
      <c r="E682" s="1" t="s">
        <v>237</v>
      </c>
      <c r="F682" s="1">
        <v>14</v>
      </c>
      <c r="G682" s="1" t="s">
        <v>68</v>
      </c>
      <c r="H682" s="1" t="s">
        <v>111</v>
      </c>
      <c r="I682" s="1" t="s">
        <v>330</v>
      </c>
      <c r="J682" s="1" t="s">
        <v>146</v>
      </c>
      <c r="K682" s="1" t="s">
        <v>161</v>
      </c>
      <c r="L682" s="1">
        <v>8</v>
      </c>
      <c r="M682" s="13">
        <v>14238.38</v>
      </c>
      <c r="N682" s="15">
        <v>0.39</v>
      </c>
      <c r="O682" s="13">
        <v>99575.7</v>
      </c>
      <c r="P682" s="13">
        <v>21335.83</v>
      </c>
      <c r="Q682" s="13">
        <v>73.75</v>
      </c>
      <c r="R682" s="1" t="s">
        <v>78</v>
      </c>
      <c r="S682" s="1">
        <v>3</v>
      </c>
      <c r="T682" s="1" t="b">
        <v>1</v>
      </c>
      <c r="U682" s="1" t="s">
        <v>30</v>
      </c>
      <c r="V682" s="3">
        <v>3</v>
      </c>
    </row>
    <row r="683" spans="1:22" x14ac:dyDescent="0.3">
      <c r="A683" s="2" t="s">
        <v>1808</v>
      </c>
      <c r="B683" s="10">
        <v>45467</v>
      </c>
      <c r="C683" s="22">
        <v>45467</v>
      </c>
      <c r="D683" s="1" t="s">
        <v>1809</v>
      </c>
      <c r="E683" s="1" t="s">
        <v>1761</v>
      </c>
      <c r="F683" s="1">
        <v>20</v>
      </c>
      <c r="G683" s="1" t="s">
        <v>68</v>
      </c>
      <c r="H683" s="1" t="s">
        <v>35</v>
      </c>
      <c r="I683" s="1" t="s">
        <v>43</v>
      </c>
      <c r="J683" s="1" t="s">
        <v>127</v>
      </c>
      <c r="K683" s="1" t="s">
        <v>142</v>
      </c>
      <c r="L683" s="1">
        <v>4</v>
      </c>
      <c r="M683" s="13">
        <v>59208.95</v>
      </c>
      <c r="N683" s="15">
        <v>0.03</v>
      </c>
      <c r="O683" s="13">
        <v>400648.58</v>
      </c>
      <c r="P683" s="13">
        <v>57546.61</v>
      </c>
      <c r="Q683" s="13">
        <v>86.75</v>
      </c>
      <c r="R683" s="1" t="s">
        <v>57</v>
      </c>
      <c r="S683" s="1">
        <v>3</v>
      </c>
      <c r="T683" s="1" t="b">
        <v>0</v>
      </c>
      <c r="U683" s="1" t="s">
        <v>39</v>
      </c>
      <c r="V683" s="3">
        <v>8</v>
      </c>
    </row>
    <row r="684" spans="1:22" x14ac:dyDescent="0.3">
      <c r="A684" s="2" t="s">
        <v>1810</v>
      </c>
      <c r="B684" s="10">
        <v>44591</v>
      </c>
      <c r="C684" s="22">
        <v>44591</v>
      </c>
      <c r="D684" s="1" t="s">
        <v>1811</v>
      </c>
      <c r="E684" s="1" t="s">
        <v>641</v>
      </c>
      <c r="F684" s="1">
        <v>54</v>
      </c>
      <c r="G684" s="1" t="s">
        <v>24</v>
      </c>
      <c r="H684" s="1" t="s">
        <v>35</v>
      </c>
      <c r="I684" s="1" t="s">
        <v>36</v>
      </c>
      <c r="J684" s="1" t="s">
        <v>44</v>
      </c>
      <c r="K684" s="1" t="s">
        <v>93</v>
      </c>
      <c r="L684" s="1">
        <v>5</v>
      </c>
      <c r="M684" s="13">
        <v>15638.22</v>
      </c>
      <c r="N684" s="15">
        <v>0.12</v>
      </c>
      <c r="O684" s="13">
        <v>53952.69</v>
      </c>
      <c r="P684" s="13">
        <v>13304.82</v>
      </c>
      <c r="Q684" s="13">
        <v>71.64</v>
      </c>
      <c r="R684" s="1" t="s">
        <v>70</v>
      </c>
      <c r="S684" s="1">
        <v>1</v>
      </c>
      <c r="T684" s="1" t="b">
        <v>0</v>
      </c>
      <c r="U684" s="1" t="s">
        <v>39</v>
      </c>
      <c r="V684" s="3">
        <v>4</v>
      </c>
    </row>
    <row r="685" spans="1:22" x14ac:dyDescent="0.3">
      <c r="A685" s="2" t="s">
        <v>1812</v>
      </c>
      <c r="B685" s="10">
        <v>43849</v>
      </c>
      <c r="C685" s="22">
        <v>43849</v>
      </c>
      <c r="D685" s="1" t="s">
        <v>1813</v>
      </c>
      <c r="E685" s="1" t="s">
        <v>1186</v>
      </c>
      <c r="F685" s="1">
        <v>30</v>
      </c>
      <c r="G685" s="1" t="s">
        <v>24</v>
      </c>
      <c r="H685" s="1" t="s">
        <v>111</v>
      </c>
      <c r="I685" s="1" t="s">
        <v>330</v>
      </c>
      <c r="J685" s="1" t="s">
        <v>76</v>
      </c>
      <c r="K685" s="1" t="s">
        <v>132</v>
      </c>
      <c r="L685" s="1">
        <v>9</v>
      </c>
      <c r="M685" s="13">
        <v>1560.64</v>
      </c>
      <c r="N685" s="15">
        <v>0.03</v>
      </c>
      <c r="O685" s="13">
        <v>9605.16</v>
      </c>
      <c r="P685" s="13">
        <v>2702.45</v>
      </c>
      <c r="Q685" s="13">
        <v>71.03</v>
      </c>
      <c r="R685" s="1" t="s">
        <v>64</v>
      </c>
      <c r="S685" s="1">
        <v>5</v>
      </c>
      <c r="T685" s="1" t="b">
        <v>0</v>
      </c>
      <c r="U685" s="1" t="s">
        <v>39</v>
      </c>
      <c r="V685" s="3">
        <v>4</v>
      </c>
    </row>
    <row r="686" spans="1:22" x14ac:dyDescent="0.3">
      <c r="A686" s="2" t="s">
        <v>1814</v>
      </c>
      <c r="B686" s="10">
        <v>45196</v>
      </c>
      <c r="C686" s="22">
        <v>45196</v>
      </c>
      <c r="D686" s="1" t="s">
        <v>1815</v>
      </c>
      <c r="E686" s="1" t="s">
        <v>1665</v>
      </c>
      <c r="F686" s="1">
        <v>39</v>
      </c>
      <c r="G686" s="1" t="s">
        <v>34</v>
      </c>
      <c r="H686" s="1" t="s">
        <v>82</v>
      </c>
      <c r="I686" s="1" t="s">
        <v>83</v>
      </c>
      <c r="J686" s="1" t="s">
        <v>146</v>
      </c>
      <c r="K686" s="1" t="s">
        <v>147</v>
      </c>
      <c r="L686" s="1">
        <v>5</v>
      </c>
      <c r="M686" s="13">
        <v>3167.34</v>
      </c>
      <c r="N686" s="15">
        <v>0.17</v>
      </c>
      <c r="O686" s="13">
        <v>17024.05</v>
      </c>
      <c r="P686" s="13">
        <v>2543.83</v>
      </c>
      <c r="Q686" s="13">
        <v>66.83</v>
      </c>
      <c r="R686" s="1" t="s">
        <v>78</v>
      </c>
      <c r="S686" s="1">
        <v>4</v>
      </c>
      <c r="T686" s="1" t="b">
        <v>0</v>
      </c>
      <c r="U686" s="1" t="s">
        <v>39</v>
      </c>
      <c r="V686" s="3">
        <v>10</v>
      </c>
    </row>
    <row r="687" spans="1:22" x14ac:dyDescent="0.3">
      <c r="A687" s="2" t="s">
        <v>1816</v>
      </c>
      <c r="B687" s="10">
        <v>45513</v>
      </c>
      <c r="C687" s="22">
        <v>45513</v>
      </c>
      <c r="D687" s="1" t="s">
        <v>1817</v>
      </c>
      <c r="E687" s="1" t="s">
        <v>1404</v>
      </c>
      <c r="F687" s="1">
        <v>34</v>
      </c>
      <c r="G687" s="1" t="s">
        <v>463</v>
      </c>
      <c r="H687" s="1" t="s">
        <v>82</v>
      </c>
      <c r="I687" s="1" t="s">
        <v>244</v>
      </c>
      <c r="J687" s="1" t="s">
        <v>37</v>
      </c>
      <c r="K687" s="1" t="s">
        <v>454</v>
      </c>
      <c r="L687" s="1">
        <v>10</v>
      </c>
      <c r="M687" s="13">
        <v>323.83999999999997</v>
      </c>
      <c r="N687" s="15">
        <v>0.18</v>
      </c>
      <c r="O687" s="13">
        <v>3695.81</v>
      </c>
      <c r="P687" s="13">
        <v>1548.57</v>
      </c>
      <c r="Q687" s="13">
        <v>79.930000000000007</v>
      </c>
      <c r="R687" s="1" t="s">
        <v>70</v>
      </c>
      <c r="S687" s="1">
        <v>5</v>
      </c>
      <c r="T687" s="1" t="b">
        <v>0</v>
      </c>
      <c r="U687" s="1" t="s">
        <v>39</v>
      </c>
      <c r="V687" s="3">
        <v>7</v>
      </c>
    </row>
    <row r="688" spans="1:22" x14ac:dyDescent="0.3">
      <c r="A688" s="2" t="s">
        <v>1818</v>
      </c>
      <c r="B688" s="10">
        <v>44622</v>
      </c>
      <c r="C688" s="22">
        <v>44622</v>
      </c>
      <c r="D688" s="1" t="s">
        <v>1819</v>
      </c>
      <c r="E688" s="1" t="s">
        <v>1820</v>
      </c>
      <c r="F688" s="1">
        <v>17</v>
      </c>
      <c r="G688" s="1" t="s">
        <v>24</v>
      </c>
      <c r="H688" s="1" t="s">
        <v>111</v>
      </c>
      <c r="I688" s="1" t="s">
        <v>121</v>
      </c>
      <c r="J688" s="1" t="s">
        <v>146</v>
      </c>
      <c r="K688" s="1" t="s">
        <v>217</v>
      </c>
      <c r="L688" s="1">
        <v>5</v>
      </c>
      <c r="M688" s="13">
        <v>5150.6400000000003</v>
      </c>
      <c r="N688" s="15">
        <v>0.37</v>
      </c>
      <c r="O688" s="13">
        <v>19963.259999999998</v>
      </c>
      <c r="P688" s="13">
        <v>3851.26</v>
      </c>
      <c r="Q688" s="13">
        <v>75.38</v>
      </c>
      <c r="R688" s="1" t="s">
        <v>78</v>
      </c>
      <c r="S688" s="1">
        <v>4</v>
      </c>
      <c r="T688" s="1" t="b">
        <v>0</v>
      </c>
      <c r="U688" s="1" t="s">
        <v>58</v>
      </c>
      <c r="V688" s="3">
        <v>3</v>
      </c>
    </row>
    <row r="689" spans="1:22" x14ac:dyDescent="0.3">
      <c r="A689" s="2" t="s">
        <v>1821</v>
      </c>
      <c r="B689" s="10">
        <v>44496</v>
      </c>
      <c r="C689" s="22">
        <v>44496</v>
      </c>
      <c r="D689" s="1" t="s">
        <v>1822</v>
      </c>
      <c r="E689" s="1" t="s">
        <v>531</v>
      </c>
      <c r="F689" s="1">
        <v>15</v>
      </c>
      <c r="G689" s="1" t="s">
        <v>24</v>
      </c>
      <c r="H689" s="1" t="s">
        <v>25</v>
      </c>
      <c r="I689" s="1" t="s">
        <v>69</v>
      </c>
      <c r="J689" s="1" t="s">
        <v>44</v>
      </c>
      <c r="K689" s="1" t="s">
        <v>93</v>
      </c>
      <c r="L689" s="1">
        <v>8</v>
      </c>
      <c r="M689" s="13">
        <v>31666.799999999999</v>
      </c>
      <c r="N689" s="15">
        <v>0.27</v>
      </c>
      <c r="O689" s="13">
        <v>186136.9</v>
      </c>
      <c r="P689" s="13">
        <v>48229.69</v>
      </c>
      <c r="Q689" s="13">
        <v>70.27</v>
      </c>
      <c r="R689" s="1" t="s">
        <v>57</v>
      </c>
      <c r="S689" s="1">
        <v>3</v>
      </c>
      <c r="T689" s="1" t="b">
        <v>0</v>
      </c>
      <c r="U689" s="1" t="s">
        <v>39</v>
      </c>
      <c r="V689" s="3">
        <v>5</v>
      </c>
    </row>
    <row r="690" spans="1:22" x14ac:dyDescent="0.3">
      <c r="A690" s="2" t="s">
        <v>1823</v>
      </c>
      <c r="B690" s="10">
        <v>44606</v>
      </c>
      <c r="C690" s="22">
        <v>44606</v>
      </c>
      <c r="D690" s="1" t="s">
        <v>1824</v>
      </c>
      <c r="E690" s="1" t="s">
        <v>1159</v>
      </c>
      <c r="F690" s="1">
        <v>30</v>
      </c>
      <c r="G690" s="1" t="s">
        <v>34</v>
      </c>
      <c r="H690" s="1" t="s">
        <v>74</v>
      </c>
      <c r="I690" s="1" t="s">
        <v>136</v>
      </c>
      <c r="J690" s="1" t="s">
        <v>76</v>
      </c>
      <c r="K690" s="1" t="s">
        <v>207</v>
      </c>
      <c r="L690" s="1">
        <v>4</v>
      </c>
      <c r="M690" s="13">
        <v>3616.81</v>
      </c>
      <c r="N690" s="15">
        <v>0.01</v>
      </c>
      <c r="O690" s="13">
        <v>14243.78</v>
      </c>
      <c r="P690" s="13">
        <v>3640.83</v>
      </c>
      <c r="Q690" s="13">
        <v>40.58</v>
      </c>
      <c r="R690" s="1" t="s">
        <v>29</v>
      </c>
      <c r="S690" s="1">
        <v>4</v>
      </c>
      <c r="T690" s="1" t="b">
        <v>0</v>
      </c>
      <c r="U690" s="1" t="s">
        <v>137</v>
      </c>
      <c r="V690" s="3">
        <v>2</v>
      </c>
    </row>
    <row r="691" spans="1:22" x14ac:dyDescent="0.3">
      <c r="A691" s="2" t="s">
        <v>1825</v>
      </c>
      <c r="B691" s="10">
        <v>44985</v>
      </c>
      <c r="C691" s="22">
        <v>44985</v>
      </c>
      <c r="D691" s="1" t="s">
        <v>1826</v>
      </c>
      <c r="E691" s="1" t="s">
        <v>1348</v>
      </c>
      <c r="F691" s="1">
        <v>34</v>
      </c>
      <c r="G691" s="1" t="s">
        <v>34</v>
      </c>
      <c r="H691" s="1" t="s">
        <v>25</v>
      </c>
      <c r="I691" s="1" t="s">
        <v>55</v>
      </c>
      <c r="J691" s="1" t="s">
        <v>127</v>
      </c>
      <c r="K691" s="1" t="s">
        <v>128</v>
      </c>
      <c r="L691" s="1">
        <v>8</v>
      </c>
      <c r="M691" s="13">
        <v>28881.53</v>
      </c>
      <c r="N691" s="15">
        <v>0.38</v>
      </c>
      <c r="O691" s="13">
        <v>145274.42000000001</v>
      </c>
      <c r="P691" s="13">
        <v>14990.91</v>
      </c>
      <c r="Q691" s="13">
        <v>36.68</v>
      </c>
      <c r="R691" s="1" t="s">
        <v>70</v>
      </c>
      <c r="S691" s="1">
        <v>3</v>
      </c>
      <c r="T691" s="1" t="b">
        <v>0</v>
      </c>
      <c r="U691" s="1" t="s">
        <v>137</v>
      </c>
      <c r="V691" s="3">
        <v>6</v>
      </c>
    </row>
    <row r="692" spans="1:22" x14ac:dyDescent="0.3">
      <c r="A692" s="2" t="s">
        <v>1827</v>
      </c>
      <c r="B692" s="10">
        <v>44578</v>
      </c>
      <c r="C692" s="22">
        <v>44578</v>
      </c>
      <c r="D692" s="1" t="s">
        <v>1828</v>
      </c>
      <c r="E692" s="1" t="s">
        <v>1476</v>
      </c>
      <c r="F692" s="1">
        <v>44</v>
      </c>
      <c r="G692" s="1" t="s">
        <v>24</v>
      </c>
      <c r="H692" s="1" t="s">
        <v>25</v>
      </c>
      <c r="I692" s="1" t="s">
        <v>69</v>
      </c>
      <c r="J692" s="1" t="s">
        <v>37</v>
      </c>
      <c r="K692" s="1" t="s">
        <v>102</v>
      </c>
      <c r="L692" s="1">
        <v>9</v>
      </c>
      <c r="M692" s="13">
        <v>1064.67</v>
      </c>
      <c r="N692" s="15">
        <v>0.33</v>
      </c>
      <c r="O692" s="13">
        <v>5679.24</v>
      </c>
      <c r="P692" s="13">
        <v>3280.89</v>
      </c>
      <c r="Q692" s="13">
        <v>74.790000000000006</v>
      </c>
      <c r="R692" s="1" t="s">
        <v>64</v>
      </c>
      <c r="S692" s="1">
        <v>4</v>
      </c>
      <c r="T692" s="1" t="b">
        <v>1</v>
      </c>
      <c r="U692" s="1" t="s">
        <v>30</v>
      </c>
      <c r="V692" s="3">
        <v>10</v>
      </c>
    </row>
    <row r="693" spans="1:22" x14ac:dyDescent="0.3">
      <c r="A693" s="2" t="s">
        <v>1829</v>
      </c>
      <c r="B693" s="10">
        <v>44257</v>
      </c>
      <c r="C693" s="22">
        <v>44257</v>
      </c>
      <c r="D693" s="1" t="s">
        <v>1830</v>
      </c>
      <c r="E693" s="1" t="s">
        <v>831</v>
      </c>
      <c r="F693" s="1">
        <v>32</v>
      </c>
      <c r="G693" s="1" t="s">
        <v>34</v>
      </c>
      <c r="H693" s="1" t="s">
        <v>74</v>
      </c>
      <c r="I693" s="1" t="s">
        <v>136</v>
      </c>
      <c r="J693" s="1" t="s">
        <v>27</v>
      </c>
      <c r="K693" s="1" t="s">
        <v>28</v>
      </c>
      <c r="L693" s="1">
        <v>9</v>
      </c>
      <c r="M693" s="13">
        <v>172.48</v>
      </c>
      <c r="N693" s="15">
        <v>0.16</v>
      </c>
      <c r="O693" s="13">
        <v>1373.62</v>
      </c>
      <c r="P693" s="13">
        <v>111.05</v>
      </c>
      <c r="Q693" s="13">
        <v>48.27</v>
      </c>
      <c r="R693" s="1" t="s">
        <v>29</v>
      </c>
      <c r="S693" s="1">
        <v>2</v>
      </c>
      <c r="T693" s="1" t="b">
        <v>0</v>
      </c>
      <c r="U693" s="1" t="s">
        <v>39</v>
      </c>
      <c r="V693" s="3">
        <v>6</v>
      </c>
    </row>
    <row r="694" spans="1:22" x14ac:dyDescent="0.3">
      <c r="A694" s="2" t="s">
        <v>1831</v>
      </c>
      <c r="B694" s="10">
        <v>44812</v>
      </c>
      <c r="C694" s="22">
        <v>44812</v>
      </c>
      <c r="D694" s="1" t="s">
        <v>1832</v>
      </c>
      <c r="E694" s="1" t="s">
        <v>1833</v>
      </c>
      <c r="F694" s="1">
        <v>26</v>
      </c>
      <c r="G694" s="1" t="s">
        <v>24</v>
      </c>
      <c r="H694" s="1" t="s">
        <v>35</v>
      </c>
      <c r="I694" s="1" t="s">
        <v>43</v>
      </c>
      <c r="J694" s="1" t="s">
        <v>44</v>
      </c>
      <c r="K694" s="1" t="s">
        <v>50</v>
      </c>
      <c r="L694" s="1">
        <v>2</v>
      </c>
      <c r="M694" s="13">
        <v>21391.95</v>
      </c>
      <c r="N694" s="15">
        <v>0.09</v>
      </c>
      <c r="O694" s="13">
        <v>42758.89</v>
      </c>
      <c r="P694" s="13">
        <v>8615.36</v>
      </c>
      <c r="Q694" s="13">
        <v>88.4</v>
      </c>
      <c r="R694" s="1" t="s">
        <v>29</v>
      </c>
      <c r="S694" s="1">
        <v>2</v>
      </c>
      <c r="T694" s="1" t="b">
        <v>1</v>
      </c>
      <c r="U694" s="1" t="s">
        <v>30</v>
      </c>
      <c r="V694" s="3">
        <v>3</v>
      </c>
    </row>
    <row r="695" spans="1:22" x14ac:dyDescent="0.3">
      <c r="A695" s="2" t="s">
        <v>1834</v>
      </c>
      <c r="B695" s="10">
        <v>44036</v>
      </c>
      <c r="C695" s="22">
        <v>44036</v>
      </c>
      <c r="D695" s="1" t="s">
        <v>1835</v>
      </c>
      <c r="E695" s="1" t="s">
        <v>508</v>
      </c>
      <c r="F695" s="1">
        <v>35</v>
      </c>
      <c r="G695" s="1" t="s">
        <v>68</v>
      </c>
      <c r="H695" s="1" t="s">
        <v>25</v>
      </c>
      <c r="I695" s="1" t="s">
        <v>55</v>
      </c>
      <c r="J695" s="1" t="s">
        <v>76</v>
      </c>
      <c r="K695" s="1" t="s">
        <v>113</v>
      </c>
      <c r="L695" s="1">
        <v>1</v>
      </c>
      <c r="M695" s="13">
        <v>2855.2</v>
      </c>
      <c r="N695" s="15">
        <v>0.19</v>
      </c>
      <c r="O695" s="13">
        <v>3015.82</v>
      </c>
      <c r="P695" s="13">
        <v>1580.35</v>
      </c>
      <c r="Q695" s="13">
        <v>65.12</v>
      </c>
      <c r="R695" s="1" t="s">
        <v>64</v>
      </c>
      <c r="S695" s="1">
        <v>1</v>
      </c>
      <c r="T695" s="1" t="b">
        <v>0</v>
      </c>
      <c r="U695" s="1" t="s">
        <v>39</v>
      </c>
      <c r="V695" s="3">
        <v>1</v>
      </c>
    </row>
    <row r="696" spans="1:22" x14ac:dyDescent="0.3">
      <c r="A696" s="2" t="s">
        <v>1836</v>
      </c>
      <c r="B696" s="10">
        <v>44515</v>
      </c>
      <c r="C696" s="22">
        <v>44515</v>
      </c>
      <c r="D696" s="1" t="s">
        <v>1837</v>
      </c>
      <c r="E696" s="1" t="s">
        <v>195</v>
      </c>
      <c r="F696" s="1">
        <v>45</v>
      </c>
      <c r="G696" s="1" t="s">
        <v>34</v>
      </c>
      <c r="H696" s="1" t="s">
        <v>35</v>
      </c>
      <c r="I696" s="1" t="s">
        <v>43</v>
      </c>
      <c r="J696" s="1" t="s">
        <v>76</v>
      </c>
      <c r="K696" s="1" t="s">
        <v>132</v>
      </c>
      <c r="L696" s="1">
        <v>2</v>
      </c>
      <c r="M696" s="13">
        <v>1623.15</v>
      </c>
      <c r="N696" s="15">
        <v>0.33</v>
      </c>
      <c r="O696" s="13">
        <v>1938.25</v>
      </c>
      <c r="P696" s="13">
        <v>726.9</v>
      </c>
      <c r="Q696" s="13">
        <v>45.5</v>
      </c>
      <c r="R696" s="1" t="s">
        <v>70</v>
      </c>
      <c r="S696" s="1">
        <v>3</v>
      </c>
      <c r="T696" s="1" t="b">
        <v>0</v>
      </c>
      <c r="U696" s="1" t="s">
        <v>58</v>
      </c>
      <c r="V696" s="3">
        <v>2</v>
      </c>
    </row>
    <row r="697" spans="1:22" x14ac:dyDescent="0.3">
      <c r="A697" s="2" t="s">
        <v>1838</v>
      </c>
      <c r="B697" s="10">
        <v>44456</v>
      </c>
      <c r="C697" s="22">
        <v>44456</v>
      </c>
      <c r="D697" s="1" t="s">
        <v>1839</v>
      </c>
      <c r="E697" s="1" t="s">
        <v>135</v>
      </c>
      <c r="F697" s="1">
        <v>38</v>
      </c>
      <c r="G697" s="1" t="s">
        <v>24</v>
      </c>
      <c r="H697" s="1" t="s">
        <v>82</v>
      </c>
      <c r="I697" s="1" t="s">
        <v>244</v>
      </c>
      <c r="J697" s="1" t="s">
        <v>76</v>
      </c>
      <c r="K697" s="1" t="s">
        <v>113</v>
      </c>
      <c r="L697" s="1">
        <v>1</v>
      </c>
      <c r="M697" s="13">
        <v>581.13</v>
      </c>
      <c r="N697" s="15">
        <v>0.01</v>
      </c>
      <c r="O697" s="13">
        <v>664.52</v>
      </c>
      <c r="P697" s="13">
        <v>237.69</v>
      </c>
      <c r="Q697" s="13">
        <v>85.55</v>
      </c>
      <c r="R697" s="1" t="s">
        <v>64</v>
      </c>
      <c r="S697" s="1">
        <v>2</v>
      </c>
      <c r="T697" s="1" t="b">
        <v>0</v>
      </c>
      <c r="U697" s="1" t="s">
        <v>39</v>
      </c>
      <c r="V697" s="3">
        <v>4</v>
      </c>
    </row>
    <row r="698" spans="1:22" x14ac:dyDescent="0.3">
      <c r="A698" s="2" t="s">
        <v>1840</v>
      </c>
      <c r="B698" s="10">
        <v>43994</v>
      </c>
      <c r="C698" s="22">
        <v>43994</v>
      </c>
      <c r="D698" s="1" t="s">
        <v>1841</v>
      </c>
      <c r="E698" s="1" t="s">
        <v>624</v>
      </c>
      <c r="F698" s="1">
        <v>39</v>
      </c>
      <c r="G698" s="1" t="s">
        <v>463</v>
      </c>
      <c r="H698" s="1" t="s">
        <v>25</v>
      </c>
      <c r="I698" s="1" t="s">
        <v>26</v>
      </c>
      <c r="J698" s="1" t="s">
        <v>76</v>
      </c>
      <c r="K698" s="1" t="s">
        <v>113</v>
      </c>
      <c r="L698" s="1">
        <v>8</v>
      </c>
      <c r="M698" s="13">
        <v>2755.32</v>
      </c>
      <c r="N698" s="15">
        <v>0.2</v>
      </c>
      <c r="O698" s="13">
        <v>24539.81</v>
      </c>
      <c r="P698" s="13">
        <v>6803.51</v>
      </c>
      <c r="Q698" s="13">
        <v>48.26</v>
      </c>
      <c r="R698" s="1" t="s">
        <v>78</v>
      </c>
      <c r="S698" s="1">
        <v>1</v>
      </c>
      <c r="T698" s="1" t="b">
        <v>0</v>
      </c>
      <c r="U698" s="1" t="s">
        <v>39</v>
      </c>
      <c r="V698" s="3">
        <v>4</v>
      </c>
    </row>
    <row r="699" spans="1:22" x14ac:dyDescent="0.3">
      <c r="A699" s="2" t="s">
        <v>1842</v>
      </c>
      <c r="B699" s="10">
        <v>44517</v>
      </c>
      <c r="C699" s="22">
        <v>44517</v>
      </c>
      <c r="D699" s="1" t="s">
        <v>1843</v>
      </c>
      <c r="E699" s="1" t="s">
        <v>250</v>
      </c>
      <c r="F699" s="1">
        <v>28</v>
      </c>
      <c r="G699" s="1" t="s">
        <v>24</v>
      </c>
      <c r="H699" s="1" t="s">
        <v>82</v>
      </c>
      <c r="I699" s="1" t="s">
        <v>126</v>
      </c>
      <c r="J699" s="1" t="s">
        <v>27</v>
      </c>
      <c r="K699" s="1" t="s">
        <v>97</v>
      </c>
      <c r="L699" s="1">
        <v>4</v>
      </c>
      <c r="M699" s="13">
        <v>421.33</v>
      </c>
      <c r="N699" s="15">
        <v>0.14000000000000001</v>
      </c>
      <c r="O699" s="13">
        <v>1026.6500000000001</v>
      </c>
      <c r="P699" s="13">
        <v>97.18</v>
      </c>
      <c r="Q699" s="13">
        <v>82</v>
      </c>
      <c r="R699" s="1" t="s">
        <v>70</v>
      </c>
      <c r="S699" s="1">
        <v>1</v>
      </c>
      <c r="T699" s="1" t="b">
        <v>0</v>
      </c>
      <c r="U699" s="1" t="s">
        <v>39</v>
      </c>
      <c r="V699" s="3">
        <v>10</v>
      </c>
    </row>
    <row r="700" spans="1:22" x14ac:dyDescent="0.3">
      <c r="A700" s="2" t="s">
        <v>1844</v>
      </c>
      <c r="B700" s="10">
        <v>45098</v>
      </c>
      <c r="C700" s="22">
        <v>45098</v>
      </c>
      <c r="D700" s="1" t="s">
        <v>1845</v>
      </c>
      <c r="E700" s="1" t="s">
        <v>1596</v>
      </c>
      <c r="F700" s="1">
        <v>29</v>
      </c>
      <c r="G700" s="1" t="s">
        <v>391</v>
      </c>
      <c r="H700" s="1" t="s">
        <v>35</v>
      </c>
      <c r="I700" s="1" t="s">
        <v>49</v>
      </c>
      <c r="J700" s="1" t="s">
        <v>37</v>
      </c>
      <c r="K700" s="1" t="s">
        <v>671</v>
      </c>
      <c r="L700" s="1">
        <v>10</v>
      </c>
      <c r="M700" s="13">
        <v>325.56</v>
      </c>
      <c r="N700" s="15">
        <v>0.28999999999999998</v>
      </c>
      <c r="O700" s="13">
        <v>3569.04</v>
      </c>
      <c r="P700" s="13">
        <v>1816.65</v>
      </c>
      <c r="Q700" s="13">
        <v>46.14</v>
      </c>
      <c r="R700" s="1" t="s">
        <v>70</v>
      </c>
      <c r="S700" s="1">
        <v>1</v>
      </c>
      <c r="T700" s="1" t="b">
        <v>0</v>
      </c>
      <c r="U700" s="1" t="s">
        <v>84</v>
      </c>
      <c r="V700" s="3">
        <v>3</v>
      </c>
    </row>
    <row r="701" spans="1:22" x14ac:dyDescent="0.3">
      <c r="A701" s="2" t="s">
        <v>1846</v>
      </c>
      <c r="B701" s="10">
        <v>44480</v>
      </c>
      <c r="C701" s="22">
        <v>44480</v>
      </c>
      <c r="D701" s="1" t="s">
        <v>1847</v>
      </c>
      <c r="E701" s="1" t="s">
        <v>866</v>
      </c>
      <c r="F701" s="1">
        <v>36</v>
      </c>
      <c r="G701" s="1" t="s">
        <v>24</v>
      </c>
      <c r="H701" s="1" t="s">
        <v>74</v>
      </c>
      <c r="I701" s="1" t="s">
        <v>75</v>
      </c>
      <c r="J701" s="1" t="s">
        <v>62</v>
      </c>
      <c r="K701" s="1" t="s">
        <v>283</v>
      </c>
      <c r="L701" s="1">
        <v>10</v>
      </c>
      <c r="M701" s="13">
        <v>1279.2</v>
      </c>
      <c r="N701" s="15">
        <v>0.17</v>
      </c>
      <c r="O701" s="13">
        <v>10694.49</v>
      </c>
      <c r="P701" s="13">
        <v>4612.59</v>
      </c>
      <c r="Q701" s="13">
        <v>38.619999999999997</v>
      </c>
      <c r="R701" s="1" t="s">
        <v>51</v>
      </c>
      <c r="S701" s="1">
        <v>1</v>
      </c>
      <c r="T701" s="1" t="b">
        <v>0</v>
      </c>
      <c r="U701" s="1" t="s">
        <v>137</v>
      </c>
      <c r="V701" s="3">
        <v>6</v>
      </c>
    </row>
    <row r="702" spans="1:22" x14ac:dyDescent="0.3">
      <c r="A702" s="2" t="s">
        <v>1848</v>
      </c>
      <c r="B702" s="10">
        <v>45261</v>
      </c>
      <c r="C702" s="22">
        <v>45261</v>
      </c>
      <c r="D702" s="1" t="s">
        <v>1849</v>
      </c>
      <c r="E702" s="1" t="s">
        <v>716</v>
      </c>
      <c r="F702" s="1">
        <v>46</v>
      </c>
      <c r="G702" s="1" t="s">
        <v>34</v>
      </c>
      <c r="H702" s="1" t="s">
        <v>74</v>
      </c>
      <c r="I702" s="1" t="s">
        <v>75</v>
      </c>
      <c r="J702" s="1" t="s">
        <v>37</v>
      </c>
      <c r="K702" s="1" t="s">
        <v>671</v>
      </c>
      <c r="L702" s="1">
        <v>1</v>
      </c>
      <c r="M702" s="13">
        <v>2427.6999999999998</v>
      </c>
      <c r="N702" s="15">
        <v>0.11</v>
      </c>
      <c r="O702" s="13">
        <v>1734.31</v>
      </c>
      <c r="P702" s="13">
        <v>605.52</v>
      </c>
      <c r="Q702" s="13">
        <v>48.85</v>
      </c>
      <c r="R702" s="1" t="s">
        <v>70</v>
      </c>
      <c r="S702" s="1">
        <v>2</v>
      </c>
      <c r="T702" s="1" t="b">
        <v>0</v>
      </c>
      <c r="U702" s="1" t="s">
        <v>39</v>
      </c>
      <c r="V702" s="3">
        <v>1</v>
      </c>
    </row>
    <row r="703" spans="1:22" x14ac:dyDescent="0.3">
      <c r="A703" s="2" t="s">
        <v>1850</v>
      </c>
      <c r="B703" s="10">
        <v>44559</v>
      </c>
      <c r="C703" s="22">
        <v>44559</v>
      </c>
      <c r="D703" s="1" t="s">
        <v>1851</v>
      </c>
      <c r="E703" s="1" t="s">
        <v>468</v>
      </c>
      <c r="F703" s="1">
        <v>55</v>
      </c>
      <c r="G703" s="1" t="s">
        <v>24</v>
      </c>
      <c r="H703" s="1" t="s">
        <v>74</v>
      </c>
      <c r="I703" s="1" t="s">
        <v>192</v>
      </c>
      <c r="J703" s="1" t="s">
        <v>76</v>
      </c>
      <c r="K703" s="1" t="s">
        <v>132</v>
      </c>
      <c r="L703" s="1">
        <v>6</v>
      </c>
      <c r="M703" s="13">
        <v>2259.04</v>
      </c>
      <c r="N703" s="15">
        <v>0.36</v>
      </c>
      <c r="O703" s="13">
        <v>6753.1</v>
      </c>
      <c r="P703" s="13">
        <v>2777.61</v>
      </c>
      <c r="Q703" s="13">
        <v>41.85</v>
      </c>
      <c r="R703" s="1" t="s">
        <v>57</v>
      </c>
      <c r="S703" s="1">
        <v>2</v>
      </c>
      <c r="T703" s="1" t="b">
        <v>0</v>
      </c>
      <c r="U703" s="1" t="s">
        <v>39</v>
      </c>
      <c r="V703" s="3">
        <v>6</v>
      </c>
    </row>
    <row r="704" spans="1:22" x14ac:dyDescent="0.3">
      <c r="A704" s="2" t="s">
        <v>1852</v>
      </c>
      <c r="B704" s="10">
        <v>44180</v>
      </c>
      <c r="C704" s="22">
        <v>44180</v>
      </c>
      <c r="D704" s="1" t="s">
        <v>1853</v>
      </c>
      <c r="E704" s="1" t="s">
        <v>125</v>
      </c>
      <c r="F704" s="1">
        <v>50</v>
      </c>
      <c r="G704" s="1" t="s">
        <v>68</v>
      </c>
      <c r="H704" s="1" t="s">
        <v>74</v>
      </c>
      <c r="I704" s="1" t="s">
        <v>192</v>
      </c>
      <c r="J704" s="1" t="s">
        <v>44</v>
      </c>
      <c r="K704" s="1" t="s">
        <v>45</v>
      </c>
      <c r="L704" s="1">
        <v>1</v>
      </c>
      <c r="M704" s="13">
        <v>21726.1</v>
      </c>
      <c r="N704" s="15">
        <v>0.28000000000000003</v>
      </c>
      <c r="O704" s="13">
        <v>9976.2800000000007</v>
      </c>
      <c r="P704" s="13">
        <v>2817.21</v>
      </c>
      <c r="Q704" s="13">
        <v>57.05</v>
      </c>
      <c r="R704" s="1" t="s">
        <v>70</v>
      </c>
      <c r="S704" s="1">
        <v>4</v>
      </c>
      <c r="T704" s="1" t="b">
        <v>0</v>
      </c>
      <c r="U704" s="1" t="s">
        <v>84</v>
      </c>
      <c r="V704" s="3">
        <v>7</v>
      </c>
    </row>
    <row r="705" spans="1:22" x14ac:dyDescent="0.3">
      <c r="A705" s="2" t="s">
        <v>1854</v>
      </c>
      <c r="B705" s="10">
        <v>45539</v>
      </c>
      <c r="C705" s="22">
        <v>45539</v>
      </c>
      <c r="D705" s="1" t="s">
        <v>1855</v>
      </c>
      <c r="E705" s="1" t="s">
        <v>583</v>
      </c>
      <c r="F705" s="1">
        <v>41</v>
      </c>
      <c r="G705" s="1" t="s">
        <v>24</v>
      </c>
      <c r="H705" s="1" t="s">
        <v>25</v>
      </c>
      <c r="I705" s="1" t="s">
        <v>69</v>
      </c>
      <c r="J705" s="1" t="s">
        <v>146</v>
      </c>
      <c r="K705" s="1" t="s">
        <v>147</v>
      </c>
      <c r="L705" s="1">
        <v>9</v>
      </c>
      <c r="M705" s="13">
        <v>796.29</v>
      </c>
      <c r="N705" s="15">
        <v>0.21</v>
      </c>
      <c r="O705" s="13">
        <v>7659.05</v>
      </c>
      <c r="P705" s="13">
        <v>1887.36</v>
      </c>
      <c r="Q705" s="13">
        <v>52.86</v>
      </c>
      <c r="R705" s="1" t="s">
        <v>78</v>
      </c>
      <c r="S705" s="1">
        <v>2</v>
      </c>
      <c r="T705" s="1" t="b">
        <v>0</v>
      </c>
      <c r="U705" s="1" t="s">
        <v>39</v>
      </c>
      <c r="V705" s="3">
        <v>2</v>
      </c>
    </row>
    <row r="706" spans="1:22" x14ac:dyDescent="0.3">
      <c r="A706" s="2" t="s">
        <v>1856</v>
      </c>
      <c r="B706" s="10">
        <v>44668</v>
      </c>
      <c r="C706" s="22">
        <v>44668</v>
      </c>
      <c r="D706" s="1" t="s">
        <v>1857</v>
      </c>
      <c r="E706" s="1" t="s">
        <v>770</v>
      </c>
      <c r="F706" s="1">
        <v>23</v>
      </c>
      <c r="G706" s="1" t="s">
        <v>68</v>
      </c>
      <c r="H706" s="1" t="s">
        <v>82</v>
      </c>
      <c r="I706" s="1" t="s">
        <v>293</v>
      </c>
      <c r="J706" s="1" t="s">
        <v>146</v>
      </c>
      <c r="K706" s="1" t="s">
        <v>178</v>
      </c>
      <c r="L706" s="1">
        <v>1</v>
      </c>
      <c r="M706" s="13">
        <v>8106.93</v>
      </c>
      <c r="N706" s="15">
        <v>0.27</v>
      </c>
      <c r="O706" s="13">
        <v>7375.32</v>
      </c>
      <c r="P706" s="13">
        <v>1061.19</v>
      </c>
      <c r="Q706" s="13">
        <v>82.98</v>
      </c>
      <c r="R706" s="1" t="s">
        <v>70</v>
      </c>
      <c r="S706" s="1">
        <v>3</v>
      </c>
      <c r="T706" s="1" t="b">
        <v>0</v>
      </c>
      <c r="U706" s="1" t="s">
        <v>39</v>
      </c>
      <c r="V706" s="3">
        <v>4</v>
      </c>
    </row>
    <row r="707" spans="1:22" x14ac:dyDescent="0.3">
      <c r="A707" s="2" t="s">
        <v>1858</v>
      </c>
      <c r="B707" s="10">
        <v>44730</v>
      </c>
      <c r="C707" s="22">
        <v>44730</v>
      </c>
      <c r="D707" s="1" t="s">
        <v>1859</v>
      </c>
      <c r="E707" s="1" t="s">
        <v>460</v>
      </c>
      <c r="F707" s="1">
        <v>29</v>
      </c>
      <c r="G707" s="1" t="s">
        <v>34</v>
      </c>
      <c r="H707" s="1" t="s">
        <v>82</v>
      </c>
      <c r="I707" s="1" t="s">
        <v>293</v>
      </c>
      <c r="J707" s="1" t="s">
        <v>127</v>
      </c>
      <c r="K707" s="1" t="s">
        <v>308</v>
      </c>
      <c r="L707" s="1">
        <v>8</v>
      </c>
      <c r="M707" s="13">
        <v>15107.58</v>
      </c>
      <c r="N707" s="15">
        <v>0.15</v>
      </c>
      <c r="O707" s="13">
        <v>173570.72</v>
      </c>
      <c r="P707" s="13">
        <v>21830.12</v>
      </c>
      <c r="Q707" s="13">
        <v>77.28</v>
      </c>
      <c r="R707" s="1" t="s">
        <v>64</v>
      </c>
      <c r="S707" s="1">
        <v>4</v>
      </c>
      <c r="T707" s="1" t="b">
        <v>0</v>
      </c>
      <c r="U707" s="1" t="s">
        <v>39</v>
      </c>
      <c r="V707" s="3">
        <v>10</v>
      </c>
    </row>
    <row r="708" spans="1:22" x14ac:dyDescent="0.3">
      <c r="A708" s="2" t="s">
        <v>1860</v>
      </c>
      <c r="B708" s="10">
        <v>43859</v>
      </c>
      <c r="C708" s="22">
        <v>43859</v>
      </c>
      <c r="D708" s="1" t="s">
        <v>1861</v>
      </c>
      <c r="E708" s="1" t="s">
        <v>1862</v>
      </c>
      <c r="F708" s="1">
        <v>21</v>
      </c>
      <c r="G708" s="1" t="s">
        <v>24</v>
      </c>
      <c r="H708" s="1" t="s">
        <v>111</v>
      </c>
      <c r="I708" s="1" t="s">
        <v>121</v>
      </c>
      <c r="J708" s="1" t="s">
        <v>44</v>
      </c>
      <c r="K708" s="1" t="s">
        <v>117</v>
      </c>
      <c r="L708" s="1">
        <v>7</v>
      </c>
      <c r="M708" s="13">
        <v>4470.7299999999996</v>
      </c>
      <c r="N708" s="15">
        <v>0.09</v>
      </c>
      <c r="O708" s="13">
        <v>22350.68</v>
      </c>
      <c r="P708" s="13">
        <v>8417.6200000000008</v>
      </c>
      <c r="Q708" s="13">
        <v>45.52</v>
      </c>
      <c r="R708" s="1" t="s">
        <v>64</v>
      </c>
      <c r="S708" s="1">
        <v>4</v>
      </c>
      <c r="T708" s="1" t="b">
        <v>0</v>
      </c>
      <c r="U708" s="1" t="s">
        <v>39</v>
      </c>
      <c r="V708" s="3">
        <v>6</v>
      </c>
    </row>
    <row r="709" spans="1:22" x14ac:dyDescent="0.3">
      <c r="A709" s="2" t="s">
        <v>1863</v>
      </c>
      <c r="B709" s="10">
        <v>44175</v>
      </c>
      <c r="C709" s="22">
        <v>44175</v>
      </c>
      <c r="D709" s="1" t="s">
        <v>1864</v>
      </c>
      <c r="E709" s="1" t="s">
        <v>1865</v>
      </c>
      <c r="F709" s="1">
        <v>37</v>
      </c>
      <c r="G709" s="1" t="s">
        <v>24</v>
      </c>
      <c r="H709" s="1" t="s">
        <v>25</v>
      </c>
      <c r="I709" s="1" t="s">
        <v>55</v>
      </c>
      <c r="J709" s="1" t="s">
        <v>62</v>
      </c>
      <c r="K709" s="1" t="s">
        <v>283</v>
      </c>
      <c r="L709" s="1">
        <v>6</v>
      </c>
      <c r="M709" s="13">
        <v>593.85</v>
      </c>
      <c r="N709" s="15">
        <v>0.02</v>
      </c>
      <c r="O709" s="13">
        <v>2492.5500000000002</v>
      </c>
      <c r="P709" s="13">
        <v>1018.25</v>
      </c>
      <c r="Q709" s="13">
        <v>30.08</v>
      </c>
      <c r="R709" s="1" t="s">
        <v>57</v>
      </c>
      <c r="S709" s="1">
        <v>3</v>
      </c>
      <c r="T709" s="1" t="b">
        <v>0</v>
      </c>
      <c r="U709" s="1" t="s">
        <v>39</v>
      </c>
      <c r="V709" s="3">
        <v>1</v>
      </c>
    </row>
    <row r="710" spans="1:22" x14ac:dyDescent="0.3">
      <c r="A710" s="2" t="s">
        <v>1866</v>
      </c>
      <c r="B710" s="10">
        <v>43963</v>
      </c>
      <c r="C710" s="22">
        <v>43963</v>
      </c>
      <c r="D710" s="1" t="s">
        <v>1867</v>
      </c>
      <c r="E710" s="1" t="s">
        <v>624</v>
      </c>
      <c r="F710" s="1">
        <v>35</v>
      </c>
      <c r="G710" s="1" t="s">
        <v>24</v>
      </c>
      <c r="H710" s="1" t="s">
        <v>82</v>
      </c>
      <c r="I710" s="1" t="s">
        <v>244</v>
      </c>
      <c r="J710" s="1" t="s">
        <v>146</v>
      </c>
      <c r="K710" s="1" t="s">
        <v>484</v>
      </c>
      <c r="L710" s="1">
        <v>5</v>
      </c>
      <c r="M710" s="13">
        <v>6852.57</v>
      </c>
      <c r="N710" s="15">
        <v>0.19</v>
      </c>
      <c r="O710" s="13">
        <v>30208.26</v>
      </c>
      <c r="P710" s="13">
        <v>8215.56</v>
      </c>
      <c r="Q710" s="13">
        <v>100.86</v>
      </c>
      <c r="R710" s="1" t="s">
        <v>51</v>
      </c>
      <c r="S710" s="1">
        <v>5</v>
      </c>
      <c r="T710" s="1" t="b">
        <v>0</v>
      </c>
      <c r="U710" s="1" t="s">
        <v>39</v>
      </c>
      <c r="V710" s="3">
        <v>10</v>
      </c>
    </row>
    <row r="711" spans="1:22" x14ac:dyDescent="0.3">
      <c r="A711" s="2" t="s">
        <v>1868</v>
      </c>
      <c r="B711" s="10">
        <v>45214</v>
      </c>
      <c r="C711" s="22">
        <v>45214</v>
      </c>
      <c r="D711" s="1" t="s">
        <v>1869</v>
      </c>
      <c r="E711" s="1" t="s">
        <v>1119</v>
      </c>
      <c r="F711" s="1">
        <v>50</v>
      </c>
      <c r="G711" s="1" t="s">
        <v>68</v>
      </c>
      <c r="H711" s="1" t="s">
        <v>111</v>
      </c>
      <c r="I711" s="1" t="s">
        <v>121</v>
      </c>
      <c r="J711" s="1" t="s">
        <v>76</v>
      </c>
      <c r="K711" s="1" t="s">
        <v>122</v>
      </c>
      <c r="L711" s="1">
        <v>5</v>
      </c>
      <c r="M711" s="13">
        <v>2135.46</v>
      </c>
      <c r="N711" s="15">
        <v>0.21</v>
      </c>
      <c r="O711" s="13">
        <v>1723.9</v>
      </c>
      <c r="P711" s="13">
        <v>368.18</v>
      </c>
      <c r="Q711" s="13">
        <v>84</v>
      </c>
      <c r="R711" s="1" t="s">
        <v>78</v>
      </c>
      <c r="S711" s="1">
        <v>4</v>
      </c>
      <c r="T711" s="1" t="b">
        <v>0</v>
      </c>
      <c r="U711" s="1" t="s">
        <v>39</v>
      </c>
      <c r="V711" s="3">
        <v>5</v>
      </c>
    </row>
    <row r="712" spans="1:22" x14ac:dyDescent="0.3">
      <c r="A712" s="2" t="s">
        <v>1870</v>
      </c>
      <c r="B712" s="10">
        <v>44582</v>
      </c>
      <c r="C712" s="22">
        <v>44582</v>
      </c>
      <c r="D712" s="1" t="s">
        <v>1871</v>
      </c>
      <c r="E712" s="1" t="s">
        <v>1459</v>
      </c>
      <c r="F712" s="1">
        <v>36</v>
      </c>
      <c r="G712" s="1" t="s">
        <v>24</v>
      </c>
      <c r="H712" s="1" t="s">
        <v>74</v>
      </c>
      <c r="I712" s="1" t="s">
        <v>136</v>
      </c>
      <c r="J712" s="1" t="s">
        <v>146</v>
      </c>
      <c r="K712" s="1" t="s">
        <v>178</v>
      </c>
      <c r="L712" s="1">
        <v>1</v>
      </c>
      <c r="M712" s="13">
        <v>14530.7</v>
      </c>
      <c r="N712" s="15">
        <v>0.16</v>
      </c>
      <c r="O712" s="13">
        <v>10169.91</v>
      </c>
      <c r="P712" s="13">
        <v>2350.09</v>
      </c>
      <c r="Q712" s="13">
        <v>60.97</v>
      </c>
      <c r="R712" s="1" t="s">
        <v>78</v>
      </c>
      <c r="S712" s="1">
        <v>3</v>
      </c>
      <c r="T712" s="1" t="b">
        <v>1</v>
      </c>
      <c r="U712" s="1" t="s">
        <v>30</v>
      </c>
      <c r="V712" s="3">
        <v>8</v>
      </c>
    </row>
    <row r="713" spans="1:22" x14ac:dyDescent="0.3">
      <c r="A713" s="2" t="s">
        <v>1872</v>
      </c>
      <c r="B713" s="10">
        <v>44973</v>
      </c>
      <c r="C713" s="22">
        <v>44973</v>
      </c>
      <c r="D713" s="1" t="s">
        <v>1873</v>
      </c>
      <c r="E713" s="1" t="s">
        <v>409</v>
      </c>
      <c r="F713" s="1">
        <v>35</v>
      </c>
      <c r="G713" s="1" t="s">
        <v>34</v>
      </c>
      <c r="H713" s="1" t="s">
        <v>111</v>
      </c>
      <c r="I713" s="1" t="s">
        <v>121</v>
      </c>
      <c r="J713" s="1" t="s">
        <v>62</v>
      </c>
      <c r="K713" s="1" t="s">
        <v>283</v>
      </c>
      <c r="L713" s="1">
        <v>6</v>
      </c>
      <c r="M713" s="13">
        <v>893.91</v>
      </c>
      <c r="N713" s="15">
        <v>0.15</v>
      </c>
      <c r="O713" s="13">
        <v>5253.1</v>
      </c>
      <c r="P713" s="13">
        <v>1937.64</v>
      </c>
      <c r="Q713" s="13">
        <v>87.48</v>
      </c>
      <c r="R713" s="1" t="s">
        <v>29</v>
      </c>
      <c r="S713" s="1">
        <v>4</v>
      </c>
      <c r="T713" s="1" t="b">
        <v>0</v>
      </c>
      <c r="U713" s="1" t="s">
        <v>137</v>
      </c>
      <c r="V713" s="3">
        <v>4</v>
      </c>
    </row>
    <row r="714" spans="1:22" x14ac:dyDescent="0.3">
      <c r="A714" s="2" t="s">
        <v>1874</v>
      </c>
      <c r="B714" s="10">
        <v>43834</v>
      </c>
      <c r="C714" s="22">
        <v>43834</v>
      </c>
      <c r="D714" s="1" t="s">
        <v>1875</v>
      </c>
      <c r="E714" s="1" t="s">
        <v>195</v>
      </c>
      <c r="F714" s="1">
        <v>31</v>
      </c>
      <c r="G714" s="1" t="s">
        <v>34</v>
      </c>
      <c r="H714" s="1" t="s">
        <v>82</v>
      </c>
      <c r="I714" s="1" t="s">
        <v>244</v>
      </c>
      <c r="J714" s="1" t="s">
        <v>27</v>
      </c>
      <c r="K714" s="1" t="s">
        <v>400</v>
      </c>
      <c r="L714" s="1">
        <v>5</v>
      </c>
      <c r="M714" s="13">
        <v>380.73</v>
      </c>
      <c r="N714" s="15">
        <v>0.38</v>
      </c>
      <c r="O714" s="13">
        <v>891.35</v>
      </c>
      <c r="P714" s="13">
        <v>63.05</v>
      </c>
      <c r="Q714" s="13">
        <v>69.349999999999994</v>
      </c>
      <c r="R714" s="1" t="s">
        <v>78</v>
      </c>
      <c r="S714" s="1">
        <v>5</v>
      </c>
      <c r="T714" s="1" t="b">
        <v>0</v>
      </c>
      <c r="U714" s="1" t="s">
        <v>137</v>
      </c>
      <c r="V714" s="3">
        <v>4</v>
      </c>
    </row>
    <row r="715" spans="1:22" x14ac:dyDescent="0.3">
      <c r="A715" s="2" t="s">
        <v>1876</v>
      </c>
      <c r="B715" s="10">
        <v>45637</v>
      </c>
      <c r="C715" s="22">
        <v>45637</v>
      </c>
      <c r="D715" s="1" t="s">
        <v>1877</v>
      </c>
      <c r="E715" s="1" t="s">
        <v>1166</v>
      </c>
      <c r="F715" s="1">
        <v>19</v>
      </c>
      <c r="G715" s="1" t="s">
        <v>34</v>
      </c>
      <c r="H715" s="1" t="s">
        <v>111</v>
      </c>
      <c r="I715" s="1" t="s">
        <v>121</v>
      </c>
      <c r="J715" s="1" t="s">
        <v>127</v>
      </c>
      <c r="K715" s="1" t="s">
        <v>196</v>
      </c>
      <c r="L715" s="1">
        <v>10</v>
      </c>
      <c r="M715" s="13">
        <v>19562.84</v>
      </c>
      <c r="N715" s="15">
        <v>0.24</v>
      </c>
      <c r="O715" s="13">
        <v>159763.82</v>
      </c>
      <c r="P715" s="13">
        <v>22214.02</v>
      </c>
      <c r="Q715" s="13">
        <v>80.650000000000006</v>
      </c>
      <c r="R715" s="1" t="s">
        <v>51</v>
      </c>
      <c r="S715" s="1">
        <v>5</v>
      </c>
      <c r="T715" s="1" t="b">
        <v>0</v>
      </c>
      <c r="U715" s="1" t="s">
        <v>137</v>
      </c>
      <c r="V715" s="3">
        <v>10</v>
      </c>
    </row>
    <row r="716" spans="1:22" x14ac:dyDescent="0.3">
      <c r="A716" s="2" t="s">
        <v>1878</v>
      </c>
      <c r="B716" s="10">
        <v>45160</v>
      </c>
      <c r="C716" s="22">
        <v>45160</v>
      </c>
      <c r="D716" s="1" t="s">
        <v>1879</v>
      </c>
      <c r="E716" s="1" t="s">
        <v>1436</v>
      </c>
      <c r="F716" s="1">
        <v>37</v>
      </c>
      <c r="G716" s="1" t="s">
        <v>24</v>
      </c>
      <c r="H716" s="1" t="s">
        <v>25</v>
      </c>
      <c r="I716" s="1" t="s">
        <v>55</v>
      </c>
      <c r="J716" s="1" t="s">
        <v>27</v>
      </c>
      <c r="K716" s="1" t="s">
        <v>450</v>
      </c>
      <c r="L716" s="1">
        <v>9</v>
      </c>
      <c r="M716" s="13">
        <v>460.52</v>
      </c>
      <c r="N716" s="15">
        <v>0.37</v>
      </c>
      <c r="O716" s="13">
        <v>3659.71</v>
      </c>
      <c r="P716" s="13">
        <v>327.33999999999997</v>
      </c>
      <c r="Q716" s="13">
        <v>48.79</v>
      </c>
      <c r="R716" s="1" t="s">
        <v>51</v>
      </c>
      <c r="S716" s="1">
        <v>5</v>
      </c>
      <c r="T716" s="1" t="b">
        <v>0</v>
      </c>
      <c r="U716" s="1" t="s">
        <v>58</v>
      </c>
      <c r="V716" s="3">
        <v>7</v>
      </c>
    </row>
    <row r="717" spans="1:22" x14ac:dyDescent="0.3">
      <c r="A717" s="2" t="s">
        <v>1880</v>
      </c>
      <c r="B717" s="10">
        <v>45011</v>
      </c>
      <c r="C717" s="22">
        <v>45011</v>
      </c>
      <c r="D717" s="1" t="s">
        <v>1881</v>
      </c>
      <c r="E717" s="1" t="s">
        <v>1204</v>
      </c>
      <c r="F717" s="1">
        <v>52</v>
      </c>
      <c r="G717" s="1" t="s">
        <v>24</v>
      </c>
      <c r="H717" s="1" t="s">
        <v>111</v>
      </c>
      <c r="I717" s="1" t="s">
        <v>112</v>
      </c>
      <c r="J717" s="1" t="s">
        <v>27</v>
      </c>
      <c r="K717" s="1" t="s">
        <v>56</v>
      </c>
      <c r="L717" s="1">
        <v>7</v>
      </c>
      <c r="M717" s="13">
        <v>448.17</v>
      </c>
      <c r="N717" s="15">
        <v>0.11</v>
      </c>
      <c r="O717" s="13">
        <v>3507.4</v>
      </c>
      <c r="P717" s="13">
        <v>212.91</v>
      </c>
      <c r="Q717" s="13">
        <v>34.25</v>
      </c>
      <c r="R717" s="1" t="s">
        <v>51</v>
      </c>
      <c r="S717" s="1">
        <v>5</v>
      </c>
      <c r="T717" s="1" t="b">
        <v>0</v>
      </c>
      <c r="U717" s="1" t="s">
        <v>39</v>
      </c>
      <c r="V717" s="3">
        <v>2</v>
      </c>
    </row>
    <row r="718" spans="1:22" x14ac:dyDescent="0.3">
      <c r="A718" s="2" t="s">
        <v>1882</v>
      </c>
      <c r="B718" s="10">
        <v>45266</v>
      </c>
      <c r="C718" s="22">
        <v>45266</v>
      </c>
      <c r="D718" s="1" t="s">
        <v>1883</v>
      </c>
      <c r="E718" s="1" t="s">
        <v>1510</v>
      </c>
      <c r="F718" s="1">
        <v>40</v>
      </c>
      <c r="G718" s="1" t="s">
        <v>24</v>
      </c>
      <c r="H718" s="1" t="s">
        <v>25</v>
      </c>
      <c r="I718" s="1" t="s">
        <v>170</v>
      </c>
      <c r="J718" s="1" t="s">
        <v>62</v>
      </c>
      <c r="K718" s="1" t="s">
        <v>266</v>
      </c>
      <c r="L718" s="1">
        <v>9</v>
      </c>
      <c r="M718" s="13">
        <v>276.41000000000003</v>
      </c>
      <c r="N718" s="15">
        <v>0.11</v>
      </c>
      <c r="O718" s="13">
        <v>1896.15</v>
      </c>
      <c r="P718" s="13">
        <v>853.77</v>
      </c>
      <c r="Q718" s="13">
        <v>46.35</v>
      </c>
      <c r="R718" s="1" t="s">
        <v>78</v>
      </c>
      <c r="S718" s="1">
        <v>2</v>
      </c>
      <c r="T718" s="1" t="b">
        <v>0</v>
      </c>
      <c r="U718" s="1" t="s">
        <v>39</v>
      </c>
      <c r="V718" s="3">
        <v>3</v>
      </c>
    </row>
    <row r="719" spans="1:22" x14ac:dyDescent="0.3">
      <c r="A719" s="2" t="s">
        <v>1884</v>
      </c>
      <c r="B719" s="10">
        <v>44837</v>
      </c>
      <c r="C719" s="22">
        <v>44837</v>
      </c>
      <c r="D719" s="1" t="s">
        <v>1885</v>
      </c>
      <c r="E719" s="1" t="s">
        <v>1886</v>
      </c>
      <c r="F719" s="1">
        <v>37</v>
      </c>
      <c r="G719" s="1" t="s">
        <v>24</v>
      </c>
      <c r="H719" s="1" t="s">
        <v>74</v>
      </c>
      <c r="I719" s="1" t="s">
        <v>101</v>
      </c>
      <c r="J719" s="1" t="s">
        <v>27</v>
      </c>
      <c r="K719" s="1" t="s">
        <v>400</v>
      </c>
      <c r="L719" s="1">
        <v>4</v>
      </c>
      <c r="M719" s="13">
        <v>385.4</v>
      </c>
      <c r="N719" s="15">
        <v>0.06</v>
      </c>
      <c r="O719" s="13">
        <v>1455</v>
      </c>
      <c r="P719" s="13">
        <v>86.48</v>
      </c>
      <c r="Q719" s="13">
        <v>49.02</v>
      </c>
      <c r="R719" s="1" t="s">
        <v>64</v>
      </c>
      <c r="S719" s="1">
        <v>5</v>
      </c>
      <c r="T719" s="1" t="b">
        <v>0</v>
      </c>
      <c r="U719" s="1" t="s">
        <v>39</v>
      </c>
      <c r="V719" s="3">
        <v>9</v>
      </c>
    </row>
    <row r="720" spans="1:22" x14ac:dyDescent="0.3">
      <c r="A720" s="2" t="s">
        <v>1887</v>
      </c>
      <c r="B720" s="10">
        <v>44084</v>
      </c>
      <c r="C720" s="22">
        <v>44084</v>
      </c>
      <c r="D720" s="1" t="s">
        <v>1888</v>
      </c>
      <c r="E720" s="1" t="s">
        <v>1091</v>
      </c>
      <c r="F720" s="1">
        <v>49</v>
      </c>
      <c r="G720" s="1" t="s">
        <v>68</v>
      </c>
      <c r="H720" s="1" t="s">
        <v>35</v>
      </c>
      <c r="I720" s="1" t="s">
        <v>49</v>
      </c>
      <c r="J720" s="1" t="s">
        <v>44</v>
      </c>
      <c r="K720" s="1" t="s">
        <v>50</v>
      </c>
      <c r="L720" s="1">
        <v>9</v>
      </c>
      <c r="M720" s="13">
        <v>31653.11</v>
      </c>
      <c r="N720" s="15">
        <v>0.37</v>
      </c>
      <c r="O720" s="13">
        <v>185665.67</v>
      </c>
      <c r="P720" s="13">
        <v>62381.83</v>
      </c>
      <c r="Q720" s="13">
        <v>74.88</v>
      </c>
      <c r="R720" s="1" t="s">
        <v>29</v>
      </c>
      <c r="S720" s="1">
        <v>3</v>
      </c>
      <c r="T720" s="1" t="b">
        <v>0</v>
      </c>
      <c r="U720" s="1" t="s">
        <v>39</v>
      </c>
      <c r="V720" s="3">
        <v>2</v>
      </c>
    </row>
    <row r="721" spans="1:22" x14ac:dyDescent="0.3">
      <c r="A721" s="2" t="s">
        <v>1889</v>
      </c>
      <c r="B721" s="10">
        <v>44234</v>
      </c>
      <c r="C721" s="22">
        <v>44234</v>
      </c>
      <c r="D721" s="1" t="s">
        <v>1890</v>
      </c>
      <c r="E721" s="1" t="s">
        <v>743</v>
      </c>
      <c r="F721" s="1">
        <v>45</v>
      </c>
      <c r="G721" s="1" t="s">
        <v>68</v>
      </c>
      <c r="H721" s="1" t="s">
        <v>82</v>
      </c>
      <c r="I721" s="1" t="s">
        <v>293</v>
      </c>
      <c r="J721" s="1" t="s">
        <v>127</v>
      </c>
      <c r="K721" s="1" t="s">
        <v>517</v>
      </c>
      <c r="L721" s="1">
        <v>3</v>
      </c>
      <c r="M721" s="13">
        <v>72774.78</v>
      </c>
      <c r="N721" s="15">
        <v>0.13</v>
      </c>
      <c r="O721" s="13">
        <v>179559.91</v>
      </c>
      <c r="P721" s="13">
        <v>15904.32</v>
      </c>
      <c r="Q721" s="13">
        <v>90.91</v>
      </c>
      <c r="R721" s="1" t="s">
        <v>78</v>
      </c>
      <c r="S721" s="1">
        <v>5</v>
      </c>
      <c r="T721" s="1" t="b">
        <v>0</v>
      </c>
      <c r="U721" s="1" t="s">
        <v>39</v>
      </c>
      <c r="V721" s="3">
        <v>6</v>
      </c>
    </row>
    <row r="722" spans="1:22" x14ac:dyDescent="0.3">
      <c r="A722" s="2" t="s">
        <v>1891</v>
      </c>
      <c r="B722" s="10">
        <v>43831</v>
      </c>
      <c r="C722" s="22">
        <v>43831</v>
      </c>
      <c r="D722" s="1" t="s">
        <v>1892</v>
      </c>
      <c r="E722" s="1" t="s">
        <v>991</v>
      </c>
      <c r="F722" s="1">
        <v>11</v>
      </c>
      <c r="G722" s="1" t="s">
        <v>68</v>
      </c>
      <c r="H722" s="1" t="s">
        <v>35</v>
      </c>
      <c r="I722" s="1" t="s">
        <v>36</v>
      </c>
      <c r="J722" s="1" t="s">
        <v>37</v>
      </c>
      <c r="K722" s="1" t="s">
        <v>231</v>
      </c>
      <c r="L722" s="1">
        <v>9</v>
      </c>
      <c r="M722" s="13">
        <v>245.9</v>
      </c>
      <c r="N722" s="15">
        <v>0.24</v>
      </c>
      <c r="O722" s="13">
        <v>1205.28</v>
      </c>
      <c r="P722" s="13">
        <v>560.95000000000005</v>
      </c>
      <c r="Q722" s="13">
        <v>45.22</v>
      </c>
      <c r="R722" s="1" t="s">
        <v>57</v>
      </c>
      <c r="S722" s="1">
        <v>1</v>
      </c>
      <c r="T722" s="1" t="b">
        <v>1</v>
      </c>
      <c r="U722" s="1" t="s">
        <v>30</v>
      </c>
      <c r="V722" s="3">
        <v>3</v>
      </c>
    </row>
    <row r="723" spans="1:22" x14ac:dyDescent="0.3">
      <c r="A723" s="2" t="s">
        <v>1893</v>
      </c>
      <c r="B723" s="10">
        <v>44815</v>
      </c>
      <c r="C723" s="22">
        <v>44815</v>
      </c>
      <c r="D723" s="1" t="s">
        <v>1894</v>
      </c>
      <c r="E723" s="1" t="s">
        <v>1173</v>
      </c>
      <c r="F723" s="1">
        <v>25</v>
      </c>
      <c r="G723" s="1" t="s">
        <v>34</v>
      </c>
      <c r="H723" s="1" t="s">
        <v>35</v>
      </c>
      <c r="I723" s="1" t="s">
        <v>49</v>
      </c>
      <c r="J723" s="1" t="s">
        <v>127</v>
      </c>
      <c r="K723" s="1" t="s">
        <v>196</v>
      </c>
      <c r="L723" s="1">
        <v>5</v>
      </c>
      <c r="M723" s="13">
        <v>48089.2</v>
      </c>
      <c r="N723" s="15">
        <v>0.19</v>
      </c>
      <c r="O723" s="13">
        <v>248755.47</v>
      </c>
      <c r="P723" s="13">
        <v>16926</v>
      </c>
      <c r="Q723" s="13">
        <v>96.45</v>
      </c>
      <c r="R723" s="1" t="s">
        <v>29</v>
      </c>
      <c r="S723" s="1">
        <v>4</v>
      </c>
      <c r="T723" s="1" t="b">
        <v>0</v>
      </c>
      <c r="U723" s="1" t="s">
        <v>39</v>
      </c>
      <c r="V723" s="3">
        <v>9</v>
      </c>
    </row>
    <row r="724" spans="1:22" x14ac:dyDescent="0.3">
      <c r="A724" s="2" t="s">
        <v>1895</v>
      </c>
      <c r="B724" s="10">
        <v>45633</v>
      </c>
      <c r="C724" s="22">
        <v>45633</v>
      </c>
      <c r="D724" s="1" t="s">
        <v>1896</v>
      </c>
      <c r="E724" s="1" t="s">
        <v>616</v>
      </c>
      <c r="F724" s="1">
        <v>23</v>
      </c>
      <c r="G724" s="1" t="s">
        <v>24</v>
      </c>
      <c r="H724" s="1" t="s">
        <v>74</v>
      </c>
      <c r="I724" s="1" t="s">
        <v>136</v>
      </c>
      <c r="J724" s="1" t="s">
        <v>27</v>
      </c>
      <c r="K724" s="1" t="s">
        <v>400</v>
      </c>
      <c r="L724" s="1">
        <v>4</v>
      </c>
      <c r="M724" s="13">
        <v>471.4</v>
      </c>
      <c r="N724" s="15">
        <v>0.3</v>
      </c>
      <c r="O724" s="13">
        <v>1216.57</v>
      </c>
      <c r="P724" s="13">
        <v>70.680000000000007</v>
      </c>
      <c r="Q724" s="13">
        <v>52.55</v>
      </c>
      <c r="R724" s="1" t="s">
        <v>51</v>
      </c>
      <c r="S724" s="1">
        <v>4</v>
      </c>
      <c r="T724" s="1" t="b">
        <v>0</v>
      </c>
      <c r="U724" s="1" t="s">
        <v>39</v>
      </c>
      <c r="V724" s="3">
        <v>9</v>
      </c>
    </row>
    <row r="725" spans="1:22" x14ac:dyDescent="0.3">
      <c r="A725" s="2" t="s">
        <v>1897</v>
      </c>
      <c r="B725" s="10">
        <v>44476</v>
      </c>
      <c r="C725" s="22">
        <v>44476</v>
      </c>
      <c r="D725" s="1" t="s">
        <v>1898</v>
      </c>
      <c r="E725" s="1" t="s">
        <v>1899</v>
      </c>
      <c r="F725" s="1">
        <v>25</v>
      </c>
      <c r="G725" s="1" t="s">
        <v>24</v>
      </c>
      <c r="H725" s="1" t="s">
        <v>82</v>
      </c>
      <c r="I725" s="1" t="s">
        <v>83</v>
      </c>
      <c r="J725" s="1" t="s">
        <v>62</v>
      </c>
      <c r="K725" s="1" t="s">
        <v>266</v>
      </c>
      <c r="L725" s="1">
        <v>2</v>
      </c>
      <c r="M725" s="13">
        <v>986.99</v>
      </c>
      <c r="N725" s="15">
        <v>0.37</v>
      </c>
      <c r="O725" s="13">
        <v>1052.33</v>
      </c>
      <c r="P725" s="13">
        <v>405.51</v>
      </c>
      <c r="Q725" s="13">
        <v>79.62</v>
      </c>
      <c r="R725" s="1" t="s">
        <v>29</v>
      </c>
      <c r="S725" s="1">
        <v>2</v>
      </c>
      <c r="T725" s="1" t="b">
        <v>1</v>
      </c>
      <c r="U725" s="1" t="s">
        <v>30</v>
      </c>
      <c r="V725" s="3">
        <v>4</v>
      </c>
    </row>
    <row r="726" spans="1:22" x14ac:dyDescent="0.3">
      <c r="A726" s="2" t="s">
        <v>1900</v>
      </c>
      <c r="B726" s="10">
        <v>45080</v>
      </c>
      <c r="C726" s="22">
        <v>45080</v>
      </c>
      <c r="D726" s="1" t="s">
        <v>1901</v>
      </c>
      <c r="E726" s="1" t="s">
        <v>1526</v>
      </c>
      <c r="F726" s="1">
        <v>33</v>
      </c>
      <c r="G726" s="1" t="s">
        <v>68</v>
      </c>
      <c r="H726" s="1" t="s">
        <v>35</v>
      </c>
      <c r="I726" s="1" t="s">
        <v>106</v>
      </c>
      <c r="J726" s="1" t="s">
        <v>62</v>
      </c>
      <c r="K726" s="1" t="s">
        <v>283</v>
      </c>
      <c r="L726" s="1">
        <v>1</v>
      </c>
      <c r="M726" s="13">
        <v>1090.31</v>
      </c>
      <c r="N726" s="15">
        <v>0.26</v>
      </c>
      <c r="O726" s="13">
        <v>1249.54</v>
      </c>
      <c r="P726" s="13">
        <v>613.99</v>
      </c>
      <c r="Q726" s="13">
        <v>61.28</v>
      </c>
      <c r="R726" s="1" t="s">
        <v>57</v>
      </c>
      <c r="S726" s="1">
        <v>3</v>
      </c>
      <c r="T726" s="1" t="b">
        <v>0</v>
      </c>
      <c r="U726" s="1" t="s">
        <v>39</v>
      </c>
      <c r="V726" s="3">
        <v>9</v>
      </c>
    </row>
    <row r="727" spans="1:22" x14ac:dyDescent="0.3">
      <c r="A727" s="2" t="s">
        <v>1902</v>
      </c>
      <c r="B727" s="10">
        <v>44065</v>
      </c>
      <c r="C727" s="22">
        <v>44065</v>
      </c>
      <c r="D727" s="1" t="s">
        <v>1903</v>
      </c>
      <c r="E727" s="1" t="s">
        <v>1904</v>
      </c>
      <c r="F727" s="1">
        <v>27</v>
      </c>
      <c r="G727" s="1" t="s">
        <v>68</v>
      </c>
      <c r="H727" s="1" t="s">
        <v>111</v>
      </c>
      <c r="I727" s="1" t="s">
        <v>141</v>
      </c>
      <c r="J727" s="1" t="s">
        <v>146</v>
      </c>
      <c r="K727" s="1" t="s">
        <v>161</v>
      </c>
      <c r="L727" s="1">
        <v>7</v>
      </c>
      <c r="M727" s="13">
        <v>9110.75</v>
      </c>
      <c r="N727" s="15">
        <v>0.25</v>
      </c>
      <c r="O727" s="13">
        <v>47812.7</v>
      </c>
      <c r="P727" s="13">
        <v>10019.9</v>
      </c>
      <c r="Q727" s="13">
        <v>90.53</v>
      </c>
      <c r="R727" s="1" t="s">
        <v>70</v>
      </c>
      <c r="S727" s="1">
        <v>2</v>
      </c>
      <c r="T727" s="1" t="b">
        <v>0</v>
      </c>
      <c r="U727" s="1" t="s">
        <v>39</v>
      </c>
      <c r="V727" s="3">
        <v>7</v>
      </c>
    </row>
    <row r="728" spans="1:22" x14ac:dyDescent="0.3">
      <c r="A728" s="2" t="s">
        <v>1905</v>
      </c>
      <c r="B728" s="10">
        <v>44471</v>
      </c>
      <c r="C728" s="22">
        <v>44471</v>
      </c>
      <c r="D728" s="1" t="s">
        <v>1906</v>
      </c>
      <c r="E728" s="1" t="s">
        <v>1907</v>
      </c>
      <c r="F728" s="1">
        <v>37</v>
      </c>
      <c r="G728" s="1" t="s">
        <v>24</v>
      </c>
      <c r="H728" s="1" t="s">
        <v>74</v>
      </c>
      <c r="I728" s="1" t="s">
        <v>75</v>
      </c>
      <c r="J728" s="1" t="s">
        <v>146</v>
      </c>
      <c r="K728" s="1" t="s">
        <v>178</v>
      </c>
      <c r="L728" s="1">
        <v>10</v>
      </c>
      <c r="M728" s="13">
        <v>12010.26</v>
      </c>
      <c r="N728" s="15">
        <v>0.36</v>
      </c>
      <c r="O728" s="13">
        <v>68019.81</v>
      </c>
      <c r="P728" s="13">
        <v>13038.75</v>
      </c>
      <c r="Q728" s="13">
        <v>77.19</v>
      </c>
      <c r="R728" s="1" t="s">
        <v>78</v>
      </c>
      <c r="S728" s="1">
        <v>1</v>
      </c>
      <c r="T728" s="1" t="b">
        <v>0</v>
      </c>
      <c r="U728" s="1" t="s">
        <v>39</v>
      </c>
      <c r="V728" s="3">
        <v>10</v>
      </c>
    </row>
    <row r="729" spans="1:22" x14ac:dyDescent="0.3">
      <c r="A729" s="2" t="s">
        <v>1908</v>
      </c>
      <c r="B729" s="10">
        <v>44232</v>
      </c>
      <c r="C729" s="22">
        <v>44232</v>
      </c>
      <c r="D729" s="1" t="s">
        <v>1909</v>
      </c>
      <c r="E729" s="1" t="s">
        <v>1907</v>
      </c>
      <c r="F729" s="1">
        <v>47</v>
      </c>
      <c r="G729" s="1" t="s">
        <v>34</v>
      </c>
      <c r="H729" s="1" t="s">
        <v>82</v>
      </c>
      <c r="I729" s="1" t="s">
        <v>83</v>
      </c>
      <c r="J729" s="1" t="s">
        <v>62</v>
      </c>
      <c r="K729" s="1" t="s">
        <v>63</v>
      </c>
      <c r="L729" s="1">
        <v>10</v>
      </c>
      <c r="M729" s="13">
        <v>1043.44</v>
      </c>
      <c r="N729" s="15">
        <v>0.34</v>
      </c>
      <c r="O729" s="13">
        <v>5862.96</v>
      </c>
      <c r="P729" s="13">
        <v>2186.1999999999998</v>
      </c>
      <c r="Q729" s="13">
        <v>79.989999999999995</v>
      </c>
      <c r="R729" s="1" t="s">
        <v>29</v>
      </c>
      <c r="S729" s="1">
        <v>2</v>
      </c>
      <c r="T729" s="1" t="b">
        <v>0</v>
      </c>
      <c r="U729" s="1" t="s">
        <v>39</v>
      </c>
      <c r="V729" s="3">
        <v>6</v>
      </c>
    </row>
    <row r="730" spans="1:22" x14ac:dyDescent="0.3">
      <c r="A730" s="2" t="s">
        <v>1910</v>
      </c>
      <c r="B730" s="10">
        <v>44356</v>
      </c>
      <c r="C730" s="22">
        <v>44356</v>
      </c>
      <c r="D730" s="1" t="s">
        <v>1911</v>
      </c>
      <c r="E730" s="1" t="s">
        <v>375</v>
      </c>
      <c r="F730" s="1">
        <v>33</v>
      </c>
      <c r="G730" s="1" t="s">
        <v>68</v>
      </c>
      <c r="H730" s="1" t="s">
        <v>111</v>
      </c>
      <c r="I730" s="1" t="s">
        <v>112</v>
      </c>
      <c r="J730" s="1" t="s">
        <v>44</v>
      </c>
      <c r="K730" s="1" t="s">
        <v>186</v>
      </c>
      <c r="L730" s="1">
        <v>3</v>
      </c>
      <c r="M730" s="13">
        <v>33795.769999999997</v>
      </c>
      <c r="N730" s="15">
        <v>0.35</v>
      </c>
      <c r="O730" s="13">
        <v>90617.58</v>
      </c>
      <c r="P730" s="13">
        <v>32809.370000000003</v>
      </c>
      <c r="Q730" s="13">
        <v>71.569999999999993</v>
      </c>
      <c r="R730" s="1" t="s">
        <v>78</v>
      </c>
      <c r="S730" s="1">
        <v>5</v>
      </c>
      <c r="T730" s="1" t="b">
        <v>0</v>
      </c>
      <c r="U730" s="1" t="s">
        <v>39</v>
      </c>
      <c r="V730" s="3">
        <v>9</v>
      </c>
    </row>
    <row r="731" spans="1:22" x14ac:dyDescent="0.3">
      <c r="A731" s="2" t="s">
        <v>1912</v>
      </c>
      <c r="B731" s="10">
        <v>45410</v>
      </c>
      <c r="C731" s="22">
        <v>45410</v>
      </c>
      <c r="D731" s="1" t="s">
        <v>1913</v>
      </c>
      <c r="E731" s="1" t="s">
        <v>1091</v>
      </c>
      <c r="F731" s="1">
        <v>35</v>
      </c>
      <c r="G731" s="1" t="s">
        <v>24</v>
      </c>
      <c r="H731" s="1" t="s">
        <v>25</v>
      </c>
      <c r="I731" s="1" t="s">
        <v>26</v>
      </c>
      <c r="J731" s="1" t="s">
        <v>62</v>
      </c>
      <c r="K731" s="1" t="s">
        <v>63</v>
      </c>
      <c r="L731" s="1">
        <v>9</v>
      </c>
      <c r="M731" s="13">
        <v>499.65</v>
      </c>
      <c r="N731" s="15">
        <v>0.02</v>
      </c>
      <c r="O731" s="13">
        <v>7343.37</v>
      </c>
      <c r="P731" s="13">
        <v>2521.34</v>
      </c>
      <c r="Q731" s="13">
        <v>39.04</v>
      </c>
      <c r="R731" s="1" t="s">
        <v>70</v>
      </c>
      <c r="S731" s="1">
        <v>2</v>
      </c>
      <c r="T731" s="1" t="b">
        <v>0</v>
      </c>
      <c r="U731" s="1" t="s">
        <v>39</v>
      </c>
      <c r="V731" s="3">
        <v>2</v>
      </c>
    </row>
    <row r="732" spans="1:22" x14ac:dyDescent="0.3">
      <c r="A732" s="2" t="s">
        <v>1914</v>
      </c>
      <c r="B732" s="10">
        <v>43888</v>
      </c>
      <c r="C732" s="22">
        <v>43888</v>
      </c>
      <c r="D732" s="1" t="s">
        <v>1915</v>
      </c>
      <c r="E732" s="1" t="s">
        <v>262</v>
      </c>
      <c r="F732" s="1">
        <v>37</v>
      </c>
      <c r="G732" s="1" t="s">
        <v>68</v>
      </c>
      <c r="H732" s="1" t="s">
        <v>111</v>
      </c>
      <c r="I732" s="1" t="s">
        <v>141</v>
      </c>
      <c r="J732" s="1" t="s">
        <v>44</v>
      </c>
      <c r="K732" s="1" t="s">
        <v>117</v>
      </c>
      <c r="L732" s="1">
        <v>5</v>
      </c>
      <c r="M732" s="13">
        <v>32167.65</v>
      </c>
      <c r="N732" s="15">
        <v>0.21</v>
      </c>
      <c r="O732" s="13">
        <v>138458.15</v>
      </c>
      <c r="P732" s="13">
        <v>39811.269999999997</v>
      </c>
      <c r="Q732" s="13">
        <v>58.32</v>
      </c>
      <c r="R732" s="1" t="s">
        <v>64</v>
      </c>
      <c r="S732" s="1">
        <v>5</v>
      </c>
      <c r="T732" s="1" t="b">
        <v>0</v>
      </c>
      <c r="U732" s="1" t="s">
        <v>39</v>
      </c>
      <c r="V732" s="3">
        <v>6</v>
      </c>
    </row>
    <row r="733" spans="1:22" x14ac:dyDescent="0.3">
      <c r="A733" s="2" t="s">
        <v>1916</v>
      </c>
      <c r="B733" s="10">
        <v>45116</v>
      </c>
      <c r="C733" s="22">
        <v>45116</v>
      </c>
      <c r="D733" s="1" t="s">
        <v>1917</v>
      </c>
      <c r="E733" s="1" t="s">
        <v>702</v>
      </c>
      <c r="F733" s="1">
        <v>35</v>
      </c>
      <c r="G733" s="1" t="s">
        <v>68</v>
      </c>
      <c r="H733" s="1" t="s">
        <v>111</v>
      </c>
      <c r="I733" s="1" t="s">
        <v>121</v>
      </c>
      <c r="J733" s="1" t="s">
        <v>62</v>
      </c>
      <c r="K733" s="1" t="s">
        <v>63</v>
      </c>
      <c r="L733" s="1">
        <v>7</v>
      </c>
      <c r="M733" s="13">
        <v>900.55</v>
      </c>
      <c r="N733" s="15">
        <v>0.37</v>
      </c>
      <c r="O733" s="13">
        <v>6552.28</v>
      </c>
      <c r="P733" s="13">
        <v>1538.11</v>
      </c>
      <c r="Q733" s="13">
        <v>67.3</v>
      </c>
      <c r="R733" s="1" t="s">
        <v>57</v>
      </c>
      <c r="S733" s="1">
        <v>5</v>
      </c>
      <c r="T733" s="1" t="b">
        <v>0</v>
      </c>
      <c r="U733" s="1" t="s">
        <v>39</v>
      </c>
      <c r="V733" s="3">
        <v>3</v>
      </c>
    </row>
    <row r="734" spans="1:22" x14ac:dyDescent="0.3">
      <c r="A734" s="2" t="s">
        <v>1918</v>
      </c>
      <c r="B734" s="10">
        <v>44333</v>
      </c>
      <c r="C734" s="22">
        <v>44333</v>
      </c>
      <c r="D734" s="1" t="s">
        <v>1919</v>
      </c>
      <c r="E734" s="1" t="s">
        <v>773</v>
      </c>
      <c r="F734" s="1">
        <v>34</v>
      </c>
      <c r="G734" s="1" t="s">
        <v>68</v>
      </c>
      <c r="H734" s="1" t="s">
        <v>74</v>
      </c>
      <c r="I734" s="1" t="s">
        <v>136</v>
      </c>
      <c r="J734" s="1" t="s">
        <v>127</v>
      </c>
      <c r="K734" s="1" t="s">
        <v>196</v>
      </c>
      <c r="L734" s="1">
        <v>7</v>
      </c>
      <c r="M734" s="13">
        <v>46170.239999999998</v>
      </c>
      <c r="N734" s="15">
        <v>0.37</v>
      </c>
      <c r="O734" s="13">
        <v>258421.55</v>
      </c>
      <c r="P734" s="13">
        <v>33391.1</v>
      </c>
      <c r="Q734" s="13">
        <v>40.35</v>
      </c>
      <c r="R734" s="1" t="s">
        <v>57</v>
      </c>
      <c r="S734" s="1">
        <v>5</v>
      </c>
      <c r="T734" s="1" t="b">
        <v>0</v>
      </c>
      <c r="U734" s="1" t="s">
        <v>39</v>
      </c>
      <c r="V734" s="3">
        <v>2</v>
      </c>
    </row>
    <row r="735" spans="1:22" x14ac:dyDescent="0.3">
      <c r="A735" s="2" t="s">
        <v>1920</v>
      </c>
      <c r="B735" s="10">
        <v>44503</v>
      </c>
      <c r="C735" s="22">
        <v>44503</v>
      </c>
      <c r="D735" s="1" t="s">
        <v>1921</v>
      </c>
      <c r="E735" s="1" t="s">
        <v>357</v>
      </c>
      <c r="F735" s="1">
        <v>14</v>
      </c>
      <c r="G735" s="1" t="s">
        <v>34</v>
      </c>
      <c r="H735" s="1" t="s">
        <v>25</v>
      </c>
      <c r="I735" s="1" t="s">
        <v>69</v>
      </c>
      <c r="J735" s="1" t="s">
        <v>37</v>
      </c>
      <c r="K735" s="1" t="s">
        <v>38</v>
      </c>
      <c r="L735" s="1">
        <v>4</v>
      </c>
      <c r="M735" s="13">
        <v>2378.5700000000002</v>
      </c>
      <c r="N735" s="15">
        <v>0.06</v>
      </c>
      <c r="O735" s="13">
        <v>9023.4</v>
      </c>
      <c r="P735" s="13">
        <v>4079.28</v>
      </c>
      <c r="Q735" s="13">
        <v>68.11</v>
      </c>
      <c r="R735" s="1" t="s">
        <v>51</v>
      </c>
      <c r="S735" s="1">
        <v>4</v>
      </c>
      <c r="T735" s="1" t="b">
        <v>0</v>
      </c>
      <c r="U735" s="1" t="s">
        <v>39</v>
      </c>
      <c r="V735" s="3">
        <v>7</v>
      </c>
    </row>
    <row r="736" spans="1:22" x14ac:dyDescent="0.3">
      <c r="A736" s="2" t="s">
        <v>1922</v>
      </c>
      <c r="B736" s="10">
        <v>45483</v>
      </c>
      <c r="C736" s="22">
        <v>45483</v>
      </c>
      <c r="D736" s="1" t="s">
        <v>1923</v>
      </c>
      <c r="E736" s="1" t="s">
        <v>286</v>
      </c>
      <c r="F736" s="1">
        <v>27</v>
      </c>
      <c r="G736" s="1" t="s">
        <v>68</v>
      </c>
      <c r="H736" s="1" t="s">
        <v>111</v>
      </c>
      <c r="I736" s="1" t="s">
        <v>330</v>
      </c>
      <c r="J736" s="1" t="s">
        <v>146</v>
      </c>
      <c r="K736" s="1" t="s">
        <v>484</v>
      </c>
      <c r="L736" s="1">
        <v>10</v>
      </c>
      <c r="M736" s="13">
        <v>9793.2999999999993</v>
      </c>
      <c r="N736" s="15">
        <v>0.26</v>
      </c>
      <c r="O736" s="13">
        <v>101289.99</v>
      </c>
      <c r="P736" s="13">
        <v>21064.94</v>
      </c>
      <c r="Q736" s="13">
        <v>62.81</v>
      </c>
      <c r="R736" s="1" t="s">
        <v>64</v>
      </c>
      <c r="S736" s="1">
        <v>2</v>
      </c>
      <c r="T736" s="1" t="b">
        <v>0</v>
      </c>
      <c r="U736" s="1" t="s">
        <v>39</v>
      </c>
      <c r="V736" s="3">
        <v>9</v>
      </c>
    </row>
    <row r="737" spans="1:22" x14ac:dyDescent="0.3">
      <c r="A737" s="2" t="s">
        <v>1924</v>
      </c>
      <c r="B737" s="10">
        <v>44974</v>
      </c>
      <c r="C737" s="22">
        <v>44974</v>
      </c>
      <c r="D737" s="1" t="s">
        <v>1925</v>
      </c>
      <c r="E737" s="1" t="s">
        <v>1761</v>
      </c>
      <c r="F737" s="1">
        <v>25</v>
      </c>
      <c r="G737" s="1" t="s">
        <v>34</v>
      </c>
      <c r="H737" s="1" t="s">
        <v>82</v>
      </c>
      <c r="I737" s="1" t="s">
        <v>293</v>
      </c>
      <c r="J737" s="1" t="s">
        <v>62</v>
      </c>
      <c r="K737" s="1" t="s">
        <v>107</v>
      </c>
      <c r="L737" s="1">
        <v>8</v>
      </c>
      <c r="M737" s="13">
        <v>935.46</v>
      </c>
      <c r="N737" s="15">
        <v>0.12</v>
      </c>
      <c r="O737" s="13">
        <v>6567.18</v>
      </c>
      <c r="P737" s="13">
        <v>3099.56</v>
      </c>
      <c r="Q737" s="13">
        <v>73.180000000000007</v>
      </c>
      <c r="R737" s="1" t="s">
        <v>64</v>
      </c>
      <c r="S737" s="1">
        <v>3</v>
      </c>
      <c r="T737" s="1" t="b">
        <v>0</v>
      </c>
      <c r="U737" s="1" t="s">
        <v>699</v>
      </c>
      <c r="V737" s="3">
        <v>8</v>
      </c>
    </row>
    <row r="738" spans="1:22" x14ac:dyDescent="0.3">
      <c r="A738" s="2" t="s">
        <v>1926</v>
      </c>
      <c r="B738" s="10">
        <v>44894</v>
      </c>
      <c r="C738" s="22">
        <v>44894</v>
      </c>
      <c r="D738" s="1" t="s">
        <v>1927</v>
      </c>
      <c r="E738" s="1" t="s">
        <v>390</v>
      </c>
      <c r="F738" s="1">
        <v>50</v>
      </c>
      <c r="G738" s="1" t="s">
        <v>34</v>
      </c>
      <c r="H738" s="1" t="s">
        <v>82</v>
      </c>
      <c r="I738" s="1" t="s">
        <v>83</v>
      </c>
      <c r="J738" s="1" t="s">
        <v>44</v>
      </c>
      <c r="K738" s="1" t="s">
        <v>117</v>
      </c>
      <c r="L738" s="1">
        <v>9</v>
      </c>
      <c r="M738" s="13">
        <v>23692.77</v>
      </c>
      <c r="N738" s="15">
        <v>0.01</v>
      </c>
      <c r="O738" s="13">
        <v>189801.32</v>
      </c>
      <c r="P738" s="13">
        <v>55495.95</v>
      </c>
      <c r="Q738" s="13">
        <v>85.76</v>
      </c>
      <c r="R738" s="1" t="s">
        <v>64</v>
      </c>
      <c r="S738" s="1">
        <v>3</v>
      </c>
      <c r="T738" s="1" t="b">
        <v>0</v>
      </c>
      <c r="U738" s="1" t="s">
        <v>39</v>
      </c>
      <c r="V738" s="3">
        <v>3</v>
      </c>
    </row>
    <row r="739" spans="1:22" x14ac:dyDescent="0.3">
      <c r="A739" s="2" t="s">
        <v>1928</v>
      </c>
      <c r="B739" s="10">
        <v>45272</v>
      </c>
      <c r="C739" s="22">
        <v>45272</v>
      </c>
      <c r="D739" s="1" t="s">
        <v>1929</v>
      </c>
      <c r="E739" s="1" t="s">
        <v>1436</v>
      </c>
      <c r="F739" s="1">
        <v>12</v>
      </c>
      <c r="G739" s="1" t="s">
        <v>24</v>
      </c>
      <c r="H739" s="1" t="s">
        <v>35</v>
      </c>
      <c r="I739" s="1" t="s">
        <v>36</v>
      </c>
      <c r="J739" s="1" t="s">
        <v>127</v>
      </c>
      <c r="K739" s="1" t="s">
        <v>308</v>
      </c>
      <c r="L739" s="1">
        <v>5</v>
      </c>
      <c r="M739" s="13">
        <v>67132.789999999994</v>
      </c>
      <c r="N739" s="15">
        <v>0.13</v>
      </c>
      <c r="O739" s="13">
        <v>259751.74</v>
      </c>
      <c r="P739" s="13">
        <v>31688.42</v>
      </c>
      <c r="Q739" s="13">
        <v>67.599999999999994</v>
      </c>
      <c r="R739" s="1" t="s">
        <v>64</v>
      </c>
      <c r="S739" s="1">
        <v>5</v>
      </c>
      <c r="T739" s="1" t="b">
        <v>0</v>
      </c>
      <c r="U739" s="1" t="s">
        <v>39</v>
      </c>
      <c r="V739" s="3">
        <v>3</v>
      </c>
    </row>
    <row r="740" spans="1:22" x14ac:dyDescent="0.3">
      <c r="A740" s="2" t="s">
        <v>1930</v>
      </c>
      <c r="B740" s="10">
        <v>45234</v>
      </c>
      <c r="C740" s="22">
        <v>45234</v>
      </c>
      <c r="D740" s="1" t="s">
        <v>1931</v>
      </c>
      <c r="E740" s="1" t="s">
        <v>537</v>
      </c>
      <c r="F740" s="1">
        <v>42</v>
      </c>
      <c r="G740" s="1" t="s">
        <v>68</v>
      </c>
      <c r="H740" s="1" t="s">
        <v>74</v>
      </c>
      <c r="I740" s="1" t="s">
        <v>101</v>
      </c>
      <c r="J740" s="1" t="s">
        <v>127</v>
      </c>
      <c r="K740" s="1" t="s">
        <v>171</v>
      </c>
      <c r="L740" s="1">
        <v>10</v>
      </c>
      <c r="M740" s="13">
        <v>33487.31</v>
      </c>
      <c r="N740" s="15">
        <v>0.11</v>
      </c>
      <c r="O740" s="13">
        <v>270538.05</v>
      </c>
      <c r="P740" s="13">
        <v>34449.129999999997</v>
      </c>
      <c r="Q740" s="13">
        <v>64.650000000000006</v>
      </c>
      <c r="R740" s="1" t="s">
        <v>51</v>
      </c>
      <c r="S740" s="1">
        <v>3</v>
      </c>
      <c r="T740" s="1" t="b">
        <v>0</v>
      </c>
      <c r="U740" s="1" t="s">
        <v>39</v>
      </c>
      <c r="V740" s="3">
        <v>9</v>
      </c>
    </row>
    <row r="741" spans="1:22" x14ac:dyDescent="0.3">
      <c r="A741" s="2" t="s">
        <v>1932</v>
      </c>
      <c r="B741" s="10">
        <v>44631</v>
      </c>
      <c r="C741" s="22">
        <v>44631</v>
      </c>
      <c r="D741" s="1" t="s">
        <v>1933</v>
      </c>
      <c r="E741" s="1" t="s">
        <v>1586</v>
      </c>
      <c r="F741" s="1">
        <v>34</v>
      </c>
      <c r="G741" s="1" t="s">
        <v>24</v>
      </c>
      <c r="H741" s="1" t="s">
        <v>74</v>
      </c>
      <c r="I741" s="1" t="s">
        <v>136</v>
      </c>
      <c r="J741" s="1" t="s">
        <v>127</v>
      </c>
      <c r="K741" s="1" t="s">
        <v>171</v>
      </c>
      <c r="L741" s="1">
        <v>7</v>
      </c>
      <c r="M741" s="13">
        <v>51313.1</v>
      </c>
      <c r="N741" s="15">
        <v>0.04</v>
      </c>
      <c r="O741" s="13">
        <v>374026.43</v>
      </c>
      <c r="P741" s="13">
        <v>48251.12</v>
      </c>
      <c r="Q741" s="13">
        <v>70.930000000000007</v>
      </c>
      <c r="R741" s="1" t="s">
        <v>70</v>
      </c>
      <c r="S741" s="1">
        <v>5</v>
      </c>
      <c r="T741" s="1" t="b">
        <v>0</v>
      </c>
      <c r="U741" s="1" t="s">
        <v>39</v>
      </c>
      <c r="V741" s="3">
        <v>1</v>
      </c>
    </row>
    <row r="742" spans="1:22" x14ac:dyDescent="0.3">
      <c r="A742" s="2" t="s">
        <v>1934</v>
      </c>
      <c r="B742" s="10">
        <v>45377</v>
      </c>
      <c r="C742" s="22">
        <v>45377</v>
      </c>
      <c r="D742" s="1" t="s">
        <v>1935</v>
      </c>
      <c r="E742" s="1" t="s">
        <v>578</v>
      </c>
      <c r="F742" s="1">
        <v>48</v>
      </c>
      <c r="G742" s="1" t="s">
        <v>68</v>
      </c>
      <c r="H742" s="1" t="s">
        <v>25</v>
      </c>
      <c r="I742" s="1" t="s">
        <v>55</v>
      </c>
      <c r="J742" s="1" t="s">
        <v>146</v>
      </c>
      <c r="K742" s="1" t="s">
        <v>147</v>
      </c>
      <c r="L742" s="1">
        <v>4</v>
      </c>
      <c r="M742" s="13">
        <v>1266.6400000000001</v>
      </c>
      <c r="N742" s="15">
        <v>0.09</v>
      </c>
      <c r="O742" s="13">
        <v>6923.51</v>
      </c>
      <c r="P742" s="13">
        <v>754.21</v>
      </c>
      <c r="Q742" s="13">
        <v>67.58</v>
      </c>
      <c r="R742" s="1" t="s">
        <v>57</v>
      </c>
      <c r="S742" s="1">
        <v>3</v>
      </c>
      <c r="T742" s="1" t="b">
        <v>0</v>
      </c>
      <c r="U742" s="1" t="s">
        <v>39</v>
      </c>
      <c r="V742" s="3">
        <v>3</v>
      </c>
    </row>
    <row r="743" spans="1:22" x14ac:dyDescent="0.3">
      <c r="A743" s="2" t="s">
        <v>1936</v>
      </c>
      <c r="B743" s="10">
        <v>44694</v>
      </c>
      <c r="C743" s="22">
        <v>44694</v>
      </c>
      <c r="D743" s="1" t="s">
        <v>1937</v>
      </c>
      <c r="E743" s="1" t="s">
        <v>131</v>
      </c>
      <c r="F743" s="1">
        <v>44</v>
      </c>
      <c r="G743" s="1" t="s">
        <v>463</v>
      </c>
      <c r="H743" s="1" t="s">
        <v>82</v>
      </c>
      <c r="I743" s="1" t="s">
        <v>83</v>
      </c>
      <c r="J743" s="1" t="s">
        <v>27</v>
      </c>
      <c r="K743" s="1" t="s">
        <v>56</v>
      </c>
      <c r="L743" s="1">
        <v>3</v>
      </c>
      <c r="M743" s="13">
        <v>284.88</v>
      </c>
      <c r="N743" s="15">
        <v>0.26</v>
      </c>
      <c r="O743" s="13">
        <v>817.39</v>
      </c>
      <c r="P743" s="13">
        <v>50.93</v>
      </c>
      <c r="Q743" s="13">
        <v>105.48</v>
      </c>
      <c r="R743" s="1" t="s">
        <v>78</v>
      </c>
      <c r="S743" s="1">
        <v>3</v>
      </c>
      <c r="T743" s="1" t="b">
        <v>1</v>
      </c>
      <c r="U743" s="1" t="s">
        <v>30</v>
      </c>
      <c r="V743" s="3">
        <v>10</v>
      </c>
    </row>
    <row r="744" spans="1:22" x14ac:dyDescent="0.3">
      <c r="A744" s="2" t="s">
        <v>1938</v>
      </c>
      <c r="B744" s="10">
        <v>45550</v>
      </c>
      <c r="C744" s="22">
        <v>45550</v>
      </c>
      <c r="D744" s="1" t="s">
        <v>1939</v>
      </c>
      <c r="E744" s="1" t="s">
        <v>1033</v>
      </c>
      <c r="F744" s="1">
        <v>39</v>
      </c>
      <c r="G744" s="1" t="s">
        <v>34</v>
      </c>
      <c r="H744" s="1" t="s">
        <v>111</v>
      </c>
      <c r="I744" s="1" t="s">
        <v>121</v>
      </c>
      <c r="J744" s="1" t="s">
        <v>146</v>
      </c>
      <c r="K744" s="1" t="s">
        <v>147</v>
      </c>
      <c r="L744" s="1">
        <v>2</v>
      </c>
      <c r="M744" s="13">
        <v>10400.51</v>
      </c>
      <c r="N744" s="15">
        <v>0.39</v>
      </c>
      <c r="O744" s="13">
        <v>16571.32</v>
      </c>
      <c r="P744" s="13">
        <v>3945.31</v>
      </c>
      <c r="Q744" s="13">
        <v>79.88</v>
      </c>
      <c r="R744" s="1" t="s">
        <v>51</v>
      </c>
      <c r="S744" s="1">
        <v>2</v>
      </c>
      <c r="T744" s="1" t="b">
        <v>0</v>
      </c>
      <c r="U744" s="1" t="s">
        <v>39</v>
      </c>
      <c r="V744" s="3">
        <v>5</v>
      </c>
    </row>
    <row r="745" spans="1:22" x14ac:dyDescent="0.3">
      <c r="A745" s="2" t="s">
        <v>1940</v>
      </c>
      <c r="B745" s="10">
        <v>44183</v>
      </c>
      <c r="C745" s="22">
        <v>44183</v>
      </c>
      <c r="D745" s="1" t="s">
        <v>1941</v>
      </c>
      <c r="E745" s="1" t="s">
        <v>1904</v>
      </c>
      <c r="F745" s="1">
        <v>38</v>
      </c>
      <c r="G745" s="1" t="s">
        <v>68</v>
      </c>
      <c r="H745" s="1" t="s">
        <v>74</v>
      </c>
      <c r="I745" s="1" t="s">
        <v>192</v>
      </c>
      <c r="J745" s="1" t="s">
        <v>146</v>
      </c>
      <c r="K745" s="1" t="s">
        <v>484</v>
      </c>
      <c r="L745" s="1">
        <v>3</v>
      </c>
      <c r="M745" s="13">
        <v>3464.74</v>
      </c>
      <c r="N745" s="15">
        <v>0.22</v>
      </c>
      <c r="O745" s="13">
        <v>5170.4799999999996</v>
      </c>
      <c r="P745" s="13">
        <v>757.08</v>
      </c>
      <c r="Q745" s="13">
        <v>50.42</v>
      </c>
      <c r="R745" s="1" t="s">
        <v>57</v>
      </c>
      <c r="S745" s="1">
        <v>3</v>
      </c>
      <c r="T745" s="1" t="b">
        <v>0</v>
      </c>
      <c r="U745" s="1" t="s">
        <v>39</v>
      </c>
      <c r="V745" s="3">
        <v>7</v>
      </c>
    </row>
    <row r="746" spans="1:22" x14ac:dyDescent="0.3">
      <c r="A746" s="2" t="s">
        <v>1942</v>
      </c>
      <c r="B746" s="10">
        <v>44751</v>
      </c>
      <c r="C746" s="22">
        <v>44751</v>
      </c>
      <c r="D746" s="1" t="s">
        <v>1943</v>
      </c>
      <c r="E746" s="1" t="s">
        <v>1433</v>
      </c>
      <c r="F746" s="1">
        <v>44</v>
      </c>
      <c r="G746" s="1" t="s">
        <v>68</v>
      </c>
      <c r="H746" s="1" t="s">
        <v>111</v>
      </c>
      <c r="I746" s="1" t="s">
        <v>112</v>
      </c>
      <c r="J746" s="1" t="s">
        <v>127</v>
      </c>
      <c r="K746" s="1" t="s">
        <v>308</v>
      </c>
      <c r="L746" s="1">
        <v>4</v>
      </c>
      <c r="M746" s="13">
        <v>6126.05</v>
      </c>
      <c r="N746" s="15">
        <v>0.17</v>
      </c>
      <c r="O746" s="13">
        <v>32461.48</v>
      </c>
      <c r="P746" s="13">
        <v>3172.94</v>
      </c>
      <c r="Q746" s="13">
        <v>65.78</v>
      </c>
      <c r="R746" s="1" t="s">
        <v>51</v>
      </c>
      <c r="S746" s="1">
        <v>4</v>
      </c>
      <c r="T746" s="1" t="b">
        <v>0</v>
      </c>
      <c r="U746" s="1" t="s">
        <v>39</v>
      </c>
      <c r="V746" s="3">
        <v>10</v>
      </c>
    </row>
    <row r="747" spans="1:22" x14ac:dyDescent="0.3">
      <c r="A747" s="2" t="s">
        <v>1944</v>
      </c>
      <c r="B747" s="10">
        <v>44519</v>
      </c>
      <c r="C747" s="22">
        <v>44519</v>
      </c>
      <c r="D747" s="1" t="s">
        <v>1945</v>
      </c>
      <c r="E747" s="1" t="s">
        <v>203</v>
      </c>
      <c r="F747" s="1">
        <v>44</v>
      </c>
      <c r="G747" s="1" t="s">
        <v>34</v>
      </c>
      <c r="H747" s="1" t="s">
        <v>74</v>
      </c>
      <c r="I747" s="1" t="s">
        <v>75</v>
      </c>
      <c r="J747" s="1" t="s">
        <v>127</v>
      </c>
      <c r="K747" s="1" t="s">
        <v>171</v>
      </c>
      <c r="L747" s="1">
        <v>7</v>
      </c>
      <c r="M747" s="13">
        <v>37336.980000000003</v>
      </c>
      <c r="N747" s="15">
        <v>0.14000000000000001</v>
      </c>
      <c r="O747" s="13">
        <v>165469.13</v>
      </c>
      <c r="P747" s="13">
        <v>22951.1</v>
      </c>
      <c r="Q747" s="13">
        <v>40.450000000000003</v>
      </c>
      <c r="R747" s="1" t="s">
        <v>51</v>
      </c>
      <c r="S747" s="1">
        <v>2</v>
      </c>
      <c r="T747" s="1" t="b">
        <v>0</v>
      </c>
      <c r="U747" s="1" t="s">
        <v>39</v>
      </c>
      <c r="V747" s="3">
        <v>2</v>
      </c>
    </row>
    <row r="748" spans="1:22" x14ac:dyDescent="0.3">
      <c r="A748" s="2" t="s">
        <v>1946</v>
      </c>
      <c r="B748" s="10">
        <v>44652</v>
      </c>
      <c r="C748" s="22">
        <v>44652</v>
      </c>
      <c r="D748" s="1" t="s">
        <v>1947</v>
      </c>
      <c r="E748" s="1" t="s">
        <v>1550</v>
      </c>
      <c r="F748" s="1">
        <v>35</v>
      </c>
      <c r="G748" s="1" t="s">
        <v>24</v>
      </c>
      <c r="H748" s="1" t="s">
        <v>25</v>
      </c>
      <c r="I748" s="1" t="s">
        <v>170</v>
      </c>
      <c r="J748" s="1" t="s">
        <v>27</v>
      </c>
      <c r="K748" s="1" t="s">
        <v>28</v>
      </c>
      <c r="L748" s="1">
        <v>3</v>
      </c>
      <c r="M748" s="13">
        <v>303.99</v>
      </c>
      <c r="N748" s="15">
        <v>0.4</v>
      </c>
      <c r="O748" s="13">
        <v>728.29</v>
      </c>
      <c r="P748" s="13">
        <v>43.2</v>
      </c>
      <c r="Q748" s="13">
        <v>35.74</v>
      </c>
      <c r="R748" s="1" t="s">
        <v>29</v>
      </c>
      <c r="S748" s="1">
        <v>3</v>
      </c>
      <c r="T748" s="1" t="b">
        <v>0</v>
      </c>
      <c r="U748" s="1" t="s">
        <v>39</v>
      </c>
      <c r="V748" s="3">
        <v>3</v>
      </c>
    </row>
    <row r="749" spans="1:22" x14ac:dyDescent="0.3">
      <c r="A749" s="2" t="s">
        <v>1948</v>
      </c>
      <c r="B749" s="10">
        <v>44434</v>
      </c>
      <c r="C749" s="22">
        <v>44434</v>
      </c>
      <c r="D749" s="1" t="s">
        <v>1949</v>
      </c>
      <c r="E749" s="1" t="s">
        <v>1950</v>
      </c>
      <c r="F749" s="1">
        <v>18</v>
      </c>
      <c r="G749" s="1" t="s">
        <v>24</v>
      </c>
      <c r="H749" s="1" t="s">
        <v>74</v>
      </c>
      <c r="I749" s="1" t="s">
        <v>101</v>
      </c>
      <c r="J749" s="1" t="s">
        <v>27</v>
      </c>
      <c r="K749" s="1" t="s">
        <v>56</v>
      </c>
      <c r="L749" s="1">
        <v>7</v>
      </c>
      <c r="M749" s="13">
        <v>438.39</v>
      </c>
      <c r="N749" s="15">
        <v>0.11</v>
      </c>
      <c r="O749" s="13">
        <v>3296.41</v>
      </c>
      <c r="P749" s="13">
        <v>234.24</v>
      </c>
      <c r="Q749" s="13">
        <v>28.61</v>
      </c>
      <c r="R749" s="1" t="s">
        <v>70</v>
      </c>
      <c r="S749" s="1">
        <v>4</v>
      </c>
      <c r="T749" s="1" t="b">
        <v>0</v>
      </c>
      <c r="U749" s="1" t="s">
        <v>137</v>
      </c>
      <c r="V749" s="3">
        <v>3</v>
      </c>
    </row>
    <row r="750" spans="1:22" x14ac:dyDescent="0.3">
      <c r="A750" s="2" t="s">
        <v>1951</v>
      </c>
      <c r="B750" s="10">
        <v>44159</v>
      </c>
      <c r="C750" s="22">
        <v>44159</v>
      </c>
      <c r="D750" s="1" t="s">
        <v>1952</v>
      </c>
      <c r="E750" s="1" t="s">
        <v>711</v>
      </c>
      <c r="F750" s="1">
        <v>32</v>
      </c>
      <c r="G750" s="1" t="s">
        <v>68</v>
      </c>
      <c r="H750" s="1" t="s">
        <v>35</v>
      </c>
      <c r="I750" s="1" t="s">
        <v>49</v>
      </c>
      <c r="J750" s="1" t="s">
        <v>27</v>
      </c>
      <c r="K750" s="1" t="s">
        <v>400</v>
      </c>
      <c r="L750" s="1">
        <v>6</v>
      </c>
      <c r="M750" s="13">
        <v>79.33</v>
      </c>
      <c r="N750" s="15">
        <v>0.21</v>
      </c>
      <c r="O750" s="13">
        <v>270.5</v>
      </c>
      <c r="P750" s="13">
        <v>23.07</v>
      </c>
      <c r="Q750" s="13">
        <v>33.119999999999997</v>
      </c>
      <c r="R750" s="1" t="s">
        <v>57</v>
      </c>
      <c r="S750" s="1">
        <v>1</v>
      </c>
      <c r="T750" s="1" t="b">
        <v>0</v>
      </c>
      <c r="U750" s="1" t="s">
        <v>39</v>
      </c>
      <c r="V750" s="3">
        <v>2</v>
      </c>
    </row>
    <row r="751" spans="1:22" x14ac:dyDescent="0.3">
      <c r="A751" s="2" t="s">
        <v>1953</v>
      </c>
      <c r="B751" s="10">
        <v>44166</v>
      </c>
      <c r="C751" s="22">
        <v>44166</v>
      </c>
      <c r="D751" s="1" t="s">
        <v>1954</v>
      </c>
      <c r="E751" s="1" t="s">
        <v>1955</v>
      </c>
      <c r="F751" s="1">
        <v>38</v>
      </c>
      <c r="G751" s="1" t="s">
        <v>24</v>
      </c>
      <c r="H751" s="1" t="s">
        <v>74</v>
      </c>
      <c r="I751" s="1" t="s">
        <v>101</v>
      </c>
      <c r="J751" s="1" t="s">
        <v>44</v>
      </c>
      <c r="K751" s="1" t="s">
        <v>50</v>
      </c>
      <c r="L751" s="1">
        <v>10</v>
      </c>
      <c r="M751" s="13">
        <v>19507.14</v>
      </c>
      <c r="N751" s="15">
        <v>0.23</v>
      </c>
      <c r="O751" s="13">
        <v>102410.73</v>
      </c>
      <c r="P751" s="13">
        <v>29631.5</v>
      </c>
      <c r="Q751" s="13">
        <v>47.48</v>
      </c>
      <c r="R751" s="1" t="s">
        <v>29</v>
      </c>
      <c r="S751" s="1">
        <v>2</v>
      </c>
      <c r="T751" s="1" t="b">
        <v>1</v>
      </c>
      <c r="U751" s="1" t="s">
        <v>30</v>
      </c>
      <c r="V751" s="3">
        <v>2</v>
      </c>
    </row>
    <row r="752" spans="1:22" x14ac:dyDescent="0.3">
      <c r="A752" s="2" t="s">
        <v>1956</v>
      </c>
      <c r="B752" s="10">
        <v>44303</v>
      </c>
      <c r="C752" s="22">
        <v>44303</v>
      </c>
      <c r="D752" s="1" t="s">
        <v>1957</v>
      </c>
      <c r="E752" s="1" t="s">
        <v>96</v>
      </c>
      <c r="F752" s="1">
        <v>26</v>
      </c>
      <c r="G752" s="1" t="s">
        <v>24</v>
      </c>
      <c r="H752" s="1" t="s">
        <v>111</v>
      </c>
      <c r="I752" s="1" t="s">
        <v>330</v>
      </c>
      <c r="J752" s="1" t="s">
        <v>27</v>
      </c>
      <c r="K752" s="1" t="s">
        <v>400</v>
      </c>
      <c r="L752" s="1">
        <v>7</v>
      </c>
      <c r="M752" s="13">
        <v>481.39</v>
      </c>
      <c r="N752" s="15">
        <v>0.2</v>
      </c>
      <c r="O752" s="13">
        <v>3271.29</v>
      </c>
      <c r="P752" s="13">
        <v>361.25</v>
      </c>
      <c r="Q752" s="13">
        <v>82.25</v>
      </c>
      <c r="R752" s="1" t="s">
        <v>57</v>
      </c>
      <c r="S752" s="1">
        <v>1</v>
      </c>
      <c r="T752" s="1" t="b">
        <v>0</v>
      </c>
      <c r="U752" s="1" t="s">
        <v>39</v>
      </c>
      <c r="V752" s="3">
        <v>7</v>
      </c>
    </row>
    <row r="753" spans="1:22" x14ac:dyDescent="0.3">
      <c r="A753" s="2" t="s">
        <v>1958</v>
      </c>
      <c r="B753" s="10">
        <v>45240</v>
      </c>
      <c r="C753" s="22">
        <v>45240</v>
      </c>
      <c r="D753" s="1" t="s">
        <v>1959</v>
      </c>
      <c r="E753" s="1" t="s">
        <v>378</v>
      </c>
      <c r="F753" s="1">
        <v>23</v>
      </c>
      <c r="G753" s="1" t="s">
        <v>24</v>
      </c>
      <c r="H753" s="1" t="s">
        <v>74</v>
      </c>
      <c r="I753" s="1" t="s">
        <v>192</v>
      </c>
      <c r="J753" s="1" t="s">
        <v>44</v>
      </c>
      <c r="K753" s="1" t="s">
        <v>93</v>
      </c>
      <c r="L753" s="1">
        <v>7</v>
      </c>
      <c r="M753" s="13">
        <v>31424.240000000002</v>
      </c>
      <c r="N753" s="15">
        <v>0.31</v>
      </c>
      <c r="O753" s="13">
        <v>128843.9</v>
      </c>
      <c r="P753" s="13">
        <v>46085.23</v>
      </c>
      <c r="Q753" s="13">
        <v>53.66</v>
      </c>
      <c r="R753" s="1" t="s">
        <v>29</v>
      </c>
      <c r="S753" s="1">
        <v>5</v>
      </c>
      <c r="T753" s="1" t="b">
        <v>0</v>
      </c>
      <c r="U753" s="1" t="s">
        <v>197</v>
      </c>
      <c r="V753" s="3">
        <v>8</v>
      </c>
    </row>
    <row r="754" spans="1:22" x14ac:dyDescent="0.3">
      <c r="A754" s="2" t="s">
        <v>1960</v>
      </c>
      <c r="B754" s="10">
        <v>44335</v>
      </c>
      <c r="C754" s="22">
        <v>44335</v>
      </c>
      <c r="D754" s="1" t="s">
        <v>1961</v>
      </c>
      <c r="E754" s="1" t="s">
        <v>329</v>
      </c>
      <c r="F754" s="1">
        <v>30</v>
      </c>
      <c r="G754" s="1" t="s">
        <v>34</v>
      </c>
      <c r="H754" s="1" t="s">
        <v>25</v>
      </c>
      <c r="I754" s="1" t="s">
        <v>69</v>
      </c>
      <c r="J754" s="1" t="s">
        <v>44</v>
      </c>
      <c r="K754" s="1" t="s">
        <v>93</v>
      </c>
      <c r="L754" s="1">
        <v>4</v>
      </c>
      <c r="M754" s="13">
        <v>3717.76</v>
      </c>
      <c r="N754" s="15">
        <v>0.18</v>
      </c>
      <c r="O754" s="13">
        <v>16660.91</v>
      </c>
      <c r="P754" s="13">
        <v>4463.8999999999996</v>
      </c>
      <c r="Q754" s="13">
        <v>8.31</v>
      </c>
      <c r="R754" s="1" t="s">
        <v>51</v>
      </c>
      <c r="S754" s="1">
        <v>2</v>
      </c>
      <c r="T754" s="1" t="b">
        <v>0</v>
      </c>
      <c r="U754" s="1" t="s">
        <v>84</v>
      </c>
      <c r="V754" s="3">
        <v>9</v>
      </c>
    </row>
    <row r="755" spans="1:22" x14ac:dyDescent="0.3">
      <c r="A755" s="2" t="s">
        <v>1962</v>
      </c>
      <c r="B755" s="10">
        <v>44528</v>
      </c>
      <c r="C755" s="22">
        <v>44528</v>
      </c>
      <c r="D755" s="1" t="s">
        <v>1963</v>
      </c>
      <c r="E755" s="1" t="s">
        <v>566</v>
      </c>
      <c r="F755" s="1">
        <v>26</v>
      </c>
      <c r="G755" s="1" t="s">
        <v>68</v>
      </c>
      <c r="H755" s="1" t="s">
        <v>82</v>
      </c>
      <c r="I755" s="1" t="s">
        <v>83</v>
      </c>
      <c r="J755" s="1" t="s">
        <v>62</v>
      </c>
      <c r="K755" s="1" t="s">
        <v>283</v>
      </c>
      <c r="L755" s="1">
        <v>6</v>
      </c>
      <c r="M755" s="13">
        <v>730.36</v>
      </c>
      <c r="N755" s="15">
        <v>0.27</v>
      </c>
      <c r="O755" s="13">
        <v>2369.15</v>
      </c>
      <c r="P755" s="13">
        <v>1034.9100000000001</v>
      </c>
      <c r="Q755" s="13">
        <v>94.11</v>
      </c>
      <c r="R755" s="1" t="s">
        <v>64</v>
      </c>
      <c r="S755" s="1">
        <v>3</v>
      </c>
      <c r="T755" s="1" t="b">
        <v>0</v>
      </c>
      <c r="U755" s="1" t="s">
        <v>39</v>
      </c>
      <c r="V755" s="3">
        <v>8</v>
      </c>
    </row>
    <row r="756" spans="1:22" x14ac:dyDescent="0.3">
      <c r="A756" s="2" t="s">
        <v>1964</v>
      </c>
      <c r="B756" s="10">
        <v>43865</v>
      </c>
      <c r="C756" s="22">
        <v>43865</v>
      </c>
      <c r="D756" s="1" t="s">
        <v>1965</v>
      </c>
      <c r="E756" s="1" t="s">
        <v>1039</v>
      </c>
      <c r="F756" s="1">
        <v>19</v>
      </c>
      <c r="G756" s="1" t="s">
        <v>88</v>
      </c>
      <c r="H756" s="1" t="s">
        <v>111</v>
      </c>
      <c r="I756" s="1" t="s">
        <v>330</v>
      </c>
      <c r="J756" s="1" t="s">
        <v>44</v>
      </c>
      <c r="K756" s="1" t="s">
        <v>221</v>
      </c>
      <c r="L756" s="1">
        <v>9</v>
      </c>
      <c r="M756" s="13">
        <v>31457.07</v>
      </c>
      <c r="N756" s="15">
        <v>0.1</v>
      </c>
      <c r="O756" s="13">
        <v>190620.36</v>
      </c>
      <c r="P756" s="13">
        <v>52175.19</v>
      </c>
      <c r="Q756" s="13">
        <v>103.27</v>
      </c>
      <c r="R756" s="1" t="s">
        <v>64</v>
      </c>
      <c r="S756" s="1">
        <v>3</v>
      </c>
      <c r="T756" s="1" t="b">
        <v>0</v>
      </c>
      <c r="U756" s="1" t="s">
        <v>39</v>
      </c>
      <c r="V756" s="3">
        <v>6</v>
      </c>
    </row>
    <row r="757" spans="1:22" x14ac:dyDescent="0.3">
      <c r="A757" s="2" t="s">
        <v>1966</v>
      </c>
      <c r="B757" s="10">
        <v>44310</v>
      </c>
      <c r="C757" s="22">
        <v>44310</v>
      </c>
      <c r="D757" s="1" t="s">
        <v>1967</v>
      </c>
      <c r="E757" s="1" t="s">
        <v>1586</v>
      </c>
      <c r="F757" s="1">
        <v>21</v>
      </c>
      <c r="G757" s="1" t="s">
        <v>68</v>
      </c>
      <c r="H757" s="1" t="s">
        <v>25</v>
      </c>
      <c r="I757" s="1" t="s">
        <v>55</v>
      </c>
      <c r="J757" s="1" t="s">
        <v>76</v>
      </c>
      <c r="K757" s="1" t="s">
        <v>89</v>
      </c>
      <c r="L757" s="1">
        <v>9</v>
      </c>
      <c r="M757" s="13">
        <v>905.46</v>
      </c>
      <c r="N757" s="15">
        <v>0.26</v>
      </c>
      <c r="O757" s="13">
        <v>6527.94</v>
      </c>
      <c r="P757" s="13">
        <v>2985.32</v>
      </c>
      <c r="Q757" s="13">
        <v>40.75</v>
      </c>
      <c r="R757" s="1" t="s">
        <v>57</v>
      </c>
      <c r="S757" s="1">
        <v>3</v>
      </c>
      <c r="T757" s="1" t="b">
        <v>1</v>
      </c>
      <c r="U757" s="1" t="s">
        <v>30</v>
      </c>
      <c r="V757" s="3">
        <v>2</v>
      </c>
    </row>
    <row r="758" spans="1:22" x14ac:dyDescent="0.3">
      <c r="A758" s="2" t="s">
        <v>1968</v>
      </c>
      <c r="B758" s="10">
        <v>44206</v>
      </c>
      <c r="C758" s="22">
        <v>44206</v>
      </c>
      <c r="D758" s="1" t="s">
        <v>1969</v>
      </c>
      <c r="E758" s="1" t="s">
        <v>390</v>
      </c>
      <c r="F758" s="1">
        <v>36</v>
      </c>
      <c r="G758" s="1" t="s">
        <v>34</v>
      </c>
      <c r="H758" s="1" t="s">
        <v>35</v>
      </c>
      <c r="I758" s="1" t="s">
        <v>36</v>
      </c>
      <c r="J758" s="1" t="s">
        <v>76</v>
      </c>
      <c r="K758" s="1" t="s">
        <v>113</v>
      </c>
      <c r="L758" s="1">
        <v>1</v>
      </c>
      <c r="M758" s="13">
        <v>3433.94</v>
      </c>
      <c r="N758" s="15">
        <v>0.3</v>
      </c>
      <c r="O758" s="13">
        <v>1813.71</v>
      </c>
      <c r="P758" s="13">
        <v>609.25</v>
      </c>
      <c r="Q758" s="13">
        <v>67.739999999999995</v>
      </c>
      <c r="R758" s="1" t="s">
        <v>51</v>
      </c>
      <c r="S758" s="1">
        <v>3</v>
      </c>
      <c r="T758" s="1" t="b">
        <v>0</v>
      </c>
      <c r="U758" s="1" t="s">
        <v>39</v>
      </c>
      <c r="V758" s="3">
        <v>1</v>
      </c>
    </row>
    <row r="759" spans="1:22" x14ac:dyDescent="0.3">
      <c r="A759" s="2" t="s">
        <v>1970</v>
      </c>
      <c r="B759" s="10">
        <v>45386</v>
      </c>
      <c r="C759" s="22">
        <v>45386</v>
      </c>
      <c r="D759" s="1" t="s">
        <v>1971</v>
      </c>
      <c r="E759" s="1" t="s">
        <v>499</v>
      </c>
      <c r="F759" s="1">
        <v>17</v>
      </c>
      <c r="G759" s="1" t="s">
        <v>24</v>
      </c>
      <c r="H759" s="1" t="s">
        <v>82</v>
      </c>
      <c r="I759" s="1" t="s">
        <v>126</v>
      </c>
      <c r="J759" s="1" t="s">
        <v>44</v>
      </c>
      <c r="K759" s="1" t="s">
        <v>50</v>
      </c>
      <c r="L759" s="1">
        <v>5</v>
      </c>
      <c r="M759" s="13">
        <v>7466.4</v>
      </c>
      <c r="N759" s="15">
        <v>0.13</v>
      </c>
      <c r="O759" s="13">
        <v>9242.24</v>
      </c>
      <c r="P759" s="13">
        <v>2505.04</v>
      </c>
      <c r="Q759" s="13">
        <v>73.709999999999994</v>
      </c>
      <c r="R759" s="1" t="s">
        <v>64</v>
      </c>
      <c r="S759" s="1">
        <v>2</v>
      </c>
      <c r="T759" s="1" t="b">
        <v>1</v>
      </c>
      <c r="U759" s="1" t="s">
        <v>30</v>
      </c>
      <c r="V759" s="3">
        <v>10</v>
      </c>
    </row>
    <row r="760" spans="1:22" x14ac:dyDescent="0.3">
      <c r="A760" s="2" t="s">
        <v>1972</v>
      </c>
      <c r="B760" s="10">
        <v>44393</v>
      </c>
      <c r="C760" s="22">
        <v>44393</v>
      </c>
      <c r="D760" s="1" t="s">
        <v>1973</v>
      </c>
      <c r="E760" s="1" t="s">
        <v>1591</v>
      </c>
      <c r="F760" s="1">
        <v>28</v>
      </c>
      <c r="G760" s="1" t="s">
        <v>24</v>
      </c>
      <c r="H760" s="1" t="s">
        <v>35</v>
      </c>
      <c r="I760" s="1" t="s">
        <v>43</v>
      </c>
      <c r="J760" s="1" t="s">
        <v>76</v>
      </c>
      <c r="K760" s="1" t="s">
        <v>122</v>
      </c>
      <c r="L760" s="1">
        <v>3</v>
      </c>
      <c r="M760" s="13">
        <v>1871.08</v>
      </c>
      <c r="N760" s="15">
        <v>0.03</v>
      </c>
      <c r="O760" s="13">
        <v>7720.71</v>
      </c>
      <c r="P760" s="13">
        <v>2716.63</v>
      </c>
      <c r="Q760" s="13">
        <v>65.48</v>
      </c>
      <c r="R760" s="1" t="s">
        <v>64</v>
      </c>
      <c r="S760" s="1">
        <v>1</v>
      </c>
      <c r="T760" s="1" t="b">
        <v>0</v>
      </c>
      <c r="U760" s="1" t="s">
        <v>197</v>
      </c>
      <c r="V760" s="3">
        <v>7</v>
      </c>
    </row>
    <row r="761" spans="1:22" x14ac:dyDescent="0.3">
      <c r="A761" s="2" t="s">
        <v>1974</v>
      </c>
      <c r="B761" s="10">
        <v>44126</v>
      </c>
      <c r="C761" s="22">
        <v>44126</v>
      </c>
      <c r="D761" s="1" t="s">
        <v>1975</v>
      </c>
      <c r="E761" s="1" t="s">
        <v>426</v>
      </c>
      <c r="F761" s="1">
        <v>21</v>
      </c>
      <c r="G761" s="1" t="s">
        <v>34</v>
      </c>
      <c r="H761" s="1" t="s">
        <v>82</v>
      </c>
      <c r="I761" s="1" t="s">
        <v>293</v>
      </c>
      <c r="J761" s="1" t="s">
        <v>127</v>
      </c>
      <c r="K761" s="1" t="s">
        <v>517</v>
      </c>
      <c r="L761" s="1">
        <v>7</v>
      </c>
      <c r="M761" s="13">
        <v>53035.199999999997</v>
      </c>
      <c r="N761" s="15">
        <v>0.26</v>
      </c>
      <c r="O761" s="13">
        <v>212011.56</v>
      </c>
      <c r="P761" s="13">
        <v>26192.61</v>
      </c>
      <c r="Q761" s="13">
        <v>82.3</v>
      </c>
      <c r="R761" s="1" t="s">
        <v>78</v>
      </c>
      <c r="S761" s="1">
        <v>1</v>
      </c>
      <c r="T761" s="1" t="b">
        <v>1</v>
      </c>
      <c r="U761" s="1" t="s">
        <v>30</v>
      </c>
      <c r="V761" s="3">
        <v>6</v>
      </c>
    </row>
    <row r="762" spans="1:22" x14ac:dyDescent="0.3">
      <c r="A762" s="2" t="s">
        <v>1976</v>
      </c>
      <c r="B762" s="10">
        <v>44226</v>
      </c>
      <c r="C762" s="22">
        <v>44226</v>
      </c>
      <c r="D762" s="1" t="s">
        <v>1977</v>
      </c>
      <c r="E762" s="1" t="s">
        <v>1978</v>
      </c>
      <c r="F762" s="1">
        <v>59</v>
      </c>
      <c r="G762" s="1" t="s">
        <v>34</v>
      </c>
      <c r="H762" s="1" t="s">
        <v>25</v>
      </c>
      <c r="I762" s="1" t="s">
        <v>69</v>
      </c>
      <c r="J762" s="1" t="s">
        <v>127</v>
      </c>
      <c r="K762" s="1" t="s">
        <v>128</v>
      </c>
      <c r="L762" s="1">
        <v>3</v>
      </c>
      <c r="M762" s="13">
        <v>69155.55</v>
      </c>
      <c r="N762" s="15">
        <v>0.25</v>
      </c>
      <c r="O762" s="13">
        <v>102960.53</v>
      </c>
      <c r="P762" s="13">
        <v>11911.08</v>
      </c>
      <c r="Q762" s="13">
        <v>54.42</v>
      </c>
      <c r="R762" s="1" t="s">
        <v>51</v>
      </c>
      <c r="S762" s="1">
        <v>3</v>
      </c>
      <c r="T762" s="1" t="b">
        <v>0</v>
      </c>
      <c r="U762" s="1" t="s">
        <v>39</v>
      </c>
      <c r="V762" s="3">
        <v>9</v>
      </c>
    </row>
    <row r="763" spans="1:22" x14ac:dyDescent="0.3">
      <c r="A763" s="2" t="s">
        <v>1979</v>
      </c>
      <c r="B763" s="10">
        <v>44987</v>
      </c>
      <c r="C763" s="22">
        <v>44987</v>
      </c>
      <c r="D763" s="1" t="s">
        <v>1980</v>
      </c>
      <c r="E763" s="1" t="s">
        <v>1555</v>
      </c>
      <c r="F763" s="1">
        <v>27</v>
      </c>
      <c r="G763" s="1" t="s">
        <v>34</v>
      </c>
      <c r="H763" s="1" t="s">
        <v>74</v>
      </c>
      <c r="I763" s="1" t="s">
        <v>136</v>
      </c>
      <c r="J763" s="1" t="s">
        <v>37</v>
      </c>
      <c r="K763" s="1" t="s">
        <v>182</v>
      </c>
      <c r="L763" s="1">
        <v>2</v>
      </c>
      <c r="M763" s="13">
        <v>920.67</v>
      </c>
      <c r="N763" s="15">
        <v>0.24</v>
      </c>
      <c r="O763" s="13">
        <v>1821.82</v>
      </c>
      <c r="P763" s="13">
        <v>918.21</v>
      </c>
      <c r="Q763" s="13">
        <v>61.3</v>
      </c>
      <c r="R763" s="1" t="s">
        <v>70</v>
      </c>
      <c r="S763" s="1">
        <v>4</v>
      </c>
      <c r="T763" s="1" t="b">
        <v>0</v>
      </c>
      <c r="U763" s="1" t="s">
        <v>39</v>
      </c>
      <c r="V763" s="3">
        <v>3</v>
      </c>
    </row>
    <row r="764" spans="1:22" x14ac:dyDescent="0.3">
      <c r="A764" s="2" t="s">
        <v>1981</v>
      </c>
      <c r="B764" s="10">
        <v>44515</v>
      </c>
      <c r="C764" s="22">
        <v>44515</v>
      </c>
      <c r="D764" s="1" t="s">
        <v>1982</v>
      </c>
      <c r="E764" s="1" t="s">
        <v>1983</v>
      </c>
      <c r="F764" s="1">
        <v>39</v>
      </c>
      <c r="G764" s="1" t="s">
        <v>68</v>
      </c>
      <c r="H764" s="1" t="s">
        <v>25</v>
      </c>
      <c r="I764" s="1" t="s">
        <v>170</v>
      </c>
      <c r="J764" s="1" t="s">
        <v>27</v>
      </c>
      <c r="K764" s="1" t="s">
        <v>400</v>
      </c>
      <c r="L764" s="1">
        <v>2</v>
      </c>
      <c r="M764" s="13">
        <v>260.24</v>
      </c>
      <c r="N764" s="15">
        <v>0.22</v>
      </c>
      <c r="O764" s="13">
        <v>245.84</v>
      </c>
      <c r="P764" s="13">
        <v>24.47</v>
      </c>
      <c r="Q764" s="13">
        <v>73.44</v>
      </c>
      <c r="R764" s="1" t="s">
        <v>78</v>
      </c>
      <c r="S764" s="1">
        <v>5</v>
      </c>
      <c r="T764" s="1" t="b">
        <v>0</v>
      </c>
      <c r="U764" s="1" t="s">
        <v>39</v>
      </c>
      <c r="V764" s="3">
        <v>2</v>
      </c>
    </row>
    <row r="765" spans="1:22" x14ac:dyDescent="0.3">
      <c r="A765" s="2" t="s">
        <v>1984</v>
      </c>
      <c r="B765" s="10">
        <v>44043</v>
      </c>
      <c r="C765" s="22">
        <v>44043</v>
      </c>
      <c r="D765" s="1" t="s">
        <v>1985</v>
      </c>
      <c r="E765" s="1" t="s">
        <v>269</v>
      </c>
      <c r="F765" s="1">
        <v>28</v>
      </c>
      <c r="G765" s="1" t="s">
        <v>68</v>
      </c>
      <c r="H765" s="1" t="s">
        <v>35</v>
      </c>
      <c r="I765" s="1" t="s">
        <v>49</v>
      </c>
      <c r="J765" s="1" t="s">
        <v>76</v>
      </c>
      <c r="K765" s="1" t="s">
        <v>132</v>
      </c>
      <c r="L765" s="1">
        <v>8</v>
      </c>
      <c r="M765" s="13">
        <v>3369.18</v>
      </c>
      <c r="N765" s="15">
        <v>0.05</v>
      </c>
      <c r="O765" s="13">
        <v>29990.07</v>
      </c>
      <c r="P765" s="13">
        <v>10760.08</v>
      </c>
      <c r="Q765" s="13">
        <v>65.099999999999994</v>
      </c>
      <c r="R765" s="1" t="s">
        <v>78</v>
      </c>
      <c r="S765" s="1">
        <v>3</v>
      </c>
      <c r="T765" s="1" t="b">
        <v>0</v>
      </c>
      <c r="U765" s="1" t="s">
        <v>197</v>
      </c>
      <c r="V765" s="3">
        <v>10</v>
      </c>
    </row>
    <row r="766" spans="1:22" x14ac:dyDescent="0.3">
      <c r="A766" s="2" t="s">
        <v>1986</v>
      </c>
      <c r="B766" s="10">
        <v>45543</v>
      </c>
      <c r="C766" s="22">
        <v>45543</v>
      </c>
      <c r="D766" s="1" t="s">
        <v>1987</v>
      </c>
      <c r="E766" s="1" t="s">
        <v>1047</v>
      </c>
      <c r="F766" s="1">
        <v>25</v>
      </c>
      <c r="G766" s="1" t="s">
        <v>68</v>
      </c>
      <c r="H766" s="1" t="s">
        <v>111</v>
      </c>
      <c r="I766" s="1" t="s">
        <v>121</v>
      </c>
      <c r="J766" s="1" t="s">
        <v>27</v>
      </c>
      <c r="K766" s="1" t="s">
        <v>28</v>
      </c>
      <c r="L766" s="1">
        <v>3</v>
      </c>
      <c r="M766" s="13">
        <v>449.53</v>
      </c>
      <c r="N766" s="15">
        <v>0.2</v>
      </c>
      <c r="O766" s="13">
        <v>1417.4</v>
      </c>
      <c r="P766" s="13">
        <v>70.52</v>
      </c>
      <c r="Q766" s="13">
        <v>77.45</v>
      </c>
      <c r="R766" s="1" t="s">
        <v>78</v>
      </c>
      <c r="S766" s="1">
        <v>4</v>
      </c>
      <c r="T766" s="1" t="b">
        <v>0</v>
      </c>
      <c r="U766" s="1" t="s">
        <v>58</v>
      </c>
      <c r="V766" s="3">
        <v>10</v>
      </c>
    </row>
    <row r="767" spans="1:22" x14ac:dyDescent="0.3">
      <c r="A767" s="2" t="s">
        <v>1988</v>
      </c>
      <c r="B767" s="10">
        <v>44655</v>
      </c>
      <c r="C767" s="22">
        <v>44655</v>
      </c>
      <c r="D767" s="1" t="s">
        <v>1989</v>
      </c>
      <c r="E767" s="1" t="s">
        <v>453</v>
      </c>
      <c r="F767" s="1">
        <v>45</v>
      </c>
      <c r="G767" s="1" t="s">
        <v>24</v>
      </c>
      <c r="H767" s="1" t="s">
        <v>82</v>
      </c>
      <c r="I767" s="1" t="s">
        <v>293</v>
      </c>
      <c r="J767" s="1" t="s">
        <v>146</v>
      </c>
      <c r="K767" s="1" t="s">
        <v>161</v>
      </c>
      <c r="L767" s="1">
        <v>3</v>
      </c>
      <c r="M767" s="13">
        <v>1955.47</v>
      </c>
      <c r="N767" s="15">
        <v>0.16</v>
      </c>
      <c r="O767" s="13">
        <v>6238.78</v>
      </c>
      <c r="P767" s="13">
        <v>1430</v>
      </c>
      <c r="Q767" s="13">
        <v>93.12</v>
      </c>
      <c r="R767" s="1" t="s">
        <v>64</v>
      </c>
      <c r="S767" s="1">
        <v>3</v>
      </c>
      <c r="T767" s="1" t="b">
        <v>0</v>
      </c>
      <c r="U767" s="1" t="s">
        <v>137</v>
      </c>
      <c r="V767" s="3">
        <v>3</v>
      </c>
    </row>
    <row r="768" spans="1:22" x14ac:dyDescent="0.3">
      <c r="A768" s="2" t="s">
        <v>1990</v>
      </c>
      <c r="B768" s="10">
        <v>45206</v>
      </c>
      <c r="C768" s="22">
        <v>45206</v>
      </c>
      <c r="D768" s="1" t="s">
        <v>1991</v>
      </c>
      <c r="E768" s="1" t="s">
        <v>1586</v>
      </c>
      <c r="F768" s="1">
        <v>22</v>
      </c>
      <c r="G768" s="1" t="s">
        <v>34</v>
      </c>
      <c r="H768" s="1" t="s">
        <v>74</v>
      </c>
      <c r="I768" s="1" t="s">
        <v>101</v>
      </c>
      <c r="J768" s="1" t="s">
        <v>27</v>
      </c>
      <c r="K768" s="1" t="s">
        <v>430</v>
      </c>
      <c r="L768" s="1">
        <v>2</v>
      </c>
      <c r="M768" s="13">
        <v>216.82</v>
      </c>
      <c r="N768" s="15">
        <v>0.28000000000000003</v>
      </c>
      <c r="O768" s="13">
        <v>255.27</v>
      </c>
      <c r="P768" s="13">
        <v>22.97</v>
      </c>
      <c r="Q768" s="13">
        <v>53.52</v>
      </c>
      <c r="R768" s="1" t="s">
        <v>57</v>
      </c>
      <c r="S768" s="1">
        <v>5</v>
      </c>
      <c r="T768" s="1" t="b">
        <v>1</v>
      </c>
      <c r="U768" s="1" t="s">
        <v>30</v>
      </c>
      <c r="V768" s="3">
        <v>4</v>
      </c>
    </row>
    <row r="769" spans="1:22" x14ac:dyDescent="0.3">
      <c r="A769" s="2" t="s">
        <v>1992</v>
      </c>
      <c r="B769" s="10">
        <v>44086</v>
      </c>
      <c r="C769" s="22">
        <v>44086</v>
      </c>
      <c r="D769" s="1" t="s">
        <v>1993</v>
      </c>
      <c r="E769" s="1" t="s">
        <v>1128</v>
      </c>
      <c r="F769" s="1">
        <v>46</v>
      </c>
      <c r="G769" s="1" t="s">
        <v>24</v>
      </c>
      <c r="H769" s="1" t="s">
        <v>74</v>
      </c>
      <c r="I769" s="1" t="s">
        <v>101</v>
      </c>
      <c r="J769" s="1" t="s">
        <v>146</v>
      </c>
      <c r="K769" s="1" t="s">
        <v>484</v>
      </c>
      <c r="L769" s="1">
        <v>2</v>
      </c>
      <c r="M769" s="13">
        <v>7907.75</v>
      </c>
      <c r="N769" s="15">
        <v>0.23</v>
      </c>
      <c r="O769" s="13">
        <v>11417.09</v>
      </c>
      <c r="P769" s="13">
        <v>2439.2600000000002</v>
      </c>
      <c r="Q769" s="13">
        <v>30.79</v>
      </c>
      <c r="R769" s="1" t="s">
        <v>78</v>
      </c>
      <c r="S769" s="1">
        <v>4</v>
      </c>
      <c r="T769" s="1" t="b">
        <v>0</v>
      </c>
      <c r="U769" s="1" t="s">
        <v>58</v>
      </c>
      <c r="V769" s="3">
        <v>10</v>
      </c>
    </row>
    <row r="770" spans="1:22" x14ac:dyDescent="0.3">
      <c r="A770" s="2" t="s">
        <v>1994</v>
      </c>
      <c r="B770" s="10">
        <v>43984</v>
      </c>
      <c r="C770" s="22">
        <v>43984</v>
      </c>
      <c r="D770" s="1" t="s">
        <v>1995</v>
      </c>
      <c r="E770" s="1" t="s">
        <v>1996</v>
      </c>
      <c r="F770" s="1">
        <v>30</v>
      </c>
      <c r="G770" s="1" t="s">
        <v>34</v>
      </c>
      <c r="H770" s="1" t="s">
        <v>25</v>
      </c>
      <c r="I770" s="1" t="s">
        <v>55</v>
      </c>
      <c r="J770" s="1" t="s">
        <v>37</v>
      </c>
      <c r="K770" s="1" t="s">
        <v>231</v>
      </c>
      <c r="L770" s="1">
        <v>5</v>
      </c>
      <c r="M770" s="13">
        <v>1398.56</v>
      </c>
      <c r="N770" s="15">
        <v>0.11</v>
      </c>
      <c r="O770" s="13">
        <v>5755.36</v>
      </c>
      <c r="P770" s="13">
        <v>2371.83</v>
      </c>
      <c r="Q770" s="13">
        <v>41.33</v>
      </c>
      <c r="R770" s="1" t="s">
        <v>64</v>
      </c>
      <c r="S770" s="1">
        <v>1</v>
      </c>
      <c r="T770" s="1" t="b">
        <v>0</v>
      </c>
      <c r="U770" s="1" t="s">
        <v>39</v>
      </c>
      <c r="V770" s="3">
        <v>2</v>
      </c>
    </row>
    <row r="771" spans="1:22" x14ac:dyDescent="0.3">
      <c r="A771" s="2" t="s">
        <v>1997</v>
      </c>
      <c r="B771" s="10">
        <v>43995</v>
      </c>
      <c r="C771" s="22">
        <v>43995</v>
      </c>
      <c r="D771" s="1" t="s">
        <v>1998</v>
      </c>
      <c r="E771" s="1" t="s">
        <v>265</v>
      </c>
      <c r="F771" s="1">
        <v>18</v>
      </c>
      <c r="G771" s="1" t="s">
        <v>68</v>
      </c>
      <c r="H771" s="1" t="s">
        <v>111</v>
      </c>
      <c r="I771" s="1" t="s">
        <v>330</v>
      </c>
      <c r="J771" s="1" t="s">
        <v>27</v>
      </c>
      <c r="K771" s="1" t="s">
        <v>28</v>
      </c>
      <c r="L771" s="1">
        <v>9</v>
      </c>
      <c r="M771" s="13">
        <v>264.60000000000002</v>
      </c>
      <c r="N771" s="15">
        <v>0.39</v>
      </c>
      <c r="O771" s="13">
        <v>1805.25</v>
      </c>
      <c r="P771" s="13">
        <v>107.92</v>
      </c>
      <c r="Q771" s="13">
        <v>70.83</v>
      </c>
      <c r="R771" s="1" t="s">
        <v>29</v>
      </c>
      <c r="S771" s="1">
        <v>5</v>
      </c>
      <c r="T771" s="1" t="b">
        <v>0</v>
      </c>
      <c r="U771" s="1" t="s">
        <v>39</v>
      </c>
      <c r="V771" s="3">
        <v>1</v>
      </c>
    </row>
    <row r="772" spans="1:22" x14ac:dyDescent="0.3">
      <c r="A772" s="2" t="s">
        <v>1999</v>
      </c>
      <c r="B772" s="10">
        <v>44424</v>
      </c>
      <c r="C772" s="22">
        <v>44424</v>
      </c>
      <c r="D772" s="1" t="s">
        <v>2000</v>
      </c>
      <c r="E772" s="1" t="s">
        <v>2001</v>
      </c>
      <c r="F772" s="1">
        <v>42</v>
      </c>
      <c r="G772" s="1" t="s">
        <v>68</v>
      </c>
      <c r="H772" s="1" t="s">
        <v>25</v>
      </c>
      <c r="I772" s="1" t="s">
        <v>69</v>
      </c>
      <c r="J772" s="1" t="s">
        <v>62</v>
      </c>
      <c r="K772" s="1" t="s">
        <v>63</v>
      </c>
      <c r="L772" s="1">
        <v>3</v>
      </c>
      <c r="M772" s="13">
        <v>886.35</v>
      </c>
      <c r="N772" s="15">
        <v>0.25</v>
      </c>
      <c r="O772" s="13">
        <v>2878.52</v>
      </c>
      <c r="P772" s="13">
        <v>1205.8900000000001</v>
      </c>
      <c r="Q772" s="13">
        <v>51.22</v>
      </c>
      <c r="R772" s="1" t="s">
        <v>51</v>
      </c>
      <c r="S772" s="1">
        <v>1</v>
      </c>
      <c r="T772" s="1" t="b">
        <v>0</v>
      </c>
      <c r="U772" s="1" t="s">
        <v>39</v>
      </c>
      <c r="V772" s="3">
        <v>6</v>
      </c>
    </row>
    <row r="773" spans="1:22" x14ac:dyDescent="0.3">
      <c r="A773" s="2" t="s">
        <v>2002</v>
      </c>
      <c r="B773" s="10">
        <v>45317</v>
      </c>
      <c r="C773" s="22">
        <v>45317</v>
      </c>
      <c r="D773" s="1" t="s">
        <v>2003</v>
      </c>
      <c r="E773" s="1" t="s">
        <v>2001</v>
      </c>
      <c r="F773" s="1">
        <v>35</v>
      </c>
      <c r="G773" s="1" t="s">
        <v>34</v>
      </c>
      <c r="H773" s="1" t="s">
        <v>35</v>
      </c>
      <c r="I773" s="1" t="s">
        <v>49</v>
      </c>
      <c r="J773" s="1" t="s">
        <v>62</v>
      </c>
      <c r="K773" s="1" t="s">
        <v>283</v>
      </c>
      <c r="L773" s="1">
        <v>6</v>
      </c>
      <c r="M773" s="13">
        <v>589.55999999999995</v>
      </c>
      <c r="N773" s="15">
        <v>0.33</v>
      </c>
      <c r="O773" s="13">
        <v>2123.41</v>
      </c>
      <c r="P773" s="13">
        <v>728.31</v>
      </c>
      <c r="Q773" s="13">
        <v>73.88</v>
      </c>
      <c r="R773" s="1" t="s">
        <v>64</v>
      </c>
      <c r="S773" s="1">
        <v>2</v>
      </c>
      <c r="T773" s="1" t="b">
        <v>1</v>
      </c>
      <c r="U773" s="1" t="s">
        <v>30</v>
      </c>
      <c r="V773" s="3">
        <v>3</v>
      </c>
    </row>
    <row r="774" spans="1:22" x14ac:dyDescent="0.3">
      <c r="A774" s="2" t="s">
        <v>2004</v>
      </c>
      <c r="B774" s="10">
        <v>44711</v>
      </c>
      <c r="C774" s="22">
        <v>44711</v>
      </c>
      <c r="D774" s="1" t="s">
        <v>2005</v>
      </c>
      <c r="E774" s="1" t="s">
        <v>412</v>
      </c>
      <c r="F774" s="1">
        <v>25</v>
      </c>
      <c r="G774" s="1" t="s">
        <v>34</v>
      </c>
      <c r="H774" s="1" t="s">
        <v>82</v>
      </c>
      <c r="I774" s="1" t="s">
        <v>244</v>
      </c>
      <c r="J774" s="1" t="s">
        <v>27</v>
      </c>
      <c r="K774" s="1" t="s">
        <v>430</v>
      </c>
      <c r="L774" s="1">
        <v>9</v>
      </c>
      <c r="M774" s="13">
        <v>363.51</v>
      </c>
      <c r="N774" s="15">
        <v>0.23</v>
      </c>
      <c r="O774" s="13">
        <v>3460.81</v>
      </c>
      <c r="P774" s="13">
        <v>307.14999999999998</v>
      </c>
      <c r="Q774" s="13">
        <v>84.69</v>
      </c>
      <c r="R774" s="1" t="s">
        <v>64</v>
      </c>
      <c r="S774" s="1">
        <v>4</v>
      </c>
      <c r="T774" s="1" t="b">
        <v>1</v>
      </c>
      <c r="U774" s="1" t="s">
        <v>30</v>
      </c>
      <c r="V774" s="3">
        <v>7</v>
      </c>
    </row>
    <row r="775" spans="1:22" x14ac:dyDescent="0.3">
      <c r="A775" s="2" t="s">
        <v>2006</v>
      </c>
      <c r="B775" s="10">
        <v>45078</v>
      </c>
      <c r="C775" s="22">
        <v>45078</v>
      </c>
      <c r="D775" s="1" t="s">
        <v>2007</v>
      </c>
      <c r="E775" s="1" t="s">
        <v>635</v>
      </c>
      <c r="F775" s="1">
        <v>22</v>
      </c>
      <c r="G775" s="1" t="s">
        <v>434</v>
      </c>
      <c r="H775" s="1" t="s">
        <v>74</v>
      </c>
      <c r="I775" s="1" t="s">
        <v>136</v>
      </c>
      <c r="J775" s="1" t="s">
        <v>27</v>
      </c>
      <c r="K775" s="1" t="s">
        <v>450</v>
      </c>
      <c r="L775" s="1">
        <v>6</v>
      </c>
      <c r="M775" s="13">
        <v>303.67</v>
      </c>
      <c r="N775" s="15">
        <v>0.05</v>
      </c>
      <c r="O775" s="13">
        <v>1631.61</v>
      </c>
      <c r="P775" s="13">
        <v>129.1</v>
      </c>
      <c r="Q775" s="13">
        <v>66.2</v>
      </c>
      <c r="R775" s="1" t="s">
        <v>57</v>
      </c>
      <c r="S775" s="1">
        <v>1</v>
      </c>
      <c r="T775" s="1" t="b">
        <v>0</v>
      </c>
      <c r="U775" s="1" t="s">
        <v>58</v>
      </c>
      <c r="V775" s="3">
        <v>7</v>
      </c>
    </row>
    <row r="776" spans="1:22" x14ac:dyDescent="0.3">
      <c r="A776" s="2" t="s">
        <v>2008</v>
      </c>
      <c r="B776" s="10">
        <v>44455</v>
      </c>
      <c r="C776" s="22">
        <v>44455</v>
      </c>
      <c r="D776" s="1" t="s">
        <v>2009</v>
      </c>
      <c r="E776" s="1" t="s">
        <v>513</v>
      </c>
      <c r="F776" s="1">
        <v>52</v>
      </c>
      <c r="G776" s="1" t="s">
        <v>68</v>
      </c>
      <c r="H776" s="1" t="s">
        <v>35</v>
      </c>
      <c r="I776" s="1" t="s">
        <v>43</v>
      </c>
      <c r="J776" s="1" t="s">
        <v>44</v>
      </c>
      <c r="K776" s="1" t="s">
        <v>50</v>
      </c>
      <c r="L776" s="1">
        <v>9</v>
      </c>
      <c r="M776" s="13">
        <v>28138.720000000001</v>
      </c>
      <c r="N776" s="15">
        <v>0</v>
      </c>
      <c r="O776" s="13">
        <v>267856.83</v>
      </c>
      <c r="P776" s="13">
        <v>58224.65</v>
      </c>
      <c r="Q776" s="13">
        <v>61.16</v>
      </c>
      <c r="R776" s="1" t="s">
        <v>29</v>
      </c>
      <c r="S776" s="1">
        <v>4</v>
      </c>
      <c r="T776" s="1" t="b">
        <v>0</v>
      </c>
      <c r="U776" s="1" t="s">
        <v>39</v>
      </c>
      <c r="V776" s="3">
        <v>1</v>
      </c>
    </row>
    <row r="777" spans="1:22" x14ac:dyDescent="0.3">
      <c r="A777" s="2" t="s">
        <v>2010</v>
      </c>
      <c r="B777" s="10">
        <v>44272</v>
      </c>
      <c r="C777" s="22">
        <v>44272</v>
      </c>
      <c r="D777" s="1" t="s">
        <v>2011</v>
      </c>
      <c r="E777" s="1" t="s">
        <v>1387</v>
      </c>
      <c r="F777" s="1">
        <v>17</v>
      </c>
      <c r="G777" s="1" t="s">
        <v>24</v>
      </c>
      <c r="H777" s="1" t="s">
        <v>82</v>
      </c>
      <c r="I777" s="1" t="s">
        <v>126</v>
      </c>
      <c r="J777" s="1" t="s">
        <v>127</v>
      </c>
      <c r="K777" s="1" t="s">
        <v>196</v>
      </c>
      <c r="L777" s="1">
        <v>3</v>
      </c>
      <c r="M777" s="13">
        <v>53597.73</v>
      </c>
      <c r="N777" s="15">
        <v>0.22</v>
      </c>
      <c r="O777" s="13">
        <v>113953.25</v>
      </c>
      <c r="P777" s="13">
        <v>17435</v>
      </c>
      <c r="Q777" s="13">
        <v>77.63</v>
      </c>
      <c r="R777" s="1" t="s">
        <v>78</v>
      </c>
      <c r="S777" s="1">
        <v>2</v>
      </c>
      <c r="T777" s="1" t="b">
        <v>0</v>
      </c>
      <c r="U777" s="1" t="s">
        <v>39</v>
      </c>
      <c r="V777" s="3">
        <v>8</v>
      </c>
    </row>
    <row r="778" spans="1:22" x14ac:dyDescent="0.3">
      <c r="A778" s="2" t="s">
        <v>2012</v>
      </c>
      <c r="B778" s="10">
        <v>44455</v>
      </c>
      <c r="C778" s="22">
        <v>44455</v>
      </c>
      <c r="D778" s="1" t="s">
        <v>2013</v>
      </c>
      <c r="E778" s="1" t="s">
        <v>603</v>
      </c>
      <c r="F778" s="1">
        <v>41</v>
      </c>
      <c r="G778" s="1" t="s">
        <v>34</v>
      </c>
      <c r="H778" s="1" t="s">
        <v>74</v>
      </c>
      <c r="I778" s="1" t="s">
        <v>75</v>
      </c>
      <c r="J778" s="1" t="s">
        <v>146</v>
      </c>
      <c r="K778" s="1" t="s">
        <v>276</v>
      </c>
      <c r="L778" s="1">
        <v>6</v>
      </c>
      <c r="M778" s="13">
        <v>3598.68</v>
      </c>
      <c r="N778" s="15">
        <v>0.09</v>
      </c>
      <c r="O778" s="13">
        <v>22421.86</v>
      </c>
      <c r="P778" s="13">
        <v>6008.67</v>
      </c>
      <c r="Q778" s="13">
        <v>56.7</v>
      </c>
      <c r="R778" s="1" t="s">
        <v>57</v>
      </c>
      <c r="S778" s="1">
        <v>2</v>
      </c>
      <c r="T778" s="1" t="b">
        <v>0</v>
      </c>
      <c r="U778" s="1" t="s">
        <v>39</v>
      </c>
      <c r="V778" s="3">
        <v>8</v>
      </c>
    </row>
    <row r="779" spans="1:22" x14ac:dyDescent="0.3">
      <c r="A779" s="2" t="s">
        <v>2014</v>
      </c>
      <c r="B779" s="10">
        <v>44250</v>
      </c>
      <c r="C779" s="22">
        <v>44250</v>
      </c>
      <c r="D779" s="1" t="s">
        <v>2015</v>
      </c>
      <c r="E779" s="1" t="s">
        <v>540</v>
      </c>
      <c r="F779" s="1">
        <v>33</v>
      </c>
      <c r="G779" s="1" t="s">
        <v>88</v>
      </c>
      <c r="H779" s="1" t="s">
        <v>82</v>
      </c>
      <c r="I779" s="1" t="s">
        <v>293</v>
      </c>
      <c r="J779" s="1" t="s">
        <v>76</v>
      </c>
      <c r="K779" s="1" t="s">
        <v>122</v>
      </c>
      <c r="L779" s="1">
        <v>4</v>
      </c>
      <c r="M779" s="13">
        <v>3257.05</v>
      </c>
      <c r="N779" s="15">
        <v>0.24</v>
      </c>
      <c r="O779" s="13">
        <v>8461.34</v>
      </c>
      <c r="P779" s="13">
        <v>3580.22</v>
      </c>
      <c r="Q779" s="13">
        <v>80.55</v>
      </c>
      <c r="R779" s="1" t="s">
        <v>64</v>
      </c>
      <c r="S779" s="1">
        <v>3</v>
      </c>
      <c r="T779" s="1" t="b">
        <v>0</v>
      </c>
      <c r="U779" s="1" t="s">
        <v>39</v>
      </c>
      <c r="V779" s="3">
        <v>6</v>
      </c>
    </row>
    <row r="780" spans="1:22" x14ac:dyDescent="0.3">
      <c r="A780" s="2" t="s">
        <v>2016</v>
      </c>
      <c r="B780" s="10">
        <v>44548</v>
      </c>
      <c r="C780" s="22">
        <v>44548</v>
      </c>
      <c r="D780" s="1" t="s">
        <v>2017</v>
      </c>
      <c r="E780" s="1" t="s">
        <v>116</v>
      </c>
      <c r="F780" s="1">
        <v>66</v>
      </c>
      <c r="G780" s="1" t="s">
        <v>24</v>
      </c>
      <c r="H780" s="1" t="s">
        <v>74</v>
      </c>
      <c r="I780" s="1" t="s">
        <v>101</v>
      </c>
      <c r="J780" s="1" t="s">
        <v>62</v>
      </c>
      <c r="K780" s="1" t="s">
        <v>570</v>
      </c>
      <c r="L780" s="1">
        <v>5</v>
      </c>
      <c r="M780" s="13">
        <v>199.85</v>
      </c>
      <c r="N780" s="15">
        <v>7.0000000000000007E-2</v>
      </c>
      <c r="O780" s="13">
        <v>616.48</v>
      </c>
      <c r="P780" s="13">
        <v>277.39999999999998</v>
      </c>
      <c r="Q780" s="13">
        <v>37.229999999999997</v>
      </c>
      <c r="R780" s="1" t="s">
        <v>70</v>
      </c>
      <c r="S780" s="1">
        <v>3</v>
      </c>
      <c r="T780" s="1" t="b">
        <v>0</v>
      </c>
      <c r="U780" s="1" t="s">
        <v>39</v>
      </c>
      <c r="V780" s="3">
        <v>2</v>
      </c>
    </row>
    <row r="781" spans="1:22" x14ac:dyDescent="0.3">
      <c r="A781" s="2" t="s">
        <v>2018</v>
      </c>
      <c r="B781" s="10">
        <v>44707</v>
      </c>
      <c r="C781" s="22">
        <v>44707</v>
      </c>
      <c r="D781" s="1" t="s">
        <v>2019</v>
      </c>
      <c r="E781" s="1" t="s">
        <v>403</v>
      </c>
      <c r="F781" s="1">
        <v>26</v>
      </c>
      <c r="G781" s="1" t="s">
        <v>24</v>
      </c>
      <c r="H781" s="1" t="s">
        <v>25</v>
      </c>
      <c r="I781" s="1" t="s">
        <v>55</v>
      </c>
      <c r="J781" s="1" t="s">
        <v>146</v>
      </c>
      <c r="K781" s="1" t="s">
        <v>147</v>
      </c>
      <c r="L781" s="1">
        <v>3</v>
      </c>
      <c r="M781" s="13">
        <v>6064.09</v>
      </c>
      <c r="N781" s="15">
        <v>0.03</v>
      </c>
      <c r="O781" s="13">
        <v>24706.43</v>
      </c>
      <c r="P781" s="13">
        <v>6641.4</v>
      </c>
      <c r="Q781" s="13">
        <v>55.09</v>
      </c>
      <c r="R781" s="1" t="s">
        <v>70</v>
      </c>
      <c r="S781" s="1">
        <v>2</v>
      </c>
      <c r="T781" s="1" t="b">
        <v>0</v>
      </c>
      <c r="U781" s="1" t="s">
        <v>39</v>
      </c>
      <c r="V781" s="3">
        <v>6</v>
      </c>
    </row>
    <row r="782" spans="1:22" x14ac:dyDescent="0.3">
      <c r="A782" s="2" t="s">
        <v>2020</v>
      </c>
      <c r="B782" s="10">
        <v>44519</v>
      </c>
      <c r="C782" s="22">
        <v>44519</v>
      </c>
      <c r="D782" s="1" t="s">
        <v>2021</v>
      </c>
      <c r="E782" s="1" t="s">
        <v>311</v>
      </c>
      <c r="F782" s="1">
        <v>33</v>
      </c>
      <c r="G782" s="1" t="s">
        <v>24</v>
      </c>
      <c r="H782" s="1" t="s">
        <v>82</v>
      </c>
      <c r="I782" s="1" t="s">
        <v>83</v>
      </c>
      <c r="J782" s="1" t="s">
        <v>76</v>
      </c>
      <c r="K782" s="1" t="s">
        <v>122</v>
      </c>
      <c r="L782" s="1">
        <v>8</v>
      </c>
      <c r="M782" s="13">
        <v>1386.86</v>
      </c>
      <c r="N782" s="15">
        <v>0.03</v>
      </c>
      <c r="O782" s="13">
        <v>8547.02</v>
      </c>
      <c r="P782" s="13">
        <v>2698.05</v>
      </c>
      <c r="Q782" s="13">
        <v>71.34</v>
      </c>
      <c r="R782" s="1" t="s">
        <v>51</v>
      </c>
      <c r="S782" s="1">
        <v>4</v>
      </c>
      <c r="T782" s="1" t="b">
        <v>0</v>
      </c>
      <c r="U782" s="1" t="s">
        <v>39</v>
      </c>
      <c r="V782" s="3">
        <v>9</v>
      </c>
    </row>
    <row r="783" spans="1:22" x14ac:dyDescent="0.3">
      <c r="A783" s="2" t="s">
        <v>2022</v>
      </c>
      <c r="B783" s="10">
        <v>44191</v>
      </c>
      <c r="C783" s="22">
        <v>44191</v>
      </c>
      <c r="D783" s="1" t="s">
        <v>2023</v>
      </c>
      <c r="E783" s="1" t="s">
        <v>716</v>
      </c>
      <c r="F783" s="1">
        <v>36</v>
      </c>
      <c r="G783" s="1" t="s">
        <v>34</v>
      </c>
      <c r="H783" s="1" t="s">
        <v>111</v>
      </c>
      <c r="I783" s="1" t="s">
        <v>141</v>
      </c>
      <c r="J783" s="1" t="s">
        <v>27</v>
      </c>
      <c r="K783" s="1" t="s">
        <v>430</v>
      </c>
      <c r="L783" s="1">
        <v>8</v>
      </c>
      <c r="M783" s="13">
        <v>312.61</v>
      </c>
      <c r="N783" s="15">
        <v>0.28999999999999998</v>
      </c>
      <c r="O783" s="13">
        <v>1360.85</v>
      </c>
      <c r="P783" s="13">
        <v>78.900000000000006</v>
      </c>
      <c r="Q783" s="13">
        <v>88.49</v>
      </c>
      <c r="R783" s="1" t="s">
        <v>57</v>
      </c>
      <c r="S783" s="1">
        <v>4</v>
      </c>
      <c r="T783" s="1" t="b">
        <v>0</v>
      </c>
      <c r="U783" s="1" t="s">
        <v>39</v>
      </c>
      <c r="V783" s="3">
        <v>9</v>
      </c>
    </row>
    <row r="784" spans="1:22" x14ac:dyDescent="0.3">
      <c r="A784" s="2" t="s">
        <v>2024</v>
      </c>
      <c r="B784" s="10">
        <v>45316</v>
      </c>
      <c r="C784" s="22">
        <v>45316</v>
      </c>
      <c r="D784" s="1" t="s">
        <v>2025</v>
      </c>
      <c r="E784" s="1" t="s">
        <v>558</v>
      </c>
      <c r="F784" s="1">
        <v>13</v>
      </c>
      <c r="G784" s="1" t="s">
        <v>34</v>
      </c>
      <c r="H784" s="1" t="s">
        <v>82</v>
      </c>
      <c r="I784" s="1" t="s">
        <v>83</v>
      </c>
      <c r="J784" s="1" t="s">
        <v>62</v>
      </c>
      <c r="K784" s="1" t="s">
        <v>570</v>
      </c>
      <c r="L784" s="1">
        <v>2</v>
      </c>
      <c r="M784" s="13">
        <v>1074.9000000000001</v>
      </c>
      <c r="N784" s="15">
        <v>0.35</v>
      </c>
      <c r="O784" s="13">
        <v>1255.8499999999999</v>
      </c>
      <c r="P784" s="13">
        <v>228.05</v>
      </c>
      <c r="Q784" s="13">
        <v>68.34</v>
      </c>
      <c r="R784" s="1" t="s">
        <v>29</v>
      </c>
      <c r="S784" s="1">
        <v>2</v>
      </c>
      <c r="T784" s="1" t="b">
        <v>0</v>
      </c>
      <c r="U784" s="1" t="s">
        <v>39</v>
      </c>
      <c r="V784" s="3">
        <v>9</v>
      </c>
    </row>
    <row r="785" spans="1:22" x14ac:dyDescent="0.3">
      <c r="A785" s="2" t="s">
        <v>2026</v>
      </c>
      <c r="B785" s="10">
        <v>45125</v>
      </c>
      <c r="C785" s="22">
        <v>45125</v>
      </c>
      <c r="D785" s="1" t="s">
        <v>2027</v>
      </c>
      <c r="E785" s="1" t="s">
        <v>1454</v>
      </c>
      <c r="F785" s="1">
        <v>27</v>
      </c>
      <c r="G785" s="1" t="s">
        <v>34</v>
      </c>
      <c r="H785" s="1" t="s">
        <v>25</v>
      </c>
      <c r="I785" s="1" t="s">
        <v>170</v>
      </c>
      <c r="J785" s="1" t="s">
        <v>127</v>
      </c>
      <c r="K785" s="1" t="s">
        <v>308</v>
      </c>
      <c r="L785" s="1">
        <v>2</v>
      </c>
      <c r="M785" s="13">
        <v>30216.69</v>
      </c>
      <c r="N785" s="15">
        <v>0.16</v>
      </c>
      <c r="O785" s="13">
        <v>77559.67</v>
      </c>
      <c r="P785" s="13">
        <v>9624.5300000000007</v>
      </c>
      <c r="Q785" s="13">
        <v>80.069999999999993</v>
      </c>
      <c r="R785" s="1" t="s">
        <v>51</v>
      </c>
      <c r="S785" s="1">
        <v>2</v>
      </c>
      <c r="T785" s="1" t="b">
        <v>0</v>
      </c>
      <c r="U785" s="1" t="s">
        <v>137</v>
      </c>
      <c r="V785" s="3">
        <v>5</v>
      </c>
    </row>
    <row r="786" spans="1:22" x14ac:dyDescent="0.3">
      <c r="A786" s="2" t="s">
        <v>2028</v>
      </c>
      <c r="B786" s="10">
        <v>44593</v>
      </c>
      <c r="C786" s="22">
        <v>44593</v>
      </c>
      <c r="D786" s="1" t="s">
        <v>2029</v>
      </c>
      <c r="E786" s="1" t="s">
        <v>2030</v>
      </c>
      <c r="F786" s="1">
        <v>22</v>
      </c>
      <c r="G786" s="1" t="s">
        <v>34</v>
      </c>
      <c r="H786" s="1" t="s">
        <v>111</v>
      </c>
      <c r="I786" s="1" t="s">
        <v>141</v>
      </c>
      <c r="J786" s="1" t="s">
        <v>76</v>
      </c>
      <c r="K786" s="1" t="s">
        <v>113</v>
      </c>
      <c r="L786" s="1">
        <v>9</v>
      </c>
      <c r="M786" s="13">
        <v>766.29</v>
      </c>
      <c r="N786" s="15">
        <v>0.28000000000000003</v>
      </c>
      <c r="O786" s="13">
        <v>4890.43</v>
      </c>
      <c r="P786" s="13">
        <v>1599.31</v>
      </c>
      <c r="Q786" s="13">
        <v>46.79</v>
      </c>
      <c r="R786" s="1" t="s">
        <v>78</v>
      </c>
      <c r="S786" s="1">
        <v>1</v>
      </c>
      <c r="T786" s="1" t="b">
        <v>0</v>
      </c>
      <c r="U786" s="1" t="s">
        <v>197</v>
      </c>
      <c r="V786" s="3">
        <v>7</v>
      </c>
    </row>
    <row r="787" spans="1:22" x14ac:dyDescent="0.3">
      <c r="A787" s="2" t="s">
        <v>2031</v>
      </c>
      <c r="B787" s="10">
        <v>44799</v>
      </c>
      <c r="C787" s="22">
        <v>44799</v>
      </c>
      <c r="D787" s="1" t="s">
        <v>2032</v>
      </c>
      <c r="E787" s="1" t="s">
        <v>384</v>
      </c>
      <c r="F787" s="1">
        <v>63</v>
      </c>
      <c r="G787" s="1" t="s">
        <v>68</v>
      </c>
      <c r="H787" s="1" t="s">
        <v>35</v>
      </c>
      <c r="I787" s="1" t="s">
        <v>49</v>
      </c>
      <c r="J787" s="1" t="s">
        <v>146</v>
      </c>
      <c r="K787" s="1" t="s">
        <v>217</v>
      </c>
      <c r="L787" s="1">
        <v>1</v>
      </c>
      <c r="M787" s="13">
        <v>9516.5400000000009</v>
      </c>
      <c r="N787" s="15">
        <v>7.0000000000000007E-2</v>
      </c>
      <c r="O787" s="13">
        <v>11604.33</v>
      </c>
      <c r="P787" s="13">
        <v>2275.4</v>
      </c>
      <c r="Q787" s="13">
        <v>75.61</v>
      </c>
      <c r="R787" s="1" t="s">
        <v>29</v>
      </c>
      <c r="S787" s="1">
        <v>4</v>
      </c>
      <c r="T787" s="1" t="b">
        <v>0</v>
      </c>
      <c r="U787" s="1" t="s">
        <v>137</v>
      </c>
      <c r="V787" s="3">
        <v>4</v>
      </c>
    </row>
    <row r="788" spans="1:22" x14ac:dyDescent="0.3">
      <c r="A788" s="2" t="s">
        <v>2033</v>
      </c>
      <c r="B788" s="10">
        <v>45590</v>
      </c>
      <c r="C788" s="22">
        <v>45590</v>
      </c>
      <c r="D788" s="1" t="s">
        <v>2034</v>
      </c>
      <c r="E788" s="1" t="s">
        <v>988</v>
      </c>
      <c r="F788" s="1">
        <v>37</v>
      </c>
      <c r="G788" s="1" t="s">
        <v>68</v>
      </c>
      <c r="H788" s="1" t="s">
        <v>74</v>
      </c>
      <c r="I788" s="1" t="s">
        <v>75</v>
      </c>
      <c r="J788" s="1" t="s">
        <v>76</v>
      </c>
      <c r="K788" s="1" t="s">
        <v>113</v>
      </c>
      <c r="L788" s="1">
        <v>3</v>
      </c>
      <c r="M788" s="13">
        <v>1187.4000000000001</v>
      </c>
      <c r="N788" s="15">
        <v>0.35</v>
      </c>
      <c r="O788" s="13">
        <v>2772.19</v>
      </c>
      <c r="P788" s="13">
        <v>1166.8800000000001</v>
      </c>
      <c r="Q788" s="13">
        <v>39.79</v>
      </c>
      <c r="R788" s="1" t="s">
        <v>64</v>
      </c>
      <c r="S788" s="1">
        <v>5</v>
      </c>
      <c r="T788" s="1" t="b">
        <v>0</v>
      </c>
      <c r="U788" s="1" t="s">
        <v>39</v>
      </c>
      <c r="V788" s="3">
        <v>7</v>
      </c>
    </row>
    <row r="789" spans="1:22" x14ac:dyDescent="0.3">
      <c r="A789" s="2" t="s">
        <v>2035</v>
      </c>
      <c r="B789" s="10">
        <v>45510</v>
      </c>
      <c r="C789" s="22">
        <v>45510</v>
      </c>
      <c r="D789" s="1" t="s">
        <v>2036</v>
      </c>
      <c r="E789" s="1" t="s">
        <v>1492</v>
      </c>
      <c r="F789" s="1">
        <v>40</v>
      </c>
      <c r="G789" s="1" t="s">
        <v>34</v>
      </c>
      <c r="H789" s="1" t="s">
        <v>111</v>
      </c>
      <c r="I789" s="1" t="s">
        <v>330</v>
      </c>
      <c r="J789" s="1" t="s">
        <v>44</v>
      </c>
      <c r="K789" s="1" t="s">
        <v>45</v>
      </c>
      <c r="L789" s="1">
        <v>8</v>
      </c>
      <c r="M789" s="13">
        <v>29325.03</v>
      </c>
      <c r="N789" s="15">
        <v>0.33</v>
      </c>
      <c r="O789" s="13">
        <v>238669.42</v>
      </c>
      <c r="P789" s="13">
        <v>54334.41</v>
      </c>
      <c r="Q789" s="13">
        <v>57.12</v>
      </c>
      <c r="R789" s="1" t="s">
        <v>64</v>
      </c>
      <c r="S789" s="1">
        <v>5</v>
      </c>
      <c r="T789" s="1" t="b">
        <v>0</v>
      </c>
      <c r="U789" s="1" t="s">
        <v>39</v>
      </c>
      <c r="V789" s="3">
        <v>2</v>
      </c>
    </row>
    <row r="790" spans="1:22" x14ac:dyDescent="0.3">
      <c r="A790" s="2" t="s">
        <v>2037</v>
      </c>
      <c r="B790" s="10">
        <v>45085</v>
      </c>
      <c r="C790" s="22">
        <v>45085</v>
      </c>
      <c r="D790" s="1" t="s">
        <v>2038</v>
      </c>
      <c r="E790" s="1" t="s">
        <v>575</v>
      </c>
      <c r="F790" s="1">
        <v>39</v>
      </c>
      <c r="G790" s="1" t="s">
        <v>68</v>
      </c>
      <c r="H790" s="1" t="s">
        <v>25</v>
      </c>
      <c r="I790" s="1" t="s">
        <v>55</v>
      </c>
      <c r="J790" s="1" t="s">
        <v>76</v>
      </c>
      <c r="K790" s="1" t="s">
        <v>132</v>
      </c>
      <c r="L790" s="1">
        <v>7</v>
      </c>
      <c r="M790" s="13">
        <v>983.45</v>
      </c>
      <c r="N790" s="15">
        <v>0.03</v>
      </c>
      <c r="O790" s="13">
        <v>11834.57</v>
      </c>
      <c r="P790" s="13">
        <v>3889.86</v>
      </c>
      <c r="Q790" s="13">
        <v>67.48</v>
      </c>
      <c r="R790" s="1" t="s">
        <v>29</v>
      </c>
      <c r="S790" s="1">
        <v>4</v>
      </c>
      <c r="T790" s="1" t="b">
        <v>1</v>
      </c>
      <c r="U790" s="1" t="s">
        <v>30</v>
      </c>
      <c r="V790" s="3">
        <v>10</v>
      </c>
    </row>
    <row r="791" spans="1:22" x14ac:dyDescent="0.3">
      <c r="A791" s="2" t="s">
        <v>2039</v>
      </c>
      <c r="B791" s="10">
        <v>44742</v>
      </c>
      <c r="C791" s="22">
        <v>44742</v>
      </c>
      <c r="D791" s="1" t="s">
        <v>2040</v>
      </c>
      <c r="E791" s="1" t="s">
        <v>1899</v>
      </c>
      <c r="F791" s="1">
        <v>31</v>
      </c>
      <c r="G791" s="1" t="s">
        <v>34</v>
      </c>
      <c r="H791" s="1" t="s">
        <v>82</v>
      </c>
      <c r="I791" s="1" t="s">
        <v>126</v>
      </c>
      <c r="J791" s="1" t="s">
        <v>37</v>
      </c>
      <c r="K791" s="1" t="s">
        <v>102</v>
      </c>
      <c r="L791" s="1">
        <v>3</v>
      </c>
      <c r="M791" s="13">
        <v>1275.56</v>
      </c>
      <c r="N791" s="15">
        <v>0.37</v>
      </c>
      <c r="O791" s="13">
        <v>3369.84</v>
      </c>
      <c r="P791" s="13">
        <v>1461.23</v>
      </c>
      <c r="Q791" s="13">
        <v>99.3</v>
      </c>
      <c r="R791" s="1" t="s">
        <v>64</v>
      </c>
      <c r="S791" s="1">
        <v>5</v>
      </c>
      <c r="T791" s="1" t="b">
        <v>0</v>
      </c>
      <c r="U791" s="1" t="s">
        <v>39</v>
      </c>
      <c r="V791" s="3">
        <v>2</v>
      </c>
    </row>
    <row r="792" spans="1:22" x14ac:dyDescent="0.3">
      <c r="A792" s="2" t="s">
        <v>2041</v>
      </c>
      <c r="B792" s="10">
        <v>45225</v>
      </c>
      <c r="C792" s="22">
        <v>45225</v>
      </c>
      <c r="D792" s="1" t="s">
        <v>2042</v>
      </c>
      <c r="E792" s="1" t="s">
        <v>1142</v>
      </c>
      <c r="F792" s="1">
        <v>44</v>
      </c>
      <c r="G792" s="1" t="s">
        <v>34</v>
      </c>
      <c r="H792" s="1" t="s">
        <v>25</v>
      </c>
      <c r="I792" s="1" t="s">
        <v>55</v>
      </c>
      <c r="J792" s="1" t="s">
        <v>62</v>
      </c>
      <c r="K792" s="1" t="s">
        <v>266</v>
      </c>
      <c r="L792" s="1">
        <v>2</v>
      </c>
      <c r="M792" s="13">
        <v>357.54</v>
      </c>
      <c r="N792" s="15">
        <v>0.39</v>
      </c>
      <c r="O792" s="13">
        <v>449.09</v>
      </c>
      <c r="P792" s="13">
        <v>210.08</v>
      </c>
      <c r="Q792" s="13">
        <v>68.599999999999994</v>
      </c>
      <c r="R792" s="1" t="s">
        <v>57</v>
      </c>
      <c r="S792" s="1">
        <v>4</v>
      </c>
      <c r="T792" s="1" t="b">
        <v>0</v>
      </c>
      <c r="U792" s="1" t="s">
        <v>39</v>
      </c>
      <c r="V792" s="3">
        <v>2</v>
      </c>
    </row>
    <row r="793" spans="1:22" x14ac:dyDescent="0.3">
      <c r="A793" s="2" t="s">
        <v>2043</v>
      </c>
      <c r="B793" s="10">
        <v>45065</v>
      </c>
      <c r="C793" s="22">
        <v>45065</v>
      </c>
      <c r="D793" s="1" t="s">
        <v>2044</v>
      </c>
      <c r="E793" s="1" t="s">
        <v>387</v>
      </c>
      <c r="F793" s="1">
        <v>55</v>
      </c>
      <c r="G793" s="1" t="s">
        <v>68</v>
      </c>
      <c r="H793" s="1" t="s">
        <v>74</v>
      </c>
      <c r="I793" s="1" t="s">
        <v>192</v>
      </c>
      <c r="J793" s="1" t="s">
        <v>127</v>
      </c>
      <c r="K793" s="1" t="s">
        <v>517</v>
      </c>
      <c r="L793" s="1">
        <v>5</v>
      </c>
      <c r="M793" s="13">
        <v>25313.99</v>
      </c>
      <c r="N793" s="15">
        <v>0.27</v>
      </c>
      <c r="O793" s="13">
        <v>29639.22</v>
      </c>
      <c r="P793" s="13">
        <v>4402.1400000000003</v>
      </c>
      <c r="Q793" s="13">
        <v>51.93</v>
      </c>
      <c r="R793" s="1" t="s">
        <v>29</v>
      </c>
      <c r="S793" s="1">
        <v>4</v>
      </c>
      <c r="T793" s="1" t="b">
        <v>0</v>
      </c>
      <c r="U793" s="1" t="s">
        <v>39</v>
      </c>
      <c r="V793" s="3">
        <v>3</v>
      </c>
    </row>
    <row r="794" spans="1:22" x14ac:dyDescent="0.3">
      <c r="A794" s="2" t="s">
        <v>2045</v>
      </c>
      <c r="B794" s="10">
        <v>44964</v>
      </c>
      <c r="C794" s="22">
        <v>44964</v>
      </c>
      <c r="D794" s="1" t="s">
        <v>2046</v>
      </c>
      <c r="E794" s="1" t="s">
        <v>878</v>
      </c>
      <c r="F794" s="1">
        <v>24</v>
      </c>
      <c r="G794" s="1" t="s">
        <v>88</v>
      </c>
      <c r="H794" s="1" t="s">
        <v>74</v>
      </c>
      <c r="I794" s="1" t="s">
        <v>101</v>
      </c>
      <c r="J794" s="1" t="s">
        <v>62</v>
      </c>
      <c r="K794" s="1" t="s">
        <v>151</v>
      </c>
      <c r="L794" s="1">
        <v>9</v>
      </c>
      <c r="M794" s="13">
        <v>1219.1099999999999</v>
      </c>
      <c r="N794" s="15">
        <v>0.09</v>
      </c>
      <c r="O794" s="13">
        <v>11967.15</v>
      </c>
      <c r="P794" s="13">
        <v>4663.6899999999996</v>
      </c>
      <c r="Q794" s="13">
        <v>73.88</v>
      </c>
      <c r="R794" s="1" t="s">
        <v>29</v>
      </c>
      <c r="S794" s="1">
        <v>1</v>
      </c>
      <c r="T794" s="1" t="b">
        <v>0</v>
      </c>
      <c r="U794" s="1" t="s">
        <v>39</v>
      </c>
      <c r="V794" s="3">
        <v>9</v>
      </c>
    </row>
    <row r="795" spans="1:22" x14ac:dyDescent="0.3">
      <c r="A795" s="2" t="s">
        <v>2047</v>
      </c>
      <c r="B795" s="10">
        <v>43958</v>
      </c>
      <c r="C795" s="22">
        <v>43958</v>
      </c>
      <c r="D795" s="1" t="s">
        <v>2048</v>
      </c>
      <c r="E795" s="1" t="s">
        <v>638</v>
      </c>
      <c r="F795" s="1">
        <v>38</v>
      </c>
      <c r="G795" s="1" t="s">
        <v>34</v>
      </c>
      <c r="H795" s="1" t="s">
        <v>35</v>
      </c>
      <c r="I795" s="1" t="s">
        <v>36</v>
      </c>
      <c r="J795" s="1" t="s">
        <v>62</v>
      </c>
      <c r="K795" s="1" t="s">
        <v>107</v>
      </c>
      <c r="L795" s="1">
        <v>2</v>
      </c>
      <c r="M795" s="13">
        <v>713.5</v>
      </c>
      <c r="N795" s="15">
        <v>0.03</v>
      </c>
      <c r="O795" s="13">
        <v>1825.08</v>
      </c>
      <c r="P795" s="13">
        <v>867.87</v>
      </c>
      <c r="Q795" s="13">
        <v>54.38</v>
      </c>
      <c r="R795" s="1" t="s">
        <v>29</v>
      </c>
      <c r="S795" s="1">
        <v>3</v>
      </c>
      <c r="T795" s="1" t="b">
        <v>0</v>
      </c>
      <c r="U795" s="1" t="s">
        <v>39</v>
      </c>
      <c r="V795" s="3">
        <v>3</v>
      </c>
    </row>
    <row r="796" spans="1:22" x14ac:dyDescent="0.3">
      <c r="A796" s="2" t="s">
        <v>2049</v>
      </c>
      <c r="B796" s="10">
        <v>44268</v>
      </c>
      <c r="C796" s="22">
        <v>44268</v>
      </c>
      <c r="D796" s="1" t="s">
        <v>2050</v>
      </c>
      <c r="E796" s="1" t="s">
        <v>1142</v>
      </c>
      <c r="F796" s="1">
        <v>51</v>
      </c>
      <c r="G796" s="1" t="s">
        <v>68</v>
      </c>
      <c r="H796" s="1" t="s">
        <v>74</v>
      </c>
      <c r="I796" s="1" t="s">
        <v>136</v>
      </c>
      <c r="J796" s="1" t="s">
        <v>27</v>
      </c>
      <c r="K796" s="1" t="s">
        <v>28</v>
      </c>
      <c r="L796" s="1">
        <v>5</v>
      </c>
      <c r="M796" s="13">
        <v>432.25</v>
      </c>
      <c r="N796" s="15">
        <v>0.01</v>
      </c>
      <c r="O796" s="13">
        <v>2079.81</v>
      </c>
      <c r="P796" s="13">
        <v>177.78</v>
      </c>
      <c r="Q796" s="13">
        <v>37.049999999999997</v>
      </c>
      <c r="R796" s="1" t="s">
        <v>51</v>
      </c>
      <c r="S796" s="1">
        <v>2</v>
      </c>
      <c r="T796" s="1" t="b">
        <v>0</v>
      </c>
      <c r="U796" s="1" t="s">
        <v>39</v>
      </c>
      <c r="V796" s="3">
        <v>10</v>
      </c>
    </row>
    <row r="797" spans="1:22" x14ac:dyDescent="0.3">
      <c r="A797" s="2" t="s">
        <v>2051</v>
      </c>
      <c r="B797" s="10">
        <v>44238</v>
      </c>
      <c r="C797" s="22">
        <v>44238</v>
      </c>
      <c r="D797" s="1" t="s">
        <v>2052</v>
      </c>
      <c r="E797" s="1" t="s">
        <v>2053</v>
      </c>
      <c r="F797" s="1">
        <v>21</v>
      </c>
      <c r="G797" s="1" t="s">
        <v>434</v>
      </c>
      <c r="H797" s="1" t="s">
        <v>82</v>
      </c>
      <c r="I797" s="1" t="s">
        <v>126</v>
      </c>
      <c r="J797" s="1" t="s">
        <v>146</v>
      </c>
      <c r="K797" s="1" t="s">
        <v>161</v>
      </c>
      <c r="L797" s="1">
        <v>6</v>
      </c>
      <c r="M797" s="13">
        <v>9644.7800000000007</v>
      </c>
      <c r="N797" s="15">
        <v>0.12</v>
      </c>
      <c r="O797" s="13">
        <v>53077.760000000002</v>
      </c>
      <c r="P797" s="13">
        <v>12558.1</v>
      </c>
      <c r="Q797" s="13">
        <v>95.75</v>
      </c>
      <c r="R797" s="1" t="s">
        <v>29</v>
      </c>
      <c r="S797" s="1">
        <v>3</v>
      </c>
      <c r="T797" s="1" t="b">
        <v>0</v>
      </c>
      <c r="U797" s="1" t="s">
        <v>137</v>
      </c>
      <c r="V797" s="3">
        <v>9</v>
      </c>
    </row>
    <row r="798" spans="1:22" x14ac:dyDescent="0.3">
      <c r="A798" s="2" t="s">
        <v>2054</v>
      </c>
      <c r="B798" s="10">
        <v>45064</v>
      </c>
      <c r="C798" s="22">
        <v>45064</v>
      </c>
      <c r="D798" s="1" t="s">
        <v>2055</v>
      </c>
      <c r="E798" s="1" t="s">
        <v>1319</v>
      </c>
      <c r="F798" s="1">
        <v>51</v>
      </c>
      <c r="G798" s="1" t="s">
        <v>34</v>
      </c>
      <c r="H798" s="1" t="s">
        <v>74</v>
      </c>
      <c r="I798" s="1" t="s">
        <v>192</v>
      </c>
      <c r="J798" s="1" t="s">
        <v>62</v>
      </c>
      <c r="K798" s="1" t="s">
        <v>283</v>
      </c>
      <c r="L798" s="1">
        <v>6</v>
      </c>
      <c r="M798" s="13">
        <v>473</v>
      </c>
      <c r="N798" s="15">
        <v>0.16</v>
      </c>
      <c r="O798" s="13">
        <v>4064.17</v>
      </c>
      <c r="P798" s="13">
        <v>1153.73</v>
      </c>
      <c r="Q798" s="13">
        <v>55.81</v>
      </c>
      <c r="R798" s="1" t="s">
        <v>70</v>
      </c>
      <c r="S798" s="1">
        <v>1</v>
      </c>
      <c r="T798" s="1" t="b">
        <v>1</v>
      </c>
      <c r="U798" s="1" t="s">
        <v>30</v>
      </c>
      <c r="V798" s="3">
        <v>4</v>
      </c>
    </row>
    <row r="799" spans="1:22" x14ac:dyDescent="0.3">
      <c r="A799" s="2" t="s">
        <v>2056</v>
      </c>
      <c r="B799" s="10">
        <v>44144</v>
      </c>
      <c r="C799" s="22">
        <v>44144</v>
      </c>
      <c r="D799" s="1" t="s">
        <v>2057</v>
      </c>
      <c r="E799" s="1" t="s">
        <v>96</v>
      </c>
      <c r="F799" s="1">
        <v>36</v>
      </c>
      <c r="G799" s="1" t="s">
        <v>34</v>
      </c>
      <c r="H799" s="1" t="s">
        <v>111</v>
      </c>
      <c r="I799" s="1" t="s">
        <v>330</v>
      </c>
      <c r="J799" s="1" t="s">
        <v>76</v>
      </c>
      <c r="K799" s="1" t="s">
        <v>77</v>
      </c>
      <c r="L799" s="1">
        <v>9</v>
      </c>
      <c r="M799" s="13">
        <v>1818.25</v>
      </c>
      <c r="N799" s="15">
        <v>0.15</v>
      </c>
      <c r="O799" s="13">
        <v>10464.16</v>
      </c>
      <c r="P799" s="13">
        <v>4513.75</v>
      </c>
      <c r="Q799" s="13">
        <v>74.959999999999994</v>
      </c>
      <c r="R799" s="1" t="s">
        <v>51</v>
      </c>
      <c r="S799" s="1">
        <v>4</v>
      </c>
      <c r="T799" s="1" t="b">
        <v>0</v>
      </c>
      <c r="U799" s="1" t="s">
        <v>39</v>
      </c>
      <c r="V799" s="3">
        <v>4</v>
      </c>
    </row>
    <row r="800" spans="1:22" x14ac:dyDescent="0.3">
      <c r="A800" s="2" t="s">
        <v>2058</v>
      </c>
      <c r="B800" s="10">
        <v>44751</v>
      </c>
      <c r="C800" s="22">
        <v>44751</v>
      </c>
      <c r="D800" s="1" t="s">
        <v>2059</v>
      </c>
      <c r="E800" s="1" t="s">
        <v>282</v>
      </c>
      <c r="F800" s="1">
        <v>25</v>
      </c>
      <c r="G800" s="1" t="s">
        <v>34</v>
      </c>
      <c r="H800" s="1" t="s">
        <v>74</v>
      </c>
      <c r="I800" s="1" t="s">
        <v>101</v>
      </c>
      <c r="J800" s="1" t="s">
        <v>44</v>
      </c>
      <c r="K800" s="1" t="s">
        <v>50</v>
      </c>
      <c r="L800" s="1">
        <v>6</v>
      </c>
      <c r="M800" s="13">
        <v>28297.1</v>
      </c>
      <c r="N800" s="15">
        <v>0.3</v>
      </c>
      <c r="O800" s="13">
        <v>183102.21</v>
      </c>
      <c r="P800" s="13">
        <v>41267.82</v>
      </c>
      <c r="Q800" s="13">
        <v>77.25</v>
      </c>
      <c r="R800" s="1" t="s">
        <v>70</v>
      </c>
      <c r="S800" s="1">
        <v>1</v>
      </c>
      <c r="T800" s="1" t="b">
        <v>0</v>
      </c>
      <c r="U800" s="1" t="s">
        <v>39</v>
      </c>
      <c r="V800" s="3">
        <v>3</v>
      </c>
    </row>
    <row r="801" spans="1:22" x14ac:dyDescent="0.3">
      <c r="A801" s="2" t="s">
        <v>2060</v>
      </c>
      <c r="B801" s="10">
        <v>45195</v>
      </c>
      <c r="C801" s="22">
        <v>45195</v>
      </c>
      <c r="D801" s="1" t="s">
        <v>2061</v>
      </c>
      <c r="E801" s="1" t="s">
        <v>1119</v>
      </c>
      <c r="F801" s="1">
        <v>29</v>
      </c>
      <c r="G801" s="1" t="s">
        <v>24</v>
      </c>
      <c r="H801" s="1" t="s">
        <v>111</v>
      </c>
      <c r="I801" s="1" t="s">
        <v>121</v>
      </c>
      <c r="J801" s="1" t="s">
        <v>146</v>
      </c>
      <c r="K801" s="1" t="s">
        <v>161</v>
      </c>
      <c r="L801" s="1">
        <v>1</v>
      </c>
      <c r="M801" s="13">
        <v>12275.23</v>
      </c>
      <c r="N801" s="15">
        <v>0.09</v>
      </c>
      <c r="O801" s="13">
        <v>12167.28</v>
      </c>
      <c r="P801" s="13">
        <v>2949.77</v>
      </c>
      <c r="Q801" s="13">
        <v>58.94</v>
      </c>
      <c r="R801" s="1" t="s">
        <v>29</v>
      </c>
      <c r="S801" s="1">
        <v>3</v>
      </c>
      <c r="T801" s="1" t="b">
        <v>1</v>
      </c>
      <c r="U801" s="1" t="s">
        <v>30</v>
      </c>
      <c r="V801" s="3">
        <v>6</v>
      </c>
    </row>
    <row r="802" spans="1:22" x14ac:dyDescent="0.3">
      <c r="A802" s="2" t="s">
        <v>2062</v>
      </c>
      <c r="B802" s="10">
        <v>44755</v>
      </c>
      <c r="C802" s="22">
        <v>44755</v>
      </c>
      <c r="D802" s="1" t="s">
        <v>2063</v>
      </c>
      <c r="E802" s="1" t="s">
        <v>1076</v>
      </c>
      <c r="F802" s="1">
        <v>28</v>
      </c>
      <c r="G802" s="1" t="s">
        <v>24</v>
      </c>
      <c r="H802" s="1" t="s">
        <v>25</v>
      </c>
      <c r="I802" s="1" t="s">
        <v>26</v>
      </c>
      <c r="J802" s="1" t="s">
        <v>27</v>
      </c>
      <c r="K802" s="1" t="s">
        <v>400</v>
      </c>
      <c r="L802" s="1">
        <v>2</v>
      </c>
      <c r="M802" s="13">
        <v>116.27</v>
      </c>
      <c r="N802" s="15">
        <v>0.28000000000000003</v>
      </c>
      <c r="O802" s="13">
        <v>240.6</v>
      </c>
      <c r="P802" s="13">
        <v>20.5</v>
      </c>
      <c r="Q802" s="13">
        <v>46.11</v>
      </c>
      <c r="R802" s="1" t="s">
        <v>64</v>
      </c>
      <c r="S802" s="1">
        <v>2</v>
      </c>
      <c r="T802" s="1" t="b">
        <v>0</v>
      </c>
      <c r="U802" s="1" t="s">
        <v>58</v>
      </c>
      <c r="V802" s="3">
        <v>9</v>
      </c>
    </row>
    <row r="803" spans="1:22" x14ac:dyDescent="0.3">
      <c r="A803" s="2" t="s">
        <v>2064</v>
      </c>
      <c r="B803" s="10">
        <v>44971</v>
      </c>
      <c r="C803" s="22">
        <v>44971</v>
      </c>
      <c r="D803" s="1" t="s">
        <v>2065</v>
      </c>
      <c r="E803" s="1" t="s">
        <v>566</v>
      </c>
      <c r="F803" s="1">
        <v>47</v>
      </c>
      <c r="G803" s="1" t="s">
        <v>24</v>
      </c>
      <c r="H803" s="1" t="s">
        <v>74</v>
      </c>
      <c r="I803" s="1" t="s">
        <v>192</v>
      </c>
      <c r="J803" s="1" t="s">
        <v>127</v>
      </c>
      <c r="K803" s="1" t="s">
        <v>308</v>
      </c>
      <c r="L803" s="1">
        <v>10</v>
      </c>
      <c r="M803" s="13">
        <v>19057.82</v>
      </c>
      <c r="N803" s="15">
        <v>0.26</v>
      </c>
      <c r="O803" s="13">
        <v>148714.97</v>
      </c>
      <c r="P803" s="13">
        <v>19803.29</v>
      </c>
      <c r="Q803" s="13">
        <v>66.52</v>
      </c>
      <c r="R803" s="1" t="s">
        <v>57</v>
      </c>
      <c r="S803" s="1">
        <v>1</v>
      </c>
      <c r="T803" s="1" t="b">
        <v>1</v>
      </c>
      <c r="U803" s="1" t="s">
        <v>30</v>
      </c>
      <c r="V803" s="3">
        <v>10</v>
      </c>
    </row>
    <row r="804" spans="1:22" x14ac:dyDescent="0.3">
      <c r="A804" s="2" t="s">
        <v>2066</v>
      </c>
      <c r="B804" s="10">
        <v>44766</v>
      </c>
      <c r="C804" s="22">
        <v>44766</v>
      </c>
      <c r="D804" s="1" t="s">
        <v>2067</v>
      </c>
      <c r="E804" s="1" t="s">
        <v>1001</v>
      </c>
      <c r="F804" s="1">
        <v>22</v>
      </c>
      <c r="G804" s="1" t="s">
        <v>68</v>
      </c>
      <c r="H804" s="1" t="s">
        <v>25</v>
      </c>
      <c r="I804" s="1" t="s">
        <v>69</v>
      </c>
      <c r="J804" s="1" t="s">
        <v>27</v>
      </c>
      <c r="K804" s="1" t="s">
        <v>97</v>
      </c>
      <c r="L804" s="1">
        <v>9</v>
      </c>
      <c r="M804" s="13">
        <v>422.02</v>
      </c>
      <c r="N804" s="15">
        <v>0.37</v>
      </c>
      <c r="O804" s="13">
        <v>3424.01</v>
      </c>
      <c r="P804" s="13">
        <v>264.5</v>
      </c>
      <c r="Q804" s="13">
        <v>83.86</v>
      </c>
      <c r="R804" s="1" t="s">
        <v>57</v>
      </c>
      <c r="S804" s="1">
        <v>3</v>
      </c>
      <c r="T804" s="1" t="b">
        <v>1</v>
      </c>
      <c r="U804" s="1" t="s">
        <v>30</v>
      </c>
      <c r="V804" s="3">
        <v>4</v>
      </c>
    </row>
    <row r="805" spans="1:22" x14ac:dyDescent="0.3">
      <c r="A805" s="2" t="s">
        <v>2068</v>
      </c>
      <c r="B805" s="10">
        <v>44748</v>
      </c>
      <c r="C805" s="22">
        <v>44748</v>
      </c>
      <c r="D805" s="1" t="s">
        <v>2069</v>
      </c>
      <c r="E805" s="1" t="s">
        <v>1173</v>
      </c>
      <c r="F805" s="1">
        <v>42</v>
      </c>
      <c r="G805" s="1" t="s">
        <v>34</v>
      </c>
      <c r="H805" s="1" t="s">
        <v>111</v>
      </c>
      <c r="I805" s="1" t="s">
        <v>112</v>
      </c>
      <c r="J805" s="1" t="s">
        <v>76</v>
      </c>
      <c r="K805" s="1" t="s">
        <v>113</v>
      </c>
      <c r="L805" s="1">
        <v>8</v>
      </c>
      <c r="M805" s="13">
        <v>946.16</v>
      </c>
      <c r="N805" s="15">
        <v>0.31</v>
      </c>
      <c r="O805" s="13">
        <v>7291.61</v>
      </c>
      <c r="P805" s="13">
        <v>3065.47</v>
      </c>
      <c r="Q805" s="13">
        <v>76.81</v>
      </c>
      <c r="R805" s="1" t="s">
        <v>78</v>
      </c>
      <c r="S805" s="1">
        <v>2</v>
      </c>
      <c r="T805" s="1" t="b">
        <v>0</v>
      </c>
      <c r="U805" s="1" t="s">
        <v>39</v>
      </c>
      <c r="V805" s="3">
        <v>8</v>
      </c>
    </row>
    <row r="806" spans="1:22" x14ac:dyDescent="0.3">
      <c r="A806" s="2" t="s">
        <v>2070</v>
      </c>
      <c r="B806" s="10">
        <v>45426</v>
      </c>
      <c r="C806" s="22">
        <v>45426</v>
      </c>
      <c r="D806" s="1" t="s">
        <v>2071</v>
      </c>
      <c r="E806" s="1" t="s">
        <v>1904</v>
      </c>
      <c r="F806" s="1">
        <v>48</v>
      </c>
      <c r="G806" s="1" t="s">
        <v>34</v>
      </c>
      <c r="H806" s="1" t="s">
        <v>25</v>
      </c>
      <c r="I806" s="1" t="s">
        <v>69</v>
      </c>
      <c r="J806" s="1" t="s">
        <v>76</v>
      </c>
      <c r="K806" s="1" t="s">
        <v>122</v>
      </c>
      <c r="L806" s="1">
        <v>6</v>
      </c>
      <c r="M806" s="13">
        <v>483.3</v>
      </c>
      <c r="N806" s="15">
        <v>0.35</v>
      </c>
      <c r="O806" s="13">
        <v>3056.64</v>
      </c>
      <c r="P806" s="13">
        <v>1071.72</v>
      </c>
      <c r="Q806" s="13">
        <v>37.229999999999997</v>
      </c>
      <c r="R806" s="1" t="s">
        <v>70</v>
      </c>
      <c r="S806" s="1">
        <v>3</v>
      </c>
      <c r="T806" s="1" t="b">
        <v>0</v>
      </c>
      <c r="U806" s="1" t="s">
        <v>39</v>
      </c>
      <c r="V806" s="3">
        <v>2</v>
      </c>
    </row>
    <row r="807" spans="1:22" x14ac:dyDescent="0.3">
      <c r="A807" s="2" t="s">
        <v>2072</v>
      </c>
      <c r="B807" s="10">
        <v>45021</v>
      </c>
      <c r="C807" s="22">
        <v>45021</v>
      </c>
      <c r="D807" s="1" t="s">
        <v>2073</v>
      </c>
      <c r="E807" s="1" t="s">
        <v>381</v>
      </c>
      <c r="F807" s="1">
        <v>19</v>
      </c>
      <c r="G807" s="1" t="s">
        <v>34</v>
      </c>
      <c r="H807" s="1" t="s">
        <v>35</v>
      </c>
      <c r="I807" s="1" t="s">
        <v>49</v>
      </c>
      <c r="J807" s="1" t="s">
        <v>76</v>
      </c>
      <c r="K807" s="1" t="s">
        <v>89</v>
      </c>
      <c r="L807" s="1">
        <v>2</v>
      </c>
      <c r="M807" s="13">
        <v>3794.57</v>
      </c>
      <c r="N807" s="15">
        <v>0.05</v>
      </c>
      <c r="O807" s="13">
        <v>9475.19</v>
      </c>
      <c r="P807" s="13">
        <v>3916.81</v>
      </c>
      <c r="Q807" s="13">
        <v>23.37</v>
      </c>
      <c r="R807" s="1" t="s">
        <v>51</v>
      </c>
      <c r="S807" s="1">
        <v>5</v>
      </c>
      <c r="T807" s="1" t="b">
        <v>0</v>
      </c>
      <c r="U807" s="1" t="s">
        <v>39</v>
      </c>
      <c r="V807" s="3">
        <v>3</v>
      </c>
    </row>
    <row r="808" spans="1:22" x14ac:dyDescent="0.3">
      <c r="A808" s="2" t="s">
        <v>2074</v>
      </c>
      <c r="B808" s="10">
        <v>45520</v>
      </c>
      <c r="C808" s="22">
        <v>45520</v>
      </c>
      <c r="D808" s="1" t="s">
        <v>2075</v>
      </c>
      <c r="E808" s="1" t="s">
        <v>578</v>
      </c>
      <c r="F808" s="1">
        <v>31</v>
      </c>
      <c r="G808" s="1" t="s">
        <v>34</v>
      </c>
      <c r="H808" s="1" t="s">
        <v>74</v>
      </c>
      <c r="I808" s="1" t="s">
        <v>101</v>
      </c>
      <c r="J808" s="1" t="s">
        <v>37</v>
      </c>
      <c r="K808" s="1" t="s">
        <v>231</v>
      </c>
      <c r="L808" s="1">
        <v>2</v>
      </c>
      <c r="M808" s="13">
        <v>1235.5899999999999</v>
      </c>
      <c r="N808" s="15">
        <v>0.05</v>
      </c>
      <c r="O808" s="13">
        <v>4007.33</v>
      </c>
      <c r="P808" s="13">
        <v>1780.2</v>
      </c>
      <c r="Q808" s="13">
        <v>44.87</v>
      </c>
      <c r="R808" s="1" t="s">
        <v>70</v>
      </c>
      <c r="S808" s="1">
        <v>1</v>
      </c>
      <c r="T808" s="1" t="b">
        <v>0</v>
      </c>
      <c r="U808" s="1" t="s">
        <v>39</v>
      </c>
      <c r="V808" s="3">
        <v>3</v>
      </c>
    </row>
    <row r="809" spans="1:22" x14ac:dyDescent="0.3">
      <c r="A809" s="2" t="s">
        <v>2076</v>
      </c>
      <c r="B809" s="10">
        <v>44222</v>
      </c>
      <c r="C809" s="22">
        <v>44222</v>
      </c>
      <c r="D809" s="1" t="s">
        <v>2077</v>
      </c>
      <c r="E809" s="1" t="s">
        <v>256</v>
      </c>
      <c r="F809" s="1">
        <v>27</v>
      </c>
      <c r="G809" s="1" t="s">
        <v>34</v>
      </c>
      <c r="H809" s="1" t="s">
        <v>25</v>
      </c>
      <c r="I809" s="1" t="s">
        <v>69</v>
      </c>
      <c r="J809" s="1" t="s">
        <v>146</v>
      </c>
      <c r="K809" s="1" t="s">
        <v>147</v>
      </c>
      <c r="L809" s="1">
        <v>7</v>
      </c>
      <c r="M809" s="13">
        <v>14159.23</v>
      </c>
      <c r="N809" s="15">
        <v>0.18</v>
      </c>
      <c r="O809" s="13">
        <v>67291.55</v>
      </c>
      <c r="P809" s="13">
        <v>15098.91</v>
      </c>
      <c r="Q809" s="13">
        <v>65.260000000000005</v>
      </c>
      <c r="R809" s="1" t="s">
        <v>51</v>
      </c>
      <c r="S809" s="1">
        <v>5</v>
      </c>
      <c r="T809" s="1" t="b">
        <v>0</v>
      </c>
      <c r="U809" s="1" t="s">
        <v>137</v>
      </c>
      <c r="V809" s="3">
        <v>1</v>
      </c>
    </row>
    <row r="810" spans="1:22" x14ac:dyDescent="0.3">
      <c r="A810" s="2" t="s">
        <v>2078</v>
      </c>
      <c r="B810" s="10">
        <v>44125</v>
      </c>
      <c r="C810" s="22">
        <v>44125</v>
      </c>
      <c r="D810" s="1" t="s">
        <v>2079</v>
      </c>
      <c r="E810" s="1" t="s">
        <v>289</v>
      </c>
      <c r="F810" s="1">
        <v>36</v>
      </c>
      <c r="G810" s="1" t="s">
        <v>68</v>
      </c>
      <c r="H810" s="1" t="s">
        <v>35</v>
      </c>
      <c r="I810" s="1" t="s">
        <v>49</v>
      </c>
      <c r="J810" s="1" t="s">
        <v>44</v>
      </c>
      <c r="K810" s="1" t="s">
        <v>50</v>
      </c>
      <c r="L810" s="1">
        <v>8</v>
      </c>
      <c r="M810" s="13">
        <v>32918.629999999997</v>
      </c>
      <c r="N810" s="15">
        <v>0.14000000000000001</v>
      </c>
      <c r="O810" s="13">
        <v>208563.97</v>
      </c>
      <c r="P810" s="13">
        <v>70073.179999999993</v>
      </c>
      <c r="Q810" s="13">
        <v>49.07</v>
      </c>
      <c r="R810" s="1" t="s">
        <v>70</v>
      </c>
      <c r="S810" s="1">
        <v>3</v>
      </c>
      <c r="T810" s="1" t="b">
        <v>0</v>
      </c>
      <c r="U810" s="1" t="s">
        <v>39</v>
      </c>
      <c r="V810" s="3">
        <v>1</v>
      </c>
    </row>
    <row r="811" spans="1:22" x14ac:dyDescent="0.3">
      <c r="A811" s="2" t="s">
        <v>2080</v>
      </c>
      <c r="B811" s="10">
        <v>44893</v>
      </c>
      <c r="C811" s="22">
        <v>44893</v>
      </c>
      <c r="D811" s="1" t="s">
        <v>2081</v>
      </c>
      <c r="E811" s="1" t="s">
        <v>1324</v>
      </c>
      <c r="F811" s="1">
        <v>34</v>
      </c>
      <c r="G811" s="1" t="s">
        <v>24</v>
      </c>
      <c r="H811" s="1" t="s">
        <v>74</v>
      </c>
      <c r="I811" s="1" t="s">
        <v>75</v>
      </c>
      <c r="J811" s="1" t="s">
        <v>27</v>
      </c>
      <c r="K811" s="1" t="s">
        <v>430</v>
      </c>
      <c r="L811" s="1">
        <v>3</v>
      </c>
      <c r="M811" s="13">
        <v>394.51</v>
      </c>
      <c r="N811" s="15">
        <v>0.05</v>
      </c>
      <c r="O811" s="13">
        <v>858.05</v>
      </c>
      <c r="P811" s="13">
        <v>56.54</v>
      </c>
      <c r="Q811" s="13">
        <v>50.11</v>
      </c>
      <c r="R811" s="1" t="s">
        <v>78</v>
      </c>
      <c r="S811" s="1">
        <v>2</v>
      </c>
      <c r="T811" s="1" t="b">
        <v>0</v>
      </c>
      <c r="U811" s="1" t="s">
        <v>137</v>
      </c>
      <c r="V811" s="3">
        <v>7</v>
      </c>
    </row>
    <row r="812" spans="1:22" x14ac:dyDescent="0.3">
      <c r="A812" s="2" t="s">
        <v>2082</v>
      </c>
      <c r="B812" s="10">
        <v>45547</v>
      </c>
      <c r="C812" s="22">
        <v>45547</v>
      </c>
      <c r="D812" s="1" t="s">
        <v>2083</v>
      </c>
      <c r="E812" s="1" t="s">
        <v>468</v>
      </c>
      <c r="F812" s="1">
        <v>34</v>
      </c>
      <c r="G812" s="1" t="s">
        <v>68</v>
      </c>
      <c r="H812" s="1" t="s">
        <v>25</v>
      </c>
      <c r="I812" s="1" t="s">
        <v>170</v>
      </c>
      <c r="J812" s="1" t="s">
        <v>27</v>
      </c>
      <c r="K812" s="1" t="s">
        <v>400</v>
      </c>
      <c r="L812" s="1">
        <v>8</v>
      </c>
      <c r="M812" s="13">
        <v>383.85</v>
      </c>
      <c r="N812" s="15">
        <v>0.39</v>
      </c>
      <c r="O812" s="13">
        <v>2308.0500000000002</v>
      </c>
      <c r="P812" s="13">
        <v>155.62</v>
      </c>
      <c r="Q812" s="13">
        <v>57.65</v>
      </c>
      <c r="R812" s="1" t="s">
        <v>64</v>
      </c>
      <c r="S812" s="1">
        <v>1</v>
      </c>
      <c r="T812" s="1" t="b">
        <v>0</v>
      </c>
      <c r="U812" s="1" t="s">
        <v>39</v>
      </c>
      <c r="V812" s="3">
        <v>10</v>
      </c>
    </row>
    <row r="813" spans="1:22" x14ac:dyDescent="0.3">
      <c r="A813" s="2" t="s">
        <v>2084</v>
      </c>
      <c r="B813" s="10">
        <v>45425</v>
      </c>
      <c r="C813" s="22">
        <v>45425</v>
      </c>
      <c r="D813" s="1" t="s">
        <v>2085</v>
      </c>
      <c r="E813" s="1" t="s">
        <v>100</v>
      </c>
      <c r="F813" s="1">
        <v>21</v>
      </c>
      <c r="G813" s="1" t="s">
        <v>434</v>
      </c>
      <c r="H813" s="1" t="s">
        <v>82</v>
      </c>
      <c r="I813" s="1" t="s">
        <v>83</v>
      </c>
      <c r="J813" s="1" t="s">
        <v>44</v>
      </c>
      <c r="K813" s="1" t="s">
        <v>93</v>
      </c>
      <c r="L813" s="1">
        <v>6</v>
      </c>
      <c r="M813" s="13">
        <v>17147.62</v>
      </c>
      <c r="N813" s="15">
        <v>0.11</v>
      </c>
      <c r="O813" s="13">
        <v>182249.65</v>
      </c>
      <c r="P813" s="13">
        <v>41080.800000000003</v>
      </c>
      <c r="Q813" s="13">
        <v>87.27</v>
      </c>
      <c r="R813" s="1" t="s">
        <v>70</v>
      </c>
      <c r="S813" s="1">
        <v>1</v>
      </c>
      <c r="T813" s="1" t="b">
        <v>0</v>
      </c>
      <c r="U813" s="1" t="s">
        <v>39</v>
      </c>
      <c r="V813" s="3">
        <v>4</v>
      </c>
    </row>
    <row r="814" spans="1:22" x14ac:dyDescent="0.3">
      <c r="A814" s="2" t="s">
        <v>2086</v>
      </c>
      <c r="B814" s="10">
        <v>43967</v>
      </c>
      <c r="C814" s="22">
        <v>43967</v>
      </c>
      <c r="D814" s="1" t="s">
        <v>2087</v>
      </c>
      <c r="E814" s="1" t="s">
        <v>786</v>
      </c>
      <c r="F814" s="1">
        <v>39</v>
      </c>
      <c r="G814" s="1" t="s">
        <v>68</v>
      </c>
      <c r="H814" s="1" t="s">
        <v>74</v>
      </c>
      <c r="I814" s="1" t="s">
        <v>75</v>
      </c>
      <c r="J814" s="1" t="s">
        <v>76</v>
      </c>
      <c r="K814" s="1" t="s">
        <v>89</v>
      </c>
      <c r="L814" s="1">
        <v>1</v>
      </c>
      <c r="M814" s="13">
        <v>507.78</v>
      </c>
      <c r="N814" s="15">
        <v>0.16</v>
      </c>
      <c r="O814" s="13">
        <v>592.57000000000005</v>
      </c>
      <c r="P814" s="13">
        <v>186.17</v>
      </c>
      <c r="Q814" s="13">
        <v>30.01</v>
      </c>
      <c r="R814" s="1" t="s">
        <v>64</v>
      </c>
      <c r="S814" s="1">
        <v>1</v>
      </c>
      <c r="T814" s="1" t="b">
        <v>0</v>
      </c>
      <c r="U814" s="1" t="s">
        <v>39</v>
      </c>
      <c r="V814" s="3">
        <v>10</v>
      </c>
    </row>
    <row r="815" spans="1:22" x14ac:dyDescent="0.3">
      <c r="A815" s="2" t="s">
        <v>2088</v>
      </c>
      <c r="B815" s="10">
        <v>44893</v>
      </c>
      <c r="C815" s="22">
        <v>44893</v>
      </c>
      <c r="D815" s="1" t="s">
        <v>2089</v>
      </c>
      <c r="E815" s="1" t="s">
        <v>1489</v>
      </c>
      <c r="F815" s="1">
        <v>65</v>
      </c>
      <c r="G815" s="1" t="s">
        <v>88</v>
      </c>
      <c r="H815" s="1" t="s">
        <v>74</v>
      </c>
      <c r="I815" s="1" t="s">
        <v>136</v>
      </c>
      <c r="J815" s="1" t="s">
        <v>37</v>
      </c>
      <c r="K815" s="1" t="s">
        <v>102</v>
      </c>
      <c r="L815" s="1">
        <v>3</v>
      </c>
      <c r="M815" s="13">
        <v>2301.12</v>
      </c>
      <c r="N815" s="15">
        <v>0.01</v>
      </c>
      <c r="O815" s="13">
        <v>5967.23</v>
      </c>
      <c r="P815" s="13">
        <v>3374.68</v>
      </c>
      <c r="Q815" s="13">
        <v>44.75</v>
      </c>
      <c r="R815" s="1" t="s">
        <v>29</v>
      </c>
      <c r="S815" s="1">
        <v>3</v>
      </c>
      <c r="T815" s="1" t="b">
        <v>0</v>
      </c>
      <c r="U815" s="1" t="s">
        <v>39</v>
      </c>
      <c r="V815" s="3">
        <v>9</v>
      </c>
    </row>
    <row r="816" spans="1:22" x14ac:dyDescent="0.3">
      <c r="A816" s="2" t="s">
        <v>2090</v>
      </c>
      <c r="B816" s="10">
        <v>44508</v>
      </c>
      <c r="C816" s="22">
        <v>44508</v>
      </c>
      <c r="D816" s="1" t="s">
        <v>2091</v>
      </c>
      <c r="E816" s="1" t="s">
        <v>885</v>
      </c>
      <c r="F816" s="1">
        <v>36</v>
      </c>
      <c r="G816" s="1" t="s">
        <v>34</v>
      </c>
      <c r="H816" s="1" t="s">
        <v>111</v>
      </c>
      <c r="I816" s="1" t="s">
        <v>112</v>
      </c>
      <c r="J816" s="1" t="s">
        <v>76</v>
      </c>
      <c r="K816" s="1" t="s">
        <v>132</v>
      </c>
      <c r="L816" s="1">
        <v>8</v>
      </c>
      <c r="M816" s="13">
        <v>371.01</v>
      </c>
      <c r="N816" s="15">
        <v>0.05</v>
      </c>
      <c r="O816" s="13">
        <v>2211.38</v>
      </c>
      <c r="P816" s="13">
        <v>677.75</v>
      </c>
      <c r="Q816" s="13">
        <v>90.52</v>
      </c>
      <c r="R816" s="1" t="s">
        <v>29</v>
      </c>
      <c r="S816" s="1">
        <v>3</v>
      </c>
      <c r="T816" s="1" t="b">
        <v>0</v>
      </c>
      <c r="U816" s="1" t="s">
        <v>39</v>
      </c>
      <c r="V816" s="3">
        <v>4</v>
      </c>
    </row>
    <row r="817" spans="1:22" x14ac:dyDescent="0.3">
      <c r="A817" s="2" t="s">
        <v>2092</v>
      </c>
      <c r="B817" s="10">
        <v>45087</v>
      </c>
      <c r="C817" s="22">
        <v>45087</v>
      </c>
      <c r="D817" s="1" t="s">
        <v>2093</v>
      </c>
      <c r="E817" s="1" t="s">
        <v>363</v>
      </c>
      <c r="F817" s="1">
        <v>46</v>
      </c>
      <c r="G817" s="1" t="s">
        <v>34</v>
      </c>
      <c r="H817" s="1" t="s">
        <v>35</v>
      </c>
      <c r="I817" s="1" t="s">
        <v>49</v>
      </c>
      <c r="J817" s="1" t="s">
        <v>127</v>
      </c>
      <c r="K817" s="1" t="s">
        <v>142</v>
      </c>
      <c r="L817" s="1">
        <v>9</v>
      </c>
      <c r="M817" s="13">
        <v>31196.73</v>
      </c>
      <c r="N817" s="15">
        <v>0.12</v>
      </c>
      <c r="O817" s="13">
        <v>368280.67</v>
      </c>
      <c r="P817" s="13">
        <v>38060.11</v>
      </c>
      <c r="Q817" s="13">
        <v>59.85</v>
      </c>
      <c r="R817" s="1" t="s">
        <v>78</v>
      </c>
      <c r="S817" s="1">
        <v>1</v>
      </c>
      <c r="T817" s="1" t="b">
        <v>0</v>
      </c>
      <c r="U817" s="1" t="s">
        <v>39</v>
      </c>
      <c r="V817" s="3">
        <v>1</v>
      </c>
    </row>
    <row r="818" spans="1:22" x14ac:dyDescent="0.3">
      <c r="A818" s="2" t="s">
        <v>2094</v>
      </c>
      <c r="B818" s="10">
        <v>44556</v>
      </c>
      <c r="C818" s="22">
        <v>44556</v>
      </c>
      <c r="D818" s="1" t="s">
        <v>2095</v>
      </c>
      <c r="E818" s="1" t="s">
        <v>900</v>
      </c>
      <c r="F818" s="1">
        <v>17</v>
      </c>
      <c r="G818" s="1" t="s">
        <v>34</v>
      </c>
      <c r="H818" s="1" t="s">
        <v>35</v>
      </c>
      <c r="I818" s="1" t="s">
        <v>36</v>
      </c>
      <c r="J818" s="1" t="s">
        <v>37</v>
      </c>
      <c r="K818" s="1" t="s">
        <v>671</v>
      </c>
      <c r="L818" s="1">
        <v>1</v>
      </c>
      <c r="M818" s="13">
        <v>2178.9699999999998</v>
      </c>
      <c r="N818" s="15">
        <v>0.2</v>
      </c>
      <c r="O818" s="13">
        <v>1341.05</v>
      </c>
      <c r="P818" s="13">
        <v>779.45</v>
      </c>
      <c r="Q818" s="13">
        <v>65.86</v>
      </c>
      <c r="R818" s="1" t="s">
        <v>29</v>
      </c>
      <c r="S818" s="1">
        <v>2</v>
      </c>
      <c r="T818" s="1" t="b">
        <v>1</v>
      </c>
      <c r="U818" s="1" t="s">
        <v>30</v>
      </c>
      <c r="V818" s="3">
        <v>9</v>
      </c>
    </row>
    <row r="819" spans="1:22" x14ac:dyDescent="0.3">
      <c r="A819" s="2" t="s">
        <v>2096</v>
      </c>
      <c r="B819" s="10">
        <v>43945</v>
      </c>
      <c r="C819" s="22">
        <v>43945</v>
      </c>
      <c r="D819" s="1" t="s">
        <v>2097</v>
      </c>
      <c r="E819" s="1" t="s">
        <v>743</v>
      </c>
      <c r="F819" s="1">
        <v>33</v>
      </c>
      <c r="G819" s="1" t="s">
        <v>24</v>
      </c>
      <c r="H819" s="1" t="s">
        <v>82</v>
      </c>
      <c r="I819" s="1" t="s">
        <v>244</v>
      </c>
      <c r="J819" s="1" t="s">
        <v>44</v>
      </c>
      <c r="K819" s="1" t="s">
        <v>50</v>
      </c>
      <c r="L819" s="1">
        <v>5</v>
      </c>
      <c r="M819" s="13">
        <v>26679.1</v>
      </c>
      <c r="N819" s="15">
        <v>0.14000000000000001</v>
      </c>
      <c r="O819" s="13">
        <v>122018.19</v>
      </c>
      <c r="P819" s="13">
        <v>34943.360000000001</v>
      </c>
      <c r="Q819" s="13">
        <v>84.72</v>
      </c>
      <c r="R819" s="1" t="s">
        <v>64</v>
      </c>
      <c r="S819" s="1">
        <v>4</v>
      </c>
      <c r="T819" s="1" t="b">
        <v>0</v>
      </c>
      <c r="U819" s="1" t="s">
        <v>137</v>
      </c>
      <c r="V819" s="3">
        <v>6</v>
      </c>
    </row>
    <row r="820" spans="1:22" x14ac:dyDescent="0.3">
      <c r="A820" s="2" t="s">
        <v>2098</v>
      </c>
      <c r="B820" s="10">
        <v>45178</v>
      </c>
      <c r="C820" s="22">
        <v>45178</v>
      </c>
      <c r="D820" s="1" t="s">
        <v>2099</v>
      </c>
      <c r="E820" s="1" t="s">
        <v>105</v>
      </c>
      <c r="F820" s="1">
        <v>42</v>
      </c>
      <c r="G820" s="1" t="s">
        <v>88</v>
      </c>
      <c r="H820" s="1" t="s">
        <v>74</v>
      </c>
      <c r="I820" s="1" t="s">
        <v>75</v>
      </c>
      <c r="J820" s="1" t="s">
        <v>44</v>
      </c>
      <c r="K820" s="1" t="s">
        <v>50</v>
      </c>
      <c r="L820" s="1">
        <v>5</v>
      </c>
      <c r="M820" s="13">
        <v>12592.51</v>
      </c>
      <c r="N820" s="15">
        <v>0.28000000000000003</v>
      </c>
      <c r="O820" s="13">
        <v>61837.22</v>
      </c>
      <c r="P820" s="13">
        <v>19148.11</v>
      </c>
      <c r="Q820" s="13">
        <v>45.88</v>
      </c>
      <c r="R820" s="1" t="s">
        <v>78</v>
      </c>
      <c r="S820" s="1">
        <v>1</v>
      </c>
      <c r="T820" s="1" t="b">
        <v>1</v>
      </c>
      <c r="U820" s="1" t="s">
        <v>30</v>
      </c>
      <c r="V820" s="3">
        <v>5</v>
      </c>
    </row>
    <row r="821" spans="1:22" x14ac:dyDescent="0.3">
      <c r="A821" s="2" t="s">
        <v>2100</v>
      </c>
      <c r="B821" s="10">
        <v>44017</v>
      </c>
      <c r="C821" s="22">
        <v>44017</v>
      </c>
      <c r="D821" s="1" t="s">
        <v>2101</v>
      </c>
      <c r="E821" s="1" t="s">
        <v>181</v>
      </c>
      <c r="F821" s="1">
        <v>30</v>
      </c>
      <c r="G821" s="1" t="s">
        <v>68</v>
      </c>
      <c r="H821" s="1" t="s">
        <v>25</v>
      </c>
      <c r="I821" s="1" t="s">
        <v>69</v>
      </c>
      <c r="J821" s="1" t="s">
        <v>127</v>
      </c>
      <c r="K821" s="1" t="s">
        <v>171</v>
      </c>
      <c r="L821" s="1">
        <v>3</v>
      </c>
      <c r="M821" s="13">
        <v>65806.63</v>
      </c>
      <c r="N821" s="15">
        <v>0.38</v>
      </c>
      <c r="O821" s="13">
        <v>148143.49</v>
      </c>
      <c r="P821" s="13">
        <v>17001.53</v>
      </c>
      <c r="Q821" s="13">
        <v>32.06</v>
      </c>
      <c r="R821" s="1" t="s">
        <v>51</v>
      </c>
      <c r="S821" s="1">
        <v>2</v>
      </c>
      <c r="T821" s="1" t="b">
        <v>0</v>
      </c>
      <c r="U821" s="1" t="s">
        <v>39</v>
      </c>
      <c r="V821" s="3">
        <v>10</v>
      </c>
    </row>
    <row r="822" spans="1:22" x14ac:dyDescent="0.3">
      <c r="A822" s="2" t="s">
        <v>2102</v>
      </c>
      <c r="B822" s="10">
        <v>45029</v>
      </c>
      <c r="C822" s="22">
        <v>45029</v>
      </c>
      <c r="D822" s="1" t="s">
        <v>2103</v>
      </c>
      <c r="E822" s="1" t="s">
        <v>387</v>
      </c>
      <c r="F822" s="1">
        <v>53</v>
      </c>
      <c r="G822" s="1" t="s">
        <v>24</v>
      </c>
      <c r="H822" s="1" t="s">
        <v>111</v>
      </c>
      <c r="I822" s="1" t="s">
        <v>121</v>
      </c>
      <c r="J822" s="1" t="s">
        <v>27</v>
      </c>
      <c r="K822" s="1" t="s">
        <v>56</v>
      </c>
      <c r="L822" s="1">
        <v>5</v>
      </c>
      <c r="M822" s="13">
        <v>185.61</v>
      </c>
      <c r="N822" s="15">
        <v>0.27</v>
      </c>
      <c r="O822" s="13">
        <v>977.56</v>
      </c>
      <c r="P822" s="13">
        <v>69.040000000000006</v>
      </c>
      <c r="Q822" s="13">
        <v>58.1</v>
      </c>
      <c r="R822" s="1" t="s">
        <v>51</v>
      </c>
      <c r="S822" s="1">
        <v>5</v>
      </c>
      <c r="T822" s="1" t="b">
        <v>0</v>
      </c>
      <c r="U822" s="1" t="s">
        <v>39</v>
      </c>
      <c r="V822" s="3">
        <v>2</v>
      </c>
    </row>
    <row r="823" spans="1:22" x14ac:dyDescent="0.3">
      <c r="A823" s="2" t="s">
        <v>2104</v>
      </c>
      <c r="B823" s="10">
        <v>43991</v>
      </c>
      <c r="C823" s="22">
        <v>43991</v>
      </c>
      <c r="D823" s="1" t="s">
        <v>2105</v>
      </c>
      <c r="E823" s="1" t="s">
        <v>1650</v>
      </c>
      <c r="F823" s="1">
        <v>33</v>
      </c>
      <c r="G823" s="1" t="s">
        <v>24</v>
      </c>
      <c r="H823" s="1" t="s">
        <v>25</v>
      </c>
      <c r="I823" s="1" t="s">
        <v>26</v>
      </c>
      <c r="J823" s="1" t="s">
        <v>62</v>
      </c>
      <c r="K823" s="1" t="s">
        <v>63</v>
      </c>
      <c r="L823" s="1">
        <v>3</v>
      </c>
      <c r="M823" s="13">
        <v>575.95000000000005</v>
      </c>
      <c r="N823" s="15">
        <v>0</v>
      </c>
      <c r="O823" s="13">
        <v>2110.73</v>
      </c>
      <c r="P823" s="13">
        <v>792.19</v>
      </c>
      <c r="Q823" s="13">
        <v>70.41</v>
      </c>
      <c r="R823" s="1" t="s">
        <v>64</v>
      </c>
      <c r="S823" s="1">
        <v>3</v>
      </c>
      <c r="T823" s="1" t="b">
        <v>0</v>
      </c>
      <c r="U823" s="1" t="s">
        <v>39</v>
      </c>
      <c r="V823" s="3">
        <v>9</v>
      </c>
    </row>
    <row r="824" spans="1:22" x14ac:dyDescent="0.3">
      <c r="A824" s="2" t="s">
        <v>2106</v>
      </c>
      <c r="B824" s="10">
        <v>44032</v>
      </c>
      <c r="C824" s="22">
        <v>44032</v>
      </c>
      <c r="D824" s="1" t="s">
        <v>2107</v>
      </c>
      <c r="E824" s="1" t="s">
        <v>616</v>
      </c>
      <c r="F824" s="1">
        <v>56</v>
      </c>
      <c r="G824" s="1" t="s">
        <v>68</v>
      </c>
      <c r="H824" s="1" t="s">
        <v>25</v>
      </c>
      <c r="I824" s="1" t="s">
        <v>26</v>
      </c>
      <c r="J824" s="1" t="s">
        <v>27</v>
      </c>
      <c r="K824" s="1" t="s">
        <v>400</v>
      </c>
      <c r="L824" s="1">
        <v>8</v>
      </c>
      <c r="M824" s="13">
        <v>353.32</v>
      </c>
      <c r="N824" s="15">
        <v>0.31</v>
      </c>
      <c r="O824" s="13">
        <v>2484.7800000000002</v>
      </c>
      <c r="P824" s="13">
        <v>174.59</v>
      </c>
      <c r="Q824" s="13">
        <v>72.56</v>
      </c>
      <c r="R824" s="1" t="s">
        <v>57</v>
      </c>
      <c r="S824" s="1">
        <v>3</v>
      </c>
      <c r="T824" s="1" t="b">
        <v>0</v>
      </c>
      <c r="U824" s="1" t="s">
        <v>137</v>
      </c>
      <c r="V824" s="3">
        <v>5</v>
      </c>
    </row>
    <row r="825" spans="1:22" x14ac:dyDescent="0.3">
      <c r="A825" s="2" t="s">
        <v>2108</v>
      </c>
      <c r="B825" s="10">
        <v>45229</v>
      </c>
      <c r="C825" s="22">
        <v>45229</v>
      </c>
      <c r="D825" s="1" t="s">
        <v>2109</v>
      </c>
      <c r="E825" s="1" t="s">
        <v>2110</v>
      </c>
      <c r="F825" s="1">
        <v>23</v>
      </c>
      <c r="G825" s="1" t="s">
        <v>68</v>
      </c>
      <c r="H825" s="1" t="s">
        <v>111</v>
      </c>
      <c r="I825" s="1" t="s">
        <v>330</v>
      </c>
      <c r="J825" s="1" t="s">
        <v>76</v>
      </c>
      <c r="K825" s="1" t="s">
        <v>132</v>
      </c>
      <c r="L825" s="1">
        <v>8</v>
      </c>
      <c r="M825" s="13">
        <v>1084.06</v>
      </c>
      <c r="N825" s="15">
        <v>0.19</v>
      </c>
      <c r="O825" s="13">
        <v>7119.27</v>
      </c>
      <c r="P825" s="13">
        <v>2636.93</v>
      </c>
      <c r="Q825" s="13">
        <v>74.709999999999994</v>
      </c>
      <c r="R825" s="1" t="s">
        <v>51</v>
      </c>
      <c r="S825" s="1">
        <v>5</v>
      </c>
      <c r="T825" s="1" t="b">
        <v>0</v>
      </c>
      <c r="U825" s="1" t="s">
        <v>84</v>
      </c>
      <c r="V825" s="3">
        <v>3</v>
      </c>
    </row>
    <row r="826" spans="1:22" x14ac:dyDescent="0.3">
      <c r="A826" s="2" t="s">
        <v>2111</v>
      </c>
      <c r="B826" s="10">
        <v>44810</v>
      </c>
      <c r="C826" s="22">
        <v>44810</v>
      </c>
      <c r="D826" s="1" t="s">
        <v>2112</v>
      </c>
      <c r="E826" s="1" t="s">
        <v>275</v>
      </c>
      <c r="F826" s="1">
        <v>37</v>
      </c>
      <c r="G826" s="1" t="s">
        <v>24</v>
      </c>
      <c r="H826" s="1" t="s">
        <v>25</v>
      </c>
      <c r="I826" s="1" t="s">
        <v>26</v>
      </c>
      <c r="J826" s="1" t="s">
        <v>27</v>
      </c>
      <c r="K826" s="1" t="s">
        <v>430</v>
      </c>
      <c r="L826" s="1">
        <v>10</v>
      </c>
      <c r="M826" s="13">
        <v>133.19999999999999</v>
      </c>
      <c r="N826" s="15">
        <v>0.32</v>
      </c>
      <c r="O826" s="13">
        <v>1074.27</v>
      </c>
      <c r="P826" s="13">
        <v>100.19</v>
      </c>
      <c r="Q826" s="13">
        <v>64.48</v>
      </c>
      <c r="R826" s="1" t="s">
        <v>51</v>
      </c>
      <c r="S826" s="1">
        <v>3</v>
      </c>
      <c r="T826" s="1" t="b">
        <v>0</v>
      </c>
      <c r="U826" s="1" t="s">
        <v>39</v>
      </c>
      <c r="V826" s="3">
        <v>8</v>
      </c>
    </row>
    <row r="827" spans="1:22" x14ac:dyDescent="0.3">
      <c r="A827" s="2" t="s">
        <v>2113</v>
      </c>
      <c r="B827" s="10">
        <v>44362</v>
      </c>
      <c r="C827" s="22">
        <v>44362</v>
      </c>
      <c r="D827" s="1" t="s">
        <v>2114</v>
      </c>
      <c r="E827" s="1" t="s">
        <v>1495</v>
      </c>
      <c r="F827" s="1">
        <v>40</v>
      </c>
      <c r="G827" s="1" t="s">
        <v>68</v>
      </c>
      <c r="H827" s="1" t="s">
        <v>35</v>
      </c>
      <c r="I827" s="1" t="s">
        <v>106</v>
      </c>
      <c r="J827" s="1" t="s">
        <v>127</v>
      </c>
      <c r="K827" s="1" t="s">
        <v>517</v>
      </c>
      <c r="L827" s="1">
        <v>9</v>
      </c>
      <c r="M827" s="13">
        <v>72408.179999999993</v>
      </c>
      <c r="N827" s="15">
        <v>0.22</v>
      </c>
      <c r="O827" s="13">
        <v>748589.49</v>
      </c>
      <c r="P827" s="13">
        <v>103509.24</v>
      </c>
      <c r="Q827" s="13">
        <v>41.95</v>
      </c>
      <c r="R827" s="1" t="s">
        <v>29</v>
      </c>
      <c r="S827" s="1">
        <v>5</v>
      </c>
      <c r="T827" s="1" t="b">
        <v>0</v>
      </c>
      <c r="U827" s="1" t="s">
        <v>39</v>
      </c>
      <c r="V827" s="3">
        <v>3</v>
      </c>
    </row>
    <row r="828" spans="1:22" x14ac:dyDescent="0.3">
      <c r="A828" s="2" t="s">
        <v>2115</v>
      </c>
      <c r="B828" s="10">
        <v>44434</v>
      </c>
      <c r="C828" s="22">
        <v>44434</v>
      </c>
      <c r="D828" s="1" t="s">
        <v>2116</v>
      </c>
      <c r="E828" s="1" t="s">
        <v>2117</v>
      </c>
      <c r="F828" s="1">
        <v>55</v>
      </c>
      <c r="G828" s="1" t="s">
        <v>68</v>
      </c>
      <c r="H828" s="1" t="s">
        <v>82</v>
      </c>
      <c r="I828" s="1" t="s">
        <v>244</v>
      </c>
      <c r="J828" s="1" t="s">
        <v>146</v>
      </c>
      <c r="K828" s="1" t="s">
        <v>217</v>
      </c>
      <c r="L828" s="1">
        <v>4</v>
      </c>
      <c r="M828" s="13">
        <v>14419.59</v>
      </c>
      <c r="N828" s="15">
        <v>0.34</v>
      </c>
      <c r="O828" s="13">
        <v>44932.24</v>
      </c>
      <c r="P828" s="13">
        <v>11862.97</v>
      </c>
      <c r="Q828" s="13">
        <v>63.9</v>
      </c>
      <c r="R828" s="1" t="s">
        <v>78</v>
      </c>
      <c r="S828" s="1">
        <v>2</v>
      </c>
      <c r="T828" s="1" t="b">
        <v>0</v>
      </c>
      <c r="U828" s="1" t="s">
        <v>39</v>
      </c>
      <c r="V828" s="3">
        <v>4</v>
      </c>
    </row>
    <row r="829" spans="1:22" x14ac:dyDescent="0.3">
      <c r="A829" s="2" t="s">
        <v>2118</v>
      </c>
      <c r="B829" s="10">
        <v>44315</v>
      </c>
      <c r="C829" s="22">
        <v>44315</v>
      </c>
      <c r="D829" s="1" t="s">
        <v>2119</v>
      </c>
      <c r="E829" s="1" t="s">
        <v>319</v>
      </c>
      <c r="F829" s="1">
        <v>31</v>
      </c>
      <c r="G829" s="1" t="s">
        <v>391</v>
      </c>
      <c r="H829" s="1" t="s">
        <v>25</v>
      </c>
      <c r="I829" s="1" t="s">
        <v>26</v>
      </c>
      <c r="J829" s="1" t="s">
        <v>44</v>
      </c>
      <c r="K829" s="1" t="s">
        <v>93</v>
      </c>
      <c r="L829" s="1">
        <v>1</v>
      </c>
      <c r="M829" s="13">
        <v>2601.5100000000002</v>
      </c>
      <c r="N829" s="15">
        <v>0.02</v>
      </c>
      <c r="O829" s="13">
        <v>3057.58</v>
      </c>
      <c r="P829" s="13">
        <v>856.37</v>
      </c>
      <c r="Q829" s="13">
        <v>47.41</v>
      </c>
      <c r="R829" s="1" t="s">
        <v>57</v>
      </c>
      <c r="S829" s="1">
        <v>2</v>
      </c>
      <c r="T829" s="1" t="b">
        <v>1</v>
      </c>
      <c r="U829" s="1" t="s">
        <v>30</v>
      </c>
      <c r="V829" s="3">
        <v>9</v>
      </c>
    </row>
    <row r="830" spans="1:22" x14ac:dyDescent="0.3">
      <c r="A830" s="2" t="s">
        <v>2120</v>
      </c>
      <c r="B830" s="10">
        <v>43869</v>
      </c>
      <c r="C830" s="22">
        <v>43869</v>
      </c>
      <c r="D830" s="1" t="s">
        <v>2121</v>
      </c>
      <c r="E830" s="1" t="s">
        <v>220</v>
      </c>
      <c r="F830" s="1">
        <v>39</v>
      </c>
      <c r="G830" s="1" t="s">
        <v>24</v>
      </c>
      <c r="H830" s="1" t="s">
        <v>82</v>
      </c>
      <c r="I830" s="1" t="s">
        <v>293</v>
      </c>
      <c r="J830" s="1" t="s">
        <v>27</v>
      </c>
      <c r="K830" s="1" t="s">
        <v>56</v>
      </c>
      <c r="L830" s="1">
        <v>4</v>
      </c>
      <c r="M830" s="13">
        <v>151.09</v>
      </c>
      <c r="N830" s="15">
        <v>0.02</v>
      </c>
      <c r="O830" s="13">
        <v>515.74</v>
      </c>
      <c r="P830" s="13">
        <v>42.51</v>
      </c>
      <c r="Q830" s="13">
        <v>80.209999999999994</v>
      </c>
      <c r="R830" s="1" t="s">
        <v>29</v>
      </c>
      <c r="S830" s="1">
        <v>2</v>
      </c>
      <c r="T830" s="1" t="b">
        <v>0</v>
      </c>
      <c r="U830" s="1" t="s">
        <v>39</v>
      </c>
      <c r="V830" s="3">
        <v>10</v>
      </c>
    </row>
    <row r="831" spans="1:22" x14ac:dyDescent="0.3">
      <c r="A831" s="2" t="s">
        <v>2122</v>
      </c>
      <c r="B831" s="10">
        <v>44173</v>
      </c>
      <c r="C831" s="22">
        <v>44173</v>
      </c>
      <c r="D831" s="1" t="s">
        <v>2123</v>
      </c>
      <c r="E831" s="1" t="s">
        <v>1173</v>
      </c>
      <c r="F831" s="1">
        <v>40</v>
      </c>
      <c r="G831" s="1" t="s">
        <v>34</v>
      </c>
      <c r="H831" s="1" t="s">
        <v>82</v>
      </c>
      <c r="I831" s="1" t="s">
        <v>293</v>
      </c>
      <c r="J831" s="1" t="s">
        <v>127</v>
      </c>
      <c r="K831" s="1" t="s">
        <v>196</v>
      </c>
      <c r="L831" s="1">
        <v>9</v>
      </c>
      <c r="M831" s="13">
        <v>71873.78</v>
      </c>
      <c r="N831" s="15">
        <v>0</v>
      </c>
      <c r="O831" s="13">
        <v>456663.98</v>
      </c>
      <c r="P831" s="13">
        <v>59316.97</v>
      </c>
      <c r="Q831" s="13">
        <v>91.31</v>
      </c>
      <c r="R831" s="1" t="s">
        <v>70</v>
      </c>
      <c r="S831" s="1">
        <v>5</v>
      </c>
      <c r="T831" s="1" t="b">
        <v>0</v>
      </c>
      <c r="U831" s="1" t="s">
        <v>39</v>
      </c>
      <c r="V831" s="3">
        <v>7</v>
      </c>
    </row>
    <row r="832" spans="1:22" x14ac:dyDescent="0.3">
      <c r="A832" s="2" t="s">
        <v>2124</v>
      </c>
      <c r="B832" s="10">
        <v>45591</v>
      </c>
      <c r="C832" s="22">
        <v>45591</v>
      </c>
      <c r="D832" s="1" t="s">
        <v>2125</v>
      </c>
      <c r="E832" s="1" t="s">
        <v>301</v>
      </c>
      <c r="F832" s="1">
        <v>27</v>
      </c>
      <c r="G832" s="1" t="s">
        <v>463</v>
      </c>
      <c r="H832" s="1" t="s">
        <v>35</v>
      </c>
      <c r="I832" s="1" t="s">
        <v>106</v>
      </c>
      <c r="J832" s="1" t="s">
        <v>37</v>
      </c>
      <c r="K832" s="1" t="s">
        <v>671</v>
      </c>
      <c r="L832" s="1">
        <v>6</v>
      </c>
      <c r="M832" s="13">
        <v>2486.23</v>
      </c>
      <c r="N832" s="15">
        <v>0.11</v>
      </c>
      <c r="O832" s="13">
        <v>13804.56</v>
      </c>
      <c r="P832" s="13">
        <v>6763.76</v>
      </c>
      <c r="Q832" s="13">
        <v>65.88</v>
      </c>
      <c r="R832" s="1" t="s">
        <v>64</v>
      </c>
      <c r="S832" s="1">
        <v>4</v>
      </c>
      <c r="T832" s="1" t="b">
        <v>1</v>
      </c>
      <c r="U832" s="1" t="s">
        <v>30</v>
      </c>
      <c r="V832" s="3">
        <v>8</v>
      </c>
    </row>
    <row r="833" spans="1:22" x14ac:dyDescent="0.3">
      <c r="A833" s="2" t="s">
        <v>2126</v>
      </c>
      <c r="B833" s="10">
        <v>44193</v>
      </c>
      <c r="C833" s="22">
        <v>44193</v>
      </c>
      <c r="D833" s="1" t="s">
        <v>2127</v>
      </c>
      <c r="E833" s="1" t="s">
        <v>578</v>
      </c>
      <c r="F833" s="1">
        <v>52</v>
      </c>
      <c r="G833" s="1" t="s">
        <v>24</v>
      </c>
      <c r="H833" s="1" t="s">
        <v>25</v>
      </c>
      <c r="I833" s="1" t="s">
        <v>26</v>
      </c>
      <c r="J833" s="1" t="s">
        <v>27</v>
      </c>
      <c r="K833" s="1" t="s">
        <v>56</v>
      </c>
      <c r="L833" s="1">
        <v>7</v>
      </c>
      <c r="M833" s="13">
        <v>103.75</v>
      </c>
      <c r="N833" s="15">
        <v>0.32</v>
      </c>
      <c r="O833" s="13">
        <v>344.42</v>
      </c>
      <c r="P833" s="13">
        <v>34.770000000000003</v>
      </c>
      <c r="Q833" s="13">
        <v>67.069999999999993</v>
      </c>
      <c r="R833" s="1" t="s">
        <v>29</v>
      </c>
      <c r="S833" s="1">
        <v>5</v>
      </c>
      <c r="T833" s="1" t="b">
        <v>0</v>
      </c>
      <c r="U833" s="1" t="s">
        <v>39</v>
      </c>
      <c r="V833" s="3">
        <v>4</v>
      </c>
    </row>
    <row r="834" spans="1:22" x14ac:dyDescent="0.3">
      <c r="A834" s="2" t="s">
        <v>2128</v>
      </c>
      <c r="B834" s="10">
        <v>44811</v>
      </c>
      <c r="C834" s="22">
        <v>44811</v>
      </c>
      <c r="D834" s="1" t="s">
        <v>2129</v>
      </c>
      <c r="E834" s="1" t="s">
        <v>2130</v>
      </c>
      <c r="F834" s="1">
        <v>34</v>
      </c>
      <c r="G834" s="1" t="s">
        <v>24</v>
      </c>
      <c r="H834" s="1" t="s">
        <v>111</v>
      </c>
      <c r="I834" s="1" t="s">
        <v>112</v>
      </c>
      <c r="J834" s="1" t="s">
        <v>127</v>
      </c>
      <c r="K834" s="1" t="s">
        <v>171</v>
      </c>
      <c r="L834" s="1">
        <v>4</v>
      </c>
      <c r="M834" s="13">
        <v>45635.8</v>
      </c>
      <c r="N834" s="15">
        <v>0.04</v>
      </c>
      <c r="O834" s="13">
        <v>195002.92</v>
      </c>
      <c r="P834" s="13">
        <v>30972.52</v>
      </c>
      <c r="Q834" s="13">
        <v>69.48</v>
      </c>
      <c r="R834" s="1" t="s">
        <v>57</v>
      </c>
      <c r="S834" s="1">
        <v>4</v>
      </c>
      <c r="T834" s="1" t="b">
        <v>0</v>
      </c>
      <c r="U834" s="1" t="s">
        <v>197</v>
      </c>
      <c r="V834" s="3">
        <v>1</v>
      </c>
    </row>
    <row r="835" spans="1:22" x14ac:dyDescent="0.3">
      <c r="A835" s="2" t="s">
        <v>2131</v>
      </c>
      <c r="B835" s="10">
        <v>44404</v>
      </c>
      <c r="C835" s="22">
        <v>44404</v>
      </c>
      <c r="D835" s="1" t="s">
        <v>2132</v>
      </c>
      <c r="E835" s="1" t="s">
        <v>681</v>
      </c>
      <c r="F835" s="1">
        <v>26</v>
      </c>
      <c r="G835" s="1" t="s">
        <v>463</v>
      </c>
      <c r="H835" s="1" t="s">
        <v>111</v>
      </c>
      <c r="I835" s="1" t="s">
        <v>121</v>
      </c>
      <c r="J835" s="1" t="s">
        <v>27</v>
      </c>
      <c r="K835" s="1" t="s">
        <v>400</v>
      </c>
      <c r="L835" s="1">
        <v>8</v>
      </c>
      <c r="M835" s="13">
        <v>239.96</v>
      </c>
      <c r="N835" s="15">
        <v>0.33</v>
      </c>
      <c r="O835" s="13">
        <v>1605.72</v>
      </c>
      <c r="P835" s="13">
        <v>116.65</v>
      </c>
      <c r="Q835" s="13">
        <v>35.590000000000003</v>
      </c>
      <c r="R835" s="1" t="s">
        <v>70</v>
      </c>
      <c r="S835" s="1">
        <v>3</v>
      </c>
      <c r="T835" s="1" t="b">
        <v>0</v>
      </c>
      <c r="U835" s="1" t="s">
        <v>39</v>
      </c>
      <c r="V835" s="3">
        <v>4</v>
      </c>
    </row>
    <row r="836" spans="1:22" x14ac:dyDescent="0.3">
      <c r="A836" s="2" t="s">
        <v>2133</v>
      </c>
      <c r="B836" s="10">
        <v>45331</v>
      </c>
      <c r="C836" s="22">
        <v>45331</v>
      </c>
      <c r="D836" s="1" t="s">
        <v>2134</v>
      </c>
      <c r="E836" s="1" t="s">
        <v>387</v>
      </c>
      <c r="F836" s="1">
        <v>16</v>
      </c>
      <c r="G836" s="1" t="s">
        <v>34</v>
      </c>
      <c r="H836" s="1" t="s">
        <v>82</v>
      </c>
      <c r="I836" s="1" t="s">
        <v>293</v>
      </c>
      <c r="J836" s="1" t="s">
        <v>27</v>
      </c>
      <c r="K836" s="1" t="s">
        <v>97</v>
      </c>
      <c r="L836" s="1">
        <v>1</v>
      </c>
      <c r="M836" s="13">
        <v>65.16</v>
      </c>
      <c r="N836" s="15">
        <v>7.0000000000000007E-2</v>
      </c>
      <c r="O836" s="13">
        <v>72.22</v>
      </c>
      <c r="P836" s="13">
        <v>7.37</v>
      </c>
      <c r="Q836" s="13">
        <v>93.34</v>
      </c>
      <c r="R836" s="1" t="s">
        <v>51</v>
      </c>
      <c r="S836" s="1">
        <v>3</v>
      </c>
      <c r="T836" s="1" t="b">
        <v>0</v>
      </c>
      <c r="U836" s="1" t="s">
        <v>39</v>
      </c>
      <c r="V836" s="3">
        <v>3</v>
      </c>
    </row>
    <row r="837" spans="1:22" x14ac:dyDescent="0.3">
      <c r="A837" s="2" t="s">
        <v>2135</v>
      </c>
      <c r="B837" s="10">
        <v>45220</v>
      </c>
      <c r="C837" s="22">
        <v>45220</v>
      </c>
      <c r="D837" s="1" t="s">
        <v>2136</v>
      </c>
      <c r="E837" s="1" t="s">
        <v>2137</v>
      </c>
      <c r="F837" s="1">
        <v>40</v>
      </c>
      <c r="G837" s="1" t="s">
        <v>24</v>
      </c>
      <c r="H837" s="1" t="s">
        <v>74</v>
      </c>
      <c r="I837" s="1" t="s">
        <v>136</v>
      </c>
      <c r="J837" s="1" t="s">
        <v>44</v>
      </c>
      <c r="K837" s="1" t="s">
        <v>45</v>
      </c>
      <c r="L837" s="1">
        <v>10</v>
      </c>
      <c r="M837" s="13">
        <v>6877.63</v>
      </c>
      <c r="N837" s="15">
        <v>0.32</v>
      </c>
      <c r="O837" s="13">
        <v>49127.13</v>
      </c>
      <c r="P837" s="13">
        <v>15040.93</v>
      </c>
      <c r="Q837" s="13">
        <v>38.46</v>
      </c>
      <c r="R837" s="1" t="s">
        <v>70</v>
      </c>
      <c r="S837" s="1">
        <v>3</v>
      </c>
      <c r="T837" s="1" t="b">
        <v>0</v>
      </c>
      <c r="U837" s="1" t="s">
        <v>39</v>
      </c>
      <c r="V837" s="3">
        <v>8</v>
      </c>
    </row>
    <row r="838" spans="1:22" x14ac:dyDescent="0.3">
      <c r="A838" s="2" t="s">
        <v>2138</v>
      </c>
      <c r="B838" s="10">
        <v>45098</v>
      </c>
      <c r="C838" s="22">
        <v>45098</v>
      </c>
      <c r="D838" s="1" t="s">
        <v>2139</v>
      </c>
      <c r="E838" s="1" t="s">
        <v>2140</v>
      </c>
      <c r="F838" s="1">
        <v>28</v>
      </c>
      <c r="G838" s="1" t="s">
        <v>34</v>
      </c>
      <c r="H838" s="1" t="s">
        <v>35</v>
      </c>
      <c r="I838" s="1" t="s">
        <v>36</v>
      </c>
      <c r="J838" s="1" t="s">
        <v>127</v>
      </c>
      <c r="K838" s="1" t="s">
        <v>196</v>
      </c>
      <c r="L838" s="1">
        <v>8</v>
      </c>
      <c r="M838" s="13">
        <v>11278.1</v>
      </c>
      <c r="N838" s="15">
        <v>0.36</v>
      </c>
      <c r="O838" s="13">
        <v>103626.93</v>
      </c>
      <c r="P838" s="13">
        <v>9357.16</v>
      </c>
      <c r="Q838" s="13">
        <v>60.7</v>
      </c>
      <c r="R838" s="1" t="s">
        <v>57</v>
      </c>
      <c r="S838" s="1">
        <v>3</v>
      </c>
      <c r="T838" s="1" t="b">
        <v>0</v>
      </c>
      <c r="U838" s="1" t="s">
        <v>39</v>
      </c>
      <c r="V838" s="3">
        <v>8</v>
      </c>
    </row>
    <row r="839" spans="1:22" x14ac:dyDescent="0.3">
      <c r="A839" s="2" t="s">
        <v>2141</v>
      </c>
      <c r="B839" s="10">
        <v>44206</v>
      </c>
      <c r="C839" s="22">
        <v>44206</v>
      </c>
      <c r="D839" s="1" t="s">
        <v>2142</v>
      </c>
      <c r="E839" s="1" t="s">
        <v>794</v>
      </c>
      <c r="F839" s="1">
        <v>28</v>
      </c>
      <c r="G839" s="1" t="s">
        <v>24</v>
      </c>
      <c r="H839" s="1" t="s">
        <v>82</v>
      </c>
      <c r="I839" s="1" t="s">
        <v>244</v>
      </c>
      <c r="J839" s="1" t="s">
        <v>37</v>
      </c>
      <c r="K839" s="1" t="s">
        <v>102</v>
      </c>
      <c r="L839" s="1">
        <v>2</v>
      </c>
      <c r="M839" s="13">
        <v>796.25</v>
      </c>
      <c r="N839" s="15">
        <v>0.21</v>
      </c>
      <c r="O839" s="13">
        <v>1450.96</v>
      </c>
      <c r="P839" s="13">
        <v>572.79999999999995</v>
      </c>
      <c r="Q839" s="13">
        <v>70.91</v>
      </c>
      <c r="R839" s="1" t="s">
        <v>51</v>
      </c>
      <c r="S839" s="1">
        <v>3</v>
      </c>
      <c r="T839" s="1" t="b">
        <v>0</v>
      </c>
      <c r="U839" s="1" t="s">
        <v>39</v>
      </c>
      <c r="V839" s="3">
        <v>3</v>
      </c>
    </row>
    <row r="840" spans="1:22" x14ac:dyDescent="0.3">
      <c r="A840" s="2" t="s">
        <v>2143</v>
      </c>
      <c r="B840" s="10">
        <v>44480</v>
      </c>
      <c r="C840" s="22">
        <v>44480</v>
      </c>
      <c r="D840" s="1" t="s">
        <v>2142</v>
      </c>
      <c r="E840" s="1" t="s">
        <v>2144</v>
      </c>
      <c r="F840" s="1">
        <v>36</v>
      </c>
      <c r="G840" s="1" t="s">
        <v>68</v>
      </c>
      <c r="H840" s="1" t="s">
        <v>35</v>
      </c>
      <c r="I840" s="1" t="s">
        <v>106</v>
      </c>
      <c r="J840" s="1" t="s">
        <v>62</v>
      </c>
      <c r="K840" s="1" t="s">
        <v>570</v>
      </c>
      <c r="L840" s="1">
        <v>7</v>
      </c>
      <c r="M840" s="13">
        <v>1187.0999999999999</v>
      </c>
      <c r="N840" s="15">
        <v>0.13</v>
      </c>
      <c r="O840" s="13">
        <v>6671.63</v>
      </c>
      <c r="P840" s="13">
        <v>2154.79</v>
      </c>
      <c r="Q840" s="13">
        <v>88.18</v>
      </c>
      <c r="R840" s="1" t="s">
        <v>51</v>
      </c>
      <c r="S840" s="1">
        <v>3</v>
      </c>
      <c r="T840" s="1" t="b">
        <v>0</v>
      </c>
      <c r="U840" s="1" t="s">
        <v>39</v>
      </c>
      <c r="V840" s="3">
        <v>5</v>
      </c>
    </row>
    <row r="841" spans="1:22" x14ac:dyDescent="0.3">
      <c r="A841" s="2" t="s">
        <v>2145</v>
      </c>
      <c r="B841" s="10">
        <v>44554</v>
      </c>
      <c r="C841" s="22">
        <v>44554</v>
      </c>
      <c r="D841" s="1" t="s">
        <v>2146</v>
      </c>
      <c r="E841" s="1" t="s">
        <v>1285</v>
      </c>
      <c r="F841" s="1">
        <v>32</v>
      </c>
      <c r="G841" s="1" t="s">
        <v>68</v>
      </c>
      <c r="H841" s="1" t="s">
        <v>25</v>
      </c>
      <c r="I841" s="1" t="s">
        <v>69</v>
      </c>
      <c r="J841" s="1" t="s">
        <v>76</v>
      </c>
      <c r="K841" s="1" t="s">
        <v>132</v>
      </c>
      <c r="L841" s="1">
        <v>3</v>
      </c>
      <c r="M841" s="13">
        <v>3628.14</v>
      </c>
      <c r="N841" s="15">
        <v>0.24</v>
      </c>
      <c r="O841" s="13">
        <v>6186.65</v>
      </c>
      <c r="P841" s="13">
        <v>2322.3200000000002</v>
      </c>
      <c r="Q841" s="13">
        <v>52.79</v>
      </c>
      <c r="R841" s="1" t="s">
        <v>51</v>
      </c>
      <c r="S841" s="1">
        <v>2</v>
      </c>
      <c r="T841" s="1" t="b">
        <v>0</v>
      </c>
      <c r="U841" s="1" t="s">
        <v>39</v>
      </c>
      <c r="V841" s="3">
        <v>1</v>
      </c>
    </row>
    <row r="842" spans="1:22" x14ac:dyDescent="0.3">
      <c r="A842" s="2" t="s">
        <v>2147</v>
      </c>
      <c r="B842" s="10">
        <v>45010</v>
      </c>
      <c r="C842" s="22">
        <v>45010</v>
      </c>
      <c r="D842" s="1" t="s">
        <v>2148</v>
      </c>
      <c r="E842" s="1" t="s">
        <v>814</v>
      </c>
      <c r="F842" s="1">
        <v>40</v>
      </c>
      <c r="G842" s="1" t="s">
        <v>34</v>
      </c>
      <c r="H842" s="1" t="s">
        <v>111</v>
      </c>
      <c r="I842" s="1" t="s">
        <v>141</v>
      </c>
      <c r="J842" s="1" t="s">
        <v>37</v>
      </c>
      <c r="K842" s="1" t="s">
        <v>454</v>
      </c>
      <c r="L842" s="1">
        <v>5</v>
      </c>
      <c r="M842" s="13">
        <v>1290.8800000000001</v>
      </c>
      <c r="N842" s="15">
        <v>0.31</v>
      </c>
      <c r="O842" s="13">
        <v>991.85</v>
      </c>
      <c r="P842" s="13">
        <v>309.77999999999997</v>
      </c>
      <c r="Q842" s="13">
        <v>68.06</v>
      </c>
      <c r="R842" s="1" t="s">
        <v>64</v>
      </c>
      <c r="S842" s="1">
        <v>1</v>
      </c>
      <c r="T842" s="1" t="b">
        <v>1</v>
      </c>
      <c r="U842" s="1" t="s">
        <v>30</v>
      </c>
      <c r="V842" s="3">
        <v>5</v>
      </c>
    </row>
    <row r="843" spans="1:22" x14ac:dyDescent="0.3">
      <c r="A843" s="2" t="s">
        <v>2149</v>
      </c>
      <c r="B843" s="10">
        <v>45016</v>
      </c>
      <c r="C843" s="22">
        <v>45016</v>
      </c>
      <c r="D843" s="1" t="s">
        <v>2150</v>
      </c>
      <c r="E843" s="1" t="s">
        <v>801</v>
      </c>
      <c r="F843" s="1">
        <v>36</v>
      </c>
      <c r="G843" s="1" t="s">
        <v>34</v>
      </c>
      <c r="H843" s="1" t="s">
        <v>74</v>
      </c>
      <c r="I843" s="1" t="s">
        <v>75</v>
      </c>
      <c r="J843" s="1" t="s">
        <v>146</v>
      </c>
      <c r="K843" s="1" t="s">
        <v>217</v>
      </c>
      <c r="L843" s="1">
        <v>8</v>
      </c>
      <c r="M843" s="13">
        <v>12824.11</v>
      </c>
      <c r="N843" s="15">
        <v>0.11</v>
      </c>
      <c r="O843" s="13">
        <v>124055.48</v>
      </c>
      <c r="P843" s="13">
        <v>29606.32</v>
      </c>
      <c r="Q843" s="13">
        <v>76.78</v>
      </c>
      <c r="R843" s="1" t="s">
        <v>64</v>
      </c>
      <c r="S843" s="1">
        <v>2</v>
      </c>
      <c r="T843" s="1" t="b">
        <v>0</v>
      </c>
      <c r="U843" s="1" t="s">
        <v>39</v>
      </c>
      <c r="V843" s="3">
        <v>6</v>
      </c>
    </row>
    <row r="844" spans="1:22" x14ac:dyDescent="0.3">
      <c r="A844" s="2" t="s">
        <v>2151</v>
      </c>
      <c r="B844" s="10">
        <v>44932</v>
      </c>
      <c r="C844" s="22">
        <v>44932</v>
      </c>
      <c r="D844" s="1" t="s">
        <v>2152</v>
      </c>
      <c r="E844" s="1" t="s">
        <v>1067</v>
      </c>
      <c r="F844" s="1">
        <v>51</v>
      </c>
      <c r="G844" s="1" t="s">
        <v>34</v>
      </c>
      <c r="H844" s="1" t="s">
        <v>35</v>
      </c>
      <c r="I844" s="1" t="s">
        <v>43</v>
      </c>
      <c r="J844" s="1" t="s">
        <v>37</v>
      </c>
      <c r="K844" s="1" t="s">
        <v>454</v>
      </c>
      <c r="L844" s="1">
        <v>3</v>
      </c>
      <c r="M844" s="13">
        <v>1967.85</v>
      </c>
      <c r="N844" s="15">
        <v>0.31</v>
      </c>
      <c r="O844" s="13">
        <v>3268.13</v>
      </c>
      <c r="P844" s="13">
        <v>1309.3499999999999</v>
      </c>
      <c r="Q844" s="13">
        <v>55</v>
      </c>
      <c r="R844" s="1" t="s">
        <v>64</v>
      </c>
      <c r="S844" s="1">
        <v>3</v>
      </c>
      <c r="T844" s="1" t="b">
        <v>0</v>
      </c>
      <c r="U844" s="1" t="s">
        <v>39</v>
      </c>
      <c r="V844" s="3">
        <v>2</v>
      </c>
    </row>
    <row r="845" spans="1:22" x14ac:dyDescent="0.3">
      <c r="A845" s="2" t="s">
        <v>2153</v>
      </c>
      <c r="B845" s="10">
        <v>44568</v>
      </c>
      <c r="C845" s="22">
        <v>44568</v>
      </c>
      <c r="D845" s="1" t="s">
        <v>2154</v>
      </c>
      <c r="E845" s="1" t="s">
        <v>575</v>
      </c>
      <c r="F845" s="1">
        <v>5</v>
      </c>
      <c r="G845" s="1" t="s">
        <v>34</v>
      </c>
      <c r="H845" s="1" t="s">
        <v>82</v>
      </c>
      <c r="I845" s="1" t="s">
        <v>293</v>
      </c>
      <c r="J845" s="1" t="s">
        <v>76</v>
      </c>
      <c r="K845" s="1" t="s">
        <v>113</v>
      </c>
      <c r="L845" s="1">
        <v>1</v>
      </c>
      <c r="M845" s="13">
        <v>1100.4000000000001</v>
      </c>
      <c r="N845" s="15">
        <v>0.24</v>
      </c>
      <c r="O845" s="13">
        <v>775.04</v>
      </c>
      <c r="P845" s="13">
        <v>226.32</v>
      </c>
      <c r="Q845" s="13">
        <v>62.15</v>
      </c>
      <c r="R845" s="1" t="s">
        <v>70</v>
      </c>
      <c r="S845" s="1">
        <v>2</v>
      </c>
      <c r="T845" s="1" t="b">
        <v>0</v>
      </c>
      <c r="U845" s="1" t="s">
        <v>39</v>
      </c>
      <c r="V845" s="3">
        <v>8</v>
      </c>
    </row>
    <row r="846" spans="1:22" x14ac:dyDescent="0.3">
      <c r="A846" s="2" t="s">
        <v>2155</v>
      </c>
      <c r="B846" s="10">
        <v>45519</v>
      </c>
      <c r="C846" s="22">
        <v>45519</v>
      </c>
      <c r="D846" s="1" t="s">
        <v>2156</v>
      </c>
      <c r="E846" s="1" t="s">
        <v>1447</v>
      </c>
      <c r="F846" s="1">
        <v>37</v>
      </c>
      <c r="G846" s="1" t="s">
        <v>34</v>
      </c>
      <c r="H846" s="1" t="s">
        <v>82</v>
      </c>
      <c r="I846" s="1" t="s">
        <v>126</v>
      </c>
      <c r="J846" s="1" t="s">
        <v>27</v>
      </c>
      <c r="K846" s="1" t="s">
        <v>400</v>
      </c>
      <c r="L846" s="1">
        <v>9</v>
      </c>
      <c r="M846" s="13">
        <v>239.9</v>
      </c>
      <c r="N846" s="15">
        <v>0.31</v>
      </c>
      <c r="O846" s="13">
        <v>2368.54</v>
      </c>
      <c r="P846" s="13">
        <v>226.16</v>
      </c>
      <c r="Q846" s="13">
        <v>93.43</v>
      </c>
      <c r="R846" s="1" t="s">
        <v>64</v>
      </c>
      <c r="S846" s="1">
        <v>5</v>
      </c>
      <c r="T846" s="1" t="b">
        <v>0</v>
      </c>
      <c r="U846" s="1" t="s">
        <v>39</v>
      </c>
      <c r="V846" s="3">
        <v>1</v>
      </c>
    </row>
    <row r="847" spans="1:22" x14ac:dyDescent="0.3">
      <c r="A847" s="2" t="s">
        <v>2157</v>
      </c>
      <c r="B847" s="10">
        <v>44419</v>
      </c>
      <c r="C847" s="22">
        <v>44419</v>
      </c>
      <c r="D847" s="1" t="s">
        <v>2158</v>
      </c>
      <c r="E847" s="1" t="s">
        <v>1904</v>
      </c>
      <c r="F847" s="1">
        <v>34</v>
      </c>
      <c r="G847" s="1" t="s">
        <v>34</v>
      </c>
      <c r="H847" s="1" t="s">
        <v>82</v>
      </c>
      <c r="I847" s="1" t="s">
        <v>126</v>
      </c>
      <c r="J847" s="1" t="s">
        <v>37</v>
      </c>
      <c r="K847" s="1" t="s">
        <v>38</v>
      </c>
      <c r="L847" s="1">
        <v>5</v>
      </c>
      <c r="M847" s="13">
        <v>1439.39</v>
      </c>
      <c r="N847" s="15">
        <v>0.21</v>
      </c>
      <c r="O847" s="13">
        <v>10354.540000000001</v>
      </c>
      <c r="P847" s="13">
        <v>4272.04</v>
      </c>
      <c r="Q847" s="13">
        <v>86.11</v>
      </c>
      <c r="R847" s="1" t="s">
        <v>29</v>
      </c>
      <c r="S847" s="1">
        <v>3</v>
      </c>
      <c r="T847" s="1" t="b">
        <v>0</v>
      </c>
      <c r="U847" s="1" t="s">
        <v>39</v>
      </c>
      <c r="V847" s="3">
        <v>5</v>
      </c>
    </row>
    <row r="848" spans="1:22" x14ac:dyDescent="0.3">
      <c r="A848" s="2" t="s">
        <v>2159</v>
      </c>
      <c r="B848" s="10">
        <v>44172</v>
      </c>
      <c r="C848" s="22">
        <v>44172</v>
      </c>
      <c r="D848" s="1" t="s">
        <v>2160</v>
      </c>
      <c r="E848" s="1" t="s">
        <v>2161</v>
      </c>
      <c r="F848" s="1">
        <v>47</v>
      </c>
      <c r="G848" s="1" t="s">
        <v>68</v>
      </c>
      <c r="H848" s="1" t="s">
        <v>35</v>
      </c>
      <c r="I848" s="1" t="s">
        <v>43</v>
      </c>
      <c r="J848" s="1" t="s">
        <v>37</v>
      </c>
      <c r="K848" s="1" t="s">
        <v>38</v>
      </c>
      <c r="L848" s="1">
        <v>2</v>
      </c>
      <c r="M848" s="13">
        <v>2232.87</v>
      </c>
      <c r="N848" s="15">
        <v>0.03</v>
      </c>
      <c r="O848" s="13">
        <v>2646.86</v>
      </c>
      <c r="P848" s="13">
        <v>806.76</v>
      </c>
      <c r="Q848" s="13">
        <v>54.23</v>
      </c>
      <c r="R848" s="1" t="s">
        <v>78</v>
      </c>
      <c r="S848" s="1">
        <v>2</v>
      </c>
      <c r="T848" s="1" t="b">
        <v>0</v>
      </c>
      <c r="U848" s="1" t="s">
        <v>137</v>
      </c>
      <c r="V848" s="3">
        <v>8</v>
      </c>
    </row>
    <row r="849" spans="1:22" x14ac:dyDescent="0.3">
      <c r="A849" s="2" t="s">
        <v>2162</v>
      </c>
      <c r="B849" s="10">
        <v>44320</v>
      </c>
      <c r="C849" s="22">
        <v>44320</v>
      </c>
      <c r="D849" s="1" t="s">
        <v>2163</v>
      </c>
      <c r="E849" s="1" t="s">
        <v>333</v>
      </c>
      <c r="F849" s="1">
        <v>44</v>
      </c>
      <c r="G849" s="1" t="s">
        <v>24</v>
      </c>
      <c r="H849" s="1" t="s">
        <v>82</v>
      </c>
      <c r="I849" s="1" t="s">
        <v>293</v>
      </c>
      <c r="J849" s="1" t="s">
        <v>62</v>
      </c>
      <c r="K849" s="1" t="s">
        <v>151</v>
      </c>
      <c r="L849" s="1">
        <v>10</v>
      </c>
      <c r="M849" s="13">
        <v>924.25</v>
      </c>
      <c r="N849" s="15">
        <v>0.28000000000000003</v>
      </c>
      <c r="O849" s="13">
        <v>8777.25</v>
      </c>
      <c r="P849" s="13">
        <v>3626.02</v>
      </c>
      <c r="Q849" s="13">
        <v>85.57</v>
      </c>
      <c r="R849" s="1" t="s">
        <v>64</v>
      </c>
      <c r="S849" s="1">
        <v>4</v>
      </c>
      <c r="T849" s="1" t="b">
        <v>0</v>
      </c>
      <c r="U849" s="1" t="s">
        <v>39</v>
      </c>
      <c r="V849" s="3">
        <v>10</v>
      </c>
    </row>
    <row r="850" spans="1:22" x14ac:dyDescent="0.3">
      <c r="A850" s="2" t="s">
        <v>2164</v>
      </c>
      <c r="B850" s="10">
        <v>43998</v>
      </c>
      <c r="C850" s="22">
        <v>43998</v>
      </c>
      <c r="D850" s="1" t="s">
        <v>2165</v>
      </c>
      <c r="E850" s="1" t="s">
        <v>1436</v>
      </c>
      <c r="F850" s="1">
        <v>49</v>
      </c>
      <c r="G850" s="1" t="s">
        <v>34</v>
      </c>
      <c r="H850" s="1" t="s">
        <v>25</v>
      </c>
      <c r="I850" s="1" t="s">
        <v>55</v>
      </c>
      <c r="J850" s="1" t="s">
        <v>127</v>
      </c>
      <c r="K850" s="1" t="s">
        <v>128</v>
      </c>
      <c r="L850" s="1">
        <v>3</v>
      </c>
      <c r="M850" s="13">
        <v>10166.75</v>
      </c>
      <c r="N850" s="15">
        <v>0.15</v>
      </c>
      <c r="O850" s="13">
        <v>31838.58</v>
      </c>
      <c r="P850" s="13">
        <v>4120.93</v>
      </c>
      <c r="Q850" s="13">
        <v>82.1</v>
      </c>
      <c r="R850" s="1" t="s">
        <v>78</v>
      </c>
      <c r="S850" s="1">
        <v>3</v>
      </c>
      <c r="T850" s="1" t="b">
        <v>0</v>
      </c>
      <c r="U850" s="1" t="s">
        <v>39</v>
      </c>
      <c r="V850" s="3">
        <v>3</v>
      </c>
    </row>
    <row r="851" spans="1:22" x14ac:dyDescent="0.3">
      <c r="A851" s="2" t="s">
        <v>2166</v>
      </c>
      <c r="B851" s="10">
        <v>44297</v>
      </c>
      <c r="C851" s="22">
        <v>44297</v>
      </c>
      <c r="D851" s="1" t="s">
        <v>2167</v>
      </c>
      <c r="E851" s="1" t="s">
        <v>1108</v>
      </c>
      <c r="F851" s="1">
        <v>40</v>
      </c>
      <c r="G851" s="1" t="s">
        <v>68</v>
      </c>
      <c r="H851" s="1" t="s">
        <v>82</v>
      </c>
      <c r="I851" s="1" t="s">
        <v>126</v>
      </c>
      <c r="J851" s="1" t="s">
        <v>62</v>
      </c>
      <c r="K851" s="1" t="s">
        <v>570</v>
      </c>
      <c r="L851" s="1">
        <v>9</v>
      </c>
      <c r="M851" s="13">
        <v>910.81</v>
      </c>
      <c r="N851" s="15">
        <v>0.16</v>
      </c>
      <c r="O851" s="13">
        <v>8709.8799999999992</v>
      </c>
      <c r="P851" s="13">
        <v>4127.79</v>
      </c>
      <c r="Q851" s="13">
        <v>59.89</v>
      </c>
      <c r="R851" s="1" t="s">
        <v>57</v>
      </c>
      <c r="S851" s="1">
        <v>4</v>
      </c>
      <c r="T851" s="1" t="b">
        <v>0</v>
      </c>
      <c r="U851" s="1" t="s">
        <v>39</v>
      </c>
      <c r="V851" s="3">
        <v>9</v>
      </c>
    </row>
    <row r="852" spans="1:22" x14ac:dyDescent="0.3">
      <c r="A852" s="2" t="s">
        <v>2168</v>
      </c>
      <c r="B852" s="10">
        <v>44233</v>
      </c>
      <c r="C852" s="22">
        <v>44233</v>
      </c>
      <c r="D852" s="1" t="s">
        <v>2169</v>
      </c>
      <c r="E852" s="1" t="s">
        <v>931</v>
      </c>
      <c r="F852" s="1">
        <v>19</v>
      </c>
      <c r="G852" s="1" t="s">
        <v>34</v>
      </c>
      <c r="H852" s="1" t="s">
        <v>25</v>
      </c>
      <c r="I852" s="1" t="s">
        <v>26</v>
      </c>
      <c r="J852" s="1" t="s">
        <v>44</v>
      </c>
      <c r="K852" s="1" t="s">
        <v>186</v>
      </c>
      <c r="L852" s="1">
        <v>8</v>
      </c>
      <c r="M852" s="13">
        <v>10068.23</v>
      </c>
      <c r="N852" s="15">
        <v>0.21</v>
      </c>
      <c r="O852" s="13">
        <v>63872.39</v>
      </c>
      <c r="P852" s="13">
        <v>14763.69</v>
      </c>
      <c r="Q852" s="13">
        <v>69.23</v>
      </c>
      <c r="R852" s="1" t="s">
        <v>64</v>
      </c>
      <c r="S852" s="1">
        <v>3</v>
      </c>
      <c r="T852" s="1" t="b">
        <v>0</v>
      </c>
      <c r="U852" s="1" t="s">
        <v>39</v>
      </c>
      <c r="V852" s="3">
        <v>9</v>
      </c>
    </row>
    <row r="853" spans="1:22" x14ac:dyDescent="0.3">
      <c r="A853" s="2" t="s">
        <v>2170</v>
      </c>
      <c r="B853" s="10">
        <v>45168</v>
      </c>
      <c r="C853" s="22">
        <v>45168</v>
      </c>
      <c r="D853" s="1" t="s">
        <v>2171</v>
      </c>
      <c r="E853" s="1" t="s">
        <v>976</v>
      </c>
      <c r="F853" s="1">
        <v>26</v>
      </c>
      <c r="G853" s="1" t="s">
        <v>68</v>
      </c>
      <c r="H853" s="1" t="s">
        <v>74</v>
      </c>
      <c r="I853" s="1" t="s">
        <v>75</v>
      </c>
      <c r="J853" s="1" t="s">
        <v>37</v>
      </c>
      <c r="K853" s="1" t="s">
        <v>671</v>
      </c>
      <c r="L853" s="1">
        <v>6</v>
      </c>
      <c r="M853" s="13">
        <v>398.85</v>
      </c>
      <c r="N853" s="15">
        <v>0.17</v>
      </c>
      <c r="O853" s="13">
        <v>2675.94</v>
      </c>
      <c r="P853" s="13">
        <v>1500.2</v>
      </c>
      <c r="Q853" s="13">
        <v>56.56</v>
      </c>
      <c r="R853" s="1" t="s">
        <v>57</v>
      </c>
      <c r="S853" s="1">
        <v>2</v>
      </c>
      <c r="T853" s="1" t="b">
        <v>0</v>
      </c>
      <c r="U853" s="1" t="s">
        <v>197</v>
      </c>
      <c r="V853" s="3">
        <v>10</v>
      </c>
    </row>
    <row r="854" spans="1:22" x14ac:dyDescent="0.3">
      <c r="A854" s="2" t="s">
        <v>2172</v>
      </c>
      <c r="B854" s="10">
        <v>45491</v>
      </c>
      <c r="C854" s="22">
        <v>45491</v>
      </c>
      <c r="D854" s="1" t="s">
        <v>2173</v>
      </c>
      <c r="E854" s="1" t="s">
        <v>1612</v>
      </c>
      <c r="F854" s="1">
        <v>43</v>
      </c>
      <c r="G854" s="1" t="s">
        <v>68</v>
      </c>
      <c r="H854" s="1" t="s">
        <v>35</v>
      </c>
      <c r="I854" s="1" t="s">
        <v>43</v>
      </c>
      <c r="J854" s="1" t="s">
        <v>76</v>
      </c>
      <c r="K854" s="1" t="s">
        <v>207</v>
      </c>
      <c r="L854" s="1">
        <v>4</v>
      </c>
      <c r="M854" s="13">
        <v>2908.06</v>
      </c>
      <c r="N854" s="15">
        <v>0.14000000000000001</v>
      </c>
      <c r="O854" s="13">
        <v>14896.36</v>
      </c>
      <c r="P854" s="13">
        <v>4991.17</v>
      </c>
      <c r="Q854" s="13">
        <v>65.75</v>
      </c>
      <c r="R854" s="1" t="s">
        <v>64</v>
      </c>
      <c r="S854" s="1">
        <v>5</v>
      </c>
      <c r="T854" s="1" t="b">
        <v>0</v>
      </c>
      <c r="U854" s="1" t="s">
        <v>39</v>
      </c>
      <c r="V854" s="3">
        <v>8</v>
      </c>
    </row>
    <row r="855" spans="1:22" x14ac:dyDescent="0.3">
      <c r="A855" s="2" t="s">
        <v>2174</v>
      </c>
      <c r="B855" s="10">
        <v>45348</v>
      </c>
      <c r="C855" s="22">
        <v>45348</v>
      </c>
      <c r="D855" s="1" t="s">
        <v>2175</v>
      </c>
      <c r="E855" s="1" t="s">
        <v>1300</v>
      </c>
      <c r="F855" s="1">
        <v>50</v>
      </c>
      <c r="G855" s="1" t="s">
        <v>24</v>
      </c>
      <c r="H855" s="1" t="s">
        <v>82</v>
      </c>
      <c r="I855" s="1" t="s">
        <v>293</v>
      </c>
      <c r="J855" s="1" t="s">
        <v>127</v>
      </c>
      <c r="K855" s="1" t="s">
        <v>142</v>
      </c>
      <c r="L855" s="1">
        <v>3</v>
      </c>
      <c r="M855" s="13">
        <v>60157.14</v>
      </c>
      <c r="N855" s="15">
        <v>0.06</v>
      </c>
      <c r="O855" s="13">
        <v>169372.37</v>
      </c>
      <c r="P855" s="13">
        <v>28219.11</v>
      </c>
      <c r="Q855" s="13">
        <v>69.5</v>
      </c>
      <c r="R855" s="1" t="s">
        <v>64</v>
      </c>
      <c r="S855" s="1">
        <v>4</v>
      </c>
      <c r="T855" s="1" t="b">
        <v>0</v>
      </c>
      <c r="U855" s="1" t="s">
        <v>39</v>
      </c>
      <c r="V855" s="3">
        <v>7</v>
      </c>
    </row>
    <row r="856" spans="1:22" x14ac:dyDescent="0.3">
      <c r="A856" s="2" t="s">
        <v>2176</v>
      </c>
      <c r="B856" s="10">
        <v>43974</v>
      </c>
      <c r="C856" s="22">
        <v>43974</v>
      </c>
      <c r="D856" s="1" t="s">
        <v>2177</v>
      </c>
      <c r="E856" s="1" t="s">
        <v>73</v>
      </c>
      <c r="F856" s="1">
        <v>35</v>
      </c>
      <c r="G856" s="1" t="s">
        <v>24</v>
      </c>
      <c r="H856" s="1" t="s">
        <v>111</v>
      </c>
      <c r="I856" s="1" t="s">
        <v>121</v>
      </c>
      <c r="J856" s="1" t="s">
        <v>44</v>
      </c>
      <c r="K856" s="1" t="s">
        <v>93</v>
      </c>
      <c r="L856" s="1">
        <v>5</v>
      </c>
      <c r="M856" s="13">
        <v>22329.62</v>
      </c>
      <c r="N856" s="15">
        <v>0.19</v>
      </c>
      <c r="O856" s="13">
        <v>20552.2</v>
      </c>
      <c r="P856" s="13">
        <v>4765.0200000000004</v>
      </c>
      <c r="Q856" s="13">
        <v>69.17</v>
      </c>
      <c r="R856" s="1" t="s">
        <v>64</v>
      </c>
      <c r="S856" s="1">
        <v>4</v>
      </c>
      <c r="T856" s="1" t="b">
        <v>0</v>
      </c>
      <c r="U856" s="1" t="s">
        <v>39</v>
      </c>
      <c r="V856" s="3">
        <v>4</v>
      </c>
    </row>
    <row r="857" spans="1:22" x14ac:dyDescent="0.3">
      <c r="A857" s="2" t="s">
        <v>2178</v>
      </c>
      <c r="B857" s="10">
        <v>44746</v>
      </c>
      <c r="C857" s="22">
        <v>44746</v>
      </c>
      <c r="D857" s="1" t="s">
        <v>2179</v>
      </c>
      <c r="E857" s="1" t="s">
        <v>786</v>
      </c>
      <c r="F857" s="1">
        <v>63</v>
      </c>
      <c r="G857" s="1" t="s">
        <v>24</v>
      </c>
      <c r="H857" s="1" t="s">
        <v>35</v>
      </c>
      <c r="I857" s="1" t="s">
        <v>49</v>
      </c>
      <c r="J857" s="1" t="s">
        <v>127</v>
      </c>
      <c r="K857" s="1" t="s">
        <v>171</v>
      </c>
      <c r="L857" s="1">
        <v>9</v>
      </c>
      <c r="M857" s="13">
        <v>34736.78</v>
      </c>
      <c r="N857" s="15">
        <v>0.4</v>
      </c>
      <c r="O857" s="13">
        <v>281102.55</v>
      </c>
      <c r="P857" s="13">
        <v>27723.9</v>
      </c>
      <c r="Q857" s="13">
        <v>59.96</v>
      </c>
      <c r="R857" s="1" t="s">
        <v>29</v>
      </c>
      <c r="S857" s="1">
        <v>3</v>
      </c>
      <c r="T857" s="1" t="b">
        <v>0</v>
      </c>
      <c r="U857" s="1" t="s">
        <v>39</v>
      </c>
      <c r="V857" s="3">
        <v>4</v>
      </c>
    </row>
    <row r="858" spans="1:22" x14ac:dyDescent="0.3">
      <c r="A858" s="2" t="s">
        <v>2180</v>
      </c>
      <c r="B858" s="10">
        <v>43897</v>
      </c>
      <c r="C858" s="22">
        <v>43897</v>
      </c>
      <c r="D858" s="1" t="s">
        <v>2181</v>
      </c>
      <c r="E858" s="1" t="s">
        <v>150</v>
      </c>
      <c r="F858" s="1">
        <v>32</v>
      </c>
      <c r="G858" s="1" t="s">
        <v>24</v>
      </c>
      <c r="H858" s="1" t="s">
        <v>25</v>
      </c>
      <c r="I858" s="1" t="s">
        <v>69</v>
      </c>
      <c r="J858" s="1" t="s">
        <v>146</v>
      </c>
      <c r="K858" s="1" t="s">
        <v>484</v>
      </c>
      <c r="L858" s="1">
        <v>8</v>
      </c>
      <c r="M858" s="13">
        <v>6252.97</v>
      </c>
      <c r="N858" s="15">
        <v>0.2</v>
      </c>
      <c r="O858" s="13">
        <v>42140.22</v>
      </c>
      <c r="P858" s="13">
        <v>7612.27</v>
      </c>
      <c r="Q858" s="13">
        <v>48.73</v>
      </c>
      <c r="R858" s="1" t="s">
        <v>70</v>
      </c>
      <c r="S858" s="1">
        <v>3</v>
      </c>
      <c r="T858" s="1" t="b">
        <v>0</v>
      </c>
      <c r="U858" s="1" t="s">
        <v>39</v>
      </c>
      <c r="V858" s="3">
        <v>3</v>
      </c>
    </row>
    <row r="859" spans="1:22" x14ac:dyDescent="0.3">
      <c r="A859" s="2" t="s">
        <v>2182</v>
      </c>
      <c r="B859" s="10">
        <v>44046</v>
      </c>
      <c r="C859" s="22">
        <v>44046</v>
      </c>
      <c r="D859" s="1" t="s">
        <v>2183</v>
      </c>
      <c r="E859" s="1" t="s">
        <v>950</v>
      </c>
      <c r="F859" s="1">
        <v>42</v>
      </c>
      <c r="G859" s="1" t="s">
        <v>24</v>
      </c>
      <c r="H859" s="1" t="s">
        <v>111</v>
      </c>
      <c r="I859" s="1" t="s">
        <v>330</v>
      </c>
      <c r="J859" s="1" t="s">
        <v>62</v>
      </c>
      <c r="K859" s="1" t="s">
        <v>151</v>
      </c>
      <c r="L859" s="1">
        <v>8</v>
      </c>
      <c r="M859" s="13">
        <v>989.77</v>
      </c>
      <c r="N859" s="15">
        <v>0.36</v>
      </c>
      <c r="O859" s="13">
        <v>5866.43</v>
      </c>
      <c r="P859" s="13">
        <v>2254.31</v>
      </c>
      <c r="Q859" s="13">
        <v>76.760000000000005</v>
      </c>
      <c r="R859" s="1" t="s">
        <v>64</v>
      </c>
      <c r="S859" s="1">
        <v>5</v>
      </c>
      <c r="T859" s="1" t="b">
        <v>0</v>
      </c>
      <c r="U859" s="1" t="s">
        <v>58</v>
      </c>
      <c r="V859" s="3">
        <v>1</v>
      </c>
    </row>
    <row r="860" spans="1:22" x14ac:dyDescent="0.3">
      <c r="A860" s="2" t="s">
        <v>2184</v>
      </c>
      <c r="B860" s="10">
        <v>43981</v>
      </c>
      <c r="C860" s="22">
        <v>43981</v>
      </c>
      <c r="D860" s="1" t="s">
        <v>2185</v>
      </c>
      <c r="E860" s="1" t="s">
        <v>259</v>
      </c>
      <c r="F860" s="1">
        <v>29</v>
      </c>
      <c r="G860" s="1" t="s">
        <v>34</v>
      </c>
      <c r="H860" s="1" t="s">
        <v>111</v>
      </c>
      <c r="I860" s="1" t="s">
        <v>330</v>
      </c>
      <c r="J860" s="1" t="s">
        <v>62</v>
      </c>
      <c r="K860" s="1" t="s">
        <v>570</v>
      </c>
      <c r="L860" s="1">
        <v>8</v>
      </c>
      <c r="M860" s="13">
        <v>466.9</v>
      </c>
      <c r="N860" s="15">
        <v>0.36</v>
      </c>
      <c r="O860" s="13">
        <v>2857.33</v>
      </c>
      <c r="P860" s="13">
        <v>1125</v>
      </c>
      <c r="Q860" s="13">
        <v>79.08</v>
      </c>
      <c r="R860" s="1" t="s">
        <v>64</v>
      </c>
      <c r="S860" s="1">
        <v>2</v>
      </c>
      <c r="T860" s="1" t="b">
        <v>0</v>
      </c>
      <c r="U860" s="1" t="s">
        <v>39</v>
      </c>
      <c r="V860" s="3">
        <v>10</v>
      </c>
    </row>
    <row r="861" spans="1:22" x14ac:dyDescent="0.3">
      <c r="A861" s="2" t="s">
        <v>2186</v>
      </c>
      <c r="B861" s="10">
        <v>45186</v>
      </c>
      <c r="C861" s="22">
        <v>45186</v>
      </c>
      <c r="D861" s="1" t="s">
        <v>2187</v>
      </c>
      <c r="E861" s="1" t="s">
        <v>1756</v>
      </c>
      <c r="F861" s="1">
        <v>38</v>
      </c>
      <c r="G861" s="1" t="s">
        <v>34</v>
      </c>
      <c r="H861" s="1" t="s">
        <v>74</v>
      </c>
      <c r="I861" s="1" t="s">
        <v>75</v>
      </c>
      <c r="J861" s="1" t="s">
        <v>146</v>
      </c>
      <c r="K861" s="1" t="s">
        <v>147</v>
      </c>
      <c r="L861" s="1">
        <v>4</v>
      </c>
      <c r="M861" s="13">
        <v>3391.86</v>
      </c>
      <c r="N861" s="15">
        <v>0.04</v>
      </c>
      <c r="O861" s="13">
        <v>15450.95</v>
      </c>
      <c r="P861" s="13">
        <v>3325.04</v>
      </c>
      <c r="Q861" s="13">
        <v>68.459999999999994</v>
      </c>
      <c r="R861" s="1" t="s">
        <v>70</v>
      </c>
      <c r="S861" s="1">
        <v>3</v>
      </c>
      <c r="T861" s="1" t="b">
        <v>0</v>
      </c>
      <c r="U861" s="1" t="s">
        <v>84</v>
      </c>
      <c r="V861" s="3">
        <v>2</v>
      </c>
    </row>
    <row r="862" spans="1:22" x14ac:dyDescent="0.3">
      <c r="A862" s="2" t="s">
        <v>2188</v>
      </c>
      <c r="B862" s="10">
        <v>44437</v>
      </c>
      <c r="C862" s="22">
        <v>44437</v>
      </c>
      <c r="D862" s="1" t="s">
        <v>2189</v>
      </c>
      <c r="E862" s="1" t="s">
        <v>265</v>
      </c>
      <c r="F862" s="1">
        <v>24</v>
      </c>
      <c r="G862" s="1" t="s">
        <v>68</v>
      </c>
      <c r="H862" s="1" t="s">
        <v>82</v>
      </c>
      <c r="I862" s="1" t="s">
        <v>126</v>
      </c>
      <c r="J862" s="1" t="s">
        <v>146</v>
      </c>
      <c r="K862" s="1" t="s">
        <v>217</v>
      </c>
      <c r="L862" s="1">
        <v>1</v>
      </c>
      <c r="M862" s="13">
        <v>3087.59</v>
      </c>
      <c r="N862" s="15">
        <v>7.0000000000000007E-2</v>
      </c>
      <c r="O862" s="13">
        <v>3563.24</v>
      </c>
      <c r="P862" s="13">
        <v>769.67</v>
      </c>
      <c r="Q862" s="13">
        <v>85.46</v>
      </c>
      <c r="R862" s="1" t="s">
        <v>70</v>
      </c>
      <c r="S862" s="1">
        <v>2</v>
      </c>
      <c r="T862" s="1" t="b">
        <v>0</v>
      </c>
      <c r="U862" s="1" t="s">
        <v>39</v>
      </c>
      <c r="V862" s="3">
        <v>4</v>
      </c>
    </row>
    <row r="863" spans="1:22" x14ac:dyDescent="0.3">
      <c r="A863" s="2" t="s">
        <v>2190</v>
      </c>
      <c r="B863" s="10">
        <v>45371</v>
      </c>
      <c r="C863" s="22">
        <v>45371</v>
      </c>
      <c r="D863" s="1" t="s">
        <v>2191</v>
      </c>
      <c r="E863" s="1" t="s">
        <v>135</v>
      </c>
      <c r="F863" s="1">
        <v>39</v>
      </c>
      <c r="G863" s="1" t="s">
        <v>34</v>
      </c>
      <c r="H863" s="1" t="s">
        <v>74</v>
      </c>
      <c r="I863" s="1" t="s">
        <v>101</v>
      </c>
      <c r="J863" s="1" t="s">
        <v>146</v>
      </c>
      <c r="K863" s="1" t="s">
        <v>178</v>
      </c>
      <c r="L863" s="1">
        <v>4</v>
      </c>
      <c r="M863" s="13">
        <v>14899.55</v>
      </c>
      <c r="N863" s="15">
        <v>0.09</v>
      </c>
      <c r="O863" s="13">
        <v>60345.97</v>
      </c>
      <c r="P863" s="13">
        <v>12084.3</v>
      </c>
      <c r="Q863" s="13">
        <v>21.44</v>
      </c>
      <c r="R863" s="1" t="s">
        <v>64</v>
      </c>
      <c r="S863" s="1">
        <v>4</v>
      </c>
      <c r="T863" s="1" t="b">
        <v>0</v>
      </c>
      <c r="U863" s="1" t="s">
        <v>39</v>
      </c>
      <c r="V863" s="3">
        <v>7</v>
      </c>
    </row>
    <row r="864" spans="1:22" x14ac:dyDescent="0.3">
      <c r="A864" s="2" t="s">
        <v>2192</v>
      </c>
      <c r="B864" s="10">
        <v>45453</v>
      </c>
      <c r="C864" s="22">
        <v>45453</v>
      </c>
      <c r="D864" s="1" t="s">
        <v>2193</v>
      </c>
      <c r="E864" s="1" t="s">
        <v>950</v>
      </c>
      <c r="F864" s="1">
        <v>43</v>
      </c>
      <c r="G864" s="1" t="s">
        <v>34</v>
      </c>
      <c r="H864" s="1" t="s">
        <v>111</v>
      </c>
      <c r="I864" s="1" t="s">
        <v>330</v>
      </c>
      <c r="J864" s="1" t="s">
        <v>146</v>
      </c>
      <c r="K864" s="1" t="s">
        <v>178</v>
      </c>
      <c r="L864" s="1">
        <v>2</v>
      </c>
      <c r="M864" s="13">
        <v>3506.29</v>
      </c>
      <c r="N864" s="15">
        <v>0.28999999999999998</v>
      </c>
      <c r="O864" s="13">
        <v>9018.0300000000007</v>
      </c>
      <c r="P864" s="13">
        <v>1718.02</v>
      </c>
      <c r="Q864" s="13">
        <v>58.97</v>
      </c>
      <c r="R864" s="1" t="s">
        <v>78</v>
      </c>
      <c r="S864" s="1">
        <v>5</v>
      </c>
      <c r="T864" s="1" t="b">
        <v>0</v>
      </c>
      <c r="U864" s="1" t="s">
        <v>137</v>
      </c>
      <c r="V864" s="3">
        <v>4</v>
      </c>
    </row>
    <row r="865" spans="1:22" x14ac:dyDescent="0.3">
      <c r="A865" s="2" t="s">
        <v>2194</v>
      </c>
      <c r="B865" s="10">
        <v>44980</v>
      </c>
      <c r="C865" s="22">
        <v>44980</v>
      </c>
      <c r="D865" s="1" t="s">
        <v>2195</v>
      </c>
      <c r="E865" s="1" t="s">
        <v>370</v>
      </c>
      <c r="F865" s="1">
        <v>25</v>
      </c>
      <c r="G865" s="1" t="s">
        <v>24</v>
      </c>
      <c r="H865" s="1" t="s">
        <v>82</v>
      </c>
      <c r="I865" s="1" t="s">
        <v>244</v>
      </c>
      <c r="J865" s="1" t="s">
        <v>37</v>
      </c>
      <c r="K865" s="1" t="s">
        <v>671</v>
      </c>
      <c r="L865" s="1">
        <v>5</v>
      </c>
      <c r="M865" s="13">
        <v>259.07</v>
      </c>
      <c r="N865" s="15">
        <v>0.02</v>
      </c>
      <c r="O865" s="13">
        <v>1306.8599999999999</v>
      </c>
      <c r="P865" s="13">
        <v>672.76</v>
      </c>
      <c r="Q865" s="13">
        <v>91.02</v>
      </c>
      <c r="R865" s="1" t="s">
        <v>78</v>
      </c>
      <c r="S865" s="1">
        <v>5</v>
      </c>
      <c r="T865" s="1" t="b">
        <v>0</v>
      </c>
      <c r="U865" s="1" t="s">
        <v>39</v>
      </c>
      <c r="V865" s="3">
        <v>9</v>
      </c>
    </row>
    <row r="866" spans="1:22" x14ac:dyDescent="0.3">
      <c r="A866" s="2" t="s">
        <v>2196</v>
      </c>
      <c r="B866" s="10">
        <v>44997</v>
      </c>
      <c r="C866" s="22">
        <v>44997</v>
      </c>
      <c r="D866" s="1" t="s">
        <v>2197</v>
      </c>
      <c r="E866" s="1" t="s">
        <v>449</v>
      </c>
      <c r="F866" s="1">
        <v>24</v>
      </c>
      <c r="G866" s="1" t="s">
        <v>68</v>
      </c>
      <c r="H866" s="1" t="s">
        <v>25</v>
      </c>
      <c r="I866" s="1" t="s">
        <v>69</v>
      </c>
      <c r="J866" s="1" t="s">
        <v>76</v>
      </c>
      <c r="K866" s="1" t="s">
        <v>77</v>
      </c>
      <c r="L866" s="1">
        <v>3</v>
      </c>
      <c r="M866" s="13">
        <v>1200.51</v>
      </c>
      <c r="N866" s="15">
        <v>0.4</v>
      </c>
      <c r="O866" s="13">
        <v>2711.94</v>
      </c>
      <c r="P866" s="13">
        <v>952.86</v>
      </c>
      <c r="Q866" s="13">
        <v>10.029999999999999</v>
      </c>
      <c r="R866" s="1" t="s">
        <v>29</v>
      </c>
      <c r="S866" s="1">
        <v>3</v>
      </c>
      <c r="T866" s="1" t="b">
        <v>0</v>
      </c>
      <c r="U866" s="1" t="s">
        <v>39</v>
      </c>
      <c r="V866" s="3">
        <v>5</v>
      </c>
    </row>
    <row r="867" spans="1:22" x14ac:dyDescent="0.3">
      <c r="A867" s="2" t="s">
        <v>2198</v>
      </c>
      <c r="B867" s="10">
        <v>44195</v>
      </c>
      <c r="C867" s="22">
        <v>44195</v>
      </c>
      <c r="D867" s="1" t="s">
        <v>2199</v>
      </c>
      <c r="E867" s="1" t="s">
        <v>453</v>
      </c>
      <c r="F867" s="1">
        <v>20</v>
      </c>
      <c r="G867" s="1" t="s">
        <v>34</v>
      </c>
      <c r="H867" s="1" t="s">
        <v>35</v>
      </c>
      <c r="I867" s="1" t="s">
        <v>36</v>
      </c>
      <c r="J867" s="1" t="s">
        <v>76</v>
      </c>
      <c r="K867" s="1" t="s">
        <v>113</v>
      </c>
      <c r="L867" s="1">
        <v>4</v>
      </c>
      <c r="M867" s="13">
        <v>3596.85</v>
      </c>
      <c r="N867" s="15">
        <v>0.25</v>
      </c>
      <c r="O867" s="13">
        <v>7577.9</v>
      </c>
      <c r="P867" s="13">
        <v>2505.62</v>
      </c>
      <c r="Q867" s="13">
        <v>61.39</v>
      </c>
      <c r="R867" s="1" t="s">
        <v>29</v>
      </c>
      <c r="S867" s="1">
        <v>1</v>
      </c>
      <c r="T867" s="1" t="b">
        <v>1</v>
      </c>
      <c r="U867" s="1" t="s">
        <v>30</v>
      </c>
      <c r="V867" s="3">
        <v>7</v>
      </c>
    </row>
    <row r="868" spans="1:22" x14ac:dyDescent="0.3">
      <c r="A868" s="2" t="s">
        <v>2200</v>
      </c>
      <c r="B868" s="10">
        <v>44533</v>
      </c>
      <c r="C868" s="22">
        <v>44533</v>
      </c>
      <c r="D868" s="1" t="s">
        <v>2201</v>
      </c>
      <c r="E868" s="1" t="s">
        <v>1425</v>
      </c>
      <c r="F868" s="1">
        <v>24</v>
      </c>
      <c r="G868" s="1" t="s">
        <v>68</v>
      </c>
      <c r="H868" s="1" t="s">
        <v>25</v>
      </c>
      <c r="I868" s="1" t="s">
        <v>26</v>
      </c>
      <c r="J868" s="1" t="s">
        <v>76</v>
      </c>
      <c r="K868" s="1" t="s">
        <v>132</v>
      </c>
      <c r="L868" s="1">
        <v>7</v>
      </c>
      <c r="M868" s="13">
        <v>2400.11</v>
      </c>
      <c r="N868" s="15">
        <v>0.15</v>
      </c>
      <c r="O868" s="13">
        <v>9585.11</v>
      </c>
      <c r="P868" s="13">
        <v>3359.68</v>
      </c>
      <c r="Q868" s="13">
        <v>55.43</v>
      </c>
      <c r="R868" s="1" t="s">
        <v>78</v>
      </c>
      <c r="S868" s="1">
        <v>2</v>
      </c>
      <c r="T868" s="1" t="b">
        <v>0</v>
      </c>
      <c r="U868" s="1" t="s">
        <v>39</v>
      </c>
      <c r="V868" s="3">
        <v>10</v>
      </c>
    </row>
    <row r="869" spans="1:22" x14ac:dyDescent="0.3">
      <c r="A869" s="2" t="s">
        <v>2202</v>
      </c>
      <c r="B869" s="10">
        <v>45630</v>
      </c>
      <c r="C869" s="22">
        <v>45630</v>
      </c>
      <c r="D869" s="1" t="s">
        <v>2203</v>
      </c>
      <c r="E869" s="1" t="s">
        <v>1119</v>
      </c>
      <c r="F869" s="1">
        <v>34</v>
      </c>
      <c r="G869" s="1" t="s">
        <v>34</v>
      </c>
      <c r="H869" s="1" t="s">
        <v>25</v>
      </c>
      <c r="I869" s="1" t="s">
        <v>55</v>
      </c>
      <c r="J869" s="1" t="s">
        <v>27</v>
      </c>
      <c r="K869" s="1" t="s">
        <v>28</v>
      </c>
      <c r="L869" s="1">
        <v>4</v>
      </c>
      <c r="M869" s="13">
        <v>242.65</v>
      </c>
      <c r="N869" s="15">
        <v>0.21</v>
      </c>
      <c r="O869" s="13">
        <v>854.73</v>
      </c>
      <c r="P869" s="13">
        <v>91.72</v>
      </c>
      <c r="Q869" s="13">
        <v>48.21</v>
      </c>
      <c r="R869" s="1" t="s">
        <v>57</v>
      </c>
      <c r="S869" s="1">
        <v>1</v>
      </c>
      <c r="T869" s="1" t="b">
        <v>1</v>
      </c>
      <c r="U869" s="1" t="s">
        <v>30</v>
      </c>
      <c r="V869" s="3">
        <v>1</v>
      </c>
    </row>
    <row r="870" spans="1:22" x14ac:dyDescent="0.3">
      <c r="A870" s="2" t="s">
        <v>2204</v>
      </c>
      <c r="B870" s="10">
        <v>45024</v>
      </c>
      <c r="C870" s="22">
        <v>45024</v>
      </c>
      <c r="D870" s="1" t="s">
        <v>2205</v>
      </c>
      <c r="E870" s="1" t="s">
        <v>1159</v>
      </c>
      <c r="F870" s="1">
        <v>33</v>
      </c>
      <c r="G870" s="1" t="s">
        <v>34</v>
      </c>
      <c r="H870" s="1" t="s">
        <v>35</v>
      </c>
      <c r="I870" s="1" t="s">
        <v>106</v>
      </c>
      <c r="J870" s="1" t="s">
        <v>76</v>
      </c>
      <c r="K870" s="1" t="s">
        <v>113</v>
      </c>
      <c r="L870" s="1">
        <v>3</v>
      </c>
      <c r="M870" s="13">
        <v>2494.29</v>
      </c>
      <c r="N870" s="15">
        <v>0.1</v>
      </c>
      <c r="O870" s="13">
        <v>9558.85</v>
      </c>
      <c r="P870" s="13">
        <v>3760.45</v>
      </c>
      <c r="Q870" s="13">
        <v>54.2</v>
      </c>
      <c r="R870" s="1" t="s">
        <v>64</v>
      </c>
      <c r="S870" s="1">
        <v>3</v>
      </c>
      <c r="T870" s="1" t="b">
        <v>0</v>
      </c>
      <c r="U870" s="1" t="s">
        <v>39</v>
      </c>
      <c r="V870" s="3">
        <v>8</v>
      </c>
    </row>
    <row r="871" spans="1:22" x14ac:dyDescent="0.3">
      <c r="A871" s="2" t="s">
        <v>2206</v>
      </c>
      <c r="B871" s="10">
        <v>43866</v>
      </c>
      <c r="C871" s="22">
        <v>43866</v>
      </c>
      <c r="D871" s="1" t="s">
        <v>2207</v>
      </c>
      <c r="E871" s="1" t="s">
        <v>809</v>
      </c>
      <c r="F871" s="1">
        <v>16</v>
      </c>
      <c r="G871" s="1" t="s">
        <v>68</v>
      </c>
      <c r="H871" s="1" t="s">
        <v>35</v>
      </c>
      <c r="I871" s="1" t="s">
        <v>36</v>
      </c>
      <c r="J871" s="1" t="s">
        <v>44</v>
      </c>
      <c r="K871" s="1" t="s">
        <v>117</v>
      </c>
      <c r="L871" s="1">
        <v>2</v>
      </c>
      <c r="M871" s="13">
        <v>23012.97</v>
      </c>
      <c r="N871" s="15">
        <v>0.03</v>
      </c>
      <c r="O871" s="13">
        <v>33590.83</v>
      </c>
      <c r="P871" s="13">
        <v>8197.84</v>
      </c>
      <c r="Q871" s="13">
        <v>60.46</v>
      </c>
      <c r="R871" s="1" t="s">
        <v>29</v>
      </c>
      <c r="S871" s="1">
        <v>5</v>
      </c>
      <c r="T871" s="1" t="b">
        <v>0</v>
      </c>
      <c r="U871" s="1" t="s">
        <v>39</v>
      </c>
      <c r="V871" s="3">
        <v>9</v>
      </c>
    </row>
    <row r="872" spans="1:22" x14ac:dyDescent="0.3">
      <c r="A872" s="2" t="s">
        <v>2208</v>
      </c>
      <c r="B872" s="10">
        <v>45408</v>
      </c>
      <c r="C872" s="22">
        <v>45408</v>
      </c>
      <c r="D872" s="1" t="s">
        <v>2209</v>
      </c>
      <c r="E872" s="1" t="s">
        <v>253</v>
      </c>
      <c r="F872" s="1">
        <v>25</v>
      </c>
      <c r="G872" s="1" t="s">
        <v>68</v>
      </c>
      <c r="H872" s="1" t="s">
        <v>82</v>
      </c>
      <c r="I872" s="1" t="s">
        <v>244</v>
      </c>
      <c r="J872" s="1" t="s">
        <v>127</v>
      </c>
      <c r="K872" s="1" t="s">
        <v>196</v>
      </c>
      <c r="L872" s="1">
        <v>2</v>
      </c>
      <c r="M872" s="13">
        <v>36881.480000000003</v>
      </c>
      <c r="N872" s="15">
        <v>0.01</v>
      </c>
      <c r="O872" s="13">
        <v>101185.85</v>
      </c>
      <c r="P872" s="13">
        <v>16236.72</v>
      </c>
      <c r="Q872" s="13">
        <v>67.63</v>
      </c>
      <c r="R872" s="1" t="s">
        <v>51</v>
      </c>
      <c r="S872" s="1">
        <v>4</v>
      </c>
      <c r="T872" s="1" t="b">
        <v>0</v>
      </c>
      <c r="U872" s="1" t="s">
        <v>39</v>
      </c>
      <c r="V872" s="3">
        <v>8</v>
      </c>
    </row>
    <row r="873" spans="1:22" x14ac:dyDescent="0.3">
      <c r="A873" s="2" t="s">
        <v>2210</v>
      </c>
      <c r="B873" s="10">
        <v>45482</v>
      </c>
      <c r="C873" s="22">
        <v>45482</v>
      </c>
      <c r="D873" s="1" t="s">
        <v>2211</v>
      </c>
      <c r="E873" s="1" t="s">
        <v>1899</v>
      </c>
      <c r="F873" s="1">
        <v>41</v>
      </c>
      <c r="G873" s="1" t="s">
        <v>34</v>
      </c>
      <c r="H873" s="1" t="s">
        <v>111</v>
      </c>
      <c r="I873" s="1" t="s">
        <v>112</v>
      </c>
      <c r="J873" s="1" t="s">
        <v>146</v>
      </c>
      <c r="K873" s="1" t="s">
        <v>484</v>
      </c>
      <c r="L873" s="1">
        <v>4</v>
      </c>
      <c r="M873" s="13">
        <v>4528.8999999999996</v>
      </c>
      <c r="N873" s="15">
        <v>0.09</v>
      </c>
      <c r="O873" s="13">
        <v>28783.41</v>
      </c>
      <c r="P873" s="13">
        <v>6807.19</v>
      </c>
      <c r="Q873" s="13">
        <v>79.89</v>
      </c>
      <c r="R873" s="1" t="s">
        <v>70</v>
      </c>
      <c r="S873" s="1">
        <v>1</v>
      </c>
      <c r="T873" s="1" t="b">
        <v>0</v>
      </c>
      <c r="U873" s="1" t="s">
        <v>39</v>
      </c>
      <c r="V873" s="3">
        <v>3</v>
      </c>
    </row>
    <row r="874" spans="1:22" x14ac:dyDescent="0.3">
      <c r="A874" s="2" t="s">
        <v>2212</v>
      </c>
      <c r="B874" s="10">
        <v>43922</v>
      </c>
      <c r="C874" s="22">
        <v>43922</v>
      </c>
      <c r="D874" s="1" t="s">
        <v>2213</v>
      </c>
      <c r="E874" s="1" t="s">
        <v>2214</v>
      </c>
      <c r="F874" s="1">
        <v>31</v>
      </c>
      <c r="G874" s="1" t="s">
        <v>34</v>
      </c>
      <c r="H874" s="1" t="s">
        <v>74</v>
      </c>
      <c r="I874" s="1" t="s">
        <v>192</v>
      </c>
      <c r="J874" s="1" t="s">
        <v>37</v>
      </c>
      <c r="K874" s="1" t="s">
        <v>671</v>
      </c>
      <c r="L874" s="1">
        <v>4</v>
      </c>
      <c r="M874" s="13">
        <v>2105.61</v>
      </c>
      <c r="N874" s="15">
        <v>0.37</v>
      </c>
      <c r="O874" s="13">
        <v>5688.97</v>
      </c>
      <c r="P874" s="13">
        <v>2865.09</v>
      </c>
      <c r="Q874" s="13">
        <v>70.930000000000007</v>
      </c>
      <c r="R874" s="1" t="s">
        <v>78</v>
      </c>
      <c r="S874" s="1">
        <v>4</v>
      </c>
      <c r="T874" s="1" t="b">
        <v>0</v>
      </c>
      <c r="U874" s="1" t="s">
        <v>39</v>
      </c>
      <c r="V874" s="3">
        <v>6</v>
      </c>
    </row>
    <row r="875" spans="1:22" x14ac:dyDescent="0.3">
      <c r="A875" s="2" t="s">
        <v>2215</v>
      </c>
      <c r="B875" s="10">
        <v>45527</v>
      </c>
      <c r="C875" s="22">
        <v>45527</v>
      </c>
      <c r="D875" s="1" t="s">
        <v>2216</v>
      </c>
      <c r="E875" s="1" t="s">
        <v>566</v>
      </c>
      <c r="F875" s="1">
        <v>33</v>
      </c>
      <c r="G875" s="1" t="s">
        <v>34</v>
      </c>
      <c r="H875" s="1" t="s">
        <v>111</v>
      </c>
      <c r="I875" s="1" t="s">
        <v>141</v>
      </c>
      <c r="J875" s="1" t="s">
        <v>62</v>
      </c>
      <c r="K875" s="1" t="s">
        <v>266</v>
      </c>
      <c r="L875" s="1">
        <v>1</v>
      </c>
      <c r="M875" s="13">
        <v>1473.01</v>
      </c>
      <c r="N875" s="15">
        <v>0.35</v>
      </c>
      <c r="O875" s="13">
        <v>1432.65</v>
      </c>
      <c r="P875" s="13">
        <v>578.62</v>
      </c>
      <c r="Q875" s="13">
        <v>72.78</v>
      </c>
      <c r="R875" s="1" t="s">
        <v>78</v>
      </c>
      <c r="S875" s="1">
        <v>3</v>
      </c>
      <c r="T875" s="1" t="b">
        <v>0</v>
      </c>
      <c r="U875" s="1" t="s">
        <v>39</v>
      </c>
      <c r="V875" s="3">
        <v>1</v>
      </c>
    </row>
    <row r="876" spans="1:22" x14ac:dyDescent="0.3">
      <c r="A876" s="2" t="s">
        <v>2217</v>
      </c>
      <c r="B876" s="10">
        <v>44142</v>
      </c>
      <c r="C876" s="22">
        <v>44142</v>
      </c>
      <c r="D876" s="1" t="s">
        <v>2218</v>
      </c>
      <c r="E876" s="1" t="s">
        <v>537</v>
      </c>
      <c r="F876" s="1">
        <v>23</v>
      </c>
      <c r="G876" s="1" t="s">
        <v>68</v>
      </c>
      <c r="H876" s="1" t="s">
        <v>25</v>
      </c>
      <c r="I876" s="1" t="s">
        <v>69</v>
      </c>
      <c r="J876" s="1" t="s">
        <v>62</v>
      </c>
      <c r="K876" s="1" t="s">
        <v>107</v>
      </c>
      <c r="L876" s="1">
        <v>2</v>
      </c>
      <c r="M876" s="13">
        <v>1020.32</v>
      </c>
      <c r="N876" s="15">
        <v>0.39</v>
      </c>
      <c r="O876" s="13">
        <v>969.44</v>
      </c>
      <c r="P876" s="13">
        <v>436.92</v>
      </c>
      <c r="Q876" s="13">
        <v>35.61</v>
      </c>
      <c r="R876" s="1" t="s">
        <v>29</v>
      </c>
      <c r="S876" s="1">
        <v>4</v>
      </c>
      <c r="T876" s="1" t="b">
        <v>0</v>
      </c>
      <c r="U876" s="1" t="s">
        <v>39</v>
      </c>
      <c r="V876" s="3">
        <v>5</v>
      </c>
    </row>
    <row r="877" spans="1:22" x14ac:dyDescent="0.3">
      <c r="A877" s="2" t="s">
        <v>2219</v>
      </c>
      <c r="B877" s="10">
        <v>43841</v>
      </c>
      <c r="C877" s="22">
        <v>43841</v>
      </c>
      <c r="D877" s="1" t="s">
        <v>2220</v>
      </c>
      <c r="E877" s="1" t="s">
        <v>301</v>
      </c>
      <c r="F877" s="1">
        <v>29</v>
      </c>
      <c r="G877" s="1" t="s">
        <v>24</v>
      </c>
      <c r="H877" s="1" t="s">
        <v>35</v>
      </c>
      <c r="I877" s="1" t="s">
        <v>49</v>
      </c>
      <c r="J877" s="1" t="s">
        <v>76</v>
      </c>
      <c r="K877" s="1" t="s">
        <v>207</v>
      </c>
      <c r="L877" s="1">
        <v>8</v>
      </c>
      <c r="M877" s="13">
        <v>2738.08</v>
      </c>
      <c r="N877" s="15">
        <v>0.04</v>
      </c>
      <c r="O877" s="13">
        <v>15129.46</v>
      </c>
      <c r="P877" s="13">
        <v>7413.18</v>
      </c>
      <c r="Q877" s="13">
        <v>61.16</v>
      </c>
      <c r="R877" s="1" t="s">
        <v>29</v>
      </c>
      <c r="S877" s="1">
        <v>1</v>
      </c>
      <c r="T877" s="1" t="b">
        <v>0</v>
      </c>
      <c r="U877" s="1" t="s">
        <v>39</v>
      </c>
      <c r="V877" s="3">
        <v>9</v>
      </c>
    </row>
    <row r="878" spans="1:22" x14ac:dyDescent="0.3">
      <c r="A878" s="2" t="s">
        <v>2221</v>
      </c>
      <c r="B878" s="10">
        <v>44574</v>
      </c>
      <c r="C878" s="22">
        <v>44574</v>
      </c>
      <c r="D878" s="1" t="s">
        <v>2222</v>
      </c>
      <c r="E878" s="1" t="s">
        <v>499</v>
      </c>
      <c r="F878" s="1">
        <v>35</v>
      </c>
      <c r="G878" s="1" t="s">
        <v>24</v>
      </c>
      <c r="H878" s="1" t="s">
        <v>74</v>
      </c>
      <c r="I878" s="1" t="s">
        <v>101</v>
      </c>
      <c r="J878" s="1" t="s">
        <v>127</v>
      </c>
      <c r="K878" s="1" t="s">
        <v>196</v>
      </c>
      <c r="L878" s="1">
        <v>5</v>
      </c>
      <c r="M878" s="13">
        <v>49380.11</v>
      </c>
      <c r="N878" s="15">
        <v>0.26</v>
      </c>
      <c r="O878" s="13">
        <v>163008.07999999999</v>
      </c>
      <c r="P878" s="13">
        <v>20346.12</v>
      </c>
      <c r="Q878" s="13">
        <v>62.16</v>
      </c>
      <c r="R878" s="1" t="s">
        <v>57</v>
      </c>
      <c r="S878" s="1">
        <v>2</v>
      </c>
      <c r="T878" s="1" t="b">
        <v>0</v>
      </c>
      <c r="U878" s="1" t="s">
        <v>39</v>
      </c>
      <c r="V878" s="3">
        <v>8</v>
      </c>
    </row>
    <row r="879" spans="1:22" x14ac:dyDescent="0.3">
      <c r="A879" s="2" t="s">
        <v>2223</v>
      </c>
      <c r="B879" s="10">
        <v>43947</v>
      </c>
      <c r="C879" s="22">
        <v>43947</v>
      </c>
      <c r="D879" s="1" t="s">
        <v>2224</v>
      </c>
      <c r="E879" s="1" t="s">
        <v>269</v>
      </c>
      <c r="F879" s="1">
        <v>36</v>
      </c>
      <c r="G879" s="1" t="s">
        <v>24</v>
      </c>
      <c r="H879" s="1" t="s">
        <v>82</v>
      </c>
      <c r="I879" s="1" t="s">
        <v>126</v>
      </c>
      <c r="J879" s="1" t="s">
        <v>146</v>
      </c>
      <c r="K879" s="1" t="s">
        <v>178</v>
      </c>
      <c r="L879" s="1">
        <v>9</v>
      </c>
      <c r="M879" s="13">
        <v>12444.32</v>
      </c>
      <c r="N879" s="15">
        <v>0.12</v>
      </c>
      <c r="O879" s="13">
        <v>106749.94</v>
      </c>
      <c r="P879" s="13">
        <v>24509.37</v>
      </c>
      <c r="Q879" s="13">
        <v>90.94</v>
      </c>
      <c r="R879" s="1" t="s">
        <v>78</v>
      </c>
      <c r="S879" s="1">
        <v>4</v>
      </c>
      <c r="T879" s="1" t="b">
        <v>0</v>
      </c>
      <c r="U879" s="1" t="s">
        <v>84</v>
      </c>
      <c r="V879" s="3">
        <v>9</v>
      </c>
    </row>
    <row r="880" spans="1:22" x14ac:dyDescent="0.3">
      <c r="A880" s="2" t="s">
        <v>2225</v>
      </c>
      <c r="B880" s="10">
        <v>45155</v>
      </c>
      <c r="C880" s="22">
        <v>45155</v>
      </c>
      <c r="D880" s="1" t="s">
        <v>2226</v>
      </c>
      <c r="E880" s="1" t="s">
        <v>531</v>
      </c>
      <c r="F880" s="1">
        <v>19</v>
      </c>
      <c r="G880" s="1" t="s">
        <v>68</v>
      </c>
      <c r="H880" s="1" t="s">
        <v>25</v>
      </c>
      <c r="I880" s="1" t="s">
        <v>69</v>
      </c>
      <c r="J880" s="1" t="s">
        <v>37</v>
      </c>
      <c r="K880" s="1" t="s">
        <v>671</v>
      </c>
      <c r="L880" s="1">
        <v>7</v>
      </c>
      <c r="M880" s="13">
        <v>100.31</v>
      </c>
      <c r="N880" s="15">
        <v>0.36</v>
      </c>
      <c r="O880" s="13">
        <v>600.84</v>
      </c>
      <c r="P880" s="13">
        <v>277.58</v>
      </c>
      <c r="Q880" s="13">
        <v>67.27</v>
      </c>
      <c r="R880" s="1" t="s">
        <v>29</v>
      </c>
      <c r="S880" s="1">
        <v>1</v>
      </c>
      <c r="T880" s="1" t="b">
        <v>0</v>
      </c>
      <c r="U880" s="1" t="s">
        <v>137</v>
      </c>
      <c r="V880" s="3">
        <v>9</v>
      </c>
    </row>
    <row r="881" spans="1:22" x14ac:dyDescent="0.3">
      <c r="A881" s="2" t="s">
        <v>2227</v>
      </c>
      <c r="B881" s="10">
        <v>45502</v>
      </c>
      <c r="C881" s="22">
        <v>45502</v>
      </c>
      <c r="D881" s="1" t="s">
        <v>2228</v>
      </c>
      <c r="E881" s="1" t="s">
        <v>2229</v>
      </c>
      <c r="F881" s="1">
        <v>34</v>
      </c>
      <c r="G881" s="1" t="s">
        <v>463</v>
      </c>
      <c r="H881" s="1" t="s">
        <v>74</v>
      </c>
      <c r="I881" s="1" t="s">
        <v>136</v>
      </c>
      <c r="J881" s="1" t="s">
        <v>146</v>
      </c>
      <c r="K881" s="1" t="s">
        <v>484</v>
      </c>
      <c r="L881" s="1">
        <v>7</v>
      </c>
      <c r="M881" s="13">
        <v>9729.83</v>
      </c>
      <c r="N881" s="15">
        <v>0.21</v>
      </c>
      <c r="O881" s="13">
        <v>90858.69</v>
      </c>
      <c r="P881" s="13">
        <v>22104.58</v>
      </c>
      <c r="Q881" s="13">
        <v>66.099999999999994</v>
      </c>
      <c r="R881" s="1" t="s">
        <v>29</v>
      </c>
      <c r="S881" s="1">
        <v>5</v>
      </c>
      <c r="T881" s="1" t="b">
        <v>1</v>
      </c>
      <c r="U881" s="1" t="s">
        <v>30</v>
      </c>
      <c r="V881" s="3">
        <v>5</v>
      </c>
    </row>
    <row r="882" spans="1:22" x14ac:dyDescent="0.3">
      <c r="A882" s="2" t="s">
        <v>2230</v>
      </c>
      <c r="B882" s="10">
        <v>45628</v>
      </c>
      <c r="C882" s="22">
        <v>45628</v>
      </c>
      <c r="D882" s="1" t="s">
        <v>2231</v>
      </c>
      <c r="E882" s="1" t="s">
        <v>1510</v>
      </c>
      <c r="F882" s="1">
        <v>24</v>
      </c>
      <c r="G882" s="1" t="s">
        <v>68</v>
      </c>
      <c r="H882" s="1" t="s">
        <v>82</v>
      </c>
      <c r="I882" s="1" t="s">
        <v>83</v>
      </c>
      <c r="J882" s="1" t="s">
        <v>44</v>
      </c>
      <c r="K882" s="1" t="s">
        <v>93</v>
      </c>
      <c r="L882" s="1">
        <v>5</v>
      </c>
      <c r="M882" s="13">
        <v>14663.57</v>
      </c>
      <c r="N882" s="15">
        <v>0.39</v>
      </c>
      <c r="O882" s="13">
        <v>43871.43</v>
      </c>
      <c r="P882" s="13">
        <v>8682.18</v>
      </c>
      <c r="Q882" s="13">
        <v>101.24</v>
      </c>
      <c r="R882" s="1" t="s">
        <v>70</v>
      </c>
      <c r="S882" s="1">
        <v>4</v>
      </c>
      <c r="T882" s="1" t="b">
        <v>0</v>
      </c>
      <c r="U882" s="1" t="s">
        <v>39</v>
      </c>
      <c r="V882" s="3">
        <v>3</v>
      </c>
    </row>
    <row r="883" spans="1:22" x14ac:dyDescent="0.3">
      <c r="A883" s="2" t="s">
        <v>2232</v>
      </c>
      <c r="B883" s="10">
        <v>44917</v>
      </c>
      <c r="C883" s="22">
        <v>44917</v>
      </c>
      <c r="D883" s="1" t="s">
        <v>2233</v>
      </c>
      <c r="E883" s="1" t="s">
        <v>1538</v>
      </c>
      <c r="F883" s="1">
        <v>44</v>
      </c>
      <c r="G883" s="1" t="s">
        <v>34</v>
      </c>
      <c r="H883" s="1" t="s">
        <v>25</v>
      </c>
      <c r="I883" s="1" t="s">
        <v>170</v>
      </c>
      <c r="J883" s="1" t="s">
        <v>37</v>
      </c>
      <c r="K883" s="1" t="s">
        <v>102</v>
      </c>
      <c r="L883" s="1">
        <v>5</v>
      </c>
      <c r="M883" s="13">
        <v>820.51</v>
      </c>
      <c r="N883" s="15">
        <v>0.21</v>
      </c>
      <c r="O883" s="13">
        <v>632.16999999999996</v>
      </c>
      <c r="P883" s="13">
        <v>211.59</v>
      </c>
      <c r="Q883" s="13">
        <v>67.849999999999994</v>
      </c>
      <c r="R883" s="1" t="s">
        <v>78</v>
      </c>
      <c r="S883" s="1">
        <v>3</v>
      </c>
      <c r="T883" s="1" t="b">
        <v>0</v>
      </c>
      <c r="U883" s="1" t="s">
        <v>39</v>
      </c>
      <c r="V883" s="3">
        <v>7</v>
      </c>
    </row>
    <row r="884" spans="1:22" x14ac:dyDescent="0.3">
      <c r="A884" s="2" t="s">
        <v>2234</v>
      </c>
      <c r="B884" s="10">
        <v>44943</v>
      </c>
      <c r="C884" s="22">
        <v>44943</v>
      </c>
      <c r="D884" s="1" t="s">
        <v>2235</v>
      </c>
      <c r="E884" s="1" t="s">
        <v>307</v>
      </c>
      <c r="F884" s="1">
        <v>21</v>
      </c>
      <c r="G884" s="1" t="s">
        <v>68</v>
      </c>
      <c r="H884" s="1" t="s">
        <v>74</v>
      </c>
      <c r="I884" s="1" t="s">
        <v>136</v>
      </c>
      <c r="J884" s="1" t="s">
        <v>27</v>
      </c>
      <c r="K884" s="1" t="s">
        <v>430</v>
      </c>
      <c r="L884" s="1">
        <v>1</v>
      </c>
      <c r="M884" s="13">
        <v>235.69</v>
      </c>
      <c r="N884" s="15">
        <v>0.27</v>
      </c>
      <c r="O884" s="13">
        <v>145.65</v>
      </c>
      <c r="P884" s="13">
        <v>13.54</v>
      </c>
      <c r="Q884" s="13">
        <v>59.77</v>
      </c>
      <c r="R884" s="1" t="s">
        <v>51</v>
      </c>
      <c r="S884" s="1">
        <v>5</v>
      </c>
      <c r="T884" s="1" t="b">
        <v>0</v>
      </c>
      <c r="U884" s="1" t="s">
        <v>39</v>
      </c>
      <c r="V884" s="3">
        <v>3</v>
      </c>
    </row>
    <row r="885" spans="1:22" x14ac:dyDescent="0.3">
      <c r="A885" s="2" t="s">
        <v>2236</v>
      </c>
      <c r="B885" s="10">
        <v>45113</v>
      </c>
      <c r="C885" s="22">
        <v>45113</v>
      </c>
      <c r="D885" s="1" t="s">
        <v>2237</v>
      </c>
      <c r="E885" s="1" t="s">
        <v>608</v>
      </c>
      <c r="F885" s="1">
        <v>58</v>
      </c>
      <c r="G885" s="1" t="s">
        <v>34</v>
      </c>
      <c r="H885" s="1" t="s">
        <v>74</v>
      </c>
      <c r="I885" s="1" t="s">
        <v>101</v>
      </c>
      <c r="J885" s="1" t="s">
        <v>27</v>
      </c>
      <c r="K885" s="1" t="s">
        <v>430</v>
      </c>
      <c r="L885" s="1">
        <v>9</v>
      </c>
      <c r="M885" s="13">
        <v>324.23</v>
      </c>
      <c r="N885" s="15">
        <v>0.17</v>
      </c>
      <c r="O885" s="13">
        <v>4033.84</v>
      </c>
      <c r="P885" s="13">
        <v>456.69</v>
      </c>
      <c r="Q885" s="13">
        <v>63.2</v>
      </c>
      <c r="R885" s="1" t="s">
        <v>51</v>
      </c>
      <c r="S885" s="1">
        <v>3</v>
      </c>
      <c r="T885" s="1" t="b">
        <v>0</v>
      </c>
      <c r="U885" s="1" t="s">
        <v>39</v>
      </c>
      <c r="V885" s="3">
        <v>3</v>
      </c>
    </row>
    <row r="886" spans="1:22" x14ac:dyDescent="0.3">
      <c r="A886" s="2" t="s">
        <v>2238</v>
      </c>
      <c r="B886" s="10">
        <v>43838</v>
      </c>
      <c r="C886" s="22">
        <v>43838</v>
      </c>
      <c r="D886" s="1" t="s">
        <v>2239</v>
      </c>
      <c r="E886" s="1" t="s">
        <v>457</v>
      </c>
      <c r="F886" s="1">
        <v>49</v>
      </c>
      <c r="G886" s="1" t="s">
        <v>24</v>
      </c>
      <c r="H886" s="1" t="s">
        <v>74</v>
      </c>
      <c r="I886" s="1" t="s">
        <v>75</v>
      </c>
      <c r="J886" s="1" t="s">
        <v>146</v>
      </c>
      <c r="K886" s="1" t="s">
        <v>276</v>
      </c>
      <c r="L886" s="1">
        <v>10</v>
      </c>
      <c r="M886" s="13">
        <v>510.46</v>
      </c>
      <c r="N886" s="15">
        <v>0.33</v>
      </c>
      <c r="O886" s="13">
        <v>3117.15</v>
      </c>
      <c r="P886" s="13">
        <v>595.15</v>
      </c>
      <c r="Q886" s="13">
        <v>69.010000000000005</v>
      </c>
      <c r="R886" s="1" t="s">
        <v>51</v>
      </c>
      <c r="S886" s="1">
        <v>4</v>
      </c>
      <c r="T886" s="1" t="b">
        <v>0</v>
      </c>
      <c r="U886" s="1" t="s">
        <v>39</v>
      </c>
      <c r="V886" s="3">
        <v>3</v>
      </c>
    </row>
    <row r="887" spans="1:22" x14ac:dyDescent="0.3">
      <c r="A887" s="2" t="s">
        <v>2240</v>
      </c>
      <c r="B887" s="10">
        <v>44808</v>
      </c>
      <c r="C887" s="22">
        <v>44808</v>
      </c>
      <c r="D887" s="1" t="s">
        <v>2241</v>
      </c>
      <c r="E887" s="1" t="s">
        <v>1904</v>
      </c>
      <c r="F887" s="1">
        <v>31</v>
      </c>
      <c r="G887" s="1" t="s">
        <v>68</v>
      </c>
      <c r="H887" s="1" t="s">
        <v>111</v>
      </c>
      <c r="I887" s="1" t="s">
        <v>141</v>
      </c>
      <c r="J887" s="1" t="s">
        <v>44</v>
      </c>
      <c r="K887" s="1" t="s">
        <v>93</v>
      </c>
      <c r="L887" s="1">
        <v>8</v>
      </c>
      <c r="M887" s="13">
        <v>4977.01</v>
      </c>
      <c r="N887" s="15">
        <v>0.28000000000000003</v>
      </c>
      <c r="O887" s="13">
        <v>33795.379999999997</v>
      </c>
      <c r="P887" s="13">
        <v>9634.2000000000007</v>
      </c>
      <c r="Q887" s="13">
        <v>84.09</v>
      </c>
      <c r="R887" s="1" t="s">
        <v>78</v>
      </c>
      <c r="S887" s="1">
        <v>4</v>
      </c>
      <c r="T887" s="1" t="b">
        <v>0</v>
      </c>
      <c r="U887" s="1" t="s">
        <v>39</v>
      </c>
      <c r="V887" s="3">
        <v>8</v>
      </c>
    </row>
    <row r="888" spans="1:22" x14ac:dyDescent="0.3">
      <c r="A888" s="2" t="s">
        <v>2242</v>
      </c>
      <c r="B888" s="10">
        <v>45632</v>
      </c>
      <c r="C888" s="22">
        <v>45632</v>
      </c>
      <c r="D888" s="1" t="s">
        <v>2243</v>
      </c>
      <c r="E888" s="1" t="s">
        <v>794</v>
      </c>
      <c r="F888" s="1">
        <v>32</v>
      </c>
      <c r="G888" s="1" t="s">
        <v>24</v>
      </c>
      <c r="H888" s="1" t="s">
        <v>35</v>
      </c>
      <c r="I888" s="1" t="s">
        <v>43</v>
      </c>
      <c r="J888" s="1" t="s">
        <v>37</v>
      </c>
      <c r="K888" s="1" t="s">
        <v>102</v>
      </c>
      <c r="L888" s="1">
        <v>8</v>
      </c>
      <c r="M888" s="13">
        <v>1064.92</v>
      </c>
      <c r="N888" s="15">
        <v>0.37</v>
      </c>
      <c r="O888" s="13">
        <v>5754.84</v>
      </c>
      <c r="P888" s="13">
        <v>2941.97</v>
      </c>
      <c r="Q888" s="13">
        <v>55.05</v>
      </c>
      <c r="R888" s="1" t="s">
        <v>64</v>
      </c>
      <c r="S888" s="1">
        <v>5</v>
      </c>
      <c r="T888" s="1" t="b">
        <v>0</v>
      </c>
      <c r="U888" s="1" t="s">
        <v>39</v>
      </c>
      <c r="V888" s="3">
        <v>5</v>
      </c>
    </row>
    <row r="889" spans="1:22" x14ac:dyDescent="0.3">
      <c r="A889" s="2" t="s">
        <v>2244</v>
      </c>
      <c r="B889" s="10">
        <v>44133</v>
      </c>
      <c r="C889" s="22">
        <v>44133</v>
      </c>
      <c r="D889" s="1" t="s">
        <v>2245</v>
      </c>
      <c r="E889" s="1" t="s">
        <v>476</v>
      </c>
      <c r="F889" s="1">
        <v>21</v>
      </c>
      <c r="G889" s="1" t="s">
        <v>24</v>
      </c>
      <c r="H889" s="1" t="s">
        <v>35</v>
      </c>
      <c r="I889" s="1" t="s">
        <v>43</v>
      </c>
      <c r="J889" s="1" t="s">
        <v>127</v>
      </c>
      <c r="K889" s="1" t="s">
        <v>128</v>
      </c>
      <c r="L889" s="1">
        <v>3</v>
      </c>
      <c r="M889" s="13">
        <v>14080.67</v>
      </c>
      <c r="N889" s="15">
        <v>0.36</v>
      </c>
      <c r="O889" s="13">
        <v>17734.88</v>
      </c>
      <c r="P889" s="13">
        <v>1519.64</v>
      </c>
      <c r="Q889" s="13">
        <v>63.63</v>
      </c>
      <c r="R889" s="1" t="s">
        <v>70</v>
      </c>
      <c r="S889" s="1">
        <v>2</v>
      </c>
      <c r="T889" s="1" t="b">
        <v>1</v>
      </c>
      <c r="U889" s="1" t="s">
        <v>30</v>
      </c>
      <c r="V889" s="3">
        <v>7</v>
      </c>
    </row>
    <row r="890" spans="1:22" x14ac:dyDescent="0.3">
      <c r="A890" s="2" t="s">
        <v>2246</v>
      </c>
      <c r="B890" s="10">
        <v>45104</v>
      </c>
      <c r="C890" s="22">
        <v>45104</v>
      </c>
      <c r="D890" s="1" t="s">
        <v>2247</v>
      </c>
      <c r="E890" s="1" t="s">
        <v>120</v>
      </c>
      <c r="F890" s="1">
        <v>50</v>
      </c>
      <c r="G890" s="1" t="s">
        <v>68</v>
      </c>
      <c r="H890" s="1" t="s">
        <v>74</v>
      </c>
      <c r="I890" s="1" t="s">
        <v>192</v>
      </c>
      <c r="J890" s="1" t="s">
        <v>146</v>
      </c>
      <c r="K890" s="1" t="s">
        <v>161</v>
      </c>
      <c r="L890" s="1">
        <v>9</v>
      </c>
      <c r="M890" s="13">
        <v>13111.09</v>
      </c>
      <c r="N890" s="15">
        <v>0.28999999999999998</v>
      </c>
      <c r="O890" s="13">
        <v>128078.44</v>
      </c>
      <c r="P890" s="13">
        <v>31164.9</v>
      </c>
      <c r="Q890" s="13">
        <v>62.85</v>
      </c>
      <c r="R890" s="1" t="s">
        <v>57</v>
      </c>
      <c r="S890" s="1">
        <v>3</v>
      </c>
      <c r="T890" s="1" t="b">
        <v>0</v>
      </c>
      <c r="U890" s="1" t="s">
        <v>39</v>
      </c>
      <c r="V890" s="3">
        <v>9</v>
      </c>
    </row>
    <row r="891" spans="1:22" x14ac:dyDescent="0.3">
      <c r="A891" s="2" t="s">
        <v>2248</v>
      </c>
      <c r="B891" s="10">
        <v>45326</v>
      </c>
      <c r="C891" s="22">
        <v>45326</v>
      </c>
      <c r="D891" s="1" t="s">
        <v>2249</v>
      </c>
      <c r="E891" s="1" t="s">
        <v>2250</v>
      </c>
      <c r="F891" s="1">
        <v>11</v>
      </c>
      <c r="G891" s="1" t="s">
        <v>24</v>
      </c>
      <c r="H891" s="1" t="s">
        <v>111</v>
      </c>
      <c r="I891" s="1" t="s">
        <v>330</v>
      </c>
      <c r="J891" s="1" t="s">
        <v>37</v>
      </c>
      <c r="K891" s="1" t="s">
        <v>182</v>
      </c>
      <c r="L891" s="1">
        <v>6</v>
      </c>
      <c r="M891" s="13">
        <v>127.9</v>
      </c>
      <c r="N891" s="15">
        <v>0.27</v>
      </c>
      <c r="O891" s="13">
        <v>660.97</v>
      </c>
      <c r="P891" s="13">
        <v>407.58</v>
      </c>
      <c r="Q891" s="13">
        <v>63.91</v>
      </c>
      <c r="R891" s="1" t="s">
        <v>70</v>
      </c>
      <c r="S891" s="1">
        <v>4</v>
      </c>
      <c r="T891" s="1" t="b">
        <v>1</v>
      </c>
      <c r="U891" s="1" t="s">
        <v>30</v>
      </c>
      <c r="V891" s="3">
        <v>3</v>
      </c>
    </row>
    <row r="892" spans="1:22" x14ac:dyDescent="0.3">
      <c r="A892" s="2" t="s">
        <v>2251</v>
      </c>
      <c r="B892" s="10">
        <v>44816</v>
      </c>
      <c r="C892" s="22">
        <v>44816</v>
      </c>
      <c r="D892" s="1" t="s">
        <v>2252</v>
      </c>
      <c r="E892" s="1" t="s">
        <v>2030</v>
      </c>
      <c r="F892" s="1">
        <v>23</v>
      </c>
      <c r="G892" s="1" t="s">
        <v>24</v>
      </c>
      <c r="H892" s="1" t="s">
        <v>35</v>
      </c>
      <c r="I892" s="1" t="s">
        <v>43</v>
      </c>
      <c r="J892" s="1" t="s">
        <v>37</v>
      </c>
      <c r="K892" s="1" t="s">
        <v>671</v>
      </c>
      <c r="L892" s="1">
        <v>10</v>
      </c>
      <c r="M892" s="13">
        <v>767.55</v>
      </c>
      <c r="N892" s="15">
        <v>0.35</v>
      </c>
      <c r="O892" s="13">
        <v>6213.65</v>
      </c>
      <c r="P892" s="13">
        <v>2480.34</v>
      </c>
      <c r="Q892" s="13">
        <v>45.37</v>
      </c>
      <c r="R892" s="1" t="s">
        <v>64</v>
      </c>
      <c r="S892" s="1">
        <v>4</v>
      </c>
      <c r="T892" s="1" t="b">
        <v>0</v>
      </c>
      <c r="U892" s="1" t="s">
        <v>39</v>
      </c>
      <c r="V892" s="3">
        <v>5</v>
      </c>
    </row>
    <row r="893" spans="1:22" x14ac:dyDescent="0.3">
      <c r="A893" s="2" t="s">
        <v>2253</v>
      </c>
      <c r="B893" s="10">
        <v>45643</v>
      </c>
      <c r="C893" s="22">
        <v>45643</v>
      </c>
      <c r="D893" s="1" t="s">
        <v>2254</v>
      </c>
      <c r="E893" s="1" t="s">
        <v>804</v>
      </c>
      <c r="F893" s="1">
        <v>32</v>
      </c>
      <c r="G893" s="1" t="s">
        <v>34</v>
      </c>
      <c r="H893" s="1" t="s">
        <v>74</v>
      </c>
      <c r="I893" s="1" t="s">
        <v>101</v>
      </c>
      <c r="J893" s="1" t="s">
        <v>37</v>
      </c>
      <c r="K893" s="1" t="s">
        <v>102</v>
      </c>
      <c r="L893" s="1">
        <v>5</v>
      </c>
      <c r="M893" s="13">
        <v>2144.13</v>
      </c>
      <c r="N893" s="15">
        <v>0.1</v>
      </c>
      <c r="O893" s="13">
        <v>9449.3700000000008</v>
      </c>
      <c r="P893" s="13">
        <v>4541.29</v>
      </c>
      <c r="Q893" s="13">
        <v>19.04</v>
      </c>
      <c r="R893" s="1" t="s">
        <v>29</v>
      </c>
      <c r="S893" s="1">
        <v>3</v>
      </c>
      <c r="T893" s="1" t="b">
        <v>0</v>
      </c>
      <c r="U893" s="1" t="s">
        <v>39</v>
      </c>
      <c r="V893" s="3">
        <v>5</v>
      </c>
    </row>
    <row r="894" spans="1:22" x14ac:dyDescent="0.3">
      <c r="A894" s="2" t="s">
        <v>2255</v>
      </c>
      <c r="B894" s="10">
        <v>45597</v>
      </c>
      <c r="C894" s="22">
        <v>45597</v>
      </c>
      <c r="D894" s="1" t="s">
        <v>2256</v>
      </c>
      <c r="E894" s="1" t="s">
        <v>2257</v>
      </c>
      <c r="F894" s="1">
        <v>57</v>
      </c>
      <c r="G894" s="1" t="s">
        <v>68</v>
      </c>
      <c r="H894" s="1" t="s">
        <v>82</v>
      </c>
      <c r="I894" s="1" t="s">
        <v>244</v>
      </c>
      <c r="J894" s="1" t="s">
        <v>37</v>
      </c>
      <c r="K894" s="1" t="s">
        <v>102</v>
      </c>
      <c r="L894" s="1">
        <v>7</v>
      </c>
      <c r="M894" s="13">
        <v>680.72</v>
      </c>
      <c r="N894" s="15">
        <v>0.08</v>
      </c>
      <c r="O894" s="13">
        <v>3896.02</v>
      </c>
      <c r="P894" s="13">
        <v>1700.03</v>
      </c>
      <c r="Q894" s="13">
        <v>71.25</v>
      </c>
      <c r="R894" s="1" t="s">
        <v>57</v>
      </c>
      <c r="S894" s="1">
        <v>5</v>
      </c>
      <c r="T894" s="1" t="b">
        <v>0</v>
      </c>
      <c r="U894" s="1" t="s">
        <v>39</v>
      </c>
      <c r="V894" s="3">
        <v>2</v>
      </c>
    </row>
    <row r="895" spans="1:22" x14ac:dyDescent="0.3">
      <c r="A895" s="2" t="s">
        <v>2258</v>
      </c>
      <c r="B895" s="10">
        <v>45379</v>
      </c>
      <c r="C895" s="22">
        <v>45379</v>
      </c>
      <c r="D895" s="1" t="s">
        <v>2259</v>
      </c>
      <c r="E895" s="1" t="s">
        <v>888</v>
      </c>
      <c r="F895" s="1">
        <v>30</v>
      </c>
      <c r="G895" s="1" t="s">
        <v>24</v>
      </c>
      <c r="H895" s="1" t="s">
        <v>35</v>
      </c>
      <c r="I895" s="1" t="s">
        <v>106</v>
      </c>
      <c r="J895" s="1" t="s">
        <v>44</v>
      </c>
      <c r="K895" s="1" t="s">
        <v>117</v>
      </c>
      <c r="L895" s="1">
        <v>8</v>
      </c>
      <c r="M895" s="13">
        <v>32965.83</v>
      </c>
      <c r="N895" s="15">
        <v>0.21</v>
      </c>
      <c r="O895" s="13">
        <v>300897.34999999998</v>
      </c>
      <c r="P895" s="13">
        <v>94953.31</v>
      </c>
      <c r="Q895" s="13">
        <v>68.39</v>
      </c>
      <c r="R895" s="1" t="s">
        <v>29</v>
      </c>
      <c r="S895" s="1">
        <v>5</v>
      </c>
      <c r="T895" s="1" t="b">
        <v>0</v>
      </c>
      <c r="U895" s="1" t="s">
        <v>39</v>
      </c>
      <c r="V895" s="3">
        <v>10</v>
      </c>
    </row>
    <row r="896" spans="1:22" x14ac:dyDescent="0.3">
      <c r="A896" s="2" t="s">
        <v>2260</v>
      </c>
      <c r="B896" s="10">
        <v>44839</v>
      </c>
      <c r="C896" s="22">
        <v>44839</v>
      </c>
      <c r="D896" s="1" t="s">
        <v>2261</v>
      </c>
      <c r="E896" s="1" t="s">
        <v>23</v>
      </c>
      <c r="F896" s="1">
        <v>47</v>
      </c>
      <c r="G896" s="1" t="s">
        <v>391</v>
      </c>
      <c r="H896" s="1" t="s">
        <v>25</v>
      </c>
      <c r="I896" s="1" t="s">
        <v>170</v>
      </c>
      <c r="J896" s="1" t="s">
        <v>37</v>
      </c>
      <c r="K896" s="1" t="s">
        <v>182</v>
      </c>
      <c r="L896" s="1">
        <v>9</v>
      </c>
      <c r="M896" s="13">
        <v>2425.6799999999998</v>
      </c>
      <c r="N896" s="15">
        <v>0.16</v>
      </c>
      <c r="O896" s="13">
        <v>13573.13</v>
      </c>
      <c r="P896" s="13">
        <v>3678.22</v>
      </c>
      <c r="Q896" s="13">
        <v>64.69</v>
      </c>
      <c r="R896" s="1" t="s">
        <v>78</v>
      </c>
      <c r="S896" s="1">
        <v>1</v>
      </c>
      <c r="T896" s="1" t="b">
        <v>0</v>
      </c>
      <c r="U896" s="1" t="s">
        <v>39</v>
      </c>
      <c r="V896" s="3">
        <v>9</v>
      </c>
    </row>
    <row r="897" spans="1:22" x14ac:dyDescent="0.3">
      <c r="A897" s="2" t="s">
        <v>2262</v>
      </c>
      <c r="B897" s="10">
        <v>45532</v>
      </c>
      <c r="C897" s="22">
        <v>45532</v>
      </c>
      <c r="D897" s="1" t="s">
        <v>2263</v>
      </c>
      <c r="E897" s="1" t="s">
        <v>1433</v>
      </c>
      <c r="F897" s="1">
        <v>36</v>
      </c>
      <c r="G897" s="1" t="s">
        <v>68</v>
      </c>
      <c r="H897" s="1" t="s">
        <v>111</v>
      </c>
      <c r="I897" s="1" t="s">
        <v>112</v>
      </c>
      <c r="J897" s="1" t="s">
        <v>27</v>
      </c>
      <c r="K897" s="1" t="s">
        <v>450</v>
      </c>
      <c r="L897" s="1">
        <v>2</v>
      </c>
      <c r="M897" s="13">
        <v>483.36</v>
      </c>
      <c r="N897" s="15">
        <v>0.14000000000000001</v>
      </c>
      <c r="O897" s="13">
        <v>1284.6300000000001</v>
      </c>
      <c r="P897" s="13">
        <v>91.4</v>
      </c>
      <c r="Q897" s="13">
        <v>55.77</v>
      </c>
      <c r="R897" s="1" t="s">
        <v>78</v>
      </c>
      <c r="S897" s="1">
        <v>4</v>
      </c>
      <c r="T897" s="1" t="b">
        <v>0</v>
      </c>
      <c r="U897" s="1" t="s">
        <v>39</v>
      </c>
      <c r="V897" s="3">
        <v>8</v>
      </c>
    </row>
    <row r="898" spans="1:22" x14ac:dyDescent="0.3">
      <c r="A898" s="2" t="s">
        <v>2264</v>
      </c>
      <c r="B898" s="10">
        <v>45653</v>
      </c>
      <c r="C898" s="22">
        <v>45653</v>
      </c>
      <c r="D898" s="1" t="s">
        <v>2265</v>
      </c>
      <c r="E898" s="1" t="s">
        <v>1387</v>
      </c>
      <c r="F898" s="1">
        <v>33</v>
      </c>
      <c r="G898" s="1" t="s">
        <v>34</v>
      </c>
      <c r="H898" s="1" t="s">
        <v>74</v>
      </c>
      <c r="I898" s="1" t="s">
        <v>75</v>
      </c>
      <c r="J898" s="1" t="s">
        <v>62</v>
      </c>
      <c r="K898" s="1" t="s">
        <v>266</v>
      </c>
      <c r="L898" s="1">
        <v>5</v>
      </c>
      <c r="M898" s="13">
        <v>616.57000000000005</v>
      </c>
      <c r="N898" s="15">
        <v>0.36</v>
      </c>
      <c r="O898" s="13">
        <v>344.18</v>
      </c>
      <c r="P898" s="13">
        <v>145.51</v>
      </c>
      <c r="Q898" s="13">
        <v>35.22</v>
      </c>
      <c r="R898" s="1" t="s">
        <v>78</v>
      </c>
      <c r="S898" s="1">
        <v>4</v>
      </c>
      <c r="T898" s="1" t="b">
        <v>0</v>
      </c>
      <c r="U898" s="1" t="s">
        <v>58</v>
      </c>
      <c r="V898" s="3">
        <v>3</v>
      </c>
    </row>
    <row r="899" spans="1:22" x14ac:dyDescent="0.3">
      <c r="A899" s="2" t="s">
        <v>2266</v>
      </c>
      <c r="B899" s="10">
        <v>44530</v>
      </c>
      <c r="C899" s="22">
        <v>44530</v>
      </c>
      <c r="D899" s="1" t="s">
        <v>2185</v>
      </c>
      <c r="E899" s="1" t="s">
        <v>575</v>
      </c>
      <c r="F899" s="1">
        <v>41</v>
      </c>
      <c r="G899" s="1" t="s">
        <v>24</v>
      </c>
      <c r="H899" s="1" t="s">
        <v>82</v>
      </c>
      <c r="I899" s="1" t="s">
        <v>126</v>
      </c>
      <c r="J899" s="1" t="s">
        <v>62</v>
      </c>
      <c r="K899" s="1" t="s">
        <v>63</v>
      </c>
      <c r="L899" s="1">
        <v>9</v>
      </c>
      <c r="M899" s="13">
        <v>433.76</v>
      </c>
      <c r="N899" s="15">
        <v>0.33</v>
      </c>
      <c r="O899" s="13">
        <v>1929.18</v>
      </c>
      <c r="P899" s="13">
        <v>781.78</v>
      </c>
      <c r="Q899" s="13">
        <v>97.16</v>
      </c>
      <c r="R899" s="1" t="s">
        <v>51</v>
      </c>
      <c r="S899" s="1">
        <v>4</v>
      </c>
      <c r="T899" s="1" t="b">
        <v>0</v>
      </c>
      <c r="U899" s="1" t="s">
        <v>84</v>
      </c>
      <c r="V899" s="3">
        <v>2</v>
      </c>
    </row>
    <row r="900" spans="1:22" x14ac:dyDescent="0.3">
      <c r="A900" s="2" t="s">
        <v>2267</v>
      </c>
      <c r="B900" s="10">
        <v>44072</v>
      </c>
      <c r="C900" s="22">
        <v>44072</v>
      </c>
      <c r="D900" s="1" t="s">
        <v>2268</v>
      </c>
      <c r="E900" s="1" t="s">
        <v>858</v>
      </c>
      <c r="F900" s="1">
        <v>19</v>
      </c>
      <c r="G900" s="1" t="s">
        <v>34</v>
      </c>
      <c r="H900" s="1" t="s">
        <v>82</v>
      </c>
      <c r="I900" s="1" t="s">
        <v>126</v>
      </c>
      <c r="J900" s="1" t="s">
        <v>127</v>
      </c>
      <c r="K900" s="1" t="s">
        <v>308</v>
      </c>
      <c r="L900" s="1">
        <v>3</v>
      </c>
      <c r="M900" s="13">
        <v>17253.63</v>
      </c>
      <c r="N900" s="15">
        <v>0.05</v>
      </c>
      <c r="O900" s="13">
        <v>55070.91</v>
      </c>
      <c r="P900" s="13">
        <v>5633.84</v>
      </c>
      <c r="Q900" s="13">
        <v>79.989999999999995</v>
      </c>
      <c r="R900" s="1" t="s">
        <v>57</v>
      </c>
      <c r="S900" s="1">
        <v>5</v>
      </c>
      <c r="T900" s="1" t="b">
        <v>0</v>
      </c>
      <c r="U900" s="1" t="s">
        <v>39</v>
      </c>
      <c r="V900" s="3">
        <v>6</v>
      </c>
    </row>
    <row r="901" spans="1:22" x14ac:dyDescent="0.3">
      <c r="A901" s="2" t="s">
        <v>2269</v>
      </c>
      <c r="B901" s="10">
        <v>44471</v>
      </c>
      <c r="C901" s="22">
        <v>44471</v>
      </c>
      <c r="D901" s="1" t="s">
        <v>2270</v>
      </c>
      <c r="E901" s="1" t="s">
        <v>1300</v>
      </c>
      <c r="F901" s="1">
        <v>23</v>
      </c>
      <c r="G901" s="1" t="s">
        <v>24</v>
      </c>
      <c r="H901" s="1" t="s">
        <v>35</v>
      </c>
      <c r="I901" s="1" t="s">
        <v>106</v>
      </c>
      <c r="J901" s="1" t="s">
        <v>127</v>
      </c>
      <c r="K901" s="1" t="s">
        <v>517</v>
      </c>
      <c r="L901" s="1">
        <v>7</v>
      </c>
      <c r="M901" s="13">
        <v>60825.33</v>
      </c>
      <c r="N901" s="15">
        <v>0.39</v>
      </c>
      <c r="O901" s="13">
        <v>203704.25</v>
      </c>
      <c r="P901" s="13">
        <v>27664.1</v>
      </c>
      <c r="Q901" s="13">
        <v>67.78</v>
      </c>
      <c r="R901" s="1" t="s">
        <v>51</v>
      </c>
      <c r="S901" s="1">
        <v>1</v>
      </c>
      <c r="T901" s="1" t="b">
        <v>0</v>
      </c>
      <c r="U901" s="1" t="s">
        <v>39</v>
      </c>
      <c r="V901" s="3">
        <v>8</v>
      </c>
    </row>
    <row r="902" spans="1:22" x14ac:dyDescent="0.3">
      <c r="A902" s="2" t="s">
        <v>2271</v>
      </c>
      <c r="B902" s="10">
        <v>45321</v>
      </c>
      <c r="C902" s="22">
        <v>45321</v>
      </c>
      <c r="D902" s="1" t="s">
        <v>2272</v>
      </c>
      <c r="E902" s="1" t="s">
        <v>770</v>
      </c>
      <c r="F902" s="1">
        <v>24</v>
      </c>
      <c r="G902" s="1" t="s">
        <v>68</v>
      </c>
      <c r="H902" s="1" t="s">
        <v>82</v>
      </c>
      <c r="I902" s="1" t="s">
        <v>126</v>
      </c>
      <c r="J902" s="1" t="s">
        <v>37</v>
      </c>
      <c r="K902" s="1" t="s">
        <v>38</v>
      </c>
      <c r="L902" s="1">
        <v>8</v>
      </c>
      <c r="M902" s="13">
        <v>1335.64</v>
      </c>
      <c r="N902" s="15">
        <v>0.27</v>
      </c>
      <c r="O902" s="13">
        <v>7442.31</v>
      </c>
      <c r="P902" s="13">
        <v>2973.2</v>
      </c>
      <c r="Q902" s="13">
        <v>94.12</v>
      </c>
      <c r="R902" s="1" t="s">
        <v>57</v>
      </c>
      <c r="S902" s="1">
        <v>1</v>
      </c>
      <c r="T902" s="1" t="b">
        <v>0</v>
      </c>
      <c r="U902" s="1" t="s">
        <v>137</v>
      </c>
      <c r="V902" s="3">
        <v>6</v>
      </c>
    </row>
    <row r="903" spans="1:22" x14ac:dyDescent="0.3">
      <c r="A903" s="2" t="s">
        <v>2273</v>
      </c>
      <c r="B903" s="10">
        <v>44972</v>
      </c>
      <c r="C903" s="22">
        <v>44972</v>
      </c>
      <c r="D903" s="1" t="s">
        <v>2274</v>
      </c>
      <c r="E903" s="1" t="s">
        <v>1672</v>
      </c>
      <c r="F903" s="1">
        <v>27</v>
      </c>
      <c r="G903" s="1" t="s">
        <v>68</v>
      </c>
      <c r="H903" s="1" t="s">
        <v>35</v>
      </c>
      <c r="I903" s="1" t="s">
        <v>43</v>
      </c>
      <c r="J903" s="1" t="s">
        <v>76</v>
      </c>
      <c r="K903" s="1" t="s">
        <v>122</v>
      </c>
      <c r="L903" s="1">
        <v>7</v>
      </c>
      <c r="M903" s="13">
        <v>668.17</v>
      </c>
      <c r="N903" s="15">
        <v>0.09</v>
      </c>
      <c r="O903" s="13">
        <v>4502.68</v>
      </c>
      <c r="P903" s="13">
        <v>1133.27</v>
      </c>
      <c r="Q903" s="13">
        <v>38.590000000000003</v>
      </c>
      <c r="R903" s="1" t="s">
        <v>78</v>
      </c>
      <c r="S903" s="1">
        <v>5</v>
      </c>
      <c r="T903" s="1" t="b">
        <v>0</v>
      </c>
      <c r="U903" s="1" t="s">
        <v>39</v>
      </c>
      <c r="V903" s="3">
        <v>8</v>
      </c>
    </row>
    <row r="904" spans="1:22" x14ac:dyDescent="0.3">
      <c r="A904" s="2" t="s">
        <v>2275</v>
      </c>
      <c r="B904" s="10">
        <v>44013</v>
      </c>
      <c r="C904" s="22">
        <v>44013</v>
      </c>
      <c r="D904" s="1" t="s">
        <v>2276</v>
      </c>
      <c r="E904" s="1" t="s">
        <v>687</v>
      </c>
      <c r="F904" s="1">
        <v>30</v>
      </c>
      <c r="G904" s="1" t="s">
        <v>24</v>
      </c>
      <c r="H904" s="1" t="s">
        <v>82</v>
      </c>
      <c r="I904" s="1" t="s">
        <v>244</v>
      </c>
      <c r="J904" s="1" t="s">
        <v>37</v>
      </c>
      <c r="K904" s="1" t="s">
        <v>454</v>
      </c>
      <c r="L904" s="1">
        <v>0</v>
      </c>
      <c r="M904" s="13">
        <v>1076.68</v>
      </c>
      <c r="N904" s="15">
        <v>0.32</v>
      </c>
      <c r="O904" s="13">
        <v>1005.23</v>
      </c>
      <c r="P904" s="13">
        <v>335.77</v>
      </c>
      <c r="Q904" s="13">
        <v>72.7</v>
      </c>
      <c r="R904" s="1" t="s">
        <v>29</v>
      </c>
      <c r="S904" s="1">
        <v>3</v>
      </c>
      <c r="T904" s="1" t="b">
        <v>0</v>
      </c>
      <c r="U904" s="1" t="s">
        <v>84</v>
      </c>
      <c r="V904" s="3">
        <v>8</v>
      </c>
    </row>
    <row r="905" spans="1:22" x14ac:dyDescent="0.3">
      <c r="A905" s="2" t="s">
        <v>2277</v>
      </c>
      <c r="B905" s="10">
        <v>44063</v>
      </c>
      <c r="C905" s="22">
        <v>44063</v>
      </c>
      <c r="D905" s="1" t="s">
        <v>2278</v>
      </c>
      <c r="E905" s="1" t="s">
        <v>1447</v>
      </c>
      <c r="F905" s="1">
        <v>33</v>
      </c>
      <c r="G905" s="1" t="s">
        <v>68</v>
      </c>
      <c r="H905" s="1" t="s">
        <v>111</v>
      </c>
      <c r="I905" s="1" t="s">
        <v>330</v>
      </c>
      <c r="J905" s="1" t="s">
        <v>76</v>
      </c>
      <c r="K905" s="1" t="s">
        <v>132</v>
      </c>
      <c r="L905" s="1">
        <v>1</v>
      </c>
      <c r="M905" s="13">
        <v>392.55</v>
      </c>
      <c r="N905" s="15">
        <v>7.0000000000000007E-2</v>
      </c>
      <c r="O905" s="13">
        <v>420.97</v>
      </c>
      <c r="P905" s="13">
        <v>161.71</v>
      </c>
      <c r="Q905" s="13">
        <v>71.09</v>
      </c>
      <c r="R905" s="1" t="s">
        <v>70</v>
      </c>
      <c r="S905" s="1">
        <v>5</v>
      </c>
      <c r="T905" s="1" t="b">
        <v>0</v>
      </c>
      <c r="U905" s="1" t="s">
        <v>58</v>
      </c>
      <c r="V905" s="3">
        <v>4</v>
      </c>
    </row>
    <row r="906" spans="1:22" x14ac:dyDescent="0.3">
      <c r="A906" s="2" t="s">
        <v>2279</v>
      </c>
      <c r="B906" s="10">
        <v>45360</v>
      </c>
      <c r="C906" s="22">
        <v>45360</v>
      </c>
      <c r="D906" s="1" t="s">
        <v>2280</v>
      </c>
      <c r="E906" s="1" t="s">
        <v>2281</v>
      </c>
      <c r="F906" s="1">
        <v>16</v>
      </c>
      <c r="G906" s="1" t="s">
        <v>34</v>
      </c>
      <c r="H906" s="1" t="s">
        <v>82</v>
      </c>
      <c r="I906" s="1" t="s">
        <v>293</v>
      </c>
      <c r="J906" s="1" t="s">
        <v>146</v>
      </c>
      <c r="K906" s="1" t="s">
        <v>147</v>
      </c>
      <c r="L906" s="1">
        <v>4</v>
      </c>
      <c r="M906" s="13">
        <v>14904.61</v>
      </c>
      <c r="N906" s="15">
        <v>0.21</v>
      </c>
      <c r="O906" s="13">
        <v>79710.679999999993</v>
      </c>
      <c r="P906" s="13">
        <v>9835.5300000000007</v>
      </c>
      <c r="Q906" s="13">
        <v>74</v>
      </c>
      <c r="R906" s="1" t="s">
        <v>78</v>
      </c>
      <c r="S906" s="1">
        <v>3</v>
      </c>
      <c r="T906" s="1" t="b">
        <v>0</v>
      </c>
      <c r="U906" s="1" t="s">
        <v>58</v>
      </c>
      <c r="V906" s="3">
        <v>9</v>
      </c>
    </row>
    <row r="907" spans="1:22" x14ac:dyDescent="0.3">
      <c r="A907" s="2" t="s">
        <v>2282</v>
      </c>
      <c r="B907" s="10">
        <v>44649</v>
      </c>
      <c r="C907" s="22">
        <v>44649</v>
      </c>
      <c r="D907" s="1" t="s">
        <v>2283</v>
      </c>
      <c r="E907" s="1" t="s">
        <v>237</v>
      </c>
      <c r="F907" s="1">
        <v>40</v>
      </c>
      <c r="G907" s="1" t="s">
        <v>24</v>
      </c>
      <c r="H907" s="1" t="s">
        <v>111</v>
      </c>
      <c r="I907" s="1" t="s">
        <v>112</v>
      </c>
      <c r="J907" s="1" t="s">
        <v>76</v>
      </c>
      <c r="K907" s="1" t="s">
        <v>207</v>
      </c>
      <c r="L907" s="1">
        <v>5</v>
      </c>
      <c r="M907" s="13">
        <v>3481.04</v>
      </c>
      <c r="N907" s="15">
        <v>0.35</v>
      </c>
      <c r="O907" s="13">
        <v>13960.24</v>
      </c>
      <c r="P907" s="13">
        <v>3567.18</v>
      </c>
      <c r="Q907" s="13">
        <v>56.53</v>
      </c>
      <c r="R907" s="1" t="s">
        <v>70</v>
      </c>
      <c r="S907" s="1">
        <v>3</v>
      </c>
      <c r="T907" s="1" t="b">
        <v>0</v>
      </c>
      <c r="U907" s="1" t="s">
        <v>84</v>
      </c>
      <c r="V907" s="3">
        <v>8</v>
      </c>
    </row>
    <row r="908" spans="1:22" x14ac:dyDescent="0.3">
      <c r="A908" s="2" t="s">
        <v>2284</v>
      </c>
      <c r="B908" s="10">
        <v>45001</v>
      </c>
      <c r="C908" s="22">
        <v>45001</v>
      </c>
      <c r="D908" s="1" t="s">
        <v>2285</v>
      </c>
      <c r="E908" s="1" t="s">
        <v>2286</v>
      </c>
      <c r="F908" s="1">
        <v>35</v>
      </c>
      <c r="G908" s="1" t="s">
        <v>24</v>
      </c>
      <c r="H908" s="1" t="s">
        <v>25</v>
      </c>
      <c r="I908" s="1" t="s">
        <v>170</v>
      </c>
      <c r="J908" s="1" t="s">
        <v>62</v>
      </c>
      <c r="K908" s="1" t="s">
        <v>107</v>
      </c>
      <c r="L908" s="1">
        <v>8</v>
      </c>
      <c r="M908" s="13">
        <v>600.71</v>
      </c>
      <c r="N908" s="15">
        <v>0.17</v>
      </c>
      <c r="O908" s="13">
        <v>4278.59</v>
      </c>
      <c r="P908" s="13">
        <v>1539.55</v>
      </c>
      <c r="Q908" s="13">
        <v>24.97</v>
      </c>
      <c r="R908" s="1" t="s">
        <v>29</v>
      </c>
      <c r="S908" s="1">
        <v>1</v>
      </c>
      <c r="T908" s="1" t="b">
        <v>0</v>
      </c>
      <c r="U908" s="1" t="s">
        <v>39</v>
      </c>
      <c r="V908" s="3">
        <v>9</v>
      </c>
    </row>
    <row r="909" spans="1:22" x14ac:dyDescent="0.3">
      <c r="A909" s="2" t="s">
        <v>2287</v>
      </c>
      <c r="B909" s="10">
        <v>45602</v>
      </c>
      <c r="C909" s="22">
        <v>45602</v>
      </c>
      <c r="D909" s="1" t="s">
        <v>2288</v>
      </c>
      <c r="E909" s="1" t="s">
        <v>635</v>
      </c>
      <c r="F909" s="1">
        <v>37</v>
      </c>
      <c r="G909" s="1" t="s">
        <v>463</v>
      </c>
      <c r="H909" s="1" t="s">
        <v>25</v>
      </c>
      <c r="I909" s="1" t="s">
        <v>26</v>
      </c>
      <c r="J909" s="1" t="s">
        <v>44</v>
      </c>
      <c r="K909" s="1" t="s">
        <v>93</v>
      </c>
      <c r="L909" s="1">
        <v>5</v>
      </c>
      <c r="M909" s="13">
        <v>2536.86</v>
      </c>
      <c r="N909" s="15">
        <v>0.36</v>
      </c>
      <c r="O909" s="13">
        <v>7801.91</v>
      </c>
      <c r="P909" s="13">
        <v>1900.47</v>
      </c>
      <c r="Q909" s="13">
        <v>68.13</v>
      </c>
      <c r="R909" s="1" t="s">
        <v>29</v>
      </c>
      <c r="S909" s="1">
        <v>2</v>
      </c>
      <c r="T909" s="1" t="b">
        <v>0</v>
      </c>
      <c r="U909" s="1" t="s">
        <v>84</v>
      </c>
      <c r="V909" s="3">
        <v>7</v>
      </c>
    </row>
    <row r="910" spans="1:22" x14ac:dyDescent="0.3">
      <c r="A910" s="2" t="s">
        <v>2289</v>
      </c>
      <c r="B910" s="10">
        <v>44086</v>
      </c>
      <c r="C910" s="22">
        <v>44086</v>
      </c>
      <c r="D910" s="1" t="s">
        <v>2290</v>
      </c>
      <c r="E910" s="1" t="s">
        <v>2110</v>
      </c>
      <c r="F910" s="1">
        <v>42</v>
      </c>
      <c r="G910" s="1" t="s">
        <v>24</v>
      </c>
      <c r="H910" s="1" t="s">
        <v>82</v>
      </c>
      <c r="I910" s="1" t="s">
        <v>293</v>
      </c>
      <c r="J910" s="1" t="s">
        <v>76</v>
      </c>
      <c r="K910" s="1" t="s">
        <v>207</v>
      </c>
      <c r="L910" s="1">
        <v>3</v>
      </c>
      <c r="M910" s="13">
        <v>3089.43</v>
      </c>
      <c r="N910" s="15">
        <v>0.09</v>
      </c>
      <c r="O910" s="13">
        <v>7257.03</v>
      </c>
      <c r="P910" s="13">
        <v>2480.31</v>
      </c>
      <c r="Q910" s="13">
        <v>82.77</v>
      </c>
      <c r="R910" s="1" t="s">
        <v>70</v>
      </c>
      <c r="S910" s="1">
        <v>3</v>
      </c>
      <c r="T910" s="1" t="b">
        <v>1</v>
      </c>
      <c r="U910" s="1" t="s">
        <v>30</v>
      </c>
      <c r="V910" s="3">
        <v>6</v>
      </c>
    </row>
    <row r="911" spans="1:22" x14ac:dyDescent="0.3">
      <c r="A911" s="2" t="s">
        <v>2291</v>
      </c>
      <c r="B911" s="10">
        <v>45261</v>
      </c>
      <c r="C911" s="22">
        <v>45261</v>
      </c>
      <c r="D911" s="1" t="s">
        <v>2292</v>
      </c>
      <c r="E911" s="1" t="s">
        <v>676</v>
      </c>
      <c r="F911" s="1">
        <v>24</v>
      </c>
      <c r="G911" s="1" t="s">
        <v>34</v>
      </c>
      <c r="H911" s="1" t="s">
        <v>82</v>
      </c>
      <c r="I911" s="1" t="s">
        <v>244</v>
      </c>
      <c r="J911" s="1" t="s">
        <v>27</v>
      </c>
      <c r="K911" s="1" t="s">
        <v>97</v>
      </c>
      <c r="L911" s="1">
        <v>4</v>
      </c>
      <c r="M911" s="13">
        <v>206.91</v>
      </c>
      <c r="N911" s="15">
        <v>0.2</v>
      </c>
      <c r="O911" s="13">
        <v>574.20000000000005</v>
      </c>
      <c r="P911" s="13">
        <v>59.02</v>
      </c>
      <c r="Q911" s="13">
        <v>52.38</v>
      </c>
      <c r="R911" s="1" t="s">
        <v>29</v>
      </c>
      <c r="S911" s="1">
        <v>3</v>
      </c>
      <c r="T911" s="1" t="b">
        <v>0</v>
      </c>
      <c r="U911" s="1" t="s">
        <v>39</v>
      </c>
      <c r="V911" s="3">
        <v>2</v>
      </c>
    </row>
    <row r="912" spans="1:22" x14ac:dyDescent="0.3">
      <c r="A912" s="2" t="s">
        <v>2293</v>
      </c>
      <c r="B912" s="10">
        <v>44789</v>
      </c>
      <c r="C912" s="22">
        <v>44789</v>
      </c>
      <c r="D912" s="1" t="s">
        <v>2294</v>
      </c>
      <c r="E912" s="1" t="s">
        <v>2295</v>
      </c>
      <c r="F912" s="1">
        <v>41</v>
      </c>
      <c r="G912" s="1" t="s">
        <v>68</v>
      </c>
      <c r="H912" s="1" t="s">
        <v>82</v>
      </c>
      <c r="I912" s="1" t="s">
        <v>293</v>
      </c>
      <c r="J912" s="1" t="s">
        <v>62</v>
      </c>
      <c r="K912" s="1" t="s">
        <v>266</v>
      </c>
      <c r="L912" s="1">
        <v>2</v>
      </c>
      <c r="M912" s="13">
        <v>244.36</v>
      </c>
      <c r="N912" s="15">
        <v>0.12</v>
      </c>
      <c r="O912" s="13">
        <v>485.28</v>
      </c>
      <c r="P912" s="13">
        <v>192.95</v>
      </c>
      <c r="Q912" s="13">
        <v>79.16</v>
      </c>
      <c r="R912" s="1" t="s">
        <v>64</v>
      </c>
      <c r="S912" s="1">
        <v>2</v>
      </c>
      <c r="T912" s="1" t="b">
        <v>0</v>
      </c>
      <c r="U912" s="1" t="s">
        <v>58</v>
      </c>
      <c r="V912" s="3">
        <v>2</v>
      </c>
    </row>
    <row r="913" spans="1:22" x14ac:dyDescent="0.3">
      <c r="A913" s="2" t="s">
        <v>2296</v>
      </c>
      <c r="B913" s="10">
        <v>44235</v>
      </c>
      <c r="C913" s="22">
        <v>44235</v>
      </c>
      <c r="D913" s="1" t="s">
        <v>2297</v>
      </c>
      <c r="E913" s="1" t="s">
        <v>250</v>
      </c>
      <c r="F913" s="1">
        <v>30</v>
      </c>
      <c r="G913" s="1" t="s">
        <v>34</v>
      </c>
      <c r="H913" s="1" t="s">
        <v>35</v>
      </c>
      <c r="I913" s="1" t="s">
        <v>49</v>
      </c>
      <c r="J913" s="1" t="s">
        <v>62</v>
      </c>
      <c r="K913" s="1" t="s">
        <v>266</v>
      </c>
      <c r="L913" s="1">
        <v>2</v>
      </c>
      <c r="M913" s="13">
        <v>583.34</v>
      </c>
      <c r="N913" s="15">
        <v>0.24</v>
      </c>
      <c r="O913" s="13">
        <v>678.92</v>
      </c>
      <c r="P913" s="13">
        <v>261.88</v>
      </c>
      <c r="Q913" s="13">
        <v>72.31</v>
      </c>
      <c r="R913" s="1" t="s">
        <v>64</v>
      </c>
      <c r="S913" s="1">
        <v>5</v>
      </c>
      <c r="T913" s="1" t="b">
        <v>0</v>
      </c>
      <c r="U913" s="1" t="s">
        <v>39</v>
      </c>
      <c r="V913" s="3">
        <v>5</v>
      </c>
    </row>
    <row r="914" spans="1:22" x14ac:dyDescent="0.3">
      <c r="A914" s="2" t="s">
        <v>2298</v>
      </c>
      <c r="B914" s="10">
        <v>45633</v>
      </c>
      <c r="C914" s="22">
        <v>45633</v>
      </c>
      <c r="D914" s="1" t="s">
        <v>2299</v>
      </c>
      <c r="E914" s="1" t="s">
        <v>1596</v>
      </c>
      <c r="F914" s="1">
        <v>37</v>
      </c>
      <c r="G914" s="1" t="s">
        <v>88</v>
      </c>
      <c r="H914" s="1" t="s">
        <v>25</v>
      </c>
      <c r="I914" s="1" t="s">
        <v>170</v>
      </c>
      <c r="J914" s="1" t="s">
        <v>62</v>
      </c>
      <c r="K914" s="1" t="s">
        <v>283</v>
      </c>
      <c r="L914" s="1">
        <v>8</v>
      </c>
      <c r="M914" s="13">
        <v>519.04999999999995</v>
      </c>
      <c r="N914" s="15">
        <v>0.33</v>
      </c>
      <c r="O914" s="13">
        <v>2627.87</v>
      </c>
      <c r="P914" s="13">
        <v>1117.94</v>
      </c>
      <c r="Q914" s="13">
        <v>51.28</v>
      </c>
      <c r="R914" s="1" t="s">
        <v>29</v>
      </c>
      <c r="S914" s="1">
        <v>2</v>
      </c>
      <c r="T914" s="1" t="b">
        <v>0</v>
      </c>
      <c r="U914" s="1" t="s">
        <v>39</v>
      </c>
      <c r="V914" s="3">
        <v>10</v>
      </c>
    </row>
    <row r="915" spans="1:22" x14ac:dyDescent="0.3">
      <c r="A915" s="2" t="s">
        <v>2300</v>
      </c>
      <c r="B915" s="10">
        <v>44116</v>
      </c>
      <c r="C915" s="22">
        <v>44116</v>
      </c>
      <c r="D915" s="1" t="s">
        <v>2301</v>
      </c>
      <c r="E915" s="1" t="s">
        <v>247</v>
      </c>
      <c r="F915" s="1">
        <v>37</v>
      </c>
      <c r="G915" s="1" t="s">
        <v>68</v>
      </c>
      <c r="H915" s="1" t="s">
        <v>82</v>
      </c>
      <c r="I915" s="1" t="s">
        <v>83</v>
      </c>
      <c r="J915" s="1" t="s">
        <v>127</v>
      </c>
      <c r="K915" s="1" t="s">
        <v>308</v>
      </c>
      <c r="L915" s="1">
        <v>10</v>
      </c>
      <c r="M915" s="13">
        <v>23990.02</v>
      </c>
      <c r="N915" s="15">
        <v>0.11</v>
      </c>
      <c r="O915" s="13">
        <v>188453.46</v>
      </c>
      <c r="P915" s="13">
        <v>26897.47</v>
      </c>
      <c r="Q915" s="13">
        <v>73.319999999999993</v>
      </c>
      <c r="R915" s="1" t="s">
        <v>64</v>
      </c>
      <c r="S915" s="1">
        <v>4</v>
      </c>
      <c r="T915" s="1" t="b">
        <v>0</v>
      </c>
      <c r="U915" s="1" t="s">
        <v>197</v>
      </c>
      <c r="V915" s="3">
        <v>8</v>
      </c>
    </row>
    <row r="916" spans="1:22" x14ac:dyDescent="0.3">
      <c r="A916" s="2" t="s">
        <v>2302</v>
      </c>
      <c r="B916" s="10">
        <v>43833</v>
      </c>
      <c r="C916" s="22">
        <v>43833</v>
      </c>
      <c r="D916" s="1" t="s">
        <v>2303</v>
      </c>
      <c r="E916" s="1" t="s">
        <v>1425</v>
      </c>
      <c r="F916" s="1">
        <v>26</v>
      </c>
      <c r="G916" s="1" t="s">
        <v>24</v>
      </c>
      <c r="H916" s="1" t="s">
        <v>111</v>
      </c>
      <c r="I916" s="1" t="s">
        <v>330</v>
      </c>
      <c r="J916" s="1" t="s">
        <v>76</v>
      </c>
      <c r="K916" s="1" t="s">
        <v>132</v>
      </c>
      <c r="L916" s="1">
        <v>1</v>
      </c>
      <c r="M916" s="13">
        <v>1792.52</v>
      </c>
      <c r="N916" s="15">
        <v>0.38</v>
      </c>
      <c r="O916" s="13">
        <v>862.61</v>
      </c>
      <c r="P916" s="13">
        <v>322.56</v>
      </c>
      <c r="Q916" s="13">
        <v>69.84</v>
      </c>
      <c r="R916" s="1" t="s">
        <v>51</v>
      </c>
      <c r="S916" s="1">
        <v>4</v>
      </c>
      <c r="T916" s="1" t="b">
        <v>1</v>
      </c>
      <c r="U916" s="1" t="s">
        <v>30</v>
      </c>
      <c r="V916" s="3">
        <v>8</v>
      </c>
    </row>
    <row r="917" spans="1:22" x14ac:dyDescent="0.3">
      <c r="A917" s="2" t="s">
        <v>2304</v>
      </c>
      <c r="B917" s="10">
        <v>44354</v>
      </c>
      <c r="C917" s="22">
        <v>44354</v>
      </c>
      <c r="D917" s="1" t="s">
        <v>2305</v>
      </c>
      <c r="E917" s="1" t="s">
        <v>253</v>
      </c>
      <c r="F917" s="1">
        <v>14</v>
      </c>
      <c r="G917" s="1" t="s">
        <v>24</v>
      </c>
      <c r="H917" s="1" t="s">
        <v>35</v>
      </c>
      <c r="I917" s="1" t="s">
        <v>36</v>
      </c>
      <c r="J917" s="1" t="s">
        <v>44</v>
      </c>
      <c r="K917" s="1" t="s">
        <v>221</v>
      </c>
      <c r="L917" s="1">
        <v>5</v>
      </c>
      <c r="M917" s="13">
        <v>16063.03</v>
      </c>
      <c r="N917" s="15">
        <v>0.35</v>
      </c>
      <c r="O917" s="13">
        <v>70662.81</v>
      </c>
      <c r="P917" s="13">
        <v>22910.799999999999</v>
      </c>
      <c r="Q917" s="13">
        <v>74.66</v>
      </c>
      <c r="R917" s="1" t="s">
        <v>57</v>
      </c>
      <c r="S917" s="1">
        <v>3</v>
      </c>
      <c r="T917" s="1" t="b">
        <v>0</v>
      </c>
      <c r="U917" s="1" t="s">
        <v>39</v>
      </c>
      <c r="V917" s="3">
        <v>6</v>
      </c>
    </row>
    <row r="918" spans="1:22" x14ac:dyDescent="0.3">
      <c r="A918" s="2" t="s">
        <v>2306</v>
      </c>
      <c r="B918" s="10">
        <v>45259</v>
      </c>
      <c r="C918" s="22">
        <v>45259</v>
      </c>
      <c r="D918" s="1" t="s">
        <v>2307</v>
      </c>
      <c r="E918" s="1" t="s">
        <v>719</v>
      </c>
      <c r="F918" s="1">
        <v>15</v>
      </c>
      <c r="G918" s="1" t="s">
        <v>34</v>
      </c>
      <c r="H918" s="1" t="s">
        <v>82</v>
      </c>
      <c r="I918" s="1" t="s">
        <v>293</v>
      </c>
      <c r="J918" s="1" t="s">
        <v>127</v>
      </c>
      <c r="K918" s="1" t="s">
        <v>128</v>
      </c>
      <c r="L918" s="1">
        <v>1</v>
      </c>
      <c r="M918" s="13">
        <v>19475.099999999999</v>
      </c>
      <c r="N918" s="15">
        <v>0.27</v>
      </c>
      <c r="O918" s="13">
        <v>12588.84</v>
      </c>
      <c r="P918" s="13">
        <v>1124.3399999999999</v>
      </c>
      <c r="Q918" s="13">
        <v>70.91</v>
      </c>
      <c r="R918" s="1" t="s">
        <v>57</v>
      </c>
      <c r="S918" s="1">
        <v>3</v>
      </c>
      <c r="T918" s="1" t="b">
        <v>0</v>
      </c>
      <c r="U918" s="1" t="s">
        <v>39</v>
      </c>
      <c r="V918" s="3">
        <v>100</v>
      </c>
    </row>
    <row r="919" spans="1:22" x14ac:dyDescent="0.3">
      <c r="A919" s="2" t="s">
        <v>2308</v>
      </c>
      <c r="B919" s="10">
        <v>44764</v>
      </c>
      <c r="C919" s="22">
        <v>44764</v>
      </c>
      <c r="D919" s="1" t="s">
        <v>2309</v>
      </c>
      <c r="E919" s="1" t="s">
        <v>523</v>
      </c>
      <c r="F919" s="1">
        <v>34</v>
      </c>
      <c r="G919" s="1" t="s">
        <v>34</v>
      </c>
      <c r="H919" s="1" t="s">
        <v>74</v>
      </c>
      <c r="I919" s="1" t="s">
        <v>101</v>
      </c>
      <c r="J919" s="1" t="s">
        <v>27</v>
      </c>
      <c r="K919" s="1" t="s">
        <v>56</v>
      </c>
      <c r="L919" s="1">
        <v>1</v>
      </c>
      <c r="M919" s="13">
        <v>396.39</v>
      </c>
      <c r="N919" s="15">
        <v>0.09</v>
      </c>
      <c r="O919" s="13">
        <v>480.61</v>
      </c>
      <c r="P919" s="13">
        <v>45.56</v>
      </c>
      <c r="Q919" s="13">
        <v>57.89</v>
      </c>
      <c r="R919" s="1" t="s">
        <v>70</v>
      </c>
      <c r="S919" s="1">
        <v>2</v>
      </c>
      <c r="T919" s="1" t="b">
        <v>0</v>
      </c>
      <c r="U919" s="1" t="s">
        <v>39</v>
      </c>
      <c r="V919" s="3">
        <v>1</v>
      </c>
    </row>
    <row r="920" spans="1:22" x14ac:dyDescent="0.3">
      <c r="A920" s="2" t="s">
        <v>2310</v>
      </c>
      <c r="B920" s="10">
        <v>44177</v>
      </c>
      <c r="C920" s="22">
        <v>44177</v>
      </c>
      <c r="D920" s="1" t="s">
        <v>2311</v>
      </c>
      <c r="E920" s="1" t="s">
        <v>2053</v>
      </c>
      <c r="F920" s="1">
        <v>22</v>
      </c>
      <c r="G920" s="1" t="s">
        <v>68</v>
      </c>
      <c r="H920" s="1" t="s">
        <v>111</v>
      </c>
      <c r="I920" s="1" t="s">
        <v>121</v>
      </c>
      <c r="J920" s="1" t="s">
        <v>44</v>
      </c>
      <c r="K920" s="1" t="s">
        <v>117</v>
      </c>
      <c r="L920" s="1">
        <v>5</v>
      </c>
      <c r="M920" s="13">
        <v>24816.99</v>
      </c>
      <c r="N920" s="15">
        <v>0.02</v>
      </c>
      <c r="O920" s="13">
        <v>87226.55</v>
      </c>
      <c r="P920" s="13">
        <v>24905.94</v>
      </c>
      <c r="Q920" s="13">
        <v>51.05</v>
      </c>
      <c r="R920" s="1" t="s">
        <v>29</v>
      </c>
      <c r="S920" s="1">
        <v>3</v>
      </c>
      <c r="T920" s="1" t="b">
        <v>0</v>
      </c>
      <c r="U920" s="1" t="s">
        <v>39</v>
      </c>
      <c r="V920" s="3">
        <v>1</v>
      </c>
    </row>
    <row r="921" spans="1:22" x14ac:dyDescent="0.3">
      <c r="A921" s="2" t="s">
        <v>2312</v>
      </c>
      <c r="B921" s="10">
        <v>44394</v>
      </c>
      <c r="C921" s="22">
        <v>44394</v>
      </c>
      <c r="D921" s="1" t="s">
        <v>2313</v>
      </c>
      <c r="E921" s="1" t="s">
        <v>216</v>
      </c>
      <c r="F921" s="1">
        <v>39</v>
      </c>
      <c r="G921" s="1" t="s">
        <v>24</v>
      </c>
      <c r="H921" s="1" t="s">
        <v>82</v>
      </c>
      <c r="I921" s="1" t="s">
        <v>83</v>
      </c>
      <c r="J921" s="1" t="s">
        <v>44</v>
      </c>
      <c r="K921" s="1" t="s">
        <v>50</v>
      </c>
      <c r="L921" s="1">
        <v>2</v>
      </c>
      <c r="M921" s="13">
        <v>9066.85</v>
      </c>
      <c r="N921" s="15">
        <v>0.3</v>
      </c>
      <c r="O921" s="13">
        <v>13846.15</v>
      </c>
      <c r="P921" s="13">
        <v>3812.64</v>
      </c>
      <c r="Q921" s="13">
        <v>91.56</v>
      </c>
      <c r="R921" s="1" t="s">
        <v>51</v>
      </c>
      <c r="S921" s="1">
        <v>1</v>
      </c>
      <c r="T921" s="1" t="b">
        <v>0</v>
      </c>
      <c r="U921" s="1" t="s">
        <v>39</v>
      </c>
      <c r="V921" s="3">
        <v>9</v>
      </c>
    </row>
    <row r="922" spans="1:22" x14ac:dyDescent="0.3">
      <c r="A922" s="2" t="s">
        <v>2314</v>
      </c>
      <c r="B922" s="10">
        <v>44527</v>
      </c>
      <c r="C922" s="22">
        <v>44527</v>
      </c>
      <c r="D922" s="1" t="s">
        <v>2315</v>
      </c>
      <c r="E922" s="1" t="s">
        <v>523</v>
      </c>
      <c r="F922" s="1">
        <v>35</v>
      </c>
      <c r="G922" s="1" t="s">
        <v>68</v>
      </c>
      <c r="H922" s="1" t="s">
        <v>35</v>
      </c>
      <c r="I922" s="1" t="s">
        <v>36</v>
      </c>
      <c r="J922" s="1" t="s">
        <v>146</v>
      </c>
      <c r="K922" s="1" t="s">
        <v>161</v>
      </c>
      <c r="L922" s="1">
        <v>9</v>
      </c>
      <c r="M922" s="13">
        <v>13211.32</v>
      </c>
      <c r="N922" s="15">
        <v>0.17</v>
      </c>
      <c r="O922" s="13">
        <v>81467.429999999993</v>
      </c>
      <c r="P922" s="13">
        <v>18155</v>
      </c>
      <c r="Q922" s="13">
        <v>52.32</v>
      </c>
      <c r="R922" s="1" t="s">
        <v>78</v>
      </c>
      <c r="S922" s="1">
        <v>3</v>
      </c>
      <c r="T922" s="1" t="b">
        <v>0</v>
      </c>
      <c r="U922" s="1" t="s">
        <v>39</v>
      </c>
      <c r="V922" s="3">
        <v>5</v>
      </c>
    </row>
    <row r="923" spans="1:22" x14ac:dyDescent="0.3">
      <c r="A923" s="2" t="s">
        <v>2316</v>
      </c>
      <c r="B923" s="10">
        <v>45213</v>
      </c>
      <c r="C923" s="22">
        <v>45213</v>
      </c>
      <c r="D923" s="1" t="s">
        <v>2317</v>
      </c>
      <c r="E923" s="1" t="s">
        <v>381</v>
      </c>
      <c r="F923" s="1">
        <v>39</v>
      </c>
      <c r="G923" s="1" t="s">
        <v>34</v>
      </c>
      <c r="H923" s="1" t="s">
        <v>74</v>
      </c>
      <c r="I923" s="1" t="s">
        <v>101</v>
      </c>
      <c r="J923" s="1" t="s">
        <v>146</v>
      </c>
      <c r="K923" s="1" t="s">
        <v>161</v>
      </c>
      <c r="L923" s="1">
        <v>9</v>
      </c>
      <c r="M923" s="13">
        <v>9769.82</v>
      </c>
      <c r="N923" s="15">
        <v>0.32</v>
      </c>
      <c r="O923" s="13">
        <v>64012.37</v>
      </c>
      <c r="P923" s="13">
        <v>13161.33</v>
      </c>
      <c r="Q923" s="13">
        <v>50.8</v>
      </c>
      <c r="R923" s="1" t="s">
        <v>57</v>
      </c>
      <c r="S923" s="1">
        <v>4</v>
      </c>
      <c r="T923" s="1" t="b">
        <v>0</v>
      </c>
      <c r="U923" s="1" t="s">
        <v>39</v>
      </c>
      <c r="V923" s="3">
        <v>6</v>
      </c>
    </row>
    <row r="924" spans="1:22" x14ac:dyDescent="0.3">
      <c r="A924" s="2" t="s">
        <v>2318</v>
      </c>
      <c r="B924" s="10">
        <v>44442</v>
      </c>
      <c r="C924" s="22">
        <v>44442</v>
      </c>
      <c r="D924" s="1" t="s">
        <v>2319</v>
      </c>
      <c r="E924" s="1" t="s">
        <v>973</v>
      </c>
      <c r="F924" s="1">
        <v>44</v>
      </c>
      <c r="G924" s="1" t="s">
        <v>24</v>
      </c>
      <c r="H924" s="1" t="s">
        <v>25</v>
      </c>
      <c r="I924" s="1" t="s">
        <v>55</v>
      </c>
      <c r="J924" s="1" t="s">
        <v>146</v>
      </c>
      <c r="K924" s="1" t="s">
        <v>484</v>
      </c>
      <c r="L924" s="1">
        <v>5</v>
      </c>
      <c r="M924" s="13">
        <v>9013.26</v>
      </c>
      <c r="N924" s="15">
        <v>0.28000000000000003</v>
      </c>
      <c r="O924" s="13">
        <v>36168.33</v>
      </c>
      <c r="P924" s="13">
        <v>10509.8</v>
      </c>
      <c r="Q924" s="13">
        <v>35.94</v>
      </c>
      <c r="R924" s="1" t="s">
        <v>78</v>
      </c>
      <c r="S924" s="1">
        <v>5</v>
      </c>
      <c r="T924" s="1" t="b">
        <v>0</v>
      </c>
      <c r="U924" s="1" t="s">
        <v>137</v>
      </c>
      <c r="V924" s="3">
        <v>7</v>
      </c>
    </row>
    <row r="925" spans="1:22" x14ac:dyDescent="0.3">
      <c r="A925" s="2" t="s">
        <v>2320</v>
      </c>
      <c r="B925" s="10">
        <v>44191</v>
      </c>
      <c r="C925" s="22">
        <v>44191</v>
      </c>
      <c r="D925" s="1" t="s">
        <v>2321</v>
      </c>
      <c r="E925" s="1" t="s">
        <v>900</v>
      </c>
      <c r="F925" s="1">
        <v>41</v>
      </c>
      <c r="G925" s="1" t="s">
        <v>463</v>
      </c>
      <c r="H925" s="1" t="s">
        <v>74</v>
      </c>
      <c r="I925" s="1" t="s">
        <v>136</v>
      </c>
      <c r="J925" s="1" t="s">
        <v>37</v>
      </c>
      <c r="K925" s="1" t="s">
        <v>102</v>
      </c>
      <c r="L925" s="1">
        <v>4</v>
      </c>
      <c r="M925" s="13">
        <v>2326.66</v>
      </c>
      <c r="N925" s="15">
        <v>0.09</v>
      </c>
      <c r="O925" s="13">
        <v>5850.88</v>
      </c>
      <c r="P925" s="13">
        <v>3176.85</v>
      </c>
      <c r="Q925" s="13">
        <v>61.42</v>
      </c>
      <c r="R925" s="1" t="s">
        <v>78</v>
      </c>
      <c r="S925" s="1">
        <v>5</v>
      </c>
      <c r="T925" s="1" t="b">
        <v>0</v>
      </c>
      <c r="U925" s="1" t="s">
        <v>137</v>
      </c>
      <c r="V925" s="3">
        <v>10</v>
      </c>
    </row>
    <row r="926" spans="1:22" x14ac:dyDescent="0.3">
      <c r="A926" s="2" t="s">
        <v>2322</v>
      </c>
      <c r="B926" s="10">
        <v>45176</v>
      </c>
      <c r="C926" s="22">
        <v>45176</v>
      </c>
      <c r="D926" s="1" t="s">
        <v>2323</v>
      </c>
      <c r="E926" s="1" t="s">
        <v>1653</v>
      </c>
      <c r="F926" s="1">
        <v>29</v>
      </c>
      <c r="G926" s="1" t="s">
        <v>34</v>
      </c>
      <c r="H926" s="1" t="s">
        <v>74</v>
      </c>
      <c r="I926" s="1" t="s">
        <v>101</v>
      </c>
      <c r="J926" s="1" t="s">
        <v>76</v>
      </c>
      <c r="K926" s="1" t="s">
        <v>113</v>
      </c>
      <c r="L926" s="1">
        <v>3</v>
      </c>
      <c r="M926" s="13">
        <v>3741.92</v>
      </c>
      <c r="N926" s="15">
        <v>0.21</v>
      </c>
      <c r="O926" s="13">
        <v>11519.71</v>
      </c>
      <c r="P926" s="13">
        <v>2740.01</v>
      </c>
      <c r="Q926" s="13">
        <v>58.8</v>
      </c>
      <c r="R926" s="1" t="s">
        <v>64</v>
      </c>
      <c r="S926" s="1">
        <v>4</v>
      </c>
      <c r="T926" s="1" t="b">
        <v>0</v>
      </c>
      <c r="U926" s="1" t="s">
        <v>84</v>
      </c>
      <c r="V926" s="3">
        <v>1</v>
      </c>
    </row>
    <row r="927" spans="1:22" x14ac:dyDescent="0.3">
      <c r="A927" s="2" t="s">
        <v>2324</v>
      </c>
      <c r="B927" s="10">
        <v>44985</v>
      </c>
      <c r="C927" s="22">
        <v>44985</v>
      </c>
      <c r="D927" s="1" t="s">
        <v>2325</v>
      </c>
      <c r="E927" s="1" t="s">
        <v>338</v>
      </c>
      <c r="F927" s="1">
        <v>31</v>
      </c>
      <c r="G927" s="1" t="s">
        <v>68</v>
      </c>
      <c r="H927" s="1" t="s">
        <v>74</v>
      </c>
      <c r="I927" s="1" t="s">
        <v>75</v>
      </c>
      <c r="J927" s="1" t="s">
        <v>44</v>
      </c>
      <c r="K927" s="1" t="s">
        <v>186</v>
      </c>
      <c r="L927" s="1">
        <v>3</v>
      </c>
      <c r="M927" s="13">
        <v>4087.5</v>
      </c>
      <c r="N927" s="15">
        <v>0.36</v>
      </c>
      <c r="O927" s="13">
        <v>8585.93</v>
      </c>
      <c r="P927" s="13">
        <v>2520.92</v>
      </c>
      <c r="Q927" s="13">
        <v>36.770000000000003</v>
      </c>
      <c r="R927" s="1" t="s">
        <v>64</v>
      </c>
      <c r="S927" s="1">
        <v>3</v>
      </c>
      <c r="T927" s="1" t="b">
        <v>0</v>
      </c>
      <c r="U927" s="1" t="s">
        <v>58</v>
      </c>
      <c r="V927" s="3">
        <v>9</v>
      </c>
    </row>
    <row r="928" spans="1:22" x14ac:dyDescent="0.3">
      <c r="A928" s="2" t="s">
        <v>2326</v>
      </c>
      <c r="B928" s="10">
        <v>45524</v>
      </c>
      <c r="C928" s="22">
        <v>45524</v>
      </c>
      <c r="D928" s="1" t="s">
        <v>2327</v>
      </c>
      <c r="E928" s="1" t="s">
        <v>2328</v>
      </c>
      <c r="F928" s="1">
        <v>30</v>
      </c>
      <c r="G928" s="1" t="s">
        <v>34</v>
      </c>
      <c r="H928" s="1" t="s">
        <v>25</v>
      </c>
      <c r="I928" s="1" t="s">
        <v>26</v>
      </c>
      <c r="J928" s="1" t="s">
        <v>76</v>
      </c>
      <c r="K928" s="1" t="s">
        <v>207</v>
      </c>
      <c r="L928" s="1">
        <v>5</v>
      </c>
      <c r="M928" s="13">
        <v>1293.07</v>
      </c>
      <c r="N928" s="15">
        <v>0.37</v>
      </c>
      <c r="O928" s="13">
        <v>6223.33</v>
      </c>
      <c r="P928" s="13">
        <v>2335.41</v>
      </c>
      <c r="Q928" s="13">
        <v>34.43</v>
      </c>
      <c r="R928" s="1" t="s">
        <v>78</v>
      </c>
      <c r="S928" s="1">
        <v>4</v>
      </c>
      <c r="T928" s="1" t="b">
        <v>0</v>
      </c>
      <c r="U928" s="1" t="s">
        <v>39</v>
      </c>
      <c r="V928" s="3">
        <v>9</v>
      </c>
    </row>
    <row r="929" spans="1:22" x14ac:dyDescent="0.3">
      <c r="A929" s="2" t="s">
        <v>2329</v>
      </c>
      <c r="B929" s="10">
        <v>44901</v>
      </c>
      <c r="C929" s="22">
        <v>44901</v>
      </c>
      <c r="D929" s="1" t="s">
        <v>2330</v>
      </c>
      <c r="E929" s="1" t="s">
        <v>976</v>
      </c>
      <c r="F929" s="1">
        <v>0</v>
      </c>
      <c r="G929" s="1" t="s">
        <v>68</v>
      </c>
      <c r="H929" s="1" t="s">
        <v>74</v>
      </c>
      <c r="I929" s="1" t="s">
        <v>192</v>
      </c>
      <c r="J929" s="1" t="s">
        <v>62</v>
      </c>
      <c r="K929" s="1" t="s">
        <v>107</v>
      </c>
      <c r="L929" s="1">
        <v>2</v>
      </c>
      <c r="M929" s="13">
        <v>393.2</v>
      </c>
      <c r="N929" s="15">
        <v>0.22</v>
      </c>
      <c r="O929" s="13">
        <v>537.64</v>
      </c>
      <c r="P929" s="13">
        <v>210.9</v>
      </c>
      <c r="Q929" s="13">
        <v>48.93</v>
      </c>
      <c r="R929" s="1" t="s">
        <v>64</v>
      </c>
      <c r="S929" s="1">
        <v>3</v>
      </c>
      <c r="T929" s="1" t="b">
        <v>1</v>
      </c>
      <c r="U929" s="1" t="s">
        <v>30</v>
      </c>
      <c r="V929" s="3">
        <v>4</v>
      </c>
    </row>
    <row r="930" spans="1:22" x14ac:dyDescent="0.3">
      <c r="A930" s="2" t="s">
        <v>2331</v>
      </c>
      <c r="B930" s="10">
        <v>44262</v>
      </c>
      <c r="C930" s="22">
        <v>44262</v>
      </c>
      <c r="D930" s="1" t="s">
        <v>2332</v>
      </c>
      <c r="E930" s="1" t="s">
        <v>1535</v>
      </c>
      <c r="F930" s="1">
        <v>28</v>
      </c>
      <c r="G930" s="1" t="s">
        <v>34</v>
      </c>
      <c r="H930" s="1" t="s">
        <v>82</v>
      </c>
      <c r="I930" s="1" t="s">
        <v>293</v>
      </c>
      <c r="J930" s="1" t="s">
        <v>146</v>
      </c>
      <c r="K930" s="1" t="s">
        <v>484</v>
      </c>
      <c r="L930" s="1">
        <v>9</v>
      </c>
      <c r="M930" s="13">
        <v>6483.35</v>
      </c>
      <c r="N930" s="15">
        <v>0.23</v>
      </c>
      <c r="O930" s="13">
        <v>52222.52</v>
      </c>
      <c r="P930" s="13">
        <v>13820.97</v>
      </c>
      <c r="Q930" s="13">
        <v>74.83</v>
      </c>
      <c r="R930" s="1" t="s">
        <v>78</v>
      </c>
      <c r="S930" s="1">
        <v>4</v>
      </c>
      <c r="T930" s="1" t="b">
        <v>0</v>
      </c>
      <c r="U930" s="1" t="s">
        <v>39</v>
      </c>
      <c r="V930" s="3">
        <v>2</v>
      </c>
    </row>
    <row r="931" spans="1:22" x14ac:dyDescent="0.3">
      <c r="A931" s="2" t="s">
        <v>2333</v>
      </c>
      <c r="B931" s="10">
        <v>45365</v>
      </c>
      <c r="C931" s="22">
        <v>45365</v>
      </c>
      <c r="D931" s="1" t="s">
        <v>2334</v>
      </c>
      <c r="E931" s="1" t="s">
        <v>213</v>
      </c>
      <c r="F931" s="1">
        <v>38</v>
      </c>
      <c r="G931" s="1" t="s">
        <v>34</v>
      </c>
      <c r="H931" s="1" t="s">
        <v>74</v>
      </c>
      <c r="I931" s="1" t="s">
        <v>136</v>
      </c>
      <c r="J931" s="1" t="s">
        <v>76</v>
      </c>
      <c r="K931" s="1" t="s">
        <v>132</v>
      </c>
      <c r="L931" s="1">
        <v>2</v>
      </c>
      <c r="M931" s="13">
        <v>1249.08</v>
      </c>
      <c r="N931" s="15">
        <v>0.4</v>
      </c>
      <c r="O931" s="13">
        <v>2055.62</v>
      </c>
      <c r="P931" s="13">
        <v>916.26</v>
      </c>
      <c r="Q931" s="13">
        <v>43.18</v>
      </c>
      <c r="R931" s="1" t="s">
        <v>51</v>
      </c>
      <c r="S931" s="1">
        <v>3</v>
      </c>
      <c r="T931" s="1" t="b">
        <v>0</v>
      </c>
      <c r="U931" s="1" t="s">
        <v>39</v>
      </c>
      <c r="V931" s="3">
        <v>8</v>
      </c>
    </row>
    <row r="932" spans="1:22" x14ac:dyDescent="0.3">
      <c r="A932" s="2" t="s">
        <v>2335</v>
      </c>
      <c r="B932" s="10">
        <v>44057</v>
      </c>
      <c r="C932" s="22">
        <v>44057</v>
      </c>
      <c r="D932" s="1" t="s">
        <v>2336</v>
      </c>
      <c r="E932" s="1" t="s">
        <v>789</v>
      </c>
      <c r="F932" s="1">
        <v>27</v>
      </c>
      <c r="G932" s="1" t="s">
        <v>68</v>
      </c>
      <c r="H932" s="1" t="s">
        <v>82</v>
      </c>
      <c r="I932" s="1" t="s">
        <v>126</v>
      </c>
      <c r="J932" s="1" t="s">
        <v>37</v>
      </c>
      <c r="K932" s="1" t="s">
        <v>231</v>
      </c>
      <c r="L932" s="1">
        <v>2</v>
      </c>
      <c r="M932" s="13">
        <v>1236.47</v>
      </c>
      <c r="N932" s="15">
        <v>0.14000000000000001</v>
      </c>
      <c r="O932" s="13">
        <v>2416.41</v>
      </c>
      <c r="P932" s="13">
        <v>1007.86</v>
      </c>
      <c r="Q932" s="13">
        <v>85.88</v>
      </c>
      <c r="R932" s="1" t="s">
        <v>78</v>
      </c>
      <c r="S932" s="1">
        <v>3</v>
      </c>
      <c r="T932" s="1" t="b">
        <v>0</v>
      </c>
      <c r="U932" s="1" t="s">
        <v>39</v>
      </c>
      <c r="V932" s="3">
        <v>8</v>
      </c>
    </row>
    <row r="933" spans="1:22" x14ac:dyDescent="0.3">
      <c r="A933" s="2" t="s">
        <v>2337</v>
      </c>
      <c r="B933" s="10">
        <v>44389</v>
      </c>
      <c r="C933" s="22">
        <v>44389</v>
      </c>
      <c r="D933" s="1" t="s">
        <v>2338</v>
      </c>
      <c r="E933" s="1" t="s">
        <v>866</v>
      </c>
      <c r="F933" s="1">
        <v>30</v>
      </c>
      <c r="G933" s="1" t="s">
        <v>34</v>
      </c>
      <c r="H933" s="1" t="s">
        <v>35</v>
      </c>
      <c r="I933" s="1" t="s">
        <v>49</v>
      </c>
      <c r="J933" s="1" t="s">
        <v>37</v>
      </c>
      <c r="K933" s="1" t="s">
        <v>671</v>
      </c>
      <c r="L933" s="1">
        <v>7</v>
      </c>
      <c r="M933" s="13">
        <v>1236.43</v>
      </c>
      <c r="N933" s="15">
        <v>0.04</v>
      </c>
      <c r="O933" s="13">
        <v>10957.9</v>
      </c>
      <c r="P933" s="13">
        <v>4556.58</v>
      </c>
      <c r="Q933" s="13">
        <v>72.78</v>
      </c>
      <c r="R933" s="1" t="s">
        <v>29</v>
      </c>
      <c r="S933" s="1">
        <v>2</v>
      </c>
      <c r="T933" s="1" t="b">
        <v>0</v>
      </c>
      <c r="U933" s="1" t="s">
        <v>39</v>
      </c>
      <c r="V933" s="3">
        <v>7</v>
      </c>
    </row>
    <row r="934" spans="1:22" x14ac:dyDescent="0.3">
      <c r="A934" s="2" t="s">
        <v>2339</v>
      </c>
      <c r="B934" s="10">
        <v>44555</v>
      </c>
      <c r="C934" s="22">
        <v>44555</v>
      </c>
      <c r="D934" s="1" t="s">
        <v>2340</v>
      </c>
      <c r="E934" s="1" t="s">
        <v>1319</v>
      </c>
      <c r="F934" s="1">
        <v>53</v>
      </c>
      <c r="G934" s="1" t="s">
        <v>68</v>
      </c>
      <c r="H934" s="1" t="s">
        <v>35</v>
      </c>
      <c r="I934" s="1" t="s">
        <v>36</v>
      </c>
      <c r="J934" s="1" t="s">
        <v>146</v>
      </c>
      <c r="K934" s="1" t="s">
        <v>147</v>
      </c>
      <c r="L934" s="1">
        <v>5</v>
      </c>
      <c r="M934" s="13">
        <v>7179.94</v>
      </c>
      <c r="N934" s="15">
        <v>0.31</v>
      </c>
      <c r="O934" s="13">
        <v>21400.720000000001</v>
      </c>
      <c r="P934" s="13">
        <v>2403.1999999999998</v>
      </c>
      <c r="Q934" s="13">
        <v>65.86</v>
      </c>
      <c r="R934" s="1" t="s">
        <v>29</v>
      </c>
      <c r="S934" s="1">
        <v>2</v>
      </c>
      <c r="T934" s="1" t="b">
        <v>0</v>
      </c>
      <c r="U934" s="1" t="s">
        <v>39</v>
      </c>
      <c r="V934" s="3">
        <v>8</v>
      </c>
    </row>
    <row r="935" spans="1:22" x14ac:dyDescent="0.3">
      <c r="A935" s="2" t="s">
        <v>2341</v>
      </c>
      <c r="B935" s="10">
        <v>45249</v>
      </c>
      <c r="C935" s="22">
        <v>45249</v>
      </c>
      <c r="D935" s="1" t="s">
        <v>2342</v>
      </c>
      <c r="E935" s="1" t="s">
        <v>341</v>
      </c>
      <c r="F935" s="1">
        <v>32</v>
      </c>
      <c r="G935" s="1" t="s">
        <v>34</v>
      </c>
      <c r="H935" s="1" t="s">
        <v>82</v>
      </c>
      <c r="I935" s="1" t="s">
        <v>244</v>
      </c>
      <c r="J935" s="1" t="s">
        <v>76</v>
      </c>
      <c r="K935" s="1" t="s">
        <v>132</v>
      </c>
      <c r="L935" s="1">
        <v>8</v>
      </c>
      <c r="M935" s="13">
        <v>2288.2600000000002</v>
      </c>
      <c r="N935" s="15">
        <v>0.22</v>
      </c>
      <c r="O935" s="13">
        <v>12023.58</v>
      </c>
      <c r="P935" s="13">
        <v>4024.97</v>
      </c>
      <c r="Q935" s="13">
        <v>89.83</v>
      </c>
      <c r="R935" s="1" t="s">
        <v>29</v>
      </c>
      <c r="S935" s="1">
        <v>2</v>
      </c>
      <c r="T935" s="1" t="b">
        <v>0</v>
      </c>
      <c r="U935" s="1" t="s">
        <v>39</v>
      </c>
      <c r="V935" s="3">
        <v>1</v>
      </c>
    </row>
    <row r="936" spans="1:22" x14ac:dyDescent="0.3">
      <c r="A936" s="2" t="s">
        <v>2343</v>
      </c>
      <c r="B936" s="10">
        <v>44779</v>
      </c>
      <c r="C936" s="22">
        <v>44779</v>
      </c>
      <c r="D936" s="1" t="s">
        <v>2344</v>
      </c>
      <c r="E936" s="1" t="s">
        <v>1862</v>
      </c>
      <c r="F936" s="1">
        <v>20</v>
      </c>
      <c r="G936" s="1" t="s">
        <v>34</v>
      </c>
      <c r="H936" s="1" t="s">
        <v>82</v>
      </c>
      <c r="I936" s="1" t="s">
        <v>126</v>
      </c>
      <c r="J936" s="1" t="s">
        <v>62</v>
      </c>
      <c r="K936" s="1" t="s">
        <v>63</v>
      </c>
      <c r="L936" s="1">
        <v>4</v>
      </c>
      <c r="M936" s="13">
        <v>529.17999999999995</v>
      </c>
      <c r="N936" s="15">
        <v>0.37</v>
      </c>
      <c r="O936" s="13">
        <v>1721.22</v>
      </c>
      <c r="P936" s="13">
        <v>611.14</v>
      </c>
      <c r="Q936" s="13">
        <v>96.64</v>
      </c>
      <c r="R936" s="1" t="s">
        <v>78</v>
      </c>
      <c r="S936" s="1">
        <v>5</v>
      </c>
      <c r="T936" s="1" t="b">
        <v>0</v>
      </c>
      <c r="U936" s="1" t="s">
        <v>39</v>
      </c>
      <c r="V936" s="3">
        <v>8</v>
      </c>
    </row>
    <row r="937" spans="1:22" x14ac:dyDescent="0.3">
      <c r="A937" s="2" t="s">
        <v>2345</v>
      </c>
      <c r="B937" s="10">
        <v>45416</v>
      </c>
      <c r="C937" s="22">
        <v>45416</v>
      </c>
      <c r="D937" s="1" t="s">
        <v>2346</v>
      </c>
      <c r="E937" s="1" t="s">
        <v>1510</v>
      </c>
      <c r="F937" s="1">
        <v>33</v>
      </c>
      <c r="G937" s="1" t="s">
        <v>24</v>
      </c>
      <c r="H937" s="1" t="s">
        <v>25</v>
      </c>
      <c r="I937" s="1" t="s">
        <v>69</v>
      </c>
      <c r="J937" s="1" t="s">
        <v>27</v>
      </c>
      <c r="K937" s="1" t="s">
        <v>56</v>
      </c>
      <c r="L937" s="1">
        <v>4</v>
      </c>
      <c r="M937" s="13">
        <v>413.23</v>
      </c>
      <c r="N937" s="15">
        <v>0.16</v>
      </c>
      <c r="O937" s="13">
        <v>2226.94</v>
      </c>
      <c r="P937" s="13">
        <v>97.94</v>
      </c>
      <c r="Q937" s="13">
        <v>29.46</v>
      </c>
      <c r="R937" s="1" t="s">
        <v>51</v>
      </c>
      <c r="S937" s="1">
        <v>4</v>
      </c>
      <c r="T937" s="1" t="b">
        <v>0</v>
      </c>
      <c r="U937" s="1" t="s">
        <v>39</v>
      </c>
      <c r="V937" s="3">
        <v>9</v>
      </c>
    </row>
    <row r="938" spans="1:22" x14ac:dyDescent="0.3">
      <c r="A938" s="2" t="s">
        <v>2347</v>
      </c>
      <c r="B938" s="10">
        <v>44545</v>
      </c>
      <c r="C938" s="22">
        <v>44545</v>
      </c>
      <c r="D938" s="1" t="s">
        <v>2348</v>
      </c>
      <c r="E938" s="1" t="s">
        <v>433</v>
      </c>
      <c r="F938" s="1">
        <v>41</v>
      </c>
      <c r="G938" s="1" t="s">
        <v>24</v>
      </c>
      <c r="H938" s="1" t="s">
        <v>82</v>
      </c>
      <c r="I938" s="1" t="s">
        <v>126</v>
      </c>
      <c r="J938" s="1" t="s">
        <v>27</v>
      </c>
      <c r="K938" s="1" t="s">
        <v>430</v>
      </c>
      <c r="L938" s="1">
        <v>5</v>
      </c>
      <c r="M938" s="13">
        <v>273.75</v>
      </c>
      <c r="N938" s="15">
        <v>0.05</v>
      </c>
      <c r="O938" s="13">
        <v>1113.01</v>
      </c>
      <c r="P938" s="13">
        <v>84.56</v>
      </c>
      <c r="Q938" s="13">
        <v>81.92</v>
      </c>
      <c r="R938" s="1" t="s">
        <v>29</v>
      </c>
      <c r="S938" s="1">
        <v>1</v>
      </c>
      <c r="T938" s="1" t="b">
        <v>0</v>
      </c>
      <c r="U938" s="1" t="s">
        <v>197</v>
      </c>
      <c r="V938" s="3">
        <v>5</v>
      </c>
    </row>
    <row r="939" spans="1:22" x14ac:dyDescent="0.3">
      <c r="A939" s="2" t="s">
        <v>2349</v>
      </c>
      <c r="B939" s="10">
        <v>44834</v>
      </c>
      <c r="C939" s="22">
        <v>44834</v>
      </c>
      <c r="D939" s="1" t="s">
        <v>2350</v>
      </c>
      <c r="E939" s="1" t="s">
        <v>534</v>
      </c>
      <c r="F939" s="1">
        <v>35</v>
      </c>
      <c r="G939" s="1" t="s">
        <v>68</v>
      </c>
      <c r="H939" s="1" t="s">
        <v>74</v>
      </c>
      <c r="I939" s="1" t="s">
        <v>136</v>
      </c>
      <c r="J939" s="1" t="s">
        <v>62</v>
      </c>
      <c r="K939" s="1" t="s">
        <v>63</v>
      </c>
      <c r="L939" s="1">
        <v>4</v>
      </c>
      <c r="M939" s="13">
        <v>288.41000000000003</v>
      </c>
      <c r="N939" s="15">
        <v>0.11</v>
      </c>
      <c r="O939" s="13">
        <v>1085.19</v>
      </c>
      <c r="P939" s="13">
        <v>430.86</v>
      </c>
      <c r="Q939" s="13">
        <v>39.44</v>
      </c>
      <c r="R939" s="1" t="s">
        <v>29</v>
      </c>
      <c r="S939" s="1">
        <v>5</v>
      </c>
      <c r="T939" s="1" t="b">
        <v>1</v>
      </c>
      <c r="U939" s="1" t="s">
        <v>30</v>
      </c>
      <c r="V939" s="3">
        <v>1</v>
      </c>
    </row>
    <row r="940" spans="1:22" x14ac:dyDescent="0.3">
      <c r="A940" s="2" t="s">
        <v>2351</v>
      </c>
      <c r="B940" s="10">
        <v>45330</v>
      </c>
      <c r="C940" s="22">
        <v>45330</v>
      </c>
      <c r="D940" s="1" t="s">
        <v>2352</v>
      </c>
      <c r="E940" s="1" t="s">
        <v>206</v>
      </c>
      <c r="F940" s="1">
        <v>27</v>
      </c>
      <c r="G940" s="1" t="s">
        <v>34</v>
      </c>
      <c r="H940" s="1" t="s">
        <v>82</v>
      </c>
      <c r="I940" s="1" t="s">
        <v>293</v>
      </c>
      <c r="J940" s="1" t="s">
        <v>62</v>
      </c>
      <c r="K940" s="1" t="s">
        <v>107</v>
      </c>
      <c r="L940" s="1">
        <v>5</v>
      </c>
      <c r="M940" s="13">
        <v>219.86</v>
      </c>
      <c r="N940" s="15">
        <v>0.26</v>
      </c>
      <c r="O940" s="13">
        <v>937.39</v>
      </c>
      <c r="P940" s="13">
        <v>344.23</v>
      </c>
      <c r="Q940" s="13">
        <v>95.23</v>
      </c>
      <c r="R940" s="1" t="s">
        <v>64</v>
      </c>
      <c r="S940" s="1">
        <v>1</v>
      </c>
      <c r="T940" s="1" t="b">
        <v>0</v>
      </c>
      <c r="U940" s="1" t="s">
        <v>39</v>
      </c>
      <c r="V940" s="3">
        <v>10</v>
      </c>
    </row>
    <row r="941" spans="1:22" x14ac:dyDescent="0.3">
      <c r="A941" s="2" t="s">
        <v>2353</v>
      </c>
      <c r="B941" s="10">
        <v>45456</v>
      </c>
      <c r="C941" s="22">
        <v>45456</v>
      </c>
      <c r="D941" s="1" t="s">
        <v>2354</v>
      </c>
      <c r="E941" s="1" t="s">
        <v>73</v>
      </c>
      <c r="F941" s="1">
        <v>51</v>
      </c>
      <c r="G941" s="1" t="s">
        <v>34</v>
      </c>
      <c r="H941" s="1" t="s">
        <v>82</v>
      </c>
      <c r="I941" s="1" t="s">
        <v>126</v>
      </c>
      <c r="J941" s="1" t="s">
        <v>127</v>
      </c>
      <c r="K941" s="1" t="s">
        <v>142</v>
      </c>
      <c r="L941" s="1">
        <v>3</v>
      </c>
      <c r="M941" s="13">
        <v>45977.54</v>
      </c>
      <c r="N941" s="15">
        <v>0.4</v>
      </c>
      <c r="O941" s="13">
        <v>157351.1</v>
      </c>
      <c r="P941" s="13">
        <v>16766.5</v>
      </c>
      <c r="Q941" s="13">
        <v>89.69</v>
      </c>
      <c r="R941" s="1" t="s">
        <v>64</v>
      </c>
      <c r="S941" s="1">
        <v>5</v>
      </c>
      <c r="T941" s="1" t="b">
        <v>0</v>
      </c>
      <c r="U941" s="1" t="s">
        <v>39</v>
      </c>
      <c r="V941" s="3">
        <v>9</v>
      </c>
    </row>
    <row r="942" spans="1:22" x14ac:dyDescent="0.3">
      <c r="A942" s="2" t="s">
        <v>2355</v>
      </c>
      <c r="B942" s="10">
        <v>43935</v>
      </c>
      <c r="C942" s="22">
        <v>43935</v>
      </c>
      <c r="D942" s="1" t="s">
        <v>2356</v>
      </c>
      <c r="E942" s="1" t="s">
        <v>457</v>
      </c>
      <c r="F942" s="1">
        <v>18</v>
      </c>
      <c r="G942" s="1" t="s">
        <v>24</v>
      </c>
      <c r="H942" s="1" t="s">
        <v>111</v>
      </c>
      <c r="I942" s="1" t="s">
        <v>121</v>
      </c>
      <c r="J942" s="1" t="s">
        <v>146</v>
      </c>
      <c r="K942" s="1" t="s">
        <v>147</v>
      </c>
      <c r="L942" s="1">
        <v>4</v>
      </c>
      <c r="M942" s="13">
        <v>11868.91</v>
      </c>
      <c r="N942" s="15">
        <v>0.19</v>
      </c>
      <c r="O942" s="13">
        <v>43004.45</v>
      </c>
      <c r="P942" s="13">
        <v>13078.71</v>
      </c>
      <c r="Q942" s="13">
        <v>70.61</v>
      </c>
      <c r="R942" s="1" t="s">
        <v>51</v>
      </c>
      <c r="S942" s="1">
        <v>3</v>
      </c>
      <c r="T942" s="1" t="b">
        <v>0</v>
      </c>
      <c r="U942" s="1" t="s">
        <v>39</v>
      </c>
      <c r="V942" s="3">
        <v>6</v>
      </c>
    </row>
    <row r="943" spans="1:22" x14ac:dyDescent="0.3">
      <c r="A943" s="2" t="s">
        <v>2357</v>
      </c>
      <c r="B943" s="10">
        <v>44520</v>
      </c>
      <c r="C943" s="22">
        <v>44520</v>
      </c>
      <c r="D943" s="1" t="s">
        <v>2358</v>
      </c>
      <c r="E943" s="1" t="s">
        <v>1091</v>
      </c>
      <c r="F943" s="1">
        <v>20</v>
      </c>
      <c r="G943" s="1" t="s">
        <v>24</v>
      </c>
      <c r="H943" s="1" t="s">
        <v>82</v>
      </c>
      <c r="I943" s="1" t="s">
        <v>126</v>
      </c>
      <c r="J943" s="1" t="s">
        <v>127</v>
      </c>
      <c r="K943" s="1" t="s">
        <v>517</v>
      </c>
      <c r="L943" s="1">
        <v>8</v>
      </c>
      <c r="M943" s="13">
        <v>72878.210000000006</v>
      </c>
      <c r="N943" s="15">
        <v>0.06</v>
      </c>
      <c r="O943" s="13">
        <v>377991.95</v>
      </c>
      <c r="P943" s="13">
        <v>53581.94</v>
      </c>
      <c r="Q943" s="13">
        <v>69.63</v>
      </c>
      <c r="R943" s="1" t="s">
        <v>70</v>
      </c>
      <c r="S943" s="1">
        <v>3</v>
      </c>
      <c r="T943" s="1" t="b">
        <v>0</v>
      </c>
      <c r="U943" s="1" t="s">
        <v>39</v>
      </c>
      <c r="V943" s="3">
        <v>7</v>
      </c>
    </row>
    <row r="944" spans="1:22" x14ac:dyDescent="0.3">
      <c r="A944" s="2" t="s">
        <v>2359</v>
      </c>
      <c r="B944" s="10">
        <v>43939</v>
      </c>
      <c r="C944" s="22">
        <v>43939</v>
      </c>
      <c r="D944" s="1" t="s">
        <v>2360</v>
      </c>
      <c r="E944" s="1" t="s">
        <v>638</v>
      </c>
      <c r="F944" s="1">
        <v>60</v>
      </c>
      <c r="G944" s="1" t="s">
        <v>34</v>
      </c>
      <c r="H944" s="1" t="s">
        <v>25</v>
      </c>
      <c r="I944" s="1" t="s">
        <v>55</v>
      </c>
      <c r="J944" s="1" t="s">
        <v>37</v>
      </c>
      <c r="K944" s="1" t="s">
        <v>38</v>
      </c>
      <c r="L944" s="1">
        <v>8</v>
      </c>
      <c r="M944" s="13">
        <v>336.17</v>
      </c>
      <c r="N944" s="15">
        <v>0.18</v>
      </c>
      <c r="O944" s="13">
        <v>2459.79</v>
      </c>
      <c r="P944" s="13">
        <v>1286.21</v>
      </c>
      <c r="Q944" s="13">
        <v>63.3</v>
      </c>
      <c r="R944" s="1" t="s">
        <v>29</v>
      </c>
      <c r="S944" s="1">
        <v>4</v>
      </c>
      <c r="T944" s="1" t="b">
        <v>0</v>
      </c>
      <c r="U944" s="1" t="s">
        <v>39</v>
      </c>
      <c r="V944" s="3">
        <v>10</v>
      </c>
    </row>
    <row r="945" spans="1:22" x14ac:dyDescent="0.3">
      <c r="A945" s="2" t="s">
        <v>2361</v>
      </c>
      <c r="B945" s="10">
        <v>43856</v>
      </c>
      <c r="C945" s="22">
        <v>43856</v>
      </c>
      <c r="D945" s="1" t="s">
        <v>2362</v>
      </c>
      <c r="E945" s="1" t="s">
        <v>311</v>
      </c>
      <c r="F945" s="1">
        <v>24</v>
      </c>
      <c r="G945" s="1" t="s">
        <v>24</v>
      </c>
      <c r="H945" s="1" t="s">
        <v>82</v>
      </c>
      <c r="I945" s="1" t="s">
        <v>244</v>
      </c>
      <c r="J945" s="1" t="s">
        <v>146</v>
      </c>
      <c r="K945" s="1" t="s">
        <v>161</v>
      </c>
      <c r="L945" s="1">
        <v>5</v>
      </c>
      <c r="M945" s="13">
        <v>5929.85</v>
      </c>
      <c r="N945" s="15">
        <v>0</v>
      </c>
      <c r="O945" s="13">
        <v>4745.09</v>
      </c>
      <c r="P945" s="13">
        <v>1518.74</v>
      </c>
      <c r="Q945" s="13">
        <v>78.48</v>
      </c>
      <c r="R945" s="1" t="s">
        <v>70</v>
      </c>
      <c r="S945" s="1">
        <v>5</v>
      </c>
      <c r="T945" s="1" t="b">
        <v>0</v>
      </c>
      <c r="U945" s="1" t="s">
        <v>39</v>
      </c>
      <c r="V945" s="3">
        <v>7</v>
      </c>
    </row>
    <row r="946" spans="1:22" x14ac:dyDescent="0.3">
      <c r="A946" s="2" t="s">
        <v>2363</v>
      </c>
      <c r="B946" s="10">
        <v>44568</v>
      </c>
      <c r="C946" s="22">
        <v>44568</v>
      </c>
      <c r="D946" s="1" t="s">
        <v>2364</v>
      </c>
      <c r="E946" s="1" t="s">
        <v>875</v>
      </c>
      <c r="F946" s="1">
        <v>38</v>
      </c>
      <c r="G946" s="1" t="s">
        <v>88</v>
      </c>
      <c r="H946" s="1" t="s">
        <v>111</v>
      </c>
      <c r="I946" s="1" t="s">
        <v>141</v>
      </c>
      <c r="J946" s="1" t="s">
        <v>127</v>
      </c>
      <c r="K946" s="1" t="s">
        <v>128</v>
      </c>
      <c r="L946" s="1">
        <v>5</v>
      </c>
      <c r="M946" s="13">
        <v>67069.95</v>
      </c>
      <c r="N946" s="15">
        <v>0.35</v>
      </c>
      <c r="O946" s="13">
        <v>187015.17</v>
      </c>
      <c r="P946" s="13">
        <v>19234.099999999999</v>
      </c>
      <c r="Q946" s="13">
        <v>53.96</v>
      </c>
      <c r="R946" s="1" t="s">
        <v>51</v>
      </c>
      <c r="S946" s="1">
        <v>2</v>
      </c>
      <c r="T946" s="1" t="b">
        <v>0</v>
      </c>
      <c r="U946" s="1" t="s">
        <v>58</v>
      </c>
      <c r="V946" s="3">
        <v>6</v>
      </c>
    </row>
    <row r="947" spans="1:22" x14ac:dyDescent="0.3">
      <c r="A947" s="2" t="s">
        <v>2365</v>
      </c>
      <c r="B947" s="10">
        <v>44074</v>
      </c>
      <c r="C947" s="22">
        <v>44074</v>
      </c>
      <c r="D947" s="1" t="s">
        <v>2366</v>
      </c>
      <c r="E947" s="1" t="s">
        <v>2367</v>
      </c>
      <c r="F947" s="1">
        <v>27</v>
      </c>
      <c r="G947" s="1" t="s">
        <v>24</v>
      </c>
      <c r="H947" s="1" t="s">
        <v>82</v>
      </c>
      <c r="I947" s="1" t="s">
        <v>126</v>
      </c>
      <c r="J947" s="1" t="s">
        <v>27</v>
      </c>
      <c r="K947" s="1" t="s">
        <v>28</v>
      </c>
      <c r="L947" s="1">
        <v>1</v>
      </c>
      <c r="M947" s="13">
        <v>295.3</v>
      </c>
      <c r="N947" s="15">
        <v>0.1</v>
      </c>
      <c r="O947" s="13">
        <v>375.59</v>
      </c>
      <c r="P947" s="13">
        <v>17.329999999999998</v>
      </c>
      <c r="Q947" s="13">
        <v>91.95</v>
      </c>
      <c r="R947" s="1" t="s">
        <v>70</v>
      </c>
      <c r="S947" s="1">
        <v>5</v>
      </c>
      <c r="T947" s="1" t="b">
        <v>0</v>
      </c>
      <c r="U947" s="1" t="s">
        <v>39</v>
      </c>
      <c r="V947" s="3">
        <v>9</v>
      </c>
    </row>
    <row r="948" spans="1:22" x14ac:dyDescent="0.3">
      <c r="A948" s="2" t="s">
        <v>2368</v>
      </c>
      <c r="B948" s="10">
        <v>45625</v>
      </c>
      <c r="C948" s="22">
        <v>45625</v>
      </c>
      <c r="D948" s="1" t="s">
        <v>2369</v>
      </c>
      <c r="E948" s="1" t="s">
        <v>157</v>
      </c>
      <c r="F948" s="1">
        <v>15</v>
      </c>
      <c r="G948" s="1" t="s">
        <v>34</v>
      </c>
      <c r="H948" s="1" t="s">
        <v>82</v>
      </c>
      <c r="I948" s="1" t="s">
        <v>293</v>
      </c>
      <c r="J948" s="1" t="s">
        <v>127</v>
      </c>
      <c r="K948" s="1" t="s">
        <v>128</v>
      </c>
      <c r="L948" s="1">
        <v>5</v>
      </c>
      <c r="M948" s="13">
        <v>60589.34</v>
      </c>
      <c r="N948" s="15">
        <v>0</v>
      </c>
      <c r="O948" s="13">
        <v>289044.77</v>
      </c>
      <c r="P948" s="13">
        <v>32628.880000000001</v>
      </c>
      <c r="Q948" s="13">
        <v>117.75</v>
      </c>
      <c r="R948" s="1" t="s">
        <v>64</v>
      </c>
      <c r="S948" s="1">
        <v>1</v>
      </c>
      <c r="T948" s="1" t="b">
        <v>0</v>
      </c>
      <c r="U948" s="1" t="s">
        <v>39</v>
      </c>
      <c r="V948" s="3">
        <v>6</v>
      </c>
    </row>
    <row r="949" spans="1:22" x14ac:dyDescent="0.3">
      <c r="A949" s="2" t="s">
        <v>2370</v>
      </c>
      <c r="B949" s="10">
        <v>44929</v>
      </c>
      <c r="C949" s="22">
        <v>44929</v>
      </c>
      <c r="D949" s="1" t="s">
        <v>2371</v>
      </c>
      <c r="E949" s="1" t="s">
        <v>473</v>
      </c>
      <c r="F949" s="1">
        <v>24</v>
      </c>
      <c r="G949" s="1" t="s">
        <v>34</v>
      </c>
      <c r="H949" s="1" t="s">
        <v>74</v>
      </c>
      <c r="I949" s="1" t="s">
        <v>101</v>
      </c>
      <c r="J949" s="1" t="s">
        <v>37</v>
      </c>
      <c r="K949" s="1" t="s">
        <v>231</v>
      </c>
      <c r="L949" s="1">
        <v>9</v>
      </c>
      <c r="M949" s="13">
        <v>2041.21</v>
      </c>
      <c r="N949" s="15">
        <v>0.22</v>
      </c>
      <c r="O949" s="13">
        <v>13435.71</v>
      </c>
      <c r="P949" s="13">
        <v>8442.25</v>
      </c>
      <c r="Q949" s="13">
        <v>45.75</v>
      </c>
      <c r="R949" s="1" t="s">
        <v>57</v>
      </c>
      <c r="S949" s="1">
        <v>3</v>
      </c>
      <c r="T949" s="1" t="b">
        <v>0</v>
      </c>
      <c r="U949" s="1" t="s">
        <v>84</v>
      </c>
      <c r="V949" s="3">
        <v>1</v>
      </c>
    </row>
    <row r="950" spans="1:22" x14ac:dyDescent="0.3">
      <c r="A950" s="2" t="s">
        <v>2372</v>
      </c>
      <c r="B950" s="10">
        <v>44474</v>
      </c>
      <c r="C950" s="22">
        <v>44474</v>
      </c>
      <c r="D950" s="1" t="s">
        <v>2373</v>
      </c>
      <c r="E950" s="1" t="s">
        <v>1684</v>
      </c>
      <c r="F950" s="1">
        <v>58</v>
      </c>
      <c r="G950" s="1" t="s">
        <v>34</v>
      </c>
      <c r="H950" s="1" t="s">
        <v>74</v>
      </c>
      <c r="I950" s="1" t="s">
        <v>136</v>
      </c>
      <c r="J950" s="1" t="s">
        <v>76</v>
      </c>
      <c r="K950" s="1" t="s">
        <v>122</v>
      </c>
      <c r="L950" s="1">
        <v>2</v>
      </c>
      <c r="M950" s="13">
        <v>469.65</v>
      </c>
      <c r="N950" s="15">
        <v>0.12</v>
      </c>
      <c r="O950" s="13">
        <v>775.74</v>
      </c>
      <c r="P950" s="13">
        <v>185.8</v>
      </c>
      <c r="Q950" s="13">
        <v>32.03</v>
      </c>
      <c r="R950" s="1" t="s">
        <v>64</v>
      </c>
      <c r="S950" s="1">
        <v>1</v>
      </c>
      <c r="T950" s="1" t="b">
        <v>1</v>
      </c>
      <c r="U950" s="1" t="s">
        <v>30</v>
      </c>
      <c r="V950" s="3">
        <v>3</v>
      </c>
    </row>
    <row r="951" spans="1:22" x14ac:dyDescent="0.3">
      <c r="A951" s="2" t="s">
        <v>2374</v>
      </c>
      <c r="B951" s="10">
        <v>45524</v>
      </c>
      <c r="C951" s="22">
        <v>45524</v>
      </c>
      <c r="D951" s="1" t="s">
        <v>2375</v>
      </c>
      <c r="E951" s="1" t="s">
        <v>1684</v>
      </c>
      <c r="F951" s="1">
        <v>34</v>
      </c>
      <c r="G951" s="1" t="s">
        <v>24</v>
      </c>
      <c r="H951" s="1" t="s">
        <v>111</v>
      </c>
      <c r="I951" s="1" t="s">
        <v>112</v>
      </c>
      <c r="J951" s="1" t="s">
        <v>27</v>
      </c>
      <c r="K951" s="1" t="s">
        <v>56</v>
      </c>
      <c r="L951" s="1">
        <v>3</v>
      </c>
      <c r="M951" s="13">
        <v>408.26</v>
      </c>
      <c r="N951" s="15">
        <v>0.03</v>
      </c>
      <c r="O951" s="13">
        <v>1632.98</v>
      </c>
      <c r="P951" s="13">
        <v>170</v>
      </c>
      <c r="Q951" s="13">
        <v>70.48</v>
      </c>
      <c r="R951" s="1" t="s">
        <v>64</v>
      </c>
      <c r="S951" s="1">
        <v>4</v>
      </c>
      <c r="T951" s="1" t="b">
        <v>0</v>
      </c>
      <c r="U951" s="1" t="s">
        <v>39</v>
      </c>
      <c r="V951" s="3">
        <v>1</v>
      </c>
    </row>
    <row r="952" spans="1:22" x14ac:dyDescent="0.3">
      <c r="A952" s="2" t="s">
        <v>2376</v>
      </c>
      <c r="B952" s="10">
        <v>45431</v>
      </c>
      <c r="C952" s="22">
        <v>45431</v>
      </c>
      <c r="D952" s="1" t="s">
        <v>2377</v>
      </c>
      <c r="E952" s="1" t="s">
        <v>2229</v>
      </c>
      <c r="F952" s="1">
        <v>45</v>
      </c>
      <c r="G952" s="1" t="s">
        <v>34</v>
      </c>
      <c r="H952" s="1" t="s">
        <v>25</v>
      </c>
      <c r="I952" s="1" t="s">
        <v>170</v>
      </c>
      <c r="J952" s="1" t="s">
        <v>146</v>
      </c>
      <c r="K952" s="1" t="s">
        <v>147</v>
      </c>
      <c r="L952" s="1">
        <v>1</v>
      </c>
      <c r="M952" s="13">
        <v>9074.17</v>
      </c>
      <c r="N952" s="15">
        <v>0.08</v>
      </c>
      <c r="O952" s="13">
        <v>12971.64</v>
      </c>
      <c r="P952" s="13">
        <v>3182.4</v>
      </c>
      <c r="Q952" s="13">
        <v>43.12</v>
      </c>
      <c r="R952" s="1" t="s">
        <v>51</v>
      </c>
      <c r="S952" s="1">
        <v>4</v>
      </c>
      <c r="T952" s="1" t="b">
        <v>0</v>
      </c>
      <c r="U952" s="1" t="s">
        <v>39</v>
      </c>
      <c r="V952" s="3">
        <v>9</v>
      </c>
    </row>
    <row r="953" spans="1:22" x14ac:dyDescent="0.3">
      <c r="A953" s="2" t="s">
        <v>2378</v>
      </c>
      <c r="B953" s="10">
        <v>44587</v>
      </c>
      <c r="C953" s="22">
        <v>44587</v>
      </c>
      <c r="D953" s="1" t="s">
        <v>2379</v>
      </c>
      <c r="E953" s="1" t="s">
        <v>786</v>
      </c>
      <c r="F953" s="1">
        <v>24</v>
      </c>
      <c r="G953" s="1" t="s">
        <v>24</v>
      </c>
      <c r="H953" s="1" t="s">
        <v>35</v>
      </c>
      <c r="I953" s="1" t="s">
        <v>49</v>
      </c>
      <c r="J953" s="1" t="s">
        <v>127</v>
      </c>
      <c r="K953" s="1" t="s">
        <v>128</v>
      </c>
      <c r="L953" s="1">
        <v>4</v>
      </c>
      <c r="M953" s="13">
        <v>30494.73</v>
      </c>
      <c r="N953" s="15">
        <v>0.39</v>
      </c>
      <c r="O953" s="13">
        <v>68016.240000000005</v>
      </c>
      <c r="P953" s="13">
        <v>8846.49</v>
      </c>
      <c r="Q953" s="13">
        <v>53.6</v>
      </c>
      <c r="R953" s="1" t="s">
        <v>29</v>
      </c>
      <c r="S953" s="1">
        <v>2</v>
      </c>
      <c r="T953" s="1" t="b">
        <v>0</v>
      </c>
      <c r="U953" s="1" t="s">
        <v>39</v>
      </c>
      <c r="V953" s="3">
        <v>4</v>
      </c>
    </row>
    <row r="954" spans="1:22" x14ac:dyDescent="0.3">
      <c r="A954" s="2" t="s">
        <v>2380</v>
      </c>
      <c r="B954" s="10">
        <v>44300</v>
      </c>
      <c r="C954" s="22">
        <v>44300</v>
      </c>
      <c r="D954" s="1" t="s">
        <v>2381</v>
      </c>
      <c r="E954" s="1" t="s">
        <v>195</v>
      </c>
      <c r="F954" s="1">
        <v>38</v>
      </c>
      <c r="G954" s="1" t="s">
        <v>24</v>
      </c>
      <c r="H954" s="1" t="s">
        <v>74</v>
      </c>
      <c r="I954" s="1" t="s">
        <v>136</v>
      </c>
      <c r="J954" s="1" t="s">
        <v>44</v>
      </c>
      <c r="K954" s="1" t="s">
        <v>45</v>
      </c>
      <c r="L954" s="1">
        <v>7</v>
      </c>
      <c r="M954" s="13">
        <v>31419.94</v>
      </c>
      <c r="N954" s="15">
        <v>0.05</v>
      </c>
      <c r="O954" s="13">
        <v>237087.2</v>
      </c>
      <c r="P954" s="13">
        <v>58133.19</v>
      </c>
      <c r="Q954" s="13">
        <v>36.96</v>
      </c>
      <c r="R954" s="1" t="s">
        <v>29</v>
      </c>
      <c r="S954" s="1">
        <v>5</v>
      </c>
      <c r="T954" s="1" t="b">
        <v>0</v>
      </c>
      <c r="U954" s="1" t="s">
        <v>197</v>
      </c>
      <c r="V954" s="3">
        <v>5</v>
      </c>
    </row>
    <row r="955" spans="1:22" x14ac:dyDescent="0.3">
      <c r="A955" s="2" t="s">
        <v>2382</v>
      </c>
      <c r="B955" s="10">
        <v>44761</v>
      </c>
      <c r="C955" s="22">
        <v>44761</v>
      </c>
      <c r="D955" s="1" t="s">
        <v>2383</v>
      </c>
      <c r="E955" s="1" t="s">
        <v>476</v>
      </c>
      <c r="F955" s="1">
        <v>28</v>
      </c>
      <c r="G955" s="1" t="s">
        <v>68</v>
      </c>
      <c r="H955" s="1" t="s">
        <v>111</v>
      </c>
      <c r="I955" s="1" t="s">
        <v>112</v>
      </c>
      <c r="J955" s="1" t="s">
        <v>44</v>
      </c>
      <c r="K955" s="1" t="s">
        <v>45</v>
      </c>
      <c r="L955" s="1">
        <v>2</v>
      </c>
      <c r="M955" s="13">
        <v>23522.83</v>
      </c>
      <c r="N955" s="15">
        <v>0.15</v>
      </c>
      <c r="O955" s="13">
        <v>53090.46</v>
      </c>
      <c r="P955" s="13">
        <v>18316.25</v>
      </c>
      <c r="Q955" s="13">
        <v>70.069999999999993</v>
      </c>
      <c r="R955" s="1" t="s">
        <v>51</v>
      </c>
      <c r="S955" s="1">
        <v>2</v>
      </c>
      <c r="T955" s="1" t="b">
        <v>0</v>
      </c>
      <c r="U955" s="1" t="s">
        <v>39</v>
      </c>
      <c r="V955" s="3">
        <v>8</v>
      </c>
    </row>
    <row r="956" spans="1:22" x14ac:dyDescent="0.3">
      <c r="A956" s="2" t="s">
        <v>2384</v>
      </c>
      <c r="B956" s="10">
        <v>45186</v>
      </c>
      <c r="C956" s="22">
        <v>45186</v>
      </c>
      <c r="D956" s="1" t="s">
        <v>2385</v>
      </c>
      <c r="E956" s="1" t="s">
        <v>665</v>
      </c>
      <c r="F956" s="1">
        <v>26</v>
      </c>
      <c r="G956" s="1" t="s">
        <v>34</v>
      </c>
      <c r="H956" s="1" t="s">
        <v>35</v>
      </c>
      <c r="I956" s="1" t="s">
        <v>36</v>
      </c>
      <c r="J956" s="1" t="s">
        <v>146</v>
      </c>
      <c r="K956" s="1" t="s">
        <v>484</v>
      </c>
      <c r="L956" s="1">
        <v>8</v>
      </c>
      <c r="M956" s="13">
        <v>10683.75</v>
      </c>
      <c r="N956" s="15">
        <v>0.04</v>
      </c>
      <c r="O956" s="13">
        <v>113358.26</v>
      </c>
      <c r="P956" s="13">
        <v>26416.639999999999</v>
      </c>
      <c r="Q956" s="13">
        <v>59.9</v>
      </c>
      <c r="R956" s="1" t="s">
        <v>64</v>
      </c>
      <c r="S956" s="1">
        <v>1</v>
      </c>
      <c r="T956" s="1" t="b">
        <v>0</v>
      </c>
      <c r="U956" s="1" t="s">
        <v>39</v>
      </c>
      <c r="V956" s="3">
        <v>7</v>
      </c>
    </row>
    <row r="957" spans="1:22" x14ac:dyDescent="0.3">
      <c r="A957" s="2" t="s">
        <v>2386</v>
      </c>
      <c r="B957" s="10">
        <v>44479</v>
      </c>
      <c r="C957" s="22">
        <v>44479</v>
      </c>
      <c r="D957" s="1" t="s">
        <v>2387</v>
      </c>
      <c r="E957" s="1" t="s">
        <v>1047</v>
      </c>
      <c r="F957" s="1">
        <v>57</v>
      </c>
      <c r="G957" s="1" t="s">
        <v>68</v>
      </c>
      <c r="H957" s="1" t="s">
        <v>111</v>
      </c>
      <c r="I957" s="1" t="s">
        <v>112</v>
      </c>
      <c r="J957" s="1" t="s">
        <v>62</v>
      </c>
      <c r="K957" s="1" t="s">
        <v>151</v>
      </c>
      <c r="L957" s="1">
        <v>8</v>
      </c>
      <c r="M957" s="13">
        <v>1196.3800000000001</v>
      </c>
      <c r="N957" s="15">
        <v>0.14000000000000001</v>
      </c>
      <c r="O957" s="13">
        <v>8445.01</v>
      </c>
      <c r="P957" s="13">
        <v>3179.69</v>
      </c>
      <c r="Q957" s="13">
        <v>71.87</v>
      </c>
      <c r="R957" s="1" t="s">
        <v>57</v>
      </c>
      <c r="S957" s="1">
        <v>2</v>
      </c>
      <c r="T957" s="1" t="b">
        <v>0</v>
      </c>
      <c r="U957" s="1" t="s">
        <v>39</v>
      </c>
      <c r="V957" s="3">
        <v>4</v>
      </c>
    </row>
    <row r="958" spans="1:22" x14ac:dyDescent="0.3">
      <c r="A958" s="2" t="s">
        <v>2388</v>
      </c>
      <c r="B958" s="10">
        <v>44741</v>
      </c>
      <c r="C958" s="22">
        <v>44741</v>
      </c>
      <c r="D958" s="1" t="s">
        <v>2389</v>
      </c>
      <c r="E958" s="1" t="s">
        <v>719</v>
      </c>
      <c r="F958" s="1">
        <v>28</v>
      </c>
      <c r="G958" s="1" t="s">
        <v>68</v>
      </c>
      <c r="H958" s="1" t="s">
        <v>35</v>
      </c>
      <c r="I958" s="1" t="s">
        <v>36</v>
      </c>
      <c r="J958" s="1" t="s">
        <v>37</v>
      </c>
      <c r="K958" s="1" t="s">
        <v>102</v>
      </c>
      <c r="L958" s="1">
        <v>7</v>
      </c>
      <c r="M958" s="13">
        <v>854.71</v>
      </c>
      <c r="N958" s="15">
        <v>0.09</v>
      </c>
      <c r="O958" s="13">
        <v>7728.92</v>
      </c>
      <c r="P958" s="13">
        <v>3265.65</v>
      </c>
      <c r="Q958" s="13">
        <v>55.34</v>
      </c>
      <c r="R958" s="1" t="s">
        <v>78</v>
      </c>
      <c r="S958" s="1">
        <v>3</v>
      </c>
      <c r="T958" s="1" t="b">
        <v>0</v>
      </c>
      <c r="U958" s="1" t="s">
        <v>39</v>
      </c>
      <c r="V958" s="3">
        <v>2</v>
      </c>
    </row>
    <row r="959" spans="1:22" x14ac:dyDescent="0.3">
      <c r="A959" s="2" t="s">
        <v>2390</v>
      </c>
      <c r="B959" s="10">
        <v>44833</v>
      </c>
      <c r="C959" s="22">
        <v>44833</v>
      </c>
      <c r="D959" s="1" t="s">
        <v>2391</v>
      </c>
      <c r="E959" s="1" t="s">
        <v>1142</v>
      </c>
      <c r="F959" s="1">
        <v>35</v>
      </c>
      <c r="G959" s="1" t="s">
        <v>68</v>
      </c>
      <c r="H959" s="1" t="s">
        <v>74</v>
      </c>
      <c r="I959" s="1" t="s">
        <v>75</v>
      </c>
      <c r="J959" s="1" t="s">
        <v>62</v>
      </c>
      <c r="K959" s="1" t="s">
        <v>570</v>
      </c>
      <c r="L959" s="1">
        <v>10</v>
      </c>
      <c r="M959" s="13">
        <v>723.67</v>
      </c>
      <c r="N959" s="15">
        <v>0.04</v>
      </c>
      <c r="O959" s="13">
        <v>9456.02</v>
      </c>
      <c r="P959" s="13">
        <v>3461.29</v>
      </c>
      <c r="Q959" s="13">
        <v>54.96</v>
      </c>
      <c r="R959" s="1" t="s">
        <v>57</v>
      </c>
      <c r="S959" s="1">
        <v>3</v>
      </c>
      <c r="T959" s="1" t="b">
        <v>1</v>
      </c>
      <c r="U959" s="1" t="s">
        <v>30</v>
      </c>
      <c r="V959" s="3">
        <v>7</v>
      </c>
    </row>
    <row r="960" spans="1:22" x14ac:dyDescent="0.3">
      <c r="A960" s="2" t="s">
        <v>2392</v>
      </c>
      <c r="B960" s="10">
        <v>44936</v>
      </c>
      <c r="C960" s="22">
        <v>44936</v>
      </c>
      <c r="D960" s="1" t="s">
        <v>2393</v>
      </c>
      <c r="E960" s="1" t="s">
        <v>1733</v>
      </c>
      <c r="F960" s="1">
        <v>27</v>
      </c>
      <c r="G960" s="1" t="s">
        <v>34</v>
      </c>
      <c r="H960" s="1" t="s">
        <v>111</v>
      </c>
      <c r="I960" s="1" t="s">
        <v>112</v>
      </c>
      <c r="J960" s="1" t="s">
        <v>62</v>
      </c>
      <c r="K960" s="1" t="s">
        <v>570</v>
      </c>
      <c r="L960" s="1">
        <v>5</v>
      </c>
      <c r="M960" s="13">
        <v>1209.77</v>
      </c>
      <c r="N960" s="15">
        <v>0.22</v>
      </c>
      <c r="O960" s="13">
        <v>4481.5600000000004</v>
      </c>
      <c r="P960" s="13">
        <v>1760.45</v>
      </c>
      <c r="Q960" s="13">
        <v>48.73</v>
      </c>
      <c r="R960" s="1" t="s">
        <v>29</v>
      </c>
      <c r="S960" s="1">
        <v>1</v>
      </c>
      <c r="T960" s="1" t="b">
        <v>0</v>
      </c>
      <c r="U960" s="1" t="s">
        <v>39</v>
      </c>
      <c r="V960" s="3">
        <v>10</v>
      </c>
    </row>
    <row r="961" spans="1:22" x14ac:dyDescent="0.3">
      <c r="A961" s="2" t="s">
        <v>2394</v>
      </c>
      <c r="B961" s="10">
        <v>44893</v>
      </c>
      <c r="C961" s="22">
        <v>44893</v>
      </c>
      <c r="D961" s="1" t="s">
        <v>2395</v>
      </c>
      <c r="E961" s="1" t="s">
        <v>116</v>
      </c>
      <c r="F961" s="1">
        <v>20</v>
      </c>
      <c r="G961" s="1" t="s">
        <v>68</v>
      </c>
      <c r="H961" s="1" t="s">
        <v>111</v>
      </c>
      <c r="I961" s="1" t="s">
        <v>330</v>
      </c>
      <c r="J961" s="1" t="s">
        <v>27</v>
      </c>
      <c r="K961" s="1" t="s">
        <v>430</v>
      </c>
      <c r="L961" s="1">
        <v>6</v>
      </c>
      <c r="M961" s="13">
        <v>282.54000000000002</v>
      </c>
      <c r="N961" s="15">
        <v>0.21</v>
      </c>
      <c r="O961" s="13">
        <v>1669.01</v>
      </c>
      <c r="P961" s="13">
        <v>157.04</v>
      </c>
      <c r="Q961" s="13">
        <v>101.43</v>
      </c>
      <c r="R961" s="1" t="s">
        <v>78</v>
      </c>
      <c r="S961" s="1">
        <v>2</v>
      </c>
      <c r="T961" s="1" t="b">
        <v>0</v>
      </c>
      <c r="U961" s="1" t="s">
        <v>137</v>
      </c>
      <c r="V961" s="3">
        <v>9</v>
      </c>
    </row>
    <row r="962" spans="1:22" x14ac:dyDescent="0.3">
      <c r="A962" s="2" t="s">
        <v>2396</v>
      </c>
      <c r="B962" s="10">
        <v>44306</v>
      </c>
      <c r="C962" s="22">
        <v>44306</v>
      </c>
      <c r="D962" s="1" t="s">
        <v>2397</v>
      </c>
      <c r="E962" s="1" t="s">
        <v>243</v>
      </c>
      <c r="F962" s="1">
        <v>34</v>
      </c>
      <c r="G962" s="1" t="s">
        <v>24</v>
      </c>
      <c r="H962" s="1" t="s">
        <v>111</v>
      </c>
      <c r="I962" s="1" t="s">
        <v>141</v>
      </c>
      <c r="J962" s="1" t="s">
        <v>76</v>
      </c>
      <c r="K962" s="1" t="s">
        <v>77</v>
      </c>
      <c r="L962" s="1">
        <v>5</v>
      </c>
      <c r="M962" s="13">
        <v>2726.58</v>
      </c>
      <c r="N962" s="15">
        <v>0.16</v>
      </c>
      <c r="O962" s="13">
        <v>15369.71</v>
      </c>
      <c r="P962" s="13">
        <v>5460.97</v>
      </c>
      <c r="Q962" s="13">
        <v>55.2</v>
      </c>
      <c r="R962" s="1" t="s">
        <v>51</v>
      </c>
      <c r="S962" s="1">
        <v>4</v>
      </c>
      <c r="T962" s="1" t="b">
        <v>0</v>
      </c>
      <c r="U962" s="1" t="s">
        <v>39</v>
      </c>
      <c r="V962" s="3">
        <v>3</v>
      </c>
    </row>
    <row r="963" spans="1:22" x14ac:dyDescent="0.3">
      <c r="A963" s="2" t="s">
        <v>2398</v>
      </c>
      <c r="B963" s="10">
        <v>44760</v>
      </c>
      <c r="C963" s="22">
        <v>44760</v>
      </c>
      <c r="D963" s="1" t="s">
        <v>2399</v>
      </c>
      <c r="E963" s="1" t="s">
        <v>842</v>
      </c>
      <c r="F963" s="1">
        <v>48</v>
      </c>
      <c r="G963" s="1" t="s">
        <v>24</v>
      </c>
      <c r="H963" s="1" t="s">
        <v>35</v>
      </c>
      <c r="I963" s="1" t="s">
        <v>36</v>
      </c>
      <c r="J963" s="1" t="s">
        <v>44</v>
      </c>
      <c r="K963" s="1" t="s">
        <v>45</v>
      </c>
      <c r="L963" s="1">
        <v>10</v>
      </c>
      <c r="M963" s="13">
        <v>28298.23</v>
      </c>
      <c r="N963" s="15">
        <v>0.25</v>
      </c>
      <c r="O963" s="13">
        <v>341316.69</v>
      </c>
      <c r="P963" s="13">
        <v>107787.95</v>
      </c>
      <c r="Q963" s="13">
        <v>94.71</v>
      </c>
      <c r="R963" s="1" t="s">
        <v>29</v>
      </c>
      <c r="S963" s="1">
        <v>4</v>
      </c>
      <c r="T963" s="1" t="b">
        <v>0</v>
      </c>
      <c r="U963" s="1" t="s">
        <v>39</v>
      </c>
      <c r="V963" s="3">
        <v>4</v>
      </c>
    </row>
    <row r="964" spans="1:22" x14ac:dyDescent="0.3">
      <c r="A964" s="2" t="s">
        <v>2400</v>
      </c>
      <c r="B964" s="10">
        <v>43871</v>
      </c>
      <c r="C964" s="22">
        <v>43871</v>
      </c>
      <c r="D964" s="1" t="s">
        <v>2401</v>
      </c>
      <c r="E964" s="1" t="s">
        <v>534</v>
      </c>
      <c r="F964" s="1">
        <v>37</v>
      </c>
      <c r="G964" s="1" t="s">
        <v>34</v>
      </c>
      <c r="H964" s="1" t="s">
        <v>74</v>
      </c>
      <c r="I964" s="1" t="s">
        <v>101</v>
      </c>
      <c r="J964" s="1" t="s">
        <v>44</v>
      </c>
      <c r="K964" s="1" t="s">
        <v>93</v>
      </c>
      <c r="L964" s="1">
        <v>8</v>
      </c>
      <c r="M964" s="13">
        <v>18758.18</v>
      </c>
      <c r="N964" s="15">
        <v>0.11</v>
      </c>
      <c r="O964" s="13">
        <v>112518.3</v>
      </c>
      <c r="P964" s="13">
        <v>31415.21</v>
      </c>
      <c r="Q964" s="13">
        <v>56.55</v>
      </c>
      <c r="R964" s="1" t="s">
        <v>57</v>
      </c>
      <c r="S964" s="1">
        <v>5</v>
      </c>
      <c r="T964" s="1" t="b">
        <v>0</v>
      </c>
      <c r="U964" s="1" t="s">
        <v>84</v>
      </c>
      <c r="V964" s="3">
        <v>6</v>
      </c>
    </row>
    <row r="965" spans="1:22" x14ac:dyDescent="0.3">
      <c r="A965" s="2" t="s">
        <v>2402</v>
      </c>
      <c r="B965" s="10">
        <v>44453</v>
      </c>
      <c r="C965" s="22">
        <v>44453</v>
      </c>
      <c r="D965" s="1" t="s">
        <v>2403</v>
      </c>
      <c r="E965" s="1" t="s">
        <v>687</v>
      </c>
      <c r="F965" s="1">
        <v>12</v>
      </c>
      <c r="G965" s="1" t="s">
        <v>68</v>
      </c>
      <c r="H965" s="1" t="s">
        <v>111</v>
      </c>
      <c r="I965" s="1" t="s">
        <v>112</v>
      </c>
      <c r="J965" s="1" t="s">
        <v>127</v>
      </c>
      <c r="K965" s="1" t="s">
        <v>517</v>
      </c>
      <c r="L965" s="1">
        <v>5</v>
      </c>
      <c r="M965" s="13">
        <v>56629.75</v>
      </c>
      <c r="N965" s="15">
        <v>0.04</v>
      </c>
      <c r="O965" s="13">
        <v>62813.98</v>
      </c>
      <c r="P965" s="13">
        <v>8275.81</v>
      </c>
      <c r="Q965" s="13">
        <v>63.16</v>
      </c>
      <c r="R965" s="1" t="s">
        <v>57</v>
      </c>
      <c r="S965" s="1">
        <v>5</v>
      </c>
      <c r="T965" s="1" t="b">
        <v>0</v>
      </c>
      <c r="U965" s="1" t="s">
        <v>39</v>
      </c>
      <c r="V965" s="3">
        <v>9</v>
      </c>
    </row>
    <row r="966" spans="1:22" x14ac:dyDescent="0.3">
      <c r="A966" s="2" t="s">
        <v>2404</v>
      </c>
      <c r="B966" s="10">
        <v>44091</v>
      </c>
      <c r="C966" s="22">
        <v>44091</v>
      </c>
      <c r="D966" s="1" t="s">
        <v>2405</v>
      </c>
      <c r="E966" s="1" t="s">
        <v>311</v>
      </c>
      <c r="F966" s="1">
        <v>55</v>
      </c>
      <c r="G966" s="1" t="s">
        <v>34</v>
      </c>
      <c r="H966" s="1" t="s">
        <v>111</v>
      </c>
      <c r="I966" s="1" t="s">
        <v>121</v>
      </c>
      <c r="J966" s="1" t="s">
        <v>127</v>
      </c>
      <c r="K966" s="1" t="s">
        <v>196</v>
      </c>
      <c r="L966" s="1">
        <v>10</v>
      </c>
      <c r="M966" s="13">
        <v>74981.27</v>
      </c>
      <c r="N966" s="15">
        <v>0.04</v>
      </c>
      <c r="O966" s="13">
        <v>822702.48</v>
      </c>
      <c r="P966" s="13">
        <v>98591.29</v>
      </c>
      <c r="Q966" s="13">
        <v>90.58</v>
      </c>
      <c r="R966" s="1" t="s">
        <v>29</v>
      </c>
      <c r="S966" s="1">
        <v>1</v>
      </c>
      <c r="T966" s="1" t="b">
        <v>1</v>
      </c>
      <c r="U966" s="1" t="s">
        <v>30</v>
      </c>
      <c r="V966" s="3">
        <v>5</v>
      </c>
    </row>
    <row r="967" spans="1:22" x14ac:dyDescent="0.3">
      <c r="A967" s="2" t="s">
        <v>2406</v>
      </c>
      <c r="B967" s="10">
        <v>44388</v>
      </c>
      <c r="C967" s="22">
        <v>44388</v>
      </c>
      <c r="D967" s="1" t="s">
        <v>2407</v>
      </c>
      <c r="E967" s="1" t="s">
        <v>1510</v>
      </c>
      <c r="F967" s="1">
        <v>24</v>
      </c>
      <c r="G967" s="1" t="s">
        <v>34</v>
      </c>
      <c r="H967" s="1" t="s">
        <v>111</v>
      </c>
      <c r="I967" s="1" t="s">
        <v>141</v>
      </c>
      <c r="J967" s="1" t="s">
        <v>27</v>
      </c>
      <c r="K967" s="1" t="s">
        <v>450</v>
      </c>
      <c r="L967" s="1">
        <v>10</v>
      </c>
      <c r="M967" s="13">
        <v>108.51</v>
      </c>
      <c r="N967" s="15">
        <v>0.03</v>
      </c>
      <c r="O967" s="13">
        <v>907.65</v>
      </c>
      <c r="P967" s="13">
        <v>97.79</v>
      </c>
      <c r="Q967" s="13">
        <v>67.08</v>
      </c>
      <c r="R967" s="1" t="s">
        <v>29</v>
      </c>
      <c r="S967" s="1">
        <v>3</v>
      </c>
      <c r="T967" s="1" t="b">
        <v>1</v>
      </c>
      <c r="U967" s="1" t="s">
        <v>30</v>
      </c>
      <c r="V967" s="3">
        <v>10</v>
      </c>
    </row>
    <row r="968" spans="1:22" x14ac:dyDescent="0.3">
      <c r="A968" s="2" t="s">
        <v>2408</v>
      </c>
      <c r="B968" s="10">
        <v>44073</v>
      </c>
      <c r="C968" s="22">
        <v>44073</v>
      </c>
      <c r="D968" s="1" t="s">
        <v>2409</v>
      </c>
      <c r="E968" s="1" t="s">
        <v>349</v>
      </c>
      <c r="F968" s="1">
        <v>53</v>
      </c>
      <c r="G968" s="1" t="s">
        <v>68</v>
      </c>
      <c r="H968" s="1" t="s">
        <v>111</v>
      </c>
      <c r="I968" s="1" t="s">
        <v>121</v>
      </c>
      <c r="J968" s="1" t="s">
        <v>44</v>
      </c>
      <c r="K968" s="1" t="s">
        <v>45</v>
      </c>
      <c r="L968" s="1">
        <v>8</v>
      </c>
      <c r="M968" s="13">
        <v>13159.22</v>
      </c>
      <c r="N968" s="15">
        <v>0.18</v>
      </c>
      <c r="O968" s="13">
        <v>82824.149999999994</v>
      </c>
      <c r="P968" s="13">
        <v>28653.14</v>
      </c>
      <c r="Q968" s="13">
        <v>55.64</v>
      </c>
      <c r="R968" s="1" t="s">
        <v>70</v>
      </c>
      <c r="S968" s="1">
        <v>4</v>
      </c>
      <c r="T968" s="1" t="b">
        <v>1</v>
      </c>
      <c r="U968" s="1" t="s">
        <v>30</v>
      </c>
      <c r="V968" s="3">
        <v>8</v>
      </c>
    </row>
    <row r="969" spans="1:22" x14ac:dyDescent="0.3">
      <c r="A969" s="2" t="s">
        <v>2410</v>
      </c>
      <c r="B969" s="10">
        <v>44249</v>
      </c>
      <c r="C969" s="22">
        <v>44249</v>
      </c>
      <c r="D969" s="1" t="s">
        <v>2411</v>
      </c>
      <c r="E969" s="1" t="s">
        <v>1428</v>
      </c>
      <c r="F969" s="1">
        <v>44</v>
      </c>
      <c r="G969" s="1" t="s">
        <v>34</v>
      </c>
      <c r="H969" s="1" t="s">
        <v>82</v>
      </c>
      <c r="I969" s="1" t="s">
        <v>244</v>
      </c>
      <c r="J969" s="1" t="s">
        <v>27</v>
      </c>
      <c r="K969" s="1" t="s">
        <v>56</v>
      </c>
      <c r="L969" s="1">
        <v>1</v>
      </c>
      <c r="M969" s="13">
        <v>227.48</v>
      </c>
      <c r="N969" s="15">
        <v>0.11</v>
      </c>
      <c r="O969" s="13">
        <v>175.14</v>
      </c>
      <c r="P969" s="13">
        <v>15.49</v>
      </c>
      <c r="Q969" s="13">
        <v>47.37</v>
      </c>
      <c r="R969" s="1" t="s">
        <v>51</v>
      </c>
      <c r="S969" s="1">
        <v>1</v>
      </c>
      <c r="T969" s="1" t="b">
        <v>0</v>
      </c>
      <c r="U969" s="1" t="s">
        <v>58</v>
      </c>
      <c r="V969" s="3">
        <v>4</v>
      </c>
    </row>
    <row r="970" spans="1:22" x14ac:dyDescent="0.3">
      <c r="A970" s="2" t="s">
        <v>2412</v>
      </c>
      <c r="B970" s="10">
        <v>44320</v>
      </c>
      <c r="C970" s="22">
        <v>44320</v>
      </c>
      <c r="D970" s="1" t="s">
        <v>2413</v>
      </c>
      <c r="E970" s="1" t="s">
        <v>453</v>
      </c>
      <c r="F970" s="1">
        <v>29</v>
      </c>
      <c r="G970" s="1" t="s">
        <v>24</v>
      </c>
      <c r="H970" s="1" t="s">
        <v>35</v>
      </c>
      <c r="I970" s="1" t="s">
        <v>49</v>
      </c>
      <c r="J970" s="1" t="s">
        <v>127</v>
      </c>
      <c r="K970" s="1" t="s">
        <v>196</v>
      </c>
      <c r="L970" s="1">
        <v>1</v>
      </c>
      <c r="M970" s="13">
        <v>22006.34</v>
      </c>
      <c r="N970" s="15">
        <v>0.11</v>
      </c>
      <c r="O970" s="13">
        <v>26028.1</v>
      </c>
      <c r="P970" s="13">
        <v>3707.24</v>
      </c>
      <c r="Q970" s="13">
        <v>40.729999999999997</v>
      </c>
      <c r="R970" s="1" t="s">
        <v>29</v>
      </c>
      <c r="S970" s="1">
        <v>2</v>
      </c>
      <c r="T970" s="1" t="b">
        <v>1</v>
      </c>
      <c r="U970" s="1" t="s">
        <v>30</v>
      </c>
      <c r="V970" s="3">
        <v>10</v>
      </c>
    </row>
    <row r="971" spans="1:22" x14ac:dyDescent="0.3">
      <c r="A971" s="2" t="s">
        <v>2414</v>
      </c>
      <c r="B971" s="10">
        <v>43952</v>
      </c>
      <c r="C971" s="22">
        <v>43952</v>
      </c>
      <c r="D971" s="1" t="s">
        <v>2415</v>
      </c>
      <c r="E971" s="1" t="s">
        <v>220</v>
      </c>
      <c r="F971" s="1">
        <v>41</v>
      </c>
      <c r="G971" s="1" t="s">
        <v>24</v>
      </c>
      <c r="H971" s="1" t="s">
        <v>25</v>
      </c>
      <c r="I971" s="1" t="s">
        <v>55</v>
      </c>
      <c r="J971" s="1" t="s">
        <v>44</v>
      </c>
      <c r="K971" s="1" t="s">
        <v>117</v>
      </c>
      <c r="L971" s="1">
        <v>8</v>
      </c>
      <c r="M971" s="13">
        <v>31845.06</v>
      </c>
      <c r="N971" s="15">
        <v>0.06</v>
      </c>
      <c r="O971" s="13">
        <v>300720.71999999997</v>
      </c>
      <c r="P971" s="13">
        <v>100251.26</v>
      </c>
      <c r="Q971" s="13">
        <v>38.42</v>
      </c>
      <c r="R971" s="1" t="s">
        <v>70</v>
      </c>
      <c r="S971" s="1">
        <v>1</v>
      </c>
      <c r="T971" s="1" t="b">
        <v>0</v>
      </c>
      <c r="U971" s="1" t="s">
        <v>39</v>
      </c>
      <c r="V971" s="3">
        <v>10</v>
      </c>
    </row>
    <row r="972" spans="1:22" x14ac:dyDescent="0.3">
      <c r="A972" s="2" t="s">
        <v>2416</v>
      </c>
      <c r="B972" s="10">
        <v>45360</v>
      </c>
      <c r="C972" s="22">
        <v>45360</v>
      </c>
      <c r="D972" s="1" t="s">
        <v>2417</v>
      </c>
      <c r="E972" s="1" t="s">
        <v>227</v>
      </c>
      <c r="F972" s="1">
        <v>30</v>
      </c>
      <c r="G972" s="1" t="s">
        <v>34</v>
      </c>
      <c r="H972" s="1" t="s">
        <v>74</v>
      </c>
      <c r="I972" s="1" t="s">
        <v>75</v>
      </c>
      <c r="J972" s="1" t="s">
        <v>127</v>
      </c>
      <c r="K972" s="1" t="s">
        <v>196</v>
      </c>
      <c r="L972" s="1">
        <v>9</v>
      </c>
      <c r="M972" s="13">
        <v>16973.28</v>
      </c>
      <c r="N972" s="15">
        <v>0.05</v>
      </c>
      <c r="O972" s="13">
        <v>208512.34</v>
      </c>
      <c r="P972" s="13">
        <v>29073.1</v>
      </c>
      <c r="Q972" s="13">
        <v>35</v>
      </c>
      <c r="R972" s="1" t="s">
        <v>64</v>
      </c>
      <c r="S972" s="1">
        <v>4</v>
      </c>
      <c r="T972" s="1" t="b">
        <v>0</v>
      </c>
      <c r="U972" s="1" t="s">
        <v>84</v>
      </c>
      <c r="V972" s="3">
        <v>4</v>
      </c>
    </row>
    <row r="973" spans="1:22" x14ac:dyDescent="0.3">
      <c r="A973" s="2" t="s">
        <v>2418</v>
      </c>
      <c r="B973" s="10">
        <v>44493</v>
      </c>
      <c r="C973" s="22">
        <v>44493</v>
      </c>
      <c r="D973" s="1" t="s">
        <v>2419</v>
      </c>
      <c r="E973" s="1" t="s">
        <v>1345</v>
      </c>
      <c r="F973" s="1">
        <v>27</v>
      </c>
      <c r="G973" s="1" t="s">
        <v>34</v>
      </c>
      <c r="H973" s="1" t="s">
        <v>111</v>
      </c>
      <c r="I973" s="1" t="s">
        <v>330</v>
      </c>
      <c r="J973" s="1" t="s">
        <v>127</v>
      </c>
      <c r="K973" s="1" t="s">
        <v>308</v>
      </c>
      <c r="L973" s="1">
        <v>3</v>
      </c>
      <c r="M973" s="13">
        <v>33682.54</v>
      </c>
      <c r="N973" s="15">
        <v>0.26</v>
      </c>
      <c r="O973" s="13">
        <v>62547.07</v>
      </c>
      <c r="P973" s="13">
        <v>8775.98</v>
      </c>
      <c r="Q973" s="13">
        <v>56.02</v>
      </c>
      <c r="R973" s="1" t="s">
        <v>64</v>
      </c>
      <c r="S973" s="1">
        <v>1</v>
      </c>
      <c r="T973" s="1" t="b">
        <v>1</v>
      </c>
      <c r="U973" s="1" t="s">
        <v>30</v>
      </c>
      <c r="V973" s="3">
        <v>3</v>
      </c>
    </row>
    <row r="974" spans="1:22" x14ac:dyDescent="0.3">
      <c r="A974" s="2" t="s">
        <v>2420</v>
      </c>
      <c r="B974" s="10">
        <v>44417</v>
      </c>
      <c r="C974" s="22">
        <v>44417</v>
      </c>
      <c r="D974" s="1" t="s">
        <v>2421</v>
      </c>
      <c r="E974" s="1" t="s">
        <v>657</v>
      </c>
      <c r="F974" s="1">
        <v>28</v>
      </c>
      <c r="G974" s="1" t="s">
        <v>24</v>
      </c>
      <c r="H974" s="1" t="s">
        <v>82</v>
      </c>
      <c r="I974" s="1" t="s">
        <v>244</v>
      </c>
      <c r="J974" s="1" t="s">
        <v>146</v>
      </c>
      <c r="K974" s="1" t="s">
        <v>484</v>
      </c>
      <c r="L974" s="1">
        <v>6</v>
      </c>
      <c r="M974" s="13">
        <v>8185.51</v>
      </c>
      <c r="N974" s="15">
        <v>0.23</v>
      </c>
      <c r="O974" s="13">
        <v>46089.54</v>
      </c>
      <c r="P974" s="13">
        <v>10034.219999999999</v>
      </c>
      <c r="Q974" s="13">
        <v>86.32</v>
      </c>
      <c r="R974" s="1" t="s">
        <v>70</v>
      </c>
      <c r="S974" s="1">
        <v>4</v>
      </c>
      <c r="T974" s="1" t="b">
        <v>1</v>
      </c>
      <c r="U974" s="1" t="s">
        <v>30</v>
      </c>
      <c r="V974" s="3">
        <v>9</v>
      </c>
    </row>
    <row r="975" spans="1:22" x14ac:dyDescent="0.3">
      <c r="A975" s="2" t="s">
        <v>2422</v>
      </c>
      <c r="B975" s="10">
        <v>45265</v>
      </c>
      <c r="C975" s="22">
        <v>45265</v>
      </c>
      <c r="D975" s="1" t="s">
        <v>2423</v>
      </c>
      <c r="E975" s="1" t="s">
        <v>635</v>
      </c>
      <c r="F975" s="1">
        <v>12</v>
      </c>
      <c r="G975" s="1" t="s">
        <v>24</v>
      </c>
      <c r="H975" s="1" t="s">
        <v>82</v>
      </c>
      <c r="I975" s="1" t="s">
        <v>83</v>
      </c>
      <c r="J975" s="1" t="s">
        <v>146</v>
      </c>
      <c r="K975" s="1" t="s">
        <v>161</v>
      </c>
      <c r="L975" s="1">
        <v>3</v>
      </c>
      <c r="M975" s="13">
        <v>2813.63</v>
      </c>
      <c r="N975" s="15">
        <v>0.22</v>
      </c>
      <c r="O975" s="13">
        <v>5526.04</v>
      </c>
      <c r="P975" s="13">
        <v>1360.97</v>
      </c>
      <c r="Q975" s="13">
        <v>71.86</v>
      </c>
      <c r="R975" s="1" t="s">
        <v>51</v>
      </c>
      <c r="S975" s="1">
        <v>2</v>
      </c>
      <c r="T975" s="1" t="b">
        <v>0</v>
      </c>
      <c r="U975" s="1" t="s">
        <v>197</v>
      </c>
      <c r="V975" s="3">
        <v>9</v>
      </c>
    </row>
    <row r="976" spans="1:22" x14ac:dyDescent="0.3">
      <c r="A976" s="2" t="s">
        <v>2424</v>
      </c>
      <c r="B976" s="10">
        <v>44262</v>
      </c>
      <c r="C976" s="22">
        <v>44262</v>
      </c>
      <c r="D976" s="1" t="s">
        <v>2425</v>
      </c>
      <c r="E976" s="1" t="s">
        <v>668</v>
      </c>
      <c r="F976" s="1">
        <v>30</v>
      </c>
      <c r="G976" s="1" t="s">
        <v>34</v>
      </c>
      <c r="H976" s="1" t="s">
        <v>25</v>
      </c>
      <c r="I976" s="1" t="s">
        <v>26</v>
      </c>
      <c r="J976" s="1" t="s">
        <v>76</v>
      </c>
      <c r="K976" s="1" t="s">
        <v>113</v>
      </c>
      <c r="L976" s="1">
        <v>10</v>
      </c>
      <c r="M976" s="13">
        <v>2879.31</v>
      </c>
      <c r="N976" s="15">
        <v>0.34</v>
      </c>
      <c r="O976" s="13">
        <v>19680.419999999998</v>
      </c>
      <c r="P976" s="13">
        <v>5641.8</v>
      </c>
      <c r="Q976" s="13">
        <v>64.13</v>
      </c>
      <c r="R976" s="1" t="s">
        <v>29</v>
      </c>
      <c r="S976" s="1">
        <v>2</v>
      </c>
      <c r="T976" s="1" t="b">
        <v>0</v>
      </c>
      <c r="U976" s="1" t="s">
        <v>39</v>
      </c>
      <c r="V976" s="3">
        <v>4</v>
      </c>
    </row>
    <row r="977" spans="1:22" x14ac:dyDescent="0.3">
      <c r="A977" s="2" t="s">
        <v>2426</v>
      </c>
      <c r="B977" s="10">
        <v>45435</v>
      </c>
      <c r="C977" s="22">
        <v>45435</v>
      </c>
      <c r="D977" s="1" t="s">
        <v>2427</v>
      </c>
      <c r="E977" s="1" t="s">
        <v>1359</v>
      </c>
      <c r="F977" s="1">
        <v>27</v>
      </c>
      <c r="G977" s="1" t="s">
        <v>24</v>
      </c>
      <c r="H977" s="1" t="s">
        <v>111</v>
      </c>
      <c r="I977" s="1" t="s">
        <v>112</v>
      </c>
      <c r="J977" s="1" t="s">
        <v>27</v>
      </c>
      <c r="K977" s="1" t="s">
        <v>56</v>
      </c>
      <c r="L977" s="1">
        <v>9</v>
      </c>
      <c r="M977" s="13">
        <v>399.43</v>
      </c>
      <c r="N977" s="15">
        <v>0.06</v>
      </c>
      <c r="O977" s="13">
        <v>5735.84</v>
      </c>
      <c r="P977" s="13">
        <v>223.77</v>
      </c>
      <c r="Q977" s="13">
        <v>65.8</v>
      </c>
      <c r="R977" s="1" t="s">
        <v>51</v>
      </c>
      <c r="S977" s="1">
        <v>1</v>
      </c>
      <c r="T977" s="1" t="b">
        <v>0</v>
      </c>
      <c r="U977" s="1" t="s">
        <v>39</v>
      </c>
      <c r="V977" s="3">
        <v>4</v>
      </c>
    </row>
    <row r="978" spans="1:22" x14ac:dyDescent="0.3">
      <c r="A978" s="2" t="s">
        <v>2428</v>
      </c>
      <c r="B978" s="10">
        <v>44644</v>
      </c>
      <c r="C978" s="22">
        <v>44644</v>
      </c>
      <c r="D978" s="1" t="s">
        <v>2429</v>
      </c>
      <c r="E978" s="1" t="s">
        <v>591</v>
      </c>
      <c r="F978" s="1">
        <v>28</v>
      </c>
      <c r="G978" s="1" t="s">
        <v>34</v>
      </c>
      <c r="H978" s="1" t="s">
        <v>111</v>
      </c>
      <c r="I978" s="1" t="s">
        <v>141</v>
      </c>
      <c r="J978" s="1" t="s">
        <v>62</v>
      </c>
      <c r="K978" s="1" t="s">
        <v>107</v>
      </c>
      <c r="L978" s="1">
        <v>9</v>
      </c>
      <c r="M978" s="13">
        <v>200.61</v>
      </c>
      <c r="N978" s="15">
        <v>0.28000000000000003</v>
      </c>
      <c r="O978" s="13">
        <v>1329.23</v>
      </c>
      <c r="P978" s="13">
        <v>806.66</v>
      </c>
      <c r="Q978" s="13">
        <v>52.8</v>
      </c>
      <c r="R978" s="1" t="s">
        <v>57</v>
      </c>
      <c r="S978" s="1">
        <v>4</v>
      </c>
      <c r="T978" s="1" t="b">
        <v>0</v>
      </c>
      <c r="U978" s="1" t="s">
        <v>197</v>
      </c>
      <c r="V978" s="3">
        <v>9</v>
      </c>
    </row>
    <row r="979" spans="1:22" x14ac:dyDescent="0.3">
      <c r="A979" s="2" t="s">
        <v>2430</v>
      </c>
      <c r="B979" s="10">
        <v>44346</v>
      </c>
      <c r="C979" s="22">
        <v>44346</v>
      </c>
      <c r="D979" s="1" t="s">
        <v>2431</v>
      </c>
      <c r="E979" s="1" t="s">
        <v>621</v>
      </c>
      <c r="F979" s="1">
        <v>22</v>
      </c>
      <c r="G979" s="1" t="s">
        <v>24</v>
      </c>
      <c r="H979" s="1" t="s">
        <v>82</v>
      </c>
      <c r="I979" s="1" t="s">
        <v>293</v>
      </c>
      <c r="J979" s="1" t="s">
        <v>62</v>
      </c>
      <c r="K979" s="1" t="s">
        <v>266</v>
      </c>
      <c r="L979" s="1">
        <v>8</v>
      </c>
      <c r="M979" s="13">
        <v>1088.97</v>
      </c>
      <c r="N979" s="15">
        <v>0.22</v>
      </c>
      <c r="O979" s="13">
        <v>9425.16</v>
      </c>
      <c r="P979" s="13">
        <v>4003.12</v>
      </c>
      <c r="Q979" s="13">
        <v>52.99</v>
      </c>
      <c r="R979" s="1" t="s">
        <v>57</v>
      </c>
      <c r="S979" s="1">
        <v>1</v>
      </c>
      <c r="T979" s="1" t="b">
        <v>0</v>
      </c>
      <c r="U979" s="1" t="s">
        <v>84</v>
      </c>
      <c r="V979" s="3">
        <v>4</v>
      </c>
    </row>
    <row r="980" spans="1:22" x14ac:dyDescent="0.3">
      <c r="A980" s="2" t="s">
        <v>2432</v>
      </c>
      <c r="B980" s="10">
        <v>45196</v>
      </c>
      <c r="C980" s="22">
        <v>45196</v>
      </c>
      <c r="D980" s="1" t="s">
        <v>2433</v>
      </c>
      <c r="E980" s="1" t="s">
        <v>943</v>
      </c>
      <c r="F980" s="1">
        <v>17</v>
      </c>
      <c r="G980" s="1" t="s">
        <v>88</v>
      </c>
      <c r="H980" s="1" t="s">
        <v>74</v>
      </c>
      <c r="I980" s="1" t="s">
        <v>101</v>
      </c>
      <c r="J980" s="1" t="s">
        <v>76</v>
      </c>
      <c r="K980" s="1" t="s">
        <v>113</v>
      </c>
      <c r="L980" s="1">
        <v>9</v>
      </c>
      <c r="M980" s="13">
        <v>1354.39</v>
      </c>
      <c r="N980" s="15">
        <v>0.12</v>
      </c>
      <c r="O980" s="13">
        <v>14092.58</v>
      </c>
      <c r="P980" s="13">
        <v>4442.99</v>
      </c>
      <c r="Q980" s="13">
        <v>43.39</v>
      </c>
      <c r="R980" s="1" t="s">
        <v>70</v>
      </c>
      <c r="S980" s="1">
        <v>5</v>
      </c>
      <c r="T980" s="1" t="b">
        <v>0</v>
      </c>
      <c r="U980" s="1" t="s">
        <v>39</v>
      </c>
      <c r="V980" s="3">
        <v>10</v>
      </c>
    </row>
    <row r="981" spans="1:22" x14ac:dyDescent="0.3">
      <c r="A981" s="2" t="s">
        <v>2434</v>
      </c>
      <c r="B981" s="10">
        <v>44694</v>
      </c>
      <c r="C981" s="22">
        <v>44694</v>
      </c>
      <c r="D981" s="1" t="s">
        <v>2435</v>
      </c>
      <c r="E981" s="1" t="s">
        <v>1345</v>
      </c>
      <c r="F981" s="1">
        <v>33</v>
      </c>
      <c r="G981" s="1" t="s">
        <v>68</v>
      </c>
      <c r="H981" s="1" t="s">
        <v>74</v>
      </c>
      <c r="I981" s="1" t="s">
        <v>192</v>
      </c>
      <c r="J981" s="1" t="s">
        <v>62</v>
      </c>
      <c r="K981" s="1" t="s">
        <v>63</v>
      </c>
      <c r="L981" s="1">
        <v>8</v>
      </c>
      <c r="M981" s="13">
        <v>941.99</v>
      </c>
      <c r="N981" s="15">
        <v>0.39</v>
      </c>
      <c r="O981" s="13">
        <v>6393.22</v>
      </c>
      <c r="P981" s="13">
        <v>2237.36</v>
      </c>
      <c r="Q981" s="13">
        <v>56.26</v>
      </c>
      <c r="R981" s="1" t="s">
        <v>51</v>
      </c>
      <c r="S981" s="1">
        <v>1</v>
      </c>
      <c r="T981" s="1" t="b">
        <v>1</v>
      </c>
      <c r="U981" s="1" t="s">
        <v>30</v>
      </c>
      <c r="V981" s="3">
        <v>9</v>
      </c>
    </row>
    <row r="982" spans="1:22" x14ac:dyDescent="0.3">
      <c r="A982" s="2" t="s">
        <v>2436</v>
      </c>
      <c r="B982" s="10">
        <v>44632</v>
      </c>
      <c r="C982" s="22">
        <v>44632</v>
      </c>
      <c r="D982" s="1" t="s">
        <v>2437</v>
      </c>
      <c r="E982" s="1" t="s">
        <v>177</v>
      </c>
      <c r="F982" s="1">
        <v>41</v>
      </c>
      <c r="G982" s="1" t="s">
        <v>24</v>
      </c>
      <c r="H982" s="1" t="s">
        <v>111</v>
      </c>
      <c r="I982" s="1" t="s">
        <v>330</v>
      </c>
      <c r="J982" s="1" t="s">
        <v>146</v>
      </c>
      <c r="K982" s="1" t="s">
        <v>147</v>
      </c>
      <c r="L982" s="1">
        <v>7</v>
      </c>
      <c r="M982" s="13">
        <v>14019.83</v>
      </c>
      <c r="N982" s="15">
        <v>0.28999999999999998</v>
      </c>
      <c r="O982" s="13">
        <v>84559.35</v>
      </c>
      <c r="P982" s="13">
        <v>18758.650000000001</v>
      </c>
      <c r="Q982" s="13">
        <v>70.819999999999993</v>
      </c>
      <c r="R982" s="1" t="s">
        <v>29</v>
      </c>
      <c r="S982" s="1">
        <v>5</v>
      </c>
      <c r="T982" s="1" t="b">
        <v>0</v>
      </c>
      <c r="U982" s="1" t="s">
        <v>39</v>
      </c>
      <c r="V982" s="3">
        <v>1</v>
      </c>
    </row>
    <row r="983" spans="1:22" x14ac:dyDescent="0.3">
      <c r="A983" s="2" t="s">
        <v>2438</v>
      </c>
      <c r="B983" s="10">
        <v>45294</v>
      </c>
      <c r="C983" s="22">
        <v>45294</v>
      </c>
      <c r="D983" s="1" t="s">
        <v>2439</v>
      </c>
      <c r="E983" s="1" t="s">
        <v>578</v>
      </c>
      <c r="F983" s="1">
        <v>37</v>
      </c>
      <c r="G983" s="1" t="s">
        <v>34</v>
      </c>
      <c r="H983" s="1" t="s">
        <v>25</v>
      </c>
      <c r="I983" s="1" t="s">
        <v>69</v>
      </c>
      <c r="J983" s="1" t="s">
        <v>146</v>
      </c>
      <c r="K983" s="1" t="s">
        <v>147</v>
      </c>
      <c r="L983" s="1">
        <v>8</v>
      </c>
      <c r="M983" s="13">
        <v>14903.83</v>
      </c>
      <c r="N983" s="15">
        <v>0.21</v>
      </c>
      <c r="O983" s="13">
        <v>89199.08</v>
      </c>
      <c r="P983" s="13">
        <v>18401.75</v>
      </c>
      <c r="Q983" s="13">
        <v>76.17</v>
      </c>
      <c r="R983" s="1" t="s">
        <v>51</v>
      </c>
      <c r="S983" s="1">
        <v>4</v>
      </c>
      <c r="T983" s="1" t="b">
        <v>0</v>
      </c>
      <c r="U983" s="1" t="s">
        <v>39</v>
      </c>
      <c r="V983" s="3">
        <v>10</v>
      </c>
    </row>
    <row r="984" spans="1:22" x14ac:dyDescent="0.3">
      <c r="A984" s="2" t="s">
        <v>2440</v>
      </c>
      <c r="B984" s="10">
        <v>44750</v>
      </c>
      <c r="C984" s="22">
        <v>44750</v>
      </c>
      <c r="D984" s="1" t="s">
        <v>2441</v>
      </c>
      <c r="E984" s="1" t="s">
        <v>726</v>
      </c>
      <c r="F984" s="1">
        <v>14</v>
      </c>
      <c r="G984" s="1" t="s">
        <v>24</v>
      </c>
      <c r="H984" s="1" t="s">
        <v>25</v>
      </c>
      <c r="I984" s="1" t="s">
        <v>69</v>
      </c>
      <c r="J984" s="1" t="s">
        <v>127</v>
      </c>
      <c r="K984" s="1" t="s">
        <v>128</v>
      </c>
      <c r="L984" s="1">
        <v>2</v>
      </c>
      <c r="M984" s="13">
        <v>73303.92</v>
      </c>
      <c r="N984" s="15">
        <v>0.03</v>
      </c>
      <c r="O984" s="13">
        <v>235156.16</v>
      </c>
      <c r="P984" s="13">
        <v>20863.189999999999</v>
      </c>
      <c r="Q984" s="13">
        <v>67.75</v>
      </c>
      <c r="R984" s="1" t="s">
        <v>64</v>
      </c>
      <c r="S984" s="1">
        <v>4</v>
      </c>
      <c r="T984" s="1" t="b">
        <v>0</v>
      </c>
      <c r="U984" s="1" t="s">
        <v>39</v>
      </c>
      <c r="V984" s="3">
        <v>9</v>
      </c>
    </row>
    <row r="985" spans="1:22" x14ac:dyDescent="0.3">
      <c r="A985" s="2" t="s">
        <v>2442</v>
      </c>
      <c r="B985" s="10">
        <v>44380</v>
      </c>
      <c r="C985" s="22">
        <v>44380</v>
      </c>
      <c r="D985" s="1" t="s">
        <v>2443</v>
      </c>
      <c r="E985" s="1" t="s">
        <v>516</v>
      </c>
      <c r="F985" s="1">
        <v>37</v>
      </c>
      <c r="G985" s="1" t="s">
        <v>24</v>
      </c>
      <c r="H985" s="1" t="s">
        <v>74</v>
      </c>
      <c r="I985" s="1" t="s">
        <v>136</v>
      </c>
      <c r="J985" s="1" t="s">
        <v>62</v>
      </c>
      <c r="K985" s="1" t="s">
        <v>107</v>
      </c>
      <c r="L985" s="1">
        <v>9</v>
      </c>
      <c r="M985" s="13">
        <v>1146.99</v>
      </c>
      <c r="N985" s="15">
        <v>0.35</v>
      </c>
      <c r="O985" s="13">
        <v>9257.42</v>
      </c>
      <c r="P985" s="13">
        <v>2753.44</v>
      </c>
      <c r="Q985" s="13">
        <v>59.09</v>
      </c>
      <c r="R985" s="1" t="s">
        <v>78</v>
      </c>
      <c r="S985" s="1">
        <v>4</v>
      </c>
      <c r="T985" s="1" t="b">
        <v>0</v>
      </c>
      <c r="U985" s="1" t="s">
        <v>1411</v>
      </c>
      <c r="V985" s="3">
        <v>9</v>
      </c>
    </row>
    <row r="986" spans="1:22" x14ac:dyDescent="0.3">
      <c r="A986" s="2" t="s">
        <v>2444</v>
      </c>
      <c r="B986" s="10">
        <v>44799</v>
      </c>
      <c r="C986" s="22">
        <v>44799</v>
      </c>
      <c r="D986" s="1" t="s">
        <v>2445</v>
      </c>
      <c r="E986" s="1" t="s">
        <v>265</v>
      </c>
      <c r="F986" s="1">
        <v>31</v>
      </c>
      <c r="G986" s="1" t="s">
        <v>24</v>
      </c>
      <c r="H986" s="1" t="s">
        <v>111</v>
      </c>
      <c r="I986" s="1" t="s">
        <v>121</v>
      </c>
      <c r="J986" s="1" t="s">
        <v>37</v>
      </c>
      <c r="K986" s="1" t="s">
        <v>671</v>
      </c>
      <c r="L986" s="1">
        <v>6</v>
      </c>
      <c r="M986" s="13">
        <v>1131.18</v>
      </c>
      <c r="N986" s="15">
        <v>0.05</v>
      </c>
      <c r="O986" s="13">
        <v>8793.4599999999991</v>
      </c>
      <c r="P986" s="13">
        <v>4445.68</v>
      </c>
      <c r="Q986" s="13">
        <v>69.489999999999995</v>
      </c>
      <c r="R986" s="1" t="s">
        <v>70</v>
      </c>
      <c r="S986" s="1">
        <v>1</v>
      </c>
      <c r="T986" s="1" t="b">
        <v>0</v>
      </c>
      <c r="U986" s="1" t="s">
        <v>39</v>
      </c>
      <c r="V986" s="3">
        <v>8</v>
      </c>
    </row>
    <row r="987" spans="1:22" x14ac:dyDescent="0.3">
      <c r="A987" s="2" t="s">
        <v>2446</v>
      </c>
      <c r="B987" s="10">
        <v>44506</v>
      </c>
      <c r="C987" s="22">
        <v>44506</v>
      </c>
      <c r="D987" s="1" t="s">
        <v>2447</v>
      </c>
      <c r="E987" s="1" t="s">
        <v>1399</v>
      </c>
      <c r="F987" s="1">
        <v>31</v>
      </c>
      <c r="G987" s="1" t="s">
        <v>434</v>
      </c>
      <c r="H987" s="1" t="s">
        <v>111</v>
      </c>
      <c r="I987" s="1" t="s">
        <v>330</v>
      </c>
      <c r="J987" s="1" t="s">
        <v>27</v>
      </c>
      <c r="K987" s="1" t="s">
        <v>28</v>
      </c>
      <c r="L987" s="1">
        <v>7</v>
      </c>
      <c r="M987" s="13">
        <v>249.21</v>
      </c>
      <c r="N987" s="15">
        <v>0.19</v>
      </c>
      <c r="O987" s="13">
        <v>1256.75</v>
      </c>
      <c r="P987" s="13">
        <v>96.16</v>
      </c>
      <c r="Q987" s="13">
        <v>61.25</v>
      </c>
      <c r="R987" s="1" t="s">
        <v>64</v>
      </c>
      <c r="S987" s="1">
        <v>3</v>
      </c>
      <c r="T987" s="1" t="b">
        <v>0</v>
      </c>
      <c r="U987" s="1" t="s">
        <v>137</v>
      </c>
      <c r="V987" s="3">
        <v>4</v>
      </c>
    </row>
    <row r="988" spans="1:22" x14ac:dyDescent="0.3">
      <c r="A988" s="2" t="s">
        <v>2448</v>
      </c>
      <c r="B988" s="10">
        <v>44177</v>
      </c>
      <c r="C988" s="22">
        <v>44177</v>
      </c>
      <c r="D988" s="1" t="s">
        <v>2449</v>
      </c>
      <c r="E988" s="1" t="s">
        <v>755</v>
      </c>
      <c r="F988" s="1">
        <v>51</v>
      </c>
      <c r="G988" s="1" t="s">
        <v>24</v>
      </c>
      <c r="H988" s="1" t="s">
        <v>25</v>
      </c>
      <c r="I988" s="1" t="s">
        <v>69</v>
      </c>
      <c r="J988" s="1" t="s">
        <v>62</v>
      </c>
      <c r="K988" s="1" t="s">
        <v>570</v>
      </c>
      <c r="L988" s="1">
        <v>6</v>
      </c>
      <c r="M988" s="13">
        <v>377.58</v>
      </c>
      <c r="N988" s="15">
        <v>0.33</v>
      </c>
      <c r="O988" s="13">
        <v>1075.92</v>
      </c>
      <c r="P988" s="13">
        <v>275.17</v>
      </c>
      <c r="Q988" s="13">
        <v>55.17</v>
      </c>
      <c r="R988" s="1" t="s">
        <v>64</v>
      </c>
      <c r="S988" s="1">
        <v>3</v>
      </c>
      <c r="T988" s="1" t="b">
        <v>0</v>
      </c>
      <c r="U988" s="1" t="s">
        <v>39</v>
      </c>
      <c r="V988" s="3">
        <v>6</v>
      </c>
    </row>
    <row r="989" spans="1:22" x14ac:dyDescent="0.3">
      <c r="A989" s="2" t="s">
        <v>2450</v>
      </c>
      <c r="B989" s="10">
        <v>45295</v>
      </c>
      <c r="C989" s="22">
        <v>45295</v>
      </c>
      <c r="D989" s="1" t="s">
        <v>2451</v>
      </c>
      <c r="E989" s="1" t="s">
        <v>329</v>
      </c>
      <c r="F989" s="1">
        <v>42</v>
      </c>
      <c r="G989" s="1" t="s">
        <v>68</v>
      </c>
      <c r="H989" s="1" t="s">
        <v>111</v>
      </c>
      <c r="I989" s="1" t="s">
        <v>121</v>
      </c>
      <c r="J989" s="1" t="s">
        <v>37</v>
      </c>
      <c r="K989" s="1" t="s">
        <v>38</v>
      </c>
      <c r="L989" s="1">
        <v>4</v>
      </c>
      <c r="M989" s="13">
        <v>1718.39</v>
      </c>
      <c r="N989" s="15">
        <v>0.21</v>
      </c>
      <c r="O989" s="13">
        <v>6404.35</v>
      </c>
      <c r="P989" s="13">
        <v>2836.65</v>
      </c>
      <c r="Q989" s="13">
        <v>81.09</v>
      </c>
      <c r="R989" s="1" t="s">
        <v>51</v>
      </c>
      <c r="S989" s="1">
        <v>1</v>
      </c>
      <c r="T989" s="1" t="b">
        <v>0</v>
      </c>
      <c r="U989" s="1" t="s">
        <v>137</v>
      </c>
      <c r="V989" s="3">
        <v>9</v>
      </c>
    </row>
    <row r="990" spans="1:22" x14ac:dyDescent="0.3">
      <c r="A990" s="2" t="s">
        <v>2452</v>
      </c>
      <c r="B990" s="10">
        <v>45656</v>
      </c>
      <c r="C990" s="22">
        <v>45656</v>
      </c>
      <c r="D990" s="1" t="s">
        <v>2453</v>
      </c>
      <c r="E990" s="1" t="s">
        <v>767</v>
      </c>
      <c r="F990" s="1">
        <v>15</v>
      </c>
      <c r="G990" s="1" t="s">
        <v>34</v>
      </c>
      <c r="H990" s="1" t="s">
        <v>74</v>
      </c>
      <c r="I990" s="1" t="s">
        <v>192</v>
      </c>
      <c r="J990" s="1" t="s">
        <v>37</v>
      </c>
      <c r="K990" s="1" t="s">
        <v>231</v>
      </c>
      <c r="L990" s="1">
        <v>9</v>
      </c>
      <c r="M990" s="13">
        <v>1820.1</v>
      </c>
      <c r="N990" s="15">
        <v>0.28000000000000003</v>
      </c>
      <c r="O990" s="13">
        <v>9661.83</v>
      </c>
      <c r="P990" s="13">
        <v>5675.66</v>
      </c>
      <c r="Q990" s="13">
        <v>46.9</v>
      </c>
      <c r="R990" s="1" t="s">
        <v>51</v>
      </c>
      <c r="S990" s="1">
        <v>2</v>
      </c>
      <c r="T990" s="1" t="b">
        <v>1</v>
      </c>
      <c r="U990" s="1" t="s">
        <v>30</v>
      </c>
      <c r="V990" s="3">
        <v>3</v>
      </c>
    </row>
    <row r="991" spans="1:22" x14ac:dyDescent="0.3">
      <c r="A991" s="2" t="s">
        <v>2454</v>
      </c>
      <c r="B991" s="10">
        <v>43890</v>
      </c>
      <c r="C991" s="22">
        <v>43890</v>
      </c>
      <c r="D991" s="1" t="s">
        <v>2455</v>
      </c>
      <c r="E991" s="1" t="s">
        <v>2328</v>
      </c>
      <c r="F991" s="1">
        <v>34</v>
      </c>
      <c r="G991" s="1" t="s">
        <v>24</v>
      </c>
      <c r="H991" s="1" t="s">
        <v>82</v>
      </c>
      <c r="I991" s="1" t="s">
        <v>293</v>
      </c>
      <c r="J991" s="1" t="s">
        <v>146</v>
      </c>
      <c r="K991" s="1" t="s">
        <v>147</v>
      </c>
      <c r="L991" s="1">
        <v>2</v>
      </c>
      <c r="M991" s="13">
        <v>9772.39</v>
      </c>
      <c r="N991" s="15">
        <v>0.14000000000000001</v>
      </c>
      <c r="O991" s="13">
        <v>17471.63</v>
      </c>
      <c r="P991" s="13">
        <v>4749.58</v>
      </c>
      <c r="Q991" s="13">
        <v>90.49</v>
      </c>
      <c r="R991" s="1" t="s">
        <v>57</v>
      </c>
      <c r="S991" s="1">
        <v>3</v>
      </c>
      <c r="T991" s="1" t="b">
        <v>0</v>
      </c>
      <c r="U991" s="1" t="s">
        <v>39</v>
      </c>
      <c r="V991" s="3">
        <v>8</v>
      </c>
    </row>
    <row r="992" spans="1:22" x14ac:dyDescent="0.3">
      <c r="A992" s="2" t="s">
        <v>2456</v>
      </c>
      <c r="B992" s="10">
        <v>44469</v>
      </c>
      <c r="C992" s="22">
        <v>44469</v>
      </c>
      <c r="D992" s="1" t="s">
        <v>2457</v>
      </c>
      <c r="E992" s="1" t="s">
        <v>443</v>
      </c>
      <c r="F992" s="1">
        <v>31</v>
      </c>
      <c r="G992" s="1" t="s">
        <v>24</v>
      </c>
      <c r="H992" s="1" t="s">
        <v>35</v>
      </c>
      <c r="I992" s="1" t="s">
        <v>36</v>
      </c>
      <c r="J992" s="1" t="s">
        <v>27</v>
      </c>
      <c r="K992" s="1" t="s">
        <v>430</v>
      </c>
      <c r="L992" s="1">
        <v>3</v>
      </c>
      <c r="M992" s="13">
        <v>297.63</v>
      </c>
      <c r="N992" s="15">
        <v>0.02</v>
      </c>
      <c r="O992" s="13">
        <v>1094.67</v>
      </c>
      <c r="P992" s="13">
        <v>141.65</v>
      </c>
      <c r="Q992" s="13">
        <v>49.55</v>
      </c>
      <c r="R992" s="1" t="s">
        <v>70</v>
      </c>
      <c r="S992" s="1">
        <v>1</v>
      </c>
      <c r="T992" s="1" t="b">
        <v>1</v>
      </c>
      <c r="U992" s="1" t="s">
        <v>30</v>
      </c>
      <c r="V992" s="3">
        <v>8</v>
      </c>
    </row>
    <row r="993" spans="1:22" x14ac:dyDescent="0.3">
      <c r="A993" s="2" t="s">
        <v>2458</v>
      </c>
      <c r="B993" s="10">
        <v>45127</v>
      </c>
      <c r="C993" s="22">
        <v>45127</v>
      </c>
      <c r="D993" s="1" t="s">
        <v>2459</v>
      </c>
      <c r="E993" s="1" t="s">
        <v>457</v>
      </c>
      <c r="F993" s="1">
        <v>42</v>
      </c>
      <c r="G993" s="1" t="s">
        <v>34</v>
      </c>
      <c r="H993" s="1" t="s">
        <v>111</v>
      </c>
      <c r="I993" s="1" t="s">
        <v>112</v>
      </c>
      <c r="J993" s="1" t="s">
        <v>76</v>
      </c>
      <c r="K993" s="1" t="s">
        <v>207</v>
      </c>
      <c r="L993" s="1">
        <v>5</v>
      </c>
      <c r="M993" s="13">
        <v>2755.15</v>
      </c>
      <c r="N993" s="15">
        <v>0.35</v>
      </c>
      <c r="O993" s="13">
        <v>12440.45</v>
      </c>
      <c r="P993" s="13">
        <v>4470.63</v>
      </c>
      <c r="Q993" s="13">
        <v>73.319999999999993</v>
      </c>
      <c r="R993" s="1" t="s">
        <v>78</v>
      </c>
      <c r="S993" s="1">
        <v>5</v>
      </c>
      <c r="T993" s="1" t="b">
        <v>0</v>
      </c>
      <c r="U993" s="1" t="s">
        <v>39</v>
      </c>
      <c r="V993" s="3">
        <v>7</v>
      </c>
    </row>
    <row r="994" spans="1:22" x14ac:dyDescent="0.3">
      <c r="A994" s="2" t="s">
        <v>2460</v>
      </c>
      <c r="B994" s="10">
        <v>45459</v>
      </c>
      <c r="C994" s="22">
        <v>45459</v>
      </c>
      <c r="D994" s="1" t="s">
        <v>2461</v>
      </c>
      <c r="E994" s="1" t="s">
        <v>2462</v>
      </c>
      <c r="F994" s="1">
        <v>54</v>
      </c>
      <c r="G994" s="1" t="s">
        <v>34</v>
      </c>
      <c r="H994" s="1" t="s">
        <v>35</v>
      </c>
      <c r="I994" s="1" t="s">
        <v>49</v>
      </c>
      <c r="J994" s="1" t="s">
        <v>44</v>
      </c>
      <c r="K994" s="1" t="s">
        <v>186</v>
      </c>
      <c r="L994" s="1">
        <v>9</v>
      </c>
      <c r="M994" s="13">
        <v>21059.88</v>
      </c>
      <c r="N994" s="15">
        <v>0.1</v>
      </c>
      <c r="O994" s="13">
        <v>255508.83</v>
      </c>
      <c r="P994" s="13">
        <v>78032.23</v>
      </c>
      <c r="Q994" s="13">
        <v>62.82</v>
      </c>
      <c r="R994" s="1" t="s">
        <v>78</v>
      </c>
      <c r="S994" s="1">
        <v>3</v>
      </c>
      <c r="T994" s="1" t="b">
        <v>0</v>
      </c>
      <c r="U994" s="1" t="s">
        <v>84</v>
      </c>
      <c r="V994" s="3">
        <v>3</v>
      </c>
    </row>
    <row r="995" spans="1:22" x14ac:dyDescent="0.3">
      <c r="A995" s="2" t="s">
        <v>2463</v>
      </c>
      <c r="B995" s="10">
        <v>45320</v>
      </c>
      <c r="C995" s="22">
        <v>45320</v>
      </c>
      <c r="D995" s="1" t="s">
        <v>2464</v>
      </c>
      <c r="E995" s="1" t="s">
        <v>23</v>
      </c>
      <c r="F995" s="1">
        <v>11</v>
      </c>
      <c r="G995" s="1" t="s">
        <v>34</v>
      </c>
      <c r="H995" s="1" t="s">
        <v>25</v>
      </c>
      <c r="I995" s="1" t="s">
        <v>170</v>
      </c>
      <c r="J995" s="1" t="s">
        <v>37</v>
      </c>
      <c r="K995" s="1" t="s">
        <v>231</v>
      </c>
      <c r="L995" s="1">
        <v>10</v>
      </c>
      <c r="M995" s="13">
        <v>2362.67</v>
      </c>
      <c r="N995" s="15">
        <v>0.37</v>
      </c>
      <c r="O995" s="13">
        <v>14507.61</v>
      </c>
      <c r="P995" s="13">
        <v>7104.13</v>
      </c>
      <c r="Q995" s="13">
        <v>24.77</v>
      </c>
      <c r="R995" s="1" t="s">
        <v>57</v>
      </c>
      <c r="S995" s="1">
        <v>5</v>
      </c>
      <c r="T995" s="1" t="b">
        <v>1</v>
      </c>
      <c r="U995" s="1" t="s">
        <v>30</v>
      </c>
      <c r="V995" s="3">
        <v>2</v>
      </c>
    </row>
    <row r="996" spans="1:22" x14ac:dyDescent="0.3">
      <c r="A996" s="2" t="s">
        <v>2465</v>
      </c>
      <c r="B996" s="10">
        <v>44345</v>
      </c>
      <c r="C996" s="22">
        <v>44345</v>
      </c>
      <c r="D996" s="1" t="s">
        <v>2466</v>
      </c>
      <c r="E996" s="1" t="s">
        <v>900</v>
      </c>
      <c r="F996" s="1">
        <v>55</v>
      </c>
      <c r="G996" s="1" t="s">
        <v>24</v>
      </c>
      <c r="H996" s="1" t="s">
        <v>25</v>
      </c>
      <c r="I996" s="1" t="s">
        <v>69</v>
      </c>
      <c r="J996" s="1" t="s">
        <v>127</v>
      </c>
      <c r="K996" s="1" t="s">
        <v>196</v>
      </c>
      <c r="L996" s="1">
        <v>10</v>
      </c>
      <c r="M996" s="13">
        <v>36516.81</v>
      </c>
      <c r="N996" s="15">
        <v>0.12</v>
      </c>
      <c r="O996" s="13">
        <v>494382.28</v>
      </c>
      <c r="P996" s="13">
        <v>58795.08</v>
      </c>
      <c r="Q996" s="13">
        <v>53.99</v>
      </c>
      <c r="R996" s="1" t="s">
        <v>57</v>
      </c>
      <c r="S996" s="1">
        <v>4</v>
      </c>
      <c r="T996" s="1" t="b">
        <v>0</v>
      </c>
      <c r="U996" s="1" t="s">
        <v>39</v>
      </c>
      <c r="V996" s="3">
        <v>4</v>
      </c>
    </row>
    <row r="997" spans="1:22" x14ac:dyDescent="0.3">
      <c r="A997" s="2" t="s">
        <v>2467</v>
      </c>
      <c r="B997" s="10">
        <v>45424</v>
      </c>
      <c r="C997" s="22">
        <v>45424</v>
      </c>
      <c r="D997" s="1" t="s">
        <v>2468</v>
      </c>
      <c r="E997" s="1" t="s">
        <v>253</v>
      </c>
      <c r="F997" s="1">
        <v>999</v>
      </c>
      <c r="G997" s="1" t="s">
        <v>34</v>
      </c>
      <c r="H997" s="1" t="s">
        <v>82</v>
      </c>
      <c r="I997" s="1" t="s">
        <v>293</v>
      </c>
      <c r="J997" s="1" t="s">
        <v>146</v>
      </c>
      <c r="K997" s="1" t="s">
        <v>217</v>
      </c>
      <c r="L997" s="1">
        <v>7</v>
      </c>
      <c r="M997" s="13">
        <v>13857.65</v>
      </c>
      <c r="N997" s="15">
        <v>0.09</v>
      </c>
      <c r="O997" s="13">
        <v>81878.899999999994</v>
      </c>
      <c r="P997" s="13">
        <v>20918.310000000001</v>
      </c>
      <c r="Q997" s="13">
        <v>72.38</v>
      </c>
      <c r="R997" s="1" t="s">
        <v>29</v>
      </c>
      <c r="S997" s="1">
        <v>5</v>
      </c>
      <c r="T997" s="1" t="b">
        <v>0</v>
      </c>
      <c r="U997" s="1" t="s">
        <v>58</v>
      </c>
      <c r="V997" s="3">
        <v>8</v>
      </c>
    </row>
    <row r="998" spans="1:22" x14ac:dyDescent="0.3">
      <c r="A998" s="2" t="s">
        <v>2469</v>
      </c>
      <c r="B998" s="10">
        <v>45157</v>
      </c>
      <c r="C998" s="22">
        <v>45157</v>
      </c>
      <c r="D998" s="1" t="s">
        <v>2470</v>
      </c>
      <c r="E998" s="1" t="s">
        <v>426</v>
      </c>
      <c r="F998" s="1">
        <v>36</v>
      </c>
      <c r="G998" s="1" t="s">
        <v>34</v>
      </c>
      <c r="H998" s="1" t="s">
        <v>82</v>
      </c>
      <c r="I998" s="1" t="s">
        <v>293</v>
      </c>
      <c r="J998" s="1" t="s">
        <v>27</v>
      </c>
      <c r="K998" s="1" t="s">
        <v>56</v>
      </c>
      <c r="L998" s="1">
        <v>9</v>
      </c>
      <c r="M998" s="13">
        <v>461.84</v>
      </c>
      <c r="N998" s="15">
        <v>0.06</v>
      </c>
      <c r="O998" s="13">
        <v>5002.24</v>
      </c>
      <c r="P998" s="13">
        <v>440.52</v>
      </c>
      <c r="Q998" s="13">
        <v>74.88</v>
      </c>
      <c r="R998" s="1" t="s">
        <v>64</v>
      </c>
      <c r="S998" s="1">
        <v>2</v>
      </c>
      <c r="T998" s="1" t="b">
        <v>0</v>
      </c>
      <c r="U998" s="1" t="s">
        <v>39</v>
      </c>
      <c r="V998" s="3">
        <v>5</v>
      </c>
    </row>
    <row r="999" spans="1:22" x14ac:dyDescent="0.3">
      <c r="A999" s="2" t="s">
        <v>2471</v>
      </c>
      <c r="B999" s="10">
        <v>44391</v>
      </c>
      <c r="C999" s="22">
        <v>44391</v>
      </c>
      <c r="D999" s="1" t="s">
        <v>2472</v>
      </c>
      <c r="E999" s="1" t="s">
        <v>953</v>
      </c>
      <c r="F999" s="1">
        <v>16</v>
      </c>
      <c r="G999" s="1" t="s">
        <v>68</v>
      </c>
      <c r="H999" s="1" t="s">
        <v>82</v>
      </c>
      <c r="I999" s="1" t="s">
        <v>83</v>
      </c>
      <c r="J999" s="1" t="s">
        <v>62</v>
      </c>
      <c r="K999" s="1" t="s">
        <v>63</v>
      </c>
      <c r="L999" s="1">
        <v>999</v>
      </c>
      <c r="M999" s="13">
        <v>545.25</v>
      </c>
      <c r="N999" s="15">
        <v>0.02</v>
      </c>
      <c r="O999" s="13">
        <v>729651.06</v>
      </c>
      <c r="P999" s="13">
        <v>258878.2</v>
      </c>
      <c r="Q999" s="13">
        <v>54.26</v>
      </c>
      <c r="R999" s="1" t="s">
        <v>29</v>
      </c>
      <c r="S999" s="1">
        <v>4</v>
      </c>
      <c r="T999" s="1" t="b">
        <v>0</v>
      </c>
      <c r="U999" s="1" t="s">
        <v>39</v>
      </c>
      <c r="V999" s="3">
        <v>2</v>
      </c>
    </row>
    <row r="1000" spans="1:22" x14ac:dyDescent="0.3">
      <c r="A1000" s="2" t="s">
        <v>2473</v>
      </c>
      <c r="B1000" s="10">
        <v>44985</v>
      </c>
      <c r="C1000" s="22">
        <v>44985</v>
      </c>
      <c r="D1000" s="1" t="s">
        <v>2474</v>
      </c>
      <c r="E1000" s="1" t="s">
        <v>1047</v>
      </c>
      <c r="F1000" s="1">
        <v>19</v>
      </c>
      <c r="G1000" s="1" t="s">
        <v>34</v>
      </c>
      <c r="H1000" s="1" t="s">
        <v>35</v>
      </c>
      <c r="I1000" s="1" t="s">
        <v>36</v>
      </c>
      <c r="J1000" s="1" t="s">
        <v>62</v>
      </c>
      <c r="K1000" s="1" t="s">
        <v>283</v>
      </c>
      <c r="L1000" s="1">
        <v>9</v>
      </c>
      <c r="M1000" s="13">
        <v>1227.77</v>
      </c>
      <c r="N1000" s="15">
        <v>0.09</v>
      </c>
      <c r="O1000" s="13">
        <v>10383.44</v>
      </c>
      <c r="P1000" s="13">
        <v>4289.2700000000004</v>
      </c>
      <c r="Q1000" s="13">
        <v>74.78</v>
      </c>
      <c r="R1000" s="1" t="s">
        <v>64</v>
      </c>
      <c r="S1000" s="1">
        <v>2</v>
      </c>
      <c r="T1000" s="1" t="b">
        <v>1</v>
      </c>
      <c r="U1000" s="1" t="s">
        <v>30</v>
      </c>
      <c r="V1000" s="3">
        <v>1</v>
      </c>
    </row>
    <row r="1001" spans="1:22" x14ac:dyDescent="0.3">
      <c r="A1001" s="2" t="s">
        <v>2475</v>
      </c>
      <c r="B1001" s="10">
        <v>44284</v>
      </c>
      <c r="C1001" s="22">
        <v>44284</v>
      </c>
      <c r="D1001" s="1" t="s">
        <v>2476</v>
      </c>
      <c r="E1001" s="1" t="s">
        <v>301</v>
      </c>
      <c r="F1001" s="1">
        <v>47</v>
      </c>
      <c r="G1001" s="1" t="s">
        <v>24</v>
      </c>
      <c r="H1001" s="1" t="s">
        <v>74</v>
      </c>
      <c r="I1001" s="1" t="s">
        <v>192</v>
      </c>
      <c r="J1001" s="1" t="s">
        <v>76</v>
      </c>
      <c r="K1001" s="1" t="s">
        <v>113</v>
      </c>
      <c r="L1001" s="1">
        <v>10</v>
      </c>
      <c r="M1001" s="13">
        <v>3992.44</v>
      </c>
      <c r="N1001" s="15">
        <v>0.15</v>
      </c>
      <c r="O1001" s="13">
        <v>37327.01</v>
      </c>
      <c r="P1001" s="13">
        <v>12430.23</v>
      </c>
      <c r="Q1001" s="13">
        <v>40.58</v>
      </c>
      <c r="R1001" s="1" t="s">
        <v>29</v>
      </c>
      <c r="S1001" s="1">
        <v>5</v>
      </c>
      <c r="T1001" s="1" t="b">
        <v>0</v>
      </c>
      <c r="U1001" s="1" t="s">
        <v>39</v>
      </c>
      <c r="V1001" s="3">
        <v>2</v>
      </c>
    </row>
    <row r="1002" spans="1:22" x14ac:dyDescent="0.3">
      <c r="A1002" s="2" t="s">
        <v>2477</v>
      </c>
      <c r="B1002" s="10">
        <v>45539</v>
      </c>
      <c r="C1002" s="22">
        <v>45539</v>
      </c>
      <c r="D1002" s="1" t="s">
        <v>2478</v>
      </c>
      <c r="E1002" s="1" t="s">
        <v>499</v>
      </c>
      <c r="F1002" s="1">
        <v>21</v>
      </c>
      <c r="G1002" s="1" t="s">
        <v>24</v>
      </c>
      <c r="H1002" s="1" t="s">
        <v>74</v>
      </c>
      <c r="I1002" s="1" t="s">
        <v>75</v>
      </c>
      <c r="J1002" s="1" t="s">
        <v>27</v>
      </c>
      <c r="K1002" s="1" t="s">
        <v>400</v>
      </c>
      <c r="L1002" s="1">
        <v>9</v>
      </c>
      <c r="M1002" s="13">
        <v>201.86</v>
      </c>
      <c r="N1002" s="15">
        <v>0.01</v>
      </c>
      <c r="O1002" s="13">
        <v>2456.41</v>
      </c>
      <c r="P1002" s="13">
        <v>221.64</v>
      </c>
      <c r="Q1002" s="13">
        <v>57.28</v>
      </c>
      <c r="R1002" s="1" t="s">
        <v>51</v>
      </c>
      <c r="S1002" s="1">
        <v>3</v>
      </c>
      <c r="T1002" s="1" t="b">
        <v>0</v>
      </c>
      <c r="U1002" s="1" t="s">
        <v>39</v>
      </c>
      <c r="V1002" s="3">
        <v>4</v>
      </c>
    </row>
    <row r="1003" spans="1:22" x14ac:dyDescent="0.3">
      <c r="A1003" s="2" t="s">
        <v>2479</v>
      </c>
      <c r="B1003" s="10">
        <v>44967</v>
      </c>
      <c r="C1003" s="22">
        <v>44967</v>
      </c>
      <c r="D1003" s="1" t="s">
        <v>2480</v>
      </c>
      <c r="E1003" s="1" t="s">
        <v>2481</v>
      </c>
      <c r="F1003" s="1">
        <v>44</v>
      </c>
      <c r="G1003" s="1" t="s">
        <v>34</v>
      </c>
      <c r="H1003" s="1" t="s">
        <v>74</v>
      </c>
      <c r="I1003" s="1" t="s">
        <v>192</v>
      </c>
      <c r="J1003" s="1" t="s">
        <v>27</v>
      </c>
      <c r="K1003" s="1" t="s">
        <v>97</v>
      </c>
      <c r="L1003" s="1">
        <v>8</v>
      </c>
      <c r="M1003" s="13">
        <v>364.69</v>
      </c>
      <c r="N1003" s="15">
        <v>0.13</v>
      </c>
      <c r="O1003" s="13">
        <v>2876.59</v>
      </c>
      <c r="P1003" s="13">
        <v>173.21</v>
      </c>
      <c r="Q1003" s="13">
        <v>36.26</v>
      </c>
      <c r="R1003" s="1" t="s">
        <v>64</v>
      </c>
      <c r="S1003" s="1">
        <v>5</v>
      </c>
      <c r="T1003" s="1" t="b">
        <v>0</v>
      </c>
      <c r="U1003" s="1" t="s">
        <v>39</v>
      </c>
      <c r="V1003" s="3">
        <v>5</v>
      </c>
    </row>
    <row r="1004" spans="1:22" x14ac:dyDescent="0.3">
      <c r="A1004" s="2" t="s">
        <v>2482</v>
      </c>
      <c r="B1004" s="10">
        <v>44218</v>
      </c>
      <c r="C1004" s="22">
        <v>44218</v>
      </c>
      <c r="D1004" s="1" t="s">
        <v>2483</v>
      </c>
      <c r="E1004" s="1" t="s">
        <v>2250</v>
      </c>
      <c r="F1004" s="1">
        <v>36</v>
      </c>
      <c r="G1004" s="1" t="s">
        <v>68</v>
      </c>
      <c r="H1004" s="1" t="s">
        <v>25</v>
      </c>
      <c r="I1004" s="1" t="s">
        <v>26</v>
      </c>
      <c r="J1004" s="1" t="s">
        <v>127</v>
      </c>
      <c r="K1004" s="1" t="s">
        <v>128</v>
      </c>
      <c r="L1004" s="1">
        <v>6</v>
      </c>
      <c r="M1004" s="13">
        <v>10944.15</v>
      </c>
      <c r="N1004" s="15">
        <v>0.21</v>
      </c>
      <c r="O1004" s="13">
        <v>42423.95</v>
      </c>
      <c r="P1004" s="13">
        <v>5320.38</v>
      </c>
      <c r="Q1004" s="13">
        <v>63.46</v>
      </c>
      <c r="R1004" s="1" t="s">
        <v>78</v>
      </c>
      <c r="S1004" s="1">
        <v>1</v>
      </c>
      <c r="T1004" s="1" t="b">
        <v>0</v>
      </c>
      <c r="U1004" s="1" t="s">
        <v>58</v>
      </c>
      <c r="V1004" s="3">
        <v>8</v>
      </c>
    </row>
    <row r="1005" spans="1:22" x14ac:dyDescent="0.3">
      <c r="A1005" s="2" t="s">
        <v>2484</v>
      </c>
      <c r="B1005" s="10">
        <v>44983</v>
      </c>
      <c r="C1005" s="22">
        <v>44983</v>
      </c>
      <c r="D1005" s="1" t="s">
        <v>2485</v>
      </c>
      <c r="E1005" s="1" t="s">
        <v>243</v>
      </c>
      <c r="F1005" s="1">
        <v>16</v>
      </c>
      <c r="G1005" s="1" t="s">
        <v>68</v>
      </c>
      <c r="H1005" s="1" t="s">
        <v>25</v>
      </c>
      <c r="I1005" s="1" t="s">
        <v>26</v>
      </c>
      <c r="J1005" s="1" t="s">
        <v>44</v>
      </c>
      <c r="K1005" s="1" t="s">
        <v>221</v>
      </c>
      <c r="L1005" s="1">
        <v>8</v>
      </c>
      <c r="M1005" s="13">
        <v>30273.47</v>
      </c>
      <c r="N1005" s="15">
        <v>0.35</v>
      </c>
      <c r="O1005" s="13">
        <v>154408.51</v>
      </c>
      <c r="P1005" s="13">
        <v>36948.629999999997</v>
      </c>
      <c r="Q1005" s="13">
        <v>62.8</v>
      </c>
      <c r="R1005" s="1" t="s">
        <v>29</v>
      </c>
      <c r="S1005" s="1">
        <v>2</v>
      </c>
      <c r="T1005" s="1" t="b">
        <v>0</v>
      </c>
      <c r="U1005" s="1" t="s">
        <v>39</v>
      </c>
      <c r="V1005" s="3">
        <v>9</v>
      </c>
    </row>
    <row r="1006" spans="1:22" x14ac:dyDescent="0.3">
      <c r="A1006" s="2" t="s">
        <v>2486</v>
      </c>
      <c r="B1006" s="10">
        <v>45198</v>
      </c>
      <c r="C1006" s="22">
        <v>45198</v>
      </c>
      <c r="D1006" s="1" t="s">
        <v>2487</v>
      </c>
      <c r="E1006" s="1" t="s">
        <v>1612</v>
      </c>
      <c r="F1006" s="1">
        <v>24</v>
      </c>
      <c r="G1006" s="1" t="s">
        <v>68</v>
      </c>
      <c r="H1006" s="1" t="s">
        <v>74</v>
      </c>
      <c r="I1006" s="1" t="s">
        <v>101</v>
      </c>
      <c r="J1006" s="1" t="s">
        <v>127</v>
      </c>
      <c r="K1006" s="1" t="s">
        <v>142</v>
      </c>
      <c r="L1006" s="1">
        <v>9</v>
      </c>
      <c r="M1006" s="13">
        <v>56863.21</v>
      </c>
      <c r="N1006" s="15">
        <v>0.23</v>
      </c>
      <c r="O1006" s="13">
        <v>470774.92</v>
      </c>
      <c r="P1006" s="13">
        <v>62906</v>
      </c>
      <c r="Q1006" s="13">
        <v>36.46</v>
      </c>
      <c r="R1006" s="1" t="s">
        <v>64</v>
      </c>
      <c r="S1006" s="1">
        <v>3</v>
      </c>
      <c r="T1006" s="1" t="b">
        <v>0</v>
      </c>
      <c r="U1006" s="1" t="s">
        <v>39</v>
      </c>
      <c r="V1006" s="3">
        <v>3</v>
      </c>
    </row>
    <row r="1007" spans="1:22" x14ac:dyDescent="0.3">
      <c r="A1007" s="2" t="s">
        <v>2488</v>
      </c>
      <c r="B1007" s="10">
        <v>44060</v>
      </c>
      <c r="C1007" s="22">
        <v>44060</v>
      </c>
      <c r="D1007" s="1" t="s">
        <v>2489</v>
      </c>
      <c r="E1007" s="1" t="s">
        <v>558</v>
      </c>
      <c r="F1007" s="1">
        <v>27</v>
      </c>
      <c r="G1007" s="1" t="s">
        <v>24</v>
      </c>
      <c r="H1007" s="1" t="s">
        <v>111</v>
      </c>
      <c r="I1007" s="1" t="s">
        <v>121</v>
      </c>
      <c r="J1007" s="1" t="s">
        <v>146</v>
      </c>
      <c r="K1007" s="1" t="s">
        <v>161</v>
      </c>
      <c r="L1007" s="1">
        <v>9</v>
      </c>
      <c r="M1007" s="13">
        <v>12449.98</v>
      </c>
      <c r="N1007" s="15">
        <v>0.25</v>
      </c>
      <c r="O1007" s="13">
        <v>96151.039999999994</v>
      </c>
      <c r="P1007" s="13">
        <v>22779.35</v>
      </c>
      <c r="Q1007" s="13">
        <v>37.1</v>
      </c>
      <c r="R1007" s="1" t="s">
        <v>29</v>
      </c>
      <c r="S1007" s="1">
        <v>3</v>
      </c>
      <c r="T1007" s="1" t="b">
        <v>0</v>
      </c>
      <c r="U1007" s="1" t="s">
        <v>84</v>
      </c>
      <c r="V1007" s="3">
        <v>1</v>
      </c>
    </row>
    <row r="1008" spans="1:22" x14ac:dyDescent="0.3">
      <c r="A1008" s="2" t="s">
        <v>2490</v>
      </c>
      <c r="B1008" s="10">
        <v>44990</v>
      </c>
      <c r="C1008" s="22">
        <v>44990</v>
      </c>
      <c r="D1008" s="1" t="s">
        <v>2491</v>
      </c>
      <c r="E1008" s="1" t="s">
        <v>1454</v>
      </c>
      <c r="F1008" s="1">
        <v>48</v>
      </c>
      <c r="G1008" s="1" t="s">
        <v>24</v>
      </c>
      <c r="H1008" s="1" t="s">
        <v>25</v>
      </c>
      <c r="I1008" s="1" t="s">
        <v>26</v>
      </c>
      <c r="J1008" s="1" t="s">
        <v>62</v>
      </c>
      <c r="K1008" s="1" t="s">
        <v>151</v>
      </c>
      <c r="L1008" s="1">
        <v>1</v>
      </c>
      <c r="M1008" s="13">
        <v>769.04</v>
      </c>
      <c r="N1008" s="15">
        <v>0.13</v>
      </c>
      <c r="O1008" s="13">
        <v>1113.83</v>
      </c>
      <c r="P1008" s="13">
        <v>505.12</v>
      </c>
      <c r="Q1008" s="13">
        <v>46.7</v>
      </c>
      <c r="R1008" s="1" t="s">
        <v>51</v>
      </c>
      <c r="S1008" s="1">
        <v>1</v>
      </c>
      <c r="T1008" s="1" t="b">
        <v>0</v>
      </c>
      <c r="U1008" s="1" t="s">
        <v>39</v>
      </c>
      <c r="V1008" s="3">
        <v>10</v>
      </c>
    </row>
    <row r="1009" spans="1:22" x14ac:dyDescent="0.3">
      <c r="A1009" s="2" t="s">
        <v>2492</v>
      </c>
      <c r="B1009" s="10">
        <v>44052</v>
      </c>
      <c r="C1009" s="22">
        <v>44052</v>
      </c>
      <c r="D1009" s="1" t="s">
        <v>2493</v>
      </c>
      <c r="E1009" s="1" t="s">
        <v>2494</v>
      </c>
      <c r="F1009" s="1">
        <v>35</v>
      </c>
      <c r="G1009" s="1" t="s">
        <v>434</v>
      </c>
      <c r="H1009" s="1" t="s">
        <v>35</v>
      </c>
      <c r="I1009" s="1" t="s">
        <v>36</v>
      </c>
      <c r="J1009" s="1" t="s">
        <v>76</v>
      </c>
      <c r="K1009" s="1" t="s">
        <v>132</v>
      </c>
      <c r="L1009" s="1">
        <v>2</v>
      </c>
      <c r="M1009" s="13">
        <v>3190.9</v>
      </c>
      <c r="N1009" s="15">
        <v>0.08</v>
      </c>
      <c r="O1009" s="13">
        <v>6874.97</v>
      </c>
      <c r="P1009" s="13">
        <v>2112.6999999999998</v>
      </c>
      <c r="Q1009" s="13">
        <v>74.319999999999993</v>
      </c>
      <c r="R1009" s="1" t="s">
        <v>29</v>
      </c>
      <c r="S1009" s="1">
        <v>3</v>
      </c>
      <c r="T1009" s="1" t="b">
        <v>0</v>
      </c>
      <c r="U1009" s="1" t="s">
        <v>84</v>
      </c>
      <c r="V1009" s="3">
        <v>2</v>
      </c>
    </row>
    <row r="1010" spans="1:22" x14ac:dyDescent="0.3">
      <c r="A1010" s="2" t="s">
        <v>2495</v>
      </c>
      <c r="B1010" s="10">
        <v>44340</v>
      </c>
      <c r="C1010" s="22">
        <v>44340</v>
      </c>
      <c r="D1010" s="1" t="s">
        <v>2496</v>
      </c>
      <c r="E1010" s="1" t="s">
        <v>693</v>
      </c>
      <c r="F1010" s="1">
        <v>42</v>
      </c>
      <c r="G1010" s="1" t="s">
        <v>24</v>
      </c>
      <c r="H1010" s="1" t="s">
        <v>74</v>
      </c>
      <c r="I1010" s="1" t="s">
        <v>101</v>
      </c>
      <c r="J1010" s="1" t="s">
        <v>146</v>
      </c>
      <c r="K1010" s="1" t="s">
        <v>276</v>
      </c>
      <c r="L1010" s="1">
        <v>9</v>
      </c>
      <c r="M1010" s="13">
        <v>13067.04</v>
      </c>
      <c r="N1010" s="15">
        <v>0.22</v>
      </c>
      <c r="O1010" s="13">
        <v>129179.48</v>
      </c>
      <c r="P1010" s="13">
        <v>17264.66</v>
      </c>
      <c r="Q1010" s="13">
        <v>58.55</v>
      </c>
      <c r="R1010" s="1" t="s">
        <v>64</v>
      </c>
      <c r="S1010" s="1">
        <v>1</v>
      </c>
      <c r="T1010" s="1" t="b">
        <v>1</v>
      </c>
      <c r="U1010" s="1" t="s">
        <v>30</v>
      </c>
      <c r="V1010" s="3">
        <v>4</v>
      </c>
    </row>
    <row r="1011" spans="1:22" x14ac:dyDescent="0.3">
      <c r="A1011" s="2" t="s">
        <v>2497</v>
      </c>
      <c r="B1011" s="10">
        <v>44035</v>
      </c>
      <c r="C1011" s="22">
        <v>44035</v>
      </c>
      <c r="D1011" s="1" t="s">
        <v>2498</v>
      </c>
      <c r="E1011" s="1" t="s">
        <v>1586</v>
      </c>
      <c r="F1011" s="1">
        <v>46</v>
      </c>
      <c r="G1011" s="1" t="s">
        <v>24</v>
      </c>
      <c r="H1011" s="1" t="s">
        <v>35</v>
      </c>
      <c r="I1011" s="1" t="s">
        <v>36</v>
      </c>
      <c r="J1011" s="1" t="s">
        <v>44</v>
      </c>
      <c r="K1011" s="1" t="s">
        <v>186</v>
      </c>
      <c r="L1011" s="1">
        <v>6</v>
      </c>
      <c r="M1011" s="13">
        <v>12344.66</v>
      </c>
      <c r="N1011" s="15">
        <v>0.02</v>
      </c>
      <c r="O1011" s="13">
        <v>93910.03</v>
      </c>
      <c r="P1011" s="13">
        <v>32713</v>
      </c>
      <c r="Q1011" s="13">
        <v>34.26</v>
      </c>
      <c r="R1011" s="1" t="s">
        <v>70</v>
      </c>
      <c r="S1011" s="1">
        <v>2</v>
      </c>
      <c r="T1011" s="1" t="b">
        <v>0</v>
      </c>
      <c r="U1011" s="1" t="s">
        <v>39</v>
      </c>
      <c r="V1011" s="3">
        <v>6</v>
      </c>
    </row>
    <row r="1012" spans="1:22" x14ac:dyDescent="0.3">
      <c r="A1012" s="2" t="s">
        <v>2499</v>
      </c>
      <c r="B1012" s="10">
        <v>44234</v>
      </c>
      <c r="C1012" s="22">
        <v>44234</v>
      </c>
      <c r="D1012" s="1" t="s">
        <v>2500</v>
      </c>
      <c r="E1012" s="1" t="s">
        <v>1359</v>
      </c>
      <c r="F1012" s="1">
        <v>22</v>
      </c>
      <c r="G1012" s="1" t="s">
        <v>34</v>
      </c>
      <c r="H1012" s="1" t="s">
        <v>82</v>
      </c>
      <c r="I1012" s="1" t="s">
        <v>126</v>
      </c>
      <c r="J1012" s="1" t="s">
        <v>62</v>
      </c>
      <c r="K1012" s="1" t="s">
        <v>151</v>
      </c>
      <c r="L1012" s="1">
        <v>9</v>
      </c>
      <c r="M1012" s="13">
        <v>682.41</v>
      </c>
      <c r="N1012" s="15">
        <v>0.39</v>
      </c>
      <c r="O1012" s="13">
        <v>3288.5</v>
      </c>
      <c r="P1012" s="13">
        <v>950.54</v>
      </c>
      <c r="Q1012" s="13">
        <v>73.23</v>
      </c>
      <c r="R1012" s="1" t="s">
        <v>70</v>
      </c>
      <c r="S1012" s="1">
        <v>4</v>
      </c>
      <c r="T1012" s="1" t="b">
        <v>0</v>
      </c>
      <c r="U1012" s="1" t="s">
        <v>137</v>
      </c>
      <c r="V1012" s="3">
        <v>7</v>
      </c>
    </row>
    <row r="1013" spans="1:22" x14ac:dyDescent="0.3">
      <c r="A1013" s="2" t="s">
        <v>2501</v>
      </c>
      <c r="B1013" s="10">
        <v>44117</v>
      </c>
      <c r="C1013" s="22">
        <v>44117</v>
      </c>
      <c r="D1013" s="1" t="s">
        <v>2502</v>
      </c>
      <c r="E1013" s="1" t="s">
        <v>324</v>
      </c>
      <c r="F1013" s="1">
        <v>35</v>
      </c>
      <c r="G1013" s="1" t="s">
        <v>34</v>
      </c>
      <c r="H1013" s="1" t="s">
        <v>74</v>
      </c>
      <c r="I1013" s="1" t="s">
        <v>101</v>
      </c>
      <c r="J1013" s="1" t="s">
        <v>127</v>
      </c>
      <c r="K1013" s="1" t="s">
        <v>128</v>
      </c>
      <c r="L1013" s="1">
        <v>7</v>
      </c>
      <c r="M1013" s="13">
        <v>42976.47</v>
      </c>
      <c r="N1013" s="15">
        <v>0.32</v>
      </c>
      <c r="O1013" s="13">
        <v>173058.34</v>
      </c>
      <c r="P1013" s="13">
        <v>20091.830000000002</v>
      </c>
      <c r="Q1013" s="13">
        <v>60.6</v>
      </c>
      <c r="R1013" s="1" t="s">
        <v>64</v>
      </c>
      <c r="S1013" s="1">
        <v>1</v>
      </c>
      <c r="T1013" s="1" t="b">
        <v>0</v>
      </c>
      <c r="U1013" s="1" t="s">
        <v>39</v>
      </c>
      <c r="V1013" s="3">
        <v>2</v>
      </c>
    </row>
    <row r="1014" spans="1:22" x14ac:dyDescent="0.3">
      <c r="A1014" s="2" t="s">
        <v>2503</v>
      </c>
      <c r="B1014" s="10">
        <v>44044</v>
      </c>
      <c r="C1014" s="22">
        <v>44044</v>
      </c>
      <c r="D1014" s="1" t="s">
        <v>2504</v>
      </c>
      <c r="E1014" s="1" t="s">
        <v>2505</v>
      </c>
      <c r="F1014" s="1">
        <v>34</v>
      </c>
      <c r="G1014" s="1" t="s">
        <v>34</v>
      </c>
      <c r="H1014" s="1" t="s">
        <v>25</v>
      </c>
      <c r="I1014" s="1" t="s">
        <v>170</v>
      </c>
      <c r="J1014" s="1" t="s">
        <v>27</v>
      </c>
      <c r="K1014" s="1" t="s">
        <v>28</v>
      </c>
      <c r="L1014" s="1">
        <v>2</v>
      </c>
      <c r="M1014" s="13">
        <v>245.8</v>
      </c>
      <c r="N1014" s="15">
        <v>0.2</v>
      </c>
      <c r="O1014" s="13">
        <v>485.67</v>
      </c>
      <c r="P1014" s="13">
        <v>40.76</v>
      </c>
      <c r="Q1014" s="13">
        <v>55.25</v>
      </c>
      <c r="R1014" s="1" t="s">
        <v>78</v>
      </c>
      <c r="S1014" s="1">
        <v>4</v>
      </c>
      <c r="T1014" s="1" t="b">
        <v>0</v>
      </c>
      <c r="U1014" s="1" t="s">
        <v>39</v>
      </c>
      <c r="V1014" s="3">
        <v>1</v>
      </c>
    </row>
    <row r="1015" spans="1:22" x14ac:dyDescent="0.3">
      <c r="A1015" s="2" t="s">
        <v>2506</v>
      </c>
      <c r="B1015" s="10">
        <v>44322</v>
      </c>
      <c r="C1015" s="22">
        <v>44322</v>
      </c>
      <c r="D1015" s="1" t="s">
        <v>2507</v>
      </c>
      <c r="E1015" s="1" t="s">
        <v>1733</v>
      </c>
      <c r="F1015" s="1">
        <v>53</v>
      </c>
      <c r="G1015" s="1" t="s">
        <v>24</v>
      </c>
      <c r="H1015" s="1" t="s">
        <v>25</v>
      </c>
      <c r="I1015" s="1" t="s">
        <v>26</v>
      </c>
      <c r="J1015" s="1" t="s">
        <v>27</v>
      </c>
      <c r="K1015" s="1" t="s">
        <v>450</v>
      </c>
      <c r="L1015" s="1">
        <v>10</v>
      </c>
      <c r="M1015" s="13">
        <v>426.88</v>
      </c>
      <c r="N1015" s="15">
        <v>0.19</v>
      </c>
      <c r="O1015" s="13">
        <v>4803.63</v>
      </c>
      <c r="P1015" s="13">
        <v>399.66</v>
      </c>
      <c r="Q1015" s="13">
        <v>69.62</v>
      </c>
      <c r="R1015" s="1" t="s">
        <v>29</v>
      </c>
      <c r="S1015" s="1">
        <v>3</v>
      </c>
      <c r="T1015" s="1" t="b">
        <v>0</v>
      </c>
      <c r="U1015" s="1" t="s">
        <v>84</v>
      </c>
      <c r="V1015" s="3">
        <v>3</v>
      </c>
    </row>
    <row r="1016" spans="1:22" x14ac:dyDescent="0.3">
      <c r="A1016" s="2" t="s">
        <v>2508</v>
      </c>
      <c r="B1016" s="10">
        <v>44116</v>
      </c>
      <c r="C1016" s="22">
        <v>44116</v>
      </c>
      <c r="D1016" s="1" t="s">
        <v>2509</v>
      </c>
      <c r="E1016" s="1" t="s">
        <v>1033</v>
      </c>
      <c r="F1016" s="1">
        <v>29</v>
      </c>
      <c r="G1016" s="1" t="s">
        <v>24</v>
      </c>
      <c r="H1016" s="1" t="s">
        <v>111</v>
      </c>
      <c r="I1016" s="1" t="s">
        <v>141</v>
      </c>
      <c r="J1016" s="1" t="s">
        <v>76</v>
      </c>
      <c r="K1016" s="1" t="s">
        <v>132</v>
      </c>
      <c r="L1016" s="1">
        <v>9</v>
      </c>
      <c r="M1016" s="13">
        <v>3720.46</v>
      </c>
      <c r="N1016" s="15">
        <v>0.2</v>
      </c>
      <c r="O1016" s="13">
        <v>25352.89</v>
      </c>
      <c r="P1016" s="13">
        <v>8663.42</v>
      </c>
      <c r="Q1016" s="13">
        <v>69.62</v>
      </c>
      <c r="R1016" s="1" t="s">
        <v>51</v>
      </c>
      <c r="S1016" s="1">
        <v>3</v>
      </c>
      <c r="T1016" s="1" t="b">
        <v>0</v>
      </c>
      <c r="U1016" s="1" t="s">
        <v>39</v>
      </c>
      <c r="V1016" s="3">
        <v>10</v>
      </c>
    </row>
    <row r="1017" spans="1:22" x14ac:dyDescent="0.3">
      <c r="A1017" s="2" t="s">
        <v>2510</v>
      </c>
      <c r="B1017" s="10">
        <v>43974</v>
      </c>
      <c r="C1017" s="22">
        <v>43974</v>
      </c>
      <c r="D1017" s="1" t="s">
        <v>2511</v>
      </c>
      <c r="E1017" s="1" t="s">
        <v>702</v>
      </c>
      <c r="F1017" s="1">
        <v>42</v>
      </c>
      <c r="G1017" s="1" t="s">
        <v>34</v>
      </c>
      <c r="H1017" s="1" t="s">
        <v>25</v>
      </c>
      <c r="I1017" s="1" t="s">
        <v>170</v>
      </c>
      <c r="J1017" s="1" t="s">
        <v>27</v>
      </c>
      <c r="K1017" s="1" t="s">
        <v>430</v>
      </c>
      <c r="L1017" s="1">
        <v>5</v>
      </c>
      <c r="M1017" s="13">
        <v>340.16</v>
      </c>
      <c r="N1017" s="15">
        <v>0.37</v>
      </c>
      <c r="O1017" s="13">
        <v>1501.76</v>
      </c>
      <c r="P1017" s="13">
        <v>96.24</v>
      </c>
      <c r="Q1017" s="13">
        <v>58.79</v>
      </c>
      <c r="R1017" s="1" t="s">
        <v>78</v>
      </c>
      <c r="S1017" s="1">
        <v>1</v>
      </c>
      <c r="T1017" s="1" t="b">
        <v>0</v>
      </c>
      <c r="U1017" s="1" t="s">
        <v>39</v>
      </c>
      <c r="V1017" s="3">
        <v>3</v>
      </c>
    </row>
    <row r="1018" spans="1:22" x14ac:dyDescent="0.3">
      <c r="A1018" s="2" t="s">
        <v>2512</v>
      </c>
      <c r="B1018" s="10">
        <v>44244</v>
      </c>
      <c r="C1018" s="22">
        <v>44244</v>
      </c>
      <c r="D1018" s="1" t="s">
        <v>2513</v>
      </c>
      <c r="E1018" s="1" t="s">
        <v>897</v>
      </c>
      <c r="F1018" s="1">
        <v>25</v>
      </c>
      <c r="G1018" s="1" t="s">
        <v>68</v>
      </c>
      <c r="H1018" s="1" t="s">
        <v>35</v>
      </c>
      <c r="I1018" s="1" t="s">
        <v>49</v>
      </c>
      <c r="J1018" s="1" t="s">
        <v>146</v>
      </c>
      <c r="K1018" s="1" t="s">
        <v>178</v>
      </c>
      <c r="L1018" s="1">
        <v>1</v>
      </c>
      <c r="M1018" s="13">
        <v>14980.35</v>
      </c>
      <c r="N1018" s="15">
        <v>0.06</v>
      </c>
      <c r="O1018" s="13">
        <v>16007.63</v>
      </c>
      <c r="P1018" s="13">
        <v>3501.94</v>
      </c>
      <c r="Q1018" s="13">
        <v>66.95</v>
      </c>
      <c r="R1018" s="1" t="s">
        <v>70</v>
      </c>
      <c r="S1018" s="1">
        <v>5</v>
      </c>
      <c r="T1018" s="1" t="b">
        <v>0</v>
      </c>
      <c r="U1018" s="1" t="s">
        <v>39</v>
      </c>
      <c r="V1018" s="3">
        <v>8</v>
      </c>
    </row>
    <row r="1019" spans="1:22" x14ac:dyDescent="0.3">
      <c r="A1019" s="2" t="s">
        <v>2514</v>
      </c>
      <c r="B1019" s="10">
        <v>45355</v>
      </c>
      <c r="C1019" s="22">
        <v>45355</v>
      </c>
      <c r="D1019" s="1" t="s">
        <v>2515</v>
      </c>
      <c r="E1019" s="1" t="s">
        <v>243</v>
      </c>
      <c r="F1019" s="1">
        <v>34</v>
      </c>
      <c r="G1019" s="1" t="s">
        <v>34</v>
      </c>
      <c r="H1019" s="1" t="s">
        <v>35</v>
      </c>
      <c r="I1019" s="1" t="s">
        <v>49</v>
      </c>
      <c r="J1019" s="1" t="s">
        <v>127</v>
      </c>
      <c r="K1019" s="1" t="s">
        <v>308</v>
      </c>
      <c r="L1019" s="1">
        <v>7</v>
      </c>
      <c r="M1019" s="13">
        <v>34398.85</v>
      </c>
      <c r="N1019" s="15">
        <v>0.32</v>
      </c>
      <c r="O1019" s="13">
        <v>211978.75</v>
      </c>
      <c r="P1019" s="13">
        <v>22144.21</v>
      </c>
      <c r="Q1019" s="13">
        <v>71.38</v>
      </c>
      <c r="R1019" s="1" t="s">
        <v>64</v>
      </c>
      <c r="S1019" s="1">
        <v>1</v>
      </c>
      <c r="T1019" s="1" t="b">
        <v>1</v>
      </c>
      <c r="U1019" s="1" t="s">
        <v>30</v>
      </c>
      <c r="V1019" s="3">
        <v>5</v>
      </c>
    </row>
    <row r="1020" spans="1:22" x14ac:dyDescent="0.3">
      <c r="A1020" s="2" t="s">
        <v>2516</v>
      </c>
      <c r="B1020" s="10">
        <v>44118</v>
      </c>
      <c r="C1020" s="22">
        <v>44118</v>
      </c>
      <c r="D1020" s="1" t="s">
        <v>2517</v>
      </c>
      <c r="E1020" s="1" t="s">
        <v>1204</v>
      </c>
      <c r="F1020" s="1">
        <v>44</v>
      </c>
      <c r="G1020" s="1" t="s">
        <v>34</v>
      </c>
      <c r="H1020" s="1" t="s">
        <v>25</v>
      </c>
      <c r="I1020" s="1" t="s">
        <v>55</v>
      </c>
      <c r="J1020" s="1" t="s">
        <v>37</v>
      </c>
      <c r="K1020" s="1" t="s">
        <v>182</v>
      </c>
      <c r="L1020" s="1">
        <v>10</v>
      </c>
      <c r="M1020" s="13">
        <v>447.27</v>
      </c>
      <c r="N1020" s="15">
        <v>0.15</v>
      </c>
      <c r="O1020" s="13">
        <v>2458.6999999999998</v>
      </c>
      <c r="P1020" s="13">
        <v>1150.1300000000001</v>
      </c>
      <c r="Q1020" s="13">
        <v>45.79</v>
      </c>
      <c r="R1020" s="1" t="s">
        <v>57</v>
      </c>
      <c r="S1020" s="1">
        <v>4</v>
      </c>
      <c r="T1020" s="1" t="b">
        <v>0</v>
      </c>
      <c r="U1020" s="1" t="s">
        <v>197</v>
      </c>
      <c r="V1020" s="3">
        <v>5</v>
      </c>
    </row>
    <row r="1021" spans="1:22" x14ac:dyDescent="0.3">
      <c r="A1021" s="2" t="s">
        <v>2518</v>
      </c>
      <c r="B1021" s="10">
        <v>43925</v>
      </c>
      <c r="C1021" s="22">
        <v>43925</v>
      </c>
      <c r="D1021" s="1" t="s">
        <v>2519</v>
      </c>
      <c r="E1021" s="1" t="s">
        <v>476</v>
      </c>
      <c r="F1021" s="1">
        <v>58</v>
      </c>
      <c r="G1021" s="1" t="s">
        <v>24</v>
      </c>
      <c r="H1021" s="1" t="s">
        <v>111</v>
      </c>
      <c r="I1021" s="1" t="s">
        <v>112</v>
      </c>
      <c r="J1021" s="1" t="s">
        <v>62</v>
      </c>
      <c r="K1021" s="1" t="s">
        <v>266</v>
      </c>
      <c r="L1021" s="1">
        <v>2</v>
      </c>
      <c r="M1021" s="13">
        <v>640.98</v>
      </c>
      <c r="N1021" s="15">
        <v>0.05</v>
      </c>
      <c r="O1021" s="13">
        <v>1372.2</v>
      </c>
      <c r="P1021" s="13">
        <v>437.79</v>
      </c>
      <c r="Q1021" s="13">
        <v>68.680000000000007</v>
      </c>
      <c r="R1021" s="1" t="s">
        <v>78</v>
      </c>
      <c r="S1021" s="1">
        <v>2</v>
      </c>
      <c r="T1021" s="1" t="b">
        <v>0</v>
      </c>
      <c r="U1021" s="1" t="s">
        <v>39</v>
      </c>
      <c r="V1021" s="3">
        <v>5</v>
      </c>
    </row>
    <row r="1022" spans="1:22" x14ac:dyDescent="0.3">
      <c r="A1022" s="2" t="s">
        <v>2520</v>
      </c>
      <c r="B1022" s="10">
        <v>43884</v>
      </c>
      <c r="C1022" s="22">
        <v>43884</v>
      </c>
      <c r="D1022" s="1" t="s">
        <v>2521</v>
      </c>
      <c r="E1022" s="1" t="s">
        <v>200</v>
      </c>
      <c r="F1022" s="1">
        <v>41</v>
      </c>
      <c r="G1022" s="1" t="s">
        <v>391</v>
      </c>
      <c r="H1022" s="1" t="s">
        <v>35</v>
      </c>
      <c r="I1022" s="1" t="s">
        <v>36</v>
      </c>
      <c r="J1022" s="1" t="s">
        <v>127</v>
      </c>
      <c r="K1022" s="1" t="s">
        <v>128</v>
      </c>
      <c r="L1022" s="1">
        <v>9</v>
      </c>
      <c r="M1022" s="13">
        <v>39365.339999999997</v>
      </c>
      <c r="N1022" s="15">
        <v>0.15</v>
      </c>
      <c r="O1022" s="13">
        <v>210085.4</v>
      </c>
      <c r="P1022" s="13">
        <v>19908.38</v>
      </c>
      <c r="Q1022" s="13">
        <v>56.84</v>
      </c>
      <c r="R1022" s="1" t="s">
        <v>29</v>
      </c>
      <c r="S1022" s="1">
        <v>4</v>
      </c>
      <c r="T1022" s="1" t="b">
        <v>0</v>
      </c>
      <c r="U1022" s="1" t="s">
        <v>39</v>
      </c>
      <c r="V1022" s="3">
        <v>8</v>
      </c>
    </row>
    <row r="1023" spans="1:22" x14ac:dyDescent="0.3">
      <c r="A1023" s="2" t="s">
        <v>2522</v>
      </c>
      <c r="B1023" s="10">
        <v>44951</v>
      </c>
      <c r="C1023" s="22">
        <v>44951</v>
      </c>
      <c r="D1023" s="1" t="s">
        <v>2523</v>
      </c>
      <c r="E1023" s="1" t="s">
        <v>275</v>
      </c>
      <c r="F1023" s="1">
        <v>38</v>
      </c>
      <c r="G1023" s="1" t="s">
        <v>24</v>
      </c>
      <c r="H1023" s="1" t="s">
        <v>35</v>
      </c>
      <c r="I1023" s="1" t="s">
        <v>106</v>
      </c>
      <c r="J1023" s="1" t="s">
        <v>76</v>
      </c>
      <c r="K1023" s="1" t="s">
        <v>207</v>
      </c>
      <c r="L1023" s="1">
        <v>8</v>
      </c>
      <c r="M1023" s="13">
        <v>3747.11</v>
      </c>
      <c r="N1023" s="15">
        <v>0.15</v>
      </c>
      <c r="O1023" s="13">
        <v>25653.59</v>
      </c>
      <c r="P1023" s="13">
        <v>8023.16</v>
      </c>
      <c r="Q1023" s="13">
        <v>35.729999999999997</v>
      </c>
      <c r="R1023" s="1" t="s">
        <v>57</v>
      </c>
      <c r="S1023" s="1">
        <v>5</v>
      </c>
      <c r="T1023" s="1" t="b">
        <v>0</v>
      </c>
      <c r="U1023" s="1" t="s">
        <v>84</v>
      </c>
      <c r="V1023" s="3">
        <v>1</v>
      </c>
    </row>
    <row r="1024" spans="1:22" x14ac:dyDescent="0.3">
      <c r="A1024" s="2" t="s">
        <v>2524</v>
      </c>
      <c r="B1024" s="10">
        <v>45413</v>
      </c>
      <c r="C1024" s="22">
        <v>45413</v>
      </c>
      <c r="D1024" s="1" t="s">
        <v>2525</v>
      </c>
      <c r="E1024" s="1" t="s">
        <v>338</v>
      </c>
      <c r="F1024" s="1">
        <v>12</v>
      </c>
      <c r="G1024" s="1" t="s">
        <v>24</v>
      </c>
      <c r="H1024" s="1" t="s">
        <v>82</v>
      </c>
      <c r="I1024" s="1" t="s">
        <v>293</v>
      </c>
      <c r="J1024" s="1" t="s">
        <v>37</v>
      </c>
      <c r="K1024" s="1" t="s">
        <v>38</v>
      </c>
      <c r="L1024" s="1">
        <v>5</v>
      </c>
      <c r="M1024" s="13">
        <v>1989.16</v>
      </c>
      <c r="N1024" s="15">
        <v>0.24</v>
      </c>
      <c r="O1024" s="13">
        <v>12820.21</v>
      </c>
      <c r="P1024" s="13">
        <v>5988.44</v>
      </c>
      <c r="Q1024" s="13">
        <v>79.5</v>
      </c>
      <c r="R1024" s="1" t="s">
        <v>57</v>
      </c>
      <c r="S1024" s="1">
        <v>4</v>
      </c>
      <c r="T1024" s="1" t="b">
        <v>0</v>
      </c>
      <c r="U1024" s="1" t="s">
        <v>39</v>
      </c>
      <c r="V1024" s="3">
        <v>5</v>
      </c>
    </row>
    <row r="1025" spans="1:22" x14ac:dyDescent="0.3">
      <c r="A1025" s="2" t="s">
        <v>2526</v>
      </c>
      <c r="B1025" s="10">
        <v>44928</v>
      </c>
      <c r="C1025" s="22">
        <v>44928</v>
      </c>
      <c r="D1025" s="1" t="s">
        <v>2527</v>
      </c>
      <c r="E1025" s="1" t="s">
        <v>272</v>
      </c>
      <c r="F1025" s="1">
        <v>20</v>
      </c>
      <c r="G1025" s="1" t="s">
        <v>68</v>
      </c>
      <c r="H1025" s="1" t="s">
        <v>74</v>
      </c>
      <c r="I1025" s="1" t="s">
        <v>75</v>
      </c>
      <c r="J1025" s="1" t="s">
        <v>62</v>
      </c>
      <c r="K1025" s="1" t="s">
        <v>283</v>
      </c>
      <c r="L1025" s="1">
        <v>7</v>
      </c>
      <c r="M1025" s="13">
        <v>1431.35</v>
      </c>
      <c r="N1025" s="15">
        <v>0.2</v>
      </c>
      <c r="O1025" s="13">
        <v>8558.35</v>
      </c>
      <c r="P1025" s="13">
        <v>3547.79</v>
      </c>
      <c r="Q1025" s="13">
        <v>60.84</v>
      </c>
      <c r="R1025" s="1" t="s">
        <v>78</v>
      </c>
      <c r="S1025" s="1">
        <v>1</v>
      </c>
      <c r="T1025" s="1" t="b">
        <v>1</v>
      </c>
      <c r="U1025" s="1" t="s">
        <v>30</v>
      </c>
      <c r="V1025" s="3">
        <v>2</v>
      </c>
    </row>
    <row r="1026" spans="1:22" x14ac:dyDescent="0.3">
      <c r="A1026" s="2" t="s">
        <v>2528</v>
      </c>
      <c r="B1026" s="10">
        <v>45508</v>
      </c>
      <c r="C1026" s="22">
        <v>45508</v>
      </c>
      <c r="D1026" s="1" t="s">
        <v>2529</v>
      </c>
      <c r="E1026" s="1" t="s">
        <v>594</v>
      </c>
      <c r="F1026" s="1">
        <v>34</v>
      </c>
      <c r="G1026" s="1" t="s">
        <v>68</v>
      </c>
      <c r="H1026" s="1" t="s">
        <v>111</v>
      </c>
      <c r="I1026" s="1" t="s">
        <v>330</v>
      </c>
      <c r="J1026" s="1" t="s">
        <v>44</v>
      </c>
      <c r="K1026" s="1" t="s">
        <v>221</v>
      </c>
      <c r="L1026" s="1">
        <v>7</v>
      </c>
      <c r="M1026" s="13">
        <v>23321.93</v>
      </c>
      <c r="N1026" s="15">
        <v>0.25</v>
      </c>
      <c r="O1026" s="13">
        <v>170809.51</v>
      </c>
      <c r="P1026" s="13">
        <v>57631.73</v>
      </c>
      <c r="Q1026" s="13">
        <v>81.16</v>
      </c>
      <c r="R1026" s="1" t="s">
        <v>78</v>
      </c>
      <c r="S1026" s="1">
        <v>1</v>
      </c>
      <c r="T1026" s="1" t="b">
        <v>0</v>
      </c>
      <c r="U1026" s="1" t="s">
        <v>39</v>
      </c>
      <c r="V1026" s="3">
        <v>6</v>
      </c>
    </row>
    <row r="1027" spans="1:22" x14ac:dyDescent="0.3">
      <c r="A1027" s="2" t="s">
        <v>2530</v>
      </c>
      <c r="B1027" s="10">
        <v>44151</v>
      </c>
      <c r="C1027" s="22">
        <v>44151</v>
      </c>
      <c r="D1027" s="1" t="s">
        <v>2531</v>
      </c>
      <c r="E1027" s="1" t="s">
        <v>603</v>
      </c>
      <c r="F1027" s="1">
        <v>26</v>
      </c>
      <c r="G1027" s="1" t="s">
        <v>34</v>
      </c>
      <c r="H1027" s="1" t="s">
        <v>82</v>
      </c>
      <c r="I1027" s="1" t="s">
        <v>244</v>
      </c>
      <c r="J1027" s="1" t="s">
        <v>37</v>
      </c>
      <c r="K1027" s="1" t="s">
        <v>182</v>
      </c>
      <c r="L1027" s="1">
        <v>1</v>
      </c>
      <c r="M1027" s="13">
        <v>2036.13</v>
      </c>
      <c r="N1027" s="15">
        <v>0.34</v>
      </c>
      <c r="O1027" s="13">
        <v>999.56</v>
      </c>
      <c r="P1027" s="13">
        <v>371.42</v>
      </c>
      <c r="Q1027" s="13">
        <v>70.989999999999995</v>
      </c>
      <c r="R1027" s="1" t="s">
        <v>64</v>
      </c>
      <c r="S1027" s="1">
        <v>1</v>
      </c>
      <c r="T1027" s="1" t="b">
        <v>0</v>
      </c>
      <c r="U1027" s="1" t="s">
        <v>137</v>
      </c>
      <c r="V1027" s="3">
        <v>6</v>
      </c>
    </row>
    <row r="1028" spans="1:22" x14ac:dyDescent="0.3">
      <c r="A1028" s="2" t="s">
        <v>2532</v>
      </c>
      <c r="B1028" s="10">
        <v>44500</v>
      </c>
      <c r="C1028" s="22">
        <v>44500</v>
      </c>
      <c r="D1028" s="1" t="s">
        <v>2533</v>
      </c>
      <c r="E1028" s="1" t="s">
        <v>1186</v>
      </c>
      <c r="F1028" s="1">
        <v>23</v>
      </c>
      <c r="G1028" s="1" t="s">
        <v>34</v>
      </c>
      <c r="H1028" s="1" t="s">
        <v>74</v>
      </c>
      <c r="I1028" s="1" t="s">
        <v>75</v>
      </c>
      <c r="J1028" s="1" t="s">
        <v>27</v>
      </c>
      <c r="K1028" s="1" t="s">
        <v>400</v>
      </c>
      <c r="L1028" s="1">
        <v>2</v>
      </c>
      <c r="M1028" s="13">
        <v>499.3</v>
      </c>
      <c r="N1028" s="15">
        <v>0.06</v>
      </c>
      <c r="O1028" s="13">
        <v>838.13</v>
      </c>
      <c r="P1028" s="13">
        <v>80.06</v>
      </c>
      <c r="Q1028" s="13">
        <v>69.89</v>
      </c>
      <c r="R1028" s="1" t="s">
        <v>70</v>
      </c>
      <c r="S1028" s="1">
        <v>4</v>
      </c>
      <c r="T1028" s="1" t="b">
        <v>0</v>
      </c>
      <c r="U1028" s="1" t="s">
        <v>39</v>
      </c>
      <c r="V1028" s="3">
        <v>3</v>
      </c>
    </row>
    <row r="1029" spans="1:22" x14ac:dyDescent="0.3">
      <c r="A1029" s="2" t="s">
        <v>2534</v>
      </c>
      <c r="B1029" s="10">
        <v>45486</v>
      </c>
      <c r="C1029" s="22">
        <v>45486</v>
      </c>
      <c r="D1029" s="1" t="s">
        <v>2535</v>
      </c>
      <c r="E1029" s="1" t="s">
        <v>1428</v>
      </c>
      <c r="F1029" s="1">
        <v>36</v>
      </c>
      <c r="G1029" s="1" t="s">
        <v>24</v>
      </c>
      <c r="H1029" s="1" t="s">
        <v>111</v>
      </c>
      <c r="I1029" s="1" t="s">
        <v>121</v>
      </c>
      <c r="J1029" s="1" t="s">
        <v>76</v>
      </c>
      <c r="K1029" s="1" t="s">
        <v>89</v>
      </c>
      <c r="L1029" s="1">
        <v>4</v>
      </c>
      <c r="M1029" s="13">
        <v>3455.27</v>
      </c>
      <c r="N1029" s="15">
        <v>0</v>
      </c>
      <c r="O1029" s="13">
        <v>20334.29</v>
      </c>
      <c r="P1029" s="13">
        <v>8527.59</v>
      </c>
      <c r="Q1029" s="13">
        <v>73.069999999999993</v>
      </c>
      <c r="R1029" s="1" t="s">
        <v>51</v>
      </c>
      <c r="S1029" s="1">
        <v>2</v>
      </c>
      <c r="T1029" s="1" t="b">
        <v>0</v>
      </c>
      <c r="U1029" s="1" t="s">
        <v>39</v>
      </c>
      <c r="V1029" s="3">
        <v>9</v>
      </c>
    </row>
    <row r="1030" spans="1:22" x14ac:dyDescent="0.3">
      <c r="A1030" s="2" t="s">
        <v>2536</v>
      </c>
      <c r="B1030" s="10">
        <v>43881</v>
      </c>
      <c r="C1030" s="22">
        <v>43881</v>
      </c>
      <c r="D1030" s="1" t="s">
        <v>2537</v>
      </c>
      <c r="E1030" s="1" t="s">
        <v>499</v>
      </c>
      <c r="F1030" s="1">
        <v>28</v>
      </c>
      <c r="G1030" s="1" t="s">
        <v>34</v>
      </c>
      <c r="H1030" s="1" t="s">
        <v>35</v>
      </c>
      <c r="I1030" s="1" t="s">
        <v>106</v>
      </c>
      <c r="J1030" s="1" t="s">
        <v>62</v>
      </c>
      <c r="K1030" s="1" t="s">
        <v>283</v>
      </c>
      <c r="L1030" s="1">
        <v>9</v>
      </c>
      <c r="M1030" s="13">
        <v>657.44</v>
      </c>
      <c r="N1030" s="15">
        <v>0</v>
      </c>
      <c r="O1030" s="13">
        <v>5550.8</v>
      </c>
      <c r="P1030" s="13">
        <v>1842.41</v>
      </c>
      <c r="Q1030" s="13">
        <v>53.36</v>
      </c>
      <c r="R1030" s="1" t="s">
        <v>51</v>
      </c>
      <c r="S1030" s="1">
        <v>1</v>
      </c>
      <c r="T1030" s="1" t="b">
        <v>0</v>
      </c>
      <c r="U1030" s="1" t="s">
        <v>84</v>
      </c>
      <c r="V1030" s="3">
        <v>9</v>
      </c>
    </row>
    <row r="1031" spans="1:22" x14ac:dyDescent="0.3">
      <c r="A1031" s="2" t="s">
        <v>2538</v>
      </c>
      <c r="B1031" s="10">
        <v>44817</v>
      </c>
      <c r="C1031" s="22">
        <v>44817</v>
      </c>
      <c r="D1031" s="1" t="s">
        <v>2539</v>
      </c>
      <c r="E1031" s="1" t="s">
        <v>858</v>
      </c>
      <c r="F1031" s="1">
        <v>35</v>
      </c>
      <c r="G1031" s="1" t="s">
        <v>34</v>
      </c>
      <c r="H1031" s="1" t="s">
        <v>74</v>
      </c>
      <c r="I1031" s="1" t="s">
        <v>136</v>
      </c>
      <c r="J1031" s="1" t="s">
        <v>37</v>
      </c>
      <c r="K1031" s="1" t="s">
        <v>454</v>
      </c>
      <c r="L1031" s="1">
        <v>1</v>
      </c>
      <c r="M1031" s="13">
        <v>2480.5</v>
      </c>
      <c r="N1031" s="15">
        <v>7.0000000000000007E-2</v>
      </c>
      <c r="O1031" s="13">
        <v>2697.26</v>
      </c>
      <c r="P1031" s="13">
        <v>1008.27</v>
      </c>
      <c r="Q1031" s="13">
        <v>42.84</v>
      </c>
      <c r="R1031" s="1" t="s">
        <v>78</v>
      </c>
      <c r="S1031" s="1">
        <v>2</v>
      </c>
      <c r="T1031" s="1" t="b">
        <v>1</v>
      </c>
      <c r="U1031" s="1" t="s">
        <v>30</v>
      </c>
      <c r="V1031" s="3">
        <v>9</v>
      </c>
    </row>
    <row r="1032" spans="1:22" x14ac:dyDescent="0.3">
      <c r="A1032" s="2" t="s">
        <v>2540</v>
      </c>
      <c r="B1032" s="10">
        <v>44677</v>
      </c>
      <c r="C1032" s="22">
        <v>44677</v>
      </c>
      <c r="D1032" s="1" t="s">
        <v>2541</v>
      </c>
      <c r="E1032" s="1" t="s">
        <v>1096</v>
      </c>
      <c r="F1032" s="1">
        <v>46</v>
      </c>
      <c r="G1032" s="1" t="s">
        <v>88</v>
      </c>
      <c r="H1032" s="1" t="s">
        <v>74</v>
      </c>
      <c r="I1032" s="1" t="s">
        <v>101</v>
      </c>
      <c r="J1032" s="1" t="s">
        <v>146</v>
      </c>
      <c r="K1032" s="1" t="s">
        <v>484</v>
      </c>
      <c r="L1032" s="1">
        <v>10</v>
      </c>
      <c r="M1032" s="13">
        <v>9875.4699999999993</v>
      </c>
      <c r="N1032" s="15">
        <v>0.24</v>
      </c>
      <c r="O1032" s="13">
        <v>97179.05</v>
      </c>
      <c r="P1032" s="13">
        <v>19944.59</v>
      </c>
      <c r="Q1032" s="13">
        <v>98.45</v>
      </c>
      <c r="R1032" s="1" t="s">
        <v>70</v>
      </c>
      <c r="S1032" s="1">
        <v>1</v>
      </c>
      <c r="T1032" s="1" t="b">
        <v>0</v>
      </c>
      <c r="U1032" s="1" t="s">
        <v>137</v>
      </c>
      <c r="V1032" s="3">
        <v>3</v>
      </c>
    </row>
    <row r="1033" spans="1:22" x14ac:dyDescent="0.3">
      <c r="A1033" s="2" t="s">
        <v>2542</v>
      </c>
      <c r="B1033" s="10">
        <v>44703</v>
      </c>
      <c r="C1033" s="22">
        <v>44703</v>
      </c>
      <c r="D1033" s="1" t="s">
        <v>2543</v>
      </c>
      <c r="E1033" s="1" t="s">
        <v>1327</v>
      </c>
      <c r="F1033" s="1">
        <v>37</v>
      </c>
      <c r="G1033" s="1" t="s">
        <v>68</v>
      </c>
      <c r="H1033" s="1" t="s">
        <v>74</v>
      </c>
      <c r="I1033" s="1" t="s">
        <v>136</v>
      </c>
      <c r="J1033" s="1" t="s">
        <v>44</v>
      </c>
      <c r="K1033" s="1" t="s">
        <v>93</v>
      </c>
      <c r="L1033" s="1">
        <v>4</v>
      </c>
      <c r="M1033" s="13">
        <v>31494.17</v>
      </c>
      <c r="N1033" s="15">
        <v>0.23</v>
      </c>
      <c r="O1033" s="13">
        <v>139624.10999999999</v>
      </c>
      <c r="P1033" s="13">
        <v>35809.83</v>
      </c>
      <c r="Q1033" s="13">
        <v>57.08</v>
      </c>
      <c r="R1033" s="1" t="s">
        <v>51</v>
      </c>
      <c r="S1033" s="1">
        <v>3</v>
      </c>
      <c r="T1033" s="1" t="b">
        <v>1</v>
      </c>
      <c r="U1033" s="1" t="s">
        <v>30</v>
      </c>
      <c r="V1033" s="3">
        <v>7</v>
      </c>
    </row>
    <row r="1034" spans="1:22" x14ac:dyDescent="0.3">
      <c r="A1034" s="2" t="s">
        <v>2544</v>
      </c>
      <c r="B1034" s="10">
        <v>45505</v>
      </c>
      <c r="C1034" s="22">
        <v>45505</v>
      </c>
      <c r="D1034" s="1" t="s">
        <v>2545</v>
      </c>
      <c r="E1034" s="1" t="s">
        <v>1282</v>
      </c>
      <c r="F1034" s="1">
        <v>24</v>
      </c>
      <c r="G1034" s="1" t="s">
        <v>34</v>
      </c>
      <c r="H1034" s="1" t="s">
        <v>82</v>
      </c>
      <c r="I1034" s="1" t="s">
        <v>83</v>
      </c>
      <c r="J1034" s="1" t="s">
        <v>62</v>
      </c>
      <c r="K1034" s="1" t="s">
        <v>283</v>
      </c>
      <c r="L1034" s="1">
        <v>5</v>
      </c>
      <c r="M1034" s="13">
        <v>303.27999999999997</v>
      </c>
      <c r="N1034" s="15">
        <v>0.24</v>
      </c>
      <c r="O1034" s="13">
        <v>1696.93</v>
      </c>
      <c r="P1034" s="13">
        <v>651.04</v>
      </c>
      <c r="Q1034" s="13">
        <v>68.98</v>
      </c>
      <c r="R1034" s="1" t="s">
        <v>70</v>
      </c>
      <c r="S1034" s="1">
        <v>5</v>
      </c>
      <c r="T1034" s="1" t="b">
        <v>0</v>
      </c>
      <c r="U1034" s="1" t="s">
        <v>39</v>
      </c>
      <c r="V1034" s="3">
        <v>6</v>
      </c>
    </row>
    <row r="1035" spans="1:22" x14ac:dyDescent="0.3">
      <c r="A1035" s="2" t="s">
        <v>2546</v>
      </c>
      <c r="B1035" s="10">
        <v>44890</v>
      </c>
      <c r="C1035" s="22">
        <v>44890</v>
      </c>
      <c r="D1035" s="1" t="s">
        <v>2547</v>
      </c>
      <c r="E1035" s="1" t="s">
        <v>1319</v>
      </c>
      <c r="F1035" s="1">
        <v>45</v>
      </c>
      <c r="G1035" s="1" t="s">
        <v>34</v>
      </c>
      <c r="H1035" s="1" t="s">
        <v>74</v>
      </c>
      <c r="I1035" s="1" t="s">
        <v>75</v>
      </c>
      <c r="J1035" s="1" t="s">
        <v>146</v>
      </c>
      <c r="K1035" s="1" t="s">
        <v>484</v>
      </c>
      <c r="L1035" s="1">
        <v>9</v>
      </c>
      <c r="M1035" s="13">
        <v>8750.14</v>
      </c>
      <c r="N1035" s="15">
        <v>0.23</v>
      </c>
      <c r="O1035" s="13">
        <v>54615.07</v>
      </c>
      <c r="P1035" s="13">
        <v>15670.41</v>
      </c>
      <c r="Q1035" s="13">
        <v>45.73</v>
      </c>
      <c r="R1035" s="1" t="s">
        <v>78</v>
      </c>
      <c r="S1035" s="1">
        <v>2</v>
      </c>
      <c r="T1035" s="1" t="b">
        <v>0</v>
      </c>
      <c r="U1035" s="1" t="s">
        <v>197</v>
      </c>
      <c r="V1035" s="3">
        <v>8</v>
      </c>
    </row>
    <row r="1036" spans="1:22" x14ac:dyDescent="0.3">
      <c r="A1036" s="2" t="s">
        <v>2548</v>
      </c>
      <c r="B1036" s="10">
        <v>44136</v>
      </c>
      <c r="C1036" s="22">
        <v>44136</v>
      </c>
      <c r="D1036" s="1" t="s">
        <v>2549</v>
      </c>
      <c r="E1036" s="1" t="s">
        <v>891</v>
      </c>
      <c r="F1036" s="1">
        <v>18</v>
      </c>
      <c r="G1036" s="1" t="s">
        <v>24</v>
      </c>
      <c r="H1036" s="1" t="s">
        <v>35</v>
      </c>
      <c r="I1036" s="1" t="s">
        <v>43</v>
      </c>
      <c r="J1036" s="1" t="s">
        <v>27</v>
      </c>
      <c r="K1036" s="1" t="s">
        <v>450</v>
      </c>
      <c r="L1036" s="1">
        <v>4</v>
      </c>
      <c r="M1036" s="13">
        <v>326.66000000000003</v>
      </c>
      <c r="N1036" s="15">
        <v>0.02</v>
      </c>
      <c r="O1036" s="13">
        <v>986.8</v>
      </c>
      <c r="P1036" s="13">
        <v>70.77</v>
      </c>
      <c r="Q1036" s="13">
        <v>46.22</v>
      </c>
      <c r="R1036" s="1" t="s">
        <v>78</v>
      </c>
      <c r="S1036" s="1">
        <v>4</v>
      </c>
      <c r="T1036" s="1" t="b">
        <v>0</v>
      </c>
      <c r="U1036" s="1" t="s">
        <v>39</v>
      </c>
      <c r="V1036" s="3">
        <v>1</v>
      </c>
    </row>
    <row r="1037" spans="1:22" x14ac:dyDescent="0.3">
      <c r="A1037" s="2" t="s">
        <v>2550</v>
      </c>
      <c r="B1037" s="10">
        <v>43896</v>
      </c>
      <c r="C1037" s="22">
        <v>43896</v>
      </c>
      <c r="D1037" s="1" t="s">
        <v>2551</v>
      </c>
      <c r="E1037" s="1" t="s">
        <v>92</v>
      </c>
      <c r="F1037" s="1">
        <v>52</v>
      </c>
      <c r="G1037" s="1" t="s">
        <v>24</v>
      </c>
      <c r="H1037" s="1" t="s">
        <v>74</v>
      </c>
      <c r="I1037" s="1" t="s">
        <v>136</v>
      </c>
      <c r="J1037" s="1" t="s">
        <v>146</v>
      </c>
      <c r="K1037" s="1" t="s">
        <v>276</v>
      </c>
      <c r="L1037" s="1">
        <v>1</v>
      </c>
      <c r="M1037" s="13">
        <v>6367.24</v>
      </c>
      <c r="N1037" s="15">
        <v>0.33</v>
      </c>
      <c r="O1037" s="13">
        <v>4149.57</v>
      </c>
      <c r="P1037" s="13">
        <v>1071.43</v>
      </c>
      <c r="Q1037" s="13">
        <v>62.13</v>
      </c>
      <c r="R1037" s="1" t="s">
        <v>57</v>
      </c>
      <c r="S1037" s="1">
        <v>5</v>
      </c>
      <c r="T1037" s="1" t="b">
        <v>0</v>
      </c>
      <c r="U1037" s="1" t="s">
        <v>137</v>
      </c>
      <c r="V1037" s="3">
        <v>3</v>
      </c>
    </row>
    <row r="1038" spans="1:22" x14ac:dyDescent="0.3">
      <c r="A1038" s="2" t="s">
        <v>2552</v>
      </c>
      <c r="B1038" s="10">
        <v>45641</v>
      </c>
      <c r="C1038" s="22">
        <v>45641</v>
      </c>
      <c r="D1038" s="1" t="s">
        <v>2553</v>
      </c>
      <c r="E1038" s="1" t="s">
        <v>181</v>
      </c>
      <c r="F1038" s="1">
        <v>29</v>
      </c>
      <c r="G1038" s="1" t="s">
        <v>24</v>
      </c>
      <c r="H1038" s="1" t="s">
        <v>82</v>
      </c>
      <c r="I1038" s="1" t="s">
        <v>244</v>
      </c>
      <c r="J1038" s="1" t="s">
        <v>44</v>
      </c>
      <c r="K1038" s="1" t="s">
        <v>50</v>
      </c>
      <c r="L1038" s="1">
        <v>9</v>
      </c>
      <c r="M1038" s="13">
        <v>26558.959999999999</v>
      </c>
      <c r="N1038" s="15">
        <v>0.12</v>
      </c>
      <c r="O1038" s="13">
        <v>191023.49</v>
      </c>
      <c r="P1038" s="13">
        <v>41485.81</v>
      </c>
      <c r="Q1038" s="13">
        <v>110.49</v>
      </c>
      <c r="R1038" s="1" t="s">
        <v>57</v>
      </c>
      <c r="S1038" s="1">
        <v>3</v>
      </c>
      <c r="T1038" s="1" t="b">
        <v>1</v>
      </c>
      <c r="U1038" s="1" t="s">
        <v>30</v>
      </c>
      <c r="V1038" s="3">
        <v>6</v>
      </c>
    </row>
    <row r="1039" spans="1:22" x14ac:dyDescent="0.3">
      <c r="A1039" s="2" t="s">
        <v>2554</v>
      </c>
      <c r="B1039" s="10">
        <v>45505</v>
      </c>
      <c r="C1039" s="22">
        <v>45505</v>
      </c>
      <c r="D1039" s="1" t="s">
        <v>2555</v>
      </c>
      <c r="E1039" s="1" t="s">
        <v>1645</v>
      </c>
      <c r="F1039" s="1">
        <v>49</v>
      </c>
      <c r="G1039" s="1" t="s">
        <v>24</v>
      </c>
      <c r="H1039" s="1" t="s">
        <v>74</v>
      </c>
      <c r="I1039" s="1" t="s">
        <v>192</v>
      </c>
      <c r="J1039" s="1" t="s">
        <v>146</v>
      </c>
      <c r="K1039" s="1" t="s">
        <v>147</v>
      </c>
      <c r="L1039" s="1">
        <v>9</v>
      </c>
      <c r="M1039" s="13">
        <v>2947.21</v>
      </c>
      <c r="N1039" s="15">
        <v>0.21</v>
      </c>
      <c r="O1039" s="13">
        <v>31412.17</v>
      </c>
      <c r="P1039" s="13">
        <v>5480.32</v>
      </c>
      <c r="Q1039" s="13">
        <v>42.11</v>
      </c>
      <c r="R1039" s="1" t="s">
        <v>57</v>
      </c>
      <c r="S1039" s="1">
        <v>3</v>
      </c>
      <c r="T1039" s="1" t="b">
        <v>0</v>
      </c>
      <c r="U1039" s="1" t="s">
        <v>39</v>
      </c>
      <c r="V1039" s="3">
        <v>7</v>
      </c>
    </row>
    <row r="1040" spans="1:22" x14ac:dyDescent="0.3">
      <c r="A1040" s="2" t="s">
        <v>2556</v>
      </c>
      <c r="B1040" s="10">
        <v>45211</v>
      </c>
      <c r="C1040" s="22">
        <v>45211</v>
      </c>
      <c r="D1040" s="1" t="s">
        <v>2557</v>
      </c>
      <c r="E1040" s="1" t="s">
        <v>926</v>
      </c>
      <c r="F1040" s="1">
        <v>32</v>
      </c>
      <c r="G1040" s="1" t="s">
        <v>24</v>
      </c>
      <c r="H1040" s="1" t="s">
        <v>82</v>
      </c>
      <c r="I1040" s="1" t="s">
        <v>293</v>
      </c>
      <c r="J1040" s="1" t="s">
        <v>62</v>
      </c>
      <c r="K1040" s="1" t="s">
        <v>107</v>
      </c>
      <c r="L1040" s="1">
        <v>4</v>
      </c>
      <c r="M1040" s="13">
        <v>1290.01</v>
      </c>
      <c r="N1040" s="15">
        <v>0</v>
      </c>
      <c r="O1040" s="13">
        <v>6137.27</v>
      </c>
      <c r="P1040" s="13">
        <v>2840.6</v>
      </c>
      <c r="Q1040" s="13">
        <v>68.69</v>
      </c>
      <c r="R1040" s="1" t="s">
        <v>64</v>
      </c>
      <c r="S1040" s="1">
        <v>2</v>
      </c>
      <c r="T1040" s="1" t="b">
        <v>0</v>
      </c>
      <c r="U1040" s="1" t="s">
        <v>58</v>
      </c>
      <c r="V1040" s="3">
        <v>6</v>
      </c>
    </row>
    <row r="1041" spans="1:22" x14ac:dyDescent="0.3">
      <c r="A1041" s="2" t="s">
        <v>2558</v>
      </c>
      <c r="B1041" s="10">
        <v>45467</v>
      </c>
      <c r="C1041" s="22">
        <v>45467</v>
      </c>
      <c r="D1041" s="1" t="s">
        <v>2559</v>
      </c>
      <c r="E1041" s="1" t="s">
        <v>1309</v>
      </c>
      <c r="F1041" s="1">
        <v>51</v>
      </c>
      <c r="G1041" s="1" t="s">
        <v>34</v>
      </c>
      <c r="H1041" s="1" t="s">
        <v>111</v>
      </c>
      <c r="I1041" s="1" t="s">
        <v>141</v>
      </c>
      <c r="J1041" s="1" t="s">
        <v>62</v>
      </c>
      <c r="K1041" s="1" t="s">
        <v>107</v>
      </c>
      <c r="L1041" s="1">
        <v>5</v>
      </c>
      <c r="M1041" s="13">
        <v>961.89</v>
      </c>
      <c r="N1041" s="15">
        <v>0.01</v>
      </c>
      <c r="O1041" s="13">
        <v>7627.11</v>
      </c>
      <c r="P1041" s="13">
        <v>3502.92</v>
      </c>
      <c r="Q1041" s="13">
        <v>70.62</v>
      </c>
      <c r="R1041" s="1" t="s">
        <v>70</v>
      </c>
      <c r="S1041" s="1">
        <v>4</v>
      </c>
      <c r="T1041" s="1" t="b">
        <v>0</v>
      </c>
      <c r="U1041" s="1" t="s">
        <v>39</v>
      </c>
      <c r="V1041" s="3">
        <v>3</v>
      </c>
    </row>
    <row r="1042" spans="1:22" x14ac:dyDescent="0.3">
      <c r="A1042" s="2" t="s">
        <v>2560</v>
      </c>
      <c r="B1042" s="10">
        <v>44916</v>
      </c>
      <c r="C1042" s="22">
        <v>44916</v>
      </c>
      <c r="D1042" s="1" t="s">
        <v>2561</v>
      </c>
      <c r="E1042" s="1" t="s">
        <v>1294</v>
      </c>
      <c r="F1042" s="1">
        <v>35</v>
      </c>
      <c r="G1042" s="1" t="s">
        <v>24</v>
      </c>
      <c r="H1042" s="1" t="s">
        <v>74</v>
      </c>
      <c r="I1042" s="1" t="s">
        <v>192</v>
      </c>
      <c r="J1042" s="1" t="s">
        <v>27</v>
      </c>
      <c r="K1042" s="1" t="s">
        <v>97</v>
      </c>
      <c r="L1042" s="1">
        <v>2</v>
      </c>
      <c r="M1042" s="13">
        <v>87.85</v>
      </c>
      <c r="N1042" s="15">
        <v>0.19</v>
      </c>
      <c r="O1042" s="13">
        <v>103.31</v>
      </c>
      <c r="P1042" s="13">
        <v>6.42</v>
      </c>
      <c r="Q1042" s="13">
        <v>63.89</v>
      </c>
      <c r="R1042" s="1" t="s">
        <v>29</v>
      </c>
      <c r="S1042" s="1">
        <v>1</v>
      </c>
      <c r="T1042" s="1" t="b">
        <v>0</v>
      </c>
      <c r="U1042" s="1" t="s">
        <v>39</v>
      </c>
      <c r="V1042" s="3">
        <v>10</v>
      </c>
    </row>
    <row r="1043" spans="1:22" x14ac:dyDescent="0.3">
      <c r="A1043" s="2" t="s">
        <v>2562</v>
      </c>
      <c r="B1043" s="10">
        <v>44845</v>
      </c>
      <c r="C1043" s="22">
        <v>44845</v>
      </c>
      <c r="D1043" s="1" t="s">
        <v>2563</v>
      </c>
      <c r="E1043" s="1" t="s">
        <v>505</v>
      </c>
      <c r="F1043" s="1">
        <v>33</v>
      </c>
      <c r="G1043" s="1" t="s">
        <v>24</v>
      </c>
      <c r="H1043" s="1" t="s">
        <v>111</v>
      </c>
      <c r="I1043" s="1" t="s">
        <v>141</v>
      </c>
      <c r="J1043" s="1" t="s">
        <v>44</v>
      </c>
      <c r="K1043" s="1" t="s">
        <v>93</v>
      </c>
      <c r="L1043" s="1">
        <v>10</v>
      </c>
      <c r="M1043" s="13">
        <v>33036.39</v>
      </c>
      <c r="N1043" s="15">
        <v>0.15</v>
      </c>
      <c r="O1043" s="13">
        <v>296109.08</v>
      </c>
      <c r="P1043" s="13">
        <v>94051.67</v>
      </c>
      <c r="Q1043" s="13">
        <v>73.88</v>
      </c>
      <c r="R1043" s="1" t="s">
        <v>78</v>
      </c>
      <c r="S1043" s="1">
        <v>4</v>
      </c>
      <c r="T1043" s="1" t="b">
        <v>0</v>
      </c>
      <c r="U1043" s="1" t="s">
        <v>197</v>
      </c>
      <c r="V1043" s="3">
        <v>3</v>
      </c>
    </row>
    <row r="1044" spans="1:22" x14ac:dyDescent="0.3">
      <c r="A1044" s="2" t="s">
        <v>2564</v>
      </c>
      <c r="B1044" s="10">
        <v>45276</v>
      </c>
      <c r="C1044" s="22">
        <v>45276</v>
      </c>
      <c r="D1044" s="1" t="s">
        <v>2565</v>
      </c>
      <c r="E1044" s="1" t="s">
        <v>440</v>
      </c>
      <c r="F1044" s="1">
        <v>25</v>
      </c>
      <c r="G1044" s="1" t="s">
        <v>88</v>
      </c>
      <c r="H1044" s="1" t="s">
        <v>74</v>
      </c>
      <c r="I1044" s="1" t="s">
        <v>192</v>
      </c>
      <c r="J1044" s="1" t="s">
        <v>127</v>
      </c>
      <c r="K1044" s="1" t="s">
        <v>308</v>
      </c>
      <c r="L1044" s="1">
        <v>3</v>
      </c>
      <c r="M1044" s="13">
        <v>32029.32</v>
      </c>
      <c r="N1044" s="15">
        <v>0.02</v>
      </c>
      <c r="O1044" s="13">
        <v>75119.27</v>
      </c>
      <c r="P1044" s="13">
        <v>11139.42</v>
      </c>
      <c r="Q1044" s="13">
        <v>73.87</v>
      </c>
      <c r="R1044" s="1" t="s">
        <v>78</v>
      </c>
      <c r="S1044" s="1">
        <v>2</v>
      </c>
      <c r="T1044" s="1" t="b">
        <v>0</v>
      </c>
      <c r="U1044" s="1" t="s">
        <v>39</v>
      </c>
      <c r="V1044" s="3">
        <v>3</v>
      </c>
    </row>
    <row r="1045" spans="1:22" x14ac:dyDescent="0.3">
      <c r="A1045" s="2" t="s">
        <v>2566</v>
      </c>
      <c r="B1045" s="10">
        <v>45415</v>
      </c>
      <c r="C1045" s="22">
        <v>45415</v>
      </c>
      <c r="D1045" s="1" t="s">
        <v>2567</v>
      </c>
      <c r="E1045" s="1" t="s">
        <v>189</v>
      </c>
      <c r="F1045" s="1">
        <v>34</v>
      </c>
      <c r="G1045" s="1" t="s">
        <v>34</v>
      </c>
      <c r="H1045" s="1" t="s">
        <v>25</v>
      </c>
      <c r="I1045" s="1" t="s">
        <v>26</v>
      </c>
      <c r="J1045" s="1" t="s">
        <v>76</v>
      </c>
      <c r="K1045" s="1" t="s">
        <v>77</v>
      </c>
      <c r="L1045" s="1">
        <v>1</v>
      </c>
      <c r="M1045" s="13">
        <v>1545.75</v>
      </c>
      <c r="N1045" s="15">
        <v>0.33</v>
      </c>
      <c r="O1045" s="13">
        <v>1542.53</v>
      </c>
      <c r="P1045" s="13">
        <v>612.17999999999995</v>
      </c>
      <c r="Q1045" s="13">
        <v>63.94</v>
      </c>
      <c r="R1045" s="1" t="s">
        <v>57</v>
      </c>
      <c r="S1045" s="1">
        <v>2</v>
      </c>
      <c r="T1045" s="1" t="b">
        <v>1</v>
      </c>
      <c r="U1045" s="1" t="s">
        <v>30</v>
      </c>
      <c r="V1045" s="3">
        <v>9</v>
      </c>
    </row>
    <row r="1046" spans="1:22" x14ac:dyDescent="0.3">
      <c r="A1046" s="2" t="s">
        <v>2568</v>
      </c>
      <c r="B1046" s="10">
        <v>45381</v>
      </c>
      <c r="C1046" s="22">
        <v>45381</v>
      </c>
      <c r="D1046" s="1" t="s">
        <v>2569</v>
      </c>
      <c r="E1046" s="1" t="s">
        <v>1899</v>
      </c>
      <c r="F1046" s="1">
        <v>25</v>
      </c>
      <c r="G1046" s="1" t="s">
        <v>24</v>
      </c>
      <c r="H1046" s="1" t="s">
        <v>74</v>
      </c>
      <c r="I1046" s="1" t="s">
        <v>192</v>
      </c>
      <c r="J1046" s="1" t="s">
        <v>76</v>
      </c>
      <c r="K1046" s="1" t="s">
        <v>132</v>
      </c>
      <c r="L1046" s="1">
        <v>4</v>
      </c>
      <c r="M1046" s="13">
        <v>2828.85</v>
      </c>
      <c r="N1046" s="15">
        <v>0.3</v>
      </c>
      <c r="O1046" s="13">
        <v>10952.86</v>
      </c>
      <c r="P1046" s="13">
        <v>3943.46</v>
      </c>
      <c r="Q1046" s="13">
        <v>76.099999999999994</v>
      </c>
      <c r="R1046" s="1" t="s">
        <v>29</v>
      </c>
      <c r="S1046" s="1">
        <v>3</v>
      </c>
      <c r="T1046" s="1" t="b">
        <v>0</v>
      </c>
      <c r="U1046" s="1" t="s">
        <v>84</v>
      </c>
      <c r="V1046" s="3">
        <v>3</v>
      </c>
    </row>
    <row r="1047" spans="1:22" x14ac:dyDescent="0.3">
      <c r="A1047" s="2" t="s">
        <v>2570</v>
      </c>
      <c r="B1047" s="10">
        <v>44362</v>
      </c>
      <c r="C1047" s="22">
        <v>44362</v>
      </c>
      <c r="D1047" s="1" t="s">
        <v>2571</v>
      </c>
      <c r="E1047" s="1" t="s">
        <v>817</v>
      </c>
      <c r="F1047" s="1">
        <v>40</v>
      </c>
      <c r="G1047" s="1" t="s">
        <v>24</v>
      </c>
      <c r="H1047" s="1" t="s">
        <v>25</v>
      </c>
      <c r="I1047" s="1" t="s">
        <v>26</v>
      </c>
      <c r="J1047" s="1" t="s">
        <v>127</v>
      </c>
      <c r="K1047" s="1" t="s">
        <v>171</v>
      </c>
      <c r="L1047" s="1">
        <v>1</v>
      </c>
      <c r="M1047" s="13">
        <v>47536.69</v>
      </c>
      <c r="N1047" s="15">
        <v>0.14000000000000001</v>
      </c>
      <c r="O1047" s="13">
        <v>48541.55</v>
      </c>
      <c r="P1047" s="13">
        <v>7443.68</v>
      </c>
      <c r="Q1047" s="13">
        <v>39.99</v>
      </c>
      <c r="R1047" s="1" t="s">
        <v>70</v>
      </c>
      <c r="S1047" s="1">
        <v>3</v>
      </c>
      <c r="T1047" s="1" t="b">
        <v>0</v>
      </c>
      <c r="U1047" s="1" t="s">
        <v>84</v>
      </c>
      <c r="V1047" s="3">
        <v>4</v>
      </c>
    </row>
    <row r="1048" spans="1:22" x14ac:dyDescent="0.3">
      <c r="A1048" s="2" t="s">
        <v>2572</v>
      </c>
      <c r="B1048" s="10">
        <v>44343</v>
      </c>
      <c r="C1048" s="22">
        <v>44343</v>
      </c>
      <c r="D1048" s="1" t="s">
        <v>2573</v>
      </c>
      <c r="E1048" s="1" t="s">
        <v>307</v>
      </c>
      <c r="F1048" s="1">
        <v>28</v>
      </c>
      <c r="G1048" s="1" t="s">
        <v>68</v>
      </c>
      <c r="H1048" s="1" t="s">
        <v>82</v>
      </c>
      <c r="I1048" s="1" t="s">
        <v>126</v>
      </c>
      <c r="J1048" s="1" t="s">
        <v>146</v>
      </c>
      <c r="K1048" s="1" t="s">
        <v>276</v>
      </c>
      <c r="L1048" s="1">
        <v>6</v>
      </c>
      <c r="M1048" s="13">
        <v>6132.4</v>
      </c>
      <c r="N1048" s="15">
        <v>0.14000000000000001</v>
      </c>
      <c r="O1048" s="13">
        <v>43423.68</v>
      </c>
      <c r="P1048" s="13">
        <v>6267.62</v>
      </c>
      <c r="Q1048" s="13">
        <v>83.58</v>
      </c>
      <c r="R1048" s="1" t="s">
        <v>51</v>
      </c>
      <c r="S1048" s="1">
        <v>3</v>
      </c>
      <c r="T1048" s="1" t="b">
        <v>0</v>
      </c>
      <c r="U1048" s="1" t="s">
        <v>39</v>
      </c>
      <c r="V1048" s="3">
        <v>3</v>
      </c>
    </row>
    <row r="1049" spans="1:22" x14ac:dyDescent="0.3">
      <c r="A1049" s="2" t="s">
        <v>2574</v>
      </c>
      <c r="B1049" s="10">
        <v>45476</v>
      </c>
      <c r="C1049" s="22">
        <v>45476</v>
      </c>
      <c r="D1049" s="1" t="s">
        <v>2575</v>
      </c>
      <c r="E1049" s="1" t="s">
        <v>531</v>
      </c>
      <c r="F1049" s="1">
        <v>29</v>
      </c>
      <c r="G1049" s="1" t="s">
        <v>24</v>
      </c>
      <c r="H1049" s="1" t="s">
        <v>111</v>
      </c>
      <c r="I1049" s="1" t="s">
        <v>141</v>
      </c>
      <c r="J1049" s="1" t="s">
        <v>37</v>
      </c>
      <c r="K1049" s="1" t="s">
        <v>671</v>
      </c>
      <c r="L1049" s="1">
        <v>5</v>
      </c>
      <c r="M1049" s="13">
        <v>561.79</v>
      </c>
      <c r="N1049" s="15">
        <v>0.16</v>
      </c>
      <c r="O1049" s="13">
        <v>777.12</v>
      </c>
      <c r="P1049" s="13">
        <v>256.7</v>
      </c>
      <c r="Q1049" s="13">
        <v>65.099999999999994</v>
      </c>
      <c r="R1049" s="1" t="s">
        <v>78</v>
      </c>
      <c r="S1049" s="1">
        <v>1</v>
      </c>
      <c r="T1049" s="1" t="b">
        <v>0</v>
      </c>
      <c r="U1049" s="1" t="s">
        <v>39</v>
      </c>
      <c r="V1049" s="3">
        <v>4</v>
      </c>
    </row>
    <row r="1050" spans="1:22" x14ac:dyDescent="0.3">
      <c r="A1050" s="2" t="s">
        <v>2576</v>
      </c>
      <c r="B1050" s="10">
        <v>44645</v>
      </c>
      <c r="C1050" s="22">
        <v>44645</v>
      </c>
      <c r="D1050" s="1" t="s">
        <v>2577</v>
      </c>
      <c r="E1050" s="1" t="s">
        <v>2367</v>
      </c>
      <c r="F1050" s="1">
        <v>26</v>
      </c>
      <c r="G1050" s="1" t="s">
        <v>463</v>
      </c>
      <c r="H1050" s="1" t="s">
        <v>111</v>
      </c>
      <c r="I1050" s="1" t="s">
        <v>141</v>
      </c>
      <c r="J1050" s="1" t="s">
        <v>146</v>
      </c>
      <c r="K1050" s="1" t="s">
        <v>484</v>
      </c>
      <c r="L1050" s="1">
        <v>9</v>
      </c>
      <c r="M1050" s="13">
        <v>8324.77</v>
      </c>
      <c r="N1050" s="15">
        <v>0.01</v>
      </c>
      <c r="O1050" s="13">
        <v>78776.929999999993</v>
      </c>
      <c r="P1050" s="13">
        <v>19757.509999999998</v>
      </c>
      <c r="Q1050" s="13">
        <v>114.04</v>
      </c>
      <c r="R1050" s="1" t="s">
        <v>57</v>
      </c>
      <c r="S1050" s="1">
        <v>4</v>
      </c>
      <c r="T1050" s="1" t="b">
        <v>0</v>
      </c>
      <c r="U1050" s="1" t="s">
        <v>137</v>
      </c>
      <c r="V1050" s="3">
        <v>3</v>
      </c>
    </row>
    <row r="1051" spans="1:22" x14ac:dyDescent="0.3">
      <c r="A1051" s="2" t="s">
        <v>2578</v>
      </c>
      <c r="B1051" s="10">
        <v>45291</v>
      </c>
      <c r="C1051" s="22">
        <v>45291</v>
      </c>
      <c r="D1051" s="1" t="s">
        <v>2579</v>
      </c>
      <c r="E1051" s="1" t="s">
        <v>311</v>
      </c>
      <c r="F1051" s="1">
        <v>26</v>
      </c>
      <c r="G1051" s="1" t="s">
        <v>24</v>
      </c>
      <c r="H1051" s="1" t="s">
        <v>82</v>
      </c>
      <c r="I1051" s="1" t="s">
        <v>83</v>
      </c>
      <c r="J1051" s="1" t="s">
        <v>127</v>
      </c>
      <c r="K1051" s="1" t="s">
        <v>196</v>
      </c>
      <c r="L1051" s="1">
        <v>1</v>
      </c>
      <c r="M1051" s="13">
        <v>39921.4</v>
      </c>
      <c r="N1051" s="15">
        <v>0.23</v>
      </c>
      <c r="O1051" s="13">
        <v>29027.34</v>
      </c>
      <c r="P1051" s="13">
        <v>4657.8</v>
      </c>
      <c r="Q1051" s="13">
        <v>79.95</v>
      </c>
      <c r="R1051" s="1" t="s">
        <v>70</v>
      </c>
      <c r="S1051" s="1">
        <v>5</v>
      </c>
      <c r="T1051" s="1" t="b">
        <v>0</v>
      </c>
      <c r="U1051" s="1" t="s">
        <v>39</v>
      </c>
      <c r="V1051" s="3">
        <v>1</v>
      </c>
    </row>
    <row r="1052" spans="1:22" x14ac:dyDescent="0.3">
      <c r="A1052" s="2" t="s">
        <v>2580</v>
      </c>
      <c r="B1052" s="10">
        <v>43982</v>
      </c>
      <c r="C1052" s="22">
        <v>43982</v>
      </c>
      <c r="D1052" s="1" t="s">
        <v>2581</v>
      </c>
      <c r="E1052" s="1" t="s">
        <v>2582</v>
      </c>
      <c r="F1052" s="1">
        <v>36</v>
      </c>
      <c r="G1052" s="1" t="s">
        <v>391</v>
      </c>
      <c r="H1052" s="1" t="s">
        <v>35</v>
      </c>
      <c r="I1052" s="1" t="s">
        <v>49</v>
      </c>
      <c r="J1052" s="1" t="s">
        <v>146</v>
      </c>
      <c r="K1052" s="1" t="s">
        <v>147</v>
      </c>
      <c r="L1052" s="1">
        <v>3</v>
      </c>
      <c r="M1052" s="13">
        <v>5934.84</v>
      </c>
      <c r="N1052" s="15">
        <v>0.4</v>
      </c>
      <c r="O1052" s="13">
        <v>13742.69</v>
      </c>
      <c r="P1052" s="13">
        <v>3428.34</v>
      </c>
      <c r="Q1052" s="13">
        <v>72.22</v>
      </c>
      <c r="R1052" s="1" t="s">
        <v>64</v>
      </c>
      <c r="S1052" s="1">
        <v>4</v>
      </c>
      <c r="T1052" s="1" t="b">
        <v>0</v>
      </c>
      <c r="U1052" s="1" t="s">
        <v>137</v>
      </c>
      <c r="V1052" s="3">
        <v>2</v>
      </c>
    </row>
    <row r="1053" spans="1:22" x14ac:dyDescent="0.3">
      <c r="A1053" s="2" t="s">
        <v>2583</v>
      </c>
      <c r="B1053" s="10">
        <v>45379</v>
      </c>
      <c r="C1053" s="22">
        <v>45379</v>
      </c>
      <c r="D1053" s="1" t="s">
        <v>2584</v>
      </c>
      <c r="E1053" s="1" t="s">
        <v>181</v>
      </c>
      <c r="F1053" s="1">
        <v>59</v>
      </c>
      <c r="G1053" s="1" t="s">
        <v>463</v>
      </c>
      <c r="H1053" s="1" t="s">
        <v>35</v>
      </c>
      <c r="I1053" s="1" t="s">
        <v>36</v>
      </c>
      <c r="J1053" s="1" t="s">
        <v>27</v>
      </c>
      <c r="K1053" s="1" t="s">
        <v>400</v>
      </c>
      <c r="L1053" s="1">
        <v>9</v>
      </c>
      <c r="M1053" s="13">
        <v>158.32</v>
      </c>
      <c r="N1053" s="15">
        <v>0.22</v>
      </c>
      <c r="O1053" s="13">
        <v>1561.49</v>
      </c>
      <c r="P1053" s="13">
        <v>114.52</v>
      </c>
      <c r="Q1053" s="13">
        <v>64.86</v>
      </c>
      <c r="R1053" s="1" t="s">
        <v>51</v>
      </c>
      <c r="S1053" s="1">
        <v>3</v>
      </c>
      <c r="T1053" s="1" t="b">
        <v>0</v>
      </c>
      <c r="U1053" s="1" t="s">
        <v>39</v>
      </c>
      <c r="V1053" s="3">
        <v>10</v>
      </c>
    </row>
    <row r="1054" spans="1:22" x14ac:dyDescent="0.3">
      <c r="A1054" s="2" t="s">
        <v>2585</v>
      </c>
      <c r="B1054" s="10">
        <v>45550</v>
      </c>
      <c r="C1054" s="22">
        <v>45550</v>
      </c>
      <c r="D1054" s="1" t="s">
        <v>2586</v>
      </c>
      <c r="E1054" s="1" t="s">
        <v>711</v>
      </c>
      <c r="F1054" s="1">
        <v>28</v>
      </c>
      <c r="G1054" s="1" t="s">
        <v>34</v>
      </c>
      <c r="H1054" s="1" t="s">
        <v>82</v>
      </c>
      <c r="I1054" s="1" t="s">
        <v>244</v>
      </c>
      <c r="J1054" s="1" t="s">
        <v>27</v>
      </c>
      <c r="K1054" s="1" t="s">
        <v>450</v>
      </c>
      <c r="L1054" s="1">
        <v>10</v>
      </c>
      <c r="M1054" s="13">
        <v>394.18</v>
      </c>
      <c r="N1054" s="15">
        <v>0.11</v>
      </c>
      <c r="O1054" s="13">
        <v>4349.83</v>
      </c>
      <c r="P1054" s="13">
        <v>380.98</v>
      </c>
      <c r="Q1054" s="13">
        <v>90.1</v>
      </c>
      <c r="R1054" s="1" t="s">
        <v>78</v>
      </c>
      <c r="S1054" s="1">
        <v>3</v>
      </c>
      <c r="T1054" s="1" t="b">
        <v>0</v>
      </c>
      <c r="U1054" s="1" t="s">
        <v>39</v>
      </c>
      <c r="V1054" s="3">
        <v>3</v>
      </c>
    </row>
    <row r="1055" spans="1:22" x14ac:dyDescent="0.3">
      <c r="A1055" s="2" t="s">
        <v>2587</v>
      </c>
      <c r="B1055" s="10">
        <v>45249</v>
      </c>
      <c r="C1055" s="22">
        <v>45249</v>
      </c>
      <c r="D1055" s="1" t="s">
        <v>2588</v>
      </c>
      <c r="E1055" s="1" t="s">
        <v>638</v>
      </c>
      <c r="F1055" s="1">
        <v>15</v>
      </c>
      <c r="G1055" s="1" t="s">
        <v>24</v>
      </c>
      <c r="H1055" s="1" t="s">
        <v>25</v>
      </c>
      <c r="I1055" s="1" t="s">
        <v>55</v>
      </c>
      <c r="J1055" s="1" t="s">
        <v>44</v>
      </c>
      <c r="K1055" s="1" t="s">
        <v>117</v>
      </c>
      <c r="L1055" s="1">
        <v>7</v>
      </c>
      <c r="M1055" s="13">
        <v>30237.39</v>
      </c>
      <c r="N1055" s="15">
        <v>0.15</v>
      </c>
      <c r="O1055" s="13">
        <v>155865.09</v>
      </c>
      <c r="P1055" s="13">
        <v>38187.730000000003</v>
      </c>
      <c r="Q1055" s="13">
        <v>68.650000000000006</v>
      </c>
      <c r="R1055" s="1" t="s">
        <v>70</v>
      </c>
      <c r="S1055" s="1">
        <v>5</v>
      </c>
      <c r="T1055" s="1" t="b">
        <v>0</v>
      </c>
      <c r="U1055" s="1" t="s">
        <v>84</v>
      </c>
      <c r="V1055" s="3">
        <v>8</v>
      </c>
    </row>
    <row r="1056" spans="1:22" x14ac:dyDescent="0.3">
      <c r="A1056" s="2" t="s">
        <v>2589</v>
      </c>
      <c r="B1056" s="10">
        <v>45148</v>
      </c>
      <c r="C1056" s="22">
        <v>45148</v>
      </c>
      <c r="D1056" s="1" t="s">
        <v>2590</v>
      </c>
      <c r="E1056" s="1" t="s">
        <v>289</v>
      </c>
      <c r="F1056" s="1">
        <v>42</v>
      </c>
      <c r="G1056" s="1" t="s">
        <v>391</v>
      </c>
      <c r="H1056" s="1" t="s">
        <v>111</v>
      </c>
      <c r="I1056" s="1" t="s">
        <v>121</v>
      </c>
      <c r="J1056" s="1" t="s">
        <v>27</v>
      </c>
      <c r="K1056" s="1" t="s">
        <v>430</v>
      </c>
      <c r="L1056" s="1">
        <v>4</v>
      </c>
      <c r="M1056" s="13">
        <v>474.68</v>
      </c>
      <c r="N1056" s="15">
        <v>0.3</v>
      </c>
      <c r="O1056" s="13">
        <v>1844.79</v>
      </c>
      <c r="P1056" s="13">
        <v>156.82</v>
      </c>
      <c r="Q1056" s="13">
        <v>41.43</v>
      </c>
      <c r="R1056" s="1" t="s">
        <v>70</v>
      </c>
      <c r="S1056" s="1">
        <v>3</v>
      </c>
      <c r="T1056" s="1" t="b">
        <v>0</v>
      </c>
      <c r="U1056" s="1" t="s">
        <v>39</v>
      </c>
      <c r="V1056" s="3">
        <v>7</v>
      </c>
    </row>
    <row r="1057" spans="1:22" x14ac:dyDescent="0.3">
      <c r="A1057" s="2" t="s">
        <v>2591</v>
      </c>
      <c r="B1057" s="10">
        <v>45208</v>
      </c>
      <c r="C1057" s="22">
        <v>45208</v>
      </c>
      <c r="D1057" s="1" t="s">
        <v>2592</v>
      </c>
      <c r="E1057" s="1" t="s">
        <v>329</v>
      </c>
      <c r="F1057" s="1">
        <v>40</v>
      </c>
      <c r="G1057" s="1" t="s">
        <v>434</v>
      </c>
      <c r="H1057" s="1" t="s">
        <v>25</v>
      </c>
      <c r="I1057" s="1" t="s">
        <v>170</v>
      </c>
      <c r="J1057" s="1" t="s">
        <v>127</v>
      </c>
      <c r="K1057" s="1" t="s">
        <v>517</v>
      </c>
      <c r="L1057" s="1">
        <v>2</v>
      </c>
      <c r="M1057" s="13">
        <v>15759.44</v>
      </c>
      <c r="N1057" s="15">
        <v>0.15</v>
      </c>
      <c r="O1057" s="13">
        <v>30120.16</v>
      </c>
      <c r="P1057" s="13">
        <v>3914.94</v>
      </c>
      <c r="Q1057" s="13">
        <v>66.72</v>
      </c>
      <c r="R1057" s="1" t="s">
        <v>57</v>
      </c>
      <c r="S1057" s="1">
        <v>5</v>
      </c>
      <c r="T1057" s="1" t="b">
        <v>0</v>
      </c>
      <c r="U1057" s="1" t="s">
        <v>39</v>
      </c>
      <c r="V1057" s="3">
        <v>10</v>
      </c>
    </row>
    <row r="1058" spans="1:22" x14ac:dyDescent="0.3">
      <c r="A1058" s="2" t="s">
        <v>2593</v>
      </c>
      <c r="B1058" s="10">
        <v>45203</v>
      </c>
      <c r="C1058" s="22">
        <v>45203</v>
      </c>
      <c r="D1058" s="1" t="s">
        <v>2594</v>
      </c>
      <c r="E1058" s="1" t="s">
        <v>240</v>
      </c>
      <c r="F1058" s="1">
        <v>34</v>
      </c>
      <c r="G1058" s="1" t="s">
        <v>34</v>
      </c>
      <c r="H1058" s="1" t="s">
        <v>82</v>
      </c>
      <c r="I1058" s="1" t="s">
        <v>83</v>
      </c>
      <c r="J1058" s="1" t="s">
        <v>62</v>
      </c>
      <c r="K1058" s="1" t="s">
        <v>266</v>
      </c>
      <c r="L1058" s="1">
        <v>8</v>
      </c>
      <c r="M1058" s="13">
        <v>344.93</v>
      </c>
      <c r="N1058" s="15">
        <v>0.06</v>
      </c>
      <c r="O1058" s="13">
        <v>2797.51</v>
      </c>
      <c r="P1058" s="13">
        <v>1292.82</v>
      </c>
      <c r="Q1058" s="13">
        <v>61.8</v>
      </c>
      <c r="R1058" s="1" t="s">
        <v>57</v>
      </c>
      <c r="S1058" s="1">
        <v>3</v>
      </c>
      <c r="T1058" s="1" t="b">
        <v>0</v>
      </c>
      <c r="U1058" s="1" t="s">
        <v>39</v>
      </c>
      <c r="V1058" s="3">
        <v>3</v>
      </c>
    </row>
    <row r="1059" spans="1:22" x14ac:dyDescent="0.3">
      <c r="A1059" s="2" t="s">
        <v>2595</v>
      </c>
      <c r="B1059" s="10">
        <v>44760</v>
      </c>
      <c r="C1059" s="22">
        <v>44760</v>
      </c>
      <c r="D1059" s="1" t="s">
        <v>2596</v>
      </c>
      <c r="E1059" s="1" t="s">
        <v>496</v>
      </c>
      <c r="F1059" s="1">
        <v>33</v>
      </c>
      <c r="G1059" s="1" t="s">
        <v>68</v>
      </c>
      <c r="H1059" s="1" t="s">
        <v>74</v>
      </c>
      <c r="I1059" s="1" t="s">
        <v>75</v>
      </c>
      <c r="J1059" s="1" t="s">
        <v>44</v>
      </c>
      <c r="K1059" s="1" t="s">
        <v>117</v>
      </c>
      <c r="L1059" s="1">
        <v>4</v>
      </c>
      <c r="M1059" s="13">
        <v>3037.37</v>
      </c>
      <c r="N1059" s="15">
        <v>0.1</v>
      </c>
      <c r="O1059" s="13">
        <v>12378.84</v>
      </c>
      <c r="P1059" s="13">
        <v>3013.5</v>
      </c>
      <c r="Q1059" s="13">
        <v>45.31</v>
      </c>
      <c r="R1059" s="1" t="s">
        <v>29</v>
      </c>
      <c r="S1059" s="1">
        <v>3</v>
      </c>
      <c r="T1059" s="1" t="b">
        <v>0</v>
      </c>
      <c r="U1059" s="1" t="s">
        <v>84</v>
      </c>
      <c r="V1059" s="3">
        <v>4</v>
      </c>
    </row>
    <row r="1060" spans="1:22" x14ac:dyDescent="0.3">
      <c r="A1060" s="2" t="s">
        <v>2597</v>
      </c>
      <c r="B1060" s="10">
        <v>44441</v>
      </c>
      <c r="C1060" s="22">
        <v>44441</v>
      </c>
      <c r="D1060" s="1" t="s">
        <v>2598</v>
      </c>
      <c r="E1060" s="1" t="s">
        <v>1023</v>
      </c>
      <c r="F1060" s="1">
        <v>17</v>
      </c>
      <c r="G1060" s="1" t="s">
        <v>24</v>
      </c>
      <c r="H1060" s="1" t="s">
        <v>25</v>
      </c>
      <c r="I1060" s="1" t="s">
        <v>69</v>
      </c>
      <c r="J1060" s="1" t="s">
        <v>37</v>
      </c>
      <c r="K1060" s="1" t="s">
        <v>102</v>
      </c>
      <c r="L1060" s="1">
        <v>10</v>
      </c>
      <c r="M1060" s="13">
        <v>565.58000000000004</v>
      </c>
      <c r="N1060" s="15">
        <v>0.36</v>
      </c>
      <c r="O1060" s="13">
        <v>4045.87</v>
      </c>
      <c r="P1060" s="13">
        <v>2129.62</v>
      </c>
      <c r="Q1060" s="13">
        <v>37.31</v>
      </c>
      <c r="R1060" s="1" t="s">
        <v>51</v>
      </c>
      <c r="S1060" s="1">
        <v>3</v>
      </c>
      <c r="T1060" s="1" t="b">
        <v>1</v>
      </c>
      <c r="U1060" s="1" t="s">
        <v>30</v>
      </c>
      <c r="V1060" s="3">
        <v>9</v>
      </c>
    </row>
    <row r="1061" spans="1:22" x14ac:dyDescent="0.3">
      <c r="A1061" s="2" t="s">
        <v>2599</v>
      </c>
      <c r="B1061" s="10">
        <v>45495</v>
      </c>
      <c r="C1061" s="22">
        <v>45495</v>
      </c>
      <c r="D1061" s="1" t="s">
        <v>2600</v>
      </c>
      <c r="E1061" s="1" t="s">
        <v>897</v>
      </c>
      <c r="F1061" s="1">
        <v>35</v>
      </c>
      <c r="G1061" s="1" t="s">
        <v>24</v>
      </c>
      <c r="H1061" s="1" t="s">
        <v>25</v>
      </c>
      <c r="I1061" s="1" t="s">
        <v>170</v>
      </c>
      <c r="J1061" s="1" t="s">
        <v>127</v>
      </c>
      <c r="K1061" s="1" t="s">
        <v>308</v>
      </c>
      <c r="L1061" s="1">
        <v>3</v>
      </c>
      <c r="M1061" s="13">
        <v>45894.21</v>
      </c>
      <c r="N1061" s="15">
        <v>0.11</v>
      </c>
      <c r="O1061" s="13">
        <v>191499.56</v>
      </c>
      <c r="P1061" s="13">
        <v>29426.2</v>
      </c>
      <c r="Q1061" s="13">
        <v>51.2</v>
      </c>
      <c r="R1061" s="1" t="s">
        <v>78</v>
      </c>
      <c r="S1061" s="1">
        <v>2</v>
      </c>
      <c r="T1061" s="1" t="b">
        <v>0</v>
      </c>
      <c r="U1061" s="1" t="s">
        <v>39</v>
      </c>
      <c r="V1061" s="3">
        <v>3</v>
      </c>
    </row>
    <row r="1062" spans="1:22" x14ac:dyDescent="0.3">
      <c r="A1062" s="2" t="s">
        <v>2601</v>
      </c>
      <c r="B1062" s="10">
        <v>44179</v>
      </c>
      <c r="C1062" s="22">
        <v>44179</v>
      </c>
      <c r="D1062" s="1" t="s">
        <v>2602</v>
      </c>
      <c r="E1062" s="1" t="s">
        <v>508</v>
      </c>
      <c r="F1062" s="1">
        <v>27</v>
      </c>
      <c r="G1062" s="1" t="s">
        <v>68</v>
      </c>
      <c r="H1062" s="1" t="s">
        <v>25</v>
      </c>
      <c r="I1062" s="1" t="s">
        <v>69</v>
      </c>
      <c r="J1062" s="1" t="s">
        <v>44</v>
      </c>
      <c r="K1062" s="1" t="s">
        <v>221</v>
      </c>
      <c r="L1062" s="1">
        <v>9</v>
      </c>
      <c r="M1062" s="13">
        <v>20678.490000000002</v>
      </c>
      <c r="N1062" s="15">
        <v>0.35</v>
      </c>
      <c r="O1062" s="13">
        <v>87908.479999999996</v>
      </c>
      <c r="P1062" s="13">
        <v>33141.699999999997</v>
      </c>
      <c r="Q1062" s="13">
        <v>46.74</v>
      </c>
      <c r="R1062" s="1" t="s">
        <v>70</v>
      </c>
      <c r="S1062" s="1">
        <v>2</v>
      </c>
      <c r="T1062" s="1" t="b">
        <v>0</v>
      </c>
      <c r="U1062" s="1" t="s">
        <v>39</v>
      </c>
      <c r="V1062" s="3">
        <v>5</v>
      </c>
    </row>
    <row r="1063" spans="1:22" x14ac:dyDescent="0.3">
      <c r="A1063" s="2" t="s">
        <v>2603</v>
      </c>
      <c r="B1063" s="10">
        <v>44373</v>
      </c>
      <c r="C1063" s="22">
        <v>44373</v>
      </c>
      <c r="D1063" s="1" t="s">
        <v>2604</v>
      </c>
      <c r="E1063" s="1" t="s">
        <v>2144</v>
      </c>
      <c r="F1063" s="1">
        <v>58</v>
      </c>
      <c r="G1063" s="1" t="s">
        <v>24</v>
      </c>
      <c r="H1063" s="1" t="s">
        <v>111</v>
      </c>
      <c r="I1063" s="1" t="s">
        <v>330</v>
      </c>
      <c r="J1063" s="1" t="s">
        <v>76</v>
      </c>
      <c r="K1063" s="1" t="s">
        <v>122</v>
      </c>
      <c r="L1063" s="1">
        <v>1</v>
      </c>
      <c r="M1063" s="13">
        <v>3505.24</v>
      </c>
      <c r="N1063" s="15">
        <v>0.31</v>
      </c>
      <c r="O1063" s="13">
        <v>3938.32</v>
      </c>
      <c r="P1063" s="13">
        <v>1621.58</v>
      </c>
      <c r="Q1063" s="13">
        <v>55.77</v>
      </c>
      <c r="R1063" s="1" t="s">
        <v>78</v>
      </c>
      <c r="S1063" s="1">
        <v>3</v>
      </c>
      <c r="T1063" s="1" t="b">
        <v>0</v>
      </c>
      <c r="U1063" s="1" t="s">
        <v>39</v>
      </c>
      <c r="V1063" s="3">
        <v>9</v>
      </c>
    </row>
    <row r="1064" spans="1:22" x14ac:dyDescent="0.3">
      <c r="A1064" s="2" t="s">
        <v>2605</v>
      </c>
      <c r="B1064" s="10">
        <v>44525</v>
      </c>
      <c r="C1064" s="22">
        <v>44525</v>
      </c>
      <c r="D1064" s="1" t="s">
        <v>2606</v>
      </c>
      <c r="E1064" s="1" t="s">
        <v>2110</v>
      </c>
      <c r="F1064" s="1">
        <v>29</v>
      </c>
      <c r="G1064" s="1" t="s">
        <v>24</v>
      </c>
      <c r="H1064" s="1" t="s">
        <v>74</v>
      </c>
      <c r="I1064" s="1" t="s">
        <v>75</v>
      </c>
      <c r="J1064" s="1" t="s">
        <v>27</v>
      </c>
      <c r="K1064" s="1" t="s">
        <v>97</v>
      </c>
      <c r="L1064" s="1">
        <v>5</v>
      </c>
      <c r="M1064" s="13">
        <v>391.05</v>
      </c>
      <c r="N1064" s="15">
        <v>0.11</v>
      </c>
      <c r="O1064" s="13">
        <v>304.23</v>
      </c>
      <c r="P1064" s="13">
        <v>27.95</v>
      </c>
      <c r="Q1064" s="13">
        <v>38.520000000000003</v>
      </c>
      <c r="R1064" s="1" t="s">
        <v>70</v>
      </c>
      <c r="S1064" s="1">
        <v>3</v>
      </c>
      <c r="T1064" s="1" t="b">
        <v>0</v>
      </c>
      <c r="U1064" s="1" t="s">
        <v>137</v>
      </c>
      <c r="V1064" s="3">
        <v>10</v>
      </c>
    </row>
    <row r="1065" spans="1:22" x14ac:dyDescent="0.3">
      <c r="A1065" s="2" t="s">
        <v>2607</v>
      </c>
      <c r="B1065" s="10">
        <v>45466</v>
      </c>
      <c r="C1065" s="22">
        <v>45466</v>
      </c>
      <c r="D1065" s="1" t="s">
        <v>2608</v>
      </c>
      <c r="E1065" s="1" t="s">
        <v>1067</v>
      </c>
      <c r="F1065" s="1">
        <v>33</v>
      </c>
      <c r="G1065" s="1" t="s">
        <v>34</v>
      </c>
      <c r="H1065" s="1" t="s">
        <v>82</v>
      </c>
      <c r="I1065" s="1" t="s">
        <v>83</v>
      </c>
      <c r="J1065" s="1" t="s">
        <v>27</v>
      </c>
      <c r="K1065" s="1" t="s">
        <v>97</v>
      </c>
      <c r="L1065" s="1">
        <v>9</v>
      </c>
      <c r="M1065" s="13">
        <v>298.83</v>
      </c>
      <c r="N1065" s="15">
        <v>0.1</v>
      </c>
      <c r="O1065" s="13">
        <v>4084.65</v>
      </c>
      <c r="P1065" s="13">
        <v>279.52999999999997</v>
      </c>
      <c r="Q1065" s="13">
        <v>55.65</v>
      </c>
      <c r="R1065" s="1" t="s">
        <v>51</v>
      </c>
      <c r="S1065" s="1">
        <v>1</v>
      </c>
      <c r="T1065" s="1" t="b">
        <v>1</v>
      </c>
      <c r="U1065" s="1" t="s">
        <v>30</v>
      </c>
      <c r="V1065" s="3">
        <v>1</v>
      </c>
    </row>
    <row r="1066" spans="1:22" x14ac:dyDescent="0.3">
      <c r="A1066" s="2" t="s">
        <v>2609</v>
      </c>
      <c r="B1066" s="10">
        <v>44464</v>
      </c>
      <c r="C1066" s="22">
        <v>44464</v>
      </c>
      <c r="D1066" s="1" t="s">
        <v>2610</v>
      </c>
      <c r="E1066" s="1" t="s">
        <v>210</v>
      </c>
      <c r="F1066" s="1">
        <v>25</v>
      </c>
      <c r="G1066" s="1" t="s">
        <v>68</v>
      </c>
      <c r="H1066" s="1" t="s">
        <v>82</v>
      </c>
      <c r="I1066" s="1" t="s">
        <v>293</v>
      </c>
      <c r="J1066" s="1" t="s">
        <v>62</v>
      </c>
      <c r="K1066" s="1" t="s">
        <v>266</v>
      </c>
      <c r="L1066" s="1">
        <v>10</v>
      </c>
      <c r="M1066" s="13">
        <v>350.58</v>
      </c>
      <c r="N1066" s="15">
        <v>0.32</v>
      </c>
      <c r="O1066" s="13">
        <v>2561.17</v>
      </c>
      <c r="P1066" s="13">
        <v>916.75</v>
      </c>
      <c r="Q1066" s="13">
        <v>95</v>
      </c>
      <c r="R1066" s="1" t="s">
        <v>78</v>
      </c>
      <c r="S1066" s="1">
        <v>5</v>
      </c>
      <c r="T1066" s="1" t="b">
        <v>0</v>
      </c>
      <c r="U1066" s="1" t="s">
        <v>39</v>
      </c>
      <c r="V1066" s="3">
        <v>7</v>
      </c>
    </row>
    <row r="1067" spans="1:22" x14ac:dyDescent="0.3">
      <c r="A1067" s="2" t="s">
        <v>2611</v>
      </c>
      <c r="B1067" s="10">
        <v>45278</v>
      </c>
      <c r="C1067" s="22">
        <v>45278</v>
      </c>
      <c r="D1067" s="1" t="s">
        <v>2612</v>
      </c>
      <c r="E1067" s="1" t="s">
        <v>234</v>
      </c>
      <c r="F1067" s="1">
        <v>42</v>
      </c>
      <c r="G1067" s="1" t="s">
        <v>34</v>
      </c>
      <c r="H1067" s="1" t="s">
        <v>74</v>
      </c>
      <c r="I1067" s="1" t="s">
        <v>192</v>
      </c>
      <c r="J1067" s="1" t="s">
        <v>146</v>
      </c>
      <c r="K1067" s="1" t="s">
        <v>484</v>
      </c>
      <c r="L1067" s="1">
        <v>0</v>
      </c>
      <c r="M1067" s="13">
        <v>935.36</v>
      </c>
      <c r="N1067" s="15">
        <v>0.06</v>
      </c>
      <c r="O1067" s="13">
        <v>727.57</v>
      </c>
      <c r="P1067" s="13">
        <v>161.08000000000001</v>
      </c>
      <c r="Q1067" s="13">
        <v>50.09</v>
      </c>
      <c r="R1067" s="1" t="s">
        <v>78</v>
      </c>
      <c r="S1067" s="1">
        <v>1</v>
      </c>
      <c r="T1067" s="1" t="b">
        <v>1</v>
      </c>
      <c r="U1067" s="1" t="s">
        <v>30</v>
      </c>
      <c r="V1067" s="3">
        <v>3</v>
      </c>
    </row>
    <row r="1068" spans="1:22" x14ac:dyDescent="0.3">
      <c r="A1068" s="2" t="s">
        <v>2613</v>
      </c>
      <c r="B1068" s="10">
        <v>43839</v>
      </c>
      <c r="C1068" s="22">
        <v>43839</v>
      </c>
      <c r="D1068" s="1" t="s">
        <v>2614</v>
      </c>
      <c r="E1068" s="1" t="s">
        <v>943</v>
      </c>
      <c r="F1068" s="1">
        <v>44</v>
      </c>
      <c r="G1068" s="1" t="s">
        <v>68</v>
      </c>
      <c r="H1068" s="1" t="s">
        <v>35</v>
      </c>
      <c r="I1068" s="1" t="s">
        <v>106</v>
      </c>
      <c r="J1068" s="1" t="s">
        <v>44</v>
      </c>
      <c r="K1068" s="1" t="s">
        <v>221</v>
      </c>
      <c r="L1068" s="1">
        <v>8</v>
      </c>
      <c r="M1068" s="13">
        <v>12654.92</v>
      </c>
      <c r="N1068" s="15">
        <v>0.37</v>
      </c>
      <c r="O1068" s="13">
        <v>44039.5</v>
      </c>
      <c r="P1068" s="13">
        <v>13136.75</v>
      </c>
      <c r="Q1068" s="13">
        <v>75.7</v>
      </c>
      <c r="R1068" s="1" t="s">
        <v>64</v>
      </c>
      <c r="S1068" s="1">
        <v>1</v>
      </c>
      <c r="T1068" s="1" t="b">
        <v>0</v>
      </c>
      <c r="U1068" s="1" t="s">
        <v>39</v>
      </c>
      <c r="V1068" s="3">
        <v>1</v>
      </c>
    </row>
    <row r="1069" spans="1:22" x14ac:dyDescent="0.3">
      <c r="A1069" s="2" t="s">
        <v>2615</v>
      </c>
      <c r="B1069" s="10">
        <v>45383</v>
      </c>
      <c r="C1069" s="22">
        <v>45383</v>
      </c>
      <c r="D1069" s="1" t="s">
        <v>2616</v>
      </c>
      <c r="E1069" s="1" t="s">
        <v>1983</v>
      </c>
      <c r="F1069" s="1">
        <v>16</v>
      </c>
      <c r="G1069" s="1" t="s">
        <v>24</v>
      </c>
      <c r="H1069" s="1" t="s">
        <v>25</v>
      </c>
      <c r="I1069" s="1" t="s">
        <v>55</v>
      </c>
      <c r="J1069" s="1" t="s">
        <v>44</v>
      </c>
      <c r="K1069" s="1" t="s">
        <v>117</v>
      </c>
      <c r="L1069" s="1">
        <v>8</v>
      </c>
      <c r="M1069" s="13">
        <v>21200.54</v>
      </c>
      <c r="N1069" s="15">
        <v>0.25</v>
      </c>
      <c r="O1069" s="13">
        <v>198759.57</v>
      </c>
      <c r="P1069" s="13">
        <v>52379.78</v>
      </c>
      <c r="Q1069" s="13">
        <v>30.82</v>
      </c>
      <c r="R1069" s="1" t="s">
        <v>70</v>
      </c>
      <c r="S1069" s="1">
        <v>5</v>
      </c>
      <c r="T1069" s="1" t="b">
        <v>0</v>
      </c>
      <c r="U1069" s="1" t="s">
        <v>39</v>
      </c>
      <c r="V1069" s="3">
        <v>9</v>
      </c>
    </row>
    <row r="1070" spans="1:22" x14ac:dyDescent="0.3">
      <c r="A1070" s="2" t="s">
        <v>2617</v>
      </c>
      <c r="B1070" s="10">
        <v>45321</v>
      </c>
      <c r="C1070" s="22">
        <v>45321</v>
      </c>
      <c r="D1070" s="1" t="s">
        <v>2618</v>
      </c>
      <c r="E1070" s="1" t="s">
        <v>540</v>
      </c>
      <c r="F1070" s="1">
        <v>51</v>
      </c>
      <c r="G1070" s="1" t="s">
        <v>24</v>
      </c>
      <c r="H1070" s="1" t="s">
        <v>35</v>
      </c>
      <c r="I1070" s="1" t="s">
        <v>106</v>
      </c>
      <c r="J1070" s="1" t="s">
        <v>62</v>
      </c>
      <c r="K1070" s="1" t="s">
        <v>63</v>
      </c>
      <c r="L1070" s="1">
        <v>4</v>
      </c>
      <c r="M1070" s="13">
        <v>523</v>
      </c>
      <c r="N1070" s="15">
        <v>0.26</v>
      </c>
      <c r="O1070" s="13">
        <v>1458.67</v>
      </c>
      <c r="P1070" s="13">
        <v>432</v>
      </c>
      <c r="Q1070" s="13">
        <v>42.17</v>
      </c>
      <c r="R1070" s="1" t="s">
        <v>78</v>
      </c>
      <c r="S1070" s="1">
        <v>4</v>
      </c>
      <c r="T1070" s="1" t="b">
        <v>0</v>
      </c>
      <c r="U1070" s="1" t="s">
        <v>39</v>
      </c>
      <c r="V1070" s="3">
        <v>5</v>
      </c>
    </row>
    <row r="1071" spans="1:22" x14ac:dyDescent="0.3">
      <c r="A1071" s="2" t="s">
        <v>2619</v>
      </c>
      <c r="B1071" s="10">
        <v>45055</v>
      </c>
      <c r="C1071" s="22">
        <v>45055</v>
      </c>
      <c r="D1071" s="1" t="s">
        <v>2620</v>
      </c>
      <c r="E1071" s="1" t="s">
        <v>140</v>
      </c>
      <c r="F1071" s="1">
        <v>36</v>
      </c>
      <c r="G1071" s="1" t="s">
        <v>68</v>
      </c>
      <c r="H1071" s="1" t="s">
        <v>25</v>
      </c>
      <c r="I1071" s="1" t="s">
        <v>26</v>
      </c>
      <c r="J1071" s="1" t="s">
        <v>37</v>
      </c>
      <c r="K1071" s="1" t="s">
        <v>671</v>
      </c>
      <c r="L1071" s="1">
        <v>5</v>
      </c>
      <c r="M1071" s="13">
        <v>576.73</v>
      </c>
      <c r="N1071" s="15">
        <v>7.0000000000000007E-2</v>
      </c>
      <c r="O1071" s="13">
        <v>4465.04</v>
      </c>
      <c r="P1071" s="13">
        <v>1617.65</v>
      </c>
      <c r="Q1071" s="13">
        <v>61.27</v>
      </c>
      <c r="R1071" s="1" t="s">
        <v>51</v>
      </c>
      <c r="S1071" s="1">
        <v>4</v>
      </c>
      <c r="T1071" s="1" t="b">
        <v>0</v>
      </c>
      <c r="U1071" s="1" t="s">
        <v>84</v>
      </c>
      <c r="V1071" s="3">
        <v>2</v>
      </c>
    </row>
    <row r="1072" spans="1:22" x14ac:dyDescent="0.3">
      <c r="A1072" s="2" t="s">
        <v>2621</v>
      </c>
      <c r="B1072" s="10">
        <v>45312</v>
      </c>
      <c r="C1072" s="22">
        <v>45312</v>
      </c>
      <c r="D1072" s="1" t="s">
        <v>2622</v>
      </c>
      <c r="E1072" s="1" t="s">
        <v>1023</v>
      </c>
      <c r="F1072" s="1">
        <v>27</v>
      </c>
      <c r="G1072" s="1" t="s">
        <v>68</v>
      </c>
      <c r="H1072" s="1" t="s">
        <v>35</v>
      </c>
      <c r="I1072" s="1" t="s">
        <v>49</v>
      </c>
      <c r="J1072" s="1" t="s">
        <v>27</v>
      </c>
      <c r="K1072" s="1" t="s">
        <v>97</v>
      </c>
      <c r="L1072" s="1">
        <v>10</v>
      </c>
      <c r="M1072" s="13">
        <v>406.98</v>
      </c>
      <c r="N1072" s="15">
        <v>0.13</v>
      </c>
      <c r="O1072" s="13">
        <v>3726.88</v>
      </c>
      <c r="P1072" s="13">
        <v>185.43</v>
      </c>
      <c r="Q1072" s="13">
        <v>17.510000000000002</v>
      </c>
      <c r="R1072" s="1" t="s">
        <v>57</v>
      </c>
      <c r="S1072" s="1">
        <v>3</v>
      </c>
      <c r="T1072" s="1" t="b">
        <v>0</v>
      </c>
      <c r="U1072" s="1" t="s">
        <v>84</v>
      </c>
      <c r="V1072" s="3">
        <v>1</v>
      </c>
    </row>
    <row r="1073" spans="1:22" x14ac:dyDescent="0.3">
      <c r="A1073" s="2" t="s">
        <v>2623</v>
      </c>
      <c r="B1073" s="10">
        <v>43982</v>
      </c>
      <c r="C1073" s="22">
        <v>43982</v>
      </c>
      <c r="D1073" s="1" t="s">
        <v>2624</v>
      </c>
      <c r="E1073" s="1" t="s">
        <v>635</v>
      </c>
      <c r="F1073" s="1">
        <v>36</v>
      </c>
      <c r="G1073" s="1" t="s">
        <v>24</v>
      </c>
      <c r="H1073" s="1" t="s">
        <v>35</v>
      </c>
      <c r="I1073" s="1" t="s">
        <v>49</v>
      </c>
      <c r="J1073" s="1" t="s">
        <v>146</v>
      </c>
      <c r="K1073" s="1" t="s">
        <v>484</v>
      </c>
      <c r="L1073" s="1">
        <v>9</v>
      </c>
      <c r="M1073" s="13">
        <v>13555.14</v>
      </c>
      <c r="N1073" s="15">
        <v>0.2</v>
      </c>
      <c r="O1073" s="13">
        <v>120212</v>
      </c>
      <c r="P1073" s="13">
        <v>36132.18</v>
      </c>
      <c r="Q1073" s="13">
        <v>93.89</v>
      </c>
      <c r="R1073" s="1" t="s">
        <v>78</v>
      </c>
      <c r="S1073" s="1">
        <v>5</v>
      </c>
      <c r="T1073" s="1" t="b">
        <v>0</v>
      </c>
      <c r="U1073" s="1" t="s">
        <v>39</v>
      </c>
      <c r="V1073" s="3">
        <v>7</v>
      </c>
    </row>
    <row r="1074" spans="1:22" x14ac:dyDescent="0.3">
      <c r="A1074" s="2" t="s">
        <v>2625</v>
      </c>
      <c r="B1074" s="10">
        <v>44979</v>
      </c>
      <c r="C1074" s="22">
        <v>44979</v>
      </c>
      <c r="D1074" s="1" t="s">
        <v>2626</v>
      </c>
      <c r="E1074" s="1" t="s">
        <v>888</v>
      </c>
      <c r="F1074" s="1">
        <v>46</v>
      </c>
      <c r="G1074" s="1" t="s">
        <v>68</v>
      </c>
      <c r="H1074" s="1" t="s">
        <v>25</v>
      </c>
      <c r="I1074" s="1" t="s">
        <v>69</v>
      </c>
      <c r="J1074" s="1" t="s">
        <v>62</v>
      </c>
      <c r="K1074" s="1" t="s">
        <v>107</v>
      </c>
      <c r="L1074" s="1">
        <v>6</v>
      </c>
      <c r="M1074" s="13">
        <v>821.9</v>
      </c>
      <c r="N1074" s="15">
        <v>0.11</v>
      </c>
      <c r="O1074" s="13">
        <v>4718.43</v>
      </c>
      <c r="P1074" s="13">
        <v>1271.26</v>
      </c>
      <c r="Q1074" s="13">
        <v>24.77</v>
      </c>
      <c r="R1074" s="1" t="s">
        <v>29</v>
      </c>
      <c r="S1074" s="1">
        <v>4</v>
      </c>
      <c r="T1074" s="1" t="b">
        <v>0</v>
      </c>
      <c r="U1074" s="1" t="s">
        <v>39</v>
      </c>
      <c r="V1074" s="3">
        <v>5</v>
      </c>
    </row>
    <row r="1075" spans="1:22" x14ac:dyDescent="0.3">
      <c r="A1075" s="2" t="s">
        <v>2627</v>
      </c>
      <c r="B1075" s="10">
        <v>44100</v>
      </c>
      <c r="C1075" s="22">
        <v>44100</v>
      </c>
      <c r="D1075" s="1" t="s">
        <v>2628</v>
      </c>
      <c r="E1075" s="1" t="s">
        <v>1159</v>
      </c>
      <c r="F1075" s="1">
        <v>23</v>
      </c>
      <c r="G1075" s="1" t="s">
        <v>24</v>
      </c>
      <c r="H1075" s="1" t="s">
        <v>82</v>
      </c>
      <c r="I1075" s="1" t="s">
        <v>126</v>
      </c>
      <c r="J1075" s="1" t="s">
        <v>44</v>
      </c>
      <c r="K1075" s="1" t="s">
        <v>221</v>
      </c>
      <c r="L1075" s="1">
        <v>4</v>
      </c>
      <c r="M1075" s="13">
        <v>10669.95</v>
      </c>
      <c r="N1075" s="15">
        <v>0.36</v>
      </c>
      <c r="O1075" s="13">
        <v>27756.98</v>
      </c>
      <c r="P1075" s="13">
        <v>9717.32</v>
      </c>
      <c r="Q1075" s="13">
        <v>73.78</v>
      </c>
      <c r="R1075" s="1" t="s">
        <v>51</v>
      </c>
      <c r="S1075" s="1">
        <v>1</v>
      </c>
      <c r="T1075" s="1" t="b">
        <v>0</v>
      </c>
      <c r="U1075" s="1" t="s">
        <v>39</v>
      </c>
      <c r="V1075" s="3">
        <v>2</v>
      </c>
    </row>
    <row r="1076" spans="1:22" x14ac:dyDescent="0.3">
      <c r="A1076" s="2" t="s">
        <v>2629</v>
      </c>
      <c r="B1076" s="10">
        <v>44179</v>
      </c>
      <c r="C1076" s="22">
        <v>44179</v>
      </c>
      <c r="D1076" s="1" t="s">
        <v>2630</v>
      </c>
      <c r="E1076" s="1" t="s">
        <v>1627</v>
      </c>
      <c r="F1076" s="1">
        <v>32</v>
      </c>
      <c r="G1076" s="1" t="s">
        <v>68</v>
      </c>
      <c r="H1076" s="1" t="s">
        <v>25</v>
      </c>
      <c r="I1076" s="1" t="s">
        <v>55</v>
      </c>
      <c r="J1076" s="1" t="s">
        <v>146</v>
      </c>
      <c r="K1076" s="1" t="s">
        <v>217</v>
      </c>
      <c r="L1076" s="1">
        <v>4</v>
      </c>
      <c r="M1076" s="13">
        <v>3803.71</v>
      </c>
      <c r="N1076" s="15">
        <v>0.1</v>
      </c>
      <c r="O1076" s="13">
        <v>9647.73</v>
      </c>
      <c r="P1076" s="13">
        <v>1808.82</v>
      </c>
      <c r="Q1076" s="13">
        <v>75.19</v>
      </c>
      <c r="R1076" s="1" t="s">
        <v>64</v>
      </c>
      <c r="S1076" s="1">
        <v>4</v>
      </c>
      <c r="T1076" s="1" t="b">
        <v>0</v>
      </c>
      <c r="U1076" s="1" t="s">
        <v>39</v>
      </c>
      <c r="V1076" s="3">
        <v>9</v>
      </c>
    </row>
    <row r="1077" spans="1:22" x14ac:dyDescent="0.3">
      <c r="A1077" s="2" t="s">
        <v>2631</v>
      </c>
      <c r="B1077" s="10">
        <v>44356</v>
      </c>
      <c r="C1077" s="22">
        <v>44356</v>
      </c>
      <c r="D1077" s="1" t="s">
        <v>2632</v>
      </c>
      <c r="E1077" s="1" t="s">
        <v>349</v>
      </c>
      <c r="F1077" s="1">
        <v>16</v>
      </c>
      <c r="G1077" s="1" t="s">
        <v>34</v>
      </c>
      <c r="H1077" s="1" t="s">
        <v>74</v>
      </c>
      <c r="I1077" s="1" t="s">
        <v>75</v>
      </c>
      <c r="J1077" s="1" t="s">
        <v>76</v>
      </c>
      <c r="K1077" s="1" t="s">
        <v>89</v>
      </c>
      <c r="L1077" s="1">
        <v>10</v>
      </c>
      <c r="M1077" s="13">
        <v>2096.84</v>
      </c>
      <c r="N1077" s="15">
        <v>0.04</v>
      </c>
      <c r="O1077" s="13">
        <v>29360.23</v>
      </c>
      <c r="P1077" s="13">
        <v>13912.15</v>
      </c>
      <c r="Q1077" s="13">
        <v>29.35</v>
      </c>
      <c r="R1077" s="1" t="s">
        <v>78</v>
      </c>
      <c r="S1077" s="1">
        <v>4</v>
      </c>
      <c r="T1077" s="1" t="b">
        <v>0</v>
      </c>
      <c r="U1077" s="1" t="s">
        <v>39</v>
      </c>
      <c r="V1077" s="3">
        <v>4</v>
      </c>
    </row>
    <row r="1078" spans="1:22" x14ac:dyDescent="0.3">
      <c r="A1078" s="2" t="s">
        <v>2633</v>
      </c>
      <c r="B1078" s="10">
        <v>44098</v>
      </c>
      <c r="C1078" s="22">
        <v>44098</v>
      </c>
      <c r="D1078" s="1" t="s">
        <v>2634</v>
      </c>
      <c r="E1078" s="1" t="s">
        <v>1047</v>
      </c>
      <c r="F1078" s="1">
        <v>29</v>
      </c>
      <c r="G1078" s="1" t="s">
        <v>34</v>
      </c>
      <c r="H1078" s="1" t="s">
        <v>74</v>
      </c>
      <c r="I1078" s="1" t="s">
        <v>192</v>
      </c>
      <c r="J1078" s="1" t="s">
        <v>37</v>
      </c>
      <c r="K1078" s="1" t="s">
        <v>231</v>
      </c>
      <c r="L1078" s="1">
        <v>2</v>
      </c>
      <c r="M1078" s="13">
        <v>2372.2399999999998</v>
      </c>
      <c r="N1078" s="15">
        <v>0.18</v>
      </c>
      <c r="O1078" s="13">
        <v>3450.53</v>
      </c>
      <c r="P1078" s="13">
        <v>1389.92</v>
      </c>
      <c r="Q1078" s="13">
        <v>51.38</v>
      </c>
      <c r="R1078" s="1" t="s">
        <v>51</v>
      </c>
      <c r="S1078" s="1">
        <v>5</v>
      </c>
      <c r="T1078" s="1" t="b">
        <v>0</v>
      </c>
      <c r="U1078" s="1" t="s">
        <v>39</v>
      </c>
      <c r="V1078" s="3">
        <v>1</v>
      </c>
    </row>
    <row r="1079" spans="1:22" x14ac:dyDescent="0.3">
      <c r="A1079" s="2" t="s">
        <v>2635</v>
      </c>
      <c r="B1079" s="10">
        <v>44814</v>
      </c>
      <c r="C1079" s="22">
        <v>44814</v>
      </c>
      <c r="D1079" s="1" t="s">
        <v>2636</v>
      </c>
      <c r="E1079" s="1" t="s">
        <v>2637</v>
      </c>
      <c r="F1079" s="1">
        <v>21</v>
      </c>
      <c r="G1079" s="1" t="s">
        <v>24</v>
      </c>
      <c r="H1079" s="1" t="s">
        <v>35</v>
      </c>
      <c r="I1079" s="1" t="s">
        <v>106</v>
      </c>
      <c r="J1079" s="1" t="s">
        <v>44</v>
      </c>
      <c r="K1079" s="1" t="s">
        <v>186</v>
      </c>
      <c r="L1079" s="1">
        <v>9</v>
      </c>
      <c r="M1079" s="13">
        <v>29503.49</v>
      </c>
      <c r="N1079" s="15">
        <v>0.02</v>
      </c>
      <c r="O1079" s="13">
        <v>295846.81</v>
      </c>
      <c r="P1079" s="13">
        <v>62680.47</v>
      </c>
      <c r="Q1079" s="13">
        <v>44.27</v>
      </c>
      <c r="R1079" s="1" t="s">
        <v>29</v>
      </c>
      <c r="S1079" s="1">
        <v>1</v>
      </c>
      <c r="T1079" s="1" t="b">
        <v>0</v>
      </c>
      <c r="U1079" s="1" t="s">
        <v>137</v>
      </c>
      <c r="V1079" s="3">
        <v>3</v>
      </c>
    </row>
    <row r="1080" spans="1:22" x14ac:dyDescent="0.3">
      <c r="A1080" s="2" t="s">
        <v>2638</v>
      </c>
      <c r="B1080" s="10">
        <v>44391</v>
      </c>
      <c r="C1080" s="22">
        <v>44391</v>
      </c>
      <c r="D1080" s="1" t="s">
        <v>2639</v>
      </c>
      <c r="E1080" s="1" t="s">
        <v>1820</v>
      </c>
      <c r="F1080" s="1">
        <v>35</v>
      </c>
      <c r="G1080" s="1" t="s">
        <v>68</v>
      </c>
      <c r="H1080" s="1" t="s">
        <v>82</v>
      </c>
      <c r="I1080" s="1" t="s">
        <v>126</v>
      </c>
      <c r="J1080" s="1" t="s">
        <v>27</v>
      </c>
      <c r="K1080" s="1" t="s">
        <v>400</v>
      </c>
      <c r="L1080" s="1">
        <v>7</v>
      </c>
      <c r="M1080" s="13">
        <v>245.58</v>
      </c>
      <c r="N1080" s="15">
        <v>0.24</v>
      </c>
      <c r="O1080" s="13">
        <v>1697.64</v>
      </c>
      <c r="P1080" s="13">
        <v>173.17</v>
      </c>
      <c r="Q1080" s="13">
        <v>84.93</v>
      </c>
      <c r="R1080" s="1" t="s">
        <v>64</v>
      </c>
      <c r="S1080" s="1">
        <v>5</v>
      </c>
      <c r="T1080" s="1" t="b">
        <v>0</v>
      </c>
      <c r="U1080" s="1" t="s">
        <v>39</v>
      </c>
      <c r="V1080" s="3">
        <v>3</v>
      </c>
    </row>
    <row r="1081" spans="1:22" x14ac:dyDescent="0.3">
      <c r="A1081" s="2" t="s">
        <v>2640</v>
      </c>
      <c r="B1081" s="10">
        <v>44285</v>
      </c>
      <c r="C1081" s="22">
        <v>44285</v>
      </c>
      <c r="D1081" s="1" t="s">
        <v>2641</v>
      </c>
      <c r="E1081" s="1" t="s">
        <v>534</v>
      </c>
      <c r="F1081" s="1">
        <v>38</v>
      </c>
      <c r="G1081" s="1" t="s">
        <v>68</v>
      </c>
      <c r="H1081" s="1" t="s">
        <v>111</v>
      </c>
      <c r="I1081" s="1" t="s">
        <v>141</v>
      </c>
      <c r="J1081" s="1" t="s">
        <v>62</v>
      </c>
      <c r="K1081" s="1" t="s">
        <v>107</v>
      </c>
      <c r="L1081" s="1">
        <v>4</v>
      </c>
      <c r="M1081" s="13">
        <v>1425.29</v>
      </c>
      <c r="N1081" s="15">
        <v>0.21</v>
      </c>
      <c r="O1081" s="13">
        <v>5074.93</v>
      </c>
      <c r="P1081" s="13">
        <v>2152.9499999999998</v>
      </c>
      <c r="Q1081" s="13">
        <v>84.46</v>
      </c>
      <c r="R1081" s="1" t="s">
        <v>78</v>
      </c>
      <c r="S1081" s="1">
        <v>3</v>
      </c>
      <c r="T1081" s="1" t="b">
        <v>0</v>
      </c>
      <c r="U1081" s="1" t="s">
        <v>39</v>
      </c>
      <c r="V1081" s="3">
        <v>2</v>
      </c>
    </row>
    <row r="1082" spans="1:22" x14ac:dyDescent="0.3">
      <c r="A1082" s="2" t="s">
        <v>2642</v>
      </c>
      <c r="B1082" s="10">
        <v>44803</v>
      </c>
      <c r="C1082" s="22">
        <v>44803</v>
      </c>
      <c r="D1082" s="1" t="s">
        <v>2643</v>
      </c>
      <c r="E1082" s="1" t="s">
        <v>855</v>
      </c>
      <c r="F1082" s="1">
        <v>35</v>
      </c>
      <c r="G1082" s="1" t="s">
        <v>34</v>
      </c>
      <c r="H1082" s="1" t="s">
        <v>74</v>
      </c>
      <c r="I1082" s="1" t="s">
        <v>192</v>
      </c>
      <c r="J1082" s="1" t="s">
        <v>44</v>
      </c>
      <c r="K1082" s="1" t="s">
        <v>186</v>
      </c>
      <c r="L1082" s="1">
        <v>3</v>
      </c>
      <c r="M1082" s="13">
        <v>29848.47</v>
      </c>
      <c r="N1082" s="15">
        <v>0.26</v>
      </c>
      <c r="O1082" s="13">
        <v>88033.69</v>
      </c>
      <c r="P1082" s="13">
        <v>26851.32</v>
      </c>
      <c r="Q1082" s="13">
        <v>62.97</v>
      </c>
      <c r="R1082" s="1" t="s">
        <v>29</v>
      </c>
      <c r="S1082" s="1">
        <v>5</v>
      </c>
      <c r="T1082" s="1" t="b">
        <v>0</v>
      </c>
      <c r="U1082" s="1" t="s">
        <v>58</v>
      </c>
      <c r="V1082" s="3">
        <v>10</v>
      </c>
    </row>
    <row r="1083" spans="1:22" x14ac:dyDescent="0.3">
      <c r="A1083" s="2" t="s">
        <v>2644</v>
      </c>
      <c r="B1083" s="10">
        <v>45381</v>
      </c>
      <c r="C1083" s="22">
        <v>45381</v>
      </c>
      <c r="D1083" s="1" t="s">
        <v>2645</v>
      </c>
      <c r="E1083" s="1" t="s">
        <v>1050</v>
      </c>
      <c r="F1083" s="1">
        <v>32</v>
      </c>
      <c r="G1083" s="1" t="s">
        <v>24</v>
      </c>
      <c r="H1083" s="1" t="s">
        <v>35</v>
      </c>
      <c r="I1083" s="1" t="s">
        <v>43</v>
      </c>
      <c r="J1083" s="1" t="s">
        <v>146</v>
      </c>
      <c r="K1083" s="1" t="s">
        <v>178</v>
      </c>
      <c r="L1083" s="1">
        <v>5</v>
      </c>
      <c r="M1083" s="13">
        <v>10965.5</v>
      </c>
      <c r="N1083" s="15">
        <v>0.17</v>
      </c>
      <c r="O1083" s="13">
        <v>60476.18</v>
      </c>
      <c r="P1083" s="13">
        <v>10094.56</v>
      </c>
      <c r="Q1083" s="13">
        <v>67.11</v>
      </c>
      <c r="R1083" s="1" t="s">
        <v>29</v>
      </c>
      <c r="S1083" s="1">
        <v>3</v>
      </c>
      <c r="T1083" s="1" t="b">
        <v>0</v>
      </c>
      <c r="U1083" s="1" t="s">
        <v>39</v>
      </c>
      <c r="V1083" s="3">
        <v>3</v>
      </c>
    </row>
    <row r="1084" spans="1:22" x14ac:dyDescent="0.3">
      <c r="A1084" s="2" t="s">
        <v>2646</v>
      </c>
      <c r="B1084" s="10">
        <v>45516</v>
      </c>
      <c r="C1084" s="22">
        <v>45516</v>
      </c>
      <c r="D1084" s="1" t="s">
        <v>2647</v>
      </c>
      <c r="E1084" s="1" t="s">
        <v>2648</v>
      </c>
      <c r="F1084" s="1">
        <v>20</v>
      </c>
      <c r="G1084" s="1" t="s">
        <v>24</v>
      </c>
      <c r="H1084" s="1" t="s">
        <v>35</v>
      </c>
      <c r="I1084" s="1" t="s">
        <v>49</v>
      </c>
      <c r="J1084" s="1" t="s">
        <v>76</v>
      </c>
      <c r="K1084" s="1" t="s">
        <v>132</v>
      </c>
      <c r="L1084" s="1">
        <v>10</v>
      </c>
      <c r="M1084" s="13">
        <v>1866.54</v>
      </c>
      <c r="N1084" s="15">
        <v>0.06</v>
      </c>
      <c r="O1084" s="13">
        <v>28793.88</v>
      </c>
      <c r="P1084" s="13">
        <v>10235.469999999999</v>
      </c>
      <c r="Q1084" s="13">
        <v>39.49</v>
      </c>
      <c r="R1084" s="1" t="s">
        <v>70</v>
      </c>
      <c r="S1084" s="1">
        <v>5</v>
      </c>
      <c r="T1084" s="1" t="b">
        <v>0</v>
      </c>
      <c r="U1084" s="1" t="s">
        <v>84</v>
      </c>
      <c r="V1084" s="3">
        <v>7</v>
      </c>
    </row>
    <row r="1085" spans="1:22" x14ac:dyDescent="0.3">
      <c r="A1085" s="2" t="s">
        <v>2649</v>
      </c>
      <c r="B1085" s="10">
        <v>44088</v>
      </c>
      <c r="C1085" s="22">
        <v>44088</v>
      </c>
      <c r="D1085" s="1" t="s">
        <v>2650</v>
      </c>
      <c r="E1085" s="1" t="s">
        <v>1459</v>
      </c>
      <c r="F1085" s="1">
        <v>16</v>
      </c>
      <c r="G1085" s="1" t="s">
        <v>68</v>
      </c>
      <c r="H1085" s="1" t="s">
        <v>35</v>
      </c>
      <c r="I1085" s="1" t="s">
        <v>106</v>
      </c>
      <c r="J1085" s="1" t="s">
        <v>44</v>
      </c>
      <c r="K1085" s="1" t="s">
        <v>45</v>
      </c>
      <c r="L1085" s="1">
        <v>3</v>
      </c>
      <c r="M1085" s="13">
        <v>8460.49</v>
      </c>
      <c r="N1085" s="15">
        <v>0.16</v>
      </c>
      <c r="O1085" s="13">
        <v>19748.43</v>
      </c>
      <c r="P1085" s="13">
        <v>6671.85</v>
      </c>
      <c r="Q1085" s="13">
        <v>38.06</v>
      </c>
      <c r="R1085" s="1" t="s">
        <v>64</v>
      </c>
      <c r="S1085" s="1">
        <v>3</v>
      </c>
      <c r="T1085" s="1" t="b">
        <v>0</v>
      </c>
      <c r="U1085" s="1" t="s">
        <v>39</v>
      </c>
      <c r="V1085" s="3">
        <v>3</v>
      </c>
    </row>
    <row r="1086" spans="1:22" x14ac:dyDescent="0.3">
      <c r="A1086" s="2" t="s">
        <v>2651</v>
      </c>
      <c r="B1086" s="10">
        <v>44541</v>
      </c>
      <c r="C1086" s="22">
        <v>44541</v>
      </c>
      <c r="D1086" s="1" t="s">
        <v>2652</v>
      </c>
      <c r="E1086" s="1" t="s">
        <v>73</v>
      </c>
      <c r="F1086" s="1">
        <v>21</v>
      </c>
      <c r="G1086" s="1" t="s">
        <v>68</v>
      </c>
      <c r="H1086" s="1" t="s">
        <v>111</v>
      </c>
      <c r="I1086" s="1" t="s">
        <v>121</v>
      </c>
      <c r="J1086" s="1" t="s">
        <v>27</v>
      </c>
      <c r="K1086" s="1" t="s">
        <v>400</v>
      </c>
      <c r="L1086" s="1">
        <v>8</v>
      </c>
      <c r="M1086" s="13">
        <v>210.62</v>
      </c>
      <c r="N1086" s="15">
        <v>0.36</v>
      </c>
      <c r="O1086" s="13">
        <v>807.18</v>
      </c>
      <c r="P1086" s="13">
        <v>51.19</v>
      </c>
      <c r="Q1086" s="13">
        <v>62.4</v>
      </c>
      <c r="R1086" s="1" t="s">
        <v>57</v>
      </c>
      <c r="S1086" s="1">
        <v>3</v>
      </c>
      <c r="T1086" s="1" t="b">
        <v>0</v>
      </c>
      <c r="U1086" s="1" t="s">
        <v>39</v>
      </c>
      <c r="V1086" s="3">
        <v>6</v>
      </c>
    </row>
    <row r="1087" spans="1:22" x14ac:dyDescent="0.3">
      <c r="A1087" s="2" t="s">
        <v>2653</v>
      </c>
      <c r="B1087" s="10">
        <v>44050</v>
      </c>
      <c r="C1087" s="22">
        <v>44050</v>
      </c>
      <c r="D1087" s="1" t="s">
        <v>2654</v>
      </c>
      <c r="E1087" s="1" t="s">
        <v>2655</v>
      </c>
      <c r="F1087" s="1">
        <v>50</v>
      </c>
      <c r="G1087" s="1" t="s">
        <v>24</v>
      </c>
      <c r="H1087" s="1" t="s">
        <v>82</v>
      </c>
      <c r="I1087" s="1" t="s">
        <v>293</v>
      </c>
      <c r="J1087" s="1" t="s">
        <v>27</v>
      </c>
      <c r="K1087" s="1" t="s">
        <v>56</v>
      </c>
      <c r="L1087" s="1">
        <v>4</v>
      </c>
      <c r="M1087" s="13">
        <v>299.75</v>
      </c>
      <c r="N1087" s="15">
        <v>0.01</v>
      </c>
      <c r="O1087" s="13">
        <v>1339.61</v>
      </c>
      <c r="P1087" s="13">
        <v>109.11</v>
      </c>
      <c r="Q1087" s="13">
        <v>106.26</v>
      </c>
      <c r="R1087" s="1" t="s">
        <v>51</v>
      </c>
      <c r="S1087" s="1">
        <v>2</v>
      </c>
      <c r="T1087" s="1" t="b">
        <v>0</v>
      </c>
      <c r="U1087" s="1" t="s">
        <v>84</v>
      </c>
      <c r="V1087" s="3">
        <v>7</v>
      </c>
    </row>
    <row r="1088" spans="1:22" x14ac:dyDescent="0.3">
      <c r="A1088" s="2" t="s">
        <v>2656</v>
      </c>
      <c r="B1088" s="10">
        <v>44341</v>
      </c>
      <c r="C1088" s="22">
        <v>44341</v>
      </c>
      <c r="D1088" s="1" t="s">
        <v>2657</v>
      </c>
      <c r="E1088" s="1" t="s">
        <v>243</v>
      </c>
      <c r="F1088" s="1">
        <v>16</v>
      </c>
      <c r="G1088" s="1" t="s">
        <v>24</v>
      </c>
      <c r="H1088" s="1" t="s">
        <v>35</v>
      </c>
      <c r="I1088" s="1" t="s">
        <v>36</v>
      </c>
      <c r="J1088" s="1" t="s">
        <v>62</v>
      </c>
      <c r="K1088" s="1" t="s">
        <v>107</v>
      </c>
      <c r="L1088" s="1">
        <v>7</v>
      </c>
      <c r="M1088" s="13">
        <v>862.1</v>
      </c>
      <c r="N1088" s="15">
        <v>0.39</v>
      </c>
      <c r="O1088" s="13">
        <v>3916.31</v>
      </c>
      <c r="P1088" s="13">
        <v>1476.96</v>
      </c>
      <c r="Q1088" s="13">
        <v>72.680000000000007</v>
      </c>
      <c r="R1088" s="1" t="s">
        <v>51</v>
      </c>
      <c r="S1088" s="1">
        <v>1</v>
      </c>
      <c r="T1088" s="1" t="b">
        <v>1</v>
      </c>
      <c r="U1088" s="1" t="s">
        <v>30</v>
      </c>
      <c r="V1088" s="3">
        <v>8</v>
      </c>
    </row>
    <row r="1089" spans="1:22" x14ac:dyDescent="0.3">
      <c r="A1089" s="2" t="s">
        <v>2658</v>
      </c>
      <c r="B1089" s="10">
        <v>44174</v>
      </c>
      <c r="C1089" s="22">
        <v>44174</v>
      </c>
      <c r="D1089" s="1" t="s">
        <v>2659</v>
      </c>
      <c r="E1089" s="1" t="s">
        <v>1294</v>
      </c>
      <c r="F1089" s="1">
        <v>35</v>
      </c>
      <c r="G1089" s="1" t="s">
        <v>24</v>
      </c>
      <c r="H1089" s="1" t="s">
        <v>35</v>
      </c>
      <c r="I1089" s="1" t="s">
        <v>36</v>
      </c>
      <c r="J1089" s="1" t="s">
        <v>76</v>
      </c>
      <c r="K1089" s="1" t="s">
        <v>89</v>
      </c>
      <c r="L1089" s="1">
        <v>7</v>
      </c>
      <c r="M1089" s="13">
        <v>446.81</v>
      </c>
      <c r="N1089" s="15">
        <v>7.0000000000000007E-2</v>
      </c>
      <c r="O1089" s="13">
        <v>2020.82</v>
      </c>
      <c r="P1089" s="13">
        <v>594.44000000000005</v>
      </c>
      <c r="Q1089" s="13">
        <v>79.489999999999995</v>
      </c>
      <c r="R1089" s="1" t="s">
        <v>57</v>
      </c>
      <c r="S1089" s="1">
        <v>1</v>
      </c>
      <c r="T1089" s="1" t="b">
        <v>0</v>
      </c>
      <c r="U1089" s="1" t="s">
        <v>84</v>
      </c>
      <c r="V1089" s="3">
        <v>1</v>
      </c>
    </row>
    <row r="1090" spans="1:22" x14ac:dyDescent="0.3">
      <c r="A1090" s="2" t="s">
        <v>2660</v>
      </c>
      <c r="B1090" s="10">
        <v>44850</v>
      </c>
      <c r="C1090" s="22">
        <v>44850</v>
      </c>
      <c r="D1090" s="1" t="s">
        <v>2661</v>
      </c>
      <c r="E1090" s="1" t="s">
        <v>1886</v>
      </c>
      <c r="F1090" s="1">
        <v>36</v>
      </c>
      <c r="G1090" s="1" t="s">
        <v>68</v>
      </c>
      <c r="H1090" s="1" t="s">
        <v>25</v>
      </c>
      <c r="I1090" s="1" t="s">
        <v>26</v>
      </c>
      <c r="J1090" s="1" t="s">
        <v>27</v>
      </c>
      <c r="K1090" s="1" t="s">
        <v>400</v>
      </c>
      <c r="L1090" s="1">
        <v>8</v>
      </c>
      <c r="M1090" s="13">
        <v>394.24</v>
      </c>
      <c r="N1090" s="15">
        <v>0.28000000000000003</v>
      </c>
      <c r="O1090" s="13">
        <v>2269.73</v>
      </c>
      <c r="P1090" s="13">
        <v>208.28</v>
      </c>
      <c r="Q1090" s="13">
        <v>66.63</v>
      </c>
      <c r="R1090" s="1" t="s">
        <v>70</v>
      </c>
      <c r="S1090" s="1">
        <v>1</v>
      </c>
      <c r="T1090" s="1" t="b">
        <v>0</v>
      </c>
      <c r="U1090" s="1" t="s">
        <v>39</v>
      </c>
      <c r="V1090" s="3">
        <v>4</v>
      </c>
    </row>
    <row r="1091" spans="1:22" x14ac:dyDescent="0.3">
      <c r="A1091" s="2" t="s">
        <v>2662</v>
      </c>
      <c r="B1091" s="10">
        <v>45083</v>
      </c>
      <c r="C1091" s="22">
        <v>45083</v>
      </c>
      <c r="D1091" s="1" t="s">
        <v>2663</v>
      </c>
      <c r="E1091" s="1" t="s">
        <v>594</v>
      </c>
      <c r="F1091" s="1">
        <v>60</v>
      </c>
      <c r="G1091" s="1" t="s">
        <v>68</v>
      </c>
      <c r="H1091" s="1" t="s">
        <v>74</v>
      </c>
      <c r="I1091" s="1" t="s">
        <v>75</v>
      </c>
      <c r="J1091" s="1" t="s">
        <v>127</v>
      </c>
      <c r="K1091" s="1" t="s">
        <v>308</v>
      </c>
      <c r="L1091" s="1">
        <v>6</v>
      </c>
      <c r="M1091" s="13">
        <v>62456.65</v>
      </c>
      <c r="N1091" s="15">
        <v>0.02</v>
      </c>
      <c r="O1091" s="13">
        <v>593837.1</v>
      </c>
      <c r="P1091" s="13">
        <v>72763.11</v>
      </c>
      <c r="Q1091" s="13">
        <v>30.38</v>
      </c>
      <c r="R1091" s="1" t="s">
        <v>29</v>
      </c>
      <c r="S1091" s="1">
        <v>4</v>
      </c>
      <c r="T1091" s="1" t="b">
        <v>0</v>
      </c>
      <c r="U1091" s="1" t="s">
        <v>84</v>
      </c>
      <c r="V1091" s="3">
        <v>1</v>
      </c>
    </row>
    <row r="1092" spans="1:22" x14ac:dyDescent="0.3">
      <c r="A1092" s="2" t="s">
        <v>2664</v>
      </c>
      <c r="B1092" s="10">
        <v>44971</v>
      </c>
      <c r="C1092" s="22">
        <v>44971</v>
      </c>
      <c r="D1092" s="1" t="s">
        <v>2665</v>
      </c>
      <c r="E1092" s="1" t="s">
        <v>1387</v>
      </c>
      <c r="F1092" s="1">
        <v>57</v>
      </c>
      <c r="G1092" s="1" t="s">
        <v>34</v>
      </c>
      <c r="H1092" s="1" t="s">
        <v>25</v>
      </c>
      <c r="I1092" s="1" t="s">
        <v>55</v>
      </c>
      <c r="J1092" s="1" t="s">
        <v>37</v>
      </c>
      <c r="K1092" s="1" t="s">
        <v>671</v>
      </c>
      <c r="L1092" s="1">
        <v>9</v>
      </c>
      <c r="M1092" s="13">
        <v>1014.1</v>
      </c>
      <c r="N1092" s="15">
        <v>0.17</v>
      </c>
      <c r="O1092" s="13">
        <v>7782.1</v>
      </c>
      <c r="P1092" s="13">
        <v>2587.13</v>
      </c>
      <c r="Q1092" s="13">
        <v>50.45</v>
      </c>
      <c r="R1092" s="1" t="s">
        <v>70</v>
      </c>
      <c r="S1092" s="1">
        <v>1</v>
      </c>
      <c r="T1092" s="1" t="b">
        <v>0</v>
      </c>
      <c r="U1092" s="1" t="s">
        <v>39</v>
      </c>
      <c r="V1092" s="3">
        <v>10</v>
      </c>
    </row>
    <row r="1093" spans="1:22" x14ac:dyDescent="0.3">
      <c r="A1093" s="2" t="s">
        <v>2666</v>
      </c>
      <c r="B1093" s="10">
        <v>44423</v>
      </c>
      <c r="C1093" s="22">
        <v>44423</v>
      </c>
      <c r="D1093" s="1" t="s">
        <v>2667</v>
      </c>
      <c r="E1093" s="1" t="s">
        <v>716</v>
      </c>
      <c r="F1093" s="1">
        <v>35</v>
      </c>
      <c r="G1093" s="1" t="s">
        <v>24</v>
      </c>
      <c r="H1093" s="1" t="s">
        <v>74</v>
      </c>
      <c r="I1093" s="1" t="s">
        <v>75</v>
      </c>
      <c r="J1093" s="1" t="s">
        <v>44</v>
      </c>
      <c r="K1093" s="1" t="s">
        <v>93</v>
      </c>
      <c r="L1093" s="1">
        <v>10</v>
      </c>
      <c r="M1093" s="13">
        <v>26198.400000000001</v>
      </c>
      <c r="N1093" s="15">
        <v>0.08</v>
      </c>
      <c r="O1093" s="13">
        <v>256959.11</v>
      </c>
      <c r="P1093" s="13">
        <v>92292.36</v>
      </c>
      <c r="Q1093" s="13">
        <v>42.39</v>
      </c>
      <c r="R1093" s="1" t="s">
        <v>70</v>
      </c>
      <c r="S1093" s="1">
        <v>4</v>
      </c>
      <c r="T1093" s="1" t="b">
        <v>0</v>
      </c>
      <c r="U1093" s="1" t="s">
        <v>39</v>
      </c>
      <c r="V1093" s="3">
        <v>2</v>
      </c>
    </row>
    <row r="1094" spans="1:22" x14ac:dyDescent="0.3">
      <c r="A1094" s="2" t="s">
        <v>2668</v>
      </c>
      <c r="B1094" s="10">
        <v>45147</v>
      </c>
      <c r="C1094" s="22">
        <v>45147</v>
      </c>
      <c r="D1094" s="1" t="s">
        <v>2669</v>
      </c>
      <c r="E1094" s="1" t="s">
        <v>1047</v>
      </c>
      <c r="F1094" s="1">
        <v>53</v>
      </c>
      <c r="G1094" s="1" t="s">
        <v>68</v>
      </c>
      <c r="H1094" s="1" t="s">
        <v>25</v>
      </c>
      <c r="I1094" s="1" t="s">
        <v>69</v>
      </c>
      <c r="J1094" s="1" t="s">
        <v>37</v>
      </c>
      <c r="K1094" s="1" t="s">
        <v>102</v>
      </c>
      <c r="L1094" s="1">
        <v>4</v>
      </c>
      <c r="M1094" s="13">
        <v>369.22</v>
      </c>
      <c r="N1094" s="15">
        <v>0.19</v>
      </c>
      <c r="O1094" s="13">
        <v>1495.87</v>
      </c>
      <c r="P1094" s="13">
        <v>791.13</v>
      </c>
      <c r="Q1094" s="13">
        <v>38.15</v>
      </c>
      <c r="R1094" s="1" t="s">
        <v>70</v>
      </c>
      <c r="S1094" s="1">
        <v>5</v>
      </c>
      <c r="T1094" s="1" t="b">
        <v>0</v>
      </c>
      <c r="U1094" s="1" t="s">
        <v>39</v>
      </c>
      <c r="V1094" s="3">
        <v>9</v>
      </c>
    </row>
    <row r="1095" spans="1:22" x14ac:dyDescent="0.3">
      <c r="A1095" s="2" t="s">
        <v>2670</v>
      </c>
      <c r="B1095" s="10">
        <v>45633</v>
      </c>
      <c r="C1095" s="22">
        <v>45633</v>
      </c>
      <c r="D1095" s="1" t="s">
        <v>2671</v>
      </c>
      <c r="E1095" s="1" t="s">
        <v>1399</v>
      </c>
      <c r="F1095" s="1">
        <v>39</v>
      </c>
      <c r="G1095" s="1" t="s">
        <v>24</v>
      </c>
      <c r="H1095" s="1" t="s">
        <v>111</v>
      </c>
      <c r="I1095" s="1" t="s">
        <v>330</v>
      </c>
      <c r="J1095" s="1" t="s">
        <v>27</v>
      </c>
      <c r="K1095" s="1" t="s">
        <v>430</v>
      </c>
      <c r="L1095" s="1">
        <v>6</v>
      </c>
      <c r="M1095" s="13">
        <v>199.94</v>
      </c>
      <c r="N1095" s="15">
        <v>7.0000000000000007E-2</v>
      </c>
      <c r="O1095" s="13">
        <v>1058.44</v>
      </c>
      <c r="P1095" s="13">
        <v>90.06</v>
      </c>
      <c r="Q1095" s="13">
        <v>70.92</v>
      </c>
      <c r="R1095" s="1" t="s">
        <v>70</v>
      </c>
      <c r="S1095" s="1">
        <v>3</v>
      </c>
      <c r="T1095" s="1" t="b">
        <v>0</v>
      </c>
      <c r="U1095" s="1" t="s">
        <v>137</v>
      </c>
      <c r="V1095" s="3">
        <v>10</v>
      </c>
    </row>
    <row r="1096" spans="1:22" x14ac:dyDescent="0.3">
      <c r="A1096" s="2" t="s">
        <v>2672</v>
      </c>
      <c r="B1096" s="10">
        <v>43864</v>
      </c>
      <c r="C1096" s="22">
        <v>43864</v>
      </c>
      <c r="D1096" s="1" t="s">
        <v>2673</v>
      </c>
      <c r="E1096" s="1" t="s">
        <v>237</v>
      </c>
      <c r="F1096" s="1">
        <v>58</v>
      </c>
      <c r="G1096" s="1" t="s">
        <v>34</v>
      </c>
      <c r="H1096" s="1" t="s">
        <v>74</v>
      </c>
      <c r="I1096" s="1" t="s">
        <v>101</v>
      </c>
      <c r="J1096" s="1" t="s">
        <v>76</v>
      </c>
      <c r="K1096" s="1" t="s">
        <v>89</v>
      </c>
      <c r="L1096" s="1">
        <v>2</v>
      </c>
      <c r="M1096" s="13">
        <v>1849.33</v>
      </c>
      <c r="N1096" s="15">
        <v>0.36</v>
      </c>
      <c r="O1096" s="13">
        <v>2115.12</v>
      </c>
      <c r="P1096" s="13">
        <v>453.68</v>
      </c>
      <c r="Q1096" s="13">
        <v>31.92</v>
      </c>
      <c r="R1096" s="1" t="s">
        <v>78</v>
      </c>
      <c r="S1096" s="1">
        <v>5</v>
      </c>
      <c r="T1096" s="1" t="b">
        <v>0</v>
      </c>
      <c r="U1096" s="1" t="s">
        <v>39</v>
      </c>
      <c r="V1096" s="3">
        <v>5</v>
      </c>
    </row>
    <row r="1097" spans="1:22" x14ac:dyDescent="0.3">
      <c r="A1097" s="2" t="s">
        <v>2674</v>
      </c>
      <c r="B1097" s="10">
        <v>44068</v>
      </c>
      <c r="C1097" s="22">
        <v>44068</v>
      </c>
      <c r="D1097" s="1" t="s">
        <v>2675</v>
      </c>
      <c r="E1097" s="1" t="s">
        <v>1023</v>
      </c>
      <c r="F1097" s="1">
        <v>53</v>
      </c>
      <c r="G1097" s="1" t="s">
        <v>24</v>
      </c>
      <c r="H1097" s="1" t="s">
        <v>25</v>
      </c>
      <c r="I1097" s="1" t="s">
        <v>170</v>
      </c>
      <c r="J1097" s="1" t="s">
        <v>76</v>
      </c>
      <c r="K1097" s="1" t="s">
        <v>132</v>
      </c>
      <c r="L1097" s="1">
        <v>999</v>
      </c>
      <c r="M1097" s="13">
        <v>2567.4</v>
      </c>
      <c r="N1097" s="15">
        <v>0.31</v>
      </c>
      <c r="O1097" s="13">
        <v>2281458.2200000002</v>
      </c>
      <c r="P1097" s="13">
        <v>899209.6</v>
      </c>
      <c r="Q1097" s="13">
        <v>74.459999999999994</v>
      </c>
      <c r="R1097" s="1" t="s">
        <v>51</v>
      </c>
      <c r="S1097" s="1">
        <v>3</v>
      </c>
      <c r="T1097" s="1" t="b">
        <v>0</v>
      </c>
      <c r="U1097" s="1" t="s">
        <v>39</v>
      </c>
      <c r="V1097" s="3">
        <v>5</v>
      </c>
    </row>
    <row r="1098" spans="1:22" x14ac:dyDescent="0.3">
      <c r="A1098" s="2" t="s">
        <v>2676</v>
      </c>
      <c r="B1098" s="10">
        <v>44683</v>
      </c>
      <c r="C1098" s="22">
        <v>44683</v>
      </c>
      <c r="D1098" s="1" t="s">
        <v>2677</v>
      </c>
      <c r="E1098" s="1" t="s">
        <v>1015</v>
      </c>
      <c r="F1098" s="1">
        <v>29</v>
      </c>
      <c r="G1098" s="1" t="s">
        <v>68</v>
      </c>
      <c r="H1098" s="1" t="s">
        <v>35</v>
      </c>
      <c r="I1098" s="1" t="s">
        <v>36</v>
      </c>
      <c r="J1098" s="1" t="s">
        <v>37</v>
      </c>
      <c r="K1098" s="1" t="s">
        <v>102</v>
      </c>
      <c r="L1098" s="1">
        <v>4</v>
      </c>
      <c r="M1098" s="13">
        <v>1147.98</v>
      </c>
      <c r="N1098" s="15">
        <v>0.2</v>
      </c>
      <c r="O1098" s="13">
        <v>6361.05</v>
      </c>
      <c r="P1098" s="13">
        <v>3168.26</v>
      </c>
      <c r="Q1098" s="13">
        <v>65.040000000000006</v>
      </c>
      <c r="R1098" s="1" t="s">
        <v>70</v>
      </c>
      <c r="S1098" s="1">
        <v>4</v>
      </c>
      <c r="T1098" s="1" t="b">
        <v>0</v>
      </c>
      <c r="U1098" s="1" t="s">
        <v>137</v>
      </c>
      <c r="V1098" s="3">
        <v>3</v>
      </c>
    </row>
    <row r="1099" spans="1:22" x14ac:dyDescent="0.3">
      <c r="A1099" s="2" t="s">
        <v>2678</v>
      </c>
      <c r="B1099" s="10">
        <v>45285</v>
      </c>
      <c r="C1099" s="22">
        <v>45285</v>
      </c>
      <c r="D1099" s="1" t="s">
        <v>2679</v>
      </c>
      <c r="E1099" s="1" t="s">
        <v>1186</v>
      </c>
      <c r="F1099" s="1">
        <v>42</v>
      </c>
      <c r="G1099" s="1" t="s">
        <v>34</v>
      </c>
      <c r="H1099" s="1" t="s">
        <v>111</v>
      </c>
      <c r="I1099" s="1" t="s">
        <v>330</v>
      </c>
      <c r="J1099" s="1" t="s">
        <v>76</v>
      </c>
      <c r="K1099" s="1" t="s">
        <v>122</v>
      </c>
      <c r="L1099" s="1">
        <v>9</v>
      </c>
      <c r="M1099" s="13">
        <v>498.04</v>
      </c>
      <c r="N1099" s="15">
        <v>0.17</v>
      </c>
      <c r="O1099" s="13">
        <v>3156.27</v>
      </c>
      <c r="P1099" s="13">
        <v>846.9</v>
      </c>
      <c r="Q1099" s="13">
        <v>66.239999999999995</v>
      </c>
      <c r="R1099" s="1" t="s">
        <v>51</v>
      </c>
      <c r="S1099" s="1">
        <v>2</v>
      </c>
      <c r="T1099" s="1" t="b">
        <v>0</v>
      </c>
      <c r="U1099" s="1" t="s">
        <v>84</v>
      </c>
      <c r="V1099" s="3">
        <v>9</v>
      </c>
    </row>
    <row r="1100" spans="1:22" x14ac:dyDescent="0.3">
      <c r="A1100" s="2" t="s">
        <v>2680</v>
      </c>
      <c r="B1100" s="10">
        <v>44784</v>
      </c>
      <c r="C1100" s="22">
        <v>44784</v>
      </c>
      <c r="D1100" s="1" t="s">
        <v>2681</v>
      </c>
      <c r="E1100" s="1" t="s">
        <v>1978</v>
      </c>
      <c r="F1100" s="1">
        <v>14</v>
      </c>
      <c r="G1100" s="1" t="s">
        <v>34</v>
      </c>
      <c r="H1100" s="1" t="s">
        <v>25</v>
      </c>
      <c r="I1100" s="1" t="s">
        <v>26</v>
      </c>
      <c r="J1100" s="1" t="s">
        <v>27</v>
      </c>
      <c r="K1100" s="1" t="s">
        <v>400</v>
      </c>
      <c r="L1100" s="1">
        <v>4</v>
      </c>
      <c r="M1100" s="13">
        <v>226.35</v>
      </c>
      <c r="N1100" s="15">
        <v>7.0000000000000007E-2</v>
      </c>
      <c r="O1100" s="13">
        <v>989.86</v>
      </c>
      <c r="P1100" s="13">
        <v>91.52</v>
      </c>
      <c r="Q1100" s="13">
        <v>55.59</v>
      </c>
      <c r="R1100" s="1" t="s">
        <v>29</v>
      </c>
      <c r="S1100" s="1">
        <v>1</v>
      </c>
      <c r="T1100" s="1" t="b">
        <v>0</v>
      </c>
      <c r="U1100" s="1" t="s">
        <v>58</v>
      </c>
      <c r="V1100" s="3">
        <v>3</v>
      </c>
    </row>
    <row r="1101" spans="1:22" x14ac:dyDescent="0.3">
      <c r="A1101" s="2" t="s">
        <v>2682</v>
      </c>
      <c r="B1101" s="10">
        <v>44623</v>
      </c>
      <c r="C1101" s="22">
        <v>44623</v>
      </c>
      <c r="D1101" s="1" t="s">
        <v>2683</v>
      </c>
      <c r="E1101" s="1" t="s">
        <v>2140</v>
      </c>
      <c r="F1101" s="1">
        <v>36</v>
      </c>
      <c r="G1101" s="1" t="s">
        <v>34</v>
      </c>
      <c r="H1101" s="1" t="s">
        <v>111</v>
      </c>
      <c r="I1101" s="1" t="s">
        <v>141</v>
      </c>
      <c r="J1101" s="1" t="s">
        <v>27</v>
      </c>
      <c r="K1101" s="1" t="s">
        <v>400</v>
      </c>
      <c r="L1101" s="1">
        <v>10</v>
      </c>
      <c r="M1101" s="13">
        <v>206.1</v>
      </c>
      <c r="N1101" s="15">
        <v>0.35</v>
      </c>
      <c r="O1101" s="13">
        <v>1777.49</v>
      </c>
      <c r="P1101" s="13">
        <v>133.97</v>
      </c>
      <c r="Q1101" s="13">
        <v>79.95</v>
      </c>
      <c r="R1101" s="1" t="s">
        <v>78</v>
      </c>
      <c r="S1101" s="1">
        <v>2</v>
      </c>
      <c r="T1101" s="1" t="b">
        <v>0</v>
      </c>
      <c r="U1101" s="1" t="s">
        <v>39</v>
      </c>
      <c r="V1101" s="3">
        <v>1</v>
      </c>
    </row>
    <row r="1102" spans="1:22" x14ac:dyDescent="0.3">
      <c r="A1102" s="2" t="s">
        <v>2684</v>
      </c>
      <c r="B1102" s="10">
        <v>44935</v>
      </c>
      <c r="C1102" s="22">
        <v>44935</v>
      </c>
      <c r="D1102" s="1" t="s">
        <v>2685</v>
      </c>
      <c r="E1102" s="1" t="s">
        <v>2001</v>
      </c>
      <c r="F1102" s="1">
        <v>46</v>
      </c>
      <c r="G1102" s="1" t="s">
        <v>34</v>
      </c>
      <c r="H1102" s="1" t="s">
        <v>74</v>
      </c>
      <c r="I1102" s="1" t="s">
        <v>192</v>
      </c>
      <c r="J1102" s="1" t="s">
        <v>44</v>
      </c>
      <c r="K1102" s="1" t="s">
        <v>186</v>
      </c>
      <c r="L1102" s="1">
        <v>7</v>
      </c>
      <c r="M1102" s="13">
        <v>14759.75</v>
      </c>
      <c r="N1102" s="15">
        <v>0.17</v>
      </c>
      <c r="O1102" s="13">
        <v>87388.37</v>
      </c>
      <c r="P1102" s="13">
        <v>15358.82</v>
      </c>
      <c r="Q1102" s="13">
        <v>24.99</v>
      </c>
      <c r="R1102" s="1" t="s">
        <v>51</v>
      </c>
      <c r="S1102" s="1">
        <v>3</v>
      </c>
      <c r="T1102" s="1" t="b">
        <v>0</v>
      </c>
      <c r="U1102" s="1" t="s">
        <v>39</v>
      </c>
      <c r="V1102" s="3">
        <v>4</v>
      </c>
    </row>
    <row r="1103" spans="1:22" x14ac:dyDescent="0.3">
      <c r="A1103" s="2" t="s">
        <v>2686</v>
      </c>
      <c r="B1103" s="10">
        <v>43836</v>
      </c>
      <c r="C1103" s="22">
        <v>43836</v>
      </c>
      <c r="D1103" s="1" t="s">
        <v>2687</v>
      </c>
      <c r="E1103" s="1" t="s">
        <v>660</v>
      </c>
      <c r="F1103" s="1">
        <v>34</v>
      </c>
      <c r="G1103" s="1" t="s">
        <v>68</v>
      </c>
      <c r="H1103" s="1" t="s">
        <v>82</v>
      </c>
      <c r="I1103" s="1" t="s">
        <v>83</v>
      </c>
      <c r="J1103" s="1" t="s">
        <v>76</v>
      </c>
      <c r="K1103" s="1" t="s">
        <v>207</v>
      </c>
      <c r="L1103" s="1">
        <v>5</v>
      </c>
      <c r="M1103" s="13">
        <v>669.43</v>
      </c>
      <c r="N1103" s="15">
        <v>0.01</v>
      </c>
      <c r="O1103" s="13">
        <v>2618.73</v>
      </c>
      <c r="P1103" s="13">
        <v>710.9</v>
      </c>
      <c r="Q1103" s="13">
        <v>82.42</v>
      </c>
      <c r="R1103" s="1" t="s">
        <v>70</v>
      </c>
      <c r="S1103" s="1">
        <v>4</v>
      </c>
      <c r="T1103" s="1" t="b">
        <v>0</v>
      </c>
      <c r="U1103" s="1" t="s">
        <v>39</v>
      </c>
      <c r="V1103" s="3">
        <v>10</v>
      </c>
    </row>
    <row r="1104" spans="1:22" x14ac:dyDescent="0.3">
      <c r="A1104" s="2" t="s">
        <v>2688</v>
      </c>
      <c r="B1104" s="10">
        <v>44286</v>
      </c>
      <c r="C1104" s="22">
        <v>44286</v>
      </c>
      <c r="D1104" s="1" t="s">
        <v>2689</v>
      </c>
      <c r="E1104" s="1" t="s">
        <v>1996</v>
      </c>
      <c r="F1104" s="1">
        <v>20</v>
      </c>
      <c r="G1104" s="1" t="s">
        <v>68</v>
      </c>
      <c r="H1104" s="1" t="s">
        <v>25</v>
      </c>
      <c r="I1104" s="1" t="s">
        <v>26</v>
      </c>
      <c r="J1104" s="1" t="s">
        <v>127</v>
      </c>
      <c r="K1104" s="1" t="s">
        <v>171</v>
      </c>
      <c r="L1104" s="1">
        <v>4</v>
      </c>
      <c r="M1104" s="13">
        <v>68084.100000000006</v>
      </c>
      <c r="N1104" s="15">
        <v>0.37</v>
      </c>
      <c r="O1104" s="13">
        <v>189388.83</v>
      </c>
      <c r="P1104" s="13">
        <v>13906.21</v>
      </c>
      <c r="Q1104" s="13">
        <v>69.36</v>
      </c>
      <c r="R1104" s="1" t="s">
        <v>29</v>
      </c>
      <c r="S1104" s="1">
        <v>3</v>
      </c>
      <c r="T1104" s="1" t="b">
        <v>0</v>
      </c>
      <c r="U1104" s="1" t="s">
        <v>39</v>
      </c>
      <c r="V1104" s="3">
        <v>3</v>
      </c>
    </row>
    <row r="1105" spans="1:22" x14ac:dyDescent="0.3">
      <c r="A1105" s="2" t="s">
        <v>2690</v>
      </c>
      <c r="B1105" s="10">
        <v>44789</v>
      </c>
      <c r="C1105" s="22">
        <v>44789</v>
      </c>
      <c r="D1105" s="1" t="s">
        <v>2691</v>
      </c>
      <c r="E1105" s="1" t="s">
        <v>537</v>
      </c>
      <c r="F1105" s="1">
        <v>36</v>
      </c>
      <c r="G1105" s="1" t="s">
        <v>34</v>
      </c>
      <c r="H1105" s="1" t="s">
        <v>111</v>
      </c>
      <c r="I1105" s="1" t="s">
        <v>330</v>
      </c>
      <c r="J1105" s="1" t="s">
        <v>76</v>
      </c>
      <c r="K1105" s="1" t="s">
        <v>132</v>
      </c>
      <c r="L1105" s="1">
        <v>7</v>
      </c>
      <c r="M1105" s="13">
        <v>1443.52</v>
      </c>
      <c r="N1105" s="15">
        <v>0.13</v>
      </c>
      <c r="O1105" s="13">
        <v>11305.88</v>
      </c>
      <c r="P1105" s="13">
        <v>3465.68</v>
      </c>
      <c r="Q1105" s="13">
        <v>55.23</v>
      </c>
      <c r="R1105" s="1" t="s">
        <v>70</v>
      </c>
      <c r="S1105" s="1">
        <v>1</v>
      </c>
      <c r="T1105" s="1" t="b">
        <v>1</v>
      </c>
      <c r="U1105" s="1" t="s">
        <v>30</v>
      </c>
      <c r="V1105" s="3">
        <v>5</v>
      </c>
    </row>
    <row r="1106" spans="1:22" x14ac:dyDescent="0.3">
      <c r="A1106" s="2" t="s">
        <v>2692</v>
      </c>
      <c r="B1106" s="10">
        <v>44594</v>
      </c>
      <c r="C1106" s="22">
        <v>44594</v>
      </c>
      <c r="D1106" s="1" t="s">
        <v>2693</v>
      </c>
      <c r="E1106" s="1" t="s">
        <v>801</v>
      </c>
      <c r="F1106" s="1">
        <v>8</v>
      </c>
      <c r="G1106" s="1" t="s">
        <v>24</v>
      </c>
      <c r="H1106" s="1" t="s">
        <v>25</v>
      </c>
      <c r="I1106" s="1" t="s">
        <v>170</v>
      </c>
      <c r="J1106" s="1" t="s">
        <v>146</v>
      </c>
      <c r="K1106" s="1" t="s">
        <v>161</v>
      </c>
      <c r="L1106" s="1">
        <v>5</v>
      </c>
      <c r="M1106" s="13">
        <v>13240.63</v>
      </c>
      <c r="N1106" s="15">
        <v>0.26</v>
      </c>
      <c r="O1106" s="13">
        <v>46691.07</v>
      </c>
      <c r="P1106" s="13">
        <v>9265.4</v>
      </c>
      <c r="Q1106" s="13">
        <v>67.489999999999995</v>
      </c>
      <c r="R1106" s="1" t="s">
        <v>57</v>
      </c>
      <c r="S1106" s="1">
        <v>5</v>
      </c>
      <c r="T1106" s="1" t="b">
        <v>0</v>
      </c>
      <c r="U1106" s="1" t="s">
        <v>39</v>
      </c>
      <c r="V1106" s="3">
        <v>5</v>
      </c>
    </row>
    <row r="1107" spans="1:22" x14ac:dyDescent="0.3">
      <c r="A1107" s="2" t="s">
        <v>2694</v>
      </c>
      <c r="B1107" s="10">
        <v>44597</v>
      </c>
      <c r="C1107" s="22">
        <v>44597</v>
      </c>
      <c r="D1107" s="1" t="s">
        <v>2695</v>
      </c>
      <c r="E1107" s="1" t="s">
        <v>2696</v>
      </c>
      <c r="F1107" s="1">
        <v>31</v>
      </c>
      <c r="G1107" s="1" t="s">
        <v>24</v>
      </c>
      <c r="H1107" s="1" t="s">
        <v>25</v>
      </c>
      <c r="I1107" s="1" t="s">
        <v>69</v>
      </c>
      <c r="J1107" s="1" t="s">
        <v>27</v>
      </c>
      <c r="K1107" s="1" t="s">
        <v>430</v>
      </c>
      <c r="L1107" s="1">
        <v>8</v>
      </c>
      <c r="M1107" s="13">
        <v>367.78</v>
      </c>
      <c r="N1107" s="15">
        <v>0.05</v>
      </c>
      <c r="O1107" s="13">
        <v>2940.06</v>
      </c>
      <c r="P1107" s="13">
        <v>156.66999999999999</v>
      </c>
      <c r="Q1107" s="13">
        <v>59.05</v>
      </c>
      <c r="R1107" s="1" t="s">
        <v>57</v>
      </c>
      <c r="S1107" s="1">
        <v>3</v>
      </c>
      <c r="T1107" s="1" t="b">
        <v>0</v>
      </c>
      <c r="U1107" s="1" t="s">
        <v>39</v>
      </c>
      <c r="V1107" s="3">
        <v>10</v>
      </c>
    </row>
    <row r="1108" spans="1:22" x14ac:dyDescent="0.3">
      <c r="A1108" s="2" t="s">
        <v>2697</v>
      </c>
      <c r="B1108" s="10">
        <v>44557</v>
      </c>
      <c r="C1108" s="22">
        <v>44557</v>
      </c>
      <c r="D1108" s="1" t="s">
        <v>2698</v>
      </c>
      <c r="E1108" s="1" t="s">
        <v>341</v>
      </c>
      <c r="F1108" s="1">
        <v>49</v>
      </c>
      <c r="G1108" s="1" t="s">
        <v>68</v>
      </c>
      <c r="H1108" s="1" t="s">
        <v>82</v>
      </c>
      <c r="I1108" s="1" t="s">
        <v>126</v>
      </c>
      <c r="J1108" s="1" t="s">
        <v>146</v>
      </c>
      <c r="K1108" s="1" t="s">
        <v>178</v>
      </c>
      <c r="L1108" s="1">
        <v>8</v>
      </c>
      <c r="M1108" s="13">
        <v>5432.7</v>
      </c>
      <c r="N1108" s="15">
        <v>0.02</v>
      </c>
      <c r="O1108" s="13">
        <v>31946.52</v>
      </c>
      <c r="P1108" s="13">
        <v>4581.83</v>
      </c>
      <c r="Q1108" s="13">
        <v>74.44</v>
      </c>
      <c r="R1108" s="1" t="s">
        <v>70</v>
      </c>
      <c r="S1108" s="1">
        <v>4</v>
      </c>
      <c r="T1108" s="1" t="b">
        <v>0</v>
      </c>
      <c r="U1108" s="1" t="s">
        <v>39</v>
      </c>
      <c r="V1108" s="3">
        <v>3</v>
      </c>
    </row>
    <row r="1109" spans="1:22" x14ac:dyDescent="0.3">
      <c r="A1109" s="2" t="s">
        <v>2699</v>
      </c>
      <c r="B1109" s="10">
        <v>45578</v>
      </c>
      <c r="C1109" s="22">
        <v>45578</v>
      </c>
      <c r="D1109" s="1" t="s">
        <v>2700</v>
      </c>
      <c r="E1109" s="1" t="s">
        <v>855</v>
      </c>
      <c r="F1109" s="1">
        <v>58</v>
      </c>
      <c r="G1109" s="1" t="s">
        <v>24</v>
      </c>
      <c r="H1109" s="1" t="s">
        <v>25</v>
      </c>
      <c r="I1109" s="1" t="s">
        <v>170</v>
      </c>
      <c r="J1109" s="1" t="s">
        <v>37</v>
      </c>
      <c r="K1109" s="1" t="s">
        <v>231</v>
      </c>
      <c r="L1109" s="1">
        <v>10</v>
      </c>
      <c r="M1109" s="13">
        <v>1026.6600000000001</v>
      </c>
      <c r="N1109" s="15">
        <v>0.13</v>
      </c>
      <c r="O1109" s="13">
        <v>9081.4500000000007</v>
      </c>
      <c r="P1109" s="13">
        <v>4511.59</v>
      </c>
      <c r="Q1109" s="13">
        <v>101.7</v>
      </c>
      <c r="R1109" s="1" t="s">
        <v>29</v>
      </c>
      <c r="S1109" s="1">
        <v>2</v>
      </c>
      <c r="T1109" s="1" t="b">
        <v>0</v>
      </c>
      <c r="U1109" s="1" t="s">
        <v>137</v>
      </c>
      <c r="V1109" s="3">
        <v>8</v>
      </c>
    </row>
    <row r="1110" spans="1:22" x14ac:dyDescent="0.3">
      <c r="A1110" s="2" t="s">
        <v>2701</v>
      </c>
      <c r="B1110" s="10">
        <v>45093</v>
      </c>
      <c r="C1110" s="22">
        <v>45093</v>
      </c>
      <c r="D1110" s="1" t="s">
        <v>2702</v>
      </c>
      <c r="E1110" s="1" t="s">
        <v>1681</v>
      </c>
      <c r="F1110" s="1">
        <v>25</v>
      </c>
      <c r="G1110" s="1" t="s">
        <v>68</v>
      </c>
      <c r="H1110" s="1" t="s">
        <v>82</v>
      </c>
      <c r="I1110" s="1" t="s">
        <v>293</v>
      </c>
      <c r="J1110" s="1" t="s">
        <v>27</v>
      </c>
      <c r="K1110" s="1" t="s">
        <v>450</v>
      </c>
      <c r="L1110" s="1">
        <v>9</v>
      </c>
      <c r="M1110" s="13">
        <v>374.09</v>
      </c>
      <c r="N1110" s="15">
        <v>0.17</v>
      </c>
      <c r="O1110" s="13">
        <v>4521.17</v>
      </c>
      <c r="P1110" s="13">
        <v>397.05</v>
      </c>
      <c r="Q1110" s="13">
        <v>78.38</v>
      </c>
      <c r="R1110" s="1" t="s">
        <v>29</v>
      </c>
      <c r="S1110" s="1">
        <v>1</v>
      </c>
      <c r="T1110" s="1" t="b">
        <v>1</v>
      </c>
      <c r="U1110" s="1" t="s">
        <v>30</v>
      </c>
      <c r="V1110" s="3">
        <v>8</v>
      </c>
    </row>
    <row r="1111" spans="1:22" x14ac:dyDescent="0.3">
      <c r="A1111" s="2" t="s">
        <v>2703</v>
      </c>
      <c r="B1111" s="10">
        <v>45235</v>
      </c>
      <c r="C1111" s="22">
        <v>45235</v>
      </c>
      <c r="D1111" s="1" t="s">
        <v>2704</v>
      </c>
      <c r="E1111" s="1" t="s">
        <v>2257</v>
      </c>
      <c r="F1111" s="1">
        <v>6</v>
      </c>
      <c r="G1111" s="1" t="s">
        <v>24</v>
      </c>
      <c r="H1111" s="1" t="s">
        <v>74</v>
      </c>
      <c r="I1111" s="1" t="s">
        <v>101</v>
      </c>
      <c r="J1111" s="1" t="s">
        <v>27</v>
      </c>
      <c r="K1111" s="1" t="s">
        <v>28</v>
      </c>
      <c r="L1111" s="1">
        <v>6</v>
      </c>
      <c r="M1111" s="13">
        <v>131.77000000000001</v>
      </c>
      <c r="N1111" s="15">
        <v>0.35</v>
      </c>
      <c r="O1111" s="13">
        <v>499.25</v>
      </c>
      <c r="P1111" s="13">
        <v>57.45</v>
      </c>
      <c r="Q1111" s="13">
        <v>58.15</v>
      </c>
      <c r="R1111" s="1" t="s">
        <v>29</v>
      </c>
      <c r="S1111" s="1">
        <v>5</v>
      </c>
      <c r="T1111" s="1" t="b">
        <v>0</v>
      </c>
      <c r="U1111" s="1" t="s">
        <v>39</v>
      </c>
      <c r="V1111" s="3">
        <v>3</v>
      </c>
    </row>
    <row r="1112" spans="1:22" x14ac:dyDescent="0.3">
      <c r="A1112" s="2" t="s">
        <v>2705</v>
      </c>
      <c r="B1112" s="10">
        <v>45231</v>
      </c>
      <c r="C1112" s="22">
        <v>45231</v>
      </c>
      <c r="D1112" s="1" t="s">
        <v>2706</v>
      </c>
      <c r="E1112" s="1" t="s">
        <v>950</v>
      </c>
      <c r="F1112" s="1">
        <v>34</v>
      </c>
      <c r="G1112" s="1" t="s">
        <v>24</v>
      </c>
      <c r="H1112" s="1" t="s">
        <v>111</v>
      </c>
      <c r="I1112" s="1" t="s">
        <v>330</v>
      </c>
      <c r="J1112" s="1" t="s">
        <v>27</v>
      </c>
      <c r="K1112" s="1" t="s">
        <v>430</v>
      </c>
      <c r="L1112" s="1">
        <v>6</v>
      </c>
      <c r="M1112" s="13">
        <v>160.41</v>
      </c>
      <c r="N1112" s="15">
        <v>0.3</v>
      </c>
      <c r="O1112" s="13">
        <v>586.05999999999995</v>
      </c>
      <c r="P1112" s="13">
        <v>63.9</v>
      </c>
      <c r="Q1112" s="13">
        <v>77.63</v>
      </c>
      <c r="R1112" s="1" t="s">
        <v>57</v>
      </c>
      <c r="S1112" s="1">
        <v>1</v>
      </c>
      <c r="T1112" s="1" t="b">
        <v>0</v>
      </c>
      <c r="U1112" s="1" t="s">
        <v>39</v>
      </c>
      <c r="V1112" s="3">
        <v>3</v>
      </c>
    </row>
    <row r="1113" spans="1:22" x14ac:dyDescent="0.3">
      <c r="A1113" s="2" t="s">
        <v>2707</v>
      </c>
      <c r="B1113" s="10">
        <v>45471</v>
      </c>
      <c r="C1113" s="22">
        <v>45471</v>
      </c>
      <c r="D1113" s="1" t="s">
        <v>2708</v>
      </c>
      <c r="E1113" s="1" t="s">
        <v>409</v>
      </c>
      <c r="F1113" s="1">
        <v>35</v>
      </c>
      <c r="G1113" s="1" t="s">
        <v>24</v>
      </c>
      <c r="H1113" s="1" t="s">
        <v>111</v>
      </c>
      <c r="I1113" s="1" t="s">
        <v>121</v>
      </c>
      <c r="J1113" s="1" t="s">
        <v>127</v>
      </c>
      <c r="K1113" s="1" t="s">
        <v>308</v>
      </c>
      <c r="L1113" s="1">
        <v>5</v>
      </c>
      <c r="M1113" s="13">
        <v>21887.79</v>
      </c>
      <c r="N1113" s="15">
        <v>0.34</v>
      </c>
      <c r="O1113" s="13">
        <v>27456.59</v>
      </c>
      <c r="P1113" s="13">
        <v>3466.29</v>
      </c>
      <c r="Q1113" s="13">
        <v>71.52</v>
      </c>
      <c r="R1113" s="1" t="s">
        <v>29</v>
      </c>
      <c r="S1113" s="1">
        <v>5</v>
      </c>
      <c r="T1113" s="1" t="b">
        <v>0</v>
      </c>
      <c r="U1113" s="1" t="s">
        <v>39</v>
      </c>
      <c r="V1113" s="3">
        <v>9</v>
      </c>
    </row>
    <row r="1114" spans="1:22" x14ac:dyDescent="0.3">
      <c r="A1114" s="2" t="s">
        <v>2709</v>
      </c>
      <c r="B1114" s="10">
        <v>45437</v>
      </c>
      <c r="C1114" s="22">
        <v>45437</v>
      </c>
      <c r="D1114" s="1" t="s">
        <v>1272</v>
      </c>
      <c r="E1114" s="1" t="s">
        <v>449</v>
      </c>
      <c r="F1114" s="1">
        <v>34</v>
      </c>
      <c r="G1114" s="1" t="s">
        <v>34</v>
      </c>
      <c r="H1114" s="1" t="s">
        <v>25</v>
      </c>
      <c r="I1114" s="1" t="s">
        <v>26</v>
      </c>
      <c r="J1114" s="1" t="s">
        <v>127</v>
      </c>
      <c r="K1114" s="1" t="s">
        <v>196</v>
      </c>
      <c r="L1114" s="1">
        <v>9</v>
      </c>
      <c r="M1114" s="13">
        <v>40526.75</v>
      </c>
      <c r="N1114" s="15">
        <v>0.37</v>
      </c>
      <c r="O1114" s="13">
        <v>293380.84999999998</v>
      </c>
      <c r="P1114" s="13">
        <v>34699.61</v>
      </c>
      <c r="Q1114" s="13">
        <v>66.27</v>
      </c>
      <c r="R1114" s="1" t="s">
        <v>29</v>
      </c>
      <c r="S1114" s="1">
        <v>3</v>
      </c>
      <c r="T1114" s="1" t="b">
        <v>1</v>
      </c>
      <c r="U1114" s="1" t="s">
        <v>30</v>
      </c>
      <c r="V1114" s="3">
        <v>8</v>
      </c>
    </row>
    <row r="1115" spans="1:22" x14ac:dyDescent="0.3">
      <c r="A1115" s="2" t="s">
        <v>2710</v>
      </c>
      <c r="B1115" s="10">
        <v>43926</v>
      </c>
      <c r="C1115" s="22">
        <v>43926</v>
      </c>
      <c r="D1115" s="1" t="s">
        <v>2711</v>
      </c>
      <c r="E1115" s="1" t="s">
        <v>87</v>
      </c>
      <c r="F1115" s="1">
        <v>53</v>
      </c>
      <c r="G1115" s="1" t="s">
        <v>34</v>
      </c>
      <c r="H1115" s="1" t="s">
        <v>111</v>
      </c>
      <c r="I1115" s="1" t="s">
        <v>112</v>
      </c>
      <c r="J1115" s="1" t="s">
        <v>127</v>
      </c>
      <c r="K1115" s="1" t="s">
        <v>308</v>
      </c>
      <c r="L1115" s="1">
        <v>7</v>
      </c>
      <c r="M1115" s="13">
        <v>9567.57</v>
      </c>
      <c r="N1115" s="15">
        <v>0.15</v>
      </c>
      <c r="O1115" s="13">
        <v>74980.19</v>
      </c>
      <c r="P1115" s="13">
        <v>6346.79</v>
      </c>
      <c r="Q1115" s="13">
        <v>57.59</v>
      </c>
      <c r="R1115" s="1" t="s">
        <v>78</v>
      </c>
      <c r="S1115" s="1">
        <v>2</v>
      </c>
      <c r="T1115" s="1" t="b">
        <v>1</v>
      </c>
      <c r="U1115" s="1" t="s">
        <v>30</v>
      </c>
      <c r="V1115" s="3">
        <v>5</v>
      </c>
    </row>
    <row r="1116" spans="1:22" x14ac:dyDescent="0.3">
      <c r="A1116" s="2" t="s">
        <v>2712</v>
      </c>
      <c r="B1116" s="10">
        <v>44547</v>
      </c>
      <c r="C1116" s="22">
        <v>44547</v>
      </c>
      <c r="D1116" s="1" t="s">
        <v>2713</v>
      </c>
      <c r="E1116" s="1" t="s">
        <v>1672</v>
      </c>
      <c r="F1116" s="1">
        <v>34</v>
      </c>
      <c r="G1116" s="1" t="s">
        <v>68</v>
      </c>
      <c r="H1116" s="1" t="s">
        <v>111</v>
      </c>
      <c r="I1116" s="1" t="s">
        <v>330</v>
      </c>
      <c r="J1116" s="1" t="s">
        <v>127</v>
      </c>
      <c r="K1116" s="1" t="s">
        <v>196</v>
      </c>
      <c r="L1116" s="1">
        <v>1</v>
      </c>
      <c r="M1116" s="13">
        <v>44910.55</v>
      </c>
      <c r="N1116" s="15">
        <v>0.23</v>
      </c>
      <c r="O1116" s="13">
        <v>25982.59</v>
      </c>
      <c r="P1116" s="13">
        <v>1789.8</v>
      </c>
      <c r="Q1116" s="13">
        <v>63.09</v>
      </c>
      <c r="R1116" s="1" t="s">
        <v>64</v>
      </c>
      <c r="S1116" s="1">
        <v>3</v>
      </c>
      <c r="T1116" s="1" t="b">
        <v>1</v>
      </c>
      <c r="U1116" s="1" t="s">
        <v>30</v>
      </c>
      <c r="V1116" s="3">
        <v>10</v>
      </c>
    </row>
    <row r="1117" spans="1:22" x14ac:dyDescent="0.3">
      <c r="A1117" s="2" t="s">
        <v>2714</v>
      </c>
      <c r="B1117" s="10">
        <v>43914</v>
      </c>
      <c r="C1117" s="22">
        <v>43914</v>
      </c>
      <c r="D1117" s="1" t="s">
        <v>2715</v>
      </c>
      <c r="E1117" s="1" t="s">
        <v>2696</v>
      </c>
      <c r="F1117" s="1">
        <v>45</v>
      </c>
      <c r="G1117" s="1" t="s">
        <v>34</v>
      </c>
      <c r="H1117" s="1" t="s">
        <v>82</v>
      </c>
      <c r="I1117" s="1" t="s">
        <v>293</v>
      </c>
      <c r="J1117" s="1" t="s">
        <v>127</v>
      </c>
      <c r="K1117" s="1" t="s">
        <v>517</v>
      </c>
      <c r="L1117" s="1">
        <v>1</v>
      </c>
      <c r="M1117" s="13">
        <v>6658.64</v>
      </c>
      <c r="N1117" s="15">
        <v>0.06</v>
      </c>
      <c r="O1117" s="13">
        <v>6373.28</v>
      </c>
      <c r="P1117" s="13">
        <v>702.66</v>
      </c>
      <c r="Q1117" s="13">
        <v>108.65</v>
      </c>
      <c r="R1117" s="1" t="s">
        <v>78</v>
      </c>
      <c r="S1117" s="1">
        <v>4</v>
      </c>
      <c r="T1117" s="1" t="b">
        <v>0</v>
      </c>
      <c r="U1117" s="1" t="s">
        <v>39</v>
      </c>
      <c r="V1117" s="3">
        <v>10</v>
      </c>
    </row>
    <row r="1118" spans="1:22" x14ac:dyDescent="0.3">
      <c r="A1118" s="2" t="s">
        <v>2716</v>
      </c>
      <c r="B1118" s="10">
        <v>45324</v>
      </c>
      <c r="C1118" s="22">
        <v>45324</v>
      </c>
      <c r="D1118" s="1" t="s">
        <v>2717</v>
      </c>
      <c r="E1118" s="1" t="s">
        <v>157</v>
      </c>
      <c r="F1118" s="1">
        <v>23</v>
      </c>
      <c r="G1118" s="1" t="s">
        <v>24</v>
      </c>
      <c r="H1118" s="1" t="s">
        <v>74</v>
      </c>
      <c r="I1118" s="1" t="s">
        <v>136</v>
      </c>
      <c r="J1118" s="1" t="s">
        <v>44</v>
      </c>
      <c r="K1118" s="1" t="s">
        <v>45</v>
      </c>
      <c r="L1118" s="1">
        <v>1</v>
      </c>
      <c r="M1118" s="13">
        <v>18541.2</v>
      </c>
      <c r="N1118" s="15">
        <v>0.28000000000000003</v>
      </c>
      <c r="O1118" s="13">
        <v>14966.05</v>
      </c>
      <c r="P1118" s="13">
        <v>4220.82</v>
      </c>
      <c r="Q1118" s="13">
        <v>26.45</v>
      </c>
      <c r="R1118" s="1" t="s">
        <v>64</v>
      </c>
      <c r="S1118" s="1">
        <v>5</v>
      </c>
      <c r="T1118" s="1" t="b">
        <v>0</v>
      </c>
      <c r="U1118" s="1" t="s">
        <v>39</v>
      </c>
      <c r="V1118" s="3">
        <v>9</v>
      </c>
    </row>
    <row r="1119" spans="1:22" x14ac:dyDescent="0.3">
      <c r="A1119" s="2" t="s">
        <v>2718</v>
      </c>
      <c r="B1119" s="10">
        <v>44502</v>
      </c>
      <c r="C1119" s="22">
        <v>44502</v>
      </c>
      <c r="D1119" s="1" t="s">
        <v>2719</v>
      </c>
      <c r="E1119" s="1" t="s">
        <v>1574</v>
      </c>
      <c r="F1119" s="1">
        <v>47</v>
      </c>
      <c r="G1119" s="1" t="s">
        <v>463</v>
      </c>
      <c r="H1119" s="1" t="s">
        <v>35</v>
      </c>
      <c r="I1119" s="1" t="s">
        <v>49</v>
      </c>
      <c r="J1119" s="1" t="s">
        <v>37</v>
      </c>
      <c r="K1119" s="1" t="s">
        <v>231</v>
      </c>
      <c r="L1119" s="1">
        <v>1</v>
      </c>
      <c r="M1119" s="13">
        <v>214.05</v>
      </c>
      <c r="N1119" s="15">
        <v>0.33</v>
      </c>
      <c r="O1119" s="13">
        <v>112.78</v>
      </c>
      <c r="P1119" s="13">
        <v>35.96</v>
      </c>
      <c r="Q1119" s="13">
        <v>36.57</v>
      </c>
      <c r="R1119" s="1" t="s">
        <v>78</v>
      </c>
      <c r="S1119" s="1">
        <v>3</v>
      </c>
      <c r="T1119" s="1" t="b">
        <v>0</v>
      </c>
      <c r="U1119" s="1" t="s">
        <v>39</v>
      </c>
      <c r="V1119" s="3">
        <v>10</v>
      </c>
    </row>
    <row r="1120" spans="1:22" x14ac:dyDescent="0.3">
      <c r="A1120" s="2" t="s">
        <v>2720</v>
      </c>
      <c r="B1120" s="10">
        <v>44578</v>
      </c>
      <c r="C1120" s="22">
        <v>44578</v>
      </c>
      <c r="D1120" s="1" t="s">
        <v>2721</v>
      </c>
      <c r="E1120" s="1" t="s">
        <v>1263</v>
      </c>
      <c r="F1120" s="1">
        <v>36</v>
      </c>
      <c r="G1120" s="1" t="s">
        <v>34</v>
      </c>
      <c r="H1120" s="1" t="s">
        <v>35</v>
      </c>
      <c r="I1120" s="1" t="s">
        <v>36</v>
      </c>
      <c r="J1120" s="1" t="s">
        <v>37</v>
      </c>
      <c r="K1120" s="1" t="s">
        <v>454</v>
      </c>
      <c r="L1120" s="1">
        <v>7</v>
      </c>
      <c r="M1120" s="13">
        <v>1098.02</v>
      </c>
      <c r="N1120" s="15">
        <v>0.23</v>
      </c>
      <c r="O1120" s="13">
        <v>4476.08</v>
      </c>
      <c r="P1120" s="13">
        <v>2091.36</v>
      </c>
      <c r="Q1120" s="13">
        <v>61.05</v>
      </c>
      <c r="R1120" s="1" t="s">
        <v>64</v>
      </c>
      <c r="S1120" s="1">
        <v>3</v>
      </c>
      <c r="T1120" s="1" t="b">
        <v>0</v>
      </c>
      <c r="U1120" s="1" t="s">
        <v>39</v>
      </c>
      <c r="V1120" s="3">
        <v>10</v>
      </c>
    </row>
    <row r="1121" spans="1:22" x14ac:dyDescent="0.3">
      <c r="A1121" s="2" t="s">
        <v>2722</v>
      </c>
      <c r="B1121" s="10">
        <v>44119</v>
      </c>
      <c r="C1121" s="22">
        <v>44119</v>
      </c>
      <c r="D1121" s="1" t="s">
        <v>2723</v>
      </c>
      <c r="E1121" s="1" t="s">
        <v>1131</v>
      </c>
      <c r="F1121" s="1">
        <v>38</v>
      </c>
      <c r="G1121" s="1" t="s">
        <v>68</v>
      </c>
      <c r="H1121" s="1" t="s">
        <v>82</v>
      </c>
      <c r="I1121" s="1" t="s">
        <v>293</v>
      </c>
      <c r="J1121" s="1" t="s">
        <v>62</v>
      </c>
      <c r="K1121" s="1" t="s">
        <v>63</v>
      </c>
      <c r="L1121" s="1">
        <v>9</v>
      </c>
      <c r="M1121" s="13">
        <v>1306.28</v>
      </c>
      <c r="N1121" s="15">
        <v>0.21</v>
      </c>
      <c r="O1121" s="13">
        <v>8262.31</v>
      </c>
      <c r="P1121" s="13">
        <v>4280.66</v>
      </c>
      <c r="Q1121" s="13">
        <v>74.540000000000006</v>
      </c>
      <c r="R1121" s="1" t="s">
        <v>57</v>
      </c>
      <c r="S1121" s="1">
        <v>1</v>
      </c>
      <c r="T1121" s="1" t="b">
        <v>0</v>
      </c>
      <c r="U1121" s="1" t="s">
        <v>39</v>
      </c>
      <c r="V1121" s="3">
        <v>4</v>
      </c>
    </row>
    <row r="1122" spans="1:22" x14ac:dyDescent="0.3">
      <c r="A1122" s="2" t="s">
        <v>2724</v>
      </c>
      <c r="B1122" s="10">
        <v>44295</v>
      </c>
      <c r="C1122" s="22">
        <v>44295</v>
      </c>
      <c r="D1122" s="1" t="s">
        <v>2725</v>
      </c>
      <c r="E1122" s="1" t="s">
        <v>644</v>
      </c>
      <c r="F1122" s="1">
        <v>36</v>
      </c>
      <c r="G1122" s="1" t="s">
        <v>34</v>
      </c>
      <c r="H1122" s="1" t="s">
        <v>74</v>
      </c>
      <c r="I1122" s="1" t="s">
        <v>75</v>
      </c>
      <c r="J1122" s="1" t="s">
        <v>146</v>
      </c>
      <c r="K1122" s="1" t="s">
        <v>217</v>
      </c>
      <c r="L1122" s="1">
        <v>999</v>
      </c>
      <c r="M1122" s="13">
        <v>9380.7199999999993</v>
      </c>
      <c r="N1122" s="15">
        <v>0.28999999999999998</v>
      </c>
      <c r="O1122" s="13">
        <v>7936261.2000000002</v>
      </c>
      <c r="P1122" s="13">
        <v>1739854</v>
      </c>
      <c r="Q1122" s="13">
        <v>72.62</v>
      </c>
      <c r="R1122" s="1" t="s">
        <v>57</v>
      </c>
      <c r="S1122" s="1">
        <v>4</v>
      </c>
      <c r="T1122" s="1" t="b">
        <v>0</v>
      </c>
      <c r="U1122" s="1" t="s">
        <v>39</v>
      </c>
      <c r="V1122" s="3">
        <v>4</v>
      </c>
    </row>
    <row r="1123" spans="1:22" x14ac:dyDescent="0.3">
      <c r="A1123" s="2" t="s">
        <v>2726</v>
      </c>
      <c r="B1123" s="10">
        <v>44645</v>
      </c>
      <c r="C1123" s="22">
        <v>44645</v>
      </c>
      <c r="D1123" s="1" t="s">
        <v>2727</v>
      </c>
      <c r="E1123" s="1" t="s">
        <v>690</v>
      </c>
      <c r="F1123" s="1">
        <v>35</v>
      </c>
      <c r="G1123" s="1" t="s">
        <v>24</v>
      </c>
      <c r="H1123" s="1" t="s">
        <v>82</v>
      </c>
      <c r="I1123" s="1" t="s">
        <v>244</v>
      </c>
      <c r="J1123" s="1" t="s">
        <v>27</v>
      </c>
      <c r="K1123" s="1" t="s">
        <v>400</v>
      </c>
      <c r="L1123" s="1">
        <v>6</v>
      </c>
      <c r="M1123" s="13">
        <v>113.85</v>
      </c>
      <c r="N1123" s="15">
        <v>0.12</v>
      </c>
      <c r="O1123" s="13">
        <v>739.35</v>
      </c>
      <c r="P1123" s="13">
        <v>42.47</v>
      </c>
      <c r="Q1123" s="13">
        <v>94.73</v>
      </c>
      <c r="R1123" s="1" t="s">
        <v>78</v>
      </c>
      <c r="S1123" s="1">
        <v>5</v>
      </c>
      <c r="T1123" s="1" t="b">
        <v>0</v>
      </c>
      <c r="U1123" s="1" t="s">
        <v>39</v>
      </c>
      <c r="V1123" s="3">
        <v>9</v>
      </c>
    </row>
    <row r="1124" spans="1:22" x14ac:dyDescent="0.3">
      <c r="A1124" s="2" t="s">
        <v>2728</v>
      </c>
      <c r="B1124" s="10">
        <v>45352</v>
      </c>
      <c r="C1124" s="22">
        <v>45352</v>
      </c>
      <c r="D1124" s="1" t="s">
        <v>2729</v>
      </c>
      <c r="E1124" s="1" t="s">
        <v>561</v>
      </c>
      <c r="F1124" s="1">
        <v>61</v>
      </c>
      <c r="G1124" s="1" t="s">
        <v>34</v>
      </c>
      <c r="H1124" s="1" t="s">
        <v>111</v>
      </c>
      <c r="I1124" s="1" t="s">
        <v>141</v>
      </c>
      <c r="J1124" s="1" t="s">
        <v>37</v>
      </c>
      <c r="K1124" s="1" t="s">
        <v>182</v>
      </c>
      <c r="L1124" s="1">
        <v>2</v>
      </c>
      <c r="M1124" s="13">
        <v>2459.27</v>
      </c>
      <c r="N1124" s="15">
        <v>0.22</v>
      </c>
      <c r="O1124" s="13">
        <v>4998.5200000000004</v>
      </c>
      <c r="P1124" s="13">
        <v>2550.2600000000002</v>
      </c>
      <c r="Q1124" s="13">
        <v>90.29</v>
      </c>
      <c r="R1124" s="1" t="s">
        <v>70</v>
      </c>
      <c r="S1124" s="1">
        <v>5</v>
      </c>
      <c r="T1124" s="1" t="b">
        <v>0</v>
      </c>
      <c r="U1124" s="1" t="s">
        <v>39</v>
      </c>
      <c r="V1124" s="3">
        <v>2</v>
      </c>
    </row>
    <row r="1125" spans="1:22" x14ac:dyDescent="0.3">
      <c r="A1125" s="2" t="s">
        <v>2730</v>
      </c>
      <c r="B1125" s="10">
        <v>44645</v>
      </c>
      <c r="C1125" s="22">
        <v>44645</v>
      </c>
      <c r="D1125" s="1" t="s">
        <v>2731</v>
      </c>
      <c r="E1125" s="1" t="s">
        <v>154</v>
      </c>
      <c r="F1125" s="1">
        <v>51</v>
      </c>
      <c r="G1125" s="1" t="s">
        <v>68</v>
      </c>
      <c r="H1125" s="1" t="s">
        <v>25</v>
      </c>
      <c r="I1125" s="1" t="s">
        <v>26</v>
      </c>
      <c r="J1125" s="1" t="s">
        <v>76</v>
      </c>
      <c r="K1125" s="1" t="s">
        <v>122</v>
      </c>
      <c r="L1125" s="1">
        <v>4</v>
      </c>
      <c r="M1125" s="13">
        <v>3759.12</v>
      </c>
      <c r="N1125" s="15">
        <v>0.06</v>
      </c>
      <c r="O1125" s="13">
        <v>16565.63</v>
      </c>
      <c r="P1125" s="13">
        <v>5889.66</v>
      </c>
      <c r="Q1125" s="13">
        <v>49.87</v>
      </c>
      <c r="R1125" s="1" t="s">
        <v>64</v>
      </c>
      <c r="S1125" s="1">
        <v>3</v>
      </c>
      <c r="T1125" s="1" t="b">
        <v>0</v>
      </c>
      <c r="U1125" s="1" t="s">
        <v>39</v>
      </c>
      <c r="V1125" s="3">
        <v>1</v>
      </c>
    </row>
    <row r="1126" spans="1:22" x14ac:dyDescent="0.3">
      <c r="A1126" s="2" t="s">
        <v>2732</v>
      </c>
      <c r="B1126" s="10">
        <v>44994</v>
      </c>
      <c r="C1126" s="22">
        <v>44994</v>
      </c>
      <c r="D1126" s="1" t="s">
        <v>2733</v>
      </c>
      <c r="E1126" s="1" t="s">
        <v>1955</v>
      </c>
      <c r="F1126" s="1">
        <v>53</v>
      </c>
      <c r="G1126" s="1" t="s">
        <v>68</v>
      </c>
      <c r="H1126" s="1" t="s">
        <v>25</v>
      </c>
      <c r="I1126" s="1" t="s">
        <v>69</v>
      </c>
      <c r="J1126" s="1" t="s">
        <v>62</v>
      </c>
      <c r="K1126" s="1" t="s">
        <v>266</v>
      </c>
      <c r="L1126" s="1">
        <v>7</v>
      </c>
      <c r="M1126" s="13">
        <v>291.52999999999997</v>
      </c>
      <c r="N1126" s="15">
        <v>0.08</v>
      </c>
      <c r="O1126" s="13">
        <v>2565.08</v>
      </c>
      <c r="P1126" s="13">
        <v>571.02</v>
      </c>
      <c r="Q1126" s="13">
        <v>71.31</v>
      </c>
      <c r="R1126" s="1" t="s">
        <v>70</v>
      </c>
      <c r="S1126" s="1">
        <v>1</v>
      </c>
      <c r="T1126" s="1" t="b">
        <v>0</v>
      </c>
      <c r="U1126" s="1" t="s">
        <v>39</v>
      </c>
      <c r="V1126" s="3">
        <v>3</v>
      </c>
    </row>
    <row r="1127" spans="1:22" x14ac:dyDescent="0.3">
      <c r="A1127" s="2" t="s">
        <v>2734</v>
      </c>
      <c r="B1127" s="10">
        <v>45438</v>
      </c>
      <c r="C1127" s="22">
        <v>45438</v>
      </c>
      <c r="D1127" s="1" t="s">
        <v>2735</v>
      </c>
      <c r="E1127" s="1" t="s">
        <v>1555</v>
      </c>
      <c r="F1127" s="1">
        <v>-1</v>
      </c>
      <c r="G1127" s="1" t="s">
        <v>34</v>
      </c>
      <c r="H1127" s="1" t="s">
        <v>25</v>
      </c>
      <c r="I1127" s="1" t="s">
        <v>170</v>
      </c>
      <c r="J1127" s="1" t="s">
        <v>27</v>
      </c>
      <c r="K1127" s="1" t="s">
        <v>400</v>
      </c>
      <c r="L1127" s="1">
        <v>7</v>
      </c>
      <c r="M1127" s="13">
        <v>314.01</v>
      </c>
      <c r="N1127" s="15">
        <v>0.22</v>
      </c>
      <c r="O1127" s="13">
        <v>2725.99</v>
      </c>
      <c r="P1127" s="13">
        <v>279.75</v>
      </c>
      <c r="Q1127" s="13">
        <v>47.43</v>
      </c>
      <c r="R1127" s="1" t="s">
        <v>78</v>
      </c>
      <c r="S1127" s="1">
        <v>1</v>
      </c>
      <c r="T1127" s="1" t="b">
        <v>1</v>
      </c>
      <c r="U1127" s="1" t="s">
        <v>30</v>
      </c>
      <c r="V1127" s="3">
        <v>5</v>
      </c>
    </row>
    <row r="1128" spans="1:22" x14ac:dyDescent="0.3">
      <c r="A1128" s="2" t="s">
        <v>2736</v>
      </c>
      <c r="B1128" s="10">
        <v>45583</v>
      </c>
      <c r="C1128" s="22">
        <v>45583</v>
      </c>
      <c r="D1128" s="1" t="s">
        <v>2737</v>
      </c>
      <c r="E1128" s="1" t="s">
        <v>1001</v>
      </c>
      <c r="F1128" s="1">
        <v>32</v>
      </c>
      <c r="G1128" s="1" t="s">
        <v>34</v>
      </c>
      <c r="H1128" s="1" t="s">
        <v>25</v>
      </c>
      <c r="I1128" s="1" t="s">
        <v>55</v>
      </c>
      <c r="J1128" s="1" t="s">
        <v>146</v>
      </c>
      <c r="K1128" s="1" t="s">
        <v>276</v>
      </c>
      <c r="L1128" s="1">
        <v>1</v>
      </c>
      <c r="M1128" s="13">
        <v>13524.69</v>
      </c>
      <c r="N1128" s="15">
        <v>0.16</v>
      </c>
      <c r="O1128" s="13">
        <v>12066.97</v>
      </c>
      <c r="P1128" s="13">
        <v>2590.87</v>
      </c>
      <c r="Q1128" s="13">
        <v>66.760000000000005</v>
      </c>
      <c r="R1128" s="1" t="s">
        <v>78</v>
      </c>
      <c r="S1128" s="1">
        <v>5</v>
      </c>
      <c r="T1128" s="1" t="b">
        <v>0</v>
      </c>
      <c r="U1128" s="1" t="s">
        <v>39</v>
      </c>
      <c r="V1128" s="3">
        <v>6</v>
      </c>
    </row>
    <row r="1129" spans="1:22" x14ac:dyDescent="0.3">
      <c r="A1129" s="2" t="s">
        <v>2738</v>
      </c>
      <c r="B1129" s="10">
        <v>44493</v>
      </c>
      <c r="C1129" s="22">
        <v>44493</v>
      </c>
      <c r="D1129" s="1" t="s">
        <v>2739</v>
      </c>
      <c r="E1129" s="1" t="s">
        <v>531</v>
      </c>
      <c r="F1129" s="1">
        <v>18</v>
      </c>
      <c r="G1129" s="1" t="s">
        <v>34</v>
      </c>
      <c r="H1129" s="1" t="s">
        <v>25</v>
      </c>
      <c r="I1129" s="1" t="s">
        <v>26</v>
      </c>
      <c r="J1129" s="1" t="s">
        <v>76</v>
      </c>
      <c r="K1129" s="1" t="s">
        <v>122</v>
      </c>
      <c r="L1129" s="1">
        <v>4</v>
      </c>
      <c r="M1129" s="13">
        <v>2744.4</v>
      </c>
      <c r="N1129" s="15">
        <v>0.06</v>
      </c>
      <c r="O1129" s="13">
        <v>9005.15</v>
      </c>
      <c r="P1129" s="13">
        <v>3617.26</v>
      </c>
      <c r="Q1129" s="13">
        <v>63.69</v>
      </c>
      <c r="R1129" s="1" t="s">
        <v>51</v>
      </c>
      <c r="S1129" s="1">
        <v>1</v>
      </c>
      <c r="T1129" s="1" t="b">
        <v>0</v>
      </c>
      <c r="U1129" s="1" t="s">
        <v>58</v>
      </c>
      <c r="V1129" s="3">
        <v>7</v>
      </c>
    </row>
    <row r="1130" spans="1:22" x14ac:dyDescent="0.3">
      <c r="A1130" s="2" t="s">
        <v>2740</v>
      </c>
      <c r="B1130" s="10">
        <v>44940</v>
      </c>
      <c r="C1130" s="22">
        <v>44940</v>
      </c>
      <c r="D1130" s="1" t="s">
        <v>2741</v>
      </c>
      <c r="E1130" s="1" t="s">
        <v>681</v>
      </c>
      <c r="F1130" s="1">
        <v>38</v>
      </c>
      <c r="G1130" s="1" t="s">
        <v>34</v>
      </c>
      <c r="H1130" s="1" t="s">
        <v>74</v>
      </c>
      <c r="I1130" s="1" t="s">
        <v>101</v>
      </c>
      <c r="J1130" s="1" t="s">
        <v>127</v>
      </c>
      <c r="K1130" s="1" t="s">
        <v>128</v>
      </c>
      <c r="L1130" s="1">
        <v>6</v>
      </c>
      <c r="M1130" s="13">
        <v>8947.94</v>
      </c>
      <c r="N1130" s="15">
        <v>0.18</v>
      </c>
      <c r="O1130" s="13">
        <v>39941.040000000001</v>
      </c>
      <c r="P1130" s="13">
        <v>4114.43</v>
      </c>
      <c r="Q1130" s="13">
        <v>67.17</v>
      </c>
      <c r="R1130" s="1" t="s">
        <v>57</v>
      </c>
      <c r="S1130" s="1">
        <v>4</v>
      </c>
      <c r="T1130" s="1" t="b">
        <v>0</v>
      </c>
      <c r="U1130" s="1" t="s">
        <v>84</v>
      </c>
      <c r="V1130" s="3">
        <v>10</v>
      </c>
    </row>
    <row r="1131" spans="1:22" x14ac:dyDescent="0.3">
      <c r="A1131" s="2" t="s">
        <v>2742</v>
      </c>
      <c r="B1131" s="10">
        <v>44827</v>
      </c>
      <c r="C1131" s="22">
        <v>44827</v>
      </c>
      <c r="D1131" s="1" t="s">
        <v>2743</v>
      </c>
      <c r="E1131" s="1" t="s">
        <v>915</v>
      </c>
      <c r="F1131" s="1">
        <v>33</v>
      </c>
      <c r="G1131" s="1" t="s">
        <v>34</v>
      </c>
      <c r="H1131" s="1" t="s">
        <v>35</v>
      </c>
      <c r="I1131" s="1" t="s">
        <v>36</v>
      </c>
      <c r="J1131" s="1" t="s">
        <v>37</v>
      </c>
      <c r="K1131" s="1" t="s">
        <v>454</v>
      </c>
      <c r="L1131" s="1">
        <v>5</v>
      </c>
      <c r="M1131" s="13">
        <v>926.42</v>
      </c>
      <c r="N1131" s="15">
        <v>0.25</v>
      </c>
      <c r="O1131" s="13">
        <v>3809.66</v>
      </c>
      <c r="P1131" s="13">
        <v>1528.7</v>
      </c>
      <c r="Q1131" s="13">
        <v>64.010000000000005</v>
      </c>
      <c r="R1131" s="1" t="s">
        <v>29</v>
      </c>
      <c r="S1131" s="1">
        <v>5</v>
      </c>
      <c r="T1131" s="1" t="b">
        <v>0</v>
      </c>
      <c r="U1131" s="1" t="s">
        <v>137</v>
      </c>
      <c r="V1131" s="3">
        <v>6</v>
      </c>
    </row>
    <row r="1132" spans="1:22" x14ac:dyDescent="0.3">
      <c r="A1132" s="2" t="s">
        <v>2744</v>
      </c>
      <c r="B1132" s="10">
        <v>45174</v>
      </c>
      <c r="C1132" s="22">
        <v>45174</v>
      </c>
      <c r="D1132" s="1" t="s">
        <v>2745</v>
      </c>
      <c r="E1132" s="1" t="s">
        <v>481</v>
      </c>
      <c r="F1132" s="1">
        <v>36</v>
      </c>
      <c r="G1132" s="1" t="s">
        <v>34</v>
      </c>
      <c r="H1132" s="1" t="s">
        <v>25</v>
      </c>
      <c r="I1132" s="1" t="s">
        <v>69</v>
      </c>
      <c r="J1132" s="1" t="s">
        <v>127</v>
      </c>
      <c r="K1132" s="1" t="s">
        <v>517</v>
      </c>
      <c r="L1132" s="1">
        <v>9</v>
      </c>
      <c r="M1132" s="13">
        <v>26560.240000000002</v>
      </c>
      <c r="N1132" s="15">
        <v>0.2</v>
      </c>
      <c r="O1132" s="13">
        <v>238441.62</v>
      </c>
      <c r="P1132" s="13">
        <v>32963.32</v>
      </c>
      <c r="Q1132" s="13">
        <v>47.86</v>
      </c>
      <c r="R1132" s="1" t="s">
        <v>29</v>
      </c>
      <c r="S1132" s="1">
        <v>2</v>
      </c>
      <c r="T1132" s="1" t="b">
        <v>0</v>
      </c>
      <c r="U1132" s="1" t="s">
        <v>39</v>
      </c>
      <c r="V1132" s="3">
        <v>10</v>
      </c>
    </row>
    <row r="1133" spans="1:22" x14ac:dyDescent="0.3">
      <c r="A1133" s="2" t="s">
        <v>2746</v>
      </c>
      <c r="B1133" s="10">
        <v>44336</v>
      </c>
      <c r="C1133" s="22">
        <v>44336</v>
      </c>
      <c r="D1133" s="1" t="s">
        <v>2747</v>
      </c>
      <c r="E1133" s="1" t="s">
        <v>2505</v>
      </c>
      <c r="F1133" s="1">
        <v>44</v>
      </c>
      <c r="G1133" s="1" t="s">
        <v>68</v>
      </c>
      <c r="H1133" s="1" t="s">
        <v>35</v>
      </c>
      <c r="I1133" s="1" t="s">
        <v>106</v>
      </c>
      <c r="J1133" s="1" t="s">
        <v>146</v>
      </c>
      <c r="K1133" s="1" t="s">
        <v>178</v>
      </c>
      <c r="L1133" s="1">
        <v>4</v>
      </c>
      <c r="M1133" s="13">
        <v>2049.02</v>
      </c>
      <c r="N1133" s="15">
        <v>0.11</v>
      </c>
      <c r="O1133" s="13">
        <v>10395.540000000001</v>
      </c>
      <c r="P1133" s="13">
        <v>1625.17</v>
      </c>
      <c r="Q1133" s="13">
        <v>77.489999999999995</v>
      </c>
      <c r="R1133" s="1" t="s">
        <v>64</v>
      </c>
      <c r="S1133" s="1">
        <v>2</v>
      </c>
      <c r="T1133" s="1" t="b">
        <v>0</v>
      </c>
      <c r="U1133" s="1" t="s">
        <v>39</v>
      </c>
      <c r="V1133" s="3">
        <v>1</v>
      </c>
    </row>
    <row r="1134" spans="1:22" x14ac:dyDescent="0.3">
      <c r="A1134" s="2" t="s">
        <v>2748</v>
      </c>
      <c r="B1134" s="10">
        <v>45591</v>
      </c>
      <c r="C1134" s="22">
        <v>45591</v>
      </c>
      <c r="D1134" s="1" t="s">
        <v>2749</v>
      </c>
      <c r="E1134" s="1" t="s">
        <v>801</v>
      </c>
      <c r="F1134" s="1">
        <v>25</v>
      </c>
      <c r="G1134" s="1" t="s">
        <v>68</v>
      </c>
      <c r="H1134" s="1" t="s">
        <v>111</v>
      </c>
      <c r="I1134" s="1" t="s">
        <v>141</v>
      </c>
      <c r="J1134" s="1" t="s">
        <v>27</v>
      </c>
      <c r="K1134" s="1" t="s">
        <v>97</v>
      </c>
      <c r="L1134" s="1">
        <v>7</v>
      </c>
      <c r="M1134" s="13">
        <v>352.63</v>
      </c>
      <c r="N1134" s="15">
        <v>0.25</v>
      </c>
      <c r="O1134" s="13">
        <v>1976.85</v>
      </c>
      <c r="P1134" s="13">
        <v>173.35</v>
      </c>
      <c r="Q1134" s="13">
        <v>62.95</v>
      </c>
      <c r="R1134" s="1" t="s">
        <v>57</v>
      </c>
      <c r="S1134" s="1">
        <v>3</v>
      </c>
      <c r="T1134" s="1" t="b">
        <v>1</v>
      </c>
      <c r="U1134" s="1" t="s">
        <v>30</v>
      </c>
      <c r="V1134" s="3">
        <v>5</v>
      </c>
    </row>
    <row r="1135" spans="1:22" x14ac:dyDescent="0.3">
      <c r="A1135" s="2" t="s">
        <v>2750</v>
      </c>
      <c r="B1135" s="10">
        <v>45418</v>
      </c>
      <c r="C1135" s="22">
        <v>45418</v>
      </c>
      <c r="D1135" s="1" t="s">
        <v>2751</v>
      </c>
      <c r="E1135" s="1" t="s">
        <v>2752</v>
      </c>
      <c r="F1135" s="1">
        <v>28</v>
      </c>
      <c r="G1135" s="1" t="s">
        <v>24</v>
      </c>
      <c r="H1135" s="1" t="s">
        <v>111</v>
      </c>
      <c r="I1135" s="1" t="s">
        <v>112</v>
      </c>
      <c r="J1135" s="1" t="s">
        <v>76</v>
      </c>
      <c r="K1135" s="1" t="s">
        <v>132</v>
      </c>
      <c r="L1135" s="1">
        <v>7</v>
      </c>
      <c r="M1135" s="13">
        <v>3210.04</v>
      </c>
      <c r="N1135" s="15">
        <v>0.38</v>
      </c>
      <c r="O1135" s="13">
        <v>22477.05</v>
      </c>
      <c r="P1135" s="13">
        <v>8603.9699999999993</v>
      </c>
      <c r="Q1135" s="13">
        <v>60.3</v>
      </c>
      <c r="R1135" s="1" t="s">
        <v>70</v>
      </c>
      <c r="S1135" s="1">
        <v>3</v>
      </c>
      <c r="T1135" s="1" t="b">
        <v>1</v>
      </c>
      <c r="U1135" s="1" t="s">
        <v>30</v>
      </c>
      <c r="V1135" s="3">
        <v>1</v>
      </c>
    </row>
    <row r="1136" spans="1:22" x14ac:dyDescent="0.3">
      <c r="A1136" s="2" t="s">
        <v>2753</v>
      </c>
      <c r="B1136" s="10">
        <v>45372</v>
      </c>
      <c r="C1136" s="22">
        <v>45372</v>
      </c>
      <c r="D1136" s="1" t="s">
        <v>2754</v>
      </c>
      <c r="E1136" s="1" t="s">
        <v>861</v>
      </c>
      <c r="F1136" s="1">
        <v>21</v>
      </c>
      <c r="G1136" s="1" t="s">
        <v>24</v>
      </c>
      <c r="H1136" s="1" t="s">
        <v>82</v>
      </c>
      <c r="I1136" s="1" t="s">
        <v>83</v>
      </c>
      <c r="J1136" s="1" t="s">
        <v>76</v>
      </c>
      <c r="K1136" s="1" t="s">
        <v>113</v>
      </c>
      <c r="L1136" s="1">
        <v>8</v>
      </c>
      <c r="M1136" s="13">
        <v>894.69</v>
      </c>
      <c r="N1136" s="15">
        <v>0.02</v>
      </c>
      <c r="O1136" s="13">
        <v>9349.02</v>
      </c>
      <c r="P1136" s="13">
        <v>1742.56</v>
      </c>
      <c r="Q1136" s="13">
        <v>62.56</v>
      </c>
      <c r="R1136" s="1" t="s">
        <v>64</v>
      </c>
      <c r="S1136" s="1">
        <v>5</v>
      </c>
      <c r="T1136" s="1" t="b">
        <v>0</v>
      </c>
      <c r="U1136" s="1" t="s">
        <v>39</v>
      </c>
      <c r="V1136" s="3">
        <v>6</v>
      </c>
    </row>
    <row r="1137" spans="1:22" x14ac:dyDescent="0.3">
      <c r="A1137" s="2" t="s">
        <v>2755</v>
      </c>
      <c r="B1137" s="10">
        <v>44974</v>
      </c>
      <c r="C1137" s="22">
        <v>44974</v>
      </c>
      <c r="D1137" s="1" t="s">
        <v>2756</v>
      </c>
      <c r="E1137" s="1" t="s">
        <v>1996</v>
      </c>
      <c r="F1137" s="1">
        <v>48</v>
      </c>
      <c r="G1137" s="1" t="s">
        <v>34</v>
      </c>
      <c r="H1137" s="1" t="s">
        <v>82</v>
      </c>
      <c r="I1137" s="1" t="s">
        <v>126</v>
      </c>
      <c r="J1137" s="1" t="s">
        <v>76</v>
      </c>
      <c r="K1137" s="1" t="s">
        <v>207</v>
      </c>
      <c r="L1137" s="1">
        <v>9</v>
      </c>
      <c r="M1137" s="13">
        <v>3701.68</v>
      </c>
      <c r="N1137" s="15">
        <v>0.25</v>
      </c>
      <c r="O1137" s="13">
        <v>25508.14</v>
      </c>
      <c r="P1137" s="13">
        <v>10141.91</v>
      </c>
      <c r="Q1137" s="13">
        <v>66.89</v>
      </c>
      <c r="R1137" s="1" t="s">
        <v>70</v>
      </c>
      <c r="S1137" s="1">
        <v>5</v>
      </c>
      <c r="T1137" s="1" t="b">
        <v>0</v>
      </c>
      <c r="U1137" s="1" t="s">
        <v>39</v>
      </c>
      <c r="V1137" s="3">
        <v>2</v>
      </c>
    </row>
    <row r="1138" spans="1:22" x14ac:dyDescent="0.3">
      <c r="A1138" s="2" t="s">
        <v>2757</v>
      </c>
      <c r="B1138" s="10">
        <v>44330</v>
      </c>
      <c r="C1138" s="22">
        <v>44330</v>
      </c>
      <c r="D1138" s="1" t="s">
        <v>2758</v>
      </c>
      <c r="E1138" s="1" t="s">
        <v>1955</v>
      </c>
      <c r="F1138" s="1">
        <v>25</v>
      </c>
      <c r="G1138" s="1" t="s">
        <v>34</v>
      </c>
      <c r="H1138" s="1" t="s">
        <v>35</v>
      </c>
      <c r="I1138" s="1" t="s">
        <v>43</v>
      </c>
      <c r="J1138" s="1" t="s">
        <v>146</v>
      </c>
      <c r="K1138" s="1" t="s">
        <v>217</v>
      </c>
      <c r="L1138" s="1">
        <v>9</v>
      </c>
      <c r="M1138" s="13">
        <v>12847.76</v>
      </c>
      <c r="N1138" s="15">
        <v>0.21</v>
      </c>
      <c r="O1138" s="13">
        <v>143841.57</v>
      </c>
      <c r="P1138" s="13">
        <v>26810.1</v>
      </c>
      <c r="Q1138" s="13">
        <v>59.25</v>
      </c>
      <c r="R1138" s="1" t="s">
        <v>51</v>
      </c>
      <c r="S1138" s="1">
        <v>3</v>
      </c>
      <c r="T1138" s="1" t="b">
        <v>0</v>
      </c>
      <c r="U1138" s="1" t="s">
        <v>58</v>
      </c>
      <c r="V1138" s="3">
        <v>2</v>
      </c>
    </row>
    <row r="1139" spans="1:22" x14ac:dyDescent="0.3">
      <c r="A1139" s="2" t="s">
        <v>2759</v>
      </c>
      <c r="B1139" s="10">
        <v>44605</v>
      </c>
      <c r="C1139" s="22">
        <v>44605</v>
      </c>
      <c r="D1139" s="1" t="s">
        <v>2760</v>
      </c>
      <c r="E1139" s="1" t="s">
        <v>2001</v>
      </c>
      <c r="F1139" s="1">
        <v>31</v>
      </c>
      <c r="G1139" s="1" t="s">
        <v>24</v>
      </c>
      <c r="H1139" s="1" t="s">
        <v>74</v>
      </c>
      <c r="I1139" s="1" t="s">
        <v>101</v>
      </c>
      <c r="J1139" s="1" t="s">
        <v>62</v>
      </c>
      <c r="K1139" s="1" t="s">
        <v>151</v>
      </c>
      <c r="L1139" s="1">
        <v>3</v>
      </c>
      <c r="M1139" s="13">
        <v>1239.02</v>
      </c>
      <c r="N1139" s="15">
        <v>0.3</v>
      </c>
      <c r="O1139" s="13">
        <v>2496.6</v>
      </c>
      <c r="P1139" s="13">
        <v>753.81</v>
      </c>
      <c r="Q1139" s="13">
        <v>47.04</v>
      </c>
      <c r="R1139" s="1" t="s">
        <v>70</v>
      </c>
      <c r="S1139" s="1">
        <v>3</v>
      </c>
      <c r="T1139" s="1" t="b">
        <v>0</v>
      </c>
      <c r="U1139" s="1" t="s">
        <v>39</v>
      </c>
      <c r="V1139" s="3">
        <v>1</v>
      </c>
    </row>
    <row r="1140" spans="1:22" x14ac:dyDescent="0.3">
      <c r="A1140" s="2" t="s">
        <v>2761</v>
      </c>
      <c r="B1140" s="10">
        <v>45391</v>
      </c>
      <c r="C1140" s="22">
        <v>45391</v>
      </c>
      <c r="D1140" s="1" t="s">
        <v>2762</v>
      </c>
      <c r="E1140" s="1" t="s">
        <v>487</v>
      </c>
      <c r="F1140" s="1">
        <v>36</v>
      </c>
      <c r="G1140" s="1" t="s">
        <v>68</v>
      </c>
      <c r="H1140" s="1" t="s">
        <v>111</v>
      </c>
      <c r="I1140" s="1" t="s">
        <v>141</v>
      </c>
      <c r="J1140" s="1" t="s">
        <v>37</v>
      </c>
      <c r="K1140" s="1" t="s">
        <v>38</v>
      </c>
      <c r="L1140" s="1">
        <v>10</v>
      </c>
      <c r="M1140" s="13">
        <v>1227.43</v>
      </c>
      <c r="N1140" s="15">
        <v>0.31</v>
      </c>
      <c r="O1140" s="13">
        <v>12426.65</v>
      </c>
      <c r="P1140" s="13">
        <v>6994.21</v>
      </c>
      <c r="Q1140" s="13">
        <v>88.5</v>
      </c>
      <c r="R1140" s="1" t="s">
        <v>29</v>
      </c>
      <c r="S1140" s="1">
        <v>5</v>
      </c>
      <c r="T1140" s="1" t="b">
        <v>0</v>
      </c>
      <c r="U1140" s="1" t="s">
        <v>39</v>
      </c>
      <c r="V1140" s="3">
        <v>3</v>
      </c>
    </row>
    <row r="1141" spans="1:22" x14ac:dyDescent="0.3">
      <c r="A1141" s="2" t="s">
        <v>2763</v>
      </c>
      <c r="B1141" s="10">
        <v>44833</v>
      </c>
      <c r="C1141" s="22">
        <v>44833</v>
      </c>
      <c r="D1141" s="1" t="s">
        <v>2764</v>
      </c>
      <c r="E1141" s="1" t="s">
        <v>2250</v>
      </c>
      <c r="F1141" s="1">
        <v>35</v>
      </c>
      <c r="G1141" s="1" t="s">
        <v>34</v>
      </c>
      <c r="H1141" s="1" t="s">
        <v>25</v>
      </c>
      <c r="I1141" s="1" t="s">
        <v>55</v>
      </c>
      <c r="J1141" s="1" t="s">
        <v>76</v>
      </c>
      <c r="K1141" s="1" t="s">
        <v>132</v>
      </c>
      <c r="L1141" s="1">
        <v>2</v>
      </c>
      <c r="M1141" s="13">
        <v>3165.33</v>
      </c>
      <c r="N1141" s="15">
        <v>0.27</v>
      </c>
      <c r="O1141" s="13">
        <v>5468.29</v>
      </c>
      <c r="P1141" s="13">
        <v>1737.74</v>
      </c>
      <c r="Q1141" s="13">
        <v>73.28</v>
      </c>
      <c r="R1141" s="1" t="s">
        <v>70</v>
      </c>
      <c r="S1141" s="1">
        <v>4</v>
      </c>
      <c r="T1141" s="1" t="b">
        <v>0</v>
      </c>
      <c r="U1141" s="1" t="s">
        <v>197</v>
      </c>
      <c r="V1141" s="3">
        <v>2</v>
      </c>
    </row>
    <row r="1142" spans="1:22" x14ac:dyDescent="0.3">
      <c r="A1142" s="2" t="s">
        <v>2765</v>
      </c>
      <c r="B1142" s="10">
        <v>44721</v>
      </c>
      <c r="C1142" s="22">
        <v>44721</v>
      </c>
      <c r="D1142" s="1" t="s">
        <v>2766</v>
      </c>
      <c r="E1142" s="1" t="s">
        <v>1681</v>
      </c>
      <c r="F1142" s="1">
        <v>28</v>
      </c>
      <c r="G1142" s="1" t="s">
        <v>24</v>
      </c>
      <c r="H1142" s="1" t="s">
        <v>25</v>
      </c>
      <c r="I1142" s="1" t="s">
        <v>170</v>
      </c>
      <c r="J1142" s="1" t="s">
        <v>27</v>
      </c>
      <c r="K1142" s="1" t="s">
        <v>28</v>
      </c>
      <c r="L1142" s="1">
        <v>10</v>
      </c>
      <c r="M1142" s="13">
        <v>430.31</v>
      </c>
      <c r="N1142" s="15">
        <v>0.09</v>
      </c>
      <c r="O1142" s="13">
        <v>5372.93</v>
      </c>
      <c r="P1142" s="13">
        <v>397.37</v>
      </c>
      <c r="Q1142" s="13">
        <v>47.6</v>
      </c>
      <c r="R1142" s="1" t="s">
        <v>57</v>
      </c>
      <c r="S1142" s="1">
        <v>1</v>
      </c>
      <c r="T1142" s="1" t="b">
        <v>0</v>
      </c>
      <c r="U1142" s="1" t="s">
        <v>39</v>
      </c>
      <c r="V1142" s="3">
        <v>2</v>
      </c>
    </row>
    <row r="1143" spans="1:22" x14ac:dyDescent="0.3">
      <c r="A1143" s="2" t="s">
        <v>2767</v>
      </c>
      <c r="B1143" s="10">
        <v>44476</v>
      </c>
      <c r="C1143" s="22">
        <v>44476</v>
      </c>
      <c r="D1143" s="1" t="s">
        <v>2768</v>
      </c>
      <c r="E1143" s="1" t="s">
        <v>329</v>
      </c>
      <c r="F1143" s="1">
        <v>32</v>
      </c>
      <c r="G1143" s="1" t="s">
        <v>34</v>
      </c>
      <c r="H1143" s="1" t="s">
        <v>74</v>
      </c>
      <c r="I1143" s="1" t="s">
        <v>192</v>
      </c>
      <c r="J1143" s="1" t="s">
        <v>146</v>
      </c>
      <c r="K1143" s="1" t="s">
        <v>217</v>
      </c>
      <c r="L1143" s="1">
        <v>5</v>
      </c>
      <c r="M1143" s="13">
        <v>10759.43</v>
      </c>
      <c r="N1143" s="15">
        <v>0.18</v>
      </c>
      <c r="O1143" s="13">
        <v>40614.589999999997</v>
      </c>
      <c r="P1143" s="13">
        <v>10920.96</v>
      </c>
      <c r="Q1143" s="13">
        <v>43.85</v>
      </c>
      <c r="R1143" s="1" t="s">
        <v>78</v>
      </c>
      <c r="S1143" s="1">
        <v>4</v>
      </c>
      <c r="T1143" s="1" t="b">
        <v>0</v>
      </c>
      <c r="U1143" s="1" t="s">
        <v>39</v>
      </c>
      <c r="V1143" s="3">
        <v>2</v>
      </c>
    </row>
    <row r="1144" spans="1:22" x14ac:dyDescent="0.3">
      <c r="A1144" s="2" t="s">
        <v>2769</v>
      </c>
      <c r="B1144" s="10">
        <v>45085</v>
      </c>
      <c r="C1144" s="22">
        <v>45085</v>
      </c>
      <c r="D1144" s="1" t="s">
        <v>2770</v>
      </c>
      <c r="E1144" s="1" t="s">
        <v>1583</v>
      </c>
      <c r="F1144" s="1">
        <v>21</v>
      </c>
      <c r="G1144" s="1" t="s">
        <v>68</v>
      </c>
      <c r="H1144" s="1" t="s">
        <v>35</v>
      </c>
      <c r="I1144" s="1" t="s">
        <v>49</v>
      </c>
      <c r="J1144" s="1" t="s">
        <v>62</v>
      </c>
      <c r="K1144" s="1" t="s">
        <v>107</v>
      </c>
      <c r="L1144" s="1">
        <v>6</v>
      </c>
      <c r="M1144" s="13">
        <v>471.17</v>
      </c>
      <c r="N1144" s="15">
        <v>0.18</v>
      </c>
      <c r="O1144" s="13">
        <v>3369.46</v>
      </c>
      <c r="P1144" s="13">
        <v>1337.48</v>
      </c>
      <c r="Q1144" s="13">
        <v>88.71</v>
      </c>
      <c r="R1144" s="1" t="s">
        <v>64</v>
      </c>
      <c r="S1144" s="1">
        <v>4</v>
      </c>
      <c r="T1144" s="1" t="b">
        <v>0</v>
      </c>
      <c r="U1144" s="1" t="s">
        <v>84</v>
      </c>
      <c r="V1144" s="3">
        <v>1</v>
      </c>
    </row>
    <row r="1145" spans="1:22" x14ac:dyDescent="0.3">
      <c r="A1145" s="2" t="s">
        <v>2771</v>
      </c>
      <c r="B1145" s="10">
        <v>44350</v>
      </c>
      <c r="C1145" s="22">
        <v>44350</v>
      </c>
      <c r="D1145" s="1" t="s">
        <v>2772</v>
      </c>
      <c r="E1145" s="1" t="s">
        <v>250</v>
      </c>
      <c r="F1145" s="1">
        <v>45</v>
      </c>
      <c r="G1145" s="1" t="s">
        <v>68</v>
      </c>
      <c r="H1145" s="1" t="s">
        <v>74</v>
      </c>
      <c r="I1145" s="1" t="s">
        <v>75</v>
      </c>
      <c r="J1145" s="1" t="s">
        <v>27</v>
      </c>
      <c r="K1145" s="1" t="s">
        <v>28</v>
      </c>
      <c r="L1145" s="1">
        <v>2</v>
      </c>
      <c r="M1145" s="13">
        <v>346.78</v>
      </c>
      <c r="N1145" s="15">
        <v>0.3</v>
      </c>
      <c r="O1145" s="13">
        <v>705.38</v>
      </c>
      <c r="P1145" s="13">
        <v>68.489999999999995</v>
      </c>
      <c r="Q1145" s="13">
        <v>0.51</v>
      </c>
      <c r="R1145" s="1" t="s">
        <v>57</v>
      </c>
      <c r="S1145" s="1">
        <v>1</v>
      </c>
      <c r="T1145" s="1" t="b">
        <v>0</v>
      </c>
      <c r="U1145" s="1" t="s">
        <v>39</v>
      </c>
      <c r="V1145" s="3">
        <v>2</v>
      </c>
    </row>
    <row r="1146" spans="1:22" x14ac:dyDescent="0.3">
      <c r="A1146" s="2" t="s">
        <v>2773</v>
      </c>
      <c r="B1146" s="10">
        <v>44773</v>
      </c>
      <c r="C1146" s="22">
        <v>44773</v>
      </c>
      <c r="D1146" s="1" t="s">
        <v>2774</v>
      </c>
      <c r="E1146" s="1" t="s">
        <v>1955</v>
      </c>
      <c r="F1146" s="1">
        <v>28</v>
      </c>
      <c r="G1146" s="1" t="s">
        <v>34</v>
      </c>
      <c r="H1146" s="1" t="s">
        <v>82</v>
      </c>
      <c r="I1146" s="1" t="s">
        <v>83</v>
      </c>
      <c r="J1146" s="1" t="s">
        <v>62</v>
      </c>
      <c r="K1146" s="1" t="s">
        <v>266</v>
      </c>
      <c r="L1146" s="1">
        <v>6</v>
      </c>
      <c r="M1146" s="13">
        <v>817.12</v>
      </c>
      <c r="N1146" s="15">
        <v>0.36</v>
      </c>
      <c r="O1146" s="13">
        <v>4458.93</v>
      </c>
      <c r="P1146" s="13">
        <v>1524.76</v>
      </c>
      <c r="Q1146" s="13">
        <v>74.5</v>
      </c>
      <c r="R1146" s="1" t="s">
        <v>64</v>
      </c>
      <c r="S1146" s="1">
        <v>1</v>
      </c>
      <c r="T1146" s="1" t="b">
        <v>1</v>
      </c>
      <c r="U1146" s="1" t="s">
        <v>30</v>
      </c>
      <c r="V1146" s="3">
        <v>9</v>
      </c>
    </row>
    <row r="1147" spans="1:22" x14ac:dyDescent="0.3">
      <c r="A1147" s="2" t="s">
        <v>2775</v>
      </c>
      <c r="B1147" s="10">
        <v>44812</v>
      </c>
      <c r="C1147" s="22">
        <v>44812</v>
      </c>
      <c r="D1147" s="1" t="s">
        <v>2776</v>
      </c>
      <c r="E1147" s="1" t="s">
        <v>2481</v>
      </c>
      <c r="F1147" s="1">
        <v>39</v>
      </c>
      <c r="G1147" s="1" t="s">
        <v>34</v>
      </c>
      <c r="H1147" s="1" t="s">
        <v>35</v>
      </c>
      <c r="I1147" s="1" t="s">
        <v>36</v>
      </c>
      <c r="J1147" s="1" t="s">
        <v>62</v>
      </c>
      <c r="K1147" s="1" t="s">
        <v>283</v>
      </c>
      <c r="L1147" s="1">
        <v>4</v>
      </c>
      <c r="M1147" s="13">
        <v>426.71</v>
      </c>
      <c r="N1147" s="15">
        <v>0.25</v>
      </c>
      <c r="O1147" s="13">
        <v>1765.74</v>
      </c>
      <c r="P1147" s="13">
        <v>838.62</v>
      </c>
      <c r="Q1147" s="13">
        <v>39.200000000000003</v>
      </c>
      <c r="R1147" s="1" t="s">
        <v>29</v>
      </c>
      <c r="S1147" s="1">
        <v>4</v>
      </c>
      <c r="T1147" s="1" t="b">
        <v>1</v>
      </c>
      <c r="U1147" s="1" t="s">
        <v>30</v>
      </c>
      <c r="V1147" s="3">
        <v>8</v>
      </c>
    </row>
    <row r="1148" spans="1:22" x14ac:dyDescent="0.3">
      <c r="A1148" s="2" t="s">
        <v>2777</v>
      </c>
      <c r="B1148" s="10">
        <v>45170</v>
      </c>
      <c r="C1148" s="22">
        <v>45170</v>
      </c>
      <c r="D1148" s="1" t="s">
        <v>2778</v>
      </c>
      <c r="E1148" s="1" t="s">
        <v>154</v>
      </c>
      <c r="F1148" s="1">
        <v>39</v>
      </c>
      <c r="G1148" s="1" t="s">
        <v>24</v>
      </c>
      <c r="H1148" s="1" t="s">
        <v>25</v>
      </c>
      <c r="I1148" s="1" t="s">
        <v>26</v>
      </c>
      <c r="J1148" s="1" t="s">
        <v>127</v>
      </c>
      <c r="K1148" s="1" t="s">
        <v>128</v>
      </c>
      <c r="L1148" s="1">
        <v>1</v>
      </c>
      <c r="M1148" s="13">
        <v>22693.39</v>
      </c>
      <c r="N1148" s="15">
        <v>0.08</v>
      </c>
      <c r="O1148" s="13">
        <v>27894.98</v>
      </c>
      <c r="P1148" s="13">
        <v>4153.76</v>
      </c>
      <c r="Q1148" s="13">
        <v>48.31</v>
      </c>
      <c r="R1148" s="1" t="s">
        <v>57</v>
      </c>
      <c r="S1148" s="1">
        <v>5</v>
      </c>
      <c r="T1148" s="1" t="b">
        <v>0</v>
      </c>
      <c r="U1148" s="1" t="s">
        <v>39</v>
      </c>
      <c r="V1148" s="3">
        <v>9</v>
      </c>
    </row>
    <row r="1149" spans="1:22" x14ac:dyDescent="0.3">
      <c r="A1149" s="2" t="s">
        <v>2779</v>
      </c>
      <c r="B1149" s="10">
        <v>45573</v>
      </c>
      <c r="C1149" s="22">
        <v>45573</v>
      </c>
      <c r="D1149" s="1" t="s">
        <v>2780</v>
      </c>
      <c r="E1149" s="1" t="s">
        <v>558</v>
      </c>
      <c r="F1149" s="1">
        <v>37</v>
      </c>
      <c r="G1149" s="1" t="s">
        <v>34</v>
      </c>
      <c r="H1149" s="1" t="s">
        <v>111</v>
      </c>
      <c r="I1149" s="1" t="s">
        <v>121</v>
      </c>
      <c r="J1149" s="1" t="s">
        <v>62</v>
      </c>
      <c r="K1149" s="1" t="s">
        <v>63</v>
      </c>
      <c r="L1149" s="1">
        <v>5</v>
      </c>
      <c r="M1149" s="13">
        <v>1217.44</v>
      </c>
      <c r="N1149" s="15">
        <v>0.33</v>
      </c>
      <c r="O1149" s="13">
        <v>4363.93</v>
      </c>
      <c r="P1149" s="13">
        <v>1440</v>
      </c>
      <c r="Q1149" s="13">
        <v>66.03</v>
      </c>
      <c r="R1149" s="1" t="s">
        <v>64</v>
      </c>
      <c r="S1149" s="1">
        <v>5</v>
      </c>
      <c r="T1149" s="1" t="b">
        <v>0</v>
      </c>
      <c r="U1149" s="1" t="s">
        <v>39</v>
      </c>
      <c r="V1149" s="3">
        <v>4</v>
      </c>
    </row>
    <row r="1150" spans="1:22" x14ac:dyDescent="0.3">
      <c r="A1150" s="2" t="s">
        <v>2781</v>
      </c>
      <c r="B1150" s="10">
        <v>44318</v>
      </c>
      <c r="C1150" s="22">
        <v>44318</v>
      </c>
      <c r="D1150" s="1" t="s">
        <v>2782</v>
      </c>
      <c r="E1150" s="1" t="s">
        <v>150</v>
      </c>
      <c r="F1150" s="1">
        <v>28</v>
      </c>
      <c r="G1150" s="1" t="s">
        <v>34</v>
      </c>
      <c r="H1150" s="1" t="s">
        <v>35</v>
      </c>
      <c r="I1150" s="1" t="s">
        <v>43</v>
      </c>
      <c r="J1150" s="1" t="s">
        <v>27</v>
      </c>
      <c r="K1150" s="1" t="s">
        <v>450</v>
      </c>
      <c r="L1150" s="1">
        <v>8</v>
      </c>
      <c r="M1150" s="13">
        <v>208.12</v>
      </c>
      <c r="N1150" s="15">
        <v>0.16</v>
      </c>
      <c r="O1150" s="13">
        <v>1788.09</v>
      </c>
      <c r="P1150" s="13">
        <v>110.57</v>
      </c>
      <c r="Q1150" s="13">
        <v>77.98</v>
      </c>
      <c r="R1150" s="1" t="s">
        <v>78</v>
      </c>
      <c r="S1150" s="1">
        <v>3</v>
      </c>
      <c r="T1150" s="1" t="b">
        <v>0</v>
      </c>
      <c r="U1150" s="1" t="s">
        <v>39</v>
      </c>
      <c r="V1150" s="3">
        <v>7</v>
      </c>
    </row>
    <row r="1151" spans="1:22" x14ac:dyDescent="0.3">
      <c r="A1151" s="2" t="s">
        <v>2783</v>
      </c>
      <c r="B1151" s="10">
        <v>44656</v>
      </c>
      <c r="C1151" s="22">
        <v>44656</v>
      </c>
      <c r="D1151" s="1" t="s">
        <v>2784</v>
      </c>
      <c r="E1151" s="1" t="s">
        <v>814</v>
      </c>
      <c r="F1151" s="1">
        <v>34</v>
      </c>
      <c r="G1151" s="1" t="s">
        <v>68</v>
      </c>
      <c r="H1151" s="1" t="s">
        <v>74</v>
      </c>
      <c r="I1151" s="1" t="s">
        <v>192</v>
      </c>
      <c r="J1151" s="1" t="s">
        <v>27</v>
      </c>
      <c r="K1151" s="1" t="s">
        <v>430</v>
      </c>
      <c r="L1151" s="1">
        <v>6</v>
      </c>
      <c r="M1151" s="13">
        <v>429.91</v>
      </c>
      <c r="N1151" s="15">
        <v>0.13</v>
      </c>
      <c r="O1151" s="13">
        <v>2947.93</v>
      </c>
      <c r="P1151" s="13">
        <v>145.44999999999999</v>
      </c>
      <c r="Q1151" s="13">
        <v>42.69</v>
      </c>
      <c r="R1151" s="1" t="s">
        <v>29</v>
      </c>
      <c r="S1151" s="1">
        <v>5</v>
      </c>
      <c r="T1151" s="1" t="b">
        <v>0</v>
      </c>
      <c r="U1151" s="1" t="s">
        <v>39</v>
      </c>
      <c r="V1151" s="3">
        <v>3</v>
      </c>
    </row>
    <row r="1152" spans="1:22" x14ac:dyDescent="0.3">
      <c r="A1152" s="2" t="s">
        <v>2785</v>
      </c>
      <c r="B1152" s="10">
        <v>44788</v>
      </c>
      <c r="C1152" s="22">
        <v>44788</v>
      </c>
      <c r="D1152" s="1" t="s">
        <v>2786</v>
      </c>
      <c r="E1152" s="1" t="s">
        <v>1335</v>
      </c>
      <c r="F1152" s="1">
        <v>39</v>
      </c>
      <c r="G1152" s="1" t="s">
        <v>24</v>
      </c>
      <c r="H1152" s="1" t="s">
        <v>82</v>
      </c>
      <c r="I1152" s="1" t="s">
        <v>244</v>
      </c>
      <c r="J1152" s="1" t="s">
        <v>44</v>
      </c>
      <c r="K1152" s="1" t="s">
        <v>186</v>
      </c>
      <c r="L1152" s="1">
        <v>1</v>
      </c>
      <c r="M1152" s="13">
        <v>27840.27</v>
      </c>
      <c r="N1152" s="15">
        <v>0.33</v>
      </c>
      <c r="O1152" s="13">
        <v>29507.88</v>
      </c>
      <c r="P1152" s="13">
        <v>7118.47</v>
      </c>
      <c r="Q1152" s="13">
        <v>59.77</v>
      </c>
      <c r="R1152" s="1" t="s">
        <v>64</v>
      </c>
      <c r="S1152" s="1">
        <v>4</v>
      </c>
      <c r="T1152" s="1" t="b">
        <v>0</v>
      </c>
      <c r="U1152" s="1" t="s">
        <v>39</v>
      </c>
      <c r="V1152" s="3">
        <v>4</v>
      </c>
    </row>
    <row r="1153" spans="1:22" x14ac:dyDescent="0.3">
      <c r="A1153" s="2" t="s">
        <v>2787</v>
      </c>
      <c r="B1153" s="10">
        <v>45406</v>
      </c>
      <c r="C1153" s="22">
        <v>45406</v>
      </c>
      <c r="D1153" s="1" t="s">
        <v>2788</v>
      </c>
      <c r="E1153" s="1" t="s">
        <v>2140</v>
      </c>
      <c r="F1153" s="1">
        <v>39</v>
      </c>
      <c r="G1153" s="1" t="s">
        <v>34</v>
      </c>
      <c r="H1153" s="1" t="s">
        <v>82</v>
      </c>
      <c r="I1153" s="1" t="s">
        <v>126</v>
      </c>
      <c r="J1153" s="1" t="s">
        <v>76</v>
      </c>
      <c r="K1153" s="1" t="s">
        <v>77</v>
      </c>
      <c r="L1153" s="1">
        <v>6</v>
      </c>
      <c r="M1153" s="13">
        <v>805.73</v>
      </c>
      <c r="N1153" s="15">
        <v>0.39</v>
      </c>
      <c r="O1153" s="13">
        <v>4220</v>
      </c>
      <c r="P1153" s="13">
        <v>2273.25</v>
      </c>
      <c r="Q1153" s="13">
        <v>96.9</v>
      </c>
      <c r="R1153" s="1" t="s">
        <v>70</v>
      </c>
      <c r="S1153" s="1">
        <v>1</v>
      </c>
      <c r="T1153" s="1" t="b">
        <v>0</v>
      </c>
      <c r="U1153" s="1" t="s">
        <v>39</v>
      </c>
      <c r="V1153" s="3">
        <v>9</v>
      </c>
    </row>
    <row r="1154" spans="1:22" x14ac:dyDescent="0.3">
      <c r="A1154" s="2" t="s">
        <v>2789</v>
      </c>
      <c r="B1154" s="10">
        <v>45630</v>
      </c>
      <c r="C1154" s="22">
        <v>45630</v>
      </c>
      <c r="D1154" s="1" t="s">
        <v>2790</v>
      </c>
      <c r="E1154" s="1" t="s">
        <v>2791</v>
      </c>
      <c r="F1154" s="1">
        <v>31</v>
      </c>
      <c r="G1154" s="1" t="s">
        <v>34</v>
      </c>
      <c r="H1154" s="1" t="s">
        <v>25</v>
      </c>
      <c r="I1154" s="1" t="s">
        <v>69</v>
      </c>
      <c r="J1154" s="1" t="s">
        <v>146</v>
      </c>
      <c r="K1154" s="1" t="s">
        <v>161</v>
      </c>
      <c r="L1154" s="1">
        <v>5</v>
      </c>
      <c r="M1154" s="13">
        <v>3886.22</v>
      </c>
      <c r="N1154" s="15">
        <v>0.24</v>
      </c>
      <c r="O1154" s="13">
        <v>2473</v>
      </c>
      <c r="P1154" s="13">
        <v>489.55</v>
      </c>
      <c r="Q1154" s="13">
        <v>40.869999999999997</v>
      </c>
      <c r="R1154" s="1" t="s">
        <v>29</v>
      </c>
      <c r="S1154" s="1">
        <v>4</v>
      </c>
      <c r="T1154" s="1" t="b">
        <v>1</v>
      </c>
      <c r="U1154" s="1" t="s">
        <v>30</v>
      </c>
      <c r="V1154" s="3">
        <v>4</v>
      </c>
    </row>
    <row r="1155" spans="1:22" x14ac:dyDescent="0.3">
      <c r="A1155" s="2" t="s">
        <v>2792</v>
      </c>
      <c r="B1155" s="10">
        <v>44749</v>
      </c>
      <c r="C1155" s="22">
        <v>44749</v>
      </c>
      <c r="D1155" s="1" t="s">
        <v>2793</v>
      </c>
      <c r="E1155" s="1" t="s">
        <v>2144</v>
      </c>
      <c r="F1155" s="1">
        <v>39</v>
      </c>
      <c r="G1155" s="1" t="s">
        <v>391</v>
      </c>
      <c r="H1155" s="1" t="s">
        <v>74</v>
      </c>
      <c r="I1155" s="1" t="s">
        <v>75</v>
      </c>
      <c r="J1155" s="1" t="s">
        <v>27</v>
      </c>
      <c r="K1155" s="1" t="s">
        <v>450</v>
      </c>
      <c r="L1155" s="1">
        <v>2</v>
      </c>
      <c r="M1155" s="13">
        <v>345.49</v>
      </c>
      <c r="N1155" s="15">
        <v>0.39</v>
      </c>
      <c r="O1155" s="13">
        <v>710.96</v>
      </c>
      <c r="P1155" s="13">
        <v>51.95</v>
      </c>
      <c r="Q1155" s="13">
        <v>61.64</v>
      </c>
      <c r="R1155" s="1" t="s">
        <v>78</v>
      </c>
      <c r="S1155" s="1">
        <v>4</v>
      </c>
      <c r="T1155" s="1" t="b">
        <v>0</v>
      </c>
      <c r="U1155" s="1" t="s">
        <v>39</v>
      </c>
      <c r="V1155" s="3">
        <v>10</v>
      </c>
    </row>
    <row r="1156" spans="1:22" x14ac:dyDescent="0.3">
      <c r="A1156" s="2" t="s">
        <v>2794</v>
      </c>
      <c r="B1156" s="10">
        <v>44823</v>
      </c>
      <c r="C1156" s="22">
        <v>44823</v>
      </c>
      <c r="D1156" s="1" t="s">
        <v>2795</v>
      </c>
      <c r="E1156" s="1" t="s">
        <v>67</v>
      </c>
      <c r="F1156" s="1">
        <v>44</v>
      </c>
      <c r="G1156" s="1" t="s">
        <v>68</v>
      </c>
      <c r="H1156" s="1" t="s">
        <v>74</v>
      </c>
      <c r="I1156" s="1" t="s">
        <v>136</v>
      </c>
      <c r="J1156" s="1" t="s">
        <v>146</v>
      </c>
      <c r="K1156" s="1" t="s">
        <v>161</v>
      </c>
      <c r="L1156" s="1">
        <v>9</v>
      </c>
      <c r="M1156" s="13">
        <v>3394.34</v>
      </c>
      <c r="N1156" s="15">
        <v>0.06</v>
      </c>
      <c r="O1156" s="13">
        <v>39194.69</v>
      </c>
      <c r="P1156" s="13">
        <v>8874.98</v>
      </c>
      <c r="Q1156" s="13">
        <v>16.96</v>
      </c>
      <c r="R1156" s="1" t="s">
        <v>29</v>
      </c>
      <c r="S1156" s="1">
        <v>2</v>
      </c>
      <c r="T1156" s="1" t="b">
        <v>1</v>
      </c>
      <c r="U1156" s="1" t="s">
        <v>30</v>
      </c>
      <c r="V1156" s="3">
        <v>8</v>
      </c>
    </row>
    <row r="1157" spans="1:22" x14ac:dyDescent="0.3">
      <c r="A1157" s="2" t="s">
        <v>2796</v>
      </c>
      <c r="B1157" s="10">
        <v>44607</v>
      </c>
      <c r="C1157" s="22">
        <v>44607</v>
      </c>
      <c r="D1157" s="1" t="s">
        <v>2797</v>
      </c>
      <c r="E1157" s="1" t="s">
        <v>748</v>
      </c>
      <c r="F1157" s="1">
        <v>56</v>
      </c>
      <c r="G1157" s="1" t="s">
        <v>68</v>
      </c>
      <c r="H1157" s="1" t="s">
        <v>82</v>
      </c>
      <c r="I1157" s="1" t="s">
        <v>293</v>
      </c>
      <c r="J1157" s="1" t="s">
        <v>76</v>
      </c>
      <c r="K1157" s="1" t="s">
        <v>77</v>
      </c>
      <c r="L1157" s="1">
        <v>10</v>
      </c>
      <c r="M1157" s="13">
        <v>3465.09</v>
      </c>
      <c r="N1157" s="15">
        <v>0.2</v>
      </c>
      <c r="O1157" s="13">
        <v>25651.74</v>
      </c>
      <c r="P1157" s="13">
        <v>8796.1200000000008</v>
      </c>
      <c r="Q1157" s="13">
        <v>99.4</v>
      </c>
      <c r="R1157" s="1" t="s">
        <v>51</v>
      </c>
      <c r="S1157" s="1">
        <v>5</v>
      </c>
      <c r="T1157" s="1" t="b">
        <v>0</v>
      </c>
      <c r="U1157" s="1" t="s">
        <v>39</v>
      </c>
      <c r="V1157" s="3">
        <v>9</v>
      </c>
    </row>
    <row r="1158" spans="1:22" x14ac:dyDescent="0.3">
      <c r="A1158" s="2" t="s">
        <v>2798</v>
      </c>
      <c r="B1158" s="10">
        <v>44652</v>
      </c>
      <c r="C1158" s="22">
        <v>44652</v>
      </c>
      <c r="D1158" s="1" t="s">
        <v>2799</v>
      </c>
      <c r="E1158" s="1" t="s">
        <v>1454</v>
      </c>
      <c r="F1158" s="1">
        <v>27</v>
      </c>
      <c r="G1158" s="1" t="s">
        <v>34</v>
      </c>
      <c r="H1158" s="1" t="s">
        <v>35</v>
      </c>
      <c r="I1158" s="1" t="s">
        <v>43</v>
      </c>
      <c r="J1158" s="1" t="s">
        <v>44</v>
      </c>
      <c r="K1158" s="1" t="s">
        <v>186</v>
      </c>
      <c r="L1158" s="1">
        <v>10</v>
      </c>
      <c r="M1158" s="13">
        <v>21474.06</v>
      </c>
      <c r="N1158" s="15">
        <v>0.33</v>
      </c>
      <c r="O1158" s="13">
        <v>214328.13</v>
      </c>
      <c r="P1158" s="13">
        <v>31877.360000000001</v>
      </c>
      <c r="Q1158" s="13">
        <v>49.93</v>
      </c>
      <c r="R1158" s="1" t="s">
        <v>51</v>
      </c>
      <c r="S1158" s="1">
        <v>2</v>
      </c>
      <c r="T1158" s="1" t="b">
        <v>0</v>
      </c>
      <c r="U1158" s="1" t="s">
        <v>39</v>
      </c>
      <c r="V1158" s="3">
        <v>8</v>
      </c>
    </row>
    <row r="1159" spans="1:22" x14ac:dyDescent="0.3">
      <c r="A1159" s="2" t="s">
        <v>2800</v>
      </c>
      <c r="B1159" s="10">
        <v>44355</v>
      </c>
      <c r="C1159" s="22">
        <v>44355</v>
      </c>
      <c r="D1159" s="1" t="s">
        <v>2801</v>
      </c>
      <c r="E1159" s="1" t="s">
        <v>243</v>
      </c>
      <c r="F1159" s="1">
        <v>34</v>
      </c>
      <c r="G1159" s="1" t="s">
        <v>24</v>
      </c>
      <c r="H1159" s="1" t="s">
        <v>35</v>
      </c>
      <c r="I1159" s="1" t="s">
        <v>49</v>
      </c>
      <c r="J1159" s="1" t="s">
        <v>146</v>
      </c>
      <c r="K1159" s="1" t="s">
        <v>178</v>
      </c>
      <c r="L1159" s="1">
        <v>5</v>
      </c>
      <c r="M1159" s="13">
        <v>9004.02</v>
      </c>
      <c r="N1159" s="15">
        <v>0</v>
      </c>
      <c r="O1159" s="13">
        <v>49123.38</v>
      </c>
      <c r="P1159" s="13">
        <v>9315.67</v>
      </c>
      <c r="Q1159" s="13">
        <v>69.239999999999995</v>
      </c>
      <c r="R1159" s="1" t="s">
        <v>51</v>
      </c>
      <c r="S1159" s="1">
        <v>5</v>
      </c>
      <c r="T1159" s="1" t="b">
        <v>0</v>
      </c>
      <c r="U1159" s="1" t="s">
        <v>39</v>
      </c>
      <c r="V1159" s="3">
        <v>6</v>
      </c>
    </row>
    <row r="1160" spans="1:22" x14ac:dyDescent="0.3">
      <c r="A1160" s="2" t="s">
        <v>2802</v>
      </c>
      <c r="B1160" s="10">
        <v>43989</v>
      </c>
      <c r="C1160" s="22">
        <v>43989</v>
      </c>
      <c r="D1160" s="1" t="s">
        <v>2803</v>
      </c>
      <c r="E1160" s="1" t="s">
        <v>566</v>
      </c>
      <c r="F1160" s="1">
        <v>32</v>
      </c>
      <c r="G1160" s="1" t="s">
        <v>68</v>
      </c>
      <c r="H1160" s="1" t="s">
        <v>82</v>
      </c>
      <c r="I1160" s="1" t="s">
        <v>126</v>
      </c>
      <c r="J1160" s="1" t="s">
        <v>62</v>
      </c>
      <c r="K1160" s="1" t="s">
        <v>266</v>
      </c>
      <c r="L1160" s="1">
        <v>5</v>
      </c>
      <c r="M1160" s="13">
        <v>1078.72</v>
      </c>
      <c r="N1160" s="15">
        <v>0.03</v>
      </c>
      <c r="O1160" s="13">
        <v>6627.97</v>
      </c>
      <c r="P1160" s="13">
        <v>3203.59</v>
      </c>
      <c r="Q1160" s="13">
        <v>78.459999999999994</v>
      </c>
      <c r="R1160" s="1" t="s">
        <v>64</v>
      </c>
      <c r="S1160" s="1">
        <v>4</v>
      </c>
      <c r="T1160" s="1" t="b">
        <v>0</v>
      </c>
      <c r="U1160" s="1" t="s">
        <v>39</v>
      </c>
      <c r="V1160" s="3">
        <v>4</v>
      </c>
    </row>
    <row r="1161" spans="1:22" x14ac:dyDescent="0.3">
      <c r="A1161" s="2" t="s">
        <v>2804</v>
      </c>
      <c r="B1161" s="10">
        <v>44706</v>
      </c>
      <c r="C1161" s="22">
        <v>44706</v>
      </c>
      <c r="D1161" s="1" t="s">
        <v>2805</v>
      </c>
      <c r="E1161" s="1" t="s">
        <v>2281</v>
      </c>
      <c r="F1161" s="1">
        <v>46</v>
      </c>
      <c r="G1161" s="1" t="s">
        <v>34</v>
      </c>
      <c r="H1161" s="1" t="s">
        <v>74</v>
      </c>
      <c r="I1161" s="1" t="s">
        <v>75</v>
      </c>
      <c r="J1161" s="1" t="s">
        <v>37</v>
      </c>
      <c r="K1161" s="1" t="s">
        <v>182</v>
      </c>
      <c r="L1161" s="1">
        <v>8</v>
      </c>
      <c r="M1161" s="13">
        <v>1707.74</v>
      </c>
      <c r="N1161" s="15">
        <v>0.01</v>
      </c>
      <c r="O1161" s="13">
        <v>18873.13</v>
      </c>
      <c r="P1161" s="13">
        <v>10051.040000000001</v>
      </c>
      <c r="Q1161" s="13">
        <v>76.8</v>
      </c>
      <c r="R1161" s="1" t="s">
        <v>29</v>
      </c>
      <c r="S1161" s="1">
        <v>2</v>
      </c>
      <c r="T1161" s="1" t="b">
        <v>0</v>
      </c>
      <c r="U1161" s="1" t="s">
        <v>39</v>
      </c>
      <c r="V1161" s="3">
        <v>3</v>
      </c>
    </row>
    <row r="1162" spans="1:22" x14ac:dyDescent="0.3">
      <c r="A1162" s="2" t="s">
        <v>2806</v>
      </c>
      <c r="B1162" s="10">
        <v>44356</v>
      </c>
      <c r="C1162" s="22">
        <v>44356</v>
      </c>
      <c r="D1162" s="1" t="s">
        <v>2807</v>
      </c>
      <c r="E1162" s="1" t="s">
        <v>314</v>
      </c>
      <c r="F1162" s="1">
        <v>36</v>
      </c>
      <c r="G1162" s="1" t="s">
        <v>34</v>
      </c>
      <c r="H1162" s="1" t="s">
        <v>74</v>
      </c>
      <c r="I1162" s="1" t="s">
        <v>192</v>
      </c>
      <c r="J1162" s="1" t="s">
        <v>44</v>
      </c>
      <c r="K1162" s="1" t="s">
        <v>221</v>
      </c>
      <c r="L1162" s="1">
        <v>7</v>
      </c>
      <c r="M1162" s="13">
        <v>17851.560000000001</v>
      </c>
      <c r="N1162" s="15">
        <v>0.08</v>
      </c>
      <c r="O1162" s="13">
        <v>174116.21</v>
      </c>
      <c r="P1162" s="13">
        <v>60713.1</v>
      </c>
      <c r="Q1162" s="13">
        <v>54.22</v>
      </c>
      <c r="R1162" s="1" t="s">
        <v>51</v>
      </c>
      <c r="S1162" s="1">
        <v>3</v>
      </c>
      <c r="T1162" s="1" t="b">
        <v>0</v>
      </c>
      <c r="U1162" s="1" t="s">
        <v>137</v>
      </c>
      <c r="V1162" s="3">
        <v>2</v>
      </c>
    </row>
    <row r="1163" spans="1:22" x14ac:dyDescent="0.3">
      <c r="A1163" s="2" t="s">
        <v>2808</v>
      </c>
      <c r="B1163" s="10">
        <v>44531</v>
      </c>
      <c r="C1163" s="22">
        <v>44531</v>
      </c>
      <c r="D1163" s="1" t="s">
        <v>2809</v>
      </c>
      <c r="E1163" s="1" t="s">
        <v>304</v>
      </c>
      <c r="F1163" s="1">
        <v>13</v>
      </c>
      <c r="G1163" s="1" t="s">
        <v>68</v>
      </c>
      <c r="H1163" s="1" t="s">
        <v>74</v>
      </c>
      <c r="I1163" s="1" t="s">
        <v>136</v>
      </c>
      <c r="J1163" s="1" t="s">
        <v>62</v>
      </c>
      <c r="K1163" s="1" t="s">
        <v>107</v>
      </c>
      <c r="L1163" s="1">
        <v>3</v>
      </c>
      <c r="M1163" s="13">
        <v>675.22</v>
      </c>
      <c r="N1163" s="15">
        <v>0.25</v>
      </c>
      <c r="O1163" s="13">
        <v>973.92</v>
      </c>
      <c r="P1163" s="13">
        <v>371.91</v>
      </c>
      <c r="Q1163" s="13">
        <v>21.24</v>
      </c>
      <c r="R1163" s="1" t="s">
        <v>51</v>
      </c>
      <c r="S1163" s="1">
        <v>5</v>
      </c>
      <c r="T1163" s="1" t="b">
        <v>0</v>
      </c>
      <c r="U1163" s="1" t="s">
        <v>39</v>
      </c>
      <c r="V1163" s="3">
        <v>8</v>
      </c>
    </row>
    <row r="1164" spans="1:22" x14ac:dyDescent="0.3">
      <c r="A1164" s="2" t="s">
        <v>2810</v>
      </c>
      <c r="B1164" s="10">
        <v>44220</v>
      </c>
      <c r="C1164" s="22">
        <v>44220</v>
      </c>
      <c r="D1164" s="1" t="s">
        <v>2811</v>
      </c>
      <c r="E1164" s="1" t="s">
        <v>289</v>
      </c>
      <c r="F1164" s="1">
        <v>39</v>
      </c>
      <c r="G1164" s="1" t="s">
        <v>391</v>
      </c>
      <c r="H1164" s="1" t="s">
        <v>74</v>
      </c>
      <c r="I1164" s="1" t="s">
        <v>101</v>
      </c>
      <c r="J1164" s="1" t="s">
        <v>76</v>
      </c>
      <c r="K1164" s="1" t="s">
        <v>207</v>
      </c>
      <c r="L1164" s="1">
        <v>8</v>
      </c>
      <c r="M1164" s="13">
        <v>1814.02</v>
      </c>
      <c r="N1164" s="15">
        <v>0.36</v>
      </c>
      <c r="O1164" s="13">
        <v>8060.63</v>
      </c>
      <c r="P1164" s="13">
        <v>2084.5</v>
      </c>
      <c r="Q1164" s="13">
        <v>67.95</v>
      </c>
      <c r="R1164" s="1" t="s">
        <v>78</v>
      </c>
      <c r="S1164" s="1">
        <v>1</v>
      </c>
      <c r="T1164" s="1" t="b">
        <v>0</v>
      </c>
      <c r="U1164" s="1" t="s">
        <v>84</v>
      </c>
      <c r="V1164" s="3">
        <v>6</v>
      </c>
    </row>
    <row r="1165" spans="1:22" x14ac:dyDescent="0.3">
      <c r="A1165" s="2" t="s">
        <v>2812</v>
      </c>
      <c r="B1165" s="10">
        <v>45026</v>
      </c>
      <c r="C1165" s="22">
        <v>45026</v>
      </c>
      <c r="D1165" s="1" t="s">
        <v>2813</v>
      </c>
      <c r="E1165" s="1" t="s">
        <v>1907</v>
      </c>
      <c r="F1165" s="1">
        <v>44</v>
      </c>
      <c r="G1165" s="1" t="s">
        <v>24</v>
      </c>
      <c r="H1165" s="1" t="s">
        <v>74</v>
      </c>
      <c r="I1165" s="1" t="s">
        <v>192</v>
      </c>
      <c r="J1165" s="1" t="s">
        <v>44</v>
      </c>
      <c r="K1165" s="1" t="s">
        <v>117</v>
      </c>
      <c r="L1165" s="1">
        <v>7</v>
      </c>
      <c r="M1165" s="13">
        <v>10222.85</v>
      </c>
      <c r="N1165" s="15">
        <v>0.32</v>
      </c>
      <c r="O1165" s="13">
        <v>83123.740000000005</v>
      </c>
      <c r="P1165" s="13">
        <v>28655.62</v>
      </c>
      <c r="Q1165" s="13">
        <v>44.75</v>
      </c>
      <c r="R1165" s="1" t="s">
        <v>78</v>
      </c>
      <c r="S1165" s="1">
        <v>3</v>
      </c>
      <c r="T1165" s="1" t="b">
        <v>0</v>
      </c>
      <c r="U1165" s="1" t="s">
        <v>84</v>
      </c>
      <c r="V1165" s="3">
        <v>10</v>
      </c>
    </row>
    <row r="1166" spans="1:22" x14ac:dyDescent="0.3">
      <c r="A1166" s="2" t="s">
        <v>2814</v>
      </c>
      <c r="B1166" s="10">
        <v>45428</v>
      </c>
      <c r="C1166" s="22">
        <v>45428</v>
      </c>
      <c r="D1166" s="1" t="s">
        <v>2815</v>
      </c>
      <c r="E1166" s="1" t="s">
        <v>1057</v>
      </c>
      <c r="F1166" s="1">
        <v>24</v>
      </c>
      <c r="G1166" s="1" t="s">
        <v>68</v>
      </c>
      <c r="H1166" s="1" t="s">
        <v>35</v>
      </c>
      <c r="I1166" s="1" t="s">
        <v>106</v>
      </c>
      <c r="J1166" s="1" t="s">
        <v>62</v>
      </c>
      <c r="K1166" s="1" t="s">
        <v>63</v>
      </c>
      <c r="L1166" s="1">
        <v>5</v>
      </c>
      <c r="M1166" s="13">
        <v>386.11</v>
      </c>
      <c r="N1166" s="15">
        <v>0.05</v>
      </c>
      <c r="O1166" s="13">
        <v>3102.98</v>
      </c>
      <c r="P1166" s="13">
        <v>740.13</v>
      </c>
      <c r="Q1166" s="13">
        <v>71.81</v>
      </c>
      <c r="R1166" s="1" t="s">
        <v>64</v>
      </c>
      <c r="S1166" s="1">
        <v>3</v>
      </c>
      <c r="T1166" s="1" t="b">
        <v>0</v>
      </c>
      <c r="U1166" s="1" t="s">
        <v>137</v>
      </c>
      <c r="V1166" s="3">
        <v>7</v>
      </c>
    </row>
    <row r="1167" spans="1:22" x14ac:dyDescent="0.3">
      <c r="A1167" s="2" t="s">
        <v>2816</v>
      </c>
      <c r="B1167" s="10">
        <v>43979</v>
      </c>
      <c r="C1167" s="22">
        <v>43979</v>
      </c>
      <c r="D1167" s="1" t="s">
        <v>2817</v>
      </c>
      <c r="E1167" s="1" t="s">
        <v>638</v>
      </c>
      <c r="F1167" s="1">
        <v>32</v>
      </c>
      <c r="G1167" s="1" t="s">
        <v>24</v>
      </c>
      <c r="H1167" s="1" t="s">
        <v>111</v>
      </c>
      <c r="I1167" s="1" t="s">
        <v>330</v>
      </c>
      <c r="J1167" s="1" t="s">
        <v>146</v>
      </c>
      <c r="K1167" s="1" t="s">
        <v>161</v>
      </c>
      <c r="L1167" s="1">
        <v>8</v>
      </c>
      <c r="M1167" s="13">
        <v>14818.6</v>
      </c>
      <c r="N1167" s="15">
        <v>0.11</v>
      </c>
      <c r="O1167" s="13">
        <v>121250.56</v>
      </c>
      <c r="P1167" s="13">
        <v>27352.51</v>
      </c>
      <c r="Q1167" s="13">
        <v>79.900000000000006</v>
      </c>
      <c r="R1167" s="1" t="s">
        <v>78</v>
      </c>
      <c r="S1167" s="1">
        <v>5</v>
      </c>
      <c r="T1167" s="1" t="b">
        <v>0</v>
      </c>
      <c r="U1167" s="1" t="s">
        <v>39</v>
      </c>
      <c r="V1167" s="3">
        <v>6</v>
      </c>
    </row>
    <row r="1168" spans="1:22" x14ac:dyDescent="0.3">
      <c r="A1168" s="2" t="s">
        <v>2818</v>
      </c>
      <c r="B1168" s="10">
        <v>45227</v>
      </c>
      <c r="C1168" s="22">
        <v>45227</v>
      </c>
      <c r="D1168" s="1" t="s">
        <v>2819</v>
      </c>
      <c r="E1168" s="1" t="s">
        <v>644</v>
      </c>
      <c r="F1168" s="1">
        <v>26</v>
      </c>
      <c r="G1168" s="1" t="s">
        <v>68</v>
      </c>
      <c r="H1168" s="1" t="s">
        <v>25</v>
      </c>
      <c r="I1168" s="1" t="s">
        <v>26</v>
      </c>
      <c r="J1168" s="1" t="s">
        <v>62</v>
      </c>
      <c r="K1168" s="1" t="s">
        <v>283</v>
      </c>
      <c r="L1168" s="1">
        <v>4</v>
      </c>
      <c r="M1168" s="13">
        <v>653.78</v>
      </c>
      <c r="N1168" s="15">
        <v>0.39</v>
      </c>
      <c r="O1168" s="13">
        <v>1691.13</v>
      </c>
      <c r="P1168" s="13">
        <v>702.11</v>
      </c>
      <c r="Q1168" s="13">
        <v>57.6</v>
      </c>
      <c r="R1168" s="1" t="s">
        <v>70</v>
      </c>
      <c r="S1168" s="1">
        <v>3</v>
      </c>
      <c r="T1168" s="1" t="b">
        <v>0</v>
      </c>
      <c r="U1168" s="1" t="s">
        <v>84</v>
      </c>
      <c r="V1168" s="3">
        <v>4</v>
      </c>
    </row>
    <row r="1169" spans="1:22" x14ac:dyDescent="0.3">
      <c r="A1169" s="2" t="s">
        <v>2820</v>
      </c>
      <c r="B1169" s="10">
        <v>44938</v>
      </c>
      <c r="C1169" s="22">
        <v>44938</v>
      </c>
      <c r="D1169" s="1" t="s">
        <v>2821</v>
      </c>
      <c r="E1169" s="1" t="s">
        <v>575</v>
      </c>
      <c r="F1169" s="1">
        <v>13</v>
      </c>
      <c r="G1169" s="1" t="s">
        <v>34</v>
      </c>
      <c r="H1169" s="1" t="s">
        <v>111</v>
      </c>
      <c r="I1169" s="1" t="s">
        <v>330</v>
      </c>
      <c r="J1169" s="1" t="s">
        <v>44</v>
      </c>
      <c r="K1169" s="1" t="s">
        <v>221</v>
      </c>
      <c r="L1169" s="1">
        <v>10</v>
      </c>
      <c r="M1169" s="13">
        <v>4609.6000000000004</v>
      </c>
      <c r="N1169" s="15">
        <v>0.39</v>
      </c>
      <c r="O1169" s="13">
        <v>22527.45</v>
      </c>
      <c r="P1169" s="13">
        <v>6267.09</v>
      </c>
      <c r="Q1169" s="13">
        <v>72.790000000000006</v>
      </c>
      <c r="R1169" s="1" t="s">
        <v>64</v>
      </c>
      <c r="S1169" s="1">
        <v>3</v>
      </c>
      <c r="T1169" s="1" t="b">
        <v>1</v>
      </c>
      <c r="U1169" s="1" t="s">
        <v>30</v>
      </c>
      <c r="V1169" s="3">
        <v>4</v>
      </c>
    </row>
    <row r="1170" spans="1:22" x14ac:dyDescent="0.3">
      <c r="A1170" s="2" t="s">
        <v>2822</v>
      </c>
      <c r="B1170" s="10">
        <v>45133</v>
      </c>
      <c r="C1170" s="22">
        <v>45133</v>
      </c>
      <c r="D1170" s="1" t="s">
        <v>2823</v>
      </c>
      <c r="E1170" s="1" t="s">
        <v>360</v>
      </c>
      <c r="F1170" s="1">
        <v>35</v>
      </c>
      <c r="G1170" s="1" t="s">
        <v>68</v>
      </c>
      <c r="H1170" s="1" t="s">
        <v>82</v>
      </c>
      <c r="I1170" s="1" t="s">
        <v>126</v>
      </c>
      <c r="J1170" s="1" t="s">
        <v>62</v>
      </c>
      <c r="K1170" s="1" t="s">
        <v>283</v>
      </c>
      <c r="L1170" s="1">
        <v>7</v>
      </c>
      <c r="M1170" s="13">
        <v>520.82000000000005</v>
      </c>
      <c r="N1170" s="15">
        <v>0.15</v>
      </c>
      <c r="O1170" s="13">
        <v>4550.2299999999996</v>
      </c>
      <c r="P1170" s="13">
        <v>1554.74</v>
      </c>
      <c r="Q1170" s="13">
        <v>78.67</v>
      </c>
      <c r="R1170" s="1" t="s">
        <v>51</v>
      </c>
      <c r="S1170" s="1">
        <v>3</v>
      </c>
      <c r="T1170" s="1" t="b">
        <v>0</v>
      </c>
      <c r="U1170" s="1" t="s">
        <v>39</v>
      </c>
      <c r="V1170" s="3">
        <v>6</v>
      </c>
    </row>
    <row r="1171" spans="1:22" x14ac:dyDescent="0.3">
      <c r="A1171" s="2" t="s">
        <v>2824</v>
      </c>
      <c r="B1171" s="10">
        <v>43958</v>
      </c>
      <c r="C1171" s="22">
        <v>43958</v>
      </c>
      <c r="D1171" s="1" t="s">
        <v>2825</v>
      </c>
      <c r="E1171" s="1" t="s">
        <v>1907</v>
      </c>
      <c r="F1171" s="1">
        <v>26</v>
      </c>
      <c r="G1171" s="1" t="s">
        <v>34</v>
      </c>
      <c r="H1171" s="1" t="s">
        <v>82</v>
      </c>
      <c r="I1171" s="1" t="s">
        <v>126</v>
      </c>
      <c r="J1171" s="1" t="s">
        <v>37</v>
      </c>
      <c r="K1171" s="1" t="s">
        <v>671</v>
      </c>
      <c r="L1171" s="1">
        <v>3</v>
      </c>
      <c r="M1171" s="13">
        <v>2059.96</v>
      </c>
      <c r="N1171" s="15">
        <v>0.04</v>
      </c>
      <c r="O1171" s="13">
        <v>8056.36</v>
      </c>
      <c r="P1171" s="13">
        <v>3439.24</v>
      </c>
      <c r="Q1171" s="13">
        <v>92.05</v>
      </c>
      <c r="R1171" s="1" t="s">
        <v>57</v>
      </c>
      <c r="S1171" s="1">
        <v>1</v>
      </c>
      <c r="T1171" s="1" t="b">
        <v>0</v>
      </c>
      <c r="U1171" s="1" t="s">
        <v>39</v>
      </c>
      <c r="V1171" s="3">
        <v>8</v>
      </c>
    </row>
    <row r="1172" spans="1:22" x14ac:dyDescent="0.3">
      <c r="A1172" s="2" t="s">
        <v>2826</v>
      </c>
      <c r="B1172" s="10">
        <v>45199</v>
      </c>
      <c r="C1172" s="22">
        <v>45199</v>
      </c>
      <c r="D1172" s="1" t="s">
        <v>2827</v>
      </c>
      <c r="E1172" s="1" t="s">
        <v>247</v>
      </c>
      <c r="F1172" s="1">
        <v>12</v>
      </c>
      <c r="G1172" s="1" t="s">
        <v>34</v>
      </c>
      <c r="H1172" s="1" t="s">
        <v>74</v>
      </c>
      <c r="I1172" s="1" t="s">
        <v>75</v>
      </c>
      <c r="J1172" s="1" t="s">
        <v>27</v>
      </c>
      <c r="K1172" s="1" t="s">
        <v>28</v>
      </c>
      <c r="L1172" s="1">
        <v>1</v>
      </c>
      <c r="M1172" s="13">
        <v>89.43</v>
      </c>
      <c r="N1172" s="15">
        <v>0.2</v>
      </c>
      <c r="O1172" s="13">
        <v>83.75</v>
      </c>
      <c r="P1172" s="13">
        <v>6.58</v>
      </c>
      <c r="Q1172" s="13">
        <v>37.630000000000003</v>
      </c>
      <c r="R1172" s="1" t="s">
        <v>70</v>
      </c>
      <c r="S1172" s="1">
        <v>1</v>
      </c>
      <c r="T1172" s="1" t="b">
        <v>0</v>
      </c>
      <c r="U1172" s="1" t="s">
        <v>39</v>
      </c>
      <c r="V1172" s="3">
        <v>5</v>
      </c>
    </row>
    <row r="1173" spans="1:22" x14ac:dyDescent="0.3">
      <c r="A1173" s="2" t="s">
        <v>2828</v>
      </c>
      <c r="B1173" s="10">
        <v>44609</v>
      </c>
      <c r="C1173" s="22">
        <v>44609</v>
      </c>
      <c r="D1173" s="1" t="s">
        <v>2829</v>
      </c>
      <c r="E1173" s="1" t="s">
        <v>220</v>
      </c>
      <c r="F1173" s="1">
        <v>30</v>
      </c>
      <c r="G1173" s="1" t="s">
        <v>24</v>
      </c>
      <c r="H1173" s="1" t="s">
        <v>111</v>
      </c>
      <c r="I1173" s="1" t="s">
        <v>141</v>
      </c>
      <c r="J1173" s="1" t="s">
        <v>37</v>
      </c>
      <c r="K1173" s="1" t="s">
        <v>454</v>
      </c>
      <c r="L1173" s="1">
        <v>3</v>
      </c>
      <c r="M1173" s="13">
        <v>1566.52</v>
      </c>
      <c r="N1173" s="15">
        <v>0.37</v>
      </c>
      <c r="O1173" s="13">
        <v>2439.84</v>
      </c>
      <c r="P1173" s="13">
        <v>1173.24</v>
      </c>
      <c r="Q1173" s="13">
        <v>81.77</v>
      </c>
      <c r="R1173" s="1" t="s">
        <v>51</v>
      </c>
      <c r="S1173" s="1">
        <v>1</v>
      </c>
      <c r="T1173" s="1" t="b">
        <v>1</v>
      </c>
      <c r="U1173" s="1" t="s">
        <v>30</v>
      </c>
      <c r="V1173" s="3">
        <v>3</v>
      </c>
    </row>
    <row r="1174" spans="1:22" x14ac:dyDescent="0.3">
      <c r="A1174" s="2" t="s">
        <v>2830</v>
      </c>
      <c r="B1174" s="10">
        <v>44866</v>
      </c>
      <c r="C1174" s="22">
        <v>44866</v>
      </c>
      <c r="D1174" s="1" t="s">
        <v>2831</v>
      </c>
      <c r="E1174" s="1" t="s">
        <v>354</v>
      </c>
      <c r="F1174" s="1">
        <v>40</v>
      </c>
      <c r="G1174" s="1" t="s">
        <v>34</v>
      </c>
      <c r="H1174" s="1" t="s">
        <v>74</v>
      </c>
      <c r="I1174" s="1" t="s">
        <v>101</v>
      </c>
      <c r="J1174" s="1" t="s">
        <v>127</v>
      </c>
      <c r="K1174" s="1" t="s">
        <v>171</v>
      </c>
      <c r="L1174" s="1">
        <v>10</v>
      </c>
      <c r="M1174" s="13">
        <v>34447.29</v>
      </c>
      <c r="N1174" s="15">
        <v>0.14000000000000001</v>
      </c>
      <c r="O1174" s="13">
        <v>242331.73</v>
      </c>
      <c r="P1174" s="13">
        <v>27631.34</v>
      </c>
      <c r="Q1174" s="13">
        <v>29.16</v>
      </c>
      <c r="R1174" s="1" t="s">
        <v>70</v>
      </c>
      <c r="S1174" s="1">
        <v>5</v>
      </c>
      <c r="T1174" s="1" t="b">
        <v>0</v>
      </c>
      <c r="U1174" s="1" t="s">
        <v>137</v>
      </c>
      <c r="V1174" s="3">
        <v>6</v>
      </c>
    </row>
    <row r="1175" spans="1:22" x14ac:dyDescent="0.3">
      <c r="A1175" s="2" t="s">
        <v>2832</v>
      </c>
      <c r="B1175" s="10">
        <v>44653</v>
      </c>
      <c r="C1175" s="22">
        <v>44653</v>
      </c>
      <c r="D1175" s="1" t="s">
        <v>2833</v>
      </c>
      <c r="E1175" s="1" t="s">
        <v>2648</v>
      </c>
      <c r="F1175" s="1">
        <v>49</v>
      </c>
      <c r="G1175" s="1" t="s">
        <v>24</v>
      </c>
      <c r="H1175" s="1" t="s">
        <v>35</v>
      </c>
      <c r="I1175" s="1" t="s">
        <v>49</v>
      </c>
      <c r="J1175" s="1" t="s">
        <v>44</v>
      </c>
      <c r="K1175" s="1" t="s">
        <v>186</v>
      </c>
      <c r="L1175" s="1">
        <v>2</v>
      </c>
      <c r="M1175" s="13">
        <v>29772.1</v>
      </c>
      <c r="N1175" s="15">
        <v>0.21</v>
      </c>
      <c r="O1175" s="13">
        <v>57845.42</v>
      </c>
      <c r="P1175" s="13">
        <v>17251.72</v>
      </c>
      <c r="Q1175" s="13">
        <v>57.47</v>
      </c>
      <c r="R1175" s="1" t="s">
        <v>57</v>
      </c>
      <c r="S1175" s="1">
        <v>2</v>
      </c>
      <c r="T1175" s="1" t="b">
        <v>0</v>
      </c>
      <c r="U1175" s="1" t="s">
        <v>58</v>
      </c>
      <c r="V1175" s="3">
        <v>6</v>
      </c>
    </row>
    <row r="1176" spans="1:22" x14ac:dyDescent="0.3">
      <c r="A1176" s="2" t="s">
        <v>2834</v>
      </c>
      <c r="B1176" s="10">
        <v>44289</v>
      </c>
      <c r="C1176" s="22">
        <v>44289</v>
      </c>
      <c r="D1176" s="1" t="s">
        <v>2835</v>
      </c>
      <c r="E1176" s="1" t="s">
        <v>344</v>
      </c>
      <c r="F1176" s="1">
        <v>19</v>
      </c>
      <c r="G1176" s="1" t="s">
        <v>68</v>
      </c>
      <c r="H1176" s="1" t="s">
        <v>111</v>
      </c>
      <c r="I1176" s="1" t="s">
        <v>330</v>
      </c>
      <c r="J1176" s="1" t="s">
        <v>44</v>
      </c>
      <c r="K1176" s="1" t="s">
        <v>50</v>
      </c>
      <c r="L1176" s="1">
        <v>1</v>
      </c>
      <c r="M1176" s="13">
        <v>30648.42</v>
      </c>
      <c r="N1176" s="15">
        <v>0.39</v>
      </c>
      <c r="O1176" s="13">
        <v>22238.65</v>
      </c>
      <c r="P1176" s="13">
        <v>5768.84</v>
      </c>
      <c r="Q1176" s="13">
        <v>99.16</v>
      </c>
      <c r="R1176" s="1" t="s">
        <v>64</v>
      </c>
      <c r="S1176" s="1">
        <v>3</v>
      </c>
      <c r="T1176" s="1" t="b">
        <v>0</v>
      </c>
      <c r="U1176" s="1" t="s">
        <v>84</v>
      </c>
      <c r="V1176" s="3">
        <v>9</v>
      </c>
    </row>
    <row r="1177" spans="1:22" x14ac:dyDescent="0.3">
      <c r="A1177" s="2" t="s">
        <v>2836</v>
      </c>
      <c r="B1177" s="10">
        <v>44194</v>
      </c>
      <c r="C1177" s="22">
        <v>44194</v>
      </c>
      <c r="D1177" s="1" t="s">
        <v>2837</v>
      </c>
      <c r="E1177" s="1" t="s">
        <v>1064</v>
      </c>
      <c r="F1177" s="1">
        <v>57</v>
      </c>
      <c r="G1177" s="1" t="s">
        <v>68</v>
      </c>
      <c r="H1177" s="1" t="s">
        <v>25</v>
      </c>
      <c r="I1177" s="1" t="s">
        <v>55</v>
      </c>
      <c r="J1177" s="1" t="s">
        <v>127</v>
      </c>
      <c r="K1177" s="1" t="s">
        <v>128</v>
      </c>
      <c r="L1177" s="1">
        <v>4</v>
      </c>
      <c r="M1177" s="13">
        <v>13059.62</v>
      </c>
      <c r="N1177" s="15">
        <v>0.11</v>
      </c>
      <c r="O1177" s="13">
        <v>35330.160000000003</v>
      </c>
      <c r="P1177" s="13">
        <v>4782.4399999999996</v>
      </c>
      <c r="Q1177" s="13">
        <v>56.15</v>
      </c>
      <c r="R1177" s="1" t="s">
        <v>78</v>
      </c>
      <c r="S1177" s="1">
        <v>4</v>
      </c>
      <c r="T1177" s="1" t="b">
        <v>1</v>
      </c>
      <c r="U1177" s="1" t="s">
        <v>30</v>
      </c>
      <c r="V1177" s="3">
        <v>7</v>
      </c>
    </row>
    <row r="1178" spans="1:22" x14ac:dyDescent="0.3">
      <c r="A1178" s="2" t="s">
        <v>2838</v>
      </c>
      <c r="B1178" s="10">
        <v>45589</v>
      </c>
      <c r="C1178" s="22">
        <v>45589</v>
      </c>
      <c r="D1178" s="1" t="s">
        <v>2839</v>
      </c>
      <c r="E1178" s="1" t="s">
        <v>566</v>
      </c>
      <c r="F1178" s="1">
        <v>26</v>
      </c>
      <c r="G1178" s="1" t="s">
        <v>34</v>
      </c>
      <c r="H1178" s="1" t="s">
        <v>25</v>
      </c>
      <c r="I1178" s="1" t="s">
        <v>55</v>
      </c>
      <c r="J1178" s="1" t="s">
        <v>27</v>
      </c>
      <c r="K1178" s="1" t="s">
        <v>430</v>
      </c>
      <c r="L1178" s="1">
        <v>6</v>
      </c>
      <c r="M1178" s="13">
        <v>358.44</v>
      </c>
      <c r="N1178" s="15">
        <v>0.33</v>
      </c>
      <c r="O1178" s="13">
        <v>1597.57</v>
      </c>
      <c r="P1178" s="13">
        <v>154.69</v>
      </c>
      <c r="Q1178" s="13">
        <v>55.56</v>
      </c>
      <c r="R1178" s="1" t="s">
        <v>51</v>
      </c>
      <c r="S1178" s="1">
        <v>5</v>
      </c>
      <c r="T1178" s="1" t="b">
        <v>0</v>
      </c>
      <c r="U1178" s="1" t="s">
        <v>39</v>
      </c>
      <c r="V1178" s="3">
        <v>8</v>
      </c>
    </row>
    <row r="1179" spans="1:22" x14ac:dyDescent="0.3">
      <c r="A1179" s="2" t="s">
        <v>2840</v>
      </c>
      <c r="B1179" s="10">
        <v>44116</v>
      </c>
      <c r="C1179" s="22">
        <v>44116</v>
      </c>
      <c r="D1179" s="1" t="s">
        <v>2841</v>
      </c>
      <c r="E1179" s="1" t="s">
        <v>150</v>
      </c>
      <c r="F1179" s="1">
        <v>41</v>
      </c>
      <c r="G1179" s="1" t="s">
        <v>391</v>
      </c>
      <c r="H1179" s="1" t="s">
        <v>35</v>
      </c>
      <c r="I1179" s="1" t="s">
        <v>49</v>
      </c>
      <c r="J1179" s="1" t="s">
        <v>27</v>
      </c>
      <c r="K1179" s="1" t="s">
        <v>56</v>
      </c>
      <c r="L1179" s="1">
        <v>3</v>
      </c>
      <c r="M1179" s="13">
        <v>482.62</v>
      </c>
      <c r="N1179" s="15">
        <v>0.01</v>
      </c>
      <c r="O1179" s="13">
        <v>1337.09</v>
      </c>
      <c r="P1179" s="13">
        <v>63.09</v>
      </c>
      <c r="Q1179" s="13">
        <v>47.14</v>
      </c>
      <c r="R1179" s="1" t="s">
        <v>57</v>
      </c>
      <c r="S1179" s="1">
        <v>5</v>
      </c>
      <c r="T1179" s="1" t="b">
        <v>0</v>
      </c>
      <c r="U1179" s="1" t="s">
        <v>39</v>
      </c>
      <c r="V1179" s="3">
        <v>3</v>
      </c>
    </row>
    <row r="1180" spans="1:22" x14ac:dyDescent="0.3">
      <c r="A1180" s="2" t="s">
        <v>2842</v>
      </c>
      <c r="B1180" s="10">
        <v>44646</v>
      </c>
      <c r="C1180" s="22">
        <v>44646</v>
      </c>
      <c r="D1180" s="1" t="s">
        <v>2843</v>
      </c>
      <c r="E1180" s="1" t="s">
        <v>523</v>
      </c>
      <c r="F1180" s="1">
        <v>31</v>
      </c>
      <c r="G1180" s="1" t="s">
        <v>34</v>
      </c>
      <c r="H1180" s="1" t="s">
        <v>111</v>
      </c>
      <c r="I1180" s="1" t="s">
        <v>330</v>
      </c>
      <c r="J1180" s="1" t="s">
        <v>27</v>
      </c>
      <c r="K1180" s="1" t="s">
        <v>400</v>
      </c>
      <c r="L1180" s="1">
        <v>4</v>
      </c>
      <c r="M1180" s="13">
        <v>240.11</v>
      </c>
      <c r="N1180" s="15">
        <v>0.22</v>
      </c>
      <c r="O1180" s="13">
        <v>999.98</v>
      </c>
      <c r="P1180" s="13">
        <v>98.61</v>
      </c>
      <c r="Q1180" s="13">
        <v>73.81</v>
      </c>
      <c r="R1180" s="1" t="s">
        <v>57</v>
      </c>
      <c r="S1180" s="1">
        <v>3</v>
      </c>
      <c r="T1180" s="1" t="b">
        <v>0</v>
      </c>
      <c r="U1180" s="1" t="s">
        <v>39</v>
      </c>
      <c r="V1180" s="3">
        <v>10</v>
      </c>
    </row>
    <row r="1181" spans="1:22" x14ac:dyDescent="0.3">
      <c r="A1181" s="2" t="s">
        <v>2844</v>
      </c>
      <c r="B1181" s="10">
        <v>44923</v>
      </c>
      <c r="C1181" s="22">
        <v>44923</v>
      </c>
      <c r="D1181" s="1" t="s">
        <v>2845</v>
      </c>
      <c r="E1181" s="1" t="s">
        <v>729</v>
      </c>
      <c r="F1181" s="1">
        <v>28</v>
      </c>
      <c r="G1181" s="1" t="s">
        <v>68</v>
      </c>
      <c r="H1181" s="1" t="s">
        <v>82</v>
      </c>
      <c r="I1181" s="1" t="s">
        <v>83</v>
      </c>
      <c r="J1181" s="1" t="s">
        <v>44</v>
      </c>
      <c r="K1181" s="1" t="s">
        <v>93</v>
      </c>
      <c r="L1181" s="1">
        <v>6</v>
      </c>
      <c r="M1181" s="13">
        <v>6993.08</v>
      </c>
      <c r="N1181" s="15">
        <v>0.36</v>
      </c>
      <c r="O1181" s="13">
        <v>20187.04</v>
      </c>
      <c r="P1181" s="13">
        <v>5220.66</v>
      </c>
      <c r="Q1181" s="13">
        <v>87.7</v>
      </c>
      <c r="R1181" s="1" t="s">
        <v>64</v>
      </c>
      <c r="S1181" s="1">
        <v>1</v>
      </c>
      <c r="T1181" s="1" t="b">
        <v>0</v>
      </c>
      <c r="U1181" s="1" t="s">
        <v>39</v>
      </c>
      <c r="V1181" s="3">
        <v>5</v>
      </c>
    </row>
    <row r="1182" spans="1:22" x14ac:dyDescent="0.3">
      <c r="A1182" s="2" t="s">
        <v>2846</v>
      </c>
      <c r="B1182" s="10">
        <v>45259</v>
      </c>
      <c r="C1182" s="22">
        <v>45259</v>
      </c>
      <c r="D1182" s="1" t="s">
        <v>2847</v>
      </c>
      <c r="E1182" s="1" t="s">
        <v>473</v>
      </c>
      <c r="F1182" s="1">
        <v>45</v>
      </c>
      <c r="G1182" s="1" t="s">
        <v>24</v>
      </c>
      <c r="H1182" s="1" t="s">
        <v>25</v>
      </c>
      <c r="I1182" s="1" t="s">
        <v>170</v>
      </c>
      <c r="J1182" s="1" t="s">
        <v>37</v>
      </c>
      <c r="K1182" s="1" t="s">
        <v>182</v>
      </c>
      <c r="L1182" s="1">
        <v>7</v>
      </c>
      <c r="M1182" s="13">
        <v>2195.91</v>
      </c>
      <c r="N1182" s="15">
        <v>0.28000000000000003</v>
      </c>
      <c r="O1182" s="13">
        <v>8503.4699999999993</v>
      </c>
      <c r="P1182" s="13">
        <v>3907.75</v>
      </c>
      <c r="Q1182" s="13">
        <v>63.07</v>
      </c>
      <c r="R1182" s="1" t="s">
        <v>78</v>
      </c>
      <c r="S1182" s="1">
        <v>1</v>
      </c>
      <c r="T1182" s="1" t="b">
        <v>1</v>
      </c>
      <c r="U1182" s="1" t="s">
        <v>30</v>
      </c>
      <c r="V1182" s="3">
        <v>6</v>
      </c>
    </row>
    <row r="1183" spans="1:22" x14ac:dyDescent="0.3">
      <c r="A1183" s="2" t="s">
        <v>2848</v>
      </c>
      <c r="B1183" s="10">
        <v>45097</v>
      </c>
      <c r="C1183" s="22">
        <v>45097</v>
      </c>
      <c r="D1183" s="1" t="s">
        <v>2849</v>
      </c>
      <c r="E1183" s="1" t="s">
        <v>1096</v>
      </c>
      <c r="F1183" s="1">
        <v>40</v>
      </c>
      <c r="G1183" s="1" t="s">
        <v>24</v>
      </c>
      <c r="H1183" s="1" t="s">
        <v>25</v>
      </c>
      <c r="I1183" s="1" t="s">
        <v>170</v>
      </c>
      <c r="J1183" s="1" t="s">
        <v>76</v>
      </c>
      <c r="K1183" s="1" t="s">
        <v>89</v>
      </c>
      <c r="L1183" s="1">
        <v>6</v>
      </c>
      <c r="M1183" s="13">
        <v>3464.49</v>
      </c>
      <c r="N1183" s="15">
        <v>0.3</v>
      </c>
      <c r="O1183" s="13">
        <v>23273.58</v>
      </c>
      <c r="P1183" s="13">
        <v>8946.26</v>
      </c>
      <c r="Q1183" s="13">
        <v>68.97</v>
      </c>
      <c r="R1183" s="1" t="s">
        <v>70</v>
      </c>
      <c r="S1183" s="1">
        <v>4</v>
      </c>
      <c r="T1183" s="1" t="b">
        <v>0</v>
      </c>
      <c r="U1183" s="1" t="s">
        <v>84</v>
      </c>
      <c r="V1183" s="3">
        <v>5</v>
      </c>
    </row>
    <row r="1184" spans="1:22" x14ac:dyDescent="0.3">
      <c r="A1184" s="2" t="s">
        <v>2850</v>
      </c>
      <c r="B1184" s="10">
        <v>44778</v>
      </c>
      <c r="C1184" s="22">
        <v>44778</v>
      </c>
      <c r="D1184" s="1" t="s">
        <v>2851</v>
      </c>
      <c r="E1184" s="1" t="s">
        <v>824</v>
      </c>
      <c r="F1184" s="1">
        <v>34</v>
      </c>
      <c r="G1184" s="1" t="s">
        <v>24</v>
      </c>
      <c r="H1184" s="1" t="s">
        <v>82</v>
      </c>
      <c r="I1184" s="1" t="s">
        <v>293</v>
      </c>
      <c r="J1184" s="1" t="s">
        <v>62</v>
      </c>
      <c r="K1184" s="1" t="s">
        <v>63</v>
      </c>
      <c r="L1184" s="1">
        <v>3</v>
      </c>
      <c r="M1184" s="13">
        <v>1288.5999999999999</v>
      </c>
      <c r="N1184" s="15">
        <v>0.03</v>
      </c>
      <c r="O1184" s="13">
        <v>4314.7700000000004</v>
      </c>
      <c r="P1184" s="13">
        <v>1600.29</v>
      </c>
      <c r="Q1184" s="13">
        <v>88.39</v>
      </c>
      <c r="R1184" s="1" t="s">
        <v>29</v>
      </c>
      <c r="S1184" s="1">
        <v>5</v>
      </c>
      <c r="T1184" s="1" t="b">
        <v>0</v>
      </c>
      <c r="U1184" s="1" t="s">
        <v>39</v>
      </c>
      <c r="V1184" s="3">
        <v>2</v>
      </c>
    </row>
    <row r="1185" spans="1:22" x14ac:dyDescent="0.3">
      <c r="A1185" s="2" t="s">
        <v>2852</v>
      </c>
      <c r="B1185" s="10">
        <v>44699</v>
      </c>
      <c r="C1185" s="22">
        <v>44699</v>
      </c>
      <c r="D1185" s="1" t="s">
        <v>2853</v>
      </c>
      <c r="E1185" s="1" t="s">
        <v>1064</v>
      </c>
      <c r="F1185" s="1">
        <v>37</v>
      </c>
      <c r="G1185" s="1" t="s">
        <v>68</v>
      </c>
      <c r="H1185" s="1" t="s">
        <v>35</v>
      </c>
      <c r="I1185" s="1" t="s">
        <v>36</v>
      </c>
      <c r="J1185" s="1" t="s">
        <v>76</v>
      </c>
      <c r="K1185" s="1" t="s">
        <v>77</v>
      </c>
      <c r="L1185" s="1">
        <v>9</v>
      </c>
      <c r="M1185" s="13">
        <v>2779.53</v>
      </c>
      <c r="N1185" s="15">
        <v>0.35</v>
      </c>
      <c r="O1185" s="13">
        <v>21070.99</v>
      </c>
      <c r="P1185" s="13">
        <v>8557.51</v>
      </c>
      <c r="Q1185" s="13">
        <v>60.61</v>
      </c>
      <c r="R1185" s="1" t="s">
        <v>51</v>
      </c>
      <c r="S1185" s="1">
        <v>2</v>
      </c>
      <c r="T1185" s="1" t="b">
        <v>0</v>
      </c>
      <c r="U1185" s="1" t="s">
        <v>39</v>
      </c>
      <c r="V1185" s="3">
        <v>7</v>
      </c>
    </row>
    <row r="1186" spans="1:22" x14ac:dyDescent="0.3">
      <c r="A1186" s="2" t="s">
        <v>2854</v>
      </c>
      <c r="B1186" s="10">
        <v>44951</v>
      </c>
      <c r="C1186" s="22">
        <v>44951</v>
      </c>
      <c r="D1186" s="1" t="s">
        <v>2855</v>
      </c>
      <c r="E1186" s="1" t="s">
        <v>384</v>
      </c>
      <c r="F1186" s="1">
        <v>42</v>
      </c>
      <c r="G1186" s="1" t="s">
        <v>24</v>
      </c>
      <c r="H1186" s="1" t="s">
        <v>82</v>
      </c>
      <c r="I1186" s="1" t="s">
        <v>83</v>
      </c>
      <c r="J1186" s="1" t="s">
        <v>127</v>
      </c>
      <c r="K1186" s="1" t="s">
        <v>128</v>
      </c>
      <c r="L1186" s="1">
        <v>6</v>
      </c>
      <c r="M1186" s="13">
        <v>59741.71</v>
      </c>
      <c r="N1186" s="15">
        <v>0.16</v>
      </c>
      <c r="O1186" s="13">
        <v>274146.03999999998</v>
      </c>
      <c r="P1186" s="13">
        <v>37793.71</v>
      </c>
      <c r="Q1186" s="13">
        <v>70.42</v>
      </c>
      <c r="R1186" s="1" t="s">
        <v>57</v>
      </c>
      <c r="S1186" s="1">
        <v>5</v>
      </c>
      <c r="T1186" s="1" t="b">
        <v>0</v>
      </c>
      <c r="U1186" s="1" t="s">
        <v>39</v>
      </c>
      <c r="V1186" s="3">
        <v>10</v>
      </c>
    </row>
    <row r="1187" spans="1:22" x14ac:dyDescent="0.3">
      <c r="A1187" s="2" t="s">
        <v>2856</v>
      </c>
      <c r="B1187" s="10">
        <v>44062</v>
      </c>
      <c r="C1187" s="22">
        <v>44062</v>
      </c>
      <c r="D1187" s="1" t="s">
        <v>2857</v>
      </c>
      <c r="E1187" s="1" t="s">
        <v>1387</v>
      </c>
      <c r="F1187" s="1">
        <v>26</v>
      </c>
      <c r="G1187" s="1" t="s">
        <v>68</v>
      </c>
      <c r="H1187" s="1" t="s">
        <v>25</v>
      </c>
      <c r="I1187" s="1" t="s">
        <v>69</v>
      </c>
      <c r="J1187" s="1" t="s">
        <v>127</v>
      </c>
      <c r="K1187" s="1" t="s">
        <v>128</v>
      </c>
      <c r="L1187" s="1">
        <v>1</v>
      </c>
      <c r="M1187" s="13">
        <v>24574.09</v>
      </c>
      <c r="N1187" s="15">
        <v>0.31</v>
      </c>
      <c r="O1187" s="13">
        <v>18570.7</v>
      </c>
      <c r="P1187" s="13">
        <v>1618.66</v>
      </c>
      <c r="Q1187" s="13">
        <v>51.33</v>
      </c>
      <c r="R1187" s="1" t="s">
        <v>57</v>
      </c>
      <c r="S1187" s="1">
        <v>2</v>
      </c>
      <c r="T1187" s="1" t="b">
        <v>1</v>
      </c>
      <c r="U1187" s="1" t="s">
        <v>30</v>
      </c>
      <c r="V1187" s="3">
        <v>9</v>
      </c>
    </row>
    <row r="1188" spans="1:22" x14ac:dyDescent="0.3">
      <c r="A1188" s="2" t="s">
        <v>2858</v>
      </c>
      <c r="B1188" s="10">
        <v>44393</v>
      </c>
      <c r="C1188" s="22">
        <v>44393</v>
      </c>
      <c r="D1188" s="1" t="s">
        <v>2859</v>
      </c>
      <c r="E1188" s="1" t="s">
        <v>298</v>
      </c>
      <c r="F1188" s="1">
        <v>31</v>
      </c>
      <c r="G1188" s="1" t="s">
        <v>391</v>
      </c>
      <c r="H1188" s="1" t="s">
        <v>74</v>
      </c>
      <c r="I1188" s="1" t="s">
        <v>192</v>
      </c>
      <c r="J1188" s="1" t="s">
        <v>62</v>
      </c>
      <c r="K1188" s="1" t="s">
        <v>570</v>
      </c>
      <c r="L1188" s="1">
        <v>6</v>
      </c>
      <c r="M1188" s="13">
        <v>1434.91</v>
      </c>
      <c r="N1188" s="15">
        <v>0.15</v>
      </c>
      <c r="O1188" s="13">
        <v>8544.42</v>
      </c>
      <c r="P1188" s="13">
        <v>2933.84</v>
      </c>
      <c r="Q1188" s="13">
        <v>31.36</v>
      </c>
      <c r="R1188" s="1" t="s">
        <v>51</v>
      </c>
      <c r="S1188" s="1">
        <v>2</v>
      </c>
      <c r="T1188" s="1" t="b">
        <v>0</v>
      </c>
      <c r="U1188" s="1" t="s">
        <v>39</v>
      </c>
      <c r="V1188" s="3">
        <v>6</v>
      </c>
    </row>
    <row r="1189" spans="1:22" x14ac:dyDescent="0.3">
      <c r="A1189" s="2" t="s">
        <v>2860</v>
      </c>
      <c r="B1189" s="10">
        <v>44871</v>
      </c>
      <c r="C1189" s="22">
        <v>44871</v>
      </c>
      <c r="D1189" s="1" t="s">
        <v>947</v>
      </c>
      <c r="E1189" s="1" t="s">
        <v>1756</v>
      </c>
      <c r="F1189" s="1">
        <v>31</v>
      </c>
      <c r="G1189" s="1" t="s">
        <v>24</v>
      </c>
      <c r="H1189" s="1" t="s">
        <v>111</v>
      </c>
      <c r="I1189" s="1" t="s">
        <v>121</v>
      </c>
      <c r="J1189" s="1" t="s">
        <v>127</v>
      </c>
      <c r="K1189" s="1" t="s">
        <v>517</v>
      </c>
      <c r="L1189" s="1">
        <v>2</v>
      </c>
      <c r="M1189" s="13">
        <v>71479.88</v>
      </c>
      <c r="N1189" s="15">
        <v>0.14000000000000001</v>
      </c>
      <c r="O1189" s="13">
        <v>89772.04</v>
      </c>
      <c r="P1189" s="13">
        <v>10563.18</v>
      </c>
      <c r="Q1189" s="13">
        <v>80.959999999999994</v>
      </c>
      <c r="R1189" s="1" t="s">
        <v>70</v>
      </c>
      <c r="S1189" s="1">
        <v>4</v>
      </c>
      <c r="T1189" s="1" t="b">
        <v>1</v>
      </c>
      <c r="U1189" s="1" t="s">
        <v>30</v>
      </c>
      <c r="V1189" s="3">
        <v>3</v>
      </c>
    </row>
    <row r="1190" spans="1:22" x14ac:dyDescent="0.3">
      <c r="A1190" s="2" t="s">
        <v>2861</v>
      </c>
      <c r="B1190" s="10">
        <v>44012</v>
      </c>
      <c r="C1190" s="22">
        <v>44012</v>
      </c>
      <c r="D1190" s="1" t="s">
        <v>2862</v>
      </c>
      <c r="E1190" s="1" t="s">
        <v>415</v>
      </c>
      <c r="F1190" s="1">
        <v>31</v>
      </c>
      <c r="G1190" s="1" t="s">
        <v>24</v>
      </c>
      <c r="H1190" s="1" t="s">
        <v>111</v>
      </c>
      <c r="I1190" s="1" t="s">
        <v>141</v>
      </c>
      <c r="J1190" s="1" t="s">
        <v>127</v>
      </c>
      <c r="K1190" s="1" t="s">
        <v>196</v>
      </c>
      <c r="L1190" s="1">
        <v>10</v>
      </c>
      <c r="M1190" s="13">
        <v>55392.79</v>
      </c>
      <c r="N1190" s="15">
        <v>0.3</v>
      </c>
      <c r="O1190" s="13">
        <v>509672.92</v>
      </c>
      <c r="P1190" s="13">
        <v>47237.56</v>
      </c>
      <c r="Q1190" s="13">
        <v>43.11</v>
      </c>
      <c r="R1190" s="1" t="s">
        <v>57</v>
      </c>
      <c r="S1190" s="1">
        <v>4</v>
      </c>
      <c r="T1190" s="1" t="b">
        <v>0</v>
      </c>
      <c r="U1190" s="1" t="s">
        <v>39</v>
      </c>
      <c r="V1190" s="3">
        <v>7</v>
      </c>
    </row>
    <row r="1191" spans="1:22" x14ac:dyDescent="0.3">
      <c r="A1191" s="2" t="s">
        <v>2863</v>
      </c>
      <c r="B1191" s="10">
        <v>44823</v>
      </c>
      <c r="C1191" s="22">
        <v>44823</v>
      </c>
      <c r="D1191" s="1" t="s">
        <v>2864</v>
      </c>
      <c r="E1191" s="1" t="s">
        <v>195</v>
      </c>
      <c r="F1191" s="1">
        <v>25</v>
      </c>
      <c r="G1191" s="1" t="s">
        <v>68</v>
      </c>
      <c r="H1191" s="1" t="s">
        <v>25</v>
      </c>
      <c r="I1191" s="1" t="s">
        <v>55</v>
      </c>
      <c r="J1191" s="1" t="s">
        <v>37</v>
      </c>
      <c r="K1191" s="1" t="s">
        <v>454</v>
      </c>
      <c r="L1191" s="1">
        <v>6</v>
      </c>
      <c r="M1191" s="13">
        <v>226.83</v>
      </c>
      <c r="N1191" s="15">
        <v>0.24</v>
      </c>
      <c r="O1191" s="13">
        <v>1203.6300000000001</v>
      </c>
      <c r="P1191" s="13">
        <v>638.69000000000005</v>
      </c>
      <c r="Q1191" s="13">
        <v>48.65</v>
      </c>
      <c r="R1191" s="1" t="s">
        <v>29</v>
      </c>
      <c r="S1191" s="1">
        <v>3</v>
      </c>
      <c r="T1191" s="1" t="b">
        <v>0</v>
      </c>
      <c r="U1191" s="1" t="s">
        <v>39</v>
      </c>
      <c r="V1191" s="3">
        <v>1</v>
      </c>
    </row>
    <row r="1192" spans="1:22" x14ac:dyDescent="0.3">
      <c r="A1192" s="2" t="s">
        <v>2865</v>
      </c>
      <c r="B1192" s="10">
        <v>44026</v>
      </c>
      <c r="C1192" s="22">
        <v>44026</v>
      </c>
      <c r="D1192" s="1" t="s">
        <v>2866</v>
      </c>
      <c r="E1192" s="1" t="s">
        <v>363</v>
      </c>
      <c r="F1192" s="1">
        <v>44</v>
      </c>
      <c r="G1192" s="1" t="s">
        <v>24</v>
      </c>
      <c r="H1192" s="1" t="s">
        <v>74</v>
      </c>
      <c r="I1192" s="1" t="s">
        <v>101</v>
      </c>
      <c r="J1192" s="1" t="s">
        <v>146</v>
      </c>
      <c r="K1192" s="1" t="s">
        <v>217</v>
      </c>
      <c r="L1192" s="1">
        <v>5</v>
      </c>
      <c r="M1192" s="13">
        <v>14604.49</v>
      </c>
      <c r="N1192" s="15">
        <v>0.14000000000000001</v>
      </c>
      <c r="O1192" s="13">
        <v>84861.96</v>
      </c>
      <c r="P1192" s="13">
        <v>20545.89</v>
      </c>
      <c r="Q1192" s="13">
        <v>79.680000000000007</v>
      </c>
      <c r="R1192" s="1" t="s">
        <v>78</v>
      </c>
      <c r="S1192" s="1">
        <v>5</v>
      </c>
      <c r="T1192" s="1" t="b">
        <v>0</v>
      </c>
      <c r="U1192" s="1" t="s">
        <v>39</v>
      </c>
      <c r="V1192" s="3">
        <v>4</v>
      </c>
    </row>
    <row r="1193" spans="1:22" x14ac:dyDescent="0.3">
      <c r="A1193" s="2" t="s">
        <v>2867</v>
      </c>
      <c r="B1193" s="10">
        <v>44527</v>
      </c>
      <c r="C1193" s="22">
        <v>44527</v>
      </c>
      <c r="D1193" s="1" t="s">
        <v>2868</v>
      </c>
      <c r="E1193" s="1" t="s">
        <v>2655</v>
      </c>
      <c r="F1193" s="1">
        <v>10</v>
      </c>
      <c r="G1193" s="1" t="s">
        <v>68</v>
      </c>
      <c r="H1193" s="1" t="s">
        <v>74</v>
      </c>
      <c r="I1193" s="1" t="s">
        <v>75</v>
      </c>
      <c r="J1193" s="1" t="s">
        <v>37</v>
      </c>
      <c r="K1193" s="1" t="s">
        <v>38</v>
      </c>
      <c r="L1193" s="1">
        <v>2</v>
      </c>
      <c r="M1193" s="13">
        <v>524.5</v>
      </c>
      <c r="N1193" s="15">
        <v>0.13</v>
      </c>
      <c r="O1193" s="13">
        <v>764.26</v>
      </c>
      <c r="P1193" s="13">
        <v>357.6</v>
      </c>
      <c r="Q1193" s="13">
        <v>38.549999999999997</v>
      </c>
      <c r="R1193" s="1" t="s">
        <v>29</v>
      </c>
      <c r="S1193" s="1">
        <v>5</v>
      </c>
      <c r="T1193" s="1" t="b">
        <v>0</v>
      </c>
      <c r="U1193" s="1" t="s">
        <v>39</v>
      </c>
      <c r="V1193" s="3">
        <v>8</v>
      </c>
    </row>
    <row r="1194" spans="1:22" x14ac:dyDescent="0.3">
      <c r="A1194" s="2" t="s">
        <v>2869</v>
      </c>
      <c r="B1194" s="10">
        <v>43985</v>
      </c>
      <c r="C1194" s="22">
        <v>43985</v>
      </c>
      <c r="D1194" s="1" t="s">
        <v>2870</v>
      </c>
      <c r="E1194" s="1" t="s">
        <v>1756</v>
      </c>
      <c r="F1194" s="1">
        <v>20</v>
      </c>
      <c r="G1194" s="1" t="s">
        <v>24</v>
      </c>
      <c r="H1194" s="1" t="s">
        <v>111</v>
      </c>
      <c r="I1194" s="1" t="s">
        <v>141</v>
      </c>
      <c r="J1194" s="1" t="s">
        <v>146</v>
      </c>
      <c r="K1194" s="1" t="s">
        <v>147</v>
      </c>
      <c r="L1194" s="1">
        <v>4</v>
      </c>
      <c r="M1194" s="13">
        <v>3114.57</v>
      </c>
      <c r="N1194" s="15">
        <v>0.04</v>
      </c>
      <c r="O1194" s="13">
        <v>14254.8</v>
      </c>
      <c r="P1194" s="13">
        <v>2493.63</v>
      </c>
      <c r="Q1194" s="13">
        <v>77.95</v>
      </c>
      <c r="R1194" s="1" t="s">
        <v>64</v>
      </c>
      <c r="S1194" s="1">
        <v>5</v>
      </c>
      <c r="T1194" s="1" t="b">
        <v>0</v>
      </c>
      <c r="U1194" s="1" t="s">
        <v>39</v>
      </c>
      <c r="V1194" s="3">
        <v>5</v>
      </c>
    </row>
    <row r="1195" spans="1:22" x14ac:dyDescent="0.3">
      <c r="A1195" s="2" t="s">
        <v>2871</v>
      </c>
      <c r="B1195" s="10">
        <v>44374</v>
      </c>
      <c r="C1195" s="22">
        <v>44374</v>
      </c>
      <c r="D1195" s="1" t="s">
        <v>2872</v>
      </c>
      <c r="E1195" s="1" t="s">
        <v>2752</v>
      </c>
      <c r="F1195" s="1">
        <v>34</v>
      </c>
      <c r="G1195" s="1" t="s">
        <v>34</v>
      </c>
      <c r="H1195" s="1" t="s">
        <v>25</v>
      </c>
      <c r="I1195" s="1" t="s">
        <v>55</v>
      </c>
      <c r="J1195" s="1" t="s">
        <v>76</v>
      </c>
      <c r="K1195" s="1" t="s">
        <v>122</v>
      </c>
      <c r="L1195" s="1">
        <v>6</v>
      </c>
      <c r="M1195" s="13">
        <v>1824.73</v>
      </c>
      <c r="N1195" s="15">
        <v>7.0000000000000007E-2</v>
      </c>
      <c r="O1195" s="13">
        <v>13172.15</v>
      </c>
      <c r="P1195" s="13">
        <v>4404.16</v>
      </c>
      <c r="Q1195" s="13">
        <v>111.66</v>
      </c>
      <c r="R1195" s="1" t="s">
        <v>51</v>
      </c>
      <c r="S1195" s="1">
        <v>1</v>
      </c>
      <c r="T1195" s="1" t="b">
        <v>1</v>
      </c>
      <c r="U1195" s="1" t="s">
        <v>30</v>
      </c>
      <c r="V1195" s="3">
        <v>1</v>
      </c>
    </row>
    <row r="1196" spans="1:22" x14ac:dyDescent="0.3">
      <c r="A1196" s="2" t="s">
        <v>2873</v>
      </c>
      <c r="B1196" s="10">
        <v>45025</v>
      </c>
      <c r="C1196" s="22">
        <v>45025</v>
      </c>
      <c r="D1196" s="1" t="s">
        <v>2874</v>
      </c>
      <c r="E1196" s="1" t="s">
        <v>2875</v>
      </c>
      <c r="F1196" s="1">
        <v>38</v>
      </c>
      <c r="G1196" s="1" t="s">
        <v>24</v>
      </c>
      <c r="H1196" s="1" t="s">
        <v>74</v>
      </c>
      <c r="I1196" s="1" t="s">
        <v>101</v>
      </c>
      <c r="J1196" s="1" t="s">
        <v>62</v>
      </c>
      <c r="K1196" s="1" t="s">
        <v>151</v>
      </c>
      <c r="L1196" s="1">
        <v>10</v>
      </c>
      <c r="M1196" s="13">
        <v>1140.33</v>
      </c>
      <c r="N1196" s="15">
        <v>0.27</v>
      </c>
      <c r="O1196" s="13">
        <v>11676.23</v>
      </c>
      <c r="P1196" s="13">
        <v>3683.76</v>
      </c>
      <c r="Q1196" s="13">
        <v>52.27</v>
      </c>
      <c r="R1196" s="1" t="s">
        <v>51</v>
      </c>
      <c r="S1196" s="1">
        <v>3</v>
      </c>
      <c r="T1196" s="1" t="b">
        <v>0</v>
      </c>
      <c r="U1196" s="1" t="s">
        <v>39</v>
      </c>
      <c r="V1196" s="3">
        <v>2</v>
      </c>
    </row>
    <row r="1197" spans="1:22" x14ac:dyDescent="0.3">
      <c r="A1197" s="2" t="s">
        <v>2876</v>
      </c>
      <c r="B1197" s="10">
        <v>43968</v>
      </c>
      <c r="C1197" s="22">
        <v>43968</v>
      </c>
      <c r="D1197" s="1" t="s">
        <v>2877</v>
      </c>
      <c r="E1197" s="1" t="s">
        <v>286</v>
      </c>
      <c r="F1197" s="1">
        <v>30</v>
      </c>
      <c r="G1197" s="1" t="s">
        <v>34</v>
      </c>
      <c r="H1197" s="1" t="s">
        <v>82</v>
      </c>
      <c r="I1197" s="1" t="s">
        <v>126</v>
      </c>
      <c r="J1197" s="1" t="s">
        <v>62</v>
      </c>
      <c r="K1197" s="1" t="s">
        <v>63</v>
      </c>
      <c r="L1197" s="1">
        <v>10</v>
      </c>
      <c r="M1197" s="13">
        <v>635.99</v>
      </c>
      <c r="N1197" s="15">
        <v>0.16</v>
      </c>
      <c r="O1197" s="13">
        <v>7279.36</v>
      </c>
      <c r="P1197" s="13">
        <v>3155.48</v>
      </c>
      <c r="Q1197" s="13">
        <v>88.69</v>
      </c>
      <c r="R1197" s="1" t="s">
        <v>51</v>
      </c>
      <c r="S1197" s="1">
        <v>2</v>
      </c>
      <c r="T1197" s="1" t="b">
        <v>0</v>
      </c>
      <c r="U1197" s="1" t="s">
        <v>39</v>
      </c>
      <c r="V1197" s="3">
        <v>1</v>
      </c>
    </row>
    <row r="1198" spans="1:22" x14ac:dyDescent="0.3">
      <c r="A1198" s="2" t="s">
        <v>2878</v>
      </c>
      <c r="B1198" s="10">
        <v>44718</v>
      </c>
      <c r="C1198" s="22">
        <v>44718</v>
      </c>
      <c r="D1198" s="1" t="s">
        <v>2879</v>
      </c>
      <c r="E1198" s="1" t="s">
        <v>953</v>
      </c>
      <c r="F1198" s="1">
        <v>50</v>
      </c>
      <c r="G1198" s="1" t="s">
        <v>68</v>
      </c>
      <c r="H1198" s="1" t="s">
        <v>74</v>
      </c>
      <c r="I1198" s="1" t="s">
        <v>136</v>
      </c>
      <c r="J1198" s="1" t="s">
        <v>44</v>
      </c>
      <c r="K1198" s="1" t="s">
        <v>45</v>
      </c>
      <c r="L1198" s="1">
        <v>9</v>
      </c>
      <c r="M1198" s="13">
        <v>18354.53</v>
      </c>
      <c r="N1198" s="15">
        <v>0.4</v>
      </c>
      <c r="O1198" s="13">
        <v>119623.01</v>
      </c>
      <c r="P1198" s="13">
        <v>46776.23</v>
      </c>
      <c r="Q1198" s="13">
        <v>60.02</v>
      </c>
      <c r="R1198" s="1" t="s">
        <v>70</v>
      </c>
      <c r="S1198" s="1">
        <v>3</v>
      </c>
      <c r="T1198" s="1" t="b">
        <v>0</v>
      </c>
      <c r="U1198" s="1" t="s">
        <v>197</v>
      </c>
      <c r="V1198" s="3">
        <v>10</v>
      </c>
    </row>
    <row r="1199" spans="1:22" x14ac:dyDescent="0.3">
      <c r="A1199" s="2" t="s">
        <v>2880</v>
      </c>
      <c r="B1199" s="10">
        <v>44200</v>
      </c>
      <c r="C1199" s="22">
        <v>44200</v>
      </c>
      <c r="D1199" s="1" t="s">
        <v>2881</v>
      </c>
      <c r="E1199" s="1" t="s">
        <v>1996</v>
      </c>
      <c r="F1199" s="1">
        <v>25</v>
      </c>
      <c r="G1199" s="1" t="s">
        <v>34</v>
      </c>
      <c r="H1199" s="1" t="s">
        <v>25</v>
      </c>
      <c r="I1199" s="1" t="s">
        <v>55</v>
      </c>
      <c r="J1199" s="1" t="s">
        <v>37</v>
      </c>
      <c r="K1199" s="1" t="s">
        <v>102</v>
      </c>
      <c r="L1199" s="1">
        <v>5</v>
      </c>
      <c r="M1199" s="13">
        <v>2326.77</v>
      </c>
      <c r="N1199" s="15">
        <v>0.38</v>
      </c>
      <c r="O1199" s="13">
        <v>5580.64</v>
      </c>
      <c r="P1199" s="13">
        <v>2891.02</v>
      </c>
      <c r="Q1199" s="13">
        <v>74.06</v>
      </c>
      <c r="R1199" s="1" t="s">
        <v>51</v>
      </c>
      <c r="S1199" s="1">
        <v>4</v>
      </c>
      <c r="T1199" s="1" t="b">
        <v>0</v>
      </c>
      <c r="U1199" s="1" t="s">
        <v>137</v>
      </c>
      <c r="V1199" s="3">
        <v>3</v>
      </c>
    </row>
    <row r="1200" spans="1:22" x14ac:dyDescent="0.3">
      <c r="A1200" s="2" t="s">
        <v>2882</v>
      </c>
      <c r="B1200" s="10">
        <v>44991</v>
      </c>
      <c r="C1200" s="22">
        <v>44991</v>
      </c>
      <c r="D1200" s="1" t="s">
        <v>2883</v>
      </c>
      <c r="E1200" s="1" t="s">
        <v>220</v>
      </c>
      <c r="F1200" s="1">
        <v>48</v>
      </c>
      <c r="G1200" s="1" t="s">
        <v>34</v>
      </c>
      <c r="H1200" s="1" t="s">
        <v>82</v>
      </c>
      <c r="I1200" s="1" t="s">
        <v>83</v>
      </c>
      <c r="J1200" s="1" t="s">
        <v>27</v>
      </c>
      <c r="K1200" s="1" t="s">
        <v>56</v>
      </c>
      <c r="L1200" s="1">
        <v>8</v>
      </c>
      <c r="M1200" s="13">
        <v>412.18</v>
      </c>
      <c r="N1200" s="15">
        <v>0.37</v>
      </c>
      <c r="O1200" s="13">
        <v>2510.56</v>
      </c>
      <c r="P1200" s="13">
        <v>237.24</v>
      </c>
      <c r="Q1200" s="13">
        <v>74.88</v>
      </c>
      <c r="R1200" s="1" t="s">
        <v>29</v>
      </c>
      <c r="S1200" s="1">
        <v>2</v>
      </c>
      <c r="T1200" s="1" t="b">
        <v>0</v>
      </c>
      <c r="U1200" s="1" t="s">
        <v>84</v>
      </c>
      <c r="V1200" s="3">
        <v>3</v>
      </c>
    </row>
    <row r="1201" spans="1:22" x14ac:dyDescent="0.3">
      <c r="A1201" s="2" t="s">
        <v>2884</v>
      </c>
      <c r="B1201" s="10">
        <v>43843</v>
      </c>
      <c r="C1201" s="22">
        <v>43843</v>
      </c>
      <c r="D1201" s="1" t="s">
        <v>2885</v>
      </c>
      <c r="E1201" s="1" t="s">
        <v>1036</v>
      </c>
      <c r="F1201" s="1">
        <v>33</v>
      </c>
      <c r="G1201" s="1" t="s">
        <v>68</v>
      </c>
      <c r="H1201" s="1" t="s">
        <v>35</v>
      </c>
      <c r="I1201" s="1" t="s">
        <v>49</v>
      </c>
      <c r="J1201" s="1" t="s">
        <v>146</v>
      </c>
      <c r="K1201" s="1" t="s">
        <v>217</v>
      </c>
      <c r="L1201" s="1">
        <v>3</v>
      </c>
      <c r="M1201" s="13">
        <v>14820.82</v>
      </c>
      <c r="N1201" s="15">
        <v>0.39</v>
      </c>
      <c r="O1201" s="13">
        <v>21635.72</v>
      </c>
      <c r="P1201" s="13">
        <v>4987.3</v>
      </c>
      <c r="Q1201" s="13">
        <v>45</v>
      </c>
      <c r="R1201" s="1" t="s">
        <v>29</v>
      </c>
      <c r="S1201" s="1">
        <v>3</v>
      </c>
      <c r="T1201" s="1" t="b">
        <v>0</v>
      </c>
      <c r="U1201" s="1" t="s">
        <v>39</v>
      </c>
      <c r="V1201" s="3">
        <v>5</v>
      </c>
    </row>
    <row r="1202" spans="1:22" x14ac:dyDescent="0.3">
      <c r="A1202" s="2" t="s">
        <v>2886</v>
      </c>
      <c r="B1202" s="10">
        <v>44376</v>
      </c>
      <c r="C1202" s="22">
        <v>44376</v>
      </c>
      <c r="D1202" s="1" t="s">
        <v>2887</v>
      </c>
      <c r="E1202" s="1" t="s">
        <v>1538</v>
      </c>
      <c r="F1202" s="1">
        <v>21</v>
      </c>
      <c r="G1202" s="1" t="s">
        <v>68</v>
      </c>
      <c r="H1202" s="1" t="s">
        <v>111</v>
      </c>
      <c r="I1202" s="1" t="s">
        <v>141</v>
      </c>
      <c r="J1202" s="1" t="s">
        <v>76</v>
      </c>
      <c r="K1202" s="1" t="s">
        <v>89</v>
      </c>
      <c r="L1202" s="1">
        <v>7</v>
      </c>
      <c r="M1202" s="13">
        <v>1092.77</v>
      </c>
      <c r="N1202" s="15">
        <v>0.25</v>
      </c>
      <c r="O1202" s="13">
        <v>8012.86</v>
      </c>
      <c r="P1202" s="13">
        <v>2746.44</v>
      </c>
      <c r="Q1202" s="13">
        <v>79.09</v>
      </c>
      <c r="R1202" s="1" t="s">
        <v>70</v>
      </c>
      <c r="S1202" s="1">
        <v>2</v>
      </c>
      <c r="T1202" s="1" t="b">
        <v>0</v>
      </c>
      <c r="U1202" s="1" t="s">
        <v>39</v>
      </c>
      <c r="V1202" s="3">
        <v>10</v>
      </c>
    </row>
    <row r="1203" spans="1:22" x14ac:dyDescent="0.3">
      <c r="A1203" s="2" t="s">
        <v>2888</v>
      </c>
      <c r="B1203" s="10">
        <v>45208</v>
      </c>
      <c r="C1203" s="22">
        <v>45208</v>
      </c>
      <c r="D1203" s="1" t="s">
        <v>2889</v>
      </c>
      <c r="E1203" s="1" t="s">
        <v>641</v>
      </c>
      <c r="F1203" s="1">
        <v>46</v>
      </c>
      <c r="G1203" s="1" t="s">
        <v>24</v>
      </c>
      <c r="H1203" s="1" t="s">
        <v>74</v>
      </c>
      <c r="I1203" s="1" t="s">
        <v>136</v>
      </c>
      <c r="J1203" s="1" t="s">
        <v>62</v>
      </c>
      <c r="K1203" s="1" t="s">
        <v>266</v>
      </c>
      <c r="L1203" s="1">
        <v>4</v>
      </c>
      <c r="M1203" s="13">
        <v>1295.21</v>
      </c>
      <c r="N1203" s="15">
        <v>0.1</v>
      </c>
      <c r="O1203" s="13">
        <v>5174.5200000000004</v>
      </c>
      <c r="P1203" s="13">
        <v>2321.8000000000002</v>
      </c>
      <c r="Q1203" s="13">
        <v>23.54</v>
      </c>
      <c r="R1203" s="1" t="s">
        <v>70</v>
      </c>
      <c r="S1203" s="1">
        <v>4</v>
      </c>
      <c r="T1203" s="1" t="b">
        <v>0</v>
      </c>
      <c r="U1203" s="1" t="s">
        <v>39</v>
      </c>
      <c r="V1203" s="3">
        <v>6</v>
      </c>
    </row>
    <row r="1204" spans="1:22" x14ac:dyDescent="0.3">
      <c r="A1204" s="2" t="s">
        <v>2890</v>
      </c>
      <c r="B1204" s="10">
        <v>45265</v>
      </c>
      <c r="C1204" s="22">
        <v>45265</v>
      </c>
      <c r="D1204" s="1" t="s">
        <v>2891</v>
      </c>
      <c r="E1204" s="1" t="s">
        <v>1142</v>
      </c>
      <c r="F1204" s="1">
        <v>27</v>
      </c>
      <c r="G1204" s="1" t="s">
        <v>24</v>
      </c>
      <c r="H1204" s="1" t="s">
        <v>111</v>
      </c>
      <c r="I1204" s="1" t="s">
        <v>141</v>
      </c>
      <c r="J1204" s="1" t="s">
        <v>37</v>
      </c>
      <c r="K1204" s="1" t="s">
        <v>182</v>
      </c>
      <c r="L1204" s="1">
        <v>3</v>
      </c>
      <c r="M1204" s="13">
        <v>752.34</v>
      </c>
      <c r="N1204" s="15">
        <v>0.25</v>
      </c>
      <c r="O1204" s="13">
        <v>1312.85</v>
      </c>
      <c r="P1204" s="13">
        <v>600.66</v>
      </c>
      <c r="Q1204" s="13">
        <v>65.3</v>
      </c>
      <c r="R1204" s="1" t="s">
        <v>57</v>
      </c>
      <c r="S1204" s="1">
        <v>5</v>
      </c>
      <c r="T1204" s="1" t="b">
        <v>0</v>
      </c>
      <c r="U1204" s="1" t="s">
        <v>39</v>
      </c>
      <c r="V1204" s="3">
        <v>1</v>
      </c>
    </row>
    <row r="1205" spans="1:22" x14ac:dyDescent="0.3">
      <c r="A1205" s="2" t="s">
        <v>2892</v>
      </c>
      <c r="B1205" s="10">
        <v>44942</v>
      </c>
      <c r="C1205" s="22">
        <v>44942</v>
      </c>
      <c r="D1205" s="1" t="s">
        <v>2893</v>
      </c>
      <c r="E1205" s="1" t="s">
        <v>540</v>
      </c>
      <c r="F1205" s="1">
        <v>11</v>
      </c>
      <c r="G1205" s="1" t="s">
        <v>68</v>
      </c>
      <c r="H1205" s="1" t="s">
        <v>111</v>
      </c>
      <c r="I1205" s="1" t="s">
        <v>141</v>
      </c>
      <c r="J1205" s="1" t="s">
        <v>146</v>
      </c>
      <c r="K1205" s="1" t="s">
        <v>161</v>
      </c>
      <c r="L1205" s="1">
        <v>5</v>
      </c>
      <c r="M1205" s="13">
        <v>4093.28</v>
      </c>
      <c r="N1205" s="15">
        <v>0.23</v>
      </c>
      <c r="O1205" s="13">
        <v>14415.44</v>
      </c>
      <c r="P1205" s="13">
        <v>2444.13</v>
      </c>
      <c r="Q1205" s="13">
        <v>77.13</v>
      </c>
      <c r="R1205" s="1" t="s">
        <v>29</v>
      </c>
      <c r="S1205" s="1">
        <v>2</v>
      </c>
      <c r="T1205" s="1" t="b">
        <v>0</v>
      </c>
      <c r="U1205" s="1" t="s">
        <v>84</v>
      </c>
      <c r="V1205" s="3">
        <v>7</v>
      </c>
    </row>
    <row r="1206" spans="1:22" x14ac:dyDescent="0.3">
      <c r="A1206" s="2" t="s">
        <v>2894</v>
      </c>
      <c r="B1206" s="10">
        <v>45442</v>
      </c>
      <c r="C1206" s="22">
        <v>45442</v>
      </c>
      <c r="D1206" s="1" t="s">
        <v>2895</v>
      </c>
      <c r="E1206" s="1" t="s">
        <v>1324</v>
      </c>
      <c r="F1206" s="1">
        <v>29</v>
      </c>
      <c r="G1206" s="1" t="s">
        <v>24</v>
      </c>
      <c r="H1206" s="1" t="s">
        <v>74</v>
      </c>
      <c r="I1206" s="1" t="s">
        <v>192</v>
      </c>
      <c r="J1206" s="1" t="s">
        <v>76</v>
      </c>
      <c r="K1206" s="1" t="s">
        <v>122</v>
      </c>
      <c r="L1206" s="1">
        <v>8</v>
      </c>
      <c r="M1206" s="13">
        <v>2994.98</v>
      </c>
      <c r="N1206" s="15">
        <v>0.2</v>
      </c>
      <c r="O1206" s="13">
        <v>31403.77</v>
      </c>
      <c r="P1206" s="13">
        <v>11180.42</v>
      </c>
      <c r="Q1206" s="13">
        <v>45.43</v>
      </c>
      <c r="R1206" s="1" t="s">
        <v>57</v>
      </c>
      <c r="S1206" s="1">
        <v>5</v>
      </c>
      <c r="T1206" s="1" t="b">
        <v>0</v>
      </c>
      <c r="U1206" s="1" t="s">
        <v>39</v>
      </c>
      <c r="V1206" s="3">
        <v>5</v>
      </c>
    </row>
    <row r="1207" spans="1:22" x14ac:dyDescent="0.3">
      <c r="A1207" s="2" t="s">
        <v>2896</v>
      </c>
      <c r="B1207" s="10">
        <v>45517</v>
      </c>
      <c r="C1207" s="22">
        <v>45517</v>
      </c>
      <c r="D1207" s="1" t="s">
        <v>2897</v>
      </c>
      <c r="E1207" s="1" t="s">
        <v>988</v>
      </c>
      <c r="F1207" s="1">
        <v>58</v>
      </c>
      <c r="G1207" s="1" t="s">
        <v>68</v>
      </c>
      <c r="H1207" s="1" t="s">
        <v>35</v>
      </c>
      <c r="I1207" s="1" t="s">
        <v>49</v>
      </c>
      <c r="J1207" s="1" t="s">
        <v>76</v>
      </c>
      <c r="K1207" s="1" t="s">
        <v>207</v>
      </c>
      <c r="L1207" s="1">
        <v>3</v>
      </c>
      <c r="M1207" s="13">
        <v>3209.05</v>
      </c>
      <c r="N1207" s="15">
        <v>0.24</v>
      </c>
      <c r="O1207" s="13">
        <v>10071.36</v>
      </c>
      <c r="P1207" s="13">
        <v>4002.87</v>
      </c>
      <c r="Q1207" s="13">
        <v>53.21</v>
      </c>
      <c r="R1207" s="1" t="s">
        <v>70</v>
      </c>
      <c r="S1207" s="1">
        <v>3</v>
      </c>
      <c r="T1207" s="1" t="b">
        <v>1</v>
      </c>
      <c r="U1207" s="1" t="s">
        <v>30</v>
      </c>
      <c r="V1207" s="3">
        <v>7</v>
      </c>
    </row>
    <row r="1208" spans="1:22" x14ac:dyDescent="0.3">
      <c r="A1208" s="2" t="s">
        <v>2898</v>
      </c>
      <c r="B1208" s="10">
        <v>43840</v>
      </c>
      <c r="C1208" s="22">
        <v>43840</v>
      </c>
      <c r="D1208" s="1" t="s">
        <v>2899</v>
      </c>
      <c r="E1208" s="1" t="s">
        <v>2900</v>
      </c>
      <c r="F1208" s="1">
        <v>31</v>
      </c>
      <c r="G1208" s="1" t="s">
        <v>68</v>
      </c>
      <c r="H1208" s="1" t="s">
        <v>111</v>
      </c>
      <c r="I1208" s="1" t="s">
        <v>112</v>
      </c>
      <c r="J1208" s="1" t="s">
        <v>27</v>
      </c>
      <c r="K1208" s="1" t="s">
        <v>450</v>
      </c>
      <c r="L1208" s="1">
        <v>7</v>
      </c>
      <c r="M1208" s="13">
        <v>423.99</v>
      </c>
      <c r="N1208" s="15">
        <v>0.21</v>
      </c>
      <c r="O1208" s="13">
        <v>1984.26</v>
      </c>
      <c r="P1208" s="13">
        <v>189.37</v>
      </c>
      <c r="Q1208" s="13">
        <v>45.05</v>
      </c>
      <c r="R1208" s="1" t="s">
        <v>64</v>
      </c>
      <c r="S1208" s="1">
        <v>1</v>
      </c>
      <c r="T1208" s="1" t="b">
        <v>0</v>
      </c>
      <c r="U1208" s="1" t="s">
        <v>39</v>
      </c>
      <c r="V1208" s="3">
        <v>8</v>
      </c>
    </row>
    <row r="1209" spans="1:22" x14ac:dyDescent="0.3">
      <c r="A1209" s="2" t="s">
        <v>2901</v>
      </c>
      <c r="B1209" s="10">
        <v>45633</v>
      </c>
      <c r="C1209" s="22">
        <v>45633</v>
      </c>
      <c r="D1209" s="1" t="s">
        <v>2902</v>
      </c>
      <c r="E1209" s="1" t="s">
        <v>905</v>
      </c>
      <c r="F1209" s="1">
        <v>26</v>
      </c>
      <c r="G1209" s="1" t="s">
        <v>68</v>
      </c>
      <c r="H1209" s="1" t="s">
        <v>74</v>
      </c>
      <c r="I1209" s="1" t="s">
        <v>101</v>
      </c>
      <c r="J1209" s="1" t="s">
        <v>127</v>
      </c>
      <c r="K1209" s="1" t="s">
        <v>142</v>
      </c>
      <c r="L1209" s="1">
        <v>2</v>
      </c>
      <c r="M1209" s="13">
        <v>51176.53</v>
      </c>
      <c r="N1209" s="15">
        <v>0.12</v>
      </c>
      <c r="O1209" s="13">
        <v>72400.09</v>
      </c>
      <c r="P1209" s="13">
        <v>8619.1299999999992</v>
      </c>
      <c r="Q1209" s="13">
        <v>59.77</v>
      </c>
      <c r="R1209" s="1" t="s">
        <v>64</v>
      </c>
      <c r="S1209" s="1">
        <v>2</v>
      </c>
      <c r="T1209" s="1" t="b">
        <v>0</v>
      </c>
      <c r="U1209" s="1" t="s">
        <v>39</v>
      </c>
      <c r="V1209" s="3">
        <v>3</v>
      </c>
    </row>
    <row r="1210" spans="1:22" x14ac:dyDescent="0.3">
      <c r="A1210" s="2" t="s">
        <v>2903</v>
      </c>
      <c r="B1210" s="10">
        <v>44804</v>
      </c>
      <c r="C1210" s="22">
        <v>44804</v>
      </c>
      <c r="D1210" s="1" t="s">
        <v>2904</v>
      </c>
      <c r="E1210" s="1" t="s">
        <v>540</v>
      </c>
      <c r="F1210" s="1">
        <v>28</v>
      </c>
      <c r="G1210" s="1" t="s">
        <v>68</v>
      </c>
      <c r="H1210" s="1" t="s">
        <v>82</v>
      </c>
      <c r="I1210" s="1" t="s">
        <v>244</v>
      </c>
      <c r="J1210" s="1" t="s">
        <v>37</v>
      </c>
      <c r="K1210" s="1" t="s">
        <v>102</v>
      </c>
      <c r="L1210" s="1">
        <v>8</v>
      </c>
      <c r="M1210" s="13">
        <v>1190.3800000000001</v>
      </c>
      <c r="N1210" s="15">
        <v>0.28999999999999998</v>
      </c>
      <c r="O1210" s="13">
        <v>9135.75</v>
      </c>
      <c r="P1210" s="13">
        <v>5877.03</v>
      </c>
      <c r="Q1210" s="13">
        <v>93.18</v>
      </c>
      <c r="R1210" s="1" t="s">
        <v>78</v>
      </c>
      <c r="S1210" s="1">
        <v>1</v>
      </c>
      <c r="T1210" s="1" t="b">
        <v>1</v>
      </c>
      <c r="U1210" s="1" t="s">
        <v>30</v>
      </c>
      <c r="V1210" s="3">
        <v>1</v>
      </c>
    </row>
    <row r="1211" spans="1:22" x14ac:dyDescent="0.3">
      <c r="A1211" s="2" t="s">
        <v>2905</v>
      </c>
      <c r="B1211" s="10">
        <v>45316</v>
      </c>
      <c r="C1211" s="22">
        <v>45316</v>
      </c>
      <c r="D1211" s="1" t="s">
        <v>2906</v>
      </c>
      <c r="E1211" s="1" t="s">
        <v>449</v>
      </c>
      <c r="F1211" s="1">
        <v>34</v>
      </c>
      <c r="G1211" s="1" t="s">
        <v>34</v>
      </c>
      <c r="H1211" s="1" t="s">
        <v>25</v>
      </c>
      <c r="I1211" s="1" t="s">
        <v>26</v>
      </c>
      <c r="J1211" s="1" t="s">
        <v>27</v>
      </c>
      <c r="K1211" s="1" t="s">
        <v>97</v>
      </c>
      <c r="L1211" s="1">
        <v>5</v>
      </c>
      <c r="M1211" s="13">
        <v>470.22</v>
      </c>
      <c r="N1211" s="15">
        <v>7.0000000000000007E-2</v>
      </c>
      <c r="O1211" s="13">
        <v>370.8</v>
      </c>
      <c r="P1211" s="13">
        <v>28.04</v>
      </c>
      <c r="Q1211" s="13">
        <v>65.41</v>
      </c>
      <c r="R1211" s="1" t="s">
        <v>29</v>
      </c>
      <c r="S1211" s="1">
        <v>2</v>
      </c>
      <c r="T1211" s="1" t="b">
        <v>0</v>
      </c>
      <c r="U1211" s="1" t="s">
        <v>39</v>
      </c>
      <c r="V1211" s="3">
        <v>4</v>
      </c>
    </row>
    <row r="1212" spans="1:22" x14ac:dyDescent="0.3">
      <c r="A1212" s="2" t="s">
        <v>2907</v>
      </c>
      <c r="B1212" s="10">
        <v>44420</v>
      </c>
      <c r="C1212" s="22">
        <v>44420</v>
      </c>
      <c r="D1212" s="1" t="s">
        <v>2908</v>
      </c>
      <c r="E1212" s="1" t="s">
        <v>363</v>
      </c>
      <c r="F1212" s="1">
        <v>39</v>
      </c>
      <c r="G1212" s="1" t="s">
        <v>34</v>
      </c>
      <c r="H1212" s="1" t="s">
        <v>35</v>
      </c>
      <c r="I1212" s="1" t="s">
        <v>49</v>
      </c>
      <c r="J1212" s="1" t="s">
        <v>127</v>
      </c>
      <c r="K1212" s="1" t="s">
        <v>308</v>
      </c>
      <c r="L1212" s="1">
        <v>7</v>
      </c>
      <c r="M1212" s="13">
        <v>63396.04</v>
      </c>
      <c r="N1212" s="15">
        <v>0.05</v>
      </c>
      <c r="O1212" s="13">
        <v>514656.3</v>
      </c>
      <c r="P1212" s="13">
        <v>47623.99</v>
      </c>
      <c r="Q1212" s="13">
        <v>47.91</v>
      </c>
      <c r="R1212" s="1" t="s">
        <v>51</v>
      </c>
      <c r="S1212" s="1">
        <v>3</v>
      </c>
      <c r="T1212" s="1" t="b">
        <v>0</v>
      </c>
      <c r="U1212" s="1" t="s">
        <v>39</v>
      </c>
      <c r="V1212" s="3">
        <v>2</v>
      </c>
    </row>
    <row r="1213" spans="1:22" x14ac:dyDescent="0.3">
      <c r="A1213" s="2" t="s">
        <v>2909</v>
      </c>
      <c r="B1213" s="10">
        <v>43968</v>
      </c>
      <c r="C1213" s="22">
        <v>43968</v>
      </c>
      <c r="D1213" s="1" t="s">
        <v>2910</v>
      </c>
      <c r="E1213" s="1" t="s">
        <v>875</v>
      </c>
      <c r="F1213" s="1">
        <v>38</v>
      </c>
      <c r="G1213" s="1" t="s">
        <v>34</v>
      </c>
      <c r="H1213" s="1" t="s">
        <v>35</v>
      </c>
      <c r="I1213" s="1" t="s">
        <v>36</v>
      </c>
      <c r="J1213" s="1" t="s">
        <v>146</v>
      </c>
      <c r="K1213" s="1" t="s">
        <v>178</v>
      </c>
      <c r="L1213" s="1">
        <v>6</v>
      </c>
      <c r="M1213" s="13">
        <v>3765.92</v>
      </c>
      <c r="N1213" s="15">
        <v>0.27</v>
      </c>
      <c r="O1213" s="13">
        <v>20744.7</v>
      </c>
      <c r="P1213" s="13">
        <v>5247.02</v>
      </c>
      <c r="Q1213" s="13">
        <v>90.54</v>
      </c>
      <c r="R1213" s="1" t="s">
        <v>78</v>
      </c>
      <c r="S1213" s="1">
        <v>4</v>
      </c>
      <c r="T1213" s="1" t="b">
        <v>0</v>
      </c>
      <c r="U1213" s="1" t="s">
        <v>39</v>
      </c>
      <c r="V1213" s="3">
        <v>9</v>
      </c>
    </row>
    <row r="1214" spans="1:22" x14ac:dyDescent="0.3">
      <c r="A1214" s="2" t="s">
        <v>2911</v>
      </c>
      <c r="B1214" s="10">
        <v>44777</v>
      </c>
      <c r="C1214" s="22">
        <v>44777</v>
      </c>
      <c r="D1214" s="1" t="s">
        <v>2912</v>
      </c>
      <c r="E1214" s="1" t="s">
        <v>403</v>
      </c>
      <c r="F1214" s="1">
        <v>33</v>
      </c>
      <c r="G1214" s="1" t="s">
        <v>24</v>
      </c>
      <c r="H1214" s="1" t="s">
        <v>25</v>
      </c>
      <c r="I1214" s="1" t="s">
        <v>69</v>
      </c>
      <c r="J1214" s="1" t="s">
        <v>37</v>
      </c>
      <c r="K1214" s="1" t="s">
        <v>38</v>
      </c>
      <c r="L1214" s="1">
        <v>1</v>
      </c>
      <c r="M1214" s="13">
        <v>1864.55</v>
      </c>
      <c r="N1214" s="15">
        <v>0.02</v>
      </c>
      <c r="O1214" s="13">
        <v>2317.0300000000002</v>
      </c>
      <c r="P1214" s="13">
        <v>835.39</v>
      </c>
      <c r="Q1214" s="13">
        <v>82.42</v>
      </c>
      <c r="R1214" s="1" t="s">
        <v>51</v>
      </c>
      <c r="S1214" s="1">
        <v>1</v>
      </c>
      <c r="T1214" s="1" t="b">
        <v>1</v>
      </c>
      <c r="U1214" s="1" t="s">
        <v>30</v>
      </c>
      <c r="V1214" s="3">
        <v>5</v>
      </c>
    </row>
    <row r="1215" spans="1:22" x14ac:dyDescent="0.3">
      <c r="A1215" s="2" t="s">
        <v>2913</v>
      </c>
      <c r="B1215" s="10">
        <v>44755</v>
      </c>
      <c r="C1215" s="22">
        <v>44755</v>
      </c>
      <c r="D1215" s="1" t="s">
        <v>2914</v>
      </c>
      <c r="E1215" s="1" t="s">
        <v>926</v>
      </c>
      <c r="F1215" s="1">
        <v>47</v>
      </c>
      <c r="G1215" s="1" t="s">
        <v>68</v>
      </c>
      <c r="H1215" s="1" t="s">
        <v>111</v>
      </c>
      <c r="I1215" s="1" t="s">
        <v>330</v>
      </c>
      <c r="J1215" s="1" t="s">
        <v>127</v>
      </c>
      <c r="K1215" s="1" t="s">
        <v>517</v>
      </c>
      <c r="L1215" s="1">
        <v>6</v>
      </c>
      <c r="M1215" s="13">
        <v>9010.34</v>
      </c>
      <c r="N1215" s="15">
        <v>0.38</v>
      </c>
      <c r="O1215" s="13">
        <v>49758.87</v>
      </c>
      <c r="P1215" s="13">
        <v>5134.33</v>
      </c>
      <c r="Q1215" s="13">
        <v>75.34</v>
      </c>
      <c r="R1215" s="1" t="s">
        <v>78</v>
      </c>
      <c r="S1215" s="1">
        <v>4</v>
      </c>
      <c r="T1215" s="1" t="b">
        <v>0</v>
      </c>
      <c r="U1215" s="1" t="s">
        <v>197</v>
      </c>
      <c r="V1215" s="3">
        <v>10</v>
      </c>
    </row>
    <row r="1216" spans="1:22" x14ac:dyDescent="0.3">
      <c r="A1216" s="2" t="s">
        <v>2915</v>
      </c>
      <c r="B1216" s="10">
        <v>44166</v>
      </c>
      <c r="C1216" s="22">
        <v>44166</v>
      </c>
      <c r="D1216" s="1" t="s">
        <v>2916</v>
      </c>
      <c r="E1216" s="1" t="s">
        <v>801</v>
      </c>
      <c r="F1216" s="1">
        <v>34</v>
      </c>
      <c r="G1216" s="1" t="s">
        <v>24</v>
      </c>
      <c r="H1216" s="1" t="s">
        <v>35</v>
      </c>
      <c r="I1216" s="1" t="s">
        <v>36</v>
      </c>
      <c r="J1216" s="1" t="s">
        <v>44</v>
      </c>
      <c r="K1216" s="1" t="s">
        <v>221</v>
      </c>
      <c r="L1216" s="1">
        <v>9</v>
      </c>
      <c r="M1216" s="13">
        <v>12544.46</v>
      </c>
      <c r="N1216" s="15">
        <v>0.21</v>
      </c>
      <c r="O1216" s="13">
        <v>65545.14</v>
      </c>
      <c r="P1216" s="13">
        <v>23589.88</v>
      </c>
      <c r="Q1216" s="13">
        <v>79.05</v>
      </c>
      <c r="R1216" s="1" t="s">
        <v>29</v>
      </c>
      <c r="S1216" s="1">
        <v>4</v>
      </c>
      <c r="T1216" s="1" t="b">
        <v>0</v>
      </c>
      <c r="U1216" s="1" t="s">
        <v>39</v>
      </c>
      <c r="V1216" s="3">
        <v>4</v>
      </c>
    </row>
    <row r="1217" spans="1:22" x14ac:dyDescent="0.3">
      <c r="A1217" s="2" t="s">
        <v>2917</v>
      </c>
      <c r="B1217" s="10">
        <v>44562</v>
      </c>
      <c r="C1217" s="22">
        <v>44562</v>
      </c>
      <c r="D1217" s="1" t="s">
        <v>2918</v>
      </c>
      <c r="E1217" s="1" t="s">
        <v>1186</v>
      </c>
      <c r="F1217" s="1">
        <v>51</v>
      </c>
      <c r="G1217" s="1" t="s">
        <v>34</v>
      </c>
      <c r="H1217" s="1" t="s">
        <v>82</v>
      </c>
      <c r="I1217" s="1" t="s">
        <v>244</v>
      </c>
      <c r="J1217" s="1" t="s">
        <v>44</v>
      </c>
      <c r="K1217" s="1" t="s">
        <v>186</v>
      </c>
      <c r="L1217" s="1">
        <v>1</v>
      </c>
      <c r="M1217" s="13">
        <v>27509.11</v>
      </c>
      <c r="N1217" s="15">
        <v>0.34</v>
      </c>
      <c r="O1217" s="13">
        <v>17323.099999999999</v>
      </c>
      <c r="P1217" s="13">
        <v>3413.01</v>
      </c>
      <c r="Q1217" s="13">
        <v>50.42</v>
      </c>
      <c r="R1217" s="1" t="s">
        <v>70</v>
      </c>
      <c r="S1217" s="1">
        <v>2</v>
      </c>
      <c r="T1217" s="1" t="b">
        <v>1</v>
      </c>
      <c r="U1217" s="1" t="s">
        <v>30</v>
      </c>
      <c r="V1217" s="3">
        <v>9</v>
      </c>
    </row>
    <row r="1218" spans="1:22" x14ac:dyDescent="0.3">
      <c r="A1218" s="2" t="s">
        <v>2919</v>
      </c>
      <c r="B1218" s="10">
        <v>44007</v>
      </c>
      <c r="C1218" s="22">
        <v>44007</v>
      </c>
      <c r="D1218" s="1" t="s">
        <v>2920</v>
      </c>
      <c r="E1218" s="1" t="s">
        <v>2286</v>
      </c>
      <c r="F1218" s="1">
        <v>41</v>
      </c>
      <c r="G1218" s="1" t="s">
        <v>68</v>
      </c>
      <c r="H1218" s="1" t="s">
        <v>25</v>
      </c>
      <c r="I1218" s="1" t="s">
        <v>55</v>
      </c>
      <c r="J1218" s="1" t="s">
        <v>62</v>
      </c>
      <c r="K1218" s="1" t="s">
        <v>107</v>
      </c>
      <c r="L1218" s="1">
        <v>1</v>
      </c>
      <c r="M1218" s="13">
        <v>794.97</v>
      </c>
      <c r="N1218" s="15">
        <v>0.15</v>
      </c>
      <c r="O1218" s="13">
        <v>910.56</v>
      </c>
      <c r="P1218" s="13">
        <v>213.02</v>
      </c>
      <c r="Q1218" s="13">
        <v>18.34</v>
      </c>
      <c r="R1218" s="1" t="s">
        <v>29</v>
      </c>
      <c r="S1218" s="1">
        <v>5</v>
      </c>
      <c r="T1218" s="1" t="b">
        <v>0</v>
      </c>
      <c r="U1218" s="1" t="s">
        <v>39</v>
      </c>
      <c r="V1218" s="3">
        <v>6</v>
      </c>
    </row>
    <row r="1219" spans="1:22" x14ac:dyDescent="0.3">
      <c r="A1219" s="2" t="s">
        <v>2921</v>
      </c>
      <c r="B1219" s="10">
        <v>45401</v>
      </c>
      <c r="C1219" s="22">
        <v>45401</v>
      </c>
      <c r="D1219" s="1" t="s">
        <v>2922</v>
      </c>
      <c r="E1219" s="1" t="s">
        <v>2214</v>
      </c>
      <c r="F1219" s="1">
        <v>40</v>
      </c>
      <c r="G1219" s="1" t="s">
        <v>68</v>
      </c>
      <c r="H1219" s="1" t="s">
        <v>25</v>
      </c>
      <c r="I1219" s="1" t="s">
        <v>170</v>
      </c>
      <c r="J1219" s="1" t="s">
        <v>76</v>
      </c>
      <c r="K1219" s="1" t="s">
        <v>207</v>
      </c>
      <c r="L1219" s="1">
        <v>2</v>
      </c>
      <c r="M1219" s="13">
        <v>3889.03</v>
      </c>
      <c r="N1219" s="15">
        <v>0.21</v>
      </c>
      <c r="O1219" s="13">
        <v>11379.73</v>
      </c>
      <c r="P1219" s="13">
        <v>4053.26</v>
      </c>
      <c r="Q1219" s="13">
        <v>49.43</v>
      </c>
      <c r="R1219" s="1" t="s">
        <v>57</v>
      </c>
      <c r="S1219" s="1">
        <v>3</v>
      </c>
      <c r="T1219" s="1" t="b">
        <v>0</v>
      </c>
      <c r="U1219" s="1" t="s">
        <v>39</v>
      </c>
      <c r="V1219" s="3">
        <v>4</v>
      </c>
    </row>
    <row r="1220" spans="1:22" x14ac:dyDescent="0.3">
      <c r="A1220" s="2" t="s">
        <v>2923</v>
      </c>
      <c r="B1220" s="10">
        <v>44017</v>
      </c>
      <c r="C1220" s="22">
        <v>44017</v>
      </c>
      <c r="D1220" s="1" t="s">
        <v>2924</v>
      </c>
      <c r="E1220" s="1" t="s">
        <v>578</v>
      </c>
      <c r="F1220" s="1">
        <v>22</v>
      </c>
      <c r="G1220" s="1" t="s">
        <v>34</v>
      </c>
      <c r="H1220" s="1" t="s">
        <v>35</v>
      </c>
      <c r="I1220" s="1" t="s">
        <v>43</v>
      </c>
      <c r="J1220" s="1" t="s">
        <v>62</v>
      </c>
      <c r="K1220" s="1" t="s">
        <v>283</v>
      </c>
      <c r="L1220" s="1">
        <v>2</v>
      </c>
      <c r="M1220" s="13">
        <v>1319.78</v>
      </c>
      <c r="N1220" s="15">
        <v>0.11</v>
      </c>
      <c r="O1220" s="13">
        <v>2893.27</v>
      </c>
      <c r="P1220" s="13">
        <v>758.61</v>
      </c>
      <c r="Q1220" s="13">
        <v>53.87</v>
      </c>
      <c r="R1220" s="1" t="s">
        <v>64</v>
      </c>
      <c r="S1220" s="1">
        <v>5</v>
      </c>
      <c r="T1220" s="1" t="b">
        <v>0</v>
      </c>
      <c r="U1220" s="1" t="s">
        <v>39</v>
      </c>
      <c r="V1220" s="3">
        <v>5</v>
      </c>
    </row>
    <row r="1221" spans="1:22" x14ac:dyDescent="0.3">
      <c r="A1221" s="2" t="s">
        <v>2925</v>
      </c>
      <c r="B1221" s="10">
        <v>44428</v>
      </c>
      <c r="C1221" s="22">
        <v>44428</v>
      </c>
      <c r="D1221" s="1" t="s">
        <v>2926</v>
      </c>
      <c r="E1221" s="1" t="s">
        <v>2927</v>
      </c>
      <c r="F1221" s="1">
        <v>27</v>
      </c>
      <c r="G1221" s="1" t="s">
        <v>34</v>
      </c>
      <c r="H1221" s="1" t="s">
        <v>74</v>
      </c>
      <c r="I1221" s="1" t="s">
        <v>75</v>
      </c>
      <c r="J1221" s="1" t="s">
        <v>27</v>
      </c>
      <c r="K1221" s="1" t="s">
        <v>450</v>
      </c>
      <c r="L1221" s="1">
        <v>1</v>
      </c>
      <c r="M1221" s="13">
        <v>108.73</v>
      </c>
      <c r="N1221" s="15">
        <v>0.39</v>
      </c>
      <c r="O1221" s="13">
        <v>87.71</v>
      </c>
      <c r="P1221" s="13">
        <v>7.58</v>
      </c>
      <c r="Q1221" s="13">
        <v>51.82</v>
      </c>
      <c r="R1221" s="1" t="s">
        <v>64</v>
      </c>
      <c r="S1221" s="1">
        <v>4</v>
      </c>
      <c r="T1221" s="1" t="b">
        <v>0</v>
      </c>
      <c r="U1221" s="1" t="s">
        <v>137</v>
      </c>
      <c r="V1221" s="3">
        <v>7</v>
      </c>
    </row>
    <row r="1222" spans="1:22" x14ac:dyDescent="0.3">
      <c r="A1222" s="2" t="s">
        <v>2928</v>
      </c>
      <c r="B1222" s="10">
        <v>44381</v>
      </c>
      <c r="C1222" s="22">
        <v>44381</v>
      </c>
      <c r="D1222" s="1" t="s">
        <v>2929</v>
      </c>
      <c r="E1222" s="1" t="s">
        <v>1096</v>
      </c>
      <c r="F1222" s="1">
        <v>32</v>
      </c>
      <c r="G1222" s="1" t="s">
        <v>34</v>
      </c>
      <c r="H1222" s="1" t="s">
        <v>25</v>
      </c>
      <c r="I1222" s="1" t="s">
        <v>170</v>
      </c>
      <c r="J1222" s="1" t="s">
        <v>76</v>
      </c>
      <c r="K1222" s="1" t="s">
        <v>122</v>
      </c>
      <c r="L1222" s="1">
        <v>9</v>
      </c>
      <c r="M1222" s="13">
        <v>3582.63</v>
      </c>
      <c r="N1222" s="15">
        <v>0.15</v>
      </c>
      <c r="O1222" s="13">
        <v>40561.11</v>
      </c>
      <c r="P1222" s="13">
        <v>14700.02</v>
      </c>
      <c r="Q1222" s="13">
        <v>55.73</v>
      </c>
      <c r="R1222" s="1" t="s">
        <v>70</v>
      </c>
      <c r="S1222" s="1">
        <v>4</v>
      </c>
      <c r="T1222" s="1" t="b">
        <v>0</v>
      </c>
      <c r="U1222" s="1" t="s">
        <v>39</v>
      </c>
      <c r="V1222" s="3">
        <v>6</v>
      </c>
    </row>
    <row r="1223" spans="1:22" x14ac:dyDescent="0.3">
      <c r="A1223" s="2" t="s">
        <v>2930</v>
      </c>
      <c r="B1223" s="10">
        <v>45309</v>
      </c>
      <c r="C1223" s="22">
        <v>45309</v>
      </c>
      <c r="D1223" s="1" t="s">
        <v>2931</v>
      </c>
      <c r="E1223" s="1" t="s">
        <v>195</v>
      </c>
      <c r="F1223" s="1">
        <v>29</v>
      </c>
      <c r="G1223" s="1" t="s">
        <v>34</v>
      </c>
      <c r="H1223" s="1" t="s">
        <v>74</v>
      </c>
      <c r="I1223" s="1" t="s">
        <v>136</v>
      </c>
      <c r="J1223" s="1" t="s">
        <v>44</v>
      </c>
      <c r="K1223" s="1" t="s">
        <v>117</v>
      </c>
      <c r="L1223" s="1">
        <v>4</v>
      </c>
      <c r="M1223" s="13">
        <v>30995.42</v>
      </c>
      <c r="N1223" s="15">
        <v>0.28000000000000003</v>
      </c>
      <c r="O1223" s="13">
        <v>93700.04</v>
      </c>
      <c r="P1223" s="13">
        <v>18542.88</v>
      </c>
      <c r="Q1223" s="13">
        <v>39.880000000000003</v>
      </c>
      <c r="R1223" s="1" t="s">
        <v>57</v>
      </c>
      <c r="S1223" s="1">
        <v>5</v>
      </c>
      <c r="T1223" s="1" t="b">
        <v>0</v>
      </c>
      <c r="U1223" s="1" t="s">
        <v>39</v>
      </c>
      <c r="V1223" s="3">
        <v>7</v>
      </c>
    </row>
    <row r="1224" spans="1:22" x14ac:dyDescent="0.3">
      <c r="A1224" s="2" t="s">
        <v>2932</v>
      </c>
      <c r="B1224" s="10">
        <v>45131</v>
      </c>
      <c r="C1224" s="22">
        <v>45131</v>
      </c>
      <c r="D1224" s="1" t="s">
        <v>2933</v>
      </c>
      <c r="E1224" s="1" t="s">
        <v>2934</v>
      </c>
      <c r="F1224" s="1">
        <v>40</v>
      </c>
      <c r="G1224" s="1" t="s">
        <v>24</v>
      </c>
      <c r="H1224" s="1" t="s">
        <v>25</v>
      </c>
      <c r="I1224" s="1" t="s">
        <v>170</v>
      </c>
      <c r="J1224" s="1" t="s">
        <v>37</v>
      </c>
      <c r="K1224" s="1" t="s">
        <v>182</v>
      </c>
      <c r="L1224" s="1">
        <v>3</v>
      </c>
      <c r="M1224" s="13">
        <v>2358.2800000000002</v>
      </c>
      <c r="N1224" s="15">
        <v>0.21</v>
      </c>
      <c r="O1224" s="13">
        <v>8273.92</v>
      </c>
      <c r="P1224" s="13">
        <v>4056.62</v>
      </c>
      <c r="Q1224" s="13">
        <v>66.180000000000007</v>
      </c>
      <c r="R1224" s="1" t="s">
        <v>70</v>
      </c>
      <c r="S1224" s="1">
        <v>4</v>
      </c>
      <c r="T1224" s="1" t="b">
        <v>0</v>
      </c>
      <c r="U1224" s="1" t="s">
        <v>39</v>
      </c>
      <c r="V1224" s="3">
        <v>10</v>
      </c>
    </row>
    <row r="1225" spans="1:22" x14ac:dyDescent="0.3">
      <c r="A1225" s="2" t="s">
        <v>2935</v>
      </c>
      <c r="B1225" s="10">
        <v>45199</v>
      </c>
      <c r="C1225" s="22">
        <v>45199</v>
      </c>
      <c r="D1225" s="1" t="s">
        <v>2936</v>
      </c>
      <c r="E1225" s="1" t="s">
        <v>1033</v>
      </c>
      <c r="F1225" s="1">
        <v>50</v>
      </c>
      <c r="G1225" s="1" t="s">
        <v>34</v>
      </c>
      <c r="H1225" s="1" t="s">
        <v>74</v>
      </c>
      <c r="I1225" s="1" t="s">
        <v>101</v>
      </c>
      <c r="J1225" s="1" t="s">
        <v>76</v>
      </c>
      <c r="K1225" s="1" t="s">
        <v>132</v>
      </c>
      <c r="L1225" s="1">
        <v>9</v>
      </c>
      <c r="M1225" s="13">
        <v>1332.1</v>
      </c>
      <c r="N1225" s="15">
        <v>0.24</v>
      </c>
      <c r="O1225" s="13">
        <v>12579.87</v>
      </c>
      <c r="P1225" s="13">
        <v>3205.48</v>
      </c>
      <c r="Q1225" s="13">
        <v>79</v>
      </c>
      <c r="R1225" s="1" t="s">
        <v>70</v>
      </c>
      <c r="S1225" s="1">
        <v>2</v>
      </c>
      <c r="T1225" s="1" t="b">
        <v>0</v>
      </c>
      <c r="U1225" s="1" t="s">
        <v>39</v>
      </c>
      <c r="V1225" s="3">
        <v>3</v>
      </c>
    </row>
    <row r="1226" spans="1:22" x14ac:dyDescent="0.3">
      <c r="A1226" s="2" t="s">
        <v>2937</v>
      </c>
      <c r="B1226" s="10">
        <v>45327</v>
      </c>
      <c r="C1226" s="22">
        <v>45327</v>
      </c>
      <c r="D1226" s="1" t="s">
        <v>2938</v>
      </c>
      <c r="E1226" s="1" t="s">
        <v>333</v>
      </c>
      <c r="F1226" s="1">
        <v>37</v>
      </c>
      <c r="G1226" s="1" t="s">
        <v>24</v>
      </c>
      <c r="H1226" s="1" t="s">
        <v>35</v>
      </c>
      <c r="I1226" s="1" t="s">
        <v>106</v>
      </c>
      <c r="J1226" s="1" t="s">
        <v>76</v>
      </c>
      <c r="K1226" s="1" t="s">
        <v>132</v>
      </c>
      <c r="L1226" s="1">
        <v>9</v>
      </c>
      <c r="M1226" s="13">
        <v>1826.63</v>
      </c>
      <c r="N1226" s="15">
        <v>7.0000000000000007E-2</v>
      </c>
      <c r="O1226" s="13">
        <v>16207.04</v>
      </c>
      <c r="P1226" s="13">
        <v>6487.83</v>
      </c>
      <c r="Q1226" s="13">
        <v>57.55</v>
      </c>
      <c r="R1226" s="1" t="s">
        <v>51</v>
      </c>
      <c r="S1226" s="1">
        <v>5</v>
      </c>
      <c r="T1226" s="1" t="b">
        <v>0</v>
      </c>
      <c r="U1226" s="1" t="s">
        <v>39</v>
      </c>
      <c r="V1226" s="3">
        <v>9</v>
      </c>
    </row>
    <row r="1227" spans="1:22" x14ac:dyDescent="0.3">
      <c r="A1227" s="2" t="s">
        <v>2939</v>
      </c>
      <c r="B1227" s="10">
        <v>45127</v>
      </c>
      <c r="C1227" s="22">
        <v>45127</v>
      </c>
      <c r="D1227" s="1" t="s">
        <v>2940</v>
      </c>
      <c r="E1227" s="1" t="s">
        <v>298</v>
      </c>
      <c r="F1227" s="1">
        <v>49</v>
      </c>
      <c r="G1227" s="1" t="s">
        <v>34</v>
      </c>
      <c r="H1227" s="1" t="s">
        <v>35</v>
      </c>
      <c r="I1227" s="1" t="s">
        <v>43</v>
      </c>
      <c r="J1227" s="1" t="s">
        <v>146</v>
      </c>
      <c r="K1227" s="1" t="s">
        <v>484</v>
      </c>
      <c r="L1227" s="1">
        <v>10</v>
      </c>
      <c r="M1227" s="13">
        <v>14494.42</v>
      </c>
      <c r="N1227" s="15">
        <v>0.17</v>
      </c>
      <c r="O1227" s="13">
        <v>166583.26</v>
      </c>
      <c r="P1227" s="13">
        <v>37373.97</v>
      </c>
      <c r="Q1227" s="13">
        <v>63.48</v>
      </c>
      <c r="R1227" s="1" t="s">
        <v>78</v>
      </c>
      <c r="S1227" s="1">
        <v>2</v>
      </c>
      <c r="T1227" s="1" t="b">
        <v>0</v>
      </c>
      <c r="U1227" s="1" t="s">
        <v>39</v>
      </c>
      <c r="V1227" s="3">
        <v>9</v>
      </c>
    </row>
    <row r="1228" spans="1:22" x14ac:dyDescent="0.3">
      <c r="A1228" s="2" t="s">
        <v>2941</v>
      </c>
      <c r="B1228" s="10">
        <v>44602</v>
      </c>
      <c r="C1228" s="22">
        <v>44602</v>
      </c>
      <c r="D1228" s="1" t="s">
        <v>2942</v>
      </c>
      <c r="E1228" s="1" t="s">
        <v>878</v>
      </c>
      <c r="F1228" s="1">
        <v>15</v>
      </c>
      <c r="G1228" s="1" t="s">
        <v>68</v>
      </c>
      <c r="H1228" s="1" t="s">
        <v>25</v>
      </c>
      <c r="I1228" s="1" t="s">
        <v>170</v>
      </c>
      <c r="J1228" s="1" t="s">
        <v>62</v>
      </c>
      <c r="K1228" s="1" t="s">
        <v>63</v>
      </c>
      <c r="L1228" s="1">
        <v>9</v>
      </c>
      <c r="M1228" s="13">
        <v>1403.46</v>
      </c>
      <c r="N1228" s="15">
        <v>0.3</v>
      </c>
      <c r="O1228" s="13">
        <v>9214.56</v>
      </c>
      <c r="P1228" s="13">
        <v>4061.53</v>
      </c>
      <c r="Q1228" s="13">
        <v>49.87</v>
      </c>
      <c r="R1228" s="1" t="s">
        <v>29</v>
      </c>
      <c r="S1228" s="1">
        <v>3</v>
      </c>
      <c r="T1228" s="1" t="b">
        <v>1</v>
      </c>
      <c r="U1228" s="1" t="s">
        <v>30</v>
      </c>
      <c r="V1228" s="3">
        <v>6</v>
      </c>
    </row>
    <row r="1229" spans="1:22" x14ac:dyDescent="0.3">
      <c r="A1229" s="2" t="s">
        <v>2943</v>
      </c>
      <c r="B1229" s="10">
        <v>44417</v>
      </c>
      <c r="C1229" s="22">
        <v>44417</v>
      </c>
      <c r="D1229" s="1" t="s">
        <v>2944</v>
      </c>
      <c r="E1229" s="1" t="s">
        <v>735</v>
      </c>
      <c r="F1229" s="1">
        <v>36</v>
      </c>
      <c r="G1229" s="1" t="s">
        <v>34</v>
      </c>
      <c r="H1229" s="1" t="s">
        <v>111</v>
      </c>
      <c r="I1229" s="1" t="s">
        <v>121</v>
      </c>
      <c r="J1229" s="1" t="s">
        <v>44</v>
      </c>
      <c r="K1229" s="1" t="s">
        <v>117</v>
      </c>
      <c r="L1229" s="1">
        <v>1</v>
      </c>
      <c r="M1229" s="13">
        <v>13928.4</v>
      </c>
      <c r="N1229" s="15">
        <v>0.02</v>
      </c>
      <c r="O1229" s="13">
        <v>16374.89</v>
      </c>
      <c r="P1229" s="13">
        <v>4982.1899999999996</v>
      </c>
      <c r="Q1229" s="13">
        <v>84.29</v>
      </c>
      <c r="R1229" s="1" t="s">
        <v>29</v>
      </c>
      <c r="S1229" s="1">
        <v>1</v>
      </c>
      <c r="T1229" s="1" t="b">
        <v>1</v>
      </c>
      <c r="U1229" s="1" t="s">
        <v>30</v>
      </c>
      <c r="V1229" s="3">
        <v>2</v>
      </c>
    </row>
    <row r="1230" spans="1:22" x14ac:dyDescent="0.3">
      <c r="A1230" s="2" t="s">
        <v>2945</v>
      </c>
      <c r="B1230" s="10">
        <v>44171</v>
      </c>
      <c r="C1230" s="22">
        <v>44171</v>
      </c>
      <c r="D1230" s="1" t="s">
        <v>2946</v>
      </c>
      <c r="E1230" s="1" t="s">
        <v>817</v>
      </c>
      <c r="F1230" s="1">
        <v>39</v>
      </c>
      <c r="G1230" s="1" t="s">
        <v>24</v>
      </c>
      <c r="H1230" s="1" t="s">
        <v>111</v>
      </c>
      <c r="I1230" s="1" t="s">
        <v>141</v>
      </c>
      <c r="J1230" s="1" t="s">
        <v>44</v>
      </c>
      <c r="K1230" s="1" t="s">
        <v>186</v>
      </c>
      <c r="L1230" s="1">
        <v>7</v>
      </c>
      <c r="M1230" s="13">
        <v>16844.34</v>
      </c>
      <c r="N1230" s="15">
        <v>0.21</v>
      </c>
      <c r="O1230" s="13">
        <v>63758.45</v>
      </c>
      <c r="P1230" s="13">
        <v>17615.41</v>
      </c>
      <c r="Q1230" s="13">
        <v>77.12</v>
      </c>
      <c r="R1230" s="1" t="s">
        <v>51</v>
      </c>
      <c r="S1230" s="1">
        <v>4</v>
      </c>
      <c r="T1230" s="1" t="b">
        <v>0</v>
      </c>
      <c r="U1230" s="1" t="s">
        <v>39</v>
      </c>
      <c r="V1230" s="3">
        <v>7</v>
      </c>
    </row>
    <row r="1231" spans="1:22" x14ac:dyDescent="0.3">
      <c r="A1231" s="2" t="s">
        <v>2947</v>
      </c>
      <c r="B1231" s="10">
        <v>44335</v>
      </c>
      <c r="C1231" s="22">
        <v>44335</v>
      </c>
      <c r="D1231" s="1" t="s">
        <v>2948</v>
      </c>
      <c r="E1231" s="1" t="s">
        <v>508</v>
      </c>
      <c r="F1231" s="1">
        <v>44</v>
      </c>
      <c r="G1231" s="1" t="s">
        <v>34</v>
      </c>
      <c r="H1231" s="1" t="s">
        <v>74</v>
      </c>
      <c r="I1231" s="1" t="s">
        <v>101</v>
      </c>
      <c r="J1231" s="1" t="s">
        <v>127</v>
      </c>
      <c r="K1231" s="1" t="s">
        <v>171</v>
      </c>
      <c r="L1231" s="1">
        <v>7</v>
      </c>
      <c r="M1231" s="13">
        <v>76173.789999999994</v>
      </c>
      <c r="N1231" s="15">
        <v>0.04</v>
      </c>
      <c r="O1231" s="13">
        <v>700761.7</v>
      </c>
      <c r="P1231" s="13">
        <v>99827.839999999997</v>
      </c>
      <c r="Q1231" s="13">
        <v>53.23</v>
      </c>
      <c r="R1231" s="1" t="s">
        <v>29</v>
      </c>
      <c r="S1231" s="1">
        <v>3</v>
      </c>
      <c r="T1231" s="1" t="b">
        <v>0</v>
      </c>
      <c r="U1231" s="1" t="s">
        <v>137</v>
      </c>
      <c r="V1231" s="3">
        <v>4</v>
      </c>
    </row>
    <row r="1232" spans="1:22" x14ac:dyDescent="0.3">
      <c r="A1232" s="2" t="s">
        <v>2949</v>
      </c>
      <c r="B1232" s="10">
        <v>45088</v>
      </c>
      <c r="C1232" s="22">
        <v>45088</v>
      </c>
      <c r="D1232" s="1" t="s">
        <v>2950</v>
      </c>
      <c r="E1232" s="1" t="s">
        <v>608</v>
      </c>
      <c r="F1232" s="1">
        <v>46</v>
      </c>
      <c r="G1232" s="1" t="s">
        <v>24</v>
      </c>
      <c r="H1232" s="1" t="s">
        <v>35</v>
      </c>
      <c r="I1232" s="1" t="s">
        <v>36</v>
      </c>
      <c r="J1232" s="1" t="s">
        <v>127</v>
      </c>
      <c r="K1232" s="1" t="s">
        <v>128</v>
      </c>
      <c r="L1232" s="1">
        <v>8</v>
      </c>
      <c r="M1232" s="13">
        <v>74304.539999999994</v>
      </c>
      <c r="N1232" s="15">
        <v>0.08</v>
      </c>
      <c r="O1232" s="13">
        <v>736732.69</v>
      </c>
      <c r="P1232" s="13">
        <v>73848.3</v>
      </c>
      <c r="Q1232" s="13">
        <v>54.14</v>
      </c>
      <c r="R1232" s="1" t="s">
        <v>51</v>
      </c>
      <c r="S1232" s="1">
        <v>2</v>
      </c>
      <c r="T1232" s="1" t="b">
        <v>0</v>
      </c>
      <c r="U1232" s="1" t="s">
        <v>39</v>
      </c>
      <c r="V1232" s="3">
        <v>9</v>
      </c>
    </row>
    <row r="1233" spans="1:22" x14ac:dyDescent="0.3">
      <c r="A1233" s="2" t="s">
        <v>2951</v>
      </c>
      <c r="B1233" s="10">
        <v>44696</v>
      </c>
      <c r="C1233" s="22">
        <v>44696</v>
      </c>
      <c r="D1233" s="1" t="s">
        <v>2952</v>
      </c>
      <c r="E1233" s="1" t="s">
        <v>174</v>
      </c>
      <c r="F1233" s="1">
        <v>57</v>
      </c>
      <c r="G1233" s="1" t="s">
        <v>24</v>
      </c>
      <c r="H1233" s="1" t="s">
        <v>74</v>
      </c>
      <c r="I1233" s="1" t="s">
        <v>75</v>
      </c>
      <c r="J1233" s="1" t="s">
        <v>127</v>
      </c>
      <c r="K1233" s="1" t="s">
        <v>142</v>
      </c>
      <c r="L1233" s="1">
        <v>5</v>
      </c>
      <c r="M1233" s="13">
        <v>40573.07</v>
      </c>
      <c r="N1233" s="15">
        <v>0.31</v>
      </c>
      <c r="O1233" s="13">
        <v>232526.04</v>
      </c>
      <c r="P1233" s="13">
        <v>20245.060000000001</v>
      </c>
      <c r="Q1233" s="13">
        <v>51.87</v>
      </c>
      <c r="R1233" s="1" t="s">
        <v>78</v>
      </c>
      <c r="S1233" s="1">
        <v>5</v>
      </c>
      <c r="T1233" s="1" t="b">
        <v>0</v>
      </c>
      <c r="U1233" s="1" t="s">
        <v>39</v>
      </c>
      <c r="V1233" s="3">
        <v>5</v>
      </c>
    </row>
    <row r="1234" spans="1:22" x14ac:dyDescent="0.3">
      <c r="A1234" s="2" t="s">
        <v>2953</v>
      </c>
      <c r="B1234" s="10">
        <v>44411</v>
      </c>
      <c r="C1234" s="22">
        <v>44411</v>
      </c>
      <c r="D1234" s="1" t="s">
        <v>2954</v>
      </c>
      <c r="E1234" s="1" t="s">
        <v>1176</v>
      </c>
      <c r="F1234" s="1">
        <v>29</v>
      </c>
      <c r="G1234" s="1" t="s">
        <v>68</v>
      </c>
      <c r="H1234" s="1" t="s">
        <v>111</v>
      </c>
      <c r="I1234" s="1" t="s">
        <v>141</v>
      </c>
      <c r="J1234" s="1" t="s">
        <v>127</v>
      </c>
      <c r="K1234" s="1" t="s">
        <v>308</v>
      </c>
      <c r="L1234" s="1">
        <v>9</v>
      </c>
      <c r="M1234" s="13">
        <v>65957.440000000002</v>
      </c>
      <c r="N1234" s="15">
        <v>0.32</v>
      </c>
      <c r="O1234" s="13">
        <v>526880.46</v>
      </c>
      <c r="P1234" s="13">
        <v>88344.08</v>
      </c>
      <c r="Q1234" s="13">
        <v>59.57</v>
      </c>
      <c r="R1234" s="1" t="s">
        <v>64</v>
      </c>
      <c r="S1234" s="1">
        <v>5</v>
      </c>
      <c r="T1234" s="1" t="b">
        <v>0</v>
      </c>
      <c r="U1234" s="1" t="s">
        <v>39</v>
      </c>
      <c r="V1234" s="3">
        <v>6</v>
      </c>
    </row>
    <row r="1235" spans="1:22" x14ac:dyDescent="0.3">
      <c r="A1235" s="2" t="s">
        <v>2955</v>
      </c>
      <c r="B1235" s="10">
        <v>44953</v>
      </c>
      <c r="C1235" s="22">
        <v>44953</v>
      </c>
      <c r="D1235" s="1" t="s">
        <v>2956</v>
      </c>
      <c r="E1235" s="1" t="s">
        <v>1345</v>
      </c>
      <c r="F1235" s="1">
        <v>55</v>
      </c>
      <c r="G1235" s="1" t="s">
        <v>68</v>
      </c>
      <c r="H1235" s="1" t="s">
        <v>35</v>
      </c>
      <c r="I1235" s="1" t="s">
        <v>36</v>
      </c>
      <c r="J1235" s="1" t="s">
        <v>62</v>
      </c>
      <c r="K1235" s="1" t="s">
        <v>151</v>
      </c>
      <c r="L1235" s="1">
        <v>10</v>
      </c>
      <c r="M1235" s="13">
        <v>262.24</v>
      </c>
      <c r="N1235" s="15">
        <v>0.25</v>
      </c>
      <c r="O1235" s="13">
        <v>1767.24</v>
      </c>
      <c r="P1235" s="13">
        <v>706.13</v>
      </c>
      <c r="Q1235" s="13">
        <v>81.67</v>
      </c>
      <c r="R1235" s="1" t="s">
        <v>51</v>
      </c>
      <c r="S1235" s="1">
        <v>3</v>
      </c>
      <c r="T1235" s="1" t="b">
        <v>0</v>
      </c>
      <c r="U1235" s="1" t="s">
        <v>39</v>
      </c>
      <c r="V1235" s="3">
        <v>5</v>
      </c>
    </row>
    <row r="1236" spans="1:22" x14ac:dyDescent="0.3">
      <c r="A1236" s="2" t="s">
        <v>2957</v>
      </c>
      <c r="B1236" s="10">
        <v>44180</v>
      </c>
      <c r="C1236" s="22">
        <v>44180</v>
      </c>
      <c r="D1236" s="1" t="s">
        <v>2958</v>
      </c>
      <c r="E1236" s="1" t="s">
        <v>1004</v>
      </c>
      <c r="F1236" s="1">
        <v>46</v>
      </c>
      <c r="G1236" s="1" t="s">
        <v>24</v>
      </c>
      <c r="H1236" s="1" t="s">
        <v>35</v>
      </c>
      <c r="I1236" s="1" t="s">
        <v>49</v>
      </c>
      <c r="J1236" s="1" t="s">
        <v>62</v>
      </c>
      <c r="K1236" s="1" t="s">
        <v>107</v>
      </c>
      <c r="L1236" s="1">
        <v>6</v>
      </c>
      <c r="M1236" s="13">
        <v>444.05</v>
      </c>
      <c r="N1236" s="15">
        <v>0.38</v>
      </c>
      <c r="O1236" s="13">
        <v>1040.6500000000001</v>
      </c>
      <c r="P1236" s="13">
        <v>392.88</v>
      </c>
      <c r="Q1236" s="13">
        <v>100.75</v>
      </c>
      <c r="R1236" s="1" t="s">
        <v>51</v>
      </c>
      <c r="S1236" s="1">
        <v>4</v>
      </c>
      <c r="T1236" s="1" t="b">
        <v>0</v>
      </c>
      <c r="U1236" s="1" t="s">
        <v>39</v>
      </c>
      <c r="V1236" s="3">
        <v>10</v>
      </c>
    </row>
    <row r="1237" spans="1:22" x14ac:dyDescent="0.3">
      <c r="A1237" s="2" t="s">
        <v>2959</v>
      </c>
      <c r="B1237" s="10">
        <v>44141</v>
      </c>
      <c r="C1237" s="22">
        <v>44141</v>
      </c>
      <c r="D1237" s="1" t="s">
        <v>2960</v>
      </c>
      <c r="E1237" s="1" t="s">
        <v>552</v>
      </c>
      <c r="F1237" s="1">
        <v>54</v>
      </c>
      <c r="G1237" s="1" t="s">
        <v>68</v>
      </c>
      <c r="H1237" s="1" t="s">
        <v>35</v>
      </c>
      <c r="I1237" s="1" t="s">
        <v>106</v>
      </c>
      <c r="J1237" s="1" t="s">
        <v>62</v>
      </c>
      <c r="K1237" s="1" t="s">
        <v>151</v>
      </c>
      <c r="L1237" s="1">
        <v>9</v>
      </c>
      <c r="M1237" s="13">
        <v>1493.02</v>
      </c>
      <c r="N1237" s="15">
        <v>0.15</v>
      </c>
      <c r="O1237" s="13">
        <v>6644.53</v>
      </c>
      <c r="P1237" s="13">
        <v>3127.78</v>
      </c>
      <c r="Q1237" s="13">
        <v>40.520000000000003</v>
      </c>
      <c r="R1237" s="1" t="s">
        <v>29</v>
      </c>
      <c r="S1237" s="1">
        <v>3</v>
      </c>
      <c r="T1237" s="1" t="b">
        <v>0</v>
      </c>
      <c r="U1237" s="1" t="s">
        <v>39</v>
      </c>
      <c r="V1237" s="3">
        <v>4</v>
      </c>
    </row>
    <row r="1238" spans="1:22" x14ac:dyDescent="0.3">
      <c r="A1238" s="2" t="s">
        <v>2961</v>
      </c>
      <c r="B1238" s="10">
        <v>43866</v>
      </c>
      <c r="C1238" s="22">
        <v>43866</v>
      </c>
      <c r="D1238" s="1" t="s">
        <v>2962</v>
      </c>
      <c r="E1238" s="1" t="s">
        <v>1096</v>
      </c>
      <c r="F1238" s="1">
        <v>37</v>
      </c>
      <c r="G1238" s="1" t="s">
        <v>34</v>
      </c>
      <c r="H1238" s="1" t="s">
        <v>35</v>
      </c>
      <c r="I1238" s="1" t="s">
        <v>43</v>
      </c>
      <c r="J1238" s="1" t="s">
        <v>146</v>
      </c>
      <c r="K1238" s="1" t="s">
        <v>484</v>
      </c>
      <c r="L1238" s="1">
        <v>10</v>
      </c>
      <c r="M1238" s="13">
        <v>8101.49</v>
      </c>
      <c r="N1238" s="15">
        <v>0.21</v>
      </c>
      <c r="O1238" s="13">
        <v>51880.09</v>
      </c>
      <c r="P1238" s="13">
        <v>7573.04</v>
      </c>
      <c r="Q1238" s="13">
        <v>83.71</v>
      </c>
      <c r="R1238" s="1" t="s">
        <v>57</v>
      </c>
      <c r="S1238" s="1">
        <v>2</v>
      </c>
      <c r="T1238" s="1" t="b">
        <v>1</v>
      </c>
      <c r="U1238" s="1" t="s">
        <v>30</v>
      </c>
      <c r="V1238" s="3">
        <v>7</v>
      </c>
    </row>
    <row r="1239" spans="1:22" x14ac:dyDescent="0.3">
      <c r="A1239" s="2" t="s">
        <v>2963</v>
      </c>
      <c r="B1239" s="10">
        <v>44783</v>
      </c>
      <c r="C1239" s="22">
        <v>44783</v>
      </c>
      <c r="D1239" s="1" t="s">
        <v>2964</v>
      </c>
      <c r="E1239" s="1" t="s">
        <v>1390</v>
      </c>
      <c r="F1239" s="1">
        <v>38</v>
      </c>
      <c r="G1239" s="1" t="s">
        <v>24</v>
      </c>
      <c r="H1239" s="1" t="s">
        <v>111</v>
      </c>
      <c r="I1239" s="1" t="s">
        <v>112</v>
      </c>
      <c r="J1239" s="1" t="s">
        <v>146</v>
      </c>
      <c r="K1239" s="1" t="s">
        <v>178</v>
      </c>
      <c r="L1239" s="1">
        <v>4</v>
      </c>
      <c r="M1239" s="13">
        <v>2688.74</v>
      </c>
      <c r="N1239" s="15">
        <v>0.36</v>
      </c>
      <c r="O1239" s="13">
        <v>7914.11</v>
      </c>
      <c r="P1239" s="13">
        <v>1551.65</v>
      </c>
      <c r="Q1239" s="13">
        <v>54.97</v>
      </c>
      <c r="R1239" s="1" t="s">
        <v>78</v>
      </c>
      <c r="S1239" s="1">
        <v>2</v>
      </c>
      <c r="T1239" s="1" t="b">
        <v>0</v>
      </c>
      <c r="U1239" s="1" t="s">
        <v>84</v>
      </c>
      <c r="V1239" s="3">
        <v>1</v>
      </c>
    </row>
    <row r="1240" spans="1:22" x14ac:dyDescent="0.3">
      <c r="A1240" s="2" t="s">
        <v>2965</v>
      </c>
      <c r="B1240" s="10">
        <v>44234</v>
      </c>
      <c r="C1240" s="22">
        <v>44234</v>
      </c>
      <c r="D1240" s="1" t="s">
        <v>2966</v>
      </c>
      <c r="E1240" s="1" t="s">
        <v>897</v>
      </c>
      <c r="F1240" s="1">
        <v>39</v>
      </c>
      <c r="G1240" s="1" t="s">
        <v>391</v>
      </c>
      <c r="H1240" s="1" t="s">
        <v>74</v>
      </c>
      <c r="I1240" s="1" t="s">
        <v>75</v>
      </c>
      <c r="J1240" s="1" t="s">
        <v>44</v>
      </c>
      <c r="K1240" s="1" t="s">
        <v>186</v>
      </c>
      <c r="L1240" s="1">
        <v>7</v>
      </c>
      <c r="M1240" s="13">
        <v>15174.89</v>
      </c>
      <c r="N1240" s="15">
        <v>0.06</v>
      </c>
      <c r="O1240" s="13">
        <v>79635.100000000006</v>
      </c>
      <c r="P1240" s="13">
        <v>24165.11</v>
      </c>
      <c r="Q1240" s="13">
        <v>39.53</v>
      </c>
      <c r="R1240" s="1" t="s">
        <v>51</v>
      </c>
      <c r="S1240" s="1">
        <v>2</v>
      </c>
      <c r="T1240" s="1" t="b">
        <v>0</v>
      </c>
      <c r="U1240" s="1" t="s">
        <v>39</v>
      </c>
      <c r="V1240" s="3">
        <v>1</v>
      </c>
    </row>
    <row r="1241" spans="1:22" x14ac:dyDescent="0.3">
      <c r="A1241" s="2" t="s">
        <v>2967</v>
      </c>
      <c r="B1241" s="10">
        <v>45263</v>
      </c>
      <c r="C1241" s="22">
        <v>45263</v>
      </c>
      <c r="D1241" s="1" t="s">
        <v>2968</v>
      </c>
      <c r="E1241" s="1" t="s">
        <v>1159</v>
      </c>
      <c r="F1241" s="1">
        <v>28</v>
      </c>
      <c r="G1241" s="1" t="s">
        <v>34</v>
      </c>
      <c r="H1241" s="1" t="s">
        <v>35</v>
      </c>
      <c r="I1241" s="1" t="s">
        <v>49</v>
      </c>
      <c r="J1241" s="1" t="s">
        <v>127</v>
      </c>
      <c r="K1241" s="1" t="s">
        <v>128</v>
      </c>
      <c r="L1241" s="1">
        <v>4</v>
      </c>
      <c r="M1241" s="13">
        <v>61847.14</v>
      </c>
      <c r="N1241" s="15">
        <v>0.28000000000000003</v>
      </c>
      <c r="O1241" s="13">
        <v>158246.41</v>
      </c>
      <c r="P1241" s="13">
        <v>21536.45</v>
      </c>
      <c r="Q1241" s="13">
        <v>70.33</v>
      </c>
      <c r="R1241" s="1" t="s">
        <v>29</v>
      </c>
      <c r="S1241" s="1">
        <v>4</v>
      </c>
      <c r="T1241" s="1" t="b">
        <v>1</v>
      </c>
      <c r="U1241" s="1" t="s">
        <v>30</v>
      </c>
      <c r="V1241" s="3">
        <v>5</v>
      </c>
    </row>
    <row r="1242" spans="1:22" x14ac:dyDescent="0.3">
      <c r="A1242" s="2" t="s">
        <v>2969</v>
      </c>
      <c r="B1242" s="10">
        <v>44228</v>
      </c>
      <c r="C1242" s="22">
        <v>44228</v>
      </c>
      <c r="D1242" s="1" t="s">
        <v>2970</v>
      </c>
      <c r="E1242" s="1" t="s">
        <v>831</v>
      </c>
      <c r="F1242" s="1">
        <v>28</v>
      </c>
      <c r="G1242" s="1" t="s">
        <v>34</v>
      </c>
      <c r="H1242" s="1" t="s">
        <v>35</v>
      </c>
      <c r="I1242" s="1" t="s">
        <v>43</v>
      </c>
      <c r="J1242" s="1" t="s">
        <v>76</v>
      </c>
      <c r="K1242" s="1" t="s">
        <v>89</v>
      </c>
      <c r="L1242" s="1">
        <v>7</v>
      </c>
      <c r="M1242" s="13">
        <v>705.54</v>
      </c>
      <c r="N1242" s="15">
        <v>0.02</v>
      </c>
      <c r="O1242" s="13">
        <v>4150.51</v>
      </c>
      <c r="P1242" s="13">
        <v>1347.79</v>
      </c>
      <c r="Q1242" s="13">
        <v>69.430000000000007</v>
      </c>
      <c r="R1242" s="1" t="s">
        <v>64</v>
      </c>
      <c r="S1242" s="1">
        <v>3</v>
      </c>
      <c r="T1242" s="1" t="b">
        <v>0</v>
      </c>
      <c r="U1242" s="1" t="s">
        <v>39</v>
      </c>
      <c r="V1242" s="3">
        <v>6</v>
      </c>
    </row>
    <row r="1243" spans="1:22" x14ac:dyDescent="0.3">
      <c r="A1243" s="2" t="s">
        <v>2971</v>
      </c>
      <c r="B1243" s="10">
        <v>44646</v>
      </c>
      <c r="C1243" s="22">
        <v>44646</v>
      </c>
      <c r="D1243" s="1" t="s">
        <v>2972</v>
      </c>
      <c r="E1243" s="1" t="s">
        <v>230</v>
      </c>
      <c r="F1243" s="1">
        <v>46</v>
      </c>
      <c r="G1243" s="1" t="s">
        <v>24</v>
      </c>
      <c r="H1243" s="1" t="s">
        <v>35</v>
      </c>
      <c r="I1243" s="1" t="s">
        <v>43</v>
      </c>
      <c r="J1243" s="1" t="s">
        <v>76</v>
      </c>
      <c r="K1243" s="1" t="s">
        <v>77</v>
      </c>
      <c r="L1243" s="1">
        <v>6</v>
      </c>
      <c r="M1243" s="13">
        <v>2129.9699999999998</v>
      </c>
      <c r="N1243" s="15">
        <v>0.33</v>
      </c>
      <c r="O1243" s="13">
        <v>10588.9</v>
      </c>
      <c r="P1243" s="13">
        <v>4603.57</v>
      </c>
      <c r="Q1243" s="13">
        <v>41.82</v>
      </c>
      <c r="R1243" s="1" t="s">
        <v>57</v>
      </c>
      <c r="S1243" s="1">
        <v>2</v>
      </c>
      <c r="T1243" s="1" t="b">
        <v>0</v>
      </c>
      <c r="U1243" s="1" t="s">
        <v>39</v>
      </c>
      <c r="V1243" s="3">
        <v>1</v>
      </c>
    </row>
    <row r="1244" spans="1:22" x14ac:dyDescent="0.3">
      <c r="A1244" s="2" t="s">
        <v>2973</v>
      </c>
      <c r="B1244" s="10">
        <v>45581</v>
      </c>
      <c r="C1244" s="22">
        <v>45581</v>
      </c>
      <c r="D1244" s="1" t="s">
        <v>2974</v>
      </c>
      <c r="E1244" s="1" t="s">
        <v>2117</v>
      </c>
      <c r="F1244" s="1">
        <v>44</v>
      </c>
      <c r="G1244" s="1" t="s">
        <v>24</v>
      </c>
      <c r="H1244" s="1" t="s">
        <v>82</v>
      </c>
      <c r="I1244" s="1" t="s">
        <v>293</v>
      </c>
      <c r="J1244" s="1" t="s">
        <v>27</v>
      </c>
      <c r="K1244" s="1" t="s">
        <v>400</v>
      </c>
      <c r="L1244" s="1">
        <v>9</v>
      </c>
      <c r="M1244" s="13">
        <v>101.5</v>
      </c>
      <c r="N1244" s="15">
        <v>0.18</v>
      </c>
      <c r="O1244" s="13">
        <v>814.46</v>
      </c>
      <c r="P1244" s="13">
        <v>55.74</v>
      </c>
      <c r="Q1244" s="13">
        <v>85.93</v>
      </c>
      <c r="R1244" s="1" t="s">
        <v>70</v>
      </c>
      <c r="S1244" s="1">
        <v>3</v>
      </c>
      <c r="T1244" s="1" t="b">
        <v>0</v>
      </c>
      <c r="U1244" s="1" t="s">
        <v>137</v>
      </c>
      <c r="V1244" s="3">
        <v>9</v>
      </c>
    </row>
    <row r="1245" spans="1:22" x14ac:dyDescent="0.3">
      <c r="A1245" s="2" t="s">
        <v>2975</v>
      </c>
      <c r="B1245" s="10">
        <v>44549</v>
      </c>
      <c r="C1245" s="22">
        <v>44549</v>
      </c>
      <c r="D1245" s="1" t="s">
        <v>2976</v>
      </c>
      <c r="E1245" s="1" t="s">
        <v>1096</v>
      </c>
      <c r="F1245" s="1">
        <v>41</v>
      </c>
      <c r="G1245" s="1" t="s">
        <v>24</v>
      </c>
      <c r="H1245" s="1" t="s">
        <v>35</v>
      </c>
      <c r="I1245" s="1" t="s">
        <v>106</v>
      </c>
      <c r="J1245" s="1" t="s">
        <v>62</v>
      </c>
      <c r="K1245" s="1" t="s">
        <v>63</v>
      </c>
      <c r="L1245" s="1">
        <v>1</v>
      </c>
      <c r="M1245" s="13">
        <v>1086.72</v>
      </c>
      <c r="N1245" s="15">
        <v>0.16</v>
      </c>
      <c r="O1245" s="13">
        <v>733.62</v>
      </c>
      <c r="P1245" s="13">
        <v>191.01</v>
      </c>
      <c r="Q1245" s="13">
        <v>81.14</v>
      </c>
      <c r="R1245" s="1" t="s">
        <v>64</v>
      </c>
      <c r="S1245" s="1">
        <v>2</v>
      </c>
      <c r="T1245" s="1" t="b">
        <v>0</v>
      </c>
      <c r="U1245" s="1" t="s">
        <v>39</v>
      </c>
      <c r="V1245" s="3">
        <v>7</v>
      </c>
    </row>
    <row r="1246" spans="1:22" x14ac:dyDescent="0.3">
      <c r="A1246" s="2" t="s">
        <v>2977</v>
      </c>
      <c r="B1246" s="10">
        <v>44399</v>
      </c>
      <c r="C1246" s="22">
        <v>44399</v>
      </c>
      <c r="D1246" s="1" t="s">
        <v>2978</v>
      </c>
      <c r="E1246" s="1" t="s">
        <v>1428</v>
      </c>
      <c r="F1246" s="1">
        <v>48</v>
      </c>
      <c r="G1246" s="1" t="s">
        <v>24</v>
      </c>
      <c r="H1246" s="1" t="s">
        <v>82</v>
      </c>
      <c r="I1246" s="1" t="s">
        <v>126</v>
      </c>
      <c r="J1246" s="1" t="s">
        <v>62</v>
      </c>
      <c r="K1246" s="1" t="s">
        <v>63</v>
      </c>
      <c r="L1246" s="1">
        <v>9</v>
      </c>
      <c r="M1246" s="13">
        <v>267.73</v>
      </c>
      <c r="N1246" s="15">
        <v>0.18</v>
      </c>
      <c r="O1246" s="13">
        <v>2753.41</v>
      </c>
      <c r="P1246" s="13">
        <v>797.79</v>
      </c>
      <c r="Q1246" s="13">
        <v>100.33</v>
      </c>
      <c r="R1246" s="1" t="s">
        <v>29</v>
      </c>
      <c r="S1246" s="1">
        <v>5</v>
      </c>
      <c r="T1246" s="1" t="b">
        <v>0</v>
      </c>
      <c r="U1246" s="1" t="s">
        <v>58</v>
      </c>
      <c r="V1246" s="3">
        <v>3</v>
      </c>
    </row>
    <row r="1247" spans="1:22" x14ac:dyDescent="0.3">
      <c r="A1247" s="2" t="s">
        <v>2979</v>
      </c>
      <c r="B1247" s="10">
        <v>44092</v>
      </c>
      <c r="C1247" s="22">
        <v>44092</v>
      </c>
      <c r="D1247" s="1" t="s">
        <v>2980</v>
      </c>
      <c r="E1247" s="1" t="s">
        <v>185</v>
      </c>
      <c r="F1247" s="1">
        <v>33</v>
      </c>
      <c r="G1247" s="1" t="s">
        <v>24</v>
      </c>
      <c r="H1247" s="1" t="s">
        <v>111</v>
      </c>
      <c r="I1247" s="1" t="s">
        <v>121</v>
      </c>
      <c r="J1247" s="1" t="s">
        <v>127</v>
      </c>
      <c r="K1247" s="1" t="s">
        <v>196</v>
      </c>
      <c r="L1247" s="1">
        <v>6</v>
      </c>
      <c r="M1247" s="13">
        <v>51958.82</v>
      </c>
      <c r="N1247" s="15">
        <v>0.09</v>
      </c>
      <c r="O1247" s="13">
        <v>296590.44</v>
      </c>
      <c r="P1247" s="13">
        <v>46515.89</v>
      </c>
      <c r="Q1247" s="13">
        <v>67.94</v>
      </c>
      <c r="R1247" s="1" t="s">
        <v>78</v>
      </c>
      <c r="S1247" s="1">
        <v>5</v>
      </c>
      <c r="T1247" s="1" t="b">
        <v>0</v>
      </c>
      <c r="U1247" s="1" t="s">
        <v>58</v>
      </c>
      <c r="V1247" s="3">
        <v>3</v>
      </c>
    </row>
    <row r="1248" spans="1:22" x14ac:dyDescent="0.3">
      <c r="A1248" s="2" t="s">
        <v>2981</v>
      </c>
      <c r="B1248" s="10">
        <v>45605</v>
      </c>
      <c r="C1248" s="22">
        <v>45605</v>
      </c>
      <c r="D1248" s="1" t="s">
        <v>2982</v>
      </c>
      <c r="E1248" s="1" t="s">
        <v>735</v>
      </c>
      <c r="F1248" s="1">
        <v>6</v>
      </c>
      <c r="G1248" s="1" t="s">
        <v>34</v>
      </c>
      <c r="H1248" s="1" t="s">
        <v>82</v>
      </c>
      <c r="I1248" s="1" t="s">
        <v>293</v>
      </c>
      <c r="J1248" s="1" t="s">
        <v>127</v>
      </c>
      <c r="K1248" s="1" t="s">
        <v>142</v>
      </c>
      <c r="L1248" s="1">
        <v>4</v>
      </c>
      <c r="M1248" s="13">
        <v>35242.410000000003</v>
      </c>
      <c r="N1248" s="15">
        <v>0.19</v>
      </c>
      <c r="O1248" s="13">
        <v>119306.63</v>
      </c>
      <c r="P1248" s="13">
        <v>11262.26</v>
      </c>
      <c r="Q1248" s="13">
        <v>105.94</v>
      </c>
      <c r="R1248" s="1" t="s">
        <v>64</v>
      </c>
      <c r="S1248" s="1">
        <v>2</v>
      </c>
      <c r="T1248" s="1" t="b">
        <v>0</v>
      </c>
      <c r="U1248" s="1" t="s">
        <v>39</v>
      </c>
      <c r="V1248" s="3">
        <v>9</v>
      </c>
    </row>
    <row r="1249" spans="1:22" x14ac:dyDescent="0.3">
      <c r="A1249" s="2" t="s">
        <v>2983</v>
      </c>
      <c r="B1249" s="10">
        <v>45158</v>
      </c>
      <c r="C1249" s="22">
        <v>45158</v>
      </c>
      <c r="D1249" s="1" t="s">
        <v>2984</v>
      </c>
      <c r="E1249" s="1" t="s">
        <v>1387</v>
      </c>
      <c r="F1249" s="1">
        <v>17</v>
      </c>
      <c r="G1249" s="1" t="s">
        <v>68</v>
      </c>
      <c r="H1249" s="1" t="s">
        <v>82</v>
      </c>
      <c r="I1249" s="1" t="s">
        <v>293</v>
      </c>
      <c r="J1249" s="1" t="s">
        <v>44</v>
      </c>
      <c r="K1249" s="1" t="s">
        <v>186</v>
      </c>
      <c r="L1249" s="1">
        <v>8</v>
      </c>
      <c r="M1249" s="13">
        <v>11661.87</v>
      </c>
      <c r="N1249" s="15">
        <v>0.24</v>
      </c>
      <c r="O1249" s="13">
        <v>95197.56</v>
      </c>
      <c r="P1249" s="13">
        <v>28202.79</v>
      </c>
      <c r="Q1249" s="13">
        <v>88.67</v>
      </c>
      <c r="R1249" s="1" t="s">
        <v>57</v>
      </c>
      <c r="S1249" s="1">
        <v>5</v>
      </c>
      <c r="T1249" s="1" t="b">
        <v>0</v>
      </c>
      <c r="U1249" s="1" t="s">
        <v>39</v>
      </c>
      <c r="V1249" s="3">
        <v>3</v>
      </c>
    </row>
    <row r="1250" spans="1:22" x14ac:dyDescent="0.3">
      <c r="A1250" s="2" t="s">
        <v>2985</v>
      </c>
      <c r="B1250" s="10">
        <v>44825</v>
      </c>
      <c r="C1250" s="22">
        <v>44825</v>
      </c>
      <c r="D1250" s="1" t="s">
        <v>2986</v>
      </c>
      <c r="E1250" s="1" t="s">
        <v>858</v>
      </c>
      <c r="F1250" s="1">
        <v>19</v>
      </c>
      <c r="G1250" s="1" t="s">
        <v>34</v>
      </c>
      <c r="H1250" s="1" t="s">
        <v>25</v>
      </c>
      <c r="I1250" s="1" t="s">
        <v>26</v>
      </c>
      <c r="J1250" s="1" t="s">
        <v>44</v>
      </c>
      <c r="K1250" s="1" t="s">
        <v>93</v>
      </c>
      <c r="L1250" s="1">
        <v>9</v>
      </c>
      <c r="M1250" s="13">
        <v>11670.17</v>
      </c>
      <c r="N1250" s="15">
        <v>0.28999999999999998</v>
      </c>
      <c r="O1250" s="13">
        <v>98477.31</v>
      </c>
      <c r="P1250" s="13">
        <v>25127.73</v>
      </c>
      <c r="Q1250" s="13">
        <v>70.569999999999993</v>
      </c>
      <c r="R1250" s="1" t="s">
        <v>70</v>
      </c>
      <c r="S1250" s="1">
        <v>2</v>
      </c>
      <c r="T1250" s="1" t="b">
        <v>0</v>
      </c>
      <c r="U1250" s="1" t="s">
        <v>58</v>
      </c>
      <c r="V1250" s="3">
        <v>5</v>
      </c>
    </row>
    <row r="1251" spans="1:22" x14ac:dyDescent="0.3">
      <c r="A1251" s="2" t="s">
        <v>2987</v>
      </c>
      <c r="B1251" s="10">
        <v>45296</v>
      </c>
      <c r="C1251" s="22">
        <v>45296</v>
      </c>
      <c r="D1251" s="1" t="s">
        <v>2988</v>
      </c>
      <c r="E1251" s="1" t="s">
        <v>1266</v>
      </c>
      <c r="F1251" s="1">
        <v>34</v>
      </c>
      <c r="G1251" s="1" t="s">
        <v>24</v>
      </c>
      <c r="H1251" s="1" t="s">
        <v>25</v>
      </c>
      <c r="I1251" s="1" t="s">
        <v>55</v>
      </c>
      <c r="J1251" s="1" t="s">
        <v>76</v>
      </c>
      <c r="K1251" s="1" t="s">
        <v>207</v>
      </c>
      <c r="L1251" s="1">
        <v>3</v>
      </c>
      <c r="M1251" s="13">
        <v>2014.35</v>
      </c>
      <c r="N1251" s="15">
        <v>0.34</v>
      </c>
      <c r="O1251" s="13">
        <v>3745.45</v>
      </c>
      <c r="P1251" s="13">
        <v>1521.68</v>
      </c>
      <c r="Q1251" s="13">
        <v>55.01</v>
      </c>
      <c r="R1251" s="1" t="s">
        <v>78</v>
      </c>
      <c r="S1251" s="1">
        <v>2</v>
      </c>
      <c r="T1251" s="1" t="b">
        <v>0</v>
      </c>
      <c r="U1251" s="1" t="s">
        <v>39</v>
      </c>
      <c r="V1251" s="3">
        <v>2</v>
      </c>
    </row>
    <row r="1252" spans="1:22" x14ac:dyDescent="0.3">
      <c r="A1252" s="2" t="s">
        <v>2989</v>
      </c>
      <c r="B1252" s="10">
        <v>44465</v>
      </c>
      <c r="C1252" s="22">
        <v>44465</v>
      </c>
      <c r="D1252" s="1" t="s">
        <v>2990</v>
      </c>
      <c r="E1252" s="1" t="s">
        <v>2257</v>
      </c>
      <c r="F1252" s="1">
        <v>9</v>
      </c>
      <c r="G1252" s="1" t="s">
        <v>34</v>
      </c>
      <c r="H1252" s="1" t="s">
        <v>35</v>
      </c>
      <c r="I1252" s="1" t="s">
        <v>49</v>
      </c>
      <c r="J1252" s="1" t="s">
        <v>146</v>
      </c>
      <c r="K1252" s="1" t="s">
        <v>178</v>
      </c>
      <c r="L1252" s="1">
        <v>7</v>
      </c>
      <c r="M1252" s="13">
        <v>12363.5</v>
      </c>
      <c r="N1252" s="15">
        <v>0.06</v>
      </c>
      <c r="O1252" s="13">
        <v>79795.539999999994</v>
      </c>
      <c r="P1252" s="13">
        <v>13170.87</v>
      </c>
      <c r="Q1252" s="13">
        <v>61.11</v>
      </c>
      <c r="R1252" s="1" t="s">
        <v>51</v>
      </c>
      <c r="S1252" s="1">
        <v>1</v>
      </c>
      <c r="T1252" s="1" t="b">
        <v>0</v>
      </c>
      <c r="U1252" s="1" t="s">
        <v>137</v>
      </c>
      <c r="V1252" s="3">
        <v>3</v>
      </c>
    </row>
    <row r="1253" spans="1:22" x14ac:dyDescent="0.3">
      <c r="A1253" s="2" t="s">
        <v>2991</v>
      </c>
      <c r="B1253" s="10">
        <v>45614</v>
      </c>
      <c r="C1253" s="22">
        <v>45614</v>
      </c>
      <c r="D1253" s="1" t="s">
        <v>2992</v>
      </c>
      <c r="E1253" s="1" t="s">
        <v>2752</v>
      </c>
      <c r="F1253" s="1">
        <v>24</v>
      </c>
      <c r="G1253" s="1" t="s">
        <v>34</v>
      </c>
      <c r="H1253" s="1" t="s">
        <v>35</v>
      </c>
      <c r="I1253" s="1" t="s">
        <v>49</v>
      </c>
      <c r="J1253" s="1" t="s">
        <v>76</v>
      </c>
      <c r="K1253" s="1" t="s">
        <v>77</v>
      </c>
      <c r="L1253" s="1">
        <v>6</v>
      </c>
      <c r="M1253" s="13">
        <v>3683.81</v>
      </c>
      <c r="N1253" s="15">
        <v>0.14000000000000001</v>
      </c>
      <c r="O1253" s="13">
        <v>18294.23</v>
      </c>
      <c r="P1253" s="13">
        <v>6945.87</v>
      </c>
      <c r="Q1253" s="13">
        <v>62.15</v>
      </c>
      <c r="R1253" s="1" t="s">
        <v>70</v>
      </c>
      <c r="S1253" s="1">
        <v>3</v>
      </c>
      <c r="T1253" s="1" t="b">
        <v>0</v>
      </c>
      <c r="U1253" s="1" t="s">
        <v>39</v>
      </c>
      <c r="V1253" s="3">
        <v>7</v>
      </c>
    </row>
    <row r="1254" spans="1:22" x14ac:dyDescent="0.3">
      <c r="A1254" s="2" t="s">
        <v>2993</v>
      </c>
      <c r="B1254" s="10">
        <v>44911</v>
      </c>
      <c r="C1254" s="22">
        <v>44911</v>
      </c>
      <c r="D1254" s="1" t="s">
        <v>2994</v>
      </c>
      <c r="E1254" s="1" t="s">
        <v>177</v>
      </c>
      <c r="F1254" s="1">
        <v>38</v>
      </c>
      <c r="G1254" s="1" t="s">
        <v>68</v>
      </c>
      <c r="H1254" s="1" t="s">
        <v>25</v>
      </c>
      <c r="I1254" s="1" t="s">
        <v>55</v>
      </c>
      <c r="J1254" s="1" t="s">
        <v>76</v>
      </c>
      <c r="K1254" s="1" t="s">
        <v>77</v>
      </c>
      <c r="L1254" s="1">
        <v>7</v>
      </c>
      <c r="M1254" s="13">
        <v>3070.57</v>
      </c>
      <c r="N1254" s="15">
        <v>0.11</v>
      </c>
      <c r="O1254" s="13">
        <v>15759.57</v>
      </c>
      <c r="P1254" s="13">
        <v>5224.3900000000003</v>
      </c>
      <c r="Q1254" s="13">
        <v>34.380000000000003</v>
      </c>
      <c r="R1254" s="1" t="s">
        <v>70</v>
      </c>
      <c r="S1254" s="1">
        <v>1</v>
      </c>
      <c r="T1254" s="1" t="b">
        <v>0</v>
      </c>
      <c r="U1254" s="1" t="s">
        <v>39</v>
      </c>
      <c r="V1254" s="3">
        <v>2</v>
      </c>
    </row>
    <row r="1255" spans="1:22" x14ac:dyDescent="0.3">
      <c r="A1255" s="2" t="s">
        <v>2995</v>
      </c>
      <c r="B1255" s="10">
        <v>44901</v>
      </c>
      <c r="C1255" s="22">
        <v>44901</v>
      </c>
      <c r="D1255" s="1" t="s">
        <v>2996</v>
      </c>
      <c r="E1255" s="1" t="s">
        <v>801</v>
      </c>
      <c r="F1255" s="1">
        <v>35</v>
      </c>
      <c r="G1255" s="1" t="s">
        <v>34</v>
      </c>
      <c r="H1255" s="1" t="s">
        <v>111</v>
      </c>
      <c r="I1255" s="1" t="s">
        <v>121</v>
      </c>
      <c r="J1255" s="1" t="s">
        <v>76</v>
      </c>
      <c r="K1255" s="1" t="s">
        <v>113</v>
      </c>
      <c r="L1255" s="1">
        <v>10</v>
      </c>
      <c r="M1255" s="13">
        <v>1323.89</v>
      </c>
      <c r="N1255" s="15">
        <v>0.17</v>
      </c>
      <c r="O1255" s="13">
        <v>7846.07</v>
      </c>
      <c r="P1255" s="13">
        <v>2864.34</v>
      </c>
      <c r="Q1255" s="13">
        <v>73.19</v>
      </c>
      <c r="R1255" s="1" t="s">
        <v>70</v>
      </c>
      <c r="S1255" s="1">
        <v>3</v>
      </c>
      <c r="T1255" s="1" t="b">
        <v>0</v>
      </c>
      <c r="U1255" s="1" t="s">
        <v>39</v>
      </c>
      <c r="V1255" s="3">
        <v>6</v>
      </c>
    </row>
    <row r="1256" spans="1:22" x14ac:dyDescent="0.3">
      <c r="A1256" s="2" t="s">
        <v>2997</v>
      </c>
      <c r="B1256" s="10">
        <v>45377</v>
      </c>
      <c r="C1256" s="22">
        <v>45377</v>
      </c>
      <c r="D1256" s="1" t="s">
        <v>2998</v>
      </c>
      <c r="E1256" s="1" t="s">
        <v>831</v>
      </c>
      <c r="F1256" s="1">
        <v>28</v>
      </c>
      <c r="G1256" s="1" t="s">
        <v>68</v>
      </c>
      <c r="H1256" s="1" t="s">
        <v>35</v>
      </c>
      <c r="I1256" s="1" t="s">
        <v>36</v>
      </c>
      <c r="J1256" s="1" t="s">
        <v>127</v>
      </c>
      <c r="K1256" s="1" t="s">
        <v>517</v>
      </c>
      <c r="L1256" s="1">
        <v>5</v>
      </c>
      <c r="M1256" s="13">
        <v>17236.669999999998</v>
      </c>
      <c r="N1256" s="15">
        <v>0.25</v>
      </c>
      <c r="O1256" s="13">
        <v>16579.98</v>
      </c>
      <c r="P1256" s="13">
        <v>1792.51</v>
      </c>
      <c r="Q1256" s="13">
        <v>70.709999999999994</v>
      </c>
      <c r="R1256" s="1" t="s">
        <v>57</v>
      </c>
      <c r="S1256" s="1">
        <v>3</v>
      </c>
      <c r="T1256" s="1" t="b">
        <v>0</v>
      </c>
      <c r="U1256" s="1" t="s">
        <v>39</v>
      </c>
      <c r="V1256" s="3">
        <v>2</v>
      </c>
    </row>
    <row r="1257" spans="1:22" x14ac:dyDescent="0.3">
      <c r="A1257" s="2" t="s">
        <v>2999</v>
      </c>
      <c r="B1257" s="10">
        <v>45510</v>
      </c>
      <c r="C1257" s="22">
        <v>45510</v>
      </c>
      <c r="D1257" s="1" t="s">
        <v>3000</v>
      </c>
      <c r="E1257" s="1" t="s">
        <v>387</v>
      </c>
      <c r="F1257" s="1">
        <v>31</v>
      </c>
      <c r="G1257" s="1" t="s">
        <v>24</v>
      </c>
      <c r="H1257" s="1" t="s">
        <v>82</v>
      </c>
      <c r="I1257" s="1" t="s">
        <v>293</v>
      </c>
      <c r="J1257" s="1" t="s">
        <v>127</v>
      </c>
      <c r="K1257" s="1" t="s">
        <v>308</v>
      </c>
      <c r="L1257" s="1">
        <v>1</v>
      </c>
      <c r="M1257" s="13">
        <v>32097.99</v>
      </c>
      <c r="N1257" s="15">
        <v>0.19</v>
      </c>
      <c r="O1257" s="13">
        <v>38771.85</v>
      </c>
      <c r="P1257" s="13">
        <v>5312.93</v>
      </c>
      <c r="Q1257" s="13">
        <v>86.5</v>
      </c>
      <c r="R1257" s="1" t="s">
        <v>57</v>
      </c>
      <c r="S1257" s="1">
        <v>5</v>
      </c>
      <c r="T1257" s="1" t="b">
        <v>0</v>
      </c>
      <c r="U1257" s="1" t="s">
        <v>39</v>
      </c>
      <c r="V1257" s="3">
        <v>10</v>
      </c>
    </row>
    <row r="1258" spans="1:22" x14ac:dyDescent="0.3">
      <c r="A1258" s="2" t="s">
        <v>3001</v>
      </c>
      <c r="B1258" s="10">
        <v>45589</v>
      </c>
      <c r="C1258" s="22">
        <v>45589</v>
      </c>
      <c r="D1258" s="1" t="s">
        <v>3002</v>
      </c>
      <c r="E1258" s="1" t="s">
        <v>473</v>
      </c>
      <c r="F1258" s="1">
        <v>16</v>
      </c>
      <c r="G1258" s="1" t="s">
        <v>34</v>
      </c>
      <c r="H1258" s="1" t="s">
        <v>25</v>
      </c>
      <c r="I1258" s="1" t="s">
        <v>170</v>
      </c>
      <c r="J1258" s="1" t="s">
        <v>27</v>
      </c>
      <c r="K1258" s="1" t="s">
        <v>400</v>
      </c>
      <c r="L1258" s="1">
        <v>5</v>
      </c>
      <c r="M1258" s="13">
        <v>127.17</v>
      </c>
      <c r="N1258" s="15">
        <v>0.13</v>
      </c>
      <c r="O1258" s="13">
        <v>579.76</v>
      </c>
      <c r="P1258" s="13">
        <v>51.77</v>
      </c>
      <c r="Q1258" s="13">
        <v>79.36</v>
      </c>
      <c r="R1258" s="1" t="s">
        <v>29</v>
      </c>
      <c r="S1258" s="1">
        <v>5</v>
      </c>
      <c r="T1258" s="1" t="b">
        <v>0</v>
      </c>
      <c r="U1258" s="1" t="s">
        <v>84</v>
      </c>
      <c r="V1258" s="3">
        <v>8</v>
      </c>
    </row>
    <row r="1259" spans="1:22" x14ac:dyDescent="0.3">
      <c r="A1259" s="2" t="s">
        <v>3003</v>
      </c>
      <c r="B1259" s="10">
        <v>44683</v>
      </c>
      <c r="C1259" s="22">
        <v>44683</v>
      </c>
      <c r="D1259" s="1" t="s">
        <v>3004</v>
      </c>
      <c r="E1259" s="1" t="s">
        <v>3005</v>
      </c>
      <c r="F1259" s="1">
        <v>23</v>
      </c>
      <c r="G1259" s="1" t="s">
        <v>24</v>
      </c>
      <c r="H1259" s="1" t="s">
        <v>35</v>
      </c>
      <c r="I1259" s="1" t="s">
        <v>106</v>
      </c>
      <c r="J1259" s="1" t="s">
        <v>76</v>
      </c>
      <c r="K1259" s="1" t="s">
        <v>89</v>
      </c>
      <c r="L1259" s="1">
        <v>9</v>
      </c>
      <c r="M1259" s="13">
        <v>2847.87</v>
      </c>
      <c r="N1259" s="15">
        <v>0.1</v>
      </c>
      <c r="O1259" s="13">
        <v>33393.53</v>
      </c>
      <c r="P1259" s="13">
        <v>12191.27</v>
      </c>
      <c r="Q1259" s="13">
        <v>82.56</v>
      </c>
      <c r="R1259" s="1" t="s">
        <v>29</v>
      </c>
      <c r="S1259" s="1">
        <v>2</v>
      </c>
      <c r="T1259" s="1" t="b">
        <v>0</v>
      </c>
      <c r="U1259" s="1" t="s">
        <v>84</v>
      </c>
      <c r="V1259" s="3">
        <v>1</v>
      </c>
    </row>
    <row r="1260" spans="1:22" x14ac:dyDescent="0.3">
      <c r="A1260" s="2" t="s">
        <v>3006</v>
      </c>
      <c r="B1260" s="10">
        <v>45235</v>
      </c>
      <c r="C1260" s="22">
        <v>45235</v>
      </c>
      <c r="D1260" s="1" t="s">
        <v>3007</v>
      </c>
      <c r="E1260" s="1" t="s">
        <v>1862</v>
      </c>
      <c r="F1260" s="1">
        <v>26</v>
      </c>
      <c r="G1260" s="1" t="s">
        <v>34</v>
      </c>
      <c r="H1260" s="1" t="s">
        <v>35</v>
      </c>
      <c r="I1260" s="1" t="s">
        <v>106</v>
      </c>
      <c r="J1260" s="1" t="s">
        <v>76</v>
      </c>
      <c r="K1260" s="1" t="s">
        <v>122</v>
      </c>
      <c r="L1260" s="1">
        <v>5</v>
      </c>
      <c r="M1260" s="13">
        <v>3838.12</v>
      </c>
      <c r="N1260" s="15">
        <v>0.33</v>
      </c>
      <c r="O1260" s="13">
        <v>12041.48</v>
      </c>
      <c r="P1260" s="13">
        <v>4808.1400000000003</v>
      </c>
      <c r="Q1260" s="13">
        <v>32.22</v>
      </c>
      <c r="R1260" s="1" t="s">
        <v>78</v>
      </c>
      <c r="S1260" s="1">
        <v>3</v>
      </c>
      <c r="T1260" s="1" t="b">
        <v>0</v>
      </c>
      <c r="U1260" s="1" t="s">
        <v>39</v>
      </c>
      <c r="V1260" s="3">
        <v>1</v>
      </c>
    </row>
    <row r="1261" spans="1:22" x14ac:dyDescent="0.3">
      <c r="A1261" s="2" t="s">
        <v>3008</v>
      </c>
      <c r="B1261" s="10">
        <v>44676</v>
      </c>
      <c r="C1261" s="22">
        <v>44676</v>
      </c>
      <c r="D1261" s="1" t="s">
        <v>3009</v>
      </c>
      <c r="E1261" s="1" t="s">
        <v>2927</v>
      </c>
      <c r="F1261" s="1">
        <v>2</v>
      </c>
      <c r="G1261" s="1" t="s">
        <v>24</v>
      </c>
      <c r="H1261" s="1" t="s">
        <v>25</v>
      </c>
      <c r="I1261" s="1" t="s">
        <v>55</v>
      </c>
      <c r="J1261" s="1" t="s">
        <v>146</v>
      </c>
      <c r="K1261" s="1" t="s">
        <v>217</v>
      </c>
      <c r="L1261" s="1">
        <v>9</v>
      </c>
      <c r="M1261" s="13">
        <v>1049.52</v>
      </c>
      <c r="N1261" s="15">
        <v>0.1</v>
      </c>
      <c r="O1261" s="13">
        <v>10418.77</v>
      </c>
      <c r="P1261" s="13">
        <v>2621.33</v>
      </c>
      <c r="Q1261" s="13">
        <v>73.930000000000007</v>
      </c>
      <c r="R1261" s="1" t="s">
        <v>51</v>
      </c>
      <c r="S1261" s="1">
        <v>2</v>
      </c>
      <c r="T1261" s="1" t="b">
        <v>0</v>
      </c>
      <c r="U1261" s="1" t="s">
        <v>39</v>
      </c>
      <c r="V1261" s="3">
        <v>5</v>
      </c>
    </row>
    <row r="1262" spans="1:22" x14ac:dyDescent="0.3">
      <c r="A1262" s="2" t="s">
        <v>3010</v>
      </c>
      <c r="B1262" s="10">
        <v>44020</v>
      </c>
      <c r="C1262" s="22">
        <v>44020</v>
      </c>
      <c r="D1262" s="1" t="s">
        <v>3011</v>
      </c>
      <c r="E1262" s="1" t="s">
        <v>1886</v>
      </c>
      <c r="F1262" s="1">
        <v>23</v>
      </c>
      <c r="G1262" s="1" t="s">
        <v>34</v>
      </c>
      <c r="H1262" s="1" t="s">
        <v>111</v>
      </c>
      <c r="I1262" s="1" t="s">
        <v>141</v>
      </c>
      <c r="J1262" s="1" t="s">
        <v>127</v>
      </c>
      <c r="K1262" s="1" t="s">
        <v>171</v>
      </c>
      <c r="L1262" s="1">
        <v>9</v>
      </c>
      <c r="M1262" s="13">
        <v>57811.07</v>
      </c>
      <c r="N1262" s="15">
        <v>0.11</v>
      </c>
      <c r="O1262" s="13">
        <v>535096.15</v>
      </c>
      <c r="P1262" s="13">
        <v>69255.11</v>
      </c>
      <c r="Q1262" s="13">
        <v>81.93</v>
      </c>
      <c r="R1262" s="1" t="s">
        <v>70</v>
      </c>
      <c r="S1262" s="1">
        <v>1</v>
      </c>
      <c r="T1262" s="1" t="b">
        <v>0</v>
      </c>
      <c r="U1262" s="1" t="s">
        <v>39</v>
      </c>
      <c r="V1262" s="3">
        <v>6</v>
      </c>
    </row>
    <row r="1263" spans="1:22" x14ac:dyDescent="0.3">
      <c r="A1263" s="2" t="s">
        <v>3012</v>
      </c>
      <c r="B1263" s="10">
        <v>45485</v>
      </c>
      <c r="C1263" s="22">
        <v>45485</v>
      </c>
      <c r="D1263" s="1" t="s">
        <v>3013</v>
      </c>
      <c r="E1263" s="1" t="s">
        <v>635</v>
      </c>
      <c r="F1263" s="1">
        <v>28</v>
      </c>
      <c r="G1263" s="1" t="s">
        <v>68</v>
      </c>
      <c r="H1263" s="1" t="s">
        <v>82</v>
      </c>
      <c r="I1263" s="1" t="s">
        <v>126</v>
      </c>
      <c r="J1263" s="1" t="s">
        <v>76</v>
      </c>
      <c r="K1263" s="1" t="s">
        <v>113</v>
      </c>
      <c r="L1263" s="1">
        <v>9</v>
      </c>
      <c r="M1263" s="13">
        <v>2080.9899999999998</v>
      </c>
      <c r="N1263" s="15">
        <v>0.16</v>
      </c>
      <c r="O1263" s="13">
        <v>29349.38</v>
      </c>
      <c r="P1263" s="13">
        <v>8715.61</v>
      </c>
      <c r="Q1263" s="13">
        <v>71.25</v>
      </c>
      <c r="R1263" s="1" t="s">
        <v>57</v>
      </c>
      <c r="S1263" s="1">
        <v>4</v>
      </c>
      <c r="T1263" s="1" t="b">
        <v>0</v>
      </c>
      <c r="U1263" s="1" t="s">
        <v>39</v>
      </c>
      <c r="V1263" s="3">
        <v>10</v>
      </c>
    </row>
    <row r="1264" spans="1:22" x14ac:dyDescent="0.3">
      <c r="A1264" s="2" t="s">
        <v>3014</v>
      </c>
      <c r="B1264" s="10">
        <v>45262</v>
      </c>
      <c r="C1264" s="22">
        <v>45262</v>
      </c>
      <c r="D1264" s="1" t="s">
        <v>3015</v>
      </c>
      <c r="E1264" s="1" t="s">
        <v>3016</v>
      </c>
      <c r="F1264" s="1">
        <v>53</v>
      </c>
      <c r="G1264" s="1" t="s">
        <v>68</v>
      </c>
      <c r="H1264" s="1" t="s">
        <v>82</v>
      </c>
      <c r="I1264" s="1" t="s">
        <v>126</v>
      </c>
      <c r="J1264" s="1" t="s">
        <v>44</v>
      </c>
      <c r="K1264" s="1" t="s">
        <v>186</v>
      </c>
      <c r="L1264" s="1">
        <v>7</v>
      </c>
      <c r="M1264" s="13">
        <v>17240.23</v>
      </c>
      <c r="N1264" s="15">
        <v>0.18</v>
      </c>
      <c r="O1264" s="13">
        <v>93169.87</v>
      </c>
      <c r="P1264" s="13">
        <v>29154.44</v>
      </c>
      <c r="Q1264" s="13">
        <v>70.02</v>
      </c>
      <c r="R1264" s="1" t="s">
        <v>78</v>
      </c>
      <c r="S1264" s="1">
        <v>2</v>
      </c>
      <c r="T1264" s="1" t="b">
        <v>0</v>
      </c>
      <c r="U1264" s="1" t="s">
        <v>39</v>
      </c>
      <c r="V1264" s="3">
        <v>10</v>
      </c>
    </row>
    <row r="1265" spans="1:22" x14ac:dyDescent="0.3">
      <c r="A1265" s="2" t="s">
        <v>3017</v>
      </c>
      <c r="B1265" s="10">
        <v>45558</v>
      </c>
      <c r="C1265" s="22">
        <v>45558</v>
      </c>
      <c r="D1265" s="1" t="s">
        <v>3018</v>
      </c>
      <c r="E1265" s="1" t="s">
        <v>540</v>
      </c>
      <c r="F1265" s="1">
        <v>31</v>
      </c>
      <c r="G1265" s="1" t="s">
        <v>68</v>
      </c>
      <c r="H1265" s="1" t="s">
        <v>111</v>
      </c>
      <c r="I1265" s="1" t="s">
        <v>112</v>
      </c>
      <c r="J1265" s="1" t="s">
        <v>62</v>
      </c>
      <c r="K1265" s="1" t="s">
        <v>266</v>
      </c>
      <c r="L1265" s="1">
        <v>5</v>
      </c>
      <c r="M1265" s="13">
        <v>893.6</v>
      </c>
      <c r="N1265" s="15">
        <v>0.03</v>
      </c>
      <c r="O1265" s="13">
        <v>5604.17</v>
      </c>
      <c r="P1265" s="13">
        <v>1918.52</v>
      </c>
      <c r="Q1265" s="13">
        <v>70.92</v>
      </c>
      <c r="R1265" s="1" t="s">
        <v>29</v>
      </c>
      <c r="S1265" s="1">
        <v>1</v>
      </c>
      <c r="T1265" s="1" t="b">
        <v>0</v>
      </c>
      <c r="U1265" s="1" t="s">
        <v>39</v>
      </c>
      <c r="V1265" s="3">
        <v>2</v>
      </c>
    </row>
    <row r="1266" spans="1:22" x14ac:dyDescent="0.3">
      <c r="A1266" s="2" t="s">
        <v>3019</v>
      </c>
      <c r="B1266" s="10">
        <v>44287</v>
      </c>
      <c r="C1266" s="22">
        <v>44287</v>
      </c>
      <c r="D1266" s="1" t="s">
        <v>3020</v>
      </c>
      <c r="E1266" s="1" t="s">
        <v>349</v>
      </c>
      <c r="F1266" s="1">
        <v>24</v>
      </c>
      <c r="G1266" s="1" t="s">
        <v>68</v>
      </c>
      <c r="H1266" s="1" t="s">
        <v>82</v>
      </c>
      <c r="I1266" s="1" t="s">
        <v>244</v>
      </c>
      <c r="J1266" s="1" t="s">
        <v>27</v>
      </c>
      <c r="K1266" s="1" t="s">
        <v>97</v>
      </c>
      <c r="L1266" s="1">
        <v>5</v>
      </c>
      <c r="M1266" s="13">
        <v>417.1</v>
      </c>
      <c r="N1266" s="15">
        <v>7.0000000000000007E-2</v>
      </c>
      <c r="O1266" s="13">
        <v>2357.5</v>
      </c>
      <c r="P1266" s="13">
        <v>234.32</v>
      </c>
      <c r="Q1266" s="13">
        <v>91.09</v>
      </c>
      <c r="R1266" s="1" t="s">
        <v>64</v>
      </c>
      <c r="S1266" s="1">
        <v>5</v>
      </c>
      <c r="T1266" s="1" t="b">
        <v>0</v>
      </c>
      <c r="U1266" s="1" t="s">
        <v>39</v>
      </c>
      <c r="V1266" s="3">
        <v>3</v>
      </c>
    </row>
    <row r="1267" spans="1:22" x14ac:dyDescent="0.3">
      <c r="A1267" s="2" t="s">
        <v>3021</v>
      </c>
      <c r="B1267" s="10">
        <v>44576</v>
      </c>
      <c r="C1267" s="22">
        <v>44576</v>
      </c>
      <c r="D1267" s="1" t="s">
        <v>3022</v>
      </c>
      <c r="E1267" s="1" t="s">
        <v>2875</v>
      </c>
      <c r="F1267" s="1">
        <v>34</v>
      </c>
      <c r="G1267" s="1" t="s">
        <v>68</v>
      </c>
      <c r="H1267" s="1" t="s">
        <v>111</v>
      </c>
      <c r="I1267" s="1" t="s">
        <v>330</v>
      </c>
      <c r="J1267" s="1" t="s">
        <v>127</v>
      </c>
      <c r="K1267" s="1" t="s">
        <v>128</v>
      </c>
      <c r="L1267" s="1">
        <v>9</v>
      </c>
      <c r="M1267" s="13">
        <v>32073.99</v>
      </c>
      <c r="N1267" s="15">
        <v>0.13</v>
      </c>
      <c r="O1267" s="13">
        <v>216523.83</v>
      </c>
      <c r="P1267" s="13">
        <v>25075.11</v>
      </c>
      <c r="Q1267" s="13">
        <v>53.93</v>
      </c>
      <c r="R1267" s="1" t="s">
        <v>29</v>
      </c>
      <c r="S1267" s="1">
        <v>1</v>
      </c>
      <c r="T1267" s="1" t="b">
        <v>0</v>
      </c>
      <c r="U1267" s="1" t="s">
        <v>39</v>
      </c>
      <c r="V1267" s="3">
        <v>1</v>
      </c>
    </row>
    <row r="1268" spans="1:22" x14ac:dyDescent="0.3">
      <c r="A1268" s="2" t="s">
        <v>3023</v>
      </c>
      <c r="B1268" s="10">
        <v>45368</v>
      </c>
      <c r="C1268" s="22">
        <v>45368</v>
      </c>
      <c r="D1268" s="1" t="s">
        <v>3024</v>
      </c>
      <c r="E1268" s="1" t="s">
        <v>632</v>
      </c>
      <c r="F1268" s="1">
        <v>39</v>
      </c>
      <c r="G1268" s="1" t="s">
        <v>463</v>
      </c>
      <c r="H1268" s="1" t="s">
        <v>82</v>
      </c>
      <c r="I1268" s="1" t="s">
        <v>293</v>
      </c>
      <c r="J1268" s="1" t="s">
        <v>44</v>
      </c>
      <c r="K1268" s="1" t="s">
        <v>221</v>
      </c>
      <c r="L1268" s="1">
        <v>1</v>
      </c>
      <c r="M1268" s="13">
        <v>13132.98</v>
      </c>
      <c r="N1268" s="15">
        <v>0.37</v>
      </c>
      <c r="O1268" s="13">
        <v>10874.57</v>
      </c>
      <c r="P1268" s="13">
        <v>2437.06</v>
      </c>
      <c r="Q1268" s="13">
        <v>64.72</v>
      </c>
      <c r="R1268" s="1" t="s">
        <v>64</v>
      </c>
      <c r="S1268" s="1">
        <v>3</v>
      </c>
      <c r="T1268" s="1" t="b">
        <v>0</v>
      </c>
      <c r="U1268" s="1" t="s">
        <v>39</v>
      </c>
      <c r="V1268" s="3">
        <v>9</v>
      </c>
    </row>
    <row r="1269" spans="1:22" x14ac:dyDescent="0.3">
      <c r="A1269" s="2" t="s">
        <v>3025</v>
      </c>
      <c r="B1269" s="10">
        <v>45520</v>
      </c>
      <c r="C1269" s="22">
        <v>45520</v>
      </c>
      <c r="D1269" s="1" t="s">
        <v>3026</v>
      </c>
      <c r="E1269" s="1" t="s">
        <v>301</v>
      </c>
      <c r="F1269" s="1">
        <v>17</v>
      </c>
      <c r="G1269" s="1" t="s">
        <v>24</v>
      </c>
      <c r="H1269" s="1" t="s">
        <v>111</v>
      </c>
      <c r="I1269" s="1" t="s">
        <v>121</v>
      </c>
      <c r="J1269" s="1" t="s">
        <v>37</v>
      </c>
      <c r="K1269" s="1" t="s">
        <v>102</v>
      </c>
      <c r="L1269" s="1">
        <v>2</v>
      </c>
      <c r="M1269" s="13">
        <v>339.31</v>
      </c>
      <c r="N1269" s="15">
        <v>0.14000000000000001</v>
      </c>
      <c r="O1269" s="13">
        <v>903.41</v>
      </c>
      <c r="P1269" s="13">
        <v>266.52</v>
      </c>
      <c r="Q1269" s="13">
        <v>77.849999999999994</v>
      </c>
      <c r="R1269" s="1" t="s">
        <v>70</v>
      </c>
      <c r="S1269" s="1">
        <v>3</v>
      </c>
      <c r="T1269" s="1" t="b">
        <v>0</v>
      </c>
      <c r="U1269" s="1" t="s">
        <v>39</v>
      </c>
      <c r="V1269" s="3">
        <v>2</v>
      </c>
    </row>
    <row r="1270" spans="1:22" x14ac:dyDescent="0.3">
      <c r="A1270" s="2" t="s">
        <v>3027</v>
      </c>
      <c r="B1270" s="10">
        <v>45075</v>
      </c>
      <c r="C1270" s="22">
        <v>45075</v>
      </c>
      <c r="D1270" s="1" t="s">
        <v>3028</v>
      </c>
      <c r="E1270" s="1" t="s">
        <v>433</v>
      </c>
      <c r="F1270" s="1">
        <v>43</v>
      </c>
      <c r="G1270" s="1" t="s">
        <v>24</v>
      </c>
      <c r="H1270" s="1" t="s">
        <v>111</v>
      </c>
      <c r="I1270" s="1" t="s">
        <v>330</v>
      </c>
      <c r="J1270" s="1" t="s">
        <v>27</v>
      </c>
      <c r="K1270" s="1" t="s">
        <v>430</v>
      </c>
      <c r="L1270" s="1">
        <v>4</v>
      </c>
      <c r="M1270" s="13">
        <v>176.79</v>
      </c>
      <c r="N1270" s="15">
        <v>0.34</v>
      </c>
      <c r="O1270" s="13">
        <v>759.97</v>
      </c>
      <c r="P1270" s="13">
        <v>71.67</v>
      </c>
      <c r="Q1270" s="13">
        <v>64.69</v>
      </c>
      <c r="R1270" s="1" t="s">
        <v>78</v>
      </c>
      <c r="S1270" s="1">
        <v>2</v>
      </c>
      <c r="T1270" s="1" t="b">
        <v>0</v>
      </c>
      <c r="U1270" s="1" t="s">
        <v>39</v>
      </c>
      <c r="V1270" s="3">
        <v>4</v>
      </c>
    </row>
    <row r="1271" spans="1:22" x14ac:dyDescent="0.3">
      <c r="A1271" s="2" t="s">
        <v>3029</v>
      </c>
      <c r="B1271" s="10">
        <v>44024</v>
      </c>
      <c r="C1271" s="22">
        <v>44024</v>
      </c>
      <c r="D1271" s="1" t="s">
        <v>3030</v>
      </c>
      <c r="E1271" s="1" t="s">
        <v>3031</v>
      </c>
      <c r="F1271" s="1">
        <v>26</v>
      </c>
      <c r="G1271" s="1" t="s">
        <v>24</v>
      </c>
      <c r="H1271" s="1" t="s">
        <v>82</v>
      </c>
      <c r="I1271" s="1" t="s">
        <v>83</v>
      </c>
      <c r="J1271" s="1" t="s">
        <v>146</v>
      </c>
      <c r="K1271" s="1" t="s">
        <v>178</v>
      </c>
      <c r="L1271" s="1">
        <v>2</v>
      </c>
      <c r="M1271" s="13">
        <v>1653.6</v>
      </c>
      <c r="N1271" s="15">
        <v>0.04</v>
      </c>
      <c r="O1271" s="13">
        <v>4503.3</v>
      </c>
      <c r="P1271" s="13">
        <v>970.42</v>
      </c>
      <c r="Q1271" s="13">
        <v>65.98</v>
      </c>
      <c r="R1271" s="1" t="s">
        <v>78</v>
      </c>
      <c r="S1271" s="1">
        <v>2</v>
      </c>
      <c r="T1271" s="1" t="b">
        <v>0</v>
      </c>
      <c r="U1271" s="1" t="s">
        <v>84</v>
      </c>
      <c r="V1271" s="3">
        <v>9</v>
      </c>
    </row>
    <row r="1272" spans="1:22" x14ac:dyDescent="0.3">
      <c r="A1272" s="2" t="s">
        <v>3032</v>
      </c>
      <c r="B1272" s="10">
        <v>44689</v>
      </c>
      <c r="C1272" s="22">
        <v>44689</v>
      </c>
      <c r="D1272" s="1" t="s">
        <v>3033</v>
      </c>
      <c r="E1272" s="1" t="s">
        <v>983</v>
      </c>
      <c r="F1272" s="1">
        <v>43</v>
      </c>
      <c r="G1272" s="1" t="s">
        <v>34</v>
      </c>
      <c r="H1272" s="1" t="s">
        <v>74</v>
      </c>
      <c r="I1272" s="1" t="s">
        <v>75</v>
      </c>
      <c r="J1272" s="1" t="s">
        <v>62</v>
      </c>
      <c r="K1272" s="1" t="s">
        <v>107</v>
      </c>
      <c r="L1272" s="1">
        <v>6</v>
      </c>
      <c r="M1272" s="13">
        <v>1175.95</v>
      </c>
      <c r="N1272" s="15">
        <v>0.21</v>
      </c>
      <c r="O1272" s="13">
        <v>6295.77</v>
      </c>
      <c r="P1272" s="13">
        <v>2412.9499999999998</v>
      </c>
      <c r="Q1272" s="13">
        <v>48.24</v>
      </c>
      <c r="R1272" s="1" t="s">
        <v>78</v>
      </c>
      <c r="S1272" s="1">
        <v>1</v>
      </c>
      <c r="T1272" s="1" t="b">
        <v>0</v>
      </c>
      <c r="U1272" s="1" t="s">
        <v>39</v>
      </c>
      <c r="V1272" s="3">
        <v>8</v>
      </c>
    </row>
    <row r="1273" spans="1:22" x14ac:dyDescent="0.3">
      <c r="A1273" s="2" t="s">
        <v>3034</v>
      </c>
      <c r="B1273" s="10">
        <v>45231</v>
      </c>
      <c r="C1273" s="22">
        <v>45231</v>
      </c>
      <c r="D1273" s="1" t="s">
        <v>3035</v>
      </c>
      <c r="E1273" s="1" t="s">
        <v>61</v>
      </c>
      <c r="F1273" s="1">
        <v>23</v>
      </c>
      <c r="G1273" s="1" t="s">
        <v>68</v>
      </c>
      <c r="H1273" s="1" t="s">
        <v>74</v>
      </c>
      <c r="I1273" s="1" t="s">
        <v>101</v>
      </c>
      <c r="J1273" s="1" t="s">
        <v>127</v>
      </c>
      <c r="K1273" s="1" t="s">
        <v>196</v>
      </c>
      <c r="L1273" s="1">
        <v>2</v>
      </c>
      <c r="M1273" s="13">
        <v>5533.58</v>
      </c>
      <c r="N1273" s="15">
        <v>0.28000000000000003</v>
      </c>
      <c r="O1273" s="13">
        <v>7936.89</v>
      </c>
      <c r="P1273" s="13">
        <v>1116.53</v>
      </c>
      <c r="Q1273" s="13">
        <v>64.260000000000005</v>
      </c>
      <c r="R1273" s="1" t="s">
        <v>78</v>
      </c>
      <c r="S1273" s="1">
        <v>3</v>
      </c>
      <c r="T1273" s="1" t="b">
        <v>0</v>
      </c>
      <c r="U1273" s="1" t="s">
        <v>39</v>
      </c>
      <c r="V1273" s="3">
        <v>5</v>
      </c>
    </row>
    <row r="1274" spans="1:22" x14ac:dyDescent="0.3">
      <c r="A1274" s="2" t="s">
        <v>3036</v>
      </c>
      <c r="B1274" s="10">
        <v>45496</v>
      </c>
      <c r="C1274" s="22">
        <v>45496</v>
      </c>
      <c r="D1274" s="1" t="s">
        <v>3037</v>
      </c>
      <c r="E1274" s="1" t="s">
        <v>767</v>
      </c>
      <c r="F1274" s="1">
        <v>-2</v>
      </c>
      <c r="G1274" s="1" t="s">
        <v>34</v>
      </c>
      <c r="H1274" s="1" t="s">
        <v>35</v>
      </c>
      <c r="I1274" s="1" t="s">
        <v>36</v>
      </c>
      <c r="J1274" s="1" t="s">
        <v>62</v>
      </c>
      <c r="K1274" s="1" t="s">
        <v>283</v>
      </c>
      <c r="L1274" s="1">
        <v>4</v>
      </c>
      <c r="M1274" s="13">
        <v>1110.24</v>
      </c>
      <c r="N1274" s="15">
        <v>0.37</v>
      </c>
      <c r="O1274" s="13">
        <v>4630.24</v>
      </c>
      <c r="P1274" s="13">
        <v>2178.27</v>
      </c>
      <c r="Q1274" s="13">
        <v>50.74</v>
      </c>
      <c r="R1274" s="1" t="s">
        <v>29</v>
      </c>
      <c r="S1274" s="1">
        <v>3</v>
      </c>
      <c r="T1274" s="1" t="b">
        <v>0</v>
      </c>
      <c r="U1274" s="1" t="s">
        <v>137</v>
      </c>
      <c r="V1274" s="3">
        <v>4</v>
      </c>
    </row>
    <row r="1275" spans="1:22" x14ac:dyDescent="0.3">
      <c r="A1275" s="2" t="s">
        <v>3038</v>
      </c>
      <c r="B1275" s="10">
        <v>45476</v>
      </c>
      <c r="C1275" s="22">
        <v>45476</v>
      </c>
      <c r="D1275" s="1" t="s">
        <v>3039</v>
      </c>
      <c r="E1275" s="1" t="s">
        <v>3040</v>
      </c>
      <c r="F1275" s="1">
        <v>43</v>
      </c>
      <c r="G1275" s="1" t="s">
        <v>24</v>
      </c>
      <c r="H1275" s="1" t="s">
        <v>35</v>
      </c>
      <c r="I1275" s="1" t="s">
        <v>43</v>
      </c>
      <c r="J1275" s="1" t="s">
        <v>37</v>
      </c>
      <c r="K1275" s="1" t="s">
        <v>671</v>
      </c>
      <c r="L1275" s="1">
        <v>4</v>
      </c>
      <c r="M1275" s="13">
        <v>1596.7</v>
      </c>
      <c r="N1275" s="15">
        <v>0.35</v>
      </c>
      <c r="O1275" s="13">
        <v>6225.11</v>
      </c>
      <c r="P1275" s="13">
        <v>2976.56</v>
      </c>
      <c r="Q1275" s="13">
        <v>47.58</v>
      </c>
      <c r="R1275" s="1" t="s">
        <v>64</v>
      </c>
      <c r="S1275" s="1">
        <v>2</v>
      </c>
      <c r="T1275" s="1" t="b">
        <v>0</v>
      </c>
      <c r="U1275" s="1" t="s">
        <v>39</v>
      </c>
      <c r="V1275" s="3">
        <v>8</v>
      </c>
    </row>
    <row r="1276" spans="1:22" x14ac:dyDescent="0.3">
      <c r="A1276" s="2" t="s">
        <v>3041</v>
      </c>
      <c r="B1276" s="10">
        <v>45204</v>
      </c>
      <c r="C1276" s="22">
        <v>45204</v>
      </c>
      <c r="D1276" s="1" t="s">
        <v>3042</v>
      </c>
      <c r="E1276" s="1" t="s">
        <v>87</v>
      </c>
      <c r="F1276" s="1">
        <v>39</v>
      </c>
      <c r="G1276" s="1" t="s">
        <v>24</v>
      </c>
      <c r="H1276" s="1" t="s">
        <v>111</v>
      </c>
      <c r="I1276" s="1" t="s">
        <v>330</v>
      </c>
      <c r="J1276" s="1" t="s">
        <v>127</v>
      </c>
      <c r="K1276" s="1" t="s">
        <v>196</v>
      </c>
      <c r="L1276" s="1">
        <v>5</v>
      </c>
      <c r="M1276" s="13">
        <v>11373.83</v>
      </c>
      <c r="N1276" s="15">
        <v>7.0000000000000007E-2</v>
      </c>
      <c r="O1276" s="13">
        <v>67236.759999999995</v>
      </c>
      <c r="P1276" s="13">
        <v>8643.41</v>
      </c>
      <c r="Q1276" s="13">
        <v>51.2</v>
      </c>
      <c r="R1276" s="1" t="s">
        <v>78</v>
      </c>
      <c r="S1276" s="1">
        <v>2</v>
      </c>
      <c r="T1276" s="1" t="b">
        <v>0</v>
      </c>
      <c r="U1276" s="1" t="s">
        <v>58</v>
      </c>
      <c r="V1276" s="3">
        <v>7</v>
      </c>
    </row>
    <row r="1277" spans="1:22" x14ac:dyDescent="0.3">
      <c r="A1277" s="2" t="s">
        <v>3043</v>
      </c>
      <c r="B1277" s="10">
        <v>43920</v>
      </c>
      <c r="C1277" s="22">
        <v>43920</v>
      </c>
      <c r="D1277" s="1" t="s">
        <v>3044</v>
      </c>
      <c r="E1277" s="1" t="s">
        <v>1436</v>
      </c>
      <c r="F1277" s="1">
        <v>35</v>
      </c>
      <c r="G1277" s="1" t="s">
        <v>24</v>
      </c>
      <c r="H1277" s="1" t="s">
        <v>82</v>
      </c>
      <c r="I1277" s="1" t="s">
        <v>126</v>
      </c>
      <c r="J1277" s="1" t="s">
        <v>127</v>
      </c>
      <c r="K1277" s="1" t="s">
        <v>196</v>
      </c>
      <c r="L1277" s="1">
        <v>1</v>
      </c>
      <c r="M1277" s="13">
        <v>61584.97</v>
      </c>
      <c r="N1277" s="15">
        <v>0.16</v>
      </c>
      <c r="O1277" s="13">
        <v>53607.17</v>
      </c>
      <c r="P1277" s="13">
        <v>4451.9799999999996</v>
      </c>
      <c r="Q1277" s="13">
        <v>62.25</v>
      </c>
      <c r="R1277" s="1" t="s">
        <v>57</v>
      </c>
      <c r="S1277" s="1">
        <v>3</v>
      </c>
      <c r="T1277" s="1" t="b">
        <v>1</v>
      </c>
      <c r="U1277" s="1" t="s">
        <v>30</v>
      </c>
      <c r="V1277" s="3">
        <v>6</v>
      </c>
    </row>
    <row r="1278" spans="1:22" x14ac:dyDescent="0.3">
      <c r="A1278" s="2" t="s">
        <v>3045</v>
      </c>
      <c r="B1278" s="10">
        <v>43872</v>
      </c>
      <c r="C1278" s="22">
        <v>43872</v>
      </c>
      <c r="D1278" s="1" t="s">
        <v>3046</v>
      </c>
      <c r="E1278" s="1" t="s">
        <v>140</v>
      </c>
      <c r="F1278" s="1">
        <v>31</v>
      </c>
      <c r="G1278" s="1" t="s">
        <v>68</v>
      </c>
      <c r="H1278" s="1" t="s">
        <v>111</v>
      </c>
      <c r="I1278" s="1" t="s">
        <v>330</v>
      </c>
      <c r="J1278" s="1" t="s">
        <v>62</v>
      </c>
      <c r="K1278" s="1" t="s">
        <v>151</v>
      </c>
      <c r="L1278" s="1">
        <v>4</v>
      </c>
      <c r="M1278" s="13">
        <v>514.80999999999995</v>
      </c>
      <c r="N1278" s="15">
        <v>0.28999999999999998</v>
      </c>
      <c r="O1278" s="13">
        <v>1258.03</v>
      </c>
      <c r="P1278" s="13">
        <v>506.71</v>
      </c>
      <c r="Q1278" s="13">
        <v>90.95</v>
      </c>
      <c r="R1278" s="1" t="s">
        <v>57</v>
      </c>
      <c r="S1278" s="1">
        <v>3</v>
      </c>
      <c r="T1278" s="1" t="b">
        <v>1</v>
      </c>
      <c r="U1278" s="1" t="s">
        <v>30</v>
      </c>
      <c r="V1278" s="3">
        <v>8</v>
      </c>
    </row>
    <row r="1279" spans="1:22" x14ac:dyDescent="0.3">
      <c r="A1279" s="2" t="s">
        <v>3047</v>
      </c>
      <c r="B1279" s="10">
        <v>44840</v>
      </c>
      <c r="C1279" s="22">
        <v>44840</v>
      </c>
      <c r="D1279" s="1" t="s">
        <v>3048</v>
      </c>
      <c r="E1279" s="1" t="s">
        <v>1330</v>
      </c>
      <c r="F1279" s="1">
        <v>33</v>
      </c>
      <c r="G1279" s="1" t="s">
        <v>24</v>
      </c>
      <c r="H1279" s="1" t="s">
        <v>82</v>
      </c>
      <c r="I1279" s="1" t="s">
        <v>126</v>
      </c>
      <c r="J1279" s="1" t="s">
        <v>44</v>
      </c>
      <c r="K1279" s="1" t="s">
        <v>93</v>
      </c>
      <c r="L1279" s="1">
        <v>5</v>
      </c>
      <c r="M1279" s="13">
        <v>3653.99</v>
      </c>
      <c r="N1279" s="15">
        <v>0.28000000000000003</v>
      </c>
      <c r="O1279" s="13">
        <v>2715.55</v>
      </c>
      <c r="P1279" s="13">
        <v>857.67</v>
      </c>
      <c r="Q1279" s="13">
        <v>97.14</v>
      </c>
      <c r="R1279" s="1" t="s">
        <v>64</v>
      </c>
      <c r="S1279" s="1">
        <v>4</v>
      </c>
      <c r="T1279" s="1" t="b">
        <v>0</v>
      </c>
      <c r="U1279" s="1" t="s">
        <v>39</v>
      </c>
      <c r="V1279" s="3">
        <v>8</v>
      </c>
    </row>
    <row r="1280" spans="1:22" x14ac:dyDescent="0.3">
      <c r="A1280" s="2" t="s">
        <v>3049</v>
      </c>
      <c r="B1280" s="10">
        <v>45523</v>
      </c>
      <c r="C1280" s="22">
        <v>45523</v>
      </c>
      <c r="D1280" s="1" t="s">
        <v>3050</v>
      </c>
      <c r="E1280" s="1" t="s">
        <v>693</v>
      </c>
      <c r="F1280" s="1">
        <v>41</v>
      </c>
      <c r="G1280" s="1" t="s">
        <v>68</v>
      </c>
      <c r="H1280" s="1" t="s">
        <v>82</v>
      </c>
      <c r="I1280" s="1" t="s">
        <v>244</v>
      </c>
      <c r="J1280" s="1" t="s">
        <v>62</v>
      </c>
      <c r="K1280" s="1" t="s">
        <v>63</v>
      </c>
      <c r="L1280" s="1">
        <v>9</v>
      </c>
      <c r="M1280" s="13">
        <v>252.57</v>
      </c>
      <c r="N1280" s="15">
        <v>0.22</v>
      </c>
      <c r="O1280" s="13">
        <v>3014.3</v>
      </c>
      <c r="P1280" s="13">
        <v>1540.74</v>
      </c>
      <c r="Q1280" s="13">
        <v>68.92</v>
      </c>
      <c r="R1280" s="1" t="s">
        <v>57</v>
      </c>
      <c r="S1280" s="1">
        <v>5</v>
      </c>
      <c r="T1280" s="1" t="b">
        <v>0</v>
      </c>
      <c r="U1280" s="1" t="s">
        <v>39</v>
      </c>
      <c r="V1280" s="3">
        <v>4</v>
      </c>
    </row>
    <row r="1281" spans="1:22" x14ac:dyDescent="0.3">
      <c r="A1281" s="2" t="s">
        <v>3051</v>
      </c>
      <c r="B1281" s="10">
        <v>44728</v>
      </c>
      <c r="C1281" s="22">
        <v>44728</v>
      </c>
      <c r="D1281" s="1" t="s">
        <v>3052</v>
      </c>
      <c r="E1281" s="1" t="s">
        <v>591</v>
      </c>
      <c r="F1281" s="1">
        <v>20</v>
      </c>
      <c r="G1281" s="1" t="s">
        <v>68</v>
      </c>
      <c r="H1281" s="1" t="s">
        <v>111</v>
      </c>
      <c r="I1281" s="1" t="s">
        <v>112</v>
      </c>
      <c r="J1281" s="1" t="s">
        <v>27</v>
      </c>
      <c r="K1281" s="1" t="s">
        <v>450</v>
      </c>
      <c r="L1281" s="1">
        <v>3</v>
      </c>
      <c r="M1281" s="13">
        <v>328.35</v>
      </c>
      <c r="N1281" s="15">
        <v>0.36</v>
      </c>
      <c r="O1281" s="13">
        <v>955.25</v>
      </c>
      <c r="P1281" s="13">
        <v>66.63</v>
      </c>
      <c r="Q1281" s="13">
        <v>38.42</v>
      </c>
      <c r="R1281" s="1" t="s">
        <v>70</v>
      </c>
      <c r="S1281" s="1">
        <v>1</v>
      </c>
      <c r="T1281" s="1" t="b">
        <v>1</v>
      </c>
      <c r="U1281" s="1" t="s">
        <v>30</v>
      </c>
      <c r="V1281" s="3">
        <v>3</v>
      </c>
    </row>
    <row r="1282" spans="1:22" x14ac:dyDescent="0.3">
      <c r="A1282" s="2" t="s">
        <v>3053</v>
      </c>
      <c r="B1282" s="10">
        <v>45419</v>
      </c>
      <c r="C1282" s="22">
        <v>45419</v>
      </c>
      <c r="D1282" s="1" t="s">
        <v>3054</v>
      </c>
      <c r="E1282" s="1" t="s">
        <v>905</v>
      </c>
      <c r="F1282" s="1">
        <v>22</v>
      </c>
      <c r="G1282" s="1" t="s">
        <v>34</v>
      </c>
      <c r="H1282" s="1" t="s">
        <v>74</v>
      </c>
      <c r="I1282" s="1" t="s">
        <v>101</v>
      </c>
      <c r="J1282" s="1" t="s">
        <v>27</v>
      </c>
      <c r="K1282" s="1" t="s">
        <v>28</v>
      </c>
      <c r="L1282" s="1">
        <v>7</v>
      </c>
      <c r="M1282" s="13">
        <v>113.61</v>
      </c>
      <c r="N1282" s="15">
        <v>0.03</v>
      </c>
      <c r="O1282" s="13">
        <v>1502.19</v>
      </c>
      <c r="P1282" s="13">
        <v>129.15</v>
      </c>
      <c r="Q1282" s="13">
        <v>65.959999999999994</v>
      </c>
      <c r="R1282" s="1" t="s">
        <v>29</v>
      </c>
      <c r="S1282" s="1">
        <v>5</v>
      </c>
      <c r="T1282" s="1" t="b">
        <v>0</v>
      </c>
      <c r="U1282" s="1" t="s">
        <v>39</v>
      </c>
      <c r="V1282" s="3">
        <v>4</v>
      </c>
    </row>
    <row r="1283" spans="1:22" x14ac:dyDescent="0.3">
      <c r="A1283" s="2" t="s">
        <v>3055</v>
      </c>
      <c r="B1283" s="10">
        <v>44556</v>
      </c>
      <c r="C1283" s="22">
        <v>44556</v>
      </c>
      <c r="D1283" s="1" t="s">
        <v>3056</v>
      </c>
      <c r="E1283" s="1" t="s">
        <v>1246</v>
      </c>
      <c r="F1283" s="1">
        <v>31</v>
      </c>
      <c r="G1283" s="1" t="s">
        <v>68</v>
      </c>
      <c r="H1283" s="1" t="s">
        <v>74</v>
      </c>
      <c r="I1283" s="1" t="s">
        <v>75</v>
      </c>
      <c r="J1283" s="1" t="s">
        <v>146</v>
      </c>
      <c r="K1283" s="1" t="s">
        <v>484</v>
      </c>
      <c r="L1283" s="1">
        <v>3</v>
      </c>
      <c r="M1283" s="13">
        <v>11948.26</v>
      </c>
      <c r="N1283" s="15">
        <v>0.37</v>
      </c>
      <c r="O1283" s="13">
        <v>16327.78</v>
      </c>
      <c r="P1283" s="13">
        <v>3332.82</v>
      </c>
      <c r="Q1283" s="13">
        <v>46.24</v>
      </c>
      <c r="R1283" s="1" t="s">
        <v>51</v>
      </c>
      <c r="S1283" s="1">
        <v>1</v>
      </c>
      <c r="T1283" s="1" t="b">
        <v>1</v>
      </c>
      <c r="U1283" s="1" t="s">
        <v>30</v>
      </c>
      <c r="V1283" s="3">
        <v>9</v>
      </c>
    </row>
    <row r="1284" spans="1:22" x14ac:dyDescent="0.3">
      <c r="A1284" s="2" t="s">
        <v>3057</v>
      </c>
      <c r="B1284" s="10">
        <v>44394</v>
      </c>
      <c r="C1284" s="22">
        <v>44394</v>
      </c>
      <c r="D1284" s="1" t="s">
        <v>3058</v>
      </c>
      <c r="E1284" s="1" t="s">
        <v>1665</v>
      </c>
      <c r="F1284" s="1">
        <v>54</v>
      </c>
      <c r="G1284" s="1" t="s">
        <v>68</v>
      </c>
      <c r="H1284" s="1" t="s">
        <v>74</v>
      </c>
      <c r="I1284" s="1" t="s">
        <v>192</v>
      </c>
      <c r="J1284" s="1" t="s">
        <v>62</v>
      </c>
      <c r="K1284" s="1" t="s">
        <v>266</v>
      </c>
      <c r="L1284" s="1">
        <v>3</v>
      </c>
      <c r="M1284" s="13">
        <v>454.35</v>
      </c>
      <c r="N1284" s="15">
        <v>0.08</v>
      </c>
      <c r="O1284" s="13">
        <v>1480.71</v>
      </c>
      <c r="P1284" s="13">
        <v>662.33</v>
      </c>
      <c r="Q1284" s="13">
        <v>36.880000000000003</v>
      </c>
      <c r="R1284" s="1" t="s">
        <v>57</v>
      </c>
      <c r="S1284" s="1">
        <v>5</v>
      </c>
      <c r="T1284" s="1" t="b">
        <v>0</v>
      </c>
      <c r="U1284" s="1" t="s">
        <v>39</v>
      </c>
      <c r="V1284" s="3">
        <v>1</v>
      </c>
    </row>
    <row r="1285" spans="1:22" x14ac:dyDescent="0.3">
      <c r="A1285" s="2" t="s">
        <v>3059</v>
      </c>
      <c r="B1285" s="10">
        <v>44516</v>
      </c>
      <c r="C1285" s="22">
        <v>44516</v>
      </c>
      <c r="D1285" s="1" t="s">
        <v>3060</v>
      </c>
      <c r="E1285" s="1" t="s">
        <v>594</v>
      </c>
      <c r="F1285" s="1">
        <v>25</v>
      </c>
      <c r="G1285" s="1" t="s">
        <v>34</v>
      </c>
      <c r="H1285" s="1" t="s">
        <v>111</v>
      </c>
      <c r="I1285" s="1" t="s">
        <v>141</v>
      </c>
      <c r="J1285" s="1" t="s">
        <v>37</v>
      </c>
      <c r="K1285" s="1" t="s">
        <v>671</v>
      </c>
      <c r="L1285" s="1">
        <v>9</v>
      </c>
      <c r="M1285" s="13">
        <v>1726.96</v>
      </c>
      <c r="N1285" s="15">
        <v>0.23</v>
      </c>
      <c r="O1285" s="13">
        <v>8215.07</v>
      </c>
      <c r="P1285" s="13">
        <v>3795.6</v>
      </c>
      <c r="Q1285" s="13">
        <v>92.14</v>
      </c>
      <c r="R1285" s="1" t="s">
        <v>51</v>
      </c>
      <c r="S1285" s="1">
        <v>3</v>
      </c>
      <c r="T1285" s="1" t="b">
        <v>0</v>
      </c>
      <c r="U1285" s="1" t="s">
        <v>39</v>
      </c>
      <c r="V1285" s="3">
        <v>5</v>
      </c>
    </row>
    <row r="1286" spans="1:22" x14ac:dyDescent="0.3">
      <c r="A1286" s="2" t="s">
        <v>3061</v>
      </c>
      <c r="B1286" s="10">
        <v>43865</v>
      </c>
      <c r="C1286" s="22">
        <v>43865</v>
      </c>
      <c r="D1286" s="1" t="s">
        <v>3062</v>
      </c>
      <c r="E1286" s="1" t="s">
        <v>1899</v>
      </c>
      <c r="F1286" s="1">
        <v>28</v>
      </c>
      <c r="G1286" s="1" t="s">
        <v>68</v>
      </c>
      <c r="H1286" s="1" t="s">
        <v>25</v>
      </c>
      <c r="I1286" s="1" t="s">
        <v>55</v>
      </c>
      <c r="J1286" s="1" t="s">
        <v>62</v>
      </c>
      <c r="K1286" s="1" t="s">
        <v>63</v>
      </c>
      <c r="L1286" s="1">
        <v>8</v>
      </c>
      <c r="M1286" s="13">
        <v>466.79</v>
      </c>
      <c r="N1286" s="15">
        <v>0.13</v>
      </c>
      <c r="O1286" s="13">
        <v>2614.7399999999998</v>
      </c>
      <c r="P1286" s="13">
        <v>1118.74</v>
      </c>
      <c r="Q1286" s="13">
        <v>75.510000000000005</v>
      </c>
      <c r="R1286" s="1" t="s">
        <v>57</v>
      </c>
      <c r="S1286" s="1">
        <v>1</v>
      </c>
      <c r="T1286" s="1" t="b">
        <v>1</v>
      </c>
      <c r="U1286" s="1" t="s">
        <v>30</v>
      </c>
      <c r="V1286" s="3">
        <v>10</v>
      </c>
    </row>
    <row r="1287" spans="1:22" x14ac:dyDescent="0.3">
      <c r="A1287" s="2" t="s">
        <v>3063</v>
      </c>
      <c r="B1287" s="10">
        <v>44065</v>
      </c>
      <c r="C1287" s="22">
        <v>44065</v>
      </c>
      <c r="D1287" s="1" t="s">
        <v>3064</v>
      </c>
      <c r="E1287" s="1" t="s">
        <v>2462</v>
      </c>
      <c r="F1287" s="1">
        <v>33</v>
      </c>
      <c r="G1287" s="1" t="s">
        <v>68</v>
      </c>
      <c r="H1287" s="1" t="s">
        <v>25</v>
      </c>
      <c r="I1287" s="1" t="s">
        <v>26</v>
      </c>
      <c r="J1287" s="1" t="s">
        <v>44</v>
      </c>
      <c r="K1287" s="1" t="s">
        <v>186</v>
      </c>
      <c r="L1287" s="1">
        <v>1</v>
      </c>
      <c r="M1287" s="13">
        <v>11106.33</v>
      </c>
      <c r="N1287" s="15">
        <v>0.21</v>
      </c>
      <c r="O1287" s="13">
        <v>9670.5300000000007</v>
      </c>
      <c r="P1287" s="13">
        <v>3146.8</v>
      </c>
      <c r="Q1287" s="13">
        <v>21.75</v>
      </c>
      <c r="R1287" s="1" t="s">
        <v>51</v>
      </c>
      <c r="S1287" s="1">
        <v>3</v>
      </c>
      <c r="T1287" s="1" t="b">
        <v>0</v>
      </c>
      <c r="U1287" s="1" t="s">
        <v>39</v>
      </c>
      <c r="V1287" s="3">
        <v>4</v>
      </c>
    </row>
    <row r="1288" spans="1:22" x14ac:dyDescent="0.3">
      <c r="A1288" s="2" t="s">
        <v>3065</v>
      </c>
      <c r="B1288" s="10">
        <v>44449</v>
      </c>
      <c r="C1288" s="22">
        <v>44449</v>
      </c>
      <c r="D1288" s="1" t="s">
        <v>3066</v>
      </c>
      <c r="E1288" s="1" t="s">
        <v>1236</v>
      </c>
      <c r="F1288" s="1">
        <v>47</v>
      </c>
      <c r="G1288" s="1" t="s">
        <v>24</v>
      </c>
      <c r="H1288" s="1" t="s">
        <v>111</v>
      </c>
      <c r="I1288" s="1" t="s">
        <v>141</v>
      </c>
      <c r="J1288" s="1" t="s">
        <v>37</v>
      </c>
      <c r="K1288" s="1" t="s">
        <v>454</v>
      </c>
      <c r="L1288" s="1">
        <v>6</v>
      </c>
      <c r="M1288" s="13">
        <v>1969.17</v>
      </c>
      <c r="N1288" s="15">
        <v>0.13</v>
      </c>
      <c r="O1288" s="13">
        <v>11841.76</v>
      </c>
      <c r="P1288" s="13">
        <v>3753.53</v>
      </c>
      <c r="Q1288" s="13">
        <v>62.19</v>
      </c>
      <c r="R1288" s="1" t="s">
        <v>57</v>
      </c>
      <c r="S1288" s="1">
        <v>4</v>
      </c>
      <c r="T1288" s="1" t="b">
        <v>0</v>
      </c>
      <c r="U1288" s="1" t="s">
        <v>39</v>
      </c>
      <c r="V1288" s="3">
        <v>7</v>
      </c>
    </row>
    <row r="1289" spans="1:22" x14ac:dyDescent="0.3">
      <c r="A1289" s="2" t="s">
        <v>3067</v>
      </c>
      <c r="B1289" s="10">
        <v>44685</v>
      </c>
      <c r="C1289" s="22">
        <v>44685</v>
      </c>
      <c r="D1289" s="1" t="s">
        <v>3068</v>
      </c>
      <c r="E1289" s="1" t="s">
        <v>1064</v>
      </c>
      <c r="F1289" s="1">
        <v>14</v>
      </c>
      <c r="G1289" s="1" t="s">
        <v>68</v>
      </c>
      <c r="H1289" s="1" t="s">
        <v>82</v>
      </c>
      <c r="I1289" s="1" t="s">
        <v>244</v>
      </c>
      <c r="J1289" s="1" t="s">
        <v>76</v>
      </c>
      <c r="K1289" s="1" t="s">
        <v>122</v>
      </c>
      <c r="L1289" s="1">
        <v>1</v>
      </c>
      <c r="M1289" s="13">
        <v>487.63</v>
      </c>
      <c r="N1289" s="15">
        <v>0.12</v>
      </c>
      <c r="O1289" s="13">
        <v>645.70000000000005</v>
      </c>
      <c r="P1289" s="13">
        <v>264.52</v>
      </c>
      <c r="Q1289" s="13">
        <v>80.56</v>
      </c>
      <c r="R1289" s="1" t="s">
        <v>57</v>
      </c>
      <c r="S1289" s="1">
        <v>3</v>
      </c>
      <c r="T1289" s="1" t="b">
        <v>0</v>
      </c>
      <c r="U1289" s="1" t="s">
        <v>137</v>
      </c>
      <c r="V1289" s="3">
        <v>6</v>
      </c>
    </row>
    <row r="1290" spans="1:22" x14ac:dyDescent="0.3">
      <c r="A1290" s="2" t="s">
        <v>3069</v>
      </c>
      <c r="B1290" s="10">
        <v>45155</v>
      </c>
      <c r="C1290" s="22">
        <v>45155</v>
      </c>
      <c r="D1290" s="1" t="s">
        <v>3070</v>
      </c>
      <c r="E1290" s="1" t="s">
        <v>403</v>
      </c>
      <c r="F1290" s="1">
        <v>43</v>
      </c>
      <c r="G1290" s="1" t="s">
        <v>24</v>
      </c>
      <c r="H1290" s="1" t="s">
        <v>35</v>
      </c>
      <c r="I1290" s="1" t="s">
        <v>43</v>
      </c>
      <c r="J1290" s="1" t="s">
        <v>146</v>
      </c>
      <c r="K1290" s="1" t="s">
        <v>217</v>
      </c>
      <c r="L1290" s="1">
        <v>1</v>
      </c>
      <c r="M1290" s="13">
        <v>8555.4</v>
      </c>
      <c r="N1290" s="15">
        <v>0.13</v>
      </c>
      <c r="O1290" s="13">
        <v>9667.42</v>
      </c>
      <c r="P1290" s="13">
        <v>2139.7800000000002</v>
      </c>
      <c r="Q1290" s="13">
        <v>51.56</v>
      </c>
      <c r="R1290" s="1" t="s">
        <v>57</v>
      </c>
      <c r="S1290" s="1">
        <v>4</v>
      </c>
      <c r="T1290" s="1" t="b">
        <v>0</v>
      </c>
      <c r="U1290" s="1" t="s">
        <v>39</v>
      </c>
      <c r="V1290" s="3">
        <v>5</v>
      </c>
    </row>
    <row r="1291" spans="1:22" x14ac:dyDescent="0.3">
      <c r="A1291" s="2" t="s">
        <v>3071</v>
      </c>
      <c r="B1291" s="10">
        <v>44360</v>
      </c>
      <c r="C1291" s="22">
        <v>44360</v>
      </c>
      <c r="D1291" s="1" t="s">
        <v>3072</v>
      </c>
      <c r="E1291" s="1" t="s">
        <v>319</v>
      </c>
      <c r="F1291" s="1">
        <v>12</v>
      </c>
      <c r="G1291" s="1" t="s">
        <v>24</v>
      </c>
      <c r="H1291" s="1" t="s">
        <v>25</v>
      </c>
      <c r="I1291" s="1" t="s">
        <v>170</v>
      </c>
      <c r="J1291" s="1" t="s">
        <v>127</v>
      </c>
      <c r="K1291" s="1" t="s">
        <v>128</v>
      </c>
      <c r="L1291" s="1">
        <v>2</v>
      </c>
      <c r="M1291" s="13">
        <v>69650.179999999993</v>
      </c>
      <c r="N1291" s="15">
        <v>0.37</v>
      </c>
      <c r="O1291" s="13">
        <v>121912.78</v>
      </c>
      <c r="P1291" s="13">
        <v>16231.29</v>
      </c>
      <c r="Q1291" s="13">
        <v>72.14</v>
      </c>
      <c r="R1291" s="1" t="s">
        <v>78</v>
      </c>
      <c r="S1291" s="1">
        <v>4</v>
      </c>
      <c r="T1291" s="1" t="b">
        <v>0</v>
      </c>
      <c r="U1291" s="1" t="s">
        <v>137</v>
      </c>
      <c r="V1291" s="3">
        <v>1</v>
      </c>
    </row>
    <row r="1292" spans="1:22" x14ac:dyDescent="0.3">
      <c r="A1292" s="2" t="s">
        <v>3073</v>
      </c>
      <c r="B1292" s="10">
        <v>45483</v>
      </c>
      <c r="C1292" s="22">
        <v>45483</v>
      </c>
      <c r="D1292" s="1" t="s">
        <v>3074</v>
      </c>
      <c r="E1292" s="1" t="s">
        <v>96</v>
      </c>
      <c r="F1292" s="1">
        <v>32</v>
      </c>
      <c r="G1292" s="1" t="s">
        <v>24</v>
      </c>
      <c r="H1292" s="1" t="s">
        <v>111</v>
      </c>
      <c r="I1292" s="1" t="s">
        <v>141</v>
      </c>
      <c r="J1292" s="1" t="s">
        <v>127</v>
      </c>
      <c r="K1292" s="1" t="s">
        <v>171</v>
      </c>
      <c r="L1292" s="1">
        <v>6</v>
      </c>
      <c r="M1292" s="13">
        <v>33794.81</v>
      </c>
      <c r="N1292" s="15">
        <v>0.2</v>
      </c>
      <c r="O1292" s="13">
        <v>278998.42</v>
      </c>
      <c r="P1292" s="13">
        <v>47680.83</v>
      </c>
      <c r="Q1292" s="13">
        <v>53.59</v>
      </c>
      <c r="R1292" s="1" t="s">
        <v>70</v>
      </c>
      <c r="S1292" s="1">
        <v>5</v>
      </c>
      <c r="T1292" s="1" t="b">
        <v>0</v>
      </c>
      <c r="U1292" s="1" t="s">
        <v>39</v>
      </c>
      <c r="V1292" s="3">
        <v>6</v>
      </c>
    </row>
    <row r="1293" spans="1:22" x14ac:dyDescent="0.3">
      <c r="A1293" s="2" t="s">
        <v>3075</v>
      </c>
      <c r="B1293" s="10">
        <v>44193</v>
      </c>
      <c r="C1293" s="22">
        <v>44193</v>
      </c>
      <c r="D1293" s="1" t="s">
        <v>3076</v>
      </c>
      <c r="E1293" s="1" t="s">
        <v>3077</v>
      </c>
      <c r="F1293" s="1">
        <v>41</v>
      </c>
      <c r="G1293" s="1" t="s">
        <v>24</v>
      </c>
      <c r="H1293" s="1" t="s">
        <v>111</v>
      </c>
      <c r="I1293" s="1" t="s">
        <v>330</v>
      </c>
      <c r="J1293" s="1" t="s">
        <v>146</v>
      </c>
      <c r="K1293" s="1" t="s">
        <v>178</v>
      </c>
      <c r="L1293" s="1">
        <v>3</v>
      </c>
      <c r="M1293" s="13">
        <v>7407.34</v>
      </c>
      <c r="N1293" s="15">
        <v>0.1</v>
      </c>
      <c r="O1293" s="13">
        <v>11320.18</v>
      </c>
      <c r="P1293" s="13">
        <v>2114.9</v>
      </c>
      <c r="Q1293" s="13">
        <v>49.05</v>
      </c>
      <c r="R1293" s="1" t="s">
        <v>29</v>
      </c>
      <c r="S1293" s="1">
        <v>5</v>
      </c>
      <c r="T1293" s="1" t="b">
        <v>0</v>
      </c>
      <c r="U1293" s="1" t="s">
        <v>39</v>
      </c>
      <c r="V1293" s="3">
        <v>7</v>
      </c>
    </row>
    <row r="1294" spans="1:22" x14ac:dyDescent="0.3">
      <c r="A1294" s="2" t="s">
        <v>3078</v>
      </c>
      <c r="B1294" s="10">
        <v>44413</v>
      </c>
      <c r="C1294" s="22">
        <v>44413</v>
      </c>
      <c r="D1294" s="1" t="s">
        <v>3079</v>
      </c>
      <c r="E1294" s="1" t="s">
        <v>2295</v>
      </c>
      <c r="F1294" s="1">
        <v>32</v>
      </c>
      <c r="G1294" s="1" t="s">
        <v>24</v>
      </c>
      <c r="H1294" s="1" t="s">
        <v>74</v>
      </c>
      <c r="I1294" s="1" t="s">
        <v>101</v>
      </c>
      <c r="J1294" s="1" t="s">
        <v>37</v>
      </c>
      <c r="K1294" s="1" t="s">
        <v>231</v>
      </c>
      <c r="L1294" s="1">
        <v>8</v>
      </c>
      <c r="M1294" s="13">
        <v>460.54</v>
      </c>
      <c r="N1294" s="15">
        <v>0.18</v>
      </c>
      <c r="O1294" s="13">
        <v>4504.96</v>
      </c>
      <c r="P1294" s="13">
        <v>2168.77</v>
      </c>
      <c r="Q1294" s="13">
        <v>52.4</v>
      </c>
      <c r="R1294" s="1" t="s">
        <v>70</v>
      </c>
      <c r="S1294" s="1">
        <v>2</v>
      </c>
      <c r="T1294" s="1" t="b">
        <v>0</v>
      </c>
      <c r="U1294" s="1" t="s">
        <v>39</v>
      </c>
      <c r="V1294" s="3">
        <v>2</v>
      </c>
    </row>
    <row r="1295" spans="1:22" x14ac:dyDescent="0.3">
      <c r="A1295" s="2" t="s">
        <v>3080</v>
      </c>
      <c r="B1295" s="10">
        <v>44812</v>
      </c>
      <c r="C1295" s="22">
        <v>44812</v>
      </c>
      <c r="D1295" s="1" t="s">
        <v>3081</v>
      </c>
      <c r="E1295" s="1" t="s">
        <v>200</v>
      </c>
      <c r="F1295" s="1">
        <v>60</v>
      </c>
      <c r="G1295" s="1" t="s">
        <v>34</v>
      </c>
      <c r="H1295" s="1" t="s">
        <v>82</v>
      </c>
      <c r="I1295" s="1" t="s">
        <v>126</v>
      </c>
      <c r="J1295" s="1" t="s">
        <v>27</v>
      </c>
      <c r="K1295" s="1" t="s">
        <v>400</v>
      </c>
      <c r="L1295" s="1">
        <v>6</v>
      </c>
      <c r="M1295" s="13">
        <v>415.02</v>
      </c>
      <c r="N1295" s="15">
        <v>0.39</v>
      </c>
      <c r="O1295" s="13">
        <v>1807.15</v>
      </c>
      <c r="P1295" s="13">
        <v>138.97</v>
      </c>
      <c r="Q1295" s="13">
        <v>100.53</v>
      </c>
      <c r="R1295" s="1" t="s">
        <v>70</v>
      </c>
      <c r="S1295" s="1">
        <v>1</v>
      </c>
      <c r="T1295" s="1" t="b">
        <v>0</v>
      </c>
      <c r="U1295" s="1" t="s">
        <v>84</v>
      </c>
      <c r="V1295" s="3">
        <v>3</v>
      </c>
    </row>
    <row r="1296" spans="1:22" x14ac:dyDescent="0.3">
      <c r="A1296" s="2" t="s">
        <v>3082</v>
      </c>
      <c r="B1296" s="10">
        <v>43847</v>
      </c>
      <c r="C1296" s="22">
        <v>43847</v>
      </c>
      <c r="D1296" s="1" t="s">
        <v>3083</v>
      </c>
      <c r="E1296" s="1" t="s">
        <v>125</v>
      </c>
      <c r="F1296" s="1">
        <v>29</v>
      </c>
      <c r="G1296" s="1" t="s">
        <v>34</v>
      </c>
      <c r="H1296" s="1" t="s">
        <v>82</v>
      </c>
      <c r="I1296" s="1" t="s">
        <v>83</v>
      </c>
      <c r="J1296" s="1" t="s">
        <v>37</v>
      </c>
      <c r="K1296" s="1" t="s">
        <v>671</v>
      </c>
      <c r="L1296" s="1">
        <v>4</v>
      </c>
      <c r="M1296" s="13">
        <v>487.69</v>
      </c>
      <c r="N1296" s="15">
        <v>0.27</v>
      </c>
      <c r="O1296" s="13">
        <v>999.41</v>
      </c>
      <c r="P1296" s="13">
        <v>440.68</v>
      </c>
      <c r="Q1296" s="13">
        <v>86.54</v>
      </c>
      <c r="R1296" s="1" t="s">
        <v>70</v>
      </c>
      <c r="S1296" s="1">
        <v>3</v>
      </c>
      <c r="T1296" s="1" t="b">
        <v>0</v>
      </c>
      <c r="U1296" s="1" t="s">
        <v>39</v>
      </c>
      <c r="V1296" s="3">
        <v>6</v>
      </c>
    </row>
    <row r="1297" spans="1:22" x14ac:dyDescent="0.3">
      <c r="A1297" s="2" t="s">
        <v>3084</v>
      </c>
      <c r="B1297" s="10">
        <v>45080</v>
      </c>
      <c r="C1297" s="22">
        <v>45080</v>
      </c>
      <c r="D1297" s="1" t="s">
        <v>3085</v>
      </c>
      <c r="E1297" s="1" t="s">
        <v>726</v>
      </c>
      <c r="F1297" s="1">
        <v>30</v>
      </c>
      <c r="G1297" s="1" t="s">
        <v>68</v>
      </c>
      <c r="H1297" s="1" t="s">
        <v>35</v>
      </c>
      <c r="I1297" s="1" t="s">
        <v>106</v>
      </c>
      <c r="J1297" s="1" t="s">
        <v>76</v>
      </c>
      <c r="K1297" s="1" t="s">
        <v>207</v>
      </c>
      <c r="L1297" s="1">
        <v>9</v>
      </c>
      <c r="M1297" s="13">
        <v>378.42</v>
      </c>
      <c r="N1297" s="15">
        <v>0</v>
      </c>
      <c r="O1297" s="13">
        <v>4977.33</v>
      </c>
      <c r="P1297" s="13">
        <v>1570.94</v>
      </c>
      <c r="Q1297" s="13">
        <v>43.44</v>
      </c>
      <c r="R1297" s="1" t="s">
        <v>64</v>
      </c>
      <c r="S1297" s="1">
        <v>4</v>
      </c>
      <c r="T1297" s="1" t="b">
        <v>0</v>
      </c>
      <c r="U1297" s="1" t="s">
        <v>39</v>
      </c>
      <c r="V1297" s="3">
        <v>8</v>
      </c>
    </row>
    <row r="1298" spans="1:22" x14ac:dyDescent="0.3">
      <c r="A1298" s="2" t="s">
        <v>3086</v>
      </c>
      <c r="B1298" s="10">
        <v>44387</v>
      </c>
      <c r="C1298" s="22">
        <v>44387</v>
      </c>
      <c r="D1298" s="1" t="s">
        <v>3087</v>
      </c>
      <c r="E1298" s="1" t="s">
        <v>418</v>
      </c>
      <c r="F1298" s="1">
        <v>50</v>
      </c>
      <c r="G1298" s="1" t="s">
        <v>34</v>
      </c>
      <c r="H1298" s="1" t="s">
        <v>74</v>
      </c>
      <c r="I1298" s="1" t="s">
        <v>192</v>
      </c>
      <c r="J1298" s="1" t="s">
        <v>127</v>
      </c>
      <c r="K1298" s="1" t="s">
        <v>196</v>
      </c>
      <c r="L1298" s="1">
        <v>10</v>
      </c>
      <c r="M1298" s="13">
        <v>73418.09</v>
      </c>
      <c r="N1298" s="15">
        <v>0.12</v>
      </c>
      <c r="O1298" s="13">
        <v>852478.05</v>
      </c>
      <c r="P1298" s="13">
        <v>100234.13</v>
      </c>
      <c r="Q1298" s="13">
        <v>47.78</v>
      </c>
      <c r="R1298" s="1" t="s">
        <v>78</v>
      </c>
      <c r="S1298" s="1">
        <v>3</v>
      </c>
      <c r="T1298" s="1" t="b">
        <v>0</v>
      </c>
      <c r="U1298" s="1" t="s">
        <v>39</v>
      </c>
      <c r="V1298" s="3">
        <v>1</v>
      </c>
    </row>
    <row r="1299" spans="1:22" x14ac:dyDescent="0.3">
      <c r="A1299" s="2" t="s">
        <v>3088</v>
      </c>
      <c r="B1299" s="10">
        <v>45057</v>
      </c>
      <c r="C1299" s="22">
        <v>45057</v>
      </c>
      <c r="D1299" s="1" t="s">
        <v>3089</v>
      </c>
      <c r="E1299" s="1" t="s">
        <v>216</v>
      </c>
      <c r="F1299" s="1">
        <v>29</v>
      </c>
      <c r="G1299" s="1" t="s">
        <v>88</v>
      </c>
      <c r="H1299" s="1" t="s">
        <v>74</v>
      </c>
      <c r="I1299" s="1" t="s">
        <v>101</v>
      </c>
      <c r="J1299" s="1" t="s">
        <v>146</v>
      </c>
      <c r="K1299" s="1" t="s">
        <v>178</v>
      </c>
      <c r="L1299" s="1">
        <v>4</v>
      </c>
      <c r="M1299" s="13">
        <v>3625.13</v>
      </c>
      <c r="N1299" s="15">
        <v>0.28000000000000003</v>
      </c>
      <c r="O1299" s="13">
        <v>14299.68</v>
      </c>
      <c r="P1299" s="13">
        <v>4907.54</v>
      </c>
      <c r="Q1299" s="13">
        <v>52.29</v>
      </c>
      <c r="R1299" s="1" t="s">
        <v>70</v>
      </c>
      <c r="S1299" s="1">
        <v>1</v>
      </c>
      <c r="T1299" s="1" t="b">
        <v>0</v>
      </c>
      <c r="U1299" s="1" t="s">
        <v>39</v>
      </c>
      <c r="V1299" s="3">
        <v>8</v>
      </c>
    </row>
    <row r="1300" spans="1:22" x14ac:dyDescent="0.3">
      <c r="A1300" s="2" t="s">
        <v>3090</v>
      </c>
      <c r="B1300" s="10">
        <v>45464</v>
      </c>
      <c r="C1300" s="22">
        <v>45464</v>
      </c>
      <c r="D1300" s="1" t="s">
        <v>3091</v>
      </c>
      <c r="E1300" s="1" t="s">
        <v>429</v>
      </c>
      <c r="F1300" s="1">
        <v>35</v>
      </c>
      <c r="G1300" s="1" t="s">
        <v>34</v>
      </c>
      <c r="H1300" s="1" t="s">
        <v>25</v>
      </c>
      <c r="I1300" s="1" t="s">
        <v>26</v>
      </c>
      <c r="J1300" s="1" t="s">
        <v>127</v>
      </c>
      <c r="K1300" s="1" t="s">
        <v>517</v>
      </c>
      <c r="L1300" s="1">
        <v>8</v>
      </c>
      <c r="M1300" s="13">
        <v>67283.39</v>
      </c>
      <c r="N1300" s="15">
        <v>0.11</v>
      </c>
      <c r="O1300" s="13">
        <v>832824.46</v>
      </c>
      <c r="P1300" s="13">
        <v>136279.91</v>
      </c>
      <c r="Q1300" s="13">
        <v>61.27</v>
      </c>
      <c r="R1300" s="1" t="s">
        <v>70</v>
      </c>
      <c r="S1300" s="1">
        <v>4</v>
      </c>
      <c r="T1300" s="1" t="b">
        <v>0</v>
      </c>
      <c r="U1300" s="1" t="s">
        <v>39</v>
      </c>
      <c r="V1300" s="3">
        <v>4</v>
      </c>
    </row>
    <row r="1301" spans="1:22" x14ac:dyDescent="0.3">
      <c r="A1301" s="2" t="s">
        <v>3092</v>
      </c>
      <c r="B1301" s="10">
        <v>44305</v>
      </c>
      <c r="C1301" s="22">
        <v>44305</v>
      </c>
      <c r="D1301" s="1" t="s">
        <v>3093</v>
      </c>
      <c r="E1301" s="1" t="s">
        <v>2481</v>
      </c>
      <c r="F1301" s="1">
        <v>26</v>
      </c>
      <c r="G1301" s="1" t="s">
        <v>34</v>
      </c>
      <c r="H1301" s="1" t="s">
        <v>111</v>
      </c>
      <c r="I1301" s="1" t="s">
        <v>121</v>
      </c>
      <c r="J1301" s="1" t="s">
        <v>62</v>
      </c>
      <c r="K1301" s="1" t="s">
        <v>266</v>
      </c>
      <c r="L1301" s="1">
        <v>7</v>
      </c>
      <c r="M1301" s="13">
        <v>845.12</v>
      </c>
      <c r="N1301" s="15">
        <v>0.31</v>
      </c>
      <c r="O1301" s="13">
        <v>4942.58</v>
      </c>
      <c r="P1301" s="13">
        <v>2834.57</v>
      </c>
      <c r="Q1301" s="13">
        <v>62.59</v>
      </c>
      <c r="R1301" s="1" t="s">
        <v>51</v>
      </c>
      <c r="S1301" s="1">
        <v>4</v>
      </c>
      <c r="T1301" s="1" t="b">
        <v>0</v>
      </c>
      <c r="U1301" s="1" t="s">
        <v>137</v>
      </c>
      <c r="V1301" s="3">
        <v>6</v>
      </c>
    </row>
    <row r="1302" spans="1:22" x14ac:dyDescent="0.3">
      <c r="A1302" s="2" t="s">
        <v>3094</v>
      </c>
      <c r="B1302" s="10">
        <v>44657</v>
      </c>
      <c r="C1302" s="22">
        <v>44657</v>
      </c>
      <c r="D1302" s="1" t="s">
        <v>3095</v>
      </c>
      <c r="E1302" s="1" t="s">
        <v>583</v>
      </c>
      <c r="F1302" s="1">
        <v>32</v>
      </c>
      <c r="G1302" s="1" t="s">
        <v>34</v>
      </c>
      <c r="H1302" s="1" t="s">
        <v>74</v>
      </c>
      <c r="I1302" s="1" t="s">
        <v>192</v>
      </c>
      <c r="J1302" s="1" t="s">
        <v>146</v>
      </c>
      <c r="K1302" s="1" t="s">
        <v>178</v>
      </c>
      <c r="L1302" s="1">
        <v>3</v>
      </c>
      <c r="M1302" s="13">
        <v>12278.87</v>
      </c>
      <c r="N1302" s="15">
        <v>7.0000000000000007E-2</v>
      </c>
      <c r="O1302" s="13">
        <v>50117.69</v>
      </c>
      <c r="P1302" s="13">
        <v>7600.27</v>
      </c>
      <c r="Q1302" s="13">
        <v>55.32</v>
      </c>
      <c r="R1302" s="1" t="s">
        <v>29</v>
      </c>
      <c r="S1302" s="1">
        <v>5</v>
      </c>
      <c r="T1302" s="1" t="b">
        <v>0</v>
      </c>
      <c r="U1302" s="1" t="s">
        <v>39</v>
      </c>
      <c r="V1302" s="3">
        <v>2</v>
      </c>
    </row>
    <row r="1303" spans="1:22" x14ac:dyDescent="0.3">
      <c r="A1303" s="2" t="s">
        <v>3096</v>
      </c>
      <c r="B1303" s="10">
        <v>44580</v>
      </c>
      <c r="C1303" s="22">
        <v>44580</v>
      </c>
      <c r="D1303" s="1" t="s">
        <v>3097</v>
      </c>
      <c r="E1303" s="1" t="s">
        <v>1309</v>
      </c>
      <c r="F1303" s="1">
        <v>21</v>
      </c>
      <c r="G1303" s="1" t="s">
        <v>68</v>
      </c>
      <c r="H1303" s="1" t="s">
        <v>82</v>
      </c>
      <c r="I1303" s="1" t="s">
        <v>244</v>
      </c>
      <c r="J1303" s="1" t="s">
        <v>44</v>
      </c>
      <c r="K1303" s="1" t="s">
        <v>93</v>
      </c>
      <c r="L1303" s="1">
        <v>6</v>
      </c>
      <c r="M1303" s="13">
        <v>21414.6</v>
      </c>
      <c r="N1303" s="15">
        <v>0.08</v>
      </c>
      <c r="O1303" s="13">
        <v>101055.44</v>
      </c>
      <c r="P1303" s="13">
        <v>14653.33</v>
      </c>
      <c r="Q1303" s="13">
        <v>77.510000000000005</v>
      </c>
      <c r="R1303" s="1" t="s">
        <v>64</v>
      </c>
      <c r="S1303" s="1">
        <v>4</v>
      </c>
      <c r="T1303" s="1" t="b">
        <v>0</v>
      </c>
      <c r="U1303" s="1" t="s">
        <v>39</v>
      </c>
      <c r="V1303" s="3">
        <v>8</v>
      </c>
    </row>
    <row r="1304" spans="1:22" x14ac:dyDescent="0.3">
      <c r="A1304" s="2" t="s">
        <v>3098</v>
      </c>
      <c r="B1304" s="10">
        <v>44926</v>
      </c>
      <c r="C1304" s="22">
        <v>44926</v>
      </c>
      <c r="D1304" s="1" t="s">
        <v>3099</v>
      </c>
      <c r="E1304" s="1" t="s">
        <v>1833</v>
      </c>
      <c r="F1304" s="1">
        <v>26</v>
      </c>
      <c r="G1304" s="1" t="s">
        <v>34</v>
      </c>
      <c r="H1304" s="1" t="s">
        <v>35</v>
      </c>
      <c r="I1304" s="1" t="s">
        <v>36</v>
      </c>
      <c r="J1304" s="1" t="s">
        <v>27</v>
      </c>
      <c r="K1304" s="1" t="s">
        <v>97</v>
      </c>
      <c r="L1304" s="1">
        <v>9</v>
      </c>
      <c r="M1304" s="13">
        <v>337.76</v>
      </c>
      <c r="N1304" s="15">
        <v>0.24</v>
      </c>
      <c r="O1304" s="13">
        <v>1704.17</v>
      </c>
      <c r="P1304" s="13">
        <v>132.99</v>
      </c>
      <c r="Q1304" s="13">
        <v>68.459999999999994</v>
      </c>
      <c r="R1304" s="1" t="s">
        <v>78</v>
      </c>
      <c r="S1304" s="1">
        <v>3</v>
      </c>
      <c r="T1304" s="1" t="b">
        <v>1</v>
      </c>
      <c r="U1304" s="1" t="s">
        <v>30</v>
      </c>
      <c r="V1304" s="3">
        <v>5</v>
      </c>
    </row>
    <row r="1305" spans="1:22" x14ac:dyDescent="0.3">
      <c r="A1305" s="2" t="s">
        <v>3100</v>
      </c>
      <c r="B1305" s="10">
        <v>44984</v>
      </c>
      <c r="C1305" s="22">
        <v>44984</v>
      </c>
      <c r="D1305" s="1" t="s">
        <v>3101</v>
      </c>
      <c r="E1305" s="1" t="s">
        <v>702</v>
      </c>
      <c r="F1305" s="1">
        <v>37</v>
      </c>
      <c r="G1305" s="1" t="s">
        <v>68</v>
      </c>
      <c r="H1305" s="1" t="s">
        <v>82</v>
      </c>
      <c r="I1305" s="1" t="s">
        <v>244</v>
      </c>
      <c r="J1305" s="1" t="s">
        <v>37</v>
      </c>
      <c r="K1305" s="1" t="s">
        <v>182</v>
      </c>
      <c r="L1305" s="1">
        <v>3</v>
      </c>
      <c r="M1305" s="13">
        <v>1235.94</v>
      </c>
      <c r="N1305" s="15">
        <v>0.23</v>
      </c>
      <c r="O1305" s="13">
        <v>3443.74</v>
      </c>
      <c r="P1305" s="13">
        <v>1621.5</v>
      </c>
      <c r="Q1305" s="13">
        <v>77.11</v>
      </c>
      <c r="R1305" s="1" t="s">
        <v>51</v>
      </c>
      <c r="S1305" s="1">
        <v>2</v>
      </c>
      <c r="T1305" s="1" t="b">
        <v>0</v>
      </c>
      <c r="U1305" s="1" t="s">
        <v>39</v>
      </c>
      <c r="V1305" s="3">
        <v>2</v>
      </c>
    </row>
    <row r="1306" spans="1:22" x14ac:dyDescent="0.3">
      <c r="A1306" s="2" t="s">
        <v>3102</v>
      </c>
      <c r="B1306" s="10">
        <v>45096</v>
      </c>
      <c r="C1306" s="22">
        <v>45096</v>
      </c>
      <c r="D1306" s="1" t="s">
        <v>3103</v>
      </c>
      <c r="E1306" s="1" t="s">
        <v>690</v>
      </c>
      <c r="F1306" s="1">
        <v>19</v>
      </c>
      <c r="G1306" s="1" t="s">
        <v>34</v>
      </c>
      <c r="H1306" s="1" t="s">
        <v>74</v>
      </c>
      <c r="I1306" s="1" t="s">
        <v>101</v>
      </c>
      <c r="J1306" s="1" t="s">
        <v>127</v>
      </c>
      <c r="K1306" s="1" t="s">
        <v>517</v>
      </c>
      <c r="L1306" s="1">
        <v>2</v>
      </c>
      <c r="M1306" s="13">
        <v>20357.2</v>
      </c>
      <c r="N1306" s="15">
        <v>0.01</v>
      </c>
      <c r="O1306" s="13">
        <v>56864.2</v>
      </c>
      <c r="P1306" s="13">
        <v>6315.84</v>
      </c>
      <c r="Q1306" s="13">
        <v>37.020000000000003</v>
      </c>
      <c r="R1306" s="1" t="s">
        <v>70</v>
      </c>
      <c r="S1306" s="1">
        <v>4</v>
      </c>
      <c r="T1306" s="1" t="b">
        <v>0</v>
      </c>
      <c r="U1306" s="1" t="s">
        <v>84</v>
      </c>
      <c r="V1306" s="3">
        <v>5</v>
      </c>
    </row>
    <row r="1307" spans="1:22" x14ac:dyDescent="0.3">
      <c r="A1307" s="2" t="s">
        <v>3104</v>
      </c>
      <c r="B1307" s="10">
        <v>44585</v>
      </c>
      <c r="C1307" s="22">
        <v>44585</v>
      </c>
      <c r="D1307" s="1" t="s">
        <v>3105</v>
      </c>
      <c r="E1307" s="1" t="s">
        <v>1489</v>
      </c>
      <c r="F1307" s="1">
        <v>18</v>
      </c>
      <c r="G1307" s="1" t="s">
        <v>68</v>
      </c>
      <c r="H1307" s="1" t="s">
        <v>35</v>
      </c>
      <c r="I1307" s="1" t="s">
        <v>106</v>
      </c>
      <c r="J1307" s="1" t="s">
        <v>37</v>
      </c>
      <c r="K1307" s="1" t="s">
        <v>231</v>
      </c>
      <c r="L1307" s="1">
        <v>7</v>
      </c>
      <c r="M1307" s="13">
        <v>2018.15</v>
      </c>
      <c r="N1307" s="15">
        <v>0.11</v>
      </c>
      <c r="O1307" s="13">
        <v>10594.06</v>
      </c>
      <c r="P1307" s="13">
        <v>5708.86</v>
      </c>
      <c r="Q1307" s="13">
        <v>69.44</v>
      </c>
      <c r="R1307" s="1" t="s">
        <v>57</v>
      </c>
      <c r="S1307" s="1">
        <v>2</v>
      </c>
      <c r="T1307" s="1" t="b">
        <v>0</v>
      </c>
      <c r="U1307" s="1" t="s">
        <v>3106</v>
      </c>
      <c r="V1307" s="3">
        <v>1</v>
      </c>
    </row>
    <row r="1308" spans="1:22" x14ac:dyDescent="0.3">
      <c r="A1308" s="2" t="s">
        <v>3107</v>
      </c>
      <c r="B1308" s="10">
        <v>44425</v>
      </c>
      <c r="C1308" s="22">
        <v>44425</v>
      </c>
      <c r="D1308" s="1" t="s">
        <v>3108</v>
      </c>
      <c r="E1308" s="1" t="s">
        <v>1285</v>
      </c>
      <c r="F1308" s="1">
        <v>27</v>
      </c>
      <c r="G1308" s="1" t="s">
        <v>24</v>
      </c>
      <c r="H1308" s="1" t="s">
        <v>82</v>
      </c>
      <c r="I1308" s="1" t="s">
        <v>126</v>
      </c>
      <c r="J1308" s="1" t="s">
        <v>44</v>
      </c>
      <c r="K1308" s="1" t="s">
        <v>93</v>
      </c>
      <c r="L1308" s="1">
        <v>7</v>
      </c>
      <c r="M1308" s="13">
        <v>7638.75</v>
      </c>
      <c r="N1308" s="15">
        <v>0.3</v>
      </c>
      <c r="O1308" s="13">
        <v>41709.71</v>
      </c>
      <c r="P1308" s="13">
        <v>10853.15</v>
      </c>
      <c r="Q1308" s="13">
        <v>79</v>
      </c>
      <c r="R1308" s="1" t="s">
        <v>70</v>
      </c>
      <c r="S1308" s="1">
        <v>5</v>
      </c>
      <c r="T1308" s="1" t="b">
        <v>0</v>
      </c>
      <c r="U1308" s="1" t="s">
        <v>84</v>
      </c>
      <c r="V1308" s="3">
        <v>8</v>
      </c>
    </row>
    <row r="1309" spans="1:22" x14ac:dyDescent="0.3">
      <c r="A1309" s="2" t="s">
        <v>3109</v>
      </c>
      <c r="B1309" s="10">
        <v>44490</v>
      </c>
      <c r="C1309" s="22">
        <v>44490</v>
      </c>
      <c r="D1309" s="1" t="s">
        <v>3110</v>
      </c>
      <c r="E1309" s="1" t="s">
        <v>1018</v>
      </c>
      <c r="F1309" s="1">
        <v>25</v>
      </c>
      <c r="G1309" s="1" t="s">
        <v>34</v>
      </c>
      <c r="H1309" s="1" t="s">
        <v>35</v>
      </c>
      <c r="I1309" s="1" t="s">
        <v>43</v>
      </c>
      <c r="J1309" s="1" t="s">
        <v>62</v>
      </c>
      <c r="K1309" s="1" t="s">
        <v>266</v>
      </c>
      <c r="L1309" s="1">
        <v>1</v>
      </c>
      <c r="M1309" s="13">
        <v>1487.02</v>
      </c>
      <c r="N1309" s="15">
        <v>0.37</v>
      </c>
      <c r="O1309" s="13">
        <v>808.84</v>
      </c>
      <c r="P1309" s="13">
        <v>327.36</v>
      </c>
      <c r="Q1309" s="13">
        <v>67.16</v>
      </c>
      <c r="R1309" s="1" t="s">
        <v>51</v>
      </c>
      <c r="S1309" s="1">
        <v>3</v>
      </c>
      <c r="T1309" s="1" t="b">
        <v>0</v>
      </c>
      <c r="U1309" s="1" t="s">
        <v>39</v>
      </c>
      <c r="V1309" s="3">
        <v>8</v>
      </c>
    </row>
    <row r="1310" spans="1:22" x14ac:dyDescent="0.3">
      <c r="A1310" s="2" t="s">
        <v>3111</v>
      </c>
      <c r="B1310" s="10">
        <v>44806</v>
      </c>
      <c r="C1310" s="22">
        <v>44806</v>
      </c>
      <c r="D1310" s="1" t="s">
        <v>3112</v>
      </c>
      <c r="E1310" s="1" t="s">
        <v>958</v>
      </c>
      <c r="F1310" s="1">
        <v>28</v>
      </c>
      <c r="G1310" s="1" t="s">
        <v>88</v>
      </c>
      <c r="H1310" s="1" t="s">
        <v>82</v>
      </c>
      <c r="I1310" s="1" t="s">
        <v>293</v>
      </c>
      <c r="J1310" s="1" t="s">
        <v>44</v>
      </c>
      <c r="K1310" s="1" t="s">
        <v>117</v>
      </c>
      <c r="L1310" s="1">
        <v>10</v>
      </c>
      <c r="M1310" s="13">
        <v>20258.77</v>
      </c>
      <c r="N1310" s="15">
        <v>0.26</v>
      </c>
      <c r="O1310" s="13">
        <v>164321.16</v>
      </c>
      <c r="P1310" s="13">
        <v>44354.41</v>
      </c>
      <c r="Q1310" s="13">
        <v>81.28</v>
      </c>
      <c r="R1310" s="1" t="s">
        <v>78</v>
      </c>
      <c r="S1310" s="1">
        <v>3</v>
      </c>
      <c r="T1310" s="1" t="b">
        <v>0</v>
      </c>
      <c r="U1310" s="1" t="s">
        <v>39</v>
      </c>
      <c r="V1310" s="3">
        <v>3</v>
      </c>
    </row>
    <row r="1311" spans="1:22" x14ac:dyDescent="0.3">
      <c r="A1311" s="2" t="s">
        <v>3113</v>
      </c>
      <c r="B1311" s="10">
        <v>44297</v>
      </c>
      <c r="C1311" s="22">
        <v>44297</v>
      </c>
      <c r="D1311" s="1" t="s">
        <v>3114</v>
      </c>
      <c r="E1311" s="1" t="s">
        <v>505</v>
      </c>
      <c r="F1311" s="1">
        <v>23</v>
      </c>
      <c r="G1311" s="1" t="s">
        <v>68</v>
      </c>
      <c r="H1311" s="1" t="s">
        <v>111</v>
      </c>
      <c r="I1311" s="1" t="s">
        <v>141</v>
      </c>
      <c r="J1311" s="1" t="s">
        <v>44</v>
      </c>
      <c r="K1311" s="1" t="s">
        <v>117</v>
      </c>
      <c r="L1311" s="1">
        <v>7</v>
      </c>
      <c r="M1311" s="13">
        <v>15442.1</v>
      </c>
      <c r="N1311" s="15">
        <v>0.15</v>
      </c>
      <c r="O1311" s="13">
        <v>116887.25</v>
      </c>
      <c r="P1311" s="13">
        <v>49080.86</v>
      </c>
      <c r="Q1311" s="13">
        <v>60.99</v>
      </c>
      <c r="R1311" s="1" t="s">
        <v>78</v>
      </c>
      <c r="S1311" s="1">
        <v>2</v>
      </c>
      <c r="T1311" s="1" t="b">
        <v>1</v>
      </c>
      <c r="U1311" s="1" t="s">
        <v>30</v>
      </c>
      <c r="V1311" s="3">
        <v>1</v>
      </c>
    </row>
    <row r="1312" spans="1:22" x14ac:dyDescent="0.3">
      <c r="A1312" s="2" t="s">
        <v>3115</v>
      </c>
      <c r="B1312" s="10">
        <v>45654</v>
      </c>
      <c r="C1312" s="22">
        <v>45654</v>
      </c>
      <c r="D1312" s="1" t="s">
        <v>3116</v>
      </c>
      <c r="E1312" s="1" t="s">
        <v>120</v>
      </c>
      <c r="F1312" s="1">
        <v>40</v>
      </c>
      <c r="G1312" s="1" t="s">
        <v>34</v>
      </c>
      <c r="H1312" s="1" t="s">
        <v>74</v>
      </c>
      <c r="I1312" s="1" t="s">
        <v>101</v>
      </c>
      <c r="J1312" s="1" t="s">
        <v>127</v>
      </c>
      <c r="K1312" s="1" t="s">
        <v>142</v>
      </c>
      <c r="L1312" s="1">
        <v>5</v>
      </c>
      <c r="M1312" s="13">
        <v>8516.83</v>
      </c>
      <c r="N1312" s="15">
        <v>0.34</v>
      </c>
      <c r="O1312" s="13">
        <v>25126</v>
      </c>
      <c r="P1312" s="13">
        <v>3420.94</v>
      </c>
      <c r="Q1312" s="13">
        <v>56.78</v>
      </c>
      <c r="R1312" s="1" t="s">
        <v>78</v>
      </c>
      <c r="S1312" s="1">
        <v>4</v>
      </c>
      <c r="T1312" s="1" t="b">
        <v>0</v>
      </c>
      <c r="U1312" s="1" t="s">
        <v>39</v>
      </c>
      <c r="V1312" s="3">
        <v>4</v>
      </c>
    </row>
    <row r="1313" spans="1:22" x14ac:dyDescent="0.3">
      <c r="A1313" s="2" t="s">
        <v>3117</v>
      </c>
      <c r="B1313" s="10">
        <v>44952</v>
      </c>
      <c r="C1313" s="22">
        <v>44952</v>
      </c>
      <c r="D1313" s="1" t="s">
        <v>3118</v>
      </c>
      <c r="E1313" s="1" t="s">
        <v>1312</v>
      </c>
      <c r="F1313" s="1">
        <v>41</v>
      </c>
      <c r="G1313" s="1" t="s">
        <v>68</v>
      </c>
      <c r="H1313" s="1" t="s">
        <v>82</v>
      </c>
      <c r="I1313" s="1" t="s">
        <v>293</v>
      </c>
      <c r="J1313" s="1" t="s">
        <v>27</v>
      </c>
      <c r="K1313" s="1" t="s">
        <v>400</v>
      </c>
      <c r="L1313" s="1">
        <v>5</v>
      </c>
      <c r="M1313" s="13">
        <v>462.27</v>
      </c>
      <c r="N1313" s="15">
        <v>0.28999999999999998</v>
      </c>
      <c r="O1313" s="13">
        <v>302.37</v>
      </c>
      <c r="P1313" s="13">
        <v>27.61</v>
      </c>
      <c r="Q1313" s="13">
        <v>74.430000000000007</v>
      </c>
      <c r="R1313" s="1" t="s">
        <v>51</v>
      </c>
      <c r="S1313" s="1">
        <v>4</v>
      </c>
      <c r="T1313" s="1" t="b">
        <v>0</v>
      </c>
      <c r="U1313" s="1" t="s">
        <v>39</v>
      </c>
      <c r="V1313" s="3">
        <v>6</v>
      </c>
    </row>
    <row r="1314" spans="1:22" x14ac:dyDescent="0.3">
      <c r="A1314" s="2" t="s">
        <v>3119</v>
      </c>
      <c r="B1314" s="10">
        <v>45178</v>
      </c>
      <c r="C1314" s="22">
        <v>45178</v>
      </c>
      <c r="D1314" s="1" t="s">
        <v>3120</v>
      </c>
      <c r="E1314" s="1" t="s">
        <v>1204</v>
      </c>
      <c r="F1314" s="1">
        <v>26</v>
      </c>
      <c r="G1314" s="1" t="s">
        <v>88</v>
      </c>
      <c r="H1314" s="1" t="s">
        <v>82</v>
      </c>
      <c r="I1314" s="1" t="s">
        <v>126</v>
      </c>
      <c r="J1314" s="1" t="s">
        <v>76</v>
      </c>
      <c r="K1314" s="1" t="s">
        <v>207</v>
      </c>
      <c r="L1314" s="1">
        <v>3</v>
      </c>
      <c r="M1314" s="13">
        <v>2461.4899999999998</v>
      </c>
      <c r="N1314" s="15">
        <v>0.17</v>
      </c>
      <c r="O1314" s="13">
        <v>6972.95</v>
      </c>
      <c r="P1314" s="13">
        <v>2178.64</v>
      </c>
      <c r="Q1314" s="13">
        <v>112.99</v>
      </c>
      <c r="R1314" s="1" t="s">
        <v>78</v>
      </c>
      <c r="S1314" s="1">
        <v>1</v>
      </c>
      <c r="T1314" s="1" t="b">
        <v>0</v>
      </c>
      <c r="U1314" s="1" t="s">
        <v>39</v>
      </c>
      <c r="V1314" s="3">
        <v>3</v>
      </c>
    </row>
    <row r="1315" spans="1:22" x14ac:dyDescent="0.3">
      <c r="A1315" s="2" t="s">
        <v>3121</v>
      </c>
      <c r="B1315" s="10">
        <v>44091</v>
      </c>
      <c r="C1315" s="22">
        <v>44091</v>
      </c>
      <c r="D1315" s="1" t="s">
        <v>3122</v>
      </c>
      <c r="E1315" s="1" t="s">
        <v>824</v>
      </c>
      <c r="F1315" s="1">
        <v>35</v>
      </c>
      <c r="G1315" s="1" t="s">
        <v>68</v>
      </c>
      <c r="H1315" s="1" t="s">
        <v>25</v>
      </c>
      <c r="I1315" s="1" t="s">
        <v>69</v>
      </c>
      <c r="J1315" s="1" t="s">
        <v>76</v>
      </c>
      <c r="K1315" s="1" t="s">
        <v>207</v>
      </c>
      <c r="L1315" s="1">
        <v>8</v>
      </c>
      <c r="M1315" s="13">
        <v>3110.11</v>
      </c>
      <c r="N1315" s="15">
        <v>0.05</v>
      </c>
      <c r="O1315" s="13">
        <v>22849.8</v>
      </c>
      <c r="P1315" s="13">
        <v>7429.85</v>
      </c>
      <c r="Q1315" s="13">
        <v>59.8</v>
      </c>
      <c r="R1315" s="1" t="s">
        <v>51</v>
      </c>
      <c r="S1315" s="1">
        <v>5</v>
      </c>
      <c r="T1315" s="1" t="b">
        <v>0</v>
      </c>
      <c r="U1315" s="1" t="s">
        <v>39</v>
      </c>
      <c r="V1315" s="3">
        <v>1</v>
      </c>
    </row>
    <row r="1316" spans="1:22" x14ac:dyDescent="0.3">
      <c r="A1316" s="2" t="s">
        <v>3123</v>
      </c>
      <c r="B1316" s="10">
        <v>44793</v>
      </c>
      <c r="C1316" s="22">
        <v>44793</v>
      </c>
      <c r="D1316" s="1" t="s">
        <v>3124</v>
      </c>
      <c r="E1316" s="1" t="s">
        <v>523</v>
      </c>
      <c r="F1316" s="1">
        <v>32</v>
      </c>
      <c r="G1316" s="1" t="s">
        <v>68</v>
      </c>
      <c r="H1316" s="1" t="s">
        <v>82</v>
      </c>
      <c r="I1316" s="1" t="s">
        <v>244</v>
      </c>
      <c r="J1316" s="1" t="s">
        <v>62</v>
      </c>
      <c r="K1316" s="1" t="s">
        <v>151</v>
      </c>
      <c r="L1316" s="1">
        <v>8</v>
      </c>
      <c r="M1316" s="13">
        <v>748.13</v>
      </c>
      <c r="N1316" s="15">
        <v>0.13</v>
      </c>
      <c r="O1316" s="13">
        <v>6986.54</v>
      </c>
      <c r="P1316" s="13">
        <v>2050.35</v>
      </c>
      <c r="Q1316" s="13">
        <v>76.680000000000007</v>
      </c>
      <c r="R1316" s="1" t="s">
        <v>29</v>
      </c>
      <c r="S1316" s="1">
        <v>2</v>
      </c>
      <c r="T1316" s="1" t="b">
        <v>0</v>
      </c>
      <c r="U1316" s="1" t="s">
        <v>39</v>
      </c>
      <c r="V1316" s="3">
        <v>3</v>
      </c>
    </row>
    <row r="1317" spans="1:22" x14ac:dyDescent="0.3">
      <c r="A1317" s="2" t="s">
        <v>3125</v>
      </c>
      <c r="B1317" s="10">
        <v>45393</v>
      </c>
      <c r="C1317" s="22">
        <v>45393</v>
      </c>
      <c r="D1317" s="1" t="s">
        <v>3126</v>
      </c>
      <c r="E1317" s="1" t="s">
        <v>2140</v>
      </c>
      <c r="F1317" s="1">
        <v>13</v>
      </c>
      <c r="G1317" s="1" t="s">
        <v>24</v>
      </c>
      <c r="H1317" s="1" t="s">
        <v>111</v>
      </c>
      <c r="I1317" s="1" t="s">
        <v>112</v>
      </c>
      <c r="J1317" s="1" t="s">
        <v>127</v>
      </c>
      <c r="K1317" s="1" t="s">
        <v>142</v>
      </c>
      <c r="L1317" s="1">
        <v>6</v>
      </c>
      <c r="M1317" s="13">
        <v>70873</v>
      </c>
      <c r="N1317" s="15">
        <v>0.37</v>
      </c>
      <c r="O1317" s="13">
        <v>359836.7</v>
      </c>
      <c r="P1317" s="13">
        <v>42189.66</v>
      </c>
      <c r="Q1317" s="13">
        <v>83.88</v>
      </c>
      <c r="R1317" s="1" t="s">
        <v>78</v>
      </c>
      <c r="S1317" s="1">
        <v>3</v>
      </c>
      <c r="T1317" s="1" t="b">
        <v>0</v>
      </c>
      <c r="U1317" s="1" t="s">
        <v>39</v>
      </c>
      <c r="V1317" s="3">
        <v>4</v>
      </c>
    </row>
    <row r="1318" spans="1:22" x14ac:dyDescent="0.3">
      <c r="A1318" s="2" t="s">
        <v>3127</v>
      </c>
      <c r="B1318" s="10">
        <v>43877</v>
      </c>
      <c r="C1318" s="22">
        <v>43877</v>
      </c>
      <c r="D1318" s="1" t="s">
        <v>3128</v>
      </c>
      <c r="E1318" s="1" t="s">
        <v>888</v>
      </c>
      <c r="F1318" s="1">
        <v>47</v>
      </c>
      <c r="G1318" s="1" t="s">
        <v>24</v>
      </c>
      <c r="H1318" s="1" t="s">
        <v>74</v>
      </c>
      <c r="I1318" s="1" t="s">
        <v>101</v>
      </c>
      <c r="J1318" s="1" t="s">
        <v>146</v>
      </c>
      <c r="K1318" s="1" t="s">
        <v>178</v>
      </c>
      <c r="L1318" s="1">
        <v>4</v>
      </c>
      <c r="M1318" s="13">
        <v>2203.36</v>
      </c>
      <c r="N1318" s="15">
        <v>0.17</v>
      </c>
      <c r="O1318" s="13">
        <v>7194.38</v>
      </c>
      <c r="P1318" s="13">
        <v>1176.3599999999999</v>
      </c>
      <c r="Q1318" s="13">
        <v>73.930000000000007</v>
      </c>
      <c r="R1318" s="1" t="s">
        <v>70</v>
      </c>
      <c r="S1318" s="1">
        <v>1</v>
      </c>
      <c r="T1318" s="1" t="b">
        <v>0</v>
      </c>
      <c r="U1318" s="1" t="s">
        <v>84</v>
      </c>
      <c r="V1318" s="3">
        <v>1</v>
      </c>
    </row>
    <row r="1319" spans="1:22" x14ac:dyDescent="0.3">
      <c r="A1319" s="2" t="s">
        <v>3129</v>
      </c>
      <c r="B1319" s="10">
        <v>44559</v>
      </c>
      <c r="C1319" s="22">
        <v>44559</v>
      </c>
      <c r="D1319" s="1" t="s">
        <v>3130</v>
      </c>
      <c r="E1319" s="1" t="s">
        <v>891</v>
      </c>
      <c r="F1319" s="1">
        <v>16</v>
      </c>
      <c r="G1319" s="1" t="s">
        <v>34</v>
      </c>
      <c r="H1319" s="1" t="s">
        <v>111</v>
      </c>
      <c r="I1319" s="1" t="s">
        <v>330</v>
      </c>
      <c r="J1319" s="1" t="s">
        <v>146</v>
      </c>
      <c r="K1319" s="1" t="s">
        <v>161</v>
      </c>
      <c r="L1319" s="1">
        <v>2</v>
      </c>
      <c r="M1319" s="13">
        <v>13090.85</v>
      </c>
      <c r="N1319" s="15">
        <v>0.33</v>
      </c>
      <c r="O1319" s="13">
        <v>11935.37</v>
      </c>
      <c r="P1319" s="13">
        <v>2166.2199999999998</v>
      </c>
      <c r="Q1319" s="13">
        <v>87.29</v>
      </c>
      <c r="R1319" s="1" t="s">
        <v>78</v>
      </c>
      <c r="S1319" s="1">
        <v>2</v>
      </c>
      <c r="T1319" s="1" t="b">
        <v>0</v>
      </c>
      <c r="U1319" s="1" t="s">
        <v>39</v>
      </c>
      <c r="V1319" s="3">
        <v>5</v>
      </c>
    </row>
    <row r="1320" spans="1:22" x14ac:dyDescent="0.3">
      <c r="A1320" s="2" t="s">
        <v>3131</v>
      </c>
      <c r="B1320" s="10">
        <v>44565</v>
      </c>
      <c r="C1320" s="22">
        <v>44565</v>
      </c>
      <c r="D1320" s="1" t="s">
        <v>3132</v>
      </c>
      <c r="E1320" s="1" t="s">
        <v>256</v>
      </c>
      <c r="F1320" s="1">
        <v>20</v>
      </c>
      <c r="G1320" s="1" t="s">
        <v>34</v>
      </c>
      <c r="H1320" s="1" t="s">
        <v>35</v>
      </c>
      <c r="I1320" s="1" t="s">
        <v>43</v>
      </c>
      <c r="J1320" s="1" t="s">
        <v>146</v>
      </c>
      <c r="K1320" s="1" t="s">
        <v>147</v>
      </c>
      <c r="L1320" s="1">
        <v>5</v>
      </c>
      <c r="M1320" s="13">
        <v>2889.82</v>
      </c>
      <c r="N1320" s="15">
        <v>0.01</v>
      </c>
      <c r="O1320" s="13">
        <v>12487.02</v>
      </c>
      <c r="P1320" s="13">
        <v>2820.46</v>
      </c>
      <c r="Q1320" s="13">
        <v>70.260000000000005</v>
      </c>
      <c r="R1320" s="1" t="s">
        <v>70</v>
      </c>
      <c r="S1320" s="1">
        <v>5</v>
      </c>
      <c r="T1320" s="1" t="b">
        <v>0</v>
      </c>
      <c r="U1320" s="1" t="s">
        <v>39</v>
      </c>
      <c r="V1320" s="3">
        <v>9</v>
      </c>
    </row>
    <row r="1321" spans="1:22" x14ac:dyDescent="0.3">
      <c r="A1321" s="2" t="s">
        <v>3133</v>
      </c>
      <c r="B1321" s="10">
        <v>44727</v>
      </c>
      <c r="C1321" s="22">
        <v>44727</v>
      </c>
      <c r="D1321" s="1" t="s">
        <v>3134</v>
      </c>
      <c r="E1321" s="1" t="s">
        <v>1176</v>
      </c>
      <c r="F1321" s="1">
        <v>38</v>
      </c>
      <c r="G1321" s="1" t="s">
        <v>24</v>
      </c>
      <c r="H1321" s="1" t="s">
        <v>82</v>
      </c>
      <c r="I1321" s="1" t="s">
        <v>126</v>
      </c>
      <c r="J1321" s="1" t="s">
        <v>146</v>
      </c>
      <c r="K1321" s="1" t="s">
        <v>217</v>
      </c>
      <c r="L1321" s="1">
        <v>9</v>
      </c>
      <c r="M1321" s="13">
        <v>12169.11</v>
      </c>
      <c r="N1321" s="15">
        <v>0.1</v>
      </c>
      <c r="O1321" s="13">
        <v>140742.76999999999</v>
      </c>
      <c r="P1321" s="13">
        <v>29276.65</v>
      </c>
      <c r="Q1321" s="13">
        <v>63.19</v>
      </c>
      <c r="R1321" s="1" t="s">
        <v>57</v>
      </c>
      <c r="S1321" s="1">
        <v>5</v>
      </c>
      <c r="T1321" s="1" t="b">
        <v>0</v>
      </c>
      <c r="U1321" s="1" t="s">
        <v>58</v>
      </c>
      <c r="V1321" s="3">
        <v>8</v>
      </c>
    </row>
    <row r="1322" spans="1:22" x14ac:dyDescent="0.3">
      <c r="A1322" s="2" t="s">
        <v>3135</v>
      </c>
      <c r="B1322" s="10">
        <v>44829</v>
      </c>
      <c r="C1322" s="22">
        <v>44829</v>
      </c>
      <c r="D1322" s="1" t="s">
        <v>3136</v>
      </c>
      <c r="E1322" s="1" t="s">
        <v>1436</v>
      </c>
      <c r="F1322" s="1">
        <v>30</v>
      </c>
      <c r="G1322" s="1" t="s">
        <v>34</v>
      </c>
      <c r="H1322" s="1" t="s">
        <v>25</v>
      </c>
      <c r="I1322" s="1" t="s">
        <v>55</v>
      </c>
      <c r="J1322" s="1" t="s">
        <v>76</v>
      </c>
      <c r="K1322" s="1" t="s">
        <v>122</v>
      </c>
      <c r="L1322" s="1">
        <v>2</v>
      </c>
      <c r="M1322" s="13">
        <v>1047.08</v>
      </c>
      <c r="N1322" s="15">
        <v>0.14000000000000001</v>
      </c>
      <c r="O1322" s="13">
        <v>2238.06</v>
      </c>
      <c r="P1322" s="13">
        <v>854.12</v>
      </c>
      <c r="Q1322" s="13">
        <v>49.15</v>
      </c>
      <c r="R1322" s="1" t="s">
        <v>57</v>
      </c>
      <c r="S1322" s="1">
        <v>5</v>
      </c>
      <c r="T1322" s="1" t="b">
        <v>0</v>
      </c>
      <c r="U1322" s="1" t="s">
        <v>39</v>
      </c>
      <c r="V1322" s="3">
        <v>6</v>
      </c>
    </row>
    <row r="1323" spans="1:22" x14ac:dyDescent="0.3">
      <c r="A1323" s="2" t="s">
        <v>3137</v>
      </c>
      <c r="B1323" s="10">
        <v>45629</v>
      </c>
      <c r="C1323" s="22">
        <v>45629</v>
      </c>
      <c r="D1323" s="1" t="s">
        <v>3138</v>
      </c>
      <c r="E1323" s="1" t="s">
        <v>638</v>
      </c>
      <c r="F1323" s="1">
        <v>24</v>
      </c>
      <c r="G1323" s="1" t="s">
        <v>68</v>
      </c>
      <c r="H1323" s="1" t="s">
        <v>25</v>
      </c>
      <c r="I1323" s="1" t="s">
        <v>69</v>
      </c>
      <c r="J1323" s="1" t="s">
        <v>62</v>
      </c>
      <c r="K1323" s="1" t="s">
        <v>63</v>
      </c>
      <c r="L1323" s="1">
        <v>2</v>
      </c>
      <c r="M1323" s="13">
        <v>585.20000000000005</v>
      </c>
      <c r="N1323" s="15">
        <v>0.28000000000000003</v>
      </c>
      <c r="O1323" s="13">
        <v>801.85</v>
      </c>
      <c r="P1323" s="13">
        <v>375.39</v>
      </c>
      <c r="Q1323" s="13">
        <v>29.42</v>
      </c>
      <c r="R1323" s="1" t="s">
        <v>29</v>
      </c>
      <c r="S1323" s="1">
        <v>1</v>
      </c>
      <c r="T1323" s="1" t="b">
        <v>0</v>
      </c>
      <c r="U1323" s="1" t="s">
        <v>84</v>
      </c>
      <c r="V1323" s="3">
        <v>2</v>
      </c>
    </row>
    <row r="1324" spans="1:22" x14ac:dyDescent="0.3">
      <c r="A1324" s="2" t="s">
        <v>3139</v>
      </c>
      <c r="B1324" s="10">
        <v>44582</v>
      </c>
      <c r="C1324" s="22">
        <v>44582</v>
      </c>
      <c r="D1324" s="1" t="s">
        <v>3140</v>
      </c>
      <c r="E1324" s="1" t="s">
        <v>1550</v>
      </c>
      <c r="F1324" s="1">
        <v>41</v>
      </c>
      <c r="G1324" s="1" t="s">
        <v>24</v>
      </c>
      <c r="H1324" s="1" t="s">
        <v>111</v>
      </c>
      <c r="I1324" s="1" t="s">
        <v>112</v>
      </c>
      <c r="J1324" s="1" t="s">
        <v>37</v>
      </c>
      <c r="K1324" s="1" t="s">
        <v>182</v>
      </c>
      <c r="L1324" s="1">
        <v>5</v>
      </c>
      <c r="M1324" s="13">
        <v>1126.8900000000001</v>
      </c>
      <c r="N1324" s="15">
        <v>0.3</v>
      </c>
      <c r="O1324" s="13">
        <v>3560.92</v>
      </c>
      <c r="P1324" s="13">
        <v>953.02</v>
      </c>
      <c r="Q1324" s="13">
        <v>77.150000000000006</v>
      </c>
      <c r="R1324" s="1" t="s">
        <v>51</v>
      </c>
      <c r="S1324" s="1">
        <v>4</v>
      </c>
      <c r="T1324" s="1" t="b">
        <v>0</v>
      </c>
      <c r="U1324" s="1" t="s">
        <v>39</v>
      </c>
      <c r="V1324" s="3">
        <v>3</v>
      </c>
    </row>
    <row r="1325" spans="1:22" x14ac:dyDescent="0.3">
      <c r="A1325" s="2" t="s">
        <v>3141</v>
      </c>
      <c r="B1325" s="10">
        <v>44201</v>
      </c>
      <c r="C1325" s="22">
        <v>44201</v>
      </c>
      <c r="D1325" s="1" t="s">
        <v>3142</v>
      </c>
      <c r="E1325" s="1" t="s">
        <v>3143</v>
      </c>
      <c r="F1325" s="1">
        <v>45</v>
      </c>
      <c r="G1325" s="1" t="s">
        <v>434</v>
      </c>
      <c r="H1325" s="1" t="s">
        <v>82</v>
      </c>
      <c r="I1325" s="1" t="s">
        <v>293</v>
      </c>
      <c r="J1325" s="1" t="s">
        <v>146</v>
      </c>
      <c r="K1325" s="1" t="s">
        <v>217</v>
      </c>
      <c r="L1325" s="1">
        <v>4</v>
      </c>
      <c r="M1325" s="13">
        <v>5092.41</v>
      </c>
      <c r="N1325" s="15">
        <v>0.23</v>
      </c>
      <c r="O1325" s="13">
        <v>13542.42</v>
      </c>
      <c r="P1325" s="13">
        <v>3463.99</v>
      </c>
      <c r="Q1325" s="13">
        <v>74.84</v>
      </c>
      <c r="R1325" s="1" t="s">
        <v>29</v>
      </c>
      <c r="S1325" s="1">
        <v>4</v>
      </c>
      <c r="T1325" s="1" t="b">
        <v>0</v>
      </c>
      <c r="U1325" s="1" t="s">
        <v>137</v>
      </c>
      <c r="V1325" s="3">
        <v>9</v>
      </c>
    </row>
    <row r="1326" spans="1:22" x14ac:dyDescent="0.3">
      <c r="A1326" s="2" t="s">
        <v>3144</v>
      </c>
      <c r="B1326" s="10">
        <v>44802</v>
      </c>
      <c r="C1326" s="22">
        <v>44802</v>
      </c>
      <c r="D1326" s="1" t="s">
        <v>3145</v>
      </c>
      <c r="E1326" s="1" t="s">
        <v>381</v>
      </c>
      <c r="F1326" s="1">
        <v>27</v>
      </c>
      <c r="G1326" s="1" t="s">
        <v>24</v>
      </c>
      <c r="H1326" s="1" t="s">
        <v>82</v>
      </c>
      <c r="I1326" s="1" t="s">
        <v>244</v>
      </c>
      <c r="J1326" s="1" t="s">
        <v>146</v>
      </c>
      <c r="K1326" s="1" t="s">
        <v>178</v>
      </c>
      <c r="L1326" s="1">
        <v>1</v>
      </c>
      <c r="M1326" s="13">
        <v>5779.22</v>
      </c>
      <c r="N1326" s="15">
        <v>0.31</v>
      </c>
      <c r="O1326" s="13">
        <v>5109.2299999999996</v>
      </c>
      <c r="P1326" s="13">
        <v>997.26</v>
      </c>
      <c r="Q1326" s="13">
        <v>61.33</v>
      </c>
      <c r="R1326" s="1" t="s">
        <v>29</v>
      </c>
      <c r="S1326" s="1">
        <v>4</v>
      </c>
      <c r="T1326" s="1" t="b">
        <v>1</v>
      </c>
      <c r="U1326" s="1" t="s">
        <v>30</v>
      </c>
      <c r="V1326" s="3">
        <v>5</v>
      </c>
    </row>
    <row r="1327" spans="1:22" x14ac:dyDescent="0.3">
      <c r="A1327" s="2" t="s">
        <v>3146</v>
      </c>
      <c r="B1327" s="10">
        <v>45080</v>
      </c>
      <c r="C1327" s="22">
        <v>45080</v>
      </c>
      <c r="D1327" s="1" t="s">
        <v>3147</v>
      </c>
      <c r="E1327" s="1" t="s">
        <v>125</v>
      </c>
      <c r="F1327" s="1">
        <v>55</v>
      </c>
      <c r="G1327" s="1" t="s">
        <v>24</v>
      </c>
      <c r="H1327" s="1" t="s">
        <v>25</v>
      </c>
      <c r="I1327" s="1" t="s">
        <v>26</v>
      </c>
      <c r="J1327" s="1" t="s">
        <v>76</v>
      </c>
      <c r="K1327" s="1" t="s">
        <v>207</v>
      </c>
      <c r="L1327" s="1">
        <v>1</v>
      </c>
      <c r="M1327" s="13">
        <v>2361.96</v>
      </c>
      <c r="N1327" s="15">
        <v>0.23</v>
      </c>
      <c r="O1327" s="13">
        <v>2691.37</v>
      </c>
      <c r="P1327" s="13">
        <v>1189.6199999999999</v>
      </c>
      <c r="Q1327" s="13">
        <v>62.61</v>
      </c>
      <c r="R1327" s="1" t="s">
        <v>64</v>
      </c>
      <c r="S1327" s="1">
        <v>4</v>
      </c>
      <c r="T1327" s="1" t="b">
        <v>0</v>
      </c>
      <c r="U1327" s="1" t="s">
        <v>39</v>
      </c>
      <c r="V1327" s="3">
        <v>8</v>
      </c>
    </row>
    <row r="1328" spans="1:22" x14ac:dyDescent="0.3">
      <c r="A1328" s="2" t="s">
        <v>3148</v>
      </c>
      <c r="B1328" s="10">
        <v>44491</v>
      </c>
      <c r="C1328" s="22">
        <v>44491</v>
      </c>
      <c r="D1328" s="1" t="s">
        <v>3149</v>
      </c>
      <c r="E1328" s="1" t="s">
        <v>1433</v>
      </c>
      <c r="F1328" s="1">
        <v>38</v>
      </c>
      <c r="G1328" s="1" t="s">
        <v>88</v>
      </c>
      <c r="H1328" s="1" t="s">
        <v>25</v>
      </c>
      <c r="I1328" s="1" t="s">
        <v>69</v>
      </c>
      <c r="J1328" s="1" t="s">
        <v>62</v>
      </c>
      <c r="K1328" s="1" t="s">
        <v>63</v>
      </c>
      <c r="L1328" s="1">
        <v>4</v>
      </c>
      <c r="M1328" s="13">
        <v>875.51</v>
      </c>
      <c r="N1328" s="15">
        <v>0.3</v>
      </c>
      <c r="O1328" s="13">
        <v>2078.56</v>
      </c>
      <c r="P1328" s="13">
        <v>482.57</v>
      </c>
      <c r="Q1328" s="13">
        <v>74.290000000000006</v>
      </c>
      <c r="R1328" s="1" t="s">
        <v>70</v>
      </c>
      <c r="S1328" s="1">
        <v>3</v>
      </c>
      <c r="T1328" s="1" t="b">
        <v>0</v>
      </c>
      <c r="U1328" s="1" t="s">
        <v>39</v>
      </c>
      <c r="V1328" s="3">
        <v>3</v>
      </c>
    </row>
    <row r="1329" spans="1:22" x14ac:dyDescent="0.3">
      <c r="A1329" s="2" t="s">
        <v>3150</v>
      </c>
      <c r="B1329" s="10">
        <v>43855</v>
      </c>
      <c r="C1329" s="22">
        <v>43855</v>
      </c>
      <c r="D1329" s="1" t="s">
        <v>3151</v>
      </c>
      <c r="E1329" s="1" t="s">
        <v>3152</v>
      </c>
      <c r="F1329" s="1">
        <v>22</v>
      </c>
      <c r="G1329" s="1" t="s">
        <v>24</v>
      </c>
      <c r="H1329" s="1" t="s">
        <v>74</v>
      </c>
      <c r="I1329" s="1" t="s">
        <v>101</v>
      </c>
      <c r="J1329" s="1" t="s">
        <v>76</v>
      </c>
      <c r="K1329" s="1" t="s">
        <v>89</v>
      </c>
      <c r="L1329" s="1">
        <v>9</v>
      </c>
      <c r="M1329" s="13">
        <v>3803.5</v>
      </c>
      <c r="N1329" s="15">
        <v>0.19</v>
      </c>
      <c r="O1329" s="13">
        <v>20906.55</v>
      </c>
      <c r="P1329" s="13">
        <v>4385.49</v>
      </c>
      <c r="Q1329" s="13">
        <v>29.15</v>
      </c>
      <c r="R1329" s="1" t="s">
        <v>78</v>
      </c>
      <c r="S1329" s="1">
        <v>5</v>
      </c>
      <c r="T1329" s="1" t="b">
        <v>0</v>
      </c>
      <c r="U1329" s="1" t="s">
        <v>39</v>
      </c>
      <c r="V1329" s="3">
        <v>10</v>
      </c>
    </row>
    <row r="1330" spans="1:22" x14ac:dyDescent="0.3">
      <c r="A1330" s="2" t="s">
        <v>3153</v>
      </c>
      <c r="B1330" s="10">
        <v>45240</v>
      </c>
      <c r="C1330" s="22">
        <v>45240</v>
      </c>
      <c r="D1330" s="1" t="s">
        <v>3154</v>
      </c>
      <c r="E1330" s="1" t="s">
        <v>2927</v>
      </c>
      <c r="F1330" s="1">
        <v>51</v>
      </c>
      <c r="G1330" s="1" t="s">
        <v>24</v>
      </c>
      <c r="H1330" s="1" t="s">
        <v>74</v>
      </c>
      <c r="I1330" s="1" t="s">
        <v>192</v>
      </c>
      <c r="J1330" s="1" t="s">
        <v>62</v>
      </c>
      <c r="K1330" s="1" t="s">
        <v>283</v>
      </c>
      <c r="L1330" s="1">
        <v>5</v>
      </c>
      <c r="M1330" s="13">
        <v>731.88</v>
      </c>
      <c r="N1330" s="15">
        <v>0.21</v>
      </c>
      <c r="O1330" s="13">
        <v>3284.38</v>
      </c>
      <c r="P1330" s="13">
        <v>1291.32</v>
      </c>
      <c r="Q1330" s="13">
        <v>48.81</v>
      </c>
      <c r="R1330" s="1" t="s">
        <v>57</v>
      </c>
      <c r="S1330" s="1">
        <v>1</v>
      </c>
      <c r="T1330" s="1" t="b">
        <v>1</v>
      </c>
      <c r="U1330" s="1" t="s">
        <v>30</v>
      </c>
      <c r="V1330" s="3">
        <v>10</v>
      </c>
    </row>
    <row r="1331" spans="1:22" x14ac:dyDescent="0.3">
      <c r="A1331" s="2" t="s">
        <v>3155</v>
      </c>
      <c r="B1331" s="10">
        <v>44706</v>
      </c>
      <c r="C1331" s="22">
        <v>44706</v>
      </c>
      <c r="D1331" s="1" t="s">
        <v>3156</v>
      </c>
      <c r="E1331" s="1" t="s">
        <v>569</v>
      </c>
      <c r="F1331" s="1">
        <v>34</v>
      </c>
      <c r="G1331" s="1" t="s">
        <v>34</v>
      </c>
      <c r="H1331" s="1" t="s">
        <v>82</v>
      </c>
      <c r="I1331" s="1" t="s">
        <v>244</v>
      </c>
      <c r="J1331" s="1" t="s">
        <v>127</v>
      </c>
      <c r="K1331" s="1" t="s">
        <v>308</v>
      </c>
      <c r="L1331" s="1">
        <v>10</v>
      </c>
      <c r="M1331" s="13">
        <v>74467.03</v>
      </c>
      <c r="N1331" s="15">
        <v>0.06</v>
      </c>
      <c r="O1331" s="13">
        <v>941142.08</v>
      </c>
      <c r="P1331" s="13">
        <v>81264.87</v>
      </c>
      <c r="Q1331" s="13">
        <v>92.07</v>
      </c>
      <c r="R1331" s="1" t="s">
        <v>51</v>
      </c>
      <c r="S1331" s="1">
        <v>4</v>
      </c>
      <c r="T1331" s="1" t="b">
        <v>0</v>
      </c>
      <c r="U1331" s="1" t="s">
        <v>39</v>
      </c>
      <c r="V1331" s="3">
        <v>10</v>
      </c>
    </row>
    <row r="1332" spans="1:22" x14ac:dyDescent="0.3">
      <c r="A1332" s="2" t="s">
        <v>3157</v>
      </c>
      <c r="B1332" s="10">
        <v>44453</v>
      </c>
      <c r="C1332" s="22">
        <v>44453</v>
      </c>
      <c r="D1332" s="1" t="s">
        <v>3158</v>
      </c>
      <c r="E1332" s="1" t="s">
        <v>292</v>
      </c>
      <c r="F1332" s="1">
        <v>56</v>
      </c>
      <c r="G1332" s="1" t="s">
        <v>68</v>
      </c>
      <c r="H1332" s="1" t="s">
        <v>82</v>
      </c>
      <c r="I1332" s="1" t="s">
        <v>244</v>
      </c>
      <c r="J1332" s="1" t="s">
        <v>76</v>
      </c>
      <c r="K1332" s="1" t="s">
        <v>77</v>
      </c>
      <c r="L1332" s="1">
        <v>1</v>
      </c>
      <c r="M1332" s="13">
        <v>2237.3200000000002</v>
      </c>
      <c r="N1332" s="15">
        <v>0.36</v>
      </c>
      <c r="O1332" s="13">
        <v>1298.32</v>
      </c>
      <c r="P1332" s="13">
        <v>627.59</v>
      </c>
      <c r="Q1332" s="13">
        <v>70.34</v>
      </c>
      <c r="R1332" s="1" t="s">
        <v>57</v>
      </c>
      <c r="S1332" s="1">
        <v>4</v>
      </c>
      <c r="T1332" s="1" t="b">
        <v>0</v>
      </c>
      <c r="U1332" s="1" t="s">
        <v>84</v>
      </c>
      <c r="V1332" s="3">
        <v>6</v>
      </c>
    </row>
    <row r="1333" spans="1:22" x14ac:dyDescent="0.3">
      <c r="A1333" s="2" t="s">
        <v>3159</v>
      </c>
      <c r="B1333" s="10">
        <v>44330</v>
      </c>
      <c r="C1333" s="22">
        <v>44330</v>
      </c>
      <c r="D1333" s="1" t="s">
        <v>3160</v>
      </c>
      <c r="E1333" s="1" t="s">
        <v>1865</v>
      </c>
      <c r="F1333" s="1">
        <v>19</v>
      </c>
      <c r="G1333" s="1" t="s">
        <v>68</v>
      </c>
      <c r="H1333" s="1" t="s">
        <v>82</v>
      </c>
      <c r="I1333" s="1" t="s">
        <v>83</v>
      </c>
      <c r="J1333" s="1" t="s">
        <v>44</v>
      </c>
      <c r="K1333" s="1" t="s">
        <v>221</v>
      </c>
      <c r="L1333" s="1">
        <v>4</v>
      </c>
      <c r="M1333" s="13">
        <v>25489.41</v>
      </c>
      <c r="N1333" s="15">
        <v>0.13</v>
      </c>
      <c r="O1333" s="13">
        <v>131437.57</v>
      </c>
      <c r="P1333" s="13">
        <v>32943.269999999997</v>
      </c>
      <c r="Q1333" s="13">
        <v>73.78</v>
      </c>
      <c r="R1333" s="1" t="s">
        <v>78</v>
      </c>
      <c r="S1333" s="1">
        <v>3</v>
      </c>
      <c r="T1333" s="1" t="b">
        <v>1</v>
      </c>
      <c r="U1333" s="1" t="s">
        <v>30</v>
      </c>
      <c r="V1333" s="3">
        <v>3</v>
      </c>
    </row>
    <row r="1334" spans="1:22" x14ac:dyDescent="0.3">
      <c r="A1334" s="2" t="s">
        <v>3161</v>
      </c>
      <c r="B1334" s="10">
        <v>43872</v>
      </c>
      <c r="C1334" s="22">
        <v>43872</v>
      </c>
      <c r="D1334" s="1" t="s">
        <v>3162</v>
      </c>
      <c r="E1334" s="1" t="s">
        <v>891</v>
      </c>
      <c r="F1334" s="1">
        <v>49</v>
      </c>
      <c r="G1334" s="1" t="s">
        <v>24</v>
      </c>
      <c r="H1334" s="1" t="s">
        <v>74</v>
      </c>
      <c r="I1334" s="1" t="s">
        <v>192</v>
      </c>
      <c r="J1334" s="1" t="s">
        <v>27</v>
      </c>
      <c r="K1334" s="1" t="s">
        <v>97</v>
      </c>
      <c r="L1334" s="1">
        <v>7</v>
      </c>
      <c r="M1334" s="13">
        <v>315.99</v>
      </c>
      <c r="N1334" s="15">
        <v>0.13</v>
      </c>
      <c r="O1334" s="13">
        <v>1630.03</v>
      </c>
      <c r="P1334" s="13">
        <v>123.62</v>
      </c>
      <c r="Q1334" s="13">
        <v>76.22</v>
      </c>
      <c r="R1334" s="1" t="s">
        <v>70</v>
      </c>
      <c r="S1334" s="1">
        <v>1</v>
      </c>
      <c r="T1334" s="1" t="b">
        <v>0</v>
      </c>
      <c r="U1334" s="1" t="s">
        <v>39</v>
      </c>
      <c r="V1334" s="3">
        <v>4</v>
      </c>
    </row>
    <row r="1335" spans="1:22" x14ac:dyDescent="0.3">
      <c r="A1335" s="2" t="s">
        <v>3163</v>
      </c>
      <c r="B1335" s="10">
        <v>45289</v>
      </c>
      <c r="C1335" s="22">
        <v>45289</v>
      </c>
      <c r="D1335" s="1" t="s">
        <v>3164</v>
      </c>
      <c r="E1335" s="1" t="s">
        <v>770</v>
      </c>
      <c r="F1335" s="1">
        <v>19</v>
      </c>
      <c r="G1335" s="1" t="s">
        <v>68</v>
      </c>
      <c r="H1335" s="1" t="s">
        <v>111</v>
      </c>
      <c r="I1335" s="1" t="s">
        <v>112</v>
      </c>
      <c r="J1335" s="1" t="s">
        <v>62</v>
      </c>
      <c r="K1335" s="1" t="s">
        <v>107</v>
      </c>
      <c r="L1335" s="1">
        <v>8</v>
      </c>
      <c r="M1335" s="13">
        <v>221.14</v>
      </c>
      <c r="N1335" s="15">
        <v>0.38</v>
      </c>
      <c r="O1335" s="13">
        <v>1030.55</v>
      </c>
      <c r="P1335" s="13">
        <v>527.82000000000005</v>
      </c>
      <c r="Q1335" s="13">
        <v>92</v>
      </c>
      <c r="R1335" s="1" t="s">
        <v>57</v>
      </c>
      <c r="S1335" s="1">
        <v>4</v>
      </c>
      <c r="T1335" s="1" t="b">
        <v>0</v>
      </c>
      <c r="U1335" s="1" t="s">
        <v>197</v>
      </c>
      <c r="V1335" s="3">
        <v>8</v>
      </c>
    </row>
    <row r="1336" spans="1:22" x14ac:dyDescent="0.3">
      <c r="A1336" s="2" t="s">
        <v>3165</v>
      </c>
      <c r="B1336" s="10">
        <v>44622</v>
      </c>
      <c r="C1336" s="22">
        <v>44622</v>
      </c>
      <c r="D1336" s="1" t="s">
        <v>3166</v>
      </c>
      <c r="E1336" s="1" t="s">
        <v>378</v>
      </c>
      <c r="F1336" s="1">
        <v>37</v>
      </c>
      <c r="G1336" s="1" t="s">
        <v>68</v>
      </c>
      <c r="H1336" s="1" t="s">
        <v>35</v>
      </c>
      <c r="I1336" s="1" t="s">
        <v>49</v>
      </c>
      <c r="J1336" s="1" t="s">
        <v>27</v>
      </c>
      <c r="K1336" s="1" t="s">
        <v>450</v>
      </c>
      <c r="L1336" s="1">
        <v>5</v>
      </c>
      <c r="M1336" s="13">
        <v>86.9</v>
      </c>
      <c r="N1336" s="15">
        <v>0.34</v>
      </c>
      <c r="O1336" s="13">
        <v>357.63</v>
      </c>
      <c r="P1336" s="13">
        <v>31.6</v>
      </c>
      <c r="Q1336" s="13">
        <v>52.67</v>
      </c>
      <c r="R1336" s="1" t="s">
        <v>57</v>
      </c>
      <c r="S1336" s="1">
        <v>4</v>
      </c>
      <c r="T1336" s="1" t="b">
        <v>0</v>
      </c>
      <c r="U1336" s="1" t="s">
        <v>39</v>
      </c>
      <c r="V1336" s="3">
        <v>2</v>
      </c>
    </row>
    <row r="1337" spans="1:22" x14ac:dyDescent="0.3">
      <c r="A1337" s="2" t="s">
        <v>3167</v>
      </c>
      <c r="B1337" s="10">
        <v>44820</v>
      </c>
      <c r="C1337" s="22">
        <v>44820</v>
      </c>
      <c r="D1337" s="1" t="s">
        <v>3168</v>
      </c>
      <c r="E1337" s="1" t="s">
        <v>1330</v>
      </c>
      <c r="F1337" s="1">
        <v>38</v>
      </c>
      <c r="G1337" s="1" t="s">
        <v>34</v>
      </c>
      <c r="H1337" s="1" t="s">
        <v>111</v>
      </c>
      <c r="I1337" s="1" t="s">
        <v>330</v>
      </c>
      <c r="J1337" s="1" t="s">
        <v>44</v>
      </c>
      <c r="K1337" s="1" t="s">
        <v>117</v>
      </c>
      <c r="L1337" s="1">
        <v>5</v>
      </c>
      <c r="M1337" s="13">
        <v>22143.81</v>
      </c>
      <c r="N1337" s="15">
        <v>0.12</v>
      </c>
      <c r="O1337" s="13">
        <v>118422.68</v>
      </c>
      <c r="P1337" s="13">
        <v>31149.72</v>
      </c>
      <c r="Q1337" s="13">
        <v>53.5</v>
      </c>
      <c r="R1337" s="1" t="s">
        <v>51</v>
      </c>
      <c r="S1337" s="1">
        <v>2</v>
      </c>
      <c r="T1337" s="1" t="b">
        <v>1</v>
      </c>
      <c r="U1337" s="1" t="s">
        <v>30</v>
      </c>
      <c r="V1337" s="3">
        <v>8</v>
      </c>
    </row>
    <row r="1338" spans="1:22" x14ac:dyDescent="0.3">
      <c r="A1338" s="2" t="s">
        <v>3169</v>
      </c>
      <c r="B1338" s="10">
        <v>45221</v>
      </c>
      <c r="C1338" s="22">
        <v>45221</v>
      </c>
      <c r="D1338" s="1" t="s">
        <v>3170</v>
      </c>
      <c r="E1338" s="1" t="s">
        <v>2900</v>
      </c>
      <c r="F1338" s="1">
        <v>33</v>
      </c>
      <c r="G1338" s="1" t="s">
        <v>34</v>
      </c>
      <c r="H1338" s="1" t="s">
        <v>35</v>
      </c>
      <c r="I1338" s="1" t="s">
        <v>106</v>
      </c>
      <c r="J1338" s="1" t="s">
        <v>37</v>
      </c>
      <c r="K1338" s="1" t="s">
        <v>102</v>
      </c>
      <c r="L1338" s="1">
        <v>5</v>
      </c>
      <c r="M1338" s="13">
        <v>313.72000000000003</v>
      </c>
      <c r="N1338" s="15">
        <v>0.26</v>
      </c>
      <c r="O1338" s="13">
        <v>1195.99</v>
      </c>
      <c r="P1338" s="13">
        <v>468.82</v>
      </c>
      <c r="Q1338" s="13">
        <v>41.27</v>
      </c>
      <c r="R1338" s="1" t="s">
        <v>57</v>
      </c>
      <c r="S1338" s="1">
        <v>1</v>
      </c>
      <c r="T1338" s="1" t="b">
        <v>1</v>
      </c>
      <c r="U1338" s="1" t="s">
        <v>30</v>
      </c>
      <c r="V1338" s="3">
        <v>8</v>
      </c>
    </row>
    <row r="1339" spans="1:22" x14ac:dyDescent="0.3">
      <c r="A1339" s="2" t="s">
        <v>3171</v>
      </c>
      <c r="B1339" s="10">
        <v>44668</v>
      </c>
      <c r="C1339" s="22">
        <v>44668</v>
      </c>
      <c r="D1339" s="1" t="s">
        <v>3172</v>
      </c>
      <c r="E1339" s="1" t="s">
        <v>275</v>
      </c>
      <c r="F1339" s="1">
        <v>37</v>
      </c>
      <c r="G1339" s="1" t="s">
        <v>68</v>
      </c>
      <c r="H1339" s="1" t="s">
        <v>82</v>
      </c>
      <c r="I1339" s="1" t="s">
        <v>244</v>
      </c>
      <c r="J1339" s="1" t="s">
        <v>27</v>
      </c>
      <c r="K1339" s="1" t="s">
        <v>400</v>
      </c>
      <c r="L1339" s="1">
        <v>10</v>
      </c>
      <c r="M1339" s="13">
        <v>64.44</v>
      </c>
      <c r="N1339" s="15">
        <v>0.04</v>
      </c>
      <c r="O1339" s="13">
        <v>923.93</v>
      </c>
      <c r="P1339" s="13">
        <v>67.39</v>
      </c>
      <c r="Q1339" s="13">
        <v>69.3</v>
      </c>
      <c r="R1339" s="1" t="s">
        <v>78</v>
      </c>
      <c r="S1339" s="1">
        <v>3</v>
      </c>
      <c r="T1339" s="1" t="b">
        <v>1</v>
      </c>
      <c r="U1339" s="1" t="s">
        <v>30</v>
      </c>
      <c r="V1339" s="3">
        <v>2</v>
      </c>
    </row>
    <row r="1340" spans="1:22" x14ac:dyDescent="0.3">
      <c r="A1340" s="2" t="s">
        <v>3173</v>
      </c>
      <c r="B1340" s="10">
        <v>44280</v>
      </c>
      <c r="C1340" s="22">
        <v>44280</v>
      </c>
      <c r="D1340" s="1" t="s">
        <v>3174</v>
      </c>
      <c r="E1340" s="1" t="s">
        <v>1904</v>
      </c>
      <c r="F1340" s="1">
        <v>55</v>
      </c>
      <c r="G1340" s="1" t="s">
        <v>24</v>
      </c>
      <c r="H1340" s="1" t="s">
        <v>111</v>
      </c>
      <c r="I1340" s="1" t="s">
        <v>121</v>
      </c>
      <c r="J1340" s="1" t="s">
        <v>27</v>
      </c>
      <c r="K1340" s="1" t="s">
        <v>28</v>
      </c>
      <c r="L1340" s="1">
        <v>3</v>
      </c>
      <c r="M1340" s="13">
        <v>211.44</v>
      </c>
      <c r="N1340" s="15">
        <v>0.27</v>
      </c>
      <c r="O1340" s="13">
        <v>561.91999999999996</v>
      </c>
      <c r="P1340" s="13">
        <v>17.100000000000001</v>
      </c>
      <c r="Q1340" s="13">
        <v>58.35</v>
      </c>
      <c r="R1340" s="1" t="s">
        <v>78</v>
      </c>
      <c r="S1340" s="1">
        <v>1</v>
      </c>
      <c r="T1340" s="1" t="b">
        <v>1</v>
      </c>
      <c r="U1340" s="1" t="s">
        <v>30</v>
      </c>
      <c r="V1340" s="3">
        <v>8</v>
      </c>
    </row>
    <row r="1341" spans="1:22" x14ac:dyDescent="0.3">
      <c r="A1341" s="2" t="s">
        <v>3175</v>
      </c>
      <c r="B1341" s="10">
        <v>45393</v>
      </c>
      <c r="C1341" s="22">
        <v>45393</v>
      </c>
      <c r="D1341" s="1" t="s">
        <v>3176</v>
      </c>
      <c r="E1341" s="1" t="s">
        <v>23</v>
      </c>
      <c r="F1341" s="1">
        <v>26</v>
      </c>
      <c r="G1341" s="1" t="s">
        <v>24</v>
      </c>
      <c r="H1341" s="1" t="s">
        <v>25</v>
      </c>
      <c r="I1341" s="1" t="s">
        <v>26</v>
      </c>
      <c r="J1341" s="1" t="s">
        <v>27</v>
      </c>
      <c r="K1341" s="1" t="s">
        <v>56</v>
      </c>
      <c r="L1341" s="1">
        <v>2</v>
      </c>
      <c r="M1341" s="13">
        <v>426.88</v>
      </c>
      <c r="N1341" s="15">
        <v>0.22</v>
      </c>
      <c r="O1341" s="13">
        <v>1081.17</v>
      </c>
      <c r="P1341" s="13">
        <v>85.91</v>
      </c>
      <c r="Q1341" s="13">
        <v>71.23</v>
      </c>
      <c r="R1341" s="1" t="s">
        <v>64</v>
      </c>
      <c r="S1341" s="1">
        <v>3</v>
      </c>
      <c r="T1341" s="1" t="b">
        <v>0</v>
      </c>
      <c r="U1341" s="1" t="s">
        <v>39</v>
      </c>
      <c r="V1341" s="3">
        <v>8</v>
      </c>
    </row>
    <row r="1342" spans="1:22" x14ac:dyDescent="0.3">
      <c r="A1342" s="2" t="s">
        <v>3177</v>
      </c>
      <c r="B1342" s="10">
        <v>45628</v>
      </c>
      <c r="C1342" s="22">
        <v>45628</v>
      </c>
      <c r="D1342" s="1" t="s">
        <v>3178</v>
      </c>
      <c r="E1342" s="1" t="s">
        <v>943</v>
      </c>
      <c r="F1342" s="1">
        <v>34</v>
      </c>
      <c r="G1342" s="1" t="s">
        <v>34</v>
      </c>
      <c r="H1342" s="1" t="s">
        <v>74</v>
      </c>
      <c r="I1342" s="1" t="s">
        <v>75</v>
      </c>
      <c r="J1342" s="1" t="s">
        <v>27</v>
      </c>
      <c r="K1342" s="1" t="s">
        <v>97</v>
      </c>
      <c r="L1342" s="1">
        <v>5</v>
      </c>
      <c r="M1342" s="13">
        <v>64.930000000000007</v>
      </c>
      <c r="N1342" s="15">
        <v>0.31</v>
      </c>
      <c r="O1342" s="13">
        <v>43.37</v>
      </c>
      <c r="P1342" s="13">
        <v>2.91</v>
      </c>
      <c r="Q1342" s="13">
        <v>55.14</v>
      </c>
      <c r="R1342" s="1" t="s">
        <v>70</v>
      </c>
      <c r="S1342" s="1">
        <v>4</v>
      </c>
      <c r="T1342" s="1" t="b">
        <v>0</v>
      </c>
      <c r="U1342" s="1" t="s">
        <v>137</v>
      </c>
      <c r="V1342" s="3">
        <v>3</v>
      </c>
    </row>
    <row r="1343" spans="1:22" x14ac:dyDescent="0.3">
      <c r="A1343" s="2" t="s">
        <v>3179</v>
      </c>
      <c r="B1343" s="10">
        <v>44938</v>
      </c>
      <c r="C1343" s="22">
        <v>44938</v>
      </c>
      <c r="D1343" s="1" t="s">
        <v>3180</v>
      </c>
      <c r="E1343" s="1" t="s">
        <v>523</v>
      </c>
      <c r="F1343" s="1">
        <v>54</v>
      </c>
      <c r="G1343" s="1" t="s">
        <v>68</v>
      </c>
      <c r="H1343" s="1" t="s">
        <v>25</v>
      </c>
      <c r="I1343" s="1" t="s">
        <v>69</v>
      </c>
      <c r="J1343" s="1" t="s">
        <v>146</v>
      </c>
      <c r="K1343" s="1" t="s">
        <v>484</v>
      </c>
      <c r="L1343" s="1">
        <v>8</v>
      </c>
      <c r="M1343" s="13">
        <v>7866.66</v>
      </c>
      <c r="N1343" s="15">
        <v>0.28000000000000003</v>
      </c>
      <c r="O1343" s="13">
        <v>36459.410000000003</v>
      </c>
      <c r="P1343" s="13">
        <v>9536.2099999999991</v>
      </c>
      <c r="Q1343" s="13">
        <v>48.3</v>
      </c>
      <c r="R1343" s="1" t="s">
        <v>57</v>
      </c>
      <c r="S1343" s="1">
        <v>4</v>
      </c>
      <c r="T1343" s="1" t="b">
        <v>0</v>
      </c>
      <c r="U1343" s="1" t="s">
        <v>84</v>
      </c>
      <c r="V1343" s="3">
        <v>2</v>
      </c>
    </row>
    <row r="1344" spans="1:22" x14ac:dyDescent="0.3">
      <c r="A1344" s="2" t="s">
        <v>3181</v>
      </c>
      <c r="B1344" s="10">
        <v>44306</v>
      </c>
      <c r="C1344" s="22">
        <v>44306</v>
      </c>
      <c r="D1344" s="1" t="s">
        <v>3182</v>
      </c>
      <c r="E1344" s="1" t="s">
        <v>3183</v>
      </c>
      <c r="F1344" s="1">
        <v>32</v>
      </c>
      <c r="G1344" s="1" t="s">
        <v>68</v>
      </c>
      <c r="H1344" s="1" t="s">
        <v>35</v>
      </c>
      <c r="I1344" s="1" t="s">
        <v>36</v>
      </c>
      <c r="J1344" s="1" t="s">
        <v>27</v>
      </c>
      <c r="K1344" s="1" t="s">
        <v>430</v>
      </c>
      <c r="L1344" s="1">
        <v>8</v>
      </c>
      <c r="M1344" s="13">
        <v>376.57</v>
      </c>
      <c r="N1344" s="15">
        <v>0.18</v>
      </c>
      <c r="O1344" s="13">
        <v>3472.2</v>
      </c>
      <c r="P1344" s="13">
        <v>314.20999999999998</v>
      </c>
      <c r="Q1344" s="13">
        <v>52.43</v>
      </c>
      <c r="R1344" s="1" t="s">
        <v>78</v>
      </c>
      <c r="S1344" s="1">
        <v>3</v>
      </c>
      <c r="T1344" s="1" t="b">
        <v>0</v>
      </c>
      <c r="U1344" s="1" t="s">
        <v>39</v>
      </c>
      <c r="V1344" s="3">
        <v>6</v>
      </c>
    </row>
    <row r="1345" spans="1:22" x14ac:dyDescent="0.3">
      <c r="A1345" s="2" t="s">
        <v>3184</v>
      </c>
      <c r="B1345" s="10">
        <v>45499</v>
      </c>
      <c r="C1345" s="22">
        <v>45499</v>
      </c>
      <c r="D1345" s="1" t="s">
        <v>3185</v>
      </c>
      <c r="E1345" s="1" t="s">
        <v>292</v>
      </c>
      <c r="F1345" s="1">
        <v>29</v>
      </c>
      <c r="G1345" s="1" t="s">
        <v>34</v>
      </c>
      <c r="H1345" s="1" t="s">
        <v>111</v>
      </c>
      <c r="I1345" s="1" t="s">
        <v>330</v>
      </c>
      <c r="J1345" s="1" t="s">
        <v>37</v>
      </c>
      <c r="K1345" s="1" t="s">
        <v>38</v>
      </c>
      <c r="L1345" s="1">
        <v>9</v>
      </c>
      <c r="M1345" s="13">
        <v>2362.56</v>
      </c>
      <c r="N1345" s="15">
        <v>0.24</v>
      </c>
      <c r="O1345" s="13">
        <v>27141.72</v>
      </c>
      <c r="P1345" s="13">
        <v>10738.54</v>
      </c>
      <c r="Q1345" s="13">
        <v>78.73</v>
      </c>
      <c r="R1345" s="1" t="s">
        <v>57</v>
      </c>
      <c r="S1345" s="1">
        <v>4</v>
      </c>
      <c r="T1345" s="1" t="b">
        <v>0</v>
      </c>
      <c r="U1345" s="1" t="s">
        <v>39</v>
      </c>
      <c r="V1345" s="3">
        <v>2</v>
      </c>
    </row>
    <row r="1346" spans="1:22" x14ac:dyDescent="0.3">
      <c r="A1346" s="2" t="s">
        <v>3186</v>
      </c>
      <c r="B1346" s="10">
        <v>45495</v>
      </c>
      <c r="C1346" s="22">
        <v>45495</v>
      </c>
      <c r="D1346" s="1" t="s">
        <v>3187</v>
      </c>
      <c r="E1346" s="1" t="s">
        <v>872</v>
      </c>
      <c r="F1346" s="1">
        <v>34</v>
      </c>
      <c r="G1346" s="1" t="s">
        <v>34</v>
      </c>
      <c r="H1346" s="1" t="s">
        <v>74</v>
      </c>
      <c r="I1346" s="1" t="s">
        <v>192</v>
      </c>
      <c r="J1346" s="1" t="s">
        <v>44</v>
      </c>
      <c r="K1346" s="1" t="s">
        <v>93</v>
      </c>
      <c r="L1346" s="1">
        <v>8</v>
      </c>
      <c r="M1346" s="13">
        <v>26461.22</v>
      </c>
      <c r="N1346" s="15">
        <v>0.33</v>
      </c>
      <c r="O1346" s="13">
        <v>222317.82</v>
      </c>
      <c r="P1346" s="13">
        <v>66500.31</v>
      </c>
      <c r="Q1346" s="13">
        <v>67.8</v>
      </c>
      <c r="R1346" s="1" t="s">
        <v>29</v>
      </c>
      <c r="S1346" s="1">
        <v>3</v>
      </c>
      <c r="T1346" s="1" t="b">
        <v>0</v>
      </c>
      <c r="U1346" s="1" t="s">
        <v>39</v>
      </c>
      <c r="V1346" s="3">
        <v>7</v>
      </c>
    </row>
    <row r="1347" spans="1:22" x14ac:dyDescent="0.3">
      <c r="A1347" s="2" t="s">
        <v>3188</v>
      </c>
      <c r="B1347" s="10">
        <v>45627</v>
      </c>
      <c r="C1347" s="22">
        <v>45627</v>
      </c>
      <c r="D1347" s="1" t="s">
        <v>3189</v>
      </c>
      <c r="E1347" s="1" t="s">
        <v>748</v>
      </c>
      <c r="F1347" s="1">
        <v>24</v>
      </c>
      <c r="G1347" s="1" t="s">
        <v>68</v>
      </c>
      <c r="H1347" s="1" t="s">
        <v>74</v>
      </c>
      <c r="I1347" s="1" t="s">
        <v>101</v>
      </c>
      <c r="J1347" s="1" t="s">
        <v>76</v>
      </c>
      <c r="K1347" s="1" t="s">
        <v>89</v>
      </c>
      <c r="L1347" s="1">
        <v>1</v>
      </c>
      <c r="M1347" s="13">
        <v>3420.38</v>
      </c>
      <c r="N1347" s="15">
        <v>0.01</v>
      </c>
      <c r="O1347" s="13">
        <v>3473.11</v>
      </c>
      <c r="P1347" s="13">
        <v>1562.14</v>
      </c>
      <c r="Q1347" s="13">
        <v>63.61</v>
      </c>
      <c r="R1347" s="1" t="s">
        <v>29</v>
      </c>
      <c r="S1347" s="1">
        <v>3</v>
      </c>
      <c r="T1347" s="1" t="b">
        <v>0</v>
      </c>
      <c r="U1347" s="1" t="s">
        <v>39</v>
      </c>
      <c r="V1347" s="3">
        <v>4</v>
      </c>
    </row>
    <row r="1348" spans="1:22" x14ac:dyDescent="0.3">
      <c r="A1348" s="2" t="s">
        <v>3190</v>
      </c>
      <c r="B1348" s="10">
        <v>45040</v>
      </c>
      <c r="C1348" s="22">
        <v>45040</v>
      </c>
      <c r="D1348" s="1" t="s">
        <v>3191</v>
      </c>
      <c r="E1348" s="1" t="s">
        <v>275</v>
      </c>
      <c r="F1348" s="1">
        <v>40</v>
      </c>
      <c r="G1348" s="1" t="s">
        <v>24</v>
      </c>
      <c r="H1348" s="1" t="s">
        <v>74</v>
      </c>
      <c r="I1348" s="1" t="s">
        <v>192</v>
      </c>
      <c r="J1348" s="1" t="s">
        <v>62</v>
      </c>
      <c r="K1348" s="1" t="s">
        <v>107</v>
      </c>
      <c r="L1348" s="1">
        <v>5</v>
      </c>
      <c r="M1348" s="13">
        <v>375.59</v>
      </c>
      <c r="N1348" s="15">
        <v>7.0000000000000007E-2</v>
      </c>
      <c r="O1348" s="13">
        <v>2462.15</v>
      </c>
      <c r="P1348" s="13">
        <v>759.54</v>
      </c>
      <c r="Q1348" s="13">
        <v>86.48</v>
      </c>
      <c r="R1348" s="1" t="s">
        <v>29</v>
      </c>
      <c r="S1348" s="1">
        <v>4</v>
      </c>
      <c r="T1348" s="1" t="b">
        <v>0</v>
      </c>
      <c r="U1348" s="1" t="s">
        <v>39</v>
      </c>
      <c r="V1348" s="3">
        <v>6</v>
      </c>
    </row>
    <row r="1349" spans="1:22" x14ac:dyDescent="0.3">
      <c r="A1349" s="2" t="s">
        <v>3192</v>
      </c>
      <c r="B1349" s="10">
        <v>44636</v>
      </c>
      <c r="C1349" s="22">
        <v>44636</v>
      </c>
      <c r="D1349" s="1" t="s">
        <v>3193</v>
      </c>
      <c r="E1349" s="1" t="s">
        <v>185</v>
      </c>
      <c r="F1349" s="1">
        <v>54</v>
      </c>
      <c r="G1349" s="1" t="s">
        <v>68</v>
      </c>
      <c r="H1349" s="1" t="s">
        <v>82</v>
      </c>
      <c r="I1349" s="1" t="s">
        <v>244</v>
      </c>
      <c r="J1349" s="1" t="s">
        <v>76</v>
      </c>
      <c r="K1349" s="1" t="s">
        <v>132</v>
      </c>
      <c r="L1349" s="1">
        <v>8</v>
      </c>
      <c r="M1349" s="13">
        <v>3480.42</v>
      </c>
      <c r="N1349" s="15">
        <v>0.26</v>
      </c>
      <c r="O1349" s="13">
        <v>26432.66</v>
      </c>
      <c r="P1349" s="13">
        <v>9634.6200000000008</v>
      </c>
      <c r="Q1349" s="13">
        <v>82.01</v>
      </c>
      <c r="R1349" s="1" t="s">
        <v>51</v>
      </c>
      <c r="S1349" s="1">
        <v>2</v>
      </c>
      <c r="T1349" s="1" t="b">
        <v>1</v>
      </c>
      <c r="U1349" s="1" t="s">
        <v>30</v>
      </c>
      <c r="V1349" s="3">
        <v>10</v>
      </c>
    </row>
    <row r="1350" spans="1:22" x14ac:dyDescent="0.3">
      <c r="A1350" s="2" t="s">
        <v>3194</v>
      </c>
      <c r="B1350" s="10">
        <v>44910</v>
      </c>
      <c r="C1350" s="22">
        <v>44910</v>
      </c>
      <c r="D1350" s="1" t="s">
        <v>3195</v>
      </c>
      <c r="E1350" s="1" t="s">
        <v>558</v>
      </c>
      <c r="F1350" s="1">
        <v>27</v>
      </c>
      <c r="G1350" s="1" t="s">
        <v>68</v>
      </c>
      <c r="H1350" s="1" t="s">
        <v>111</v>
      </c>
      <c r="I1350" s="1" t="s">
        <v>121</v>
      </c>
      <c r="J1350" s="1" t="s">
        <v>127</v>
      </c>
      <c r="K1350" s="1" t="s">
        <v>142</v>
      </c>
      <c r="L1350" s="1">
        <v>10</v>
      </c>
      <c r="M1350" s="13">
        <v>27390.35</v>
      </c>
      <c r="N1350" s="15">
        <v>0.14000000000000001</v>
      </c>
      <c r="O1350" s="13">
        <v>206094.85</v>
      </c>
      <c r="P1350" s="13">
        <v>28830.39</v>
      </c>
      <c r="Q1350" s="13">
        <v>84.68</v>
      </c>
      <c r="R1350" s="1" t="s">
        <v>78</v>
      </c>
      <c r="S1350" s="1">
        <v>3</v>
      </c>
      <c r="T1350" s="1" t="b">
        <v>1</v>
      </c>
      <c r="U1350" s="1" t="s">
        <v>30</v>
      </c>
      <c r="V1350" s="3">
        <v>10</v>
      </c>
    </row>
    <row r="1351" spans="1:22" x14ac:dyDescent="0.3">
      <c r="A1351" s="2" t="s">
        <v>3196</v>
      </c>
      <c r="B1351" s="10">
        <v>45418</v>
      </c>
      <c r="C1351" s="22">
        <v>45418</v>
      </c>
      <c r="D1351" s="1" t="s">
        <v>3197</v>
      </c>
      <c r="E1351" s="1" t="s">
        <v>831</v>
      </c>
      <c r="F1351" s="1">
        <v>41</v>
      </c>
      <c r="G1351" s="1" t="s">
        <v>34</v>
      </c>
      <c r="H1351" s="1" t="s">
        <v>25</v>
      </c>
      <c r="I1351" s="1" t="s">
        <v>26</v>
      </c>
      <c r="J1351" s="1" t="s">
        <v>27</v>
      </c>
      <c r="K1351" s="1" t="s">
        <v>450</v>
      </c>
      <c r="L1351" s="1">
        <v>1</v>
      </c>
      <c r="M1351" s="13">
        <v>429.16</v>
      </c>
      <c r="N1351" s="15">
        <v>0.06</v>
      </c>
      <c r="O1351" s="13">
        <v>614.69000000000005</v>
      </c>
      <c r="P1351" s="13">
        <v>40.82</v>
      </c>
      <c r="Q1351" s="13">
        <v>38.15</v>
      </c>
      <c r="R1351" s="1" t="s">
        <v>64</v>
      </c>
      <c r="S1351" s="1">
        <v>2</v>
      </c>
      <c r="T1351" s="1" t="b">
        <v>0</v>
      </c>
      <c r="U1351" s="1" t="s">
        <v>39</v>
      </c>
      <c r="V1351" s="3">
        <v>7</v>
      </c>
    </row>
    <row r="1352" spans="1:22" x14ac:dyDescent="0.3">
      <c r="A1352" s="2" t="s">
        <v>3198</v>
      </c>
      <c r="B1352" s="10">
        <v>45037</v>
      </c>
      <c r="C1352" s="22">
        <v>45037</v>
      </c>
      <c r="D1352" s="1" t="s">
        <v>3199</v>
      </c>
      <c r="E1352" s="1" t="s">
        <v>552</v>
      </c>
      <c r="F1352" s="1">
        <v>20</v>
      </c>
      <c r="G1352" s="1" t="s">
        <v>34</v>
      </c>
      <c r="H1352" s="1" t="s">
        <v>25</v>
      </c>
      <c r="I1352" s="1" t="s">
        <v>69</v>
      </c>
      <c r="J1352" s="1" t="s">
        <v>62</v>
      </c>
      <c r="K1352" s="1" t="s">
        <v>283</v>
      </c>
      <c r="L1352" s="1">
        <v>7</v>
      </c>
      <c r="M1352" s="13">
        <v>714.91</v>
      </c>
      <c r="N1352" s="15">
        <v>0.34</v>
      </c>
      <c r="O1352" s="13">
        <v>5029.55</v>
      </c>
      <c r="P1352" s="13">
        <v>1690.54</v>
      </c>
      <c r="Q1352" s="13">
        <v>56.73</v>
      </c>
      <c r="R1352" s="1" t="s">
        <v>70</v>
      </c>
      <c r="S1352" s="1">
        <v>3</v>
      </c>
      <c r="T1352" s="1" t="b">
        <v>0</v>
      </c>
      <c r="U1352" s="1" t="s">
        <v>39</v>
      </c>
      <c r="V1352" s="3">
        <v>8</v>
      </c>
    </row>
    <row r="1353" spans="1:22" x14ac:dyDescent="0.3">
      <c r="A1353" s="2" t="s">
        <v>3200</v>
      </c>
      <c r="B1353" s="10">
        <v>44835</v>
      </c>
      <c r="C1353" s="22">
        <v>44835</v>
      </c>
      <c r="D1353" s="1" t="s">
        <v>3201</v>
      </c>
      <c r="E1353" s="1" t="s">
        <v>1803</v>
      </c>
      <c r="F1353" s="1">
        <v>32</v>
      </c>
      <c r="G1353" s="1" t="s">
        <v>24</v>
      </c>
      <c r="H1353" s="1" t="s">
        <v>74</v>
      </c>
      <c r="I1353" s="1" t="s">
        <v>75</v>
      </c>
      <c r="J1353" s="1" t="s">
        <v>37</v>
      </c>
      <c r="K1353" s="1" t="s">
        <v>182</v>
      </c>
      <c r="L1353" s="1">
        <v>8</v>
      </c>
      <c r="M1353" s="13">
        <v>963.22</v>
      </c>
      <c r="N1353" s="15">
        <v>0.23</v>
      </c>
      <c r="O1353" s="13">
        <v>5534.19</v>
      </c>
      <c r="P1353" s="13">
        <v>2484.8000000000002</v>
      </c>
      <c r="Q1353" s="13">
        <v>60.98</v>
      </c>
      <c r="R1353" s="1" t="s">
        <v>51</v>
      </c>
      <c r="S1353" s="1">
        <v>3</v>
      </c>
      <c r="T1353" s="1" t="b">
        <v>0</v>
      </c>
      <c r="U1353" s="1" t="s">
        <v>39</v>
      </c>
      <c r="V1353" s="3">
        <v>3</v>
      </c>
    </row>
    <row r="1354" spans="1:22" x14ac:dyDescent="0.3">
      <c r="A1354" s="2" t="s">
        <v>3202</v>
      </c>
      <c r="B1354" s="10">
        <v>45138</v>
      </c>
      <c r="C1354" s="22">
        <v>45138</v>
      </c>
      <c r="D1354" s="1" t="s">
        <v>3203</v>
      </c>
      <c r="E1354" s="1" t="s">
        <v>329</v>
      </c>
      <c r="F1354" s="1">
        <v>30</v>
      </c>
      <c r="G1354" s="1" t="s">
        <v>24</v>
      </c>
      <c r="H1354" s="1" t="s">
        <v>35</v>
      </c>
      <c r="I1354" s="1" t="s">
        <v>106</v>
      </c>
      <c r="J1354" s="1" t="s">
        <v>76</v>
      </c>
      <c r="K1354" s="1" t="s">
        <v>89</v>
      </c>
      <c r="L1354" s="1">
        <v>2</v>
      </c>
      <c r="M1354" s="13">
        <v>1744.92</v>
      </c>
      <c r="N1354" s="15">
        <v>0.39</v>
      </c>
      <c r="O1354" s="13">
        <v>3236.74</v>
      </c>
      <c r="P1354" s="13">
        <v>1198.8399999999999</v>
      </c>
      <c r="Q1354" s="13">
        <v>44.94</v>
      </c>
      <c r="R1354" s="1" t="s">
        <v>70</v>
      </c>
      <c r="S1354" s="1">
        <v>3</v>
      </c>
      <c r="T1354" s="1" t="b">
        <v>1</v>
      </c>
      <c r="U1354" s="1" t="s">
        <v>30</v>
      </c>
      <c r="V1354" s="3">
        <v>7</v>
      </c>
    </row>
    <row r="1355" spans="1:22" x14ac:dyDescent="0.3">
      <c r="A1355" s="2" t="s">
        <v>3204</v>
      </c>
      <c r="B1355" s="10">
        <v>44721</v>
      </c>
      <c r="C1355" s="22">
        <v>44721</v>
      </c>
      <c r="D1355" s="1" t="s">
        <v>3205</v>
      </c>
      <c r="E1355" s="1" t="s">
        <v>2130</v>
      </c>
      <c r="F1355" s="1">
        <v>26</v>
      </c>
      <c r="G1355" s="1" t="s">
        <v>68</v>
      </c>
      <c r="H1355" s="1" t="s">
        <v>82</v>
      </c>
      <c r="I1355" s="1" t="s">
        <v>293</v>
      </c>
      <c r="J1355" s="1" t="s">
        <v>44</v>
      </c>
      <c r="K1355" s="1" t="s">
        <v>117</v>
      </c>
      <c r="L1355" s="1">
        <v>7</v>
      </c>
      <c r="M1355" s="13">
        <v>27994.03</v>
      </c>
      <c r="N1355" s="15">
        <v>0.19</v>
      </c>
      <c r="O1355" s="13">
        <v>268698.01</v>
      </c>
      <c r="P1355" s="13">
        <v>53596.61</v>
      </c>
      <c r="Q1355" s="13">
        <v>69.11</v>
      </c>
      <c r="R1355" s="1" t="s">
        <v>64</v>
      </c>
      <c r="S1355" s="1">
        <v>3</v>
      </c>
      <c r="T1355" s="1" t="b">
        <v>0</v>
      </c>
      <c r="U1355" s="1" t="s">
        <v>84</v>
      </c>
      <c r="V1355" s="3">
        <v>2</v>
      </c>
    </row>
    <row r="1356" spans="1:22" x14ac:dyDescent="0.3">
      <c r="A1356" s="2" t="s">
        <v>3206</v>
      </c>
      <c r="B1356" s="10">
        <v>45641</v>
      </c>
      <c r="C1356" s="22">
        <v>45641</v>
      </c>
      <c r="D1356" s="1" t="s">
        <v>3207</v>
      </c>
      <c r="E1356" s="1" t="s">
        <v>3005</v>
      </c>
      <c r="F1356" s="1">
        <v>38</v>
      </c>
      <c r="G1356" s="1" t="s">
        <v>463</v>
      </c>
      <c r="H1356" s="1" t="s">
        <v>82</v>
      </c>
      <c r="I1356" s="1" t="s">
        <v>244</v>
      </c>
      <c r="J1356" s="1" t="s">
        <v>127</v>
      </c>
      <c r="K1356" s="1" t="s">
        <v>308</v>
      </c>
      <c r="L1356" s="1">
        <v>4</v>
      </c>
      <c r="M1356" s="13">
        <v>62134.64</v>
      </c>
      <c r="N1356" s="15">
        <v>0.31</v>
      </c>
      <c r="O1356" s="13">
        <v>151708.44</v>
      </c>
      <c r="P1356" s="13">
        <v>17375.7</v>
      </c>
      <c r="Q1356" s="13">
        <v>66.2</v>
      </c>
      <c r="R1356" s="1" t="s">
        <v>57</v>
      </c>
      <c r="S1356" s="1">
        <v>3</v>
      </c>
      <c r="T1356" s="1" t="b">
        <v>0</v>
      </c>
      <c r="U1356" s="1" t="s">
        <v>39</v>
      </c>
      <c r="V1356" s="3">
        <v>1</v>
      </c>
    </row>
    <row r="1357" spans="1:22" x14ac:dyDescent="0.3">
      <c r="A1357" s="2" t="s">
        <v>3208</v>
      </c>
      <c r="B1357" s="10">
        <v>45014</v>
      </c>
      <c r="C1357" s="22">
        <v>45014</v>
      </c>
      <c r="D1357" s="1" t="s">
        <v>3209</v>
      </c>
      <c r="E1357" s="1" t="s">
        <v>1387</v>
      </c>
      <c r="F1357" s="1">
        <v>22</v>
      </c>
      <c r="G1357" s="1" t="s">
        <v>24</v>
      </c>
      <c r="H1357" s="1" t="s">
        <v>35</v>
      </c>
      <c r="I1357" s="1" t="s">
        <v>106</v>
      </c>
      <c r="J1357" s="1" t="s">
        <v>146</v>
      </c>
      <c r="K1357" s="1" t="s">
        <v>147</v>
      </c>
      <c r="L1357" s="1">
        <v>5</v>
      </c>
      <c r="M1357" s="13">
        <v>9438.65</v>
      </c>
      <c r="N1357" s="15">
        <v>0.19</v>
      </c>
      <c r="O1357" s="13">
        <v>50601.3</v>
      </c>
      <c r="P1357" s="13">
        <v>10853.36</v>
      </c>
      <c r="Q1357" s="13">
        <v>59.57</v>
      </c>
      <c r="R1357" s="1" t="s">
        <v>78</v>
      </c>
      <c r="S1357" s="1">
        <v>2</v>
      </c>
      <c r="T1357" s="1" t="b">
        <v>0</v>
      </c>
      <c r="U1357" s="1" t="s">
        <v>39</v>
      </c>
      <c r="V1357" s="3">
        <v>9</v>
      </c>
    </row>
    <row r="1358" spans="1:22" x14ac:dyDescent="0.3">
      <c r="A1358" s="2" t="s">
        <v>3210</v>
      </c>
      <c r="B1358" s="10">
        <v>44258</v>
      </c>
      <c r="C1358" s="22">
        <v>44258</v>
      </c>
      <c r="D1358" s="1" t="s">
        <v>3211</v>
      </c>
      <c r="E1358" s="1" t="s">
        <v>67</v>
      </c>
      <c r="F1358" s="1">
        <v>29</v>
      </c>
      <c r="G1358" s="1" t="s">
        <v>391</v>
      </c>
      <c r="H1358" s="1" t="s">
        <v>111</v>
      </c>
      <c r="I1358" s="1" t="s">
        <v>112</v>
      </c>
      <c r="J1358" s="1" t="s">
        <v>62</v>
      </c>
      <c r="K1358" s="1" t="s">
        <v>151</v>
      </c>
      <c r="L1358" s="1">
        <v>3</v>
      </c>
      <c r="M1358" s="13">
        <v>265.72000000000003</v>
      </c>
      <c r="N1358" s="15">
        <v>0.26</v>
      </c>
      <c r="O1358" s="13">
        <v>642.25</v>
      </c>
      <c r="P1358" s="13">
        <v>162.11000000000001</v>
      </c>
      <c r="Q1358" s="13">
        <v>60.04</v>
      </c>
      <c r="R1358" s="1" t="s">
        <v>57</v>
      </c>
      <c r="S1358" s="1">
        <v>1</v>
      </c>
      <c r="T1358" s="1" t="b">
        <v>0</v>
      </c>
      <c r="U1358" s="1" t="s">
        <v>84</v>
      </c>
      <c r="V1358" s="3">
        <v>10</v>
      </c>
    </row>
    <row r="1359" spans="1:22" x14ac:dyDescent="0.3">
      <c r="A1359" s="2" t="s">
        <v>3212</v>
      </c>
      <c r="B1359" s="10">
        <v>45509</v>
      </c>
      <c r="C1359" s="22">
        <v>45509</v>
      </c>
      <c r="D1359" s="1" t="s">
        <v>3213</v>
      </c>
      <c r="E1359" s="1" t="s">
        <v>578</v>
      </c>
      <c r="F1359" s="1">
        <v>38</v>
      </c>
      <c r="G1359" s="1" t="s">
        <v>68</v>
      </c>
      <c r="H1359" s="1" t="s">
        <v>82</v>
      </c>
      <c r="I1359" s="1" t="s">
        <v>244</v>
      </c>
      <c r="J1359" s="1" t="s">
        <v>62</v>
      </c>
      <c r="K1359" s="1" t="s">
        <v>151</v>
      </c>
      <c r="L1359" s="1">
        <v>10</v>
      </c>
      <c r="M1359" s="13">
        <v>712.14</v>
      </c>
      <c r="N1359" s="15">
        <v>0.21</v>
      </c>
      <c r="O1359" s="13">
        <v>10991.18</v>
      </c>
      <c r="P1359" s="13">
        <v>3414.32</v>
      </c>
      <c r="Q1359" s="13">
        <v>90.89</v>
      </c>
      <c r="R1359" s="1" t="s">
        <v>29</v>
      </c>
      <c r="S1359" s="1">
        <v>3</v>
      </c>
      <c r="T1359" s="1" t="b">
        <v>0</v>
      </c>
      <c r="U1359" s="1" t="s">
        <v>137</v>
      </c>
      <c r="V1359" s="3">
        <v>6</v>
      </c>
    </row>
    <row r="1360" spans="1:22" x14ac:dyDescent="0.3">
      <c r="A1360" s="2" t="s">
        <v>3214</v>
      </c>
      <c r="B1360" s="10">
        <v>44692</v>
      </c>
      <c r="C1360" s="22">
        <v>44692</v>
      </c>
      <c r="D1360" s="1" t="s">
        <v>3215</v>
      </c>
      <c r="E1360" s="1" t="s">
        <v>135</v>
      </c>
      <c r="F1360" s="1">
        <v>17</v>
      </c>
      <c r="G1360" s="1" t="s">
        <v>68</v>
      </c>
      <c r="H1360" s="1" t="s">
        <v>35</v>
      </c>
      <c r="I1360" s="1" t="s">
        <v>36</v>
      </c>
      <c r="J1360" s="1" t="s">
        <v>27</v>
      </c>
      <c r="K1360" s="1" t="s">
        <v>56</v>
      </c>
      <c r="L1360" s="1">
        <v>8</v>
      </c>
      <c r="M1360" s="13">
        <v>186.85</v>
      </c>
      <c r="N1360" s="15">
        <v>0.28000000000000003</v>
      </c>
      <c r="O1360" s="13">
        <v>1720.56</v>
      </c>
      <c r="P1360" s="13">
        <v>141.72999999999999</v>
      </c>
      <c r="Q1360" s="13">
        <v>50.9</v>
      </c>
      <c r="R1360" s="1" t="s">
        <v>29</v>
      </c>
      <c r="S1360" s="1">
        <v>1</v>
      </c>
      <c r="T1360" s="1" t="b">
        <v>0</v>
      </c>
      <c r="U1360" s="1" t="s">
        <v>84</v>
      </c>
      <c r="V1360" s="3">
        <v>6</v>
      </c>
    </row>
    <row r="1361" spans="1:22" x14ac:dyDescent="0.3">
      <c r="A1361" s="2" t="s">
        <v>3216</v>
      </c>
      <c r="B1361" s="10">
        <v>45001</v>
      </c>
      <c r="C1361" s="22">
        <v>45001</v>
      </c>
      <c r="D1361" s="1" t="s">
        <v>3217</v>
      </c>
      <c r="E1361" s="1" t="s">
        <v>1433</v>
      </c>
      <c r="F1361" s="1">
        <v>34</v>
      </c>
      <c r="G1361" s="1" t="s">
        <v>34</v>
      </c>
      <c r="H1361" s="1" t="s">
        <v>35</v>
      </c>
      <c r="I1361" s="1" t="s">
        <v>49</v>
      </c>
      <c r="J1361" s="1" t="s">
        <v>62</v>
      </c>
      <c r="K1361" s="1" t="s">
        <v>107</v>
      </c>
      <c r="L1361" s="1">
        <v>6</v>
      </c>
      <c r="M1361" s="13">
        <v>942.74</v>
      </c>
      <c r="N1361" s="15">
        <v>0.28000000000000003</v>
      </c>
      <c r="O1361" s="13">
        <v>4651.1099999999997</v>
      </c>
      <c r="P1361" s="13">
        <v>1628.44</v>
      </c>
      <c r="Q1361" s="13">
        <v>67.17</v>
      </c>
      <c r="R1361" s="1" t="s">
        <v>78</v>
      </c>
      <c r="S1361" s="1">
        <v>3</v>
      </c>
      <c r="T1361" s="1" t="b">
        <v>0</v>
      </c>
      <c r="U1361" s="1" t="s">
        <v>39</v>
      </c>
      <c r="V1361" s="3">
        <v>9</v>
      </c>
    </row>
    <row r="1362" spans="1:22" x14ac:dyDescent="0.3">
      <c r="A1362" s="2" t="s">
        <v>3218</v>
      </c>
      <c r="B1362" s="10">
        <v>45154</v>
      </c>
      <c r="C1362" s="22">
        <v>45154</v>
      </c>
      <c r="D1362" s="1" t="s">
        <v>3219</v>
      </c>
      <c r="E1362" s="1" t="s">
        <v>547</v>
      </c>
      <c r="F1362" s="1">
        <v>45</v>
      </c>
      <c r="G1362" s="1" t="s">
        <v>434</v>
      </c>
      <c r="H1362" s="1" t="s">
        <v>25</v>
      </c>
      <c r="I1362" s="1" t="s">
        <v>26</v>
      </c>
      <c r="J1362" s="1" t="s">
        <v>44</v>
      </c>
      <c r="K1362" s="1" t="s">
        <v>50</v>
      </c>
      <c r="L1362" s="1">
        <v>7</v>
      </c>
      <c r="M1362" s="13">
        <v>21860.37</v>
      </c>
      <c r="N1362" s="15">
        <v>0.22</v>
      </c>
      <c r="O1362" s="13">
        <v>156258.37</v>
      </c>
      <c r="P1362" s="13">
        <v>37409.1</v>
      </c>
      <c r="Q1362" s="13">
        <v>28.9</v>
      </c>
      <c r="R1362" s="1" t="s">
        <v>70</v>
      </c>
      <c r="S1362" s="1">
        <v>1</v>
      </c>
      <c r="T1362" s="1" t="b">
        <v>1</v>
      </c>
      <c r="U1362" s="1" t="s">
        <v>30</v>
      </c>
      <c r="V1362" s="3">
        <v>7</v>
      </c>
    </row>
    <row r="1363" spans="1:22" x14ac:dyDescent="0.3">
      <c r="A1363" s="2" t="s">
        <v>3220</v>
      </c>
      <c r="B1363" s="10">
        <v>44673</v>
      </c>
      <c r="C1363" s="22">
        <v>44673</v>
      </c>
      <c r="D1363" s="1" t="s">
        <v>3221</v>
      </c>
      <c r="E1363" s="1" t="s">
        <v>344</v>
      </c>
      <c r="F1363" s="1">
        <v>34</v>
      </c>
      <c r="G1363" s="1" t="s">
        <v>24</v>
      </c>
      <c r="H1363" s="1" t="s">
        <v>35</v>
      </c>
      <c r="I1363" s="1" t="s">
        <v>36</v>
      </c>
      <c r="J1363" s="1" t="s">
        <v>76</v>
      </c>
      <c r="K1363" s="1" t="s">
        <v>77</v>
      </c>
      <c r="L1363" s="1">
        <v>3</v>
      </c>
      <c r="M1363" s="13">
        <v>3141.61</v>
      </c>
      <c r="N1363" s="15">
        <v>0.25</v>
      </c>
      <c r="O1363" s="13">
        <v>8685.8799999999992</v>
      </c>
      <c r="P1363" s="13">
        <v>2933.74</v>
      </c>
      <c r="Q1363" s="13">
        <v>44.85</v>
      </c>
      <c r="R1363" s="1" t="s">
        <v>57</v>
      </c>
      <c r="S1363" s="1">
        <v>3</v>
      </c>
      <c r="T1363" s="1" t="b">
        <v>0</v>
      </c>
      <c r="U1363" s="1" t="s">
        <v>84</v>
      </c>
      <c r="V1363" s="3">
        <v>8</v>
      </c>
    </row>
    <row r="1364" spans="1:22" x14ac:dyDescent="0.3">
      <c r="A1364" s="2" t="s">
        <v>3222</v>
      </c>
      <c r="B1364" s="10">
        <v>44400</v>
      </c>
      <c r="C1364" s="22">
        <v>44400</v>
      </c>
      <c r="D1364" s="1" t="s">
        <v>3223</v>
      </c>
      <c r="E1364" s="1" t="s">
        <v>2229</v>
      </c>
      <c r="F1364" s="1">
        <v>43</v>
      </c>
      <c r="G1364" s="1" t="s">
        <v>68</v>
      </c>
      <c r="H1364" s="1" t="s">
        <v>74</v>
      </c>
      <c r="I1364" s="1" t="s">
        <v>192</v>
      </c>
      <c r="J1364" s="1" t="s">
        <v>76</v>
      </c>
      <c r="K1364" s="1" t="s">
        <v>77</v>
      </c>
      <c r="L1364" s="1">
        <v>4</v>
      </c>
      <c r="M1364" s="13">
        <v>3539.46</v>
      </c>
      <c r="N1364" s="15">
        <v>0.36</v>
      </c>
      <c r="O1364" s="13">
        <v>13144.99</v>
      </c>
      <c r="P1364" s="13">
        <v>4582.45</v>
      </c>
      <c r="Q1364" s="13">
        <v>80.650000000000006</v>
      </c>
      <c r="R1364" s="1" t="s">
        <v>51</v>
      </c>
      <c r="S1364" s="1">
        <v>3</v>
      </c>
      <c r="T1364" s="1" t="b">
        <v>1</v>
      </c>
      <c r="U1364" s="1" t="s">
        <v>30</v>
      </c>
      <c r="V1364" s="3">
        <v>10</v>
      </c>
    </row>
    <row r="1365" spans="1:22" x14ac:dyDescent="0.3">
      <c r="A1365" s="2" t="s">
        <v>3224</v>
      </c>
      <c r="B1365" s="10">
        <v>44354</v>
      </c>
      <c r="C1365" s="22">
        <v>44354</v>
      </c>
      <c r="D1365" s="1" t="s">
        <v>3225</v>
      </c>
      <c r="E1365" s="1" t="s">
        <v>905</v>
      </c>
      <c r="F1365" s="1">
        <v>41</v>
      </c>
      <c r="G1365" s="1" t="s">
        <v>34</v>
      </c>
      <c r="H1365" s="1" t="s">
        <v>111</v>
      </c>
      <c r="I1365" s="1" t="s">
        <v>330</v>
      </c>
      <c r="J1365" s="1" t="s">
        <v>127</v>
      </c>
      <c r="K1365" s="1" t="s">
        <v>142</v>
      </c>
      <c r="L1365" s="1">
        <v>9</v>
      </c>
      <c r="M1365" s="13">
        <v>63927.14</v>
      </c>
      <c r="N1365" s="15">
        <v>0.28999999999999998</v>
      </c>
      <c r="O1365" s="13">
        <v>604434.02</v>
      </c>
      <c r="P1365" s="13">
        <v>73248.66</v>
      </c>
      <c r="Q1365" s="13">
        <v>68.239999999999995</v>
      </c>
      <c r="R1365" s="1" t="s">
        <v>57</v>
      </c>
      <c r="S1365" s="1">
        <v>2</v>
      </c>
      <c r="T1365" s="1" t="b">
        <v>0</v>
      </c>
      <c r="U1365" s="1" t="s">
        <v>39</v>
      </c>
      <c r="V1365" s="3">
        <v>3</v>
      </c>
    </row>
    <row r="1366" spans="1:22" x14ac:dyDescent="0.3">
      <c r="A1366" s="2" t="s">
        <v>3226</v>
      </c>
      <c r="B1366" s="10">
        <v>45517</v>
      </c>
      <c r="C1366" s="22">
        <v>45517</v>
      </c>
      <c r="D1366" s="1" t="s">
        <v>3227</v>
      </c>
      <c r="E1366" s="1" t="s">
        <v>894</v>
      </c>
      <c r="F1366" s="1">
        <v>37</v>
      </c>
      <c r="G1366" s="1" t="s">
        <v>34</v>
      </c>
      <c r="H1366" s="1" t="s">
        <v>25</v>
      </c>
      <c r="I1366" s="1" t="s">
        <v>69</v>
      </c>
      <c r="J1366" s="1" t="s">
        <v>37</v>
      </c>
      <c r="K1366" s="1" t="s">
        <v>671</v>
      </c>
      <c r="L1366" s="1">
        <v>2</v>
      </c>
      <c r="M1366" s="13">
        <v>1715.59</v>
      </c>
      <c r="N1366" s="15">
        <v>0.39</v>
      </c>
      <c r="O1366" s="13">
        <v>2886.91</v>
      </c>
      <c r="P1366" s="13">
        <v>1724.71</v>
      </c>
      <c r="Q1366" s="13">
        <v>47.41</v>
      </c>
      <c r="R1366" s="1" t="s">
        <v>64</v>
      </c>
      <c r="S1366" s="1">
        <v>2</v>
      </c>
      <c r="T1366" s="1" t="b">
        <v>0</v>
      </c>
      <c r="U1366" s="1" t="s">
        <v>1411</v>
      </c>
      <c r="V1366" s="3">
        <v>7</v>
      </c>
    </row>
    <row r="1367" spans="1:22" x14ac:dyDescent="0.3">
      <c r="A1367" s="2" t="s">
        <v>3228</v>
      </c>
      <c r="B1367" s="10">
        <v>44356</v>
      </c>
      <c r="C1367" s="22">
        <v>44356</v>
      </c>
      <c r="D1367" s="1" t="s">
        <v>3229</v>
      </c>
      <c r="E1367" s="1" t="s">
        <v>487</v>
      </c>
      <c r="F1367" s="1">
        <v>29</v>
      </c>
      <c r="G1367" s="1" t="s">
        <v>68</v>
      </c>
      <c r="H1367" s="1" t="s">
        <v>82</v>
      </c>
      <c r="I1367" s="1" t="s">
        <v>126</v>
      </c>
      <c r="J1367" s="1" t="s">
        <v>27</v>
      </c>
      <c r="K1367" s="1" t="s">
        <v>97</v>
      </c>
      <c r="L1367" s="1">
        <v>2</v>
      </c>
      <c r="M1367" s="13">
        <v>359.79</v>
      </c>
      <c r="N1367" s="15">
        <v>0.37</v>
      </c>
      <c r="O1367" s="13">
        <v>638.01</v>
      </c>
      <c r="P1367" s="13">
        <v>52.57</v>
      </c>
      <c r="Q1367" s="13">
        <v>85.35</v>
      </c>
      <c r="R1367" s="1" t="s">
        <v>57</v>
      </c>
      <c r="S1367" s="1">
        <v>3</v>
      </c>
      <c r="T1367" s="1" t="b">
        <v>0</v>
      </c>
      <c r="U1367" s="1" t="s">
        <v>39</v>
      </c>
      <c r="V1367" s="3">
        <v>9</v>
      </c>
    </row>
    <row r="1368" spans="1:22" x14ac:dyDescent="0.3">
      <c r="A1368" s="2" t="s">
        <v>3230</v>
      </c>
      <c r="B1368" s="10">
        <v>45459</v>
      </c>
      <c r="C1368" s="22">
        <v>45459</v>
      </c>
      <c r="D1368" s="1" t="s">
        <v>3231</v>
      </c>
      <c r="E1368" s="1" t="s">
        <v>1030</v>
      </c>
      <c r="F1368" s="1">
        <v>46</v>
      </c>
      <c r="G1368" s="1" t="s">
        <v>34</v>
      </c>
      <c r="H1368" s="1" t="s">
        <v>74</v>
      </c>
      <c r="I1368" s="1" t="s">
        <v>136</v>
      </c>
      <c r="J1368" s="1" t="s">
        <v>37</v>
      </c>
      <c r="K1368" s="1" t="s">
        <v>231</v>
      </c>
      <c r="L1368" s="1">
        <v>3</v>
      </c>
      <c r="M1368" s="13">
        <v>2171.12</v>
      </c>
      <c r="N1368" s="15">
        <v>0.37</v>
      </c>
      <c r="O1368" s="13">
        <v>6476.71</v>
      </c>
      <c r="P1368" s="13">
        <v>2737.34</v>
      </c>
      <c r="Q1368" s="13">
        <v>57.34</v>
      </c>
      <c r="R1368" s="1" t="s">
        <v>57</v>
      </c>
      <c r="S1368" s="1">
        <v>4</v>
      </c>
      <c r="T1368" s="1" t="b">
        <v>1</v>
      </c>
      <c r="U1368" s="1" t="s">
        <v>30</v>
      </c>
      <c r="V1368" s="3">
        <v>2</v>
      </c>
    </row>
    <row r="1369" spans="1:22" x14ac:dyDescent="0.3">
      <c r="A1369" s="2" t="s">
        <v>3232</v>
      </c>
      <c r="B1369" s="10">
        <v>45008</v>
      </c>
      <c r="C1369" s="22">
        <v>45008</v>
      </c>
      <c r="D1369" s="1" t="s">
        <v>3233</v>
      </c>
      <c r="E1369" s="1" t="s">
        <v>2875</v>
      </c>
      <c r="F1369" s="1">
        <v>20</v>
      </c>
      <c r="G1369" s="1" t="s">
        <v>463</v>
      </c>
      <c r="H1369" s="1" t="s">
        <v>25</v>
      </c>
      <c r="I1369" s="1" t="s">
        <v>26</v>
      </c>
      <c r="J1369" s="1" t="s">
        <v>27</v>
      </c>
      <c r="K1369" s="1" t="s">
        <v>430</v>
      </c>
      <c r="L1369" s="1">
        <v>7</v>
      </c>
      <c r="M1369" s="13">
        <v>258.92</v>
      </c>
      <c r="N1369" s="15">
        <v>0.28000000000000003</v>
      </c>
      <c r="O1369" s="13">
        <v>1758.81</v>
      </c>
      <c r="P1369" s="13">
        <v>177.42</v>
      </c>
      <c r="Q1369" s="13">
        <v>37.369999999999997</v>
      </c>
      <c r="R1369" s="1" t="s">
        <v>78</v>
      </c>
      <c r="S1369" s="1">
        <v>3</v>
      </c>
      <c r="T1369" s="1" t="b">
        <v>0</v>
      </c>
      <c r="U1369" s="1" t="s">
        <v>39</v>
      </c>
      <c r="V1369" s="3">
        <v>6</v>
      </c>
    </row>
    <row r="1370" spans="1:22" x14ac:dyDescent="0.3">
      <c r="A1370" s="2" t="s">
        <v>3234</v>
      </c>
      <c r="B1370" s="10">
        <v>45655</v>
      </c>
      <c r="C1370" s="22">
        <v>45655</v>
      </c>
      <c r="D1370" s="1" t="s">
        <v>3235</v>
      </c>
      <c r="E1370" s="1" t="s">
        <v>1033</v>
      </c>
      <c r="F1370" s="1">
        <v>36</v>
      </c>
      <c r="G1370" s="1" t="s">
        <v>24</v>
      </c>
      <c r="H1370" s="1" t="s">
        <v>82</v>
      </c>
      <c r="I1370" s="1" t="s">
        <v>83</v>
      </c>
      <c r="J1370" s="1" t="s">
        <v>44</v>
      </c>
      <c r="K1370" s="1" t="s">
        <v>117</v>
      </c>
      <c r="L1370" s="1">
        <v>6</v>
      </c>
      <c r="M1370" s="13">
        <v>21398.46</v>
      </c>
      <c r="N1370" s="15">
        <v>0.34</v>
      </c>
      <c r="O1370" s="13">
        <v>75488.55</v>
      </c>
      <c r="P1370" s="13">
        <v>18648.21</v>
      </c>
      <c r="Q1370" s="13">
        <v>99.52</v>
      </c>
      <c r="R1370" s="1" t="s">
        <v>51</v>
      </c>
      <c r="S1370" s="1">
        <v>4</v>
      </c>
      <c r="T1370" s="1" t="b">
        <v>0</v>
      </c>
      <c r="U1370" s="1" t="s">
        <v>39</v>
      </c>
      <c r="V1370" s="3">
        <v>1</v>
      </c>
    </row>
    <row r="1371" spans="1:22" x14ac:dyDescent="0.3">
      <c r="A1371" s="2" t="s">
        <v>3236</v>
      </c>
      <c r="B1371" s="10">
        <v>45257</v>
      </c>
      <c r="C1371" s="22">
        <v>45257</v>
      </c>
      <c r="D1371" s="1" t="s">
        <v>3237</v>
      </c>
      <c r="E1371" s="1" t="s">
        <v>1044</v>
      </c>
      <c r="F1371" s="1">
        <v>29</v>
      </c>
      <c r="G1371" s="1" t="s">
        <v>24</v>
      </c>
      <c r="H1371" s="1" t="s">
        <v>111</v>
      </c>
      <c r="I1371" s="1" t="s">
        <v>121</v>
      </c>
      <c r="J1371" s="1" t="s">
        <v>27</v>
      </c>
      <c r="K1371" s="1" t="s">
        <v>28</v>
      </c>
      <c r="L1371" s="1">
        <v>9</v>
      </c>
      <c r="M1371" s="13">
        <v>56.27</v>
      </c>
      <c r="N1371" s="15">
        <v>0.15</v>
      </c>
      <c r="O1371" s="13">
        <v>407.16</v>
      </c>
      <c r="P1371" s="13">
        <v>20.82</v>
      </c>
      <c r="Q1371" s="13">
        <v>82.79</v>
      </c>
      <c r="R1371" s="1" t="s">
        <v>78</v>
      </c>
      <c r="S1371" s="1">
        <v>5</v>
      </c>
      <c r="T1371" s="1" t="b">
        <v>0</v>
      </c>
      <c r="U1371" s="1" t="s">
        <v>39</v>
      </c>
      <c r="V1371" s="3">
        <v>2</v>
      </c>
    </row>
    <row r="1372" spans="1:22" x14ac:dyDescent="0.3">
      <c r="A1372" s="2" t="s">
        <v>3238</v>
      </c>
      <c r="B1372" s="10">
        <v>45055</v>
      </c>
      <c r="C1372" s="22">
        <v>45055</v>
      </c>
      <c r="D1372" s="1" t="s">
        <v>3239</v>
      </c>
      <c r="E1372" s="1" t="s">
        <v>681</v>
      </c>
      <c r="F1372" s="1">
        <v>49</v>
      </c>
      <c r="G1372" s="1" t="s">
        <v>34</v>
      </c>
      <c r="H1372" s="1" t="s">
        <v>82</v>
      </c>
      <c r="I1372" s="1" t="s">
        <v>244</v>
      </c>
      <c r="J1372" s="1" t="s">
        <v>76</v>
      </c>
      <c r="K1372" s="1" t="s">
        <v>77</v>
      </c>
      <c r="L1372" s="1">
        <v>1</v>
      </c>
      <c r="M1372" s="13">
        <v>3976.86</v>
      </c>
      <c r="N1372" s="15">
        <v>0.21</v>
      </c>
      <c r="O1372" s="13">
        <v>4653</v>
      </c>
      <c r="P1372" s="13">
        <v>1981.56</v>
      </c>
      <c r="Q1372" s="13">
        <v>86.05</v>
      </c>
      <c r="R1372" s="1" t="s">
        <v>70</v>
      </c>
      <c r="S1372" s="1">
        <v>2</v>
      </c>
      <c r="T1372" s="1" t="b">
        <v>0</v>
      </c>
      <c r="U1372" s="1" t="s">
        <v>39</v>
      </c>
      <c r="V1372" s="3">
        <v>4</v>
      </c>
    </row>
    <row r="1373" spans="1:22" x14ac:dyDescent="0.3">
      <c r="A1373" s="2" t="s">
        <v>3240</v>
      </c>
      <c r="B1373" s="10">
        <v>45141</v>
      </c>
      <c r="C1373" s="22">
        <v>45141</v>
      </c>
      <c r="D1373" s="1" t="s">
        <v>3241</v>
      </c>
      <c r="E1373" s="1" t="s">
        <v>1978</v>
      </c>
      <c r="F1373" s="1">
        <v>34</v>
      </c>
      <c r="G1373" s="1" t="s">
        <v>34</v>
      </c>
      <c r="H1373" s="1" t="s">
        <v>25</v>
      </c>
      <c r="I1373" s="1" t="s">
        <v>170</v>
      </c>
      <c r="J1373" s="1" t="s">
        <v>146</v>
      </c>
      <c r="K1373" s="1" t="s">
        <v>217</v>
      </c>
      <c r="L1373" s="1">
        <v>5</v>
      </c>
      <c r="M1373" s="13">
        <v>8699.81</v>
      </c>
      <c r="N1373" s="15">
        <v>0.36</v>
      </c>
      <c r="O1373" s="13">
        <v>43806.61</v>
      </c>
      <c r="P1373" s="13">
        <v>9308.41</v>
      </c>
      <c r="Q1373" s="13">
        <v>42.55</v>
      </c>
      <c r="R1373" s="1" t="s">
        <v>29</v>
      </c>
      <c r="S1373" s="1">
        <v>1</v>
      </c>
      <c r="T1373" s="1" t="b">
        <v>0</v>
      </c>
      <c r="U1373" s="1" t="s">
        <v>39</v>
      </c>
      <c r="V1373" s="3">
        <v>5</v>
      </c>
    </row>
    <row r="1374" spans="1:22" x14ac:dyDescent="0.3">
      <c r="A1374" s="2" t="s">
        <v>3242</v>
      </c>
      <c r="B1374" s="10">
        <v>43961</v>
      </c>
      <c r="C1374" s="22">
        <v>43961</v>
      </c>
      <c r="D1374" s="1" t="s">
        <v>3243</v>
      </c>
      <c r="E1374" s="1" t="s">
        <v>1761</v>
      </c>
      <c r="F1374" s="1">
        <v>55</v>
      </c>
      <c r="G1374" s="1" t="s">
        <v>24</v>
      </c>
      <c r="H1374" s="1" t="s">
        <v>25</v>
      </c>
      <c r="I1374" s="1" t="s">
        <v>55</v>
      </c>
      <c r="J1374" s="1" t="s">
        <v>76</v>
      </c>
      <c r="K1374" s="1" t="s">
        <v>113</v>
      </c>
      <c r="L1374" s="1">
        <v>8</v>
      </c>
      <c r="M1374" s="13">
        <v>2351.5700000000002</v>
      </c>
      <c r="N1374" s="15">
        <v>0.34</v>
      </c>
      <c r="O1374" s="13">
        <v>17421.060000000001</v>
      </c>
      <c r="P1374" s="13">
        <v>5554.48</v>
      </c>
      <c r="Q1374" s="13">
        <v>71.02</v>
      </c>
      <c r="R1374" s="1" t="s">
        <v>51</v>
      </c>
      <c r="S1374" s="1">
        <v>2</v>
      </c>
      <c r="T1374" s="1" t="b">
        <v>0</v>
      </c>
      <c r="U1374" s="1" t="s">
        <v>84</v>
      </c>
      <c r="V1374" s="3">
        <v>5</v>
      </c>
    </row>
    <row r="1375" spans="1:22" x14ac:dyDescent="0.3">
      <c r="A1375" s="2" t="s">
        <v>3244</v>
      </c>
      <c r="B1375" s="10">
        <v>44339</v>
      </c>
      <c r="C1375" s="22">
        <v>44339</v>
      </c>
      <c r="D1375" s="1" t="s">
        <v>3245</v>
      </c>
      <c r="E1375" s="1" t="s">
        <v>1550</v>
      </c>
      <c r="F1375" s="1">
        <v>36</v>
      </c>
      <c r="G1375" s="1" t="s">
        <v>24</v>
      </c>
      <c r="H1375" s="1" t="s">
        <v>35</v>
      </c>
      <c r="I1375" s="1" t="s">
        <v>49</v>
      </c>
      <c r="J1375" s="1" t="s">
        <v>44</v>
      </c>
      <c r="K1375" s="1" t="s">
        <v>186</v>
      </c>
      <c r="L1375" s="1">
        <v>1</v>
      </c>
      <c r="M1375" s="13">
        <v>19884.830000000002</v>
      </c>
      <c r="N1375" s="15">
        <v>0.21</v>
      </c>
      <c r="O1375" s="13">
        <v>23868.33</v>
      </c>
      <c r="P1375" s="13">
        <v>5629.58</v>
      </c>
      <c r="Q1375" s="13">
        <v>50.84</v>
      </c>
      <c r="R1375" s="1" t="s">
        <v>57</v>
      </c>
      <c r="S1375" s="1">
        <v>2</v>
      </c>
      <c r="T1375" s="1" t="b">
        <v>0</v>
      </c>
      <c r="U1375" s="1" t="s">
        <v>39</v>
      </c>
      <c r="V1375" s="3">
        <v>8</v>
      </c>
    </row>
    <row r="1376" spans="1:22" x14ac:dyDescent="0.3">
      <c r="A1376" s="2" t="s">
        <v>3246</v>
      </c>
      <c r="B1376" s="10">
        <v>43920</v>
      </c>
      <c r="C1376" s="22">
        <v>43920</v>
      </c>
      <c r="D1376" s="1" t="s">
        <v>3247</v>
      </c>
      <c r="E1376" s="1" t="s">
        <v>3248</v>
      </c>
      <c r="F1376" s="1">
        <v>46</v>
      </c>
      <c r="G1376" s="1" t="s">
        <v>34</v>
      </c>
      <c r="H1376" s="1" t="s">
        <v>82</v>
      </c>
      <c r="I1376" s="1" t="s">
        <v>293</v>
      </c>
      <c r="J1376" s="1" t="s">
        <v>146</v>
      </c>
      <c r="K1376" s="1" t="s">
        <v>178</v>
      </c>
      <c r="L1376" s="1">
        <v>8</v>
      </c>
      <c r="M1376" s="13">
        <v>11732</v>
      </c>
      <c r="N1376" s="15">
        <v>0.21</v>
      </c>
      <c r="O1376" s="13">
        <v>88135.47</v>
      </c>
      <c r="P1376" s="13">
        <v>11413.28</v>
      </c>
      <c r="Q1376" s="13">
        <v>83.77</v>
      </c>
      <c r="R1376" s="1" t="s">
        <v>29</v>
      </c>
      <c r="S1376" s="1">
        <v>4</v>
      </c>
      <c r="T1376" s="1" t="b">
        <v>0</v>
      </c>
      <c r="U1376" s="1" t="s">
        <v>39</v>
      </c>
      <c r="V1376" s="3">
        <v>10</v>
      </c>
    </row>
    <row r="1377" spans="1:22" x14ac:dyDescent="0.3">
      <c r="A1377" s="2" t="s">
        <v>3249</v>
      </c>
      <c r="B1377" s="10">
        <v>43858</v>
      </c>
      <c r="C1377" s="22">
        <v>43858</v>
      </c>
      <c r="D1377" s="1" t="s">
        <v>3250</v>
      </c>
      <c r="E1377" s="1" t="s">
        <v>850</v>
      </c>
      <c r="F1377" s="1">
        <v>46</v>
      </c>
      <c r="G1377" s="1" t="s">
        <v>34</v>
      </c>
      <c r="H1377" s="1" t="s">
        <v>35</v>
      </c>
      <c r="I1377" s="1" t="s">
        <v>43</v>
      </c>
      <c r="J1377" s="1" t="s">
        <v>27</v>
      </c>
      <c r="K1377" s="1" t="s">
        <v>56</v>
      </c>
      <c r="L1377" s="1">
        <v>9</v>
      </c>
      <c r="M1377" s="13">
        <v>225.4</v>
      </c>
      <c r="N1377" s="15">
        <v>0.26</v>
      </c>
      <c r="O1377" s="13">
        <v>1125.8599999999999</v>
      </c>
      <c r="P1377" s="13">
        <v>112.52</v>
      </c>
      <c r="Q1377" s="13">
        <v>48.11</v>
      </c>
      <c r="R1377" s="1" t="s">
        <v>57</v>
      </c>
      <c r="S1377" s="1">
        <v>1</v>
      </c>
      <c r="T1377" s="1" t="b">
        <v>1</v>
      </c>
      <c r="U1377" s="1" t="s">
        <v>30</v>
      </c>
      <c r="V1377" s="3">
        <v>2</v>
      </c>
    </row>
    <row r="1378" spans="1:22" x14ac:dyDescent="0.3">
      <c r="A1378" s="2" t="s">
        <v>3251</v>
      </c>
      <c r="B1378" s="10">
        <v>44787</v>
      </c>
      <c r="C1378" s="22">
        <v>44787</v>
      </c>
      <c r="D1378" s="1" t="s">
        <v>3252</v>
      </c>
      <c r="E1378" s="1" t="s">
        <v>3253</v>
      </c>
      <c r="F1378" s="1">
        <v>34</v>
      </c>
      <c r="G1378" s="1" t="s">
        <v>24</v>
      </c>
      <c r="H1378" s="1" t="s">
        <v>74</v>
      </c>
      <c r="I1378" s="1" t="s">
        <v>192</v>
      </c>
      <c r="J1378" s="1" t="s">
        <v>146</v>
      </c>
      <c r="K1378" s="1" t="s">
        <v>276</v>
      </c>
      <c r="L1378" s="1">
        <v>2</v>
      </c>
      <c r="M1378" s="13">
        <v>9154.56</v>
      </c>
      <c r="N1378" s="15">
        <v>0.24</v>
      </c>
      <c r="O1378" s="13">
        <v>20269.39</v>
      </c>
      <c r="P1378" s="13">
        <v>2758.48</v>
      </c>
      <c r="Q1378" s="13">
        <v>67.709999999999994</v>
      </c>
      <c r="R1378" s="1" t="s">
        <v>78</v>
      </c>
      <c r="S1378" s="1">
        <v>1</v>
      </c>
      <c r="T1378" s="1" t="b">
        <v>0</v>
      </c>
      <c r="U1378" s="1" t="s">
        <v>39</v>
      </c>
      <c r="V1378" s="3">
        <v>8</v>
      </c>
    </row>
    <row r="1379" spans="1:22" x14ac:dyDescent="0.3">
      <c r="A1379" s="2" t="s">
        <v>3254</v>
      </c>
      <c r="B1379" s="10">
        <v>43846</v>
      </c>
      <c r="C1379" s="22">
        <v>43846</v>
      </c>
      <c r="D1379" s="1" t="s">
        <v>3255</v>
      </c>
      <c r="E1379" s="1" t="s">
        <v>1681</v>
      </c>
      <c r="F1379" s="1">
        <v>57</v>
      </c>
      <c r="G1379" s="1" t="s">
        <v>68</v>
      </c>
      <c r="H1379" s="1" t="s">
        <v>25</v>
      </c>
      <c r="I1379" s="1" t="s">
        <v>55</v>
      </c>
      <c r="J1379" s="1" t="s">
        <v>127</v>
      </c>
      <c r="K1379" s="1" t="s">
        <v>517</v>
      </c>
      <c r="L1379" s="1">
        <v>7</v>
      </c>
      <c r="M1379" s="13">
        <v>52597.3</v>
      </c>
      <c r="N1379" s="15">
        <v>0.26</v>
      </c>
      <c r="O1379" s="13">
        <v>203835.56</v>
      </c>
      <c r="P1379" s="13">
        <v>25641.97</v>
      </c>
      <c r="Q1379" s="13">
        <v>41.61</v>
      </c>
      <c r="R1379" s="1" t="s">
        <v>78</v>
      </c>
      <c r="S1379" s="1">
        <v>2</v>
      </c>
      <c r="T1379" s="1" t="b">
        <v>0</v>
      </c>
      <c r="U1379" s="1" t="s">
        <v>39</v>
      </c>
      <c r="V1379" s="3">
        <v>1</v>
      </c>
    </row>
    <row r="1380" spans="1:22" x14ac:dyDescent="0.3">
      <c r="A1380" s="2" t="s">
        <v>3256</v>
      </c>
      <c r="B1380" s="10">
        <v>44165</v>
      </c>
      <c r="C1380" s="22">
        <v>44165</v>
      </c>
      <c r="D1380" s="1" t="s">
        <v>3257</v>
      </c>
      <c r="E1380" s="1" t="s">
        <v>1399</v>
      </c>
      <c r="F1380" s="1">
        <v>2</v>
      </c>
      <c r="G1380" s="1" t="s">
        <v>68</v>
      </c>
      <c r="H1380" s="1" t="s">
        <v>25</v>
      </c>
      <c r="I1380" s="1" t="s">
        <v>55</v>
      </c>
      <c r="J1380" s="1" t="s">
        <v>127</v>
      </c>
      <c r="K1380" s="1" t="s">
        <v>171</v>
      </c>
      <c r="L1380" s="1">
        <v>4</v>
      </c>
      <c r="M1380" s="13">
        <v>44342.23</v>
      </c>
      <c r="N1380" s="15">
        <v>0.38</v>
      </c>
      <c r="O1380" s="13">
        <v>73309.14</v>
      </c>
      <c r="P1380" s="13">
        <v>10270.540000000001</v>
      </c>
      <c r="Q1380" s="13">
        <v>56.21</v>
      </c>
      <c r="R1380" s="1" t="s">
        <v>64</v>
      </c>
      <c r="S1380" s="1">
        <v>2</v>
      </c>
      <c r="T1380" s="1" t="b">
        <v>0</v>
      </c>
      <c r="U1380" s="1" t="s">
        <v>39</v>
      </c>
      <c r="V1380" s="3">
        <v>10</v>
      </c>
    </row>
    <row r="1381" spans="1:22" x14ac:dyDescent="0.3">
      <c r="A1381" s="2" t="s">
        <v>3258</v>
      </c>
      <c r="B1381" s="10">
        <v>44098</v>
      </c>
      <c r="C1381" s="22">
        <v>44098</v>
      </c>
      <c r="D1381" s="1" t="s">
        <v>3259</v>
      </c>
      <c r="E1381" s="1" t="s">
        <v>897</v>
      </c>
      <c r="F1381" s="1">
        <v>35</v>
      </c>
      <c r="G1381" s="1" t="s">
        <v>24</v>
      </c>
      <c r="H1381" s="1" t="s">
        <v>35</v>
      </c>
      <c r="I1381" s="1" t="s">
        <v>43</v>
      </c>
      <c r="J1381" s="1" t="s">
        <v>127</v>
      </c>
      <c r="K1381" s="1" t="s">
        <v>171</v>
      </c>
      <c r="L1381" s="1">
        <v>7</v>
      </c>
      <c r="M1381" s="13">
        <v>32603.73</v>
      </c>
      <c r="N1381" s="15">
        <v>0.22</v>
      </c>
      <c r="O1381" s="13">
        <v>175205.59</v>
      </c>
      <c r="P1381" s="13">
        <v>16796.740000000002</v>
      </c>
      <c r="Q1381" s="13">
        <v>53.05</v>
      </c>
      <c r="R1381" s="1" t="s">
        <v>57</v>
      </c>
      <c r="S1381" s="1">
        <v>5</v>
      </c>
      <c r="T1381" s="1" t="b">
        <v>0</v>
      </c>
      <c r="U1381" s="1" t="s">
        <v>39</v>
      </c>
      <c r="V1381" s="3">
        <v>5</v>
      </c>
    </row>
    <row r="1382" spans="1:22" x14ac:dyDescent="0.3">
      <c r="A1382" s="2" t="s">
        <v>3260</v>
      </c>
      <c r="B1382" s="10">
        <v>43871</v>
      </c>
      <c r="C1382" s="22">
        <v>43871</v>
      </c>
      <c r="D1382" s="1" t="s">
        <v>3261</v>
      </c>
      <c r="E1382" s="1" t="s">
        <v>1462</v>
      </c>
      <c r="F1382" s="1">
        <v>5</v>
      </c>
      <c r="G1382" s="1" t="s">
        <v>24</v>
      </c>
      <c r="H1382" s="1" t="s">
        <v>25</v>
      </c>
      <c r="I1382" s="1" t="s">
        <v>26</v>
      </c>
      <c r="J1382" s="1" t="s">
        <v>27</v>
      </c>
      <c r="K1382" s="1" t="s">
        <v>450</v>
      </c>
      <c r="L1382" s="1">
        <v>8</v>
      </c>
      <c r="M1382" s="13">
        <v>426.33</v>
      </c>
      <c r="N1382" s="15">
        <v>0.16</v>
      </c>
      <c r="O1382" s="13">
        <v>2378.41</v>
      </c>
      <c r="P1382" s="13">
        <v>182.8</v>
      </c>
      <c r="Q1382" s="13">
        <v>70.06</v>
      </c>
      <c r="R1382" s="1" t="s">
        <v>29</v>
      </c>
      <c r="S1382" s="1">
        <v>2</v>
      </c>
      <c r="T1382" s="1" t="b">
        <v>0</v>
      </c>
      <c r="U1382" s="1" t="s">
        <v>84</v>
      </c>
      <c r="V1382" s="3">
        <v>8</v>
      </c>
    </row>
    <row r="1383" spans="1:22" x14ac:dyDescent="0.3">
      <c r="A1383" s="2" t="s">
        <v>3262</v>
      </c>
      <c r="B1383" s="10">
        <v>44521</v>
      </c>
      <c r="C1383" s="22">
        <v>44521</v>
      </c>
      <c r="D1383" s="1" t="s">
        <v>3263</v>
      </c>
      <c r="E1383" s="1" t="s">
        <v>279</v>
      </c>
      <c r="F1383" s="1">
        <v>7</v>
      </c>
      <c r="G1383" s="1" t="s">
        <v>24</v>
      </c>
      <c r="H1383" s="1" t="s">
        <v>25</v>
      </c>
      <c r="I1383" s="1" t="s">
        <v>170</v>
      </c>
      <c r="J1383" s="1" t="s">
        <v>37</v>
      </c>
      <c r="K1383" s="1" t="s">
        <v>671</v>
      </c>
      <c r="L1383" s="1">
        <v>1</v>
      </c>
      <c r="M1383" s="13">
        <v>1633.39</v>
      </c>
      <c r="N1383" s="15">
        <v>0.4</v>
      </c>
      <c r="O1383" s="13">
        <v>921.87</v>
      </c>
      <c r="P1383" s="13">
        <v>332.3</v>
      </c>
      <c r="Q1383" s="13">
        <v>59.95</v>
      </c>
      <c r="R1383" s="1" t="s">
        <v>78</v>
      </c>
      <c r="S1383" s="1">
        <v>4</v>
      </c>
      <c r="T1383" s="1" t="b">
        <v>0</v>
      </c>
      <c r="U1383" s="1" t="s">
        <v>39</v>
      </c>
      <c r="V1383" s="3">
        <v>2</v>
      </c>
    </row>
    <row r="1384" spans="1:22" x14ac:dyDescent="0.3">
      <c r="A1384" s="2" t="s">
        <v>3264</v>
      </c>
      <c r="B1384" s="10">
        <v>43899</v>
      </c>
      <c r="C1384" s="22">
        <v>43899</v>
      </c>
      <c r="D1384" s="1" t="s">
        <v>3265</v>
      </c>
      <c r="E1384" s="1" t="s">
        <v>773</v>
      </c>
      <c r="F1384" s="1">
        <v>23</v>
      </c>
      <c r="G1384" s="1" t="s">
        <v>68</v>
      </c>
      <c r="H1384" s="1" t="s">
        <v>35</v>
      </c>
      <c r="I1384" s="1" t="s">
        <v>106</v>
      </c>
      <c r="J1384" s="1" t="s">
        <v>27</v>
      </c>
      <c r="K1384" s="1" t="s">
        <v>400</v>
      </c>
      <c r="L1384" s="1">
        <v>6</v>
      </c>
      <c r="M1384" s="13">
        <v>160.66</v>
      </c>
      <c r="N1384" s="15">
        <v>0.35</v>
      </c>
      <c r="O1384" s="13">
        <v>572.84</v>
      </c>
      <c r="P1384" s="13">
        <v>60.63</v>
      </c>
      <c r="Q1384" s="13">
        <v>42.02</v>
      </c>
      <c r="R1384" s="1" t="s">
        <v>78</v>
      </c>
      <c r="S1384" s="1">
        <v>3</v>
      </c>
      <c r="T1384" s="1" t="b">
        <v>0</v>
      </c>
      <c r="U1384" s="1" t="s">
        <v>137</v>
      </c>
      <c r="V1384" s="3">
        <v>9</v>
      </c>
    </row>
    <row r="1385" spans="1:22" x14ac:dyDescent="0.3">
      <c r="A1385" s="2" t="s">
        <v>3266</v>
      </c>
      <c r="B1385" s="10">
        <v>44658</v>
      </c>
      <c r="C1385" s="22">
        <v>44658</v>
      </c>
      <c r="D1385" s="1" t="s">
        <v>3267</v>
      </c>
      <c r="E1385" s="1" t="s">
        <v>87</v>
      </c>
      <c r="F1385" s="1">
        <v>30</v>
      </c>
      <c r="G1385" s="1" t="s">
        <v>68</v>
      </c>
      <c r="H1385" s="1" t="s">
        <v>82</v>
      </c>
      <c r="I1385" s="1" t="s">
        <v>83</v>
      </c>
      <c r="J1385" s="1" t="s">
        <v>76</v>
      </c>
      <c r="K1385" s="1" t="s">
        <v>77</v>
      </c>
      <c r="L1385" s="1">
        <v>7</v>
      </c>
      <c r="M1385" s="13">
        <v>411.78</v>
      </c>
      <c r="N1385" s="15">
        <v>0.28000000000000003</v>
      </c>
      <c r="O1385" s="13">
        <v>3259.85</v>
      </c>
      <c r="P1385" s="13">
        <v>1493.17</v>
      </c>
      <c r="Q1385" s="13">
        <v>93.37</v>
      </c>
      <c r="R1385" s="1" t="s">
        <v>70</v>
      </c>
      <c r="S1385" s="1">
        <v>1</v>
      </c>
      <c r="T1385" s="1" t="b">
        <v>1</v>
      </c>
      <c r="U1385" s="1" t="s">
        <v>30</v>
      </c>
      <c r="V1385" s="3">
        <v>3</v>
      </c>
    </row>
    <row r="1386" spans="1:22" x14ac:dyDescent="0.3">
      <c r="A1386" s="2" t="s">
        <v>3268</v>
      </c>
      <c r="B1386" s="10">
        <v>44596</v>
      </c>
      <c r="C1386" s="22">
        <v>44596</v>
      </c>
      <c r="D1386" s="1" t="s">
        <v>3269</v>
      </c>
      <c r="E1386" s="1" t="s">
        <v>105</v>
      </c>
      <c r="F1386" s="1">
        <v>34</v>
      </c>
      <c r="G1386" s="1" t="s">
        <v>34</v>
      </c>
      <c r="H1386" s="1" t="s">
        <v>82</v>
      </c>
      <c r="I1386" s="1" t="s">
        <v>293</v>
      </c>
      <c r="J1386" s="1" t="s">
        <v>27</v>
      </c>
      <c r="K1386" s="1" t="s">
        <v>97</v>
      </c>
      <c r="L1386" s="1">
        <v>6</v>
      </c>
      <c r="M1386" s="13">
        <v>141.78</v>
      </c>
      <c r="N1386" s="15">
        <v>0.16</v>
      </c>
      <c r="O1386" s="13">
        <v>766.42</v>
      </c>
      <c r="P1386" s="13">
        <v>53.3</v>
      </c>
      <c r="Q1386" s="13">
        <v>63.43</v>
      </c>
      <c r="R1386" s="1" t="s">
        <v>64</v>
      </c>
      <c r="S1386" s="1">
        <v>3</v>
      </c>
      <c r="T1386" s="1" t="b">
        <v>0</v>
      </c>
      <c r="U1386" s="1" t="s">
        <v>39</v>
      </c>
      <c r="V1386" s="3">
        <v>3</v>
      </c>
    </row>
    <row r="1387" spans="1:22" x14ac:dyDescent="0.3">
      <c r="A1387" s="2" t="s">
        <v>3270</v>
      </c>
      <c r="B1387" s="10">
        <v>44574</v>
      </c>
      <c r="C1387" s="22">
        <v>44574</v>
      </c>
      <c r="D1387" s="1" t="s">
        <v>3271</v>
      </c>
      <c r="E1387" s="1" t="s">
        <v>418</v>
      </c>
      <c r="F1387" s="1">
        <v>41</v>
      </c>
      <c r="G1387" s="1" t="s">
        <v>34</v>
      </c>
      <c r="H1387" s="1" t="s">
        <v>111</v>
      </c>
      <c r="I1387" s="1" t="s">
        <v>141</v>
      </c>
      <c r="J1387" s="1" t="s">
        <v>146</v>
      </c>
      <c r="K1387" s="1" t="s">
        <v>217</v>
      </c>
      <c r="L1387" s="1">
        <v>7</v>
      </c>
      <c r="M1387" s="13">
        <v>14245.64</v>
      </c>
      <c r="N1387" s="15">
        <v>0.23</v>
      </c>
      <c r="O1387" s="13">
        <v>63223.16</v>
      </c>
      <c r="P1387" s="13">
        <v>13091.37</v>
      </c>
      <c r="Q1387" s="13">
        <v>63.46</v>
      </c>
      <c r="R1387" s="1" t="s">
        <v>78</v>
      </c>
      <c r="S1387" s="1">
        <v>1</v>
      </c>
      <c r="T1387" s="1" t="b">
        <v>0</v>
      </c>
      <c r="U1387" s="1" t="s">
        <v>39</v>
      </c>
      <c r="V1387" s="3">
        <v>3</v>
      </c>
    </row>
    <row r="1388" spans="1:22" x14ac:dyDescent="0.3">
      <c r="A1388" s="2" t="s">
        <v>3272</v>
      </c>
      <c r="B1388" s="10">
        <v>45210</v>
      </c>
      <c r="C1388" s="22">
        <v>45210</v>
      </c>
      <c r="D1388" s="1" t="s">
        <v>3273</v>
      </c>
      <c r="E1388" s="1" t="s">
        <v>412</v>
      </c>
      <c r="F1388" s="1">
        <v>30</v>
      </c>
      <c r="G1388" s="1" t="s">
        <v>24</v>
      </c>
      <c r="H1388" s="1" t="s">
        <v>74</v>
      </c>
      <c r="I1388" s="1" t="s">
        <v>136</v>
      </c>
      <c r="J1388" s="1" t="s">
        <v>27</v>
      </c>
      <c r="K1388" s="1" t="s">
        <v>450</v>
      </c>
      <c r="L1388" s="1">
        <v>2</v>
      </c>
      <c r="M1388" s="13">
        <v>312.70999999999998</v>
      </c>
      <c r="N1388" s="15">
        <v>0.16</v>
      </c>
      <c r="O1388" s="13">
        <v>580.22</v>
      </c>
      <c r="P1388" s="13">
        <v>45.18</v>
      </c>
      <c r="Q1388" s="13">
        <v>67.16</v>
      </c>
      <c r="R1388" s="1" t="s">
        <v>29</v>
      </c>
      <c r="S1388" s="1">
        <v>2</v>
      </c>
      <c r="T1388" s="1" t="b">
        <v>0</v>
      </c>
      <c r="U1388" s="1" t="s">
        <v>39</v>
      </c>
      <c r="V1388" s="3">
        <v>6</v>
      </c>
    </row>
    <row r="1389" spans="1:22" x14ac:dyDescent="0.3">
      <c r="A1389" s="2" t="s">
        <v>3274</v>
      </c>
      <c r="B1389" s="10">
        <v>45336</v>
      </c>
      <c r="C1389" s="22">
        <v>45336</v>
      </c>
      <c r="D1389" s="1" t="s">
        <v>3275</v>
      </c>
      <c r="E1389" s="1" t="s">
        <v>657</v>
      </c>
      <c r="F1389" s="1">
        <v>33</v>
      </c>
      <c r="G1389" s="1" t="s">
        <v>68</v>
      </c>
      <c r="H1389" s="1" t="s">
        <v>111</v>
      </c>
      <c r="I1389" s="1" t="s">
        <v>121</v>
      </c>
      <c r="J1389" s="1" t="s">
        <v>76</v>
      </c>
      <c r="K1389" s="1" t="s">
        <v>132</v>
      </c>
      <c r="L1389" s="1">
        <v>5</v>
      </c>
      <c r="M1389" s="13">
        <v>3983.26</v>
      </c>
      <c r="N1389" s="15">
        <v>0.19</v>
      </c>
      <c r="O1389" s="13">
        <v>18870.57</v>
      </c>
      <c r="P1389" s="13">
        <v>7723.98</v>
      </c>
      <c r="Q1389" s="13">
        <v>90.81</v>
      </c>
      <c r="R1389" s="1" t="s">
        <v>29</v>
      </c>
      <c r="S1389" s="1">
        <v>1</v>
      </c>
      <c r="T1389" s="1" t="b">
        <v>0</v>
      </c>
      <c r="U1389" s="1" t="s">
        <v>39</v>
      </c>
      <c r="V1389" s="3">
        <v>2</v>
      </c>
    </row>
    <row r="1390" spans="1:22" x14ac:dyDescent="0.3">
      <c r="A1390" s="2" t="s">
        <v>3276</v>
      </c>
      <c r="B1390" s="10">
        <v>44458</v>
      </c>
      <c r="C1390" s="22">
        <v>44458</v>
      </c>
      <c r="D1390" s="1" t="s">
        <v>3277</v>
      </c>
      <c r="E1390" s="1" t="s">
        <v>2214</v>
      </c>
      <c r="F1390" s="1">
        <v>42</v>
      </c>
      <c r="G1390" s="1" t="s">
        <v>24</v>
      </c>
      <c r="H1390" s="1" t="s">
        <v>35</v>
      </c>
      <c r="I1390" s="1" t="s">
        <v>43</v>
      </c>
      <c r="J1390" s="1" t="s">
        <v>146</v>
      </c>
      <c r="K1390" s="1" t="s">
        <v>484</v>
      </c>
      <c r="L1390" s="1">
        <v>7</v>
      </c>
      <c r="M1390" s="13">
        <v>2078.41</v>
      </c>
      <c r="N1390" s="15">
        <v>0.23</v>
      </c>
      <c r="O1390" s="13">
        <v>13731.31</v>
      </c>
      <c r="P1390" s="13">
        <v>4242.83</v>
      </c>
      <c r="Q1390" s="13">
        <v>42.68</v>
      </c>
      <c r="R1390" s="1" t="s">
        <v>70</v>
      </c>
      <c r="S1390" s="1">
        <v>2</v>
      </c>
      <c r="T1390" s="1" t="b">
        <v>0</v>
      </c>
      <c r="U1390" s="1" t="s">
        <v>39</v>
      </c>
      <c r="V1390" s="3">
        <v>1</v>
      </c>
    </row>
    <row r="1391" spans="1:22" x14ac:dyDescent="0.3">
      <c r="A1391" s="2" t="s">
        <v>3278</v>
      </c>
      <c r="B1391" s="10">
        <v>44448</v>
      </c>
      <c r="C1391" s="22">
        <v>44448</v>
      </c>
      <c r="D1391" s="1" t="s">
        <v>3279</v>
      </c>
      <c r="E1391" s="1" t="s">
        <v>2281</v>
      </c>
      <c r="F1391" s="1">
        <v>42</v>
      </c>
      <c r="G1391" s="1" t="s">
        <v>24</v>
      </c>
      <c r="H1391" s="1" t="s">
        <v>25</v>
      </c>
      <c r="I1391" s="1" t="s">
        <v>26</v>
      </c>
      <c r="J1391" s="1" t="s">
        <v>27</v>
      </c>
      <c r="K1391" s="1" t="s">
        <v>56</v>
      </c>
      <c r="L1391" s="1">
        <v>7</v>
      </c>
      <c r="M1391" s="13">
        <v>496.14</v>
      </c>
      <c r="N1391" s="15">
        <v>0.3</v>
      </c>
      <c r="O1391" s="13">
        <v>2839.68</v>
      </c>
      <c r="P1391" s="13">
        <v>279.88</v>
      </c>
      <c r="Q1391" s="13">
        <v>63.12</v>
      </c>
      <c r="R1391" s="1" t="s">
        <v>64</v>
      </c>
      <c r="S1391" s="1">
        <v>1</v>
      </c>
      <c r="T1391" s="1" t="b">
        <v>1</v>
      </c>
      <c r="U1391" s="1" t="s">
        <v>30</v>
      </c>
      <c r="V1391" s="3">
        <v>5</v>
      </c>
    </row>
    <row r="1392" spans="1:22" x14ac:dyDescent="0.3">
      <c r="A1392" s="2" t="s">
        <v>3280</v>
      </c>
      <c r="B1392" s="10">
        <v>45036</v>
      </c>
      <c r="C1392" s="22">
        <v>45036</v>
      </c>
      <c r="D1392" s="1" t="s">
        <v>3281</v>
      </c>
      <c r="E1392" s="1" t="s">
        <v>446</v>
      </c>
      <c r="F1392" s="1">
        <v>38</v>
      </c>
      <c r="G1392" s="1" t="s">
        <v>34</v>
      </c>
      <c r="H1392" s="1" t="s">
        <v>74</v>
      </c>
      <c r="I1392" s="1" t="s">
        <v>136</v>
      </c>
      <c r="J1392" s="1" t="s">
        <v>127</v>
      </c>
      <c r="K1392" s="1" t="s">
        <v>308</v>
      </c>
      <c r="L1392" s="1">
        <v>7</v>
      </c>
      <c r="M1392" s="13">
        <v>50711.3</v>
      </c>
      <c r="N1392" s="15">
        <v>0.14000000000000001</v>
      </c>
      <c r="O1392" s="13">
        <v>442866.28</v>
      </c>
      <c r="P1392" s="13">
        <v>58822.76</v>
      </c>
      <c r="Q1392" s="13">
        <v>44.77</v>
      </c>
      <c r="R1392" s="1" t="s">
        <v>51</v>
      </c>
      <c r="S1392" s="1">
        <v>3</v>
      </c>
      <c r="T1392" s="1" t="b">
        <v>0</v>
      </c>
      <c r="U1392" s="1" t="s">
        <v>39</v>
      </c>
      <c r="V1392" s="3">
        <v>10</v>
      </c>
    </row>
    <row r="1393" spans="1:22" x14ac:dyDescent="0.3">
      <c r="A1393" s="2" t="s">
        <v>3282</v>
      </c>
      <c r="B1393" s="10">
        <v>44851</v>
      </c>
      <c r="C1393" s="22">
        <v>44851</v>
      </c>
      <c r="D1393" s="1" t="s">
        <v>3283</v>
      </c>
      <c r="E1393" s="1" t="s">
        <v>363</v>
      </c>
      <c r="F1393" s="1">
        <v>150</v>
      </c>
      <c r="G1393" s="1" t="s">
        <v>34</v>
      </c>
      <c r="H1393" s="1" t="s">
        <v>111</v>
      </c>
      <c r="I1393" s="1" t="s">
        <v>141</v>
      </c>
      <c r="J1393" s="1" t="s">
        <v>27</v>
      </c>
      <c r="K1393" s="1" t="s">
        <v>430</v>
      </c>
      <c r="L1393" s="1">
        <v>1</v>
      </c>
      <c r="M1393" s="13">
        <v>297.83999999999997</v>
      </c>
      <c r="N1393" s="15">
        <v>0.32</v>
      </c>
      <c r="O1393" s="13">
        <v>181.61</v>
      </c>
      <c r="P1393" s="13">
        <v>14.32</v>
      </c>
      <c r="Q1393" s="13">
        <v>62.86</v>
      </c>
      <c r="R1393" s="1" t="s">
        <v>70</v>
      </c>
      <c r="S1393" s="1">
        <v>4</v>
      </c>
      <c r="T1393" s="1" t="b">
        <v>0</v>
      </c>
      <c r="U1393" s="1" t="s">
        <v>39</v>
      </c>
      <c r="V1393" s="3">
        <v>6</v>
      </c>
    </row>
    <row r="1394" spans="1:22" x14ac:dyDescent="0.3">
      <c r="A1394" s="2" t="s">
        <v>3284</v>
      </c>
      <c r="B1394" s="10">
        <v>44574</v>
      </c>
      <c r="C1394" s="22">
        <v>44574</v>
      </c>
      <c r="D1394" s="1" t="s">
        <v>3285</v>
      </c>
      <c r="E1394" s="1" t="s">
        <v>262</v>
      </c>
      <c r="F1394" s="1">
        <v>60</v>
      </c>
      <c r="G1394" s="1" t="s">
        <v>24</v>
      </c>
      <c r="H1394" s="1" t="s">
        <v>82</v>
      </c>
      <c r="I1394" s="1" t="s">
        <v>83</v>
      </c>
      <c r="J1394" s="1" t="s">
        <v>27</v>
      </c>
      <c r="K1394" s="1" t="s">
        <v>430</v>
      </c>
      <c r="L1394" s="1">
        <v>5</v>
      </c>
      <c r="M1394" s="13">
        <v>77.06</v>
      </c>
      <c r="N1394" s="15">
        <v>0.11</v>
      </c>
      <c r="O1394" s="13">
        <v>253.58</v>
      </c>
      <c r="P1394" s="13">
        <v>18.829999999999998</v>
      </c>
      <c r="Q1394" s="13">
        <v>83.91</v>
      </c>
      <c r="R1394" s="1" t="s">
        <v>57</v>
      </c>
      <c r="S1394" s="1">
        <v>4</v>
      </c>
      <c r="T1394" s="1" t="b">
        <v>0</v>
      </c>
      <c r="U1394" s="1" t="s">
        <v>39</v>
      </c>
      <c r="V1394" s="3">
        <v>10</v>
      </c>
    </row>
    <row r="1395" spans="1:22" x14ac:dyDescent="0.3">
      <c r="A1395" s="2" t="s">
        <v>3286</v>
      </c>
      <c r="B1395" s="10">
        <v>44941</v>
      </c>
      <c r="C1395" s="22">
        <v>44941</v>
      </c>
      <c r="D1395" s="1" t="s">
        <v>3287</v>
      </c>
      <c r="E1395" s="1" t="s">
        <v>1091</v>
      </c>
      <c r="F1395" s="1">
        <v>62</v>
      </c>
      <c r="G1395" s="1" t="s">
        <v>34</v>
      </c>
      <c r="H1395" s="1" t="s">
        <v>111</v>
      </c>
      <c r="I1395" s="1" t="s">
        <v>141</v>
      </c>
      <c r="J1395" s="1" t="s">
        <v>62</v>
      </c>
      <c r="K1395" s="1" t="s">
        <v>283</v>
      </c>
      <c r="L1395" s="1">
        <v>4</v>
      </c>
      <c r="M1395" s="13">
        <v>1045.52</v>
      </c>
      <c r="N1395" s="15">
        <v>0.19</v>
      </c>
      <c r="O1395" s="13">
        <v>3378.55</v>
      </c>
      <c r="P1395" s="13">
        <v>1234.47</v>
      </c>
      <c r="Q1395" s="13">
        <v>69.47</v>
      </c>
      <c r="R1395" s="1" t="s">
        <v>64</v>
      </c>
      <c r="S1395" s="1">
        <v>4</v>
      </c>
      <c r="T1395" s="1" t="b">
        <v>0</v>
      </c>
      <c r="U1395" s="1" t="s">
        <v>39</v>
      </c>
      <c r="V1395" s="3">
        <v>3</v>
      </c>
    </row>
    <row r="1396" spans="1:22" x14ac:dyDescent="0.3">
      <c r="A1396" s="2" t="s">
        <v>3288</v>
      </c>
      <c r="B1396" s="10">
        <v>45571</v>
      </c>
      <c r="C1396" s="22">
        <v>45571</v>
      </c>
      <c r="D1396" s="1" t="s">
        <v>3289</v>
      </c>
      <c r="E1396" s="1" t="s">
        <v>262</v>
      </c>
      <c r="F1396" s="1">
        <v>30</v>
      </c>
      <c r="G1396" s="1" t="s">
        <v>24</v>
      </c>
      <c r="H1396" s="1" t="s">
        <v>74</v>
      </c>
      <c r="I1396" s="1" t="s">
        <v>101</v>
      </c>
      <c r="J1396" s="1" t="s">
        <v>44</v>
      </c>
      <c r="K1396" s="1" t="s">
        <v>221</v>
      </c>
      <c r="L1396" s="1">
        <v>3</v>
      </c>
      <c r="M1396" s="13">
        <v>20526.57</v>
      </c>
      <c r="N1396" s="15">
        <v>0.39</v>
      </c>
      <c r="O1396" s="13">
        <v>39110.300000000003</v>
      </c>
      <c r="P1396" s="13">
        <v>5636.16</v>
      </c>
      <c r="Q1396" s="13">
        <v>58.12</v>
      </c>
      <c r="R1396" s="1" t="s">
        <v>51</v>
      </c>
      <c r="S1396" s="1">
        <v>5</v>
      </c>
      <c r="T1396" s="1" t="b">
        <v>0</v>
      </c>
      <c r="U1396" s="1" t="s">
        <v>39</v>
      </c>
      <c r="V1396" s="3">
        <v>5</v>
      </c>
    </row>
    <row r="1397" spans="1:22" x14ac:dyDescent="0.3">
      <c r="A1397" s="2" t="s">
        <v>3290</v>
      </c>
      <c r="B1397" s="10">
        <v>44290</v>
      </c>
      <c r="C1397" s="22">
        <v>44290</v>
      </c>
      <c r="D1397" s="1" t="s">
        <v>3291</v>
      </c>
      <c r="E1397" s="1" t="s">
        <v>426</v>
      </c>
      <c r="F1397" s="1">
        <v>40</v>
      </c>
      <c r="G1397" s="1" t="s">
        <v>34</v>
      </c>
      <c r="H1397" s="1" t="s">
        <v>82</v>
      </c>
      <c r="I1397" s="1" t="s">
        <v>126</v>
      </c>
      <c r="J1397" s="1" t="s">
        <v>76</v>
      </c>
      <c r="K1397" s="1" t="s">
        <v>207</v>
      </c>
      <c r="L1397" s="1">
        <v>7</v>
      </c>
      <c r="M1397" s="13">
        <v>2196.3000000000002</v>
      </c>
      <c r="N1397" s="15">
        <v>0.21</v>
      </c>
      <c r="O1397" s="13">
        <v>15799.82</v>
      </c>
      <c r="P1397" s="13">
        <v>5078.38</v>
      </c>
      <c r="Q1397" s="13">
        <v>61.62</v>
      </c>
      <c r="R1397" s="1" t="s">
        <v>64</v>
      </c>
      <c r="S1397" s="1">
        <v>1</v>
      </c>
      <c r="T1397" s="1" t="b">
        <v>0</v>
      </c>
      <c r="U1397" s="1" t="s">
        <v>39</v>
      </c>
      <c r="V1397" s="3">
        <v>10</v>
      </c>
    </row>
    <row r="1398" spans="1:22" x14ac:dyDescent="0.3">
      <c r="A1398" s="2" t="s">
        <v>3292</v>
      </c>
      <c r="B1398" s="10">
        <v>44180</v>
      </c>
      <c r="C1398" s="22">
        <v>44180</v>
      </c>
      <c r="D1398" s="1" t="s">
        <v>3293</v>
      </c>
      <c r="E1398" s="1" t="s">
        <v>42</v>
      </c>
      <c r="F1398" s="1">
        <v>56</v>
      </c>
      <c r="G1398" s="1" t="s">
        <v>68</v>
      </c>
      <c r="H1398" s="1" t="s">
        <v>74</v>
      </c>
      <c r="I1398" s="1" t="s">
        <v>136</v>
      </c>
      <c r="J1398" s="1" t="s">
        <v>44</v>
      </c>
      <c r="K1398" s="1" t="s">
        <v>45</v>
      </c>
      <c r="L1398" s="1">
        <v>2</v>
      </c>
      <c r="M1398" s="13">
        <v>8330.94</v>
      </c>
      <c r="N1398" s="15">
        <v>0.36</v>
      </c>
      <c r="O1398" s="13">
        <v>7172.01</v>
      </c>
      <c r="P1398" s="13">
        <v>1030.6600000000001</v>
      </c>
      <c r="Q1398" s="13">
        <v>34.58</v>
      </c>
      <c r="R1398" s="1" t="s">
        <v>78</v>
      </c>
      <c r="S1398" s="1">
        <v>5</v>
      </c>
      <c r="T1398" s="1" t="b">
        <v>0</v>
      </c>
      <c r="U1398" s="1" t="s">
        <v>58</v>
      </c>
      <c r="V1398" s="3">
        <v>6</v>
      </c>
    </row>
    <row r="1399" spans="1:22" x14ac:dyDescent="0.3">
      <c r="A1399" s="2" t="s">
        <v>3294</v>
      </c>
      <c r="B1399" s="10">
        <v>45514</v>
      </c>
      <c r="C1399" s="22">
        <v>45514</v>
      </c>
      <c r="D1399" s="1" t="s">
        <v>3295</v>
      </c>
      <c r="E1399" s="1" t="s">
        <v>110</v>
      </c>
      <c r="F1399" s="1">
        <v>46</v>
      </c>
      <c r="G1399" s="1" t="s">
        <v>68</v>
      </c>
      <c r="H1399" s="1" t="s">
        <v>82</v>
      </c>
      <c r="I1399" s="1" t="s">
        <v>83</v>
      </c>
      <c r="J1399" s="1" t="s">
        <v>27</v>
      </c>
      <c r="K1399" s="1" t="s">
        <v>97</v>
      </c>
      <c r="L1399" s="1">
        <v>2</v>
      </c>
      <c r="M1399" s="13">
        <v>225.92</v>
      </c>
      <c r="N1399" s="15">
        <v>0.21</v>
      </c>
      <c r="O1399" s="13">
        <v>625.44000000000005</v>
      </c>
      <c r="P1399" s="13">
        <v>56.74</v>
      </c>
      <c r="Q1399" s="13">
        <v>90.55</v>
      </c>
      <c r="R1399" s="1" t="s">
        <v>57</v>
      </c>
      <c r="S1399" s="1">
        <v>3</v>
      </c>
      <c r="T1399" s="1" t="b">
        <v>0</v>
      </c>
      <c r="U1399" s="1" t="s">
        <v>39</v>
      </c>
      <c r="V1399" s="3">
        <v>6</v>
      </c>
    </row>
    <row r="1400" spans="1:22" x14ac:dyDescent="0.3">
      <c r="A1400" s="2" t="s">
        <v>3296</v>
      </c>
      <c r="B1400" s="10">
        <v>45587</v>
      </c>
      <c r="C1400" s="22">
        <v>45587</v>
      </c>
      <c r="D1400" s="1" t="s">
        <v>3297</v>
      </c>
      <c r="E1400" s="1" t="s">
        <v>1181</v>
      </c>
      <c r="F1400" s="1">
        <v>12</v>
      </c>
      <c r="G1400" s="1" t="s">
        <v>68</v>
      </c>
      <c r="H1400" s="1" t="s">
        <v>35</v>
      </c>
      <c r="I1400" s="1" t="s">
        <v>49</v>
      </c>
      <c r="J1400" s="1" t="s">
        <v>27</v>
      </c>
      <c r="K1400" s="1" t="s">
        <v>97</v>
      </c>
      <c r="L1400" s="1">
        <v>1</v>
      </c>
      <c r="M1400" s="13">
        <v>282.35000000000002</v>
      </c>
      <c r="N1400" s="15">
        <v>0.23</v>
      </c>
      <c r="O1400" s="13">
        <v>235.01</v>
      </c>
      <c r="P1400" s="13">
        <v>22.26</v>
      </c>
      <c r="Q1400" s="13">
        <v>48.98</v>
      </c>
      <c r="R1400" s="1" t="s">
        <v>29</v>
      </c>
      <c r="S1400" s="1">
        <v>5</v>
      </c>
      <c r="T1400" s="1" t="b">
        <v>0</v>
      </c>
      <c r="U1400" s="1" t="s">
        <v>39</v>
      </c>
      <c r="V1400" s="3">
        <v>7</v>
      </c>
    </row>
    <row r="1401" spans="1:22" x14ac:dyDescent="0.3">
      <c r="A1401" s="2" t="s">
        <v>3298</v>
      </c>
      <c r="B1401" s="10">
        <v>44838</v>
      </c>
      <c r="C1401" s="22">
        <v>44838</v>
      </c>
      <c r="D1401" s="1" t="s">
        <v>3299</v>
      </c>
      <c r="E1401" s="1" t="s">
        <v>433</v>
      </c>
      <c r="F1401" s="1">
        <v>41</v>
      </c>
      <c r="G1401" s="1" t="s">
        <v>24</v>
      </c>
      <c r="H1401" s="1" t="s">
        <v>74</v>
      </c>
      <c r="I1401" s="1" t="s">
        <v>136</v>
      </c>
      <c r="J1401" s="1" t="s">
        <v>76</v>
      </c>
      <c r="K1401" s="1" t="s">
        <v>89</v>
      </c>
      <c r="L1401" s="1">
        <v>7</v>
      </c>
      <c r="M1401" s="13">
        <v>3985.89</v>
      </c>
      <c r="N1401" s="15">
        <v>0.33</v>
      </c>
      <c r="O1401" s="13">
        <v>19751.990000000002</v>
      </c>
      <c r="P1401" s="13">
        <v>7041.24</v>
      </c>
      <c r="Q1401" s="13">
        <v>37.549999999999997</v>
      </c>
      <c r="R1401" s="1" t="s">
        <v>78</v>
      </c>
      <c r="S1401" s="1">
        <v>5</v>
      </c>
      <c r="T1401" s="1" t="b">
        <v>0</v>
      </c>
      <c r="U1401" s="1" t="s">
        <v>137</v>
      </c>
      <c r="V1401" s="3">
        <v>2</v>
      </c>
    </row>
    <row r="1402" spans="1:22" x14ac:dyDescent="0.3">
      <c r="A1402" s="2" t="s">
        <v>3300</v>
      </c>
      <c r="B1402" s="10">
        <v>45588</v>
      </c>
      <c r="C1402" s="22">
        <v>45588</v>
      </c>
      <c r="D1402" s="1" t="s">
        <v>3301</v>
      </c>
      <c r="E1402" s="1" t="s">
        <v>900</v>
      </c>
      <c r="F1402" s="1">
        <v>38</v>
      </c>
      <c r="G1402" s="1" t="s">
        <v>34</v>
      </c>
      <c r="H1402" s="1" t="s">
        <v>35</v>
      </c>
      <c r="I1402" s="1" t="s">
        <v>106</v>
      </c>
      <c r="J1402" s="1" t="s">
        <v>62</v>
      </c>
      <c r="K1402" s="1" t="s">
        <v>570</v>
      </c>
      <c r="L1402" s="1">
        <v>3</v>
      </c>
      <c r="M1402" s="13">
        <v>1455.69</v>
      </c>
      <c r="N1402" s="15">
        <v>0.31</v>
      </c>
      <c r="O1402" s="13">
        <v>3171.19</v>
      </c>
      <c r="P1402" s="13">
        <v>1460.04</v>
      </c>
      <c r="Q1402" s="13">
        <v>68.989999999999995</v>
      </c>
      <c r="R1402" s="1" t="s">
        <v>57</v>
      </c>
      <c r="S1402" s="1">
        <v>1</v>
      </c>
      <c r="T1402" s="1" t="b">
        <v>0</v>
      </c>
      <c r="U1402" s="1" t="s">
        <v>39</v>
      </c>
      <c r="V1402" s="3">
        <v>1</v>
      </c>
    </row>
    <row r="1403" spans="1:22" x14ac:dyDescent="0.3">
      <c r="A1403" s="2" t="s">
        <v>3302</v>
      </c>
      <c r="B1403" s="10">
        <v>45079</v>
      </c>
      <c r="C1403" s="22">
        <v>45079</v>
      </c>
      <c r="D1403" s="1" t="s">
        <v>3303</v>
      </c>
      <c r="E1403" s="1" t="s">
        <v>940</v>
      </c>
      <c r="F1403" s="1">
        <v>37</v>
      </c>
      <c r="G1403" s="1" t="s">
        <v>68</v>
      </c>
      <c r="H1403" s="1" t="s">
        <v>35</v>
      </c>
      <c r="I1403" s="1" t="s">
        <v>43</v>
      </c>
      <c r="J1403" s="1" t="s">
        <v>37</v>
      </c>
      <c r="K1403" s="1" t="s">
        <v>231</v>
      </c>
      <c r="L1403" s="1">
        <v>10</v>
      </c>
      <c r="M1403" s="13">
        <v>1285.07</v>
      </c>
      <c r="N1403" s="15">
        <v>0.28000000000000003</v>
      </c>
      <c r="O1403" s="13">
        <v>15333.34</v>
      </c>
      <c r="P1403" s="13">
        <v>9585.0300000000007</v>
      </c>
      <c r="Q1403" s="13">
        <v>77.58</v>
      </c>
      <c r="R1403" s="1" t="s">
        <v>70</v>
      </c>
      <c r="S1403" s="1">
        <v>2</v>
      </c>
      <c r="T1403" s="1" t="b">
        <v>0</v>
      </c>
      <c r="U1403" s="1" t="s">
        <v>39</v>
      </c>
      <c r="V1403" s="3">
        <v>9</v>
      </c>
    </row>
    <row r="1404" spans="1:22" x14ac:dyDescent="0.3">
      <c r="A1404" s="2" t="s">
        <v>3304</v>
      </c>
      <c r="B1404" s="10">
        <v>44424</v>
      </c>
      <c r="C1404" s="22">
        <v>44424</v>
      </c>
      <c r="D1404" s="1" t="s">
        <v>3305</v>
      </c>
      <c r="E1404" s="1" t="s">
        <v>1510</v>
      </c>
      <c r="F1404" s="1">
        <v>28</v>
      </c>
      <c r="G1404" s="1" t="s">
        <v>68</v>
      </c>
      <c r="H1404" s="1" t="s">
        <v>82</v>
      </c>
      <c r="I1404" s="1" t="s">
        <v>244</v>
      </c>
      <c r="J1404" s="1" t="s">
        <v>76</v>
      </c>
      <c r="K1404" s="1" t="s">
        <v>89</v>
      </c>
      <c r="L1404" s="1">
        <v>9</v>
      </c>
      <c r="M1404" s="13">
        <v>541.46</v>
      </c>
      <c r="N1404" s="15">
        <v>0.14000000000000001</v>
      </c>
      <c r="O1404" s="13">
        <v>4738.37</v>
      </c>
      <c r="P1404" s="13">
        <v>1400.95</v>
      </c>
      <c r="Q1404" s="13">
        <v>53.44</v>
      </c>
      <c r="R1404" s="1" t="s">
        <v>78</v>
      </c>
      <c r="S1404" s="1">
        <v>1</v>
      </c>
      <c r="T1404" s="1" t="b">
        <v>0</v>
      </c>
      <c r="U1404" s="1" t="s">
        <v>39</v>
      </c>
      <c r="V1404" s="3">
        <v>4</v>
      </c>
    </row>
    <row r="1405" spans="1:22" x14ac:dyDescent="0.3">
      <c r="A1405" s="2" t="s">
        <v>3306</v>
      </c>
      <c r="B1405" s="10">
        <v>44974</v>
      </c>
      <c r="C1405" s="22">
        <v>44974</v>
      </c>
      <c r="D1405" s="1" t="s">
        <v>3307</v>
      </c>
      <c r="E1405" s="1" t="s">
        <v>2655</v>
      </c>
      <c r="F1405" s="1">
        <v>46</v>
      </c>
      <c r="G1405" s="1" t="s">
        <v>24</v>
      </c>
      <c r="H1405" s="1" t="s">
        <v>35</v>
      </c>
      <c r="I1405" s="1" t="s">
        <v>106</v>
      </c>
      <c r="J1405" s="1" t="s">
        <v>76</v>
      </c>
      <c r="K1405" s="1" t="s">
        <v>132</v>
      </c>
      <c r="L1405" s="1">
        <v>6</v>
      </c>
      <c r="M1405" s="13">
        <v>2371.79</v>
      </c>
      <c r="N1405" s="15">
        <v>0.11</v>
      </c>
      <c r="O1405" s="13">
        <v>13350.85</v>
      </c>
      <c r="P1405" s="13">
        <v>4678.25</v>
      </c>
      <c r="Q1405" s="13">
        <v>45.39</v>
      </c>
      <c r="R1405" s="1" t="s">
        <v>64</v>
      </c>
      <c r="S1405" s="1">
        <v>4</v>
      </c>
      <c r="T1405" s="1" t="b">
        <v>0</v>
      </c>
      <c r="U1405" s="1" t="s">
        <v>39</v>
      </c>
      <c r="V1405" s="3">
        <v>6</v>
      </c>
    </row>
    <row r="1406" spans="1:22" x14ac:dyDescent="0.3">
      <c r="A1406" s="2" t="s">
        <v>3308</v>
      </c>
      <c r="B1406" s="10">
        <v>45504</v>
      </c>
      <c r="C1406" s="22">
        <v>45504</v>
      </c>
      <c r="D1406" s="1" t="s">
        <v>3309</v>
      </c>
      <c r="E1406" s="1" t="s">
        <v>789</v>
      </c>
      <c r="F1406" s="1">
        <v>59</v>
      </c>
      <c r="G1406" s="1" t="s">
        <v>24</v>
      </c>
      <c r="H1406" s="1" t="s">
        <v>74</v>
      </c>
      <c r="I1406" s="1" t="s">
        <v>136</v>
      </c>
      <c r="J1406" s="1" t="s">
        <v>76</v>
      </c>
      <c r="K1406" s="1" t="s">
        <v>89</v>
      </c>
      <c r="L1406" s="1">
        <v>8</v>
      </c>
      <c r="M1406" s="13">
        <v>3536.11</v>
      </c>
      <c r="N1406" s="15">
        <v>0.38</v>
      </c>
      <c r="O1406" s="13">
        <v>33772.339999999997</v>
      </c>
      <c r="P1406" s="13">
        <v>8415.7800000000007</v>
      </c>
      <c r="Q1406" s="13">
        <v>42.65</v>
      </c>
      <c r="R1406" s="1" t="s">
        <v>78</v>
      </c>
      <c r="S1406" s="1">
        <v>1</v>
      </c>
      <c r="T1406" s="1" t="b">
        <v>0</v>
      </c>
      <c r="U1406" s="1" t="s">
        <v>39</v>
      </c>
      <c r="V1406" s="3">
        <v>1</v>
      </c>
    </row>
    <row r="1407" spans="1:22" x14ac:dyDescent="0.3">
      <c r="A1407" s="2" t="s">
        <v>3310</v>
      </c>
      <c r="B1407" s="10">
        <v>45141</v>
      </c>
      <c r="C1407" s="22">
        <v>45141</v>
      </c>
      <c r="D1407" s="1" t="s">
        <v>3311</v>
      </c>
      <c r="E1407" s="1" t="s">
        <v>2030</v>
      </c>
      <c r="F1407" s="1">
        <v>40</v>
      </c>
      <c r="G1407" s="1" t="s">
        <v>68</v>
      </c>
      <c r="H1407" s="1" t="s">
        <v>111</v>
      </c>
      <c r="I1407" s="1" t="s">
        <v>141</v>
      </c>
      <c r="J1407" s="1" t="s">
        <v>27</v>
      </c>
      <c r="K1407" s="1" t="s">
        <v>97</v>
      </c>
      <c r="L1407" s="1">
        <v>2</v>
      </c>
      <c r="M1407" s="13">
        <v>188.62</v>
      </c>
      <c r="N1407" s="15">
        <v>0.32</v>
      </c>
      <c r="O1407" s="13">
        <v>395.46</v>
      </c>
      <c r="P1407" s="13">
        <v>23.93</v>
      </c>
      <c r="Q1407" s="13">
        <v>82.57</v>
      </c>
      <c r="R1407" s="1" t="s">
        <v>64</v>
      </c>
      <c r="S1407" s="1">
        <v>5</v>
      </c>
      <c r="T1407" s="1" t="b">
        <v>0</v>
      </c>
      <c r="U1407" s="1" t="s">
        <v>39</v>
      </c>
      <c r="V1407" s="3">
        <v>9</v>
      </c>
    </row>
    <row r="1408" spans="1:22" x14ac:dyDescent="0.3">
      <c r="A1408" s="2" t="s">
        <v>3312</v>
      </c>
      <c r="B1408" s="10">
        <v>44550</v>
      </c>
      <c r="C1408" s="22">
        <v>44550</v>
      </c>
      <c r="D1408" s="1" t="s">
        <v>3313</v>
      </c>
      <c r="E1408" s="1" t="s">
        <v>781</v>
      </c>
      <c r="F1408" s="1">
        <v>37</v>
      </c>
      <c r="G1408" s="1" t="s">
        <v>24</v>
      </c>
      <c r="H1408" s="1" t="s">
        <v>35</v>
      </c>
      <c r="I1408" s="1" t="s">
        <v>49</v>
      </c>
      <c r="J1408" s="1" t="s">
        <v>37</v>
      </c>
      <c r="K1408" s="1" t="s">
        <v>671</v>
      </c>
      <c r="L1408" s="1">
        <v>2</v>
      </c>
      <c r="M1408" s="13">
        <v>984.2</v>
      </c>
      <c r="N1408" s="15">
        <v>0.17</v>
      </c>
      <c r="O1408" s="13">
        <v>1250.93</v>
      </c>
      <c r="P1408" s="13">
        <v>608.62</v>
      </c>
      <c r="Q1408" s="13">
        <v>62.93</v>
      </c>
      <c r="R1408" s="1" t="s">
        <v>70</v>
      </c>
      <c r="S1408" s="1">
        <v>2</v>
      </c>
      <c r="T1408" s="1" t="b">
        <v>0</v>
      </c>
      <c r="U1408" s="1" t="s">
        <v>39</v>
      </c>
      <c r="V1408" s="3">
        <v>9</v>
      </c>
    </row>
    <row r="1409" spans="1:22" x14ac:dyDescent="0.3">
      <c r="A1409" s="2" t="s">
        <v>3314</v>
      </c>
      <c r="B1409" s="10">
        <v>44227</v>
      </c>
      <c r="C1409" s="22">
        <v>44227</v>
      </c>
      <c r="D1409" s="1" t="s">
        <v>3315</v>
      </c>
      <c r="E1409" s="1" t="s">
        <v>973</v>
      </c>
      <c r="F1409" s="1">
        <v>56</v>
      </c>
      <c r="G1409" s="1" t="s">
        <v>68</v>
      </c>
      <c r="H1409" s="1" t="s">
        <v>74</v>
      </c>
      <c r="I1409" s="1" t="s">
        <v>136</v>
      </c>
      <c r="J1409" s="1" t="s">
        <v>127</v>
      </c>
      <c r="K1409" s="1" t="s">
        <v>142</v>
      </c>
      <c r="L1409" s="1">
        <v>8</v>
      </c>
      <c r="M1409" s="13">
        <v>16693.21</v>
      </c>
      <c r="N1409" s="15">
        <v>0.26</v>
      </c>
      <c r="O1409" s="13">
        <v>81693.149999999994</v>
      </c>
      <c r="P1409" s="13">
        <v>9097.41</v>
      </c>
      <c r="Q1409" s="13">
        <v>65.45</v>
      </c>
      <c r="R1409" s="1" t="s">
        <v>64</v>
      </c>
      <c r="S1409" s="1">
        <v>3</v>
      </c>
      <c r="T1409" s="1" t="b">
        <v>1</v>
      </c>
      <c r="U1409" s="1" t="s">
        <v>30</v>
      </c>
      <c r="V1409" s="3">
        <v>10</v>
      </c>
    </row>
    <row r="1410" spans="1:22" x14ac:dyDescent="0.3">
      <c r="A1410" s="2" t="s">
        <v>3316</v>
      </c>
      <c r="B1410" s="10">
        <v>45605</v>
      </c>
      <c r="C1410" s="22">
        <v>45605</v>
      </c>
      <c r="D1410" s="1" t="s">
        <v>3317</v>
      </c>
      <c r="E1410" s="1" t="s">
        <v>1033</v>
      </c>
      <c r="F1410" s="1">
        <v>49</v>
      </c>
      <c r="G1410" s="1" t="s">
        <v>68</v>
      </c>
      <c r="H1410" s="1" t="s">
        <v>111</v>
      </c>
      <c r="I1410" s="1" t="s">
        <v>121</v>
      </c>
      <c r="J1410" s="1" t="s">
        <v>62</v>
      </c>
      <c r="K1410" s="1" t="s">
        <v>151</v>
      </c>
      <c r="L1410" s="1">
        <v>5</v>
      </c>
      <c r="M1410" s="13">
        <v>733.86</v>
      </c>
      <c r="N1410" s="15">
        <v>0.28000000000000003</v>
      </c>
      <c r="O1410" s="13">
        <v>2368.12</v>
      </c>
      <c r="P1410" s="13">
        <v>846.43</v>
      </c>
      <c r="Q1410" s="13">
        <v>68.42</v>
      </c>
      <c r="R1410" s="1" t="s">
        <v>78</v>
      </c>
      <c r="S1410" s="1">
        <v>5</v>
      </c>
      <c r="T1410" s="1" t="b">
        <v>0</v>
      </c>
      <c r="U1410" s="1" t="s">
        <v>39</v>
      </c>
      <c r="V1410" s="3">
        <v>1</v>
      </c>
    </row>
    <row r="1411" spans="1:22" x14ac:dyDescent="0.3">
      <c r="A1411" s="2" t="s">
        <v>3318</v>
      </c>
      <c r="B1411" s="10">
        <v>45410</v>
      </c>
      <c r="C1411" s="22">
        <v>45410</v>
      </c>
      <c r="D1411" s="1" t="s">
        <v>3319</v>
      </c>
      <c r="E1411" s="1" t="s">
        <v>1526</v>
      </c>
      <c r="F1411" s="1">
        <v>31</v>
      </c>
      <c r="G1411" s="1" t="s">
        <v>34</v>
      </c>
      <c r="H1411" s="1" t="s">
        <v>111</v>
      </c>
      <c r="I1411" s="1" t="s">
        <v>112</v>
      </c>
      <c r="J1411" s="1" t="s">
        <v>37</v>
      </c>
      <c r="K1411" s="1" t="s">
        <v>182</v>
      </c>
      <c r="L1411" s="1">
        <v>6</v>
      </c>
      <c r="M1411" s="13">
        <v>1419.67</v>
      </c>
      <c r="N1411" s="15">
        <v>0.01</v>
      </c>
      <c r="O1411" s="13">
        <v>11838.84</v>
      </c>
      <c r="P1411" s="13">
        <v>7704.41</v>
      </c>
      <c r="Q1411" s="13">
        <v>81.849999999999994</v>
      </c>
      <c r="R1411" s="1" t="s">
        <v>70</v>
      </c>
      <c r="S1411" s="1">
        <v>5</v>
      </c>
      <c r="T1411" s="1" t="b">
        <v>0</v>
      </c>
      <c r="U1411" s="1" t="s">
        <v>39</v>
      </c>
      <c r="V1411" s="3">
        <v>10</v>
      </c>
    </row>
    <row r="1412" spans="1:22" x14ac:dyDescent="0.3">
      <c r="A1412" s="2" t="s">
        <v>3320</v>
      </c>
      <c r="B1412" s="10">
        <v>44543</v>
      </c>
      <c r="C1412" s="22">
        <v>44543</v>
      </c>
      <c r="D1412" s="1" t="s">
        <v>3321</v>
      </c>
      <c r="E1412" s="1" t="s">
        <v>3322</v>
      </c>
      <c r="F1412" s="1">
        <v>49</v>
      </c>
      <c r="G1412" s="1" t="s">
        <v>68</v>
      </c>
      <c r="H1412" s="1" t="s">
        <v>82</v>
      </c>
      <c r="I1412" s="1" t="s">
        <v>244</v>
      </c>
      <c r="J1412" s="1" t="s">
        <v>76</v>
      </c>
      <c r="K1412" s="1" t="s">
        <v>77</v>
      </c>
      <c r="L1412" s="1">
        <v>1</v>
      </c>
      <c r="M1412" s="13">
        <v>3144.7</v>
      </c>
      <c r="N1412" s="15">
        <v>0.35</v>
      </c>
      <c r="O1412" s="13">
        <v>1412.65</v>
      </c>
      <c r="P1412" s="13">
        <v>506.25</v>
      </c>
      <c r="Q1412" s="13">
        <v>89.01</v>
      </c>
      <c r="R1412" s="1" t="s">
        <v>64</v>
      </c>
      <c r="S1412" s="1">
        <v>3</v>
      </c>
      <c r="T1412" s="1" t="b">
        <v>0</v>
      </c>
      <c r="U1412" s="1" t="s">
        <v>137</v>
      </c>
      <c r="V1412" s="3">
        <v>5</v>
      </c>
    </row>
    <row r="1413" spans="1:22" x14ac:dyDescent="0.3">
      <c r="A1413" s="2" t="s">
        <v>3323</v>
      </c>
      <c r="B1413" s="10">
        <v>44893</v>
      </c>
      <c r="C1413" s="22">
        <v>44893</v>
      </c>
      <c r="D1413" s="1" t="s">
        <v>3324</v>
      </c>
      <c r="E1413" s="1" t="s">
        <v>1886</v>
      </c>
      <c r="F1413" s="1">
        <v>36</v>
      </c>
      <c r="G1413" s="1" t="s">
        <v>68</v>
      </c>
      <c r="H1413" s="1" t="s">
        <v>25</v>
      </c>
      <c r="I1413" s="1" t="s">
        <v>69</v>
      </c>
      <c r="J1413" s="1" t="s">
        <v>146</v>
      </c>
      <c r="K1413" s="1" t="s">
        <v>161</v>
      </c>
      <c r="L1413" s="1">
        <v>8</v>
      </c>
      <c r="M1413" s="13">
        <v>7873.54</v>
      </c>
      <c r="N1413" s="15">
        <v>0.23</v>
      </c>
      <c r="O1413" s="13">
        <v>37930.36</v>
      </c>
      <c r="P1413" s="13">
        <v>9903.07</v>
      </c>
      <c r="Q1413" s="13">
        <v>42.71</v>
      </c>
      <c r="R1413" s="1" t="s">
        <v>78</v>
      </c>
      <c r="S1413" s="1">
        <v>2</v>
      </c>
      <c r="T1413" s="1" t="b">
        <v>0</v>
      </c>
      <c r="U1413" s="1" t="s">
        <v>39</v>
      </c>
      <c r="V1413" s="3">
        <v>5</v>
      </c>
    </row>
    <row r="1414" spans="1:22" x14ac:dyDescent="0.3">
      <c r="A1414" s="2" t="s">
        <v>3325</v>
      </c>
      <c r="B1414" s="10">
        <v>44600</v>
      </c>
      <c r="C1414" s="22">
        <v>44600</v>
      </c>
      <c r="D1414" s="1" t="s">
        <v>3326</v>
      </c>
      <c r="E1414" s="1" t="s">
        <v>3040</v>
      </c>
      <c r="F1414" s="1">
        <v>20</v>
      </c>
      <c r="G1414" s="1" t="s">
        <v>24</v>
      </c>
      <c r="H1414" s="1" t="s">
        <v>25</v>
      </c>
      <c r="I1414" s="1" t="s">
        <v>69</v>
      </c>
      <c r="J1414" s="1" t="s">
        <v>44</v>
      </c>
      <c r="K1414" s="1" t="s">
        <v>221</v>
      </c>
      <c r="L1414" s="1">
        <v>9</v>
      </c>
      <c r="M1414" s="13">
        <v>22414.18</v>
      </c>
      <c r="N1414" s="15">
        <v>0.26</v>
      </c>
      <c r="O1414" s="13">
        <v>154810.39000000001</v>
      </c>
      <c r="P1414" s="13">
        <v>52685.24</v>
      </c>
      <c r="Q1414" s="13">
        <v>39.71</v>
      </c>
      <c r="R1414" s="1" t="s">
        <v>78</v>
      </c>
      <c r="S1414" s="1">
        <v>4</v>
      </c>
      <c r="T1414" s="1" t="b">
        <v>0</v>
      </c>
      <c r="U1414" s="1" t="s">
        <v>39</v>
      </c>
      <c r="V1414" s="3">
        <v>5</v>
      </c>
    </row>
    <row r="1415" spans="1:22" x14ac:dyDescent="0.3">
      <c r="A1415" s="2" t="s">
        <v>3327</v>
      </c>
      <c r="B1415" s="10">
        <v>43976</v>
      </c>
      <c r="C1415" s="22">
        <v>43976</v>
      </c>
      <c r="D1415" s="1" t="s">
        <v>3044</v>
      </c>
      <c r="E1415" s="1" t="s">
        <v>476</v>
      </c>
      <c r="F1415" s="1">
        <v>37</v>
      </c>
      <c r="G1415" s="1" t="s">
        <v>34</v>
      </c>
      <c r="H1415" s="1" t="s">
        <v>35</v>
      </c>
      <c r="I1415" s="1" t="s">
        <v>106</v>
      </c>
      <c r="J1415" s="1" t="s">
        <v>62</v>
      </c>
      <c r="K1415" s="1" t="s">
        <v>151</v>
      </c>
      <c r="L1415" s="1">
        <v>4</v>
      </c>
      <c r="M1415" s="13">
        <v>822.35</v>
      </c>
      <c r="N1415" s="15">
        <v>0.05</v>
      </c>
      <c r="O1415" s="13">
        <v>3604.16</v>
      </c>
      <c r="P1415" s="13">
        <v>1181.07</v>
      </c>
      <c r="Q1415" s="13">
        <v>54.01</v>
      </c>
      <c r="R1415" s="1" t="s">
        <v>57</v>
      </c>
      <c r="S1415" s="1">
        <v>4</v>
      </c>
      <c r="T1415" s="1" t="b">
        <v>1</v>
      </c>
      <c r="U1415" s="1" t="s">
        <v>30</v>
      </c>
      <c r="V1415" s="3">
        <v>9</v>
      </c>
    </row>
    <row r="1416" spans="1:22" x14ac:dyDescent="0.3">
      <c r="A1416" s="2" t="s">
        <v>3328</v>
      </c>
      <c r="B1416" s="10">
        <v>45069</v>
      </c>
      <c r="C1416" s="22">
        <v>45069</v>
      </c>
      <c r="D1416" s="1" t="s">
        <v>3329</v>
      </c>
      <c r="E1416" s="1" t="s">
        <v>624</v>
      </c>
      <c r="F1416" s="1">
        <v>26</v>
      </c>
      <c r="G1416" s="1" t="s">
        <v>34</v>
      </c>
      <c r="H1416" s="1" t="s">
        <v>82</v>
      </c>
      <c r="I1416" s="1" t="s">
        <v>244</v>
      </c>
      <c r="J1416" s="1" t="s">
        <v>37</v>
      </c>
      <c r="K1416" s="1" t="s">
        <v>231</v>
      </c>
      <c r="L1416" s="1">
        <v>8</v>
      </c>
      <c r="M1416" s="13">
        <v>317.17</v>
      </c>
      <c r="N1416" s="15">
        <v>0.06</v>
      </c>
      <c r="O1416" s="13">
        <v>3774.97</v>
      </c>
      <c r="P1416" s="13">
        <v>2233.34</v>
      </c>
      <c r="Q1416" s="13">
        <v>81.48</v>
      </c>
      <c r="R1416" s="1" t="s">
        <v>78</v>
      </c>
      <c r="S1416" s="1">
        <v>3</v>
      </c>
      <c r="T1416" s="1" t="b">
        <v>0</v>
      </c>
      <c r="U1416" s="1" t="s">
        <v>58</v>
      </c>
      <c r="V1416" s="3">
        <v>5</v>
      </c>
    </row>
    <row r="1417" spans="1:22" x14ac:dyDescent="0.3">
      <c r="A1417" s="2" t="s">
        <v>3330</v>
      </c>
      <c r="B1417" s="10">
        <v>44105</v>
      </c>
      <c r="C1417" s="22">
        <v>44105</v>
      </c>
      <c r="D1417" s="1" t="s">
        <v>3331</v>
      </c>
      <c r="E1417" s="1" t="s">
        <v>247</v>
      </c>
      <c r="F1417" s="1">
        <v>39</v>
      </c>
      <c r="G1417" s="1" t="s">
        <v>24</v>
      </c>
      <c r="H1417" s="1" t="s">
        <v>25</v>
      </c>
      <c r="I1417" s="1" t="s">
        <v>55</v>
      </c>
      <c r="J1417" s="1" t="s">
        <v>62</v>
      </c>
      <c r="K1417" s="1" t="s">
        <v>63</v>
      </c>
      <c r="L1417" s="1">
        <v>8</v>
      </c>
      <c r="M1417" s="13">
        <v>479.33</v>
      </c>
      <c r="N1417" s="15">
        <v>0.17</v>
      </c>
      <c r="O1417" s="13">
        <v>2895.46</v>
      </c>
      <c r="P1417" s="13">
        <v>1623.81</v>
      </c>
      <c r="Q1417" s="13">
        <v>57.89</v>
      </c>
      <c r="R1417" s="1" t="s">
        <v>57</v>
      </c>
      <c r="S1417" s="1">
        <v>4</v>
      </c>
      <c r="T1417" s="1" t="b">
        <v>0</v>
      </c>
      <c r="U1417" s="1" t="s">
        <v>39</v>
      </c>
      <c r="V1417" s="3">
        <v>8</v>
      </c>
    </row>
    <row r="1418" spans="1:22" x14ac:dyDescent="0.3">
      <c r="A1418" s="2" t="s">
        <v>3332</v>
      </c>
      <c r="B1418" s="10">
        <v>44384</v>
      </c>
      <c r="C1418" s="22">
        <v>44384</v>
      </c>
      <c r="D1418" s="1" t="s">
        <v>3333</v>
      </c>
      <c r="E1418" s="1" t="s">
        <v>181</v>
      </c>
      <c r="F1418" s="1">
        <v>16</v>
      </c>
      <c r="G1418" s="1" t="s">
        <v>68</v>
      </c>
      <c r="H1418" s="1" t="s">
        <v>25</v>
      </c>
      <c r="I1418" s="1" t="s">
        <v>170</v>
      </c>
      <c r="J1418" s="1" t="s">
        <v>62</v>
      </c>
      <c r="K1418" s="1" t="s">
        <v>570</v>
      </c>
      <c r="L1418" s="1">
        <v>1</v>
      </c>
      <c r="M1418" s="13">
        <v>226.79</v>
      </c>
      <c r="N1418" s="15">
        <v>0.2</v>
      </c>
      <c r="O1418" s="13">
        <v>243.47</v>
      </c>
      <c r="P1418" s="13">
        <v>114.12</v>
      </c>
      <c r="Q1418" s="13">
        <v>71.040000000000006</v>
      </c>
      <c r="R1418" s="1" t="s">
        <v>29</v>
      </c>
      <c r="S1418" s="1">
        <v>4</v>
      </c>
      <c r="T1418" s="1" t="b">
        <v>0</v>
      </c>
      <c r="U1418" s="1" t="s">
        <v>39</v>
      </c>
      <c r="V1418" s="3">
        <v>3</v>
      </c>
    </row>
    <row r="1419" spans="1:22" x14ac:dyDescent="0.3">
      <c r="A1419" s="2" t="s">
        <v>3334</v>
      </c>
      <c r="B1419" s="10">
        <v>44164</v>
      </c>
      <c r="C1419" s="22">
        <v>44164</v>
      </c>
      <c r="D1419" s="1" t="s">
        <v>3335</v>
      </c>
      <c r="E1419" s="1" t="s">
        <v>1359</v>
      </c>
      <c r="F1419" s="1">
        <v>19</v>
      </c>
      <c r="G1419" s="1" t="s">
        <v>34</v>
      </c>
      <c r="H1419" s="1" t="s">
        <v>25</v>
      </c>
      <c r="I1419" s="1" t="s">
        <v>26</v>
      </c>
      <c r="J1419" s="1" t="s">
        <v>76</v>
      </c>
      <c r="K1419" s="1" t="s">
        <v>207</v>
      </c>
      <c r="L1419" s="1">
        <v>10</v>
      </c>
      <c r="M1419" s="13">
        <v>1410.27</v>
      </c>
      <c r="N1419" s="15">
        <v>0.1</v>
      </c>
      <c r="O1419" s="13">
        <v>8950.43</v>
      </c>
      <c r="P1419" s="13">
        <v>2283.3000000000002</v>
      </c>
      <c r="Q1419" s="13">
        <v>52.24</v>
      </c>
      <c r="R1419" s="1" t="s">
        <v>64</v>
      </c>
      <c r="S1419" s="1">
        <v>5</v>
      </c>
      <c r="T1419" s="1" t="b">
        <v>0</v>
      </c>
      <c r="U1419" s="1" t="s">
        <v>84</v>
      </c>
      <c r="V1419" s="3">
        <v>5</v>
      </c>
    </row>
    <row r="1420" spans="1:22" x14ac:dyDescent="0.3">
      <c r="A1420" s="2" t="s">
        <v>3336</v>
      </c>
      <c r="B1420" s="10">
        <v>44426</v>
      </c>
      <c r="C1420" s="22">
        <v>44426</v>
      </c>
      <c r="D1420" s="1" t="s">
        <v>3337</v>
      </c>
      <c r="E1420" s="1" t="s">
        <v>1142</v>
      </c>
      <c r="F1420" s="1">
        <v>43</v>
      </c>
      <c r="G1420" s="1" t="s">
        <v>24</v>
      </c>
      <c r="H1420" s="1" t="s">
        <v>111</v>
      </c>
      <c r="I1420" s="1" t="s">
        <v>141</v>
      </c>
      <c r="J1420" s="1" t="s">
        <v>146</v>
      </c>
      <c r="K1420" s="1" t="s">
        <v>276</v>
      </c>
      <c r="L1420" s="1">
        <v>2</v>
      </c>
      <c r="M1420" s="13">
        <v>10207.68</v>
      </c>
      <c r="N1420" s="15">
        <v>0.39</v>
      </c>
      <c r="O1420" s="13">
        <v>15448.23</v>
      </c>
      <c r="P1420" s="13">
        <v>3254.54</v>
      </c>
      <c r="Q1420" s="13">
        <v>51.21</v>
      </c>
      <c r="R1420" s="1" t="s">
        <v>57</v>
      </c>
      <c r="S1420" s="1">
        <v>1</v>
      </c>
      <c r="T1420" s="1" t="b">
        <v>0</v>
      </c>
      <c r="U1420" s="1" t="s">
        <v>58</v>
      </c>
      <c r="V1420" s="3">
        <v>4</v>
      </c>
    </row>
    <row r="1421" spans="1:22" x14ac:dyDescent="0.3">
      <c r="A1421" s="2" t="s">
        <v>3338</v>
      </c>
      <c r="B1421" s="10">
        <v>45157</v>
      </c>
      <c r="C1421" s="22">
        <v>45157</v>
      </c>
      <c r="D1421" s="1" t="s">
        <v>3339</v>
      </c>
      <c r="E1421" s="1" t="s">
        <v>1390</v>
      </c>
      <c r="F1421" s="1">
        <v>35</v>
      </c>
      <c r="G1421" s="1" t="s">
        <v>24</v>
      </c>
      <c r="H1421" s="1" t="s">
        <v>82</v>
      </c>
      <c r="I1421" s="1" t="s">
        <v>293</v>
      </c>
      <c r="J1421" s="1" t="s">
        <v>127</v>
      </c>
      <c r="K1421" s="1" t="s">
        <v>171</v>
      </c>
      <c r="L1421" s="1">
        <v>8</v>
      </c>
      <c r="M1421" s="13">
        <v>20964.05</v>
      </c>
      <c r="N1421" s="15">
        <v>0.28999999999999998</v>
      </c>
      <c r="O1421" s="13">
        <v>174884.92</v>
      </c>
      <c r="P1421" s="13">
        <v>24207.47</v>
      </c>
      <c r="Q1421" s="13">
        <v>77.540000000000006</v>
      </c>
      <c r="R1421" s="1" t="s">
        <v>78</v>
      </c>
      <c r="S1421" s="1">
        <v>2</v>
      </c>
      <c r="T1421" s="1" t="b">
        <v>0</v>
      </c>
      <c r="U1421" s="1" t="s">
        <v>39</v>
      </c>
      <c r="V1421" s="3">
        <v>5</v>
      </c>
    </row>
    <row r="1422" spans="1:22" x14ac:dyDescent="0.3">
      <c r="A1422" s="2" t="s">
        <v>3340</v>
      </c>
      <c r="B1422" s="10">
        <v>43888</v>
      </c>
      <c r="C1422" s="22">
        <v>43888</v>
      </c>
      <c r="D1422" s="1" t="s">
        <v>3341</v>
      </c>
      <c r="E1422" s="1" t="s">
        <v>1091</v>
      </c>
      <c r="F1422" s="1">
        <v>25</v>
      </c>
      <c r="G1422" s="1" t="s">
        <v>24</v>
      </c>
      <c r="H1422" s="1" t="s">
        <v>82</v>
      </c>
      <c r="I1422" s="1" t="s">
        <v>293</v>
      </c>
      <c r="J1422" s="1" t="s">
        <v>37</v>
      </c>
      <c r="K1422" s="1" t="s">
        <v>671</v>
      </c>
      <c r="L1422" s="1">
        <v>1</v>
      </c>
      <c r="M1422" s="13">
        <v>859</v>
      </c>
      <c r="N1422" s="15">
        <v>0.21</v>
      </c>
      <c r="O1422" s="13">
        <v>788.32</v>
      </c>
      <c r="P1422" s="13">
        <v>385.42</v>
      </c>
      <c r="Q1422" s="13">
        <v>82.74</v>
      </c>
      <c r="R1422" s="1" t="s">
        <v>78</v>
      </c>
      <c r="S1422" s="1">
        <v>3</v>
      </c>
      <c r="T1422" s="1" t="b">
        <v>0</v>
      </c>
      <c r="U1422" s="1" t="s">
        <v>39</v>
      </c>
      <c r="V1422" s="3">
        <v>4</v>
      </c>
    </row>
    <row r="1423" spans="1:22" x14ac:dyDescent="0.3">
      <c r="A1423" s="2" t="s">
        <v>3342</v>
      </c>
      <c r="B1423" s="10">
        <v>44612</v>
      </c>
      <c r="C1423" s="22">
        <v>44612</v>
      </c>
      <c r="D1423" s="1" t="s">
        <v>3343</v>
      </c>
      <c r="E1423" s="1" t="s">
        <v>120</v>
      </c>
      <c r="F1423" s="1">
        <v>35</v>
      </c>
      <c r="G1423" s="1" t="s">
        <v>88</v>
      </c>
      <c r="H1423" s="1" t="s">
        <v>74</v>
      </c>
      <c r="I1423" s="1" t="s">
        <v>136</v>
      </c>
      <c r="J1423" s="1" t="s">
        <v>62</v>
      </c>
      <c r="K1423" s="1" t="s">
        <v>266</v>
      </c>
      <c r="L1423" s="1">
        <v>3</v>
      </c>
      <c r="M1423" s="13">
        <v>477.72</v>
      </c>
      <c r="N1423" s="15">
        <v>0.39</v>
      </c>
      <c r="O1423" s="13">
        <v>901.37</v>
      </c>
      <c r="P1423" s="13">
        <v>311.79000000000002</v>
      </c>
      <c r="Q1423" s="13">
        <v>41.76</v>
      </c>
      <c r="R1423" s="1" t="s">
        <v>51</v>
      </c>
      <c r="S1423" s="1">
        <v>1</v>
      </c>
      <c r="T1423" s="1" t="b">
        <v>1</v>
      </c>
      <c r="U1423" s="1" t="s">
        <v>30</v>
      </c>
      <c r="V1423" s="3">
        <v>2</v>
      </c>
    </row>
    <row r="1424" spans="1:22" x14ac:dyDescent="0.3">
      <c r="A1424" s="2" t="s">
        <v>3344</v>
      </c>
      <c r="B1424" s="10">
        <v>45565</v>
      </c>
      <c r="C1424" s="22">
        <v>45565</v>
      </c>
      <c r="D1424" s="1" t="s">
        <v>3345</v>
      </c>
      <c r="E1424" s="1" t="s">
        <v>591</v>
      </c>
      <c r="F1424" s="1">
        <v>21</v>
      </c>
      <c r="G1424" s="1" t="s">
        <v>34</v>
      </c>
      <c r="H1424" s="1" t="s">
        <v>74</v>
      </c>
      <c r="I1424" s="1" t="s">
        <v>101</v>
      </c>
      <c r="J1424" s="1" t="s">
        <v>146</v>
      </c>
      <c r="K1424" s="1" t="s">
        <v>161</v>
      </c>
      <c r="L1424" s="1">
        <v>7</v>
      </c>
      <c r="M1424" s="13">
        <v>1420.89</v>
      </c>
      <c r="N1424" s="15">
        <v>0.01</v>
      </c>
      <c r="O1424" s="13">
        <v>14785.98</v>
      </c>
      <c r="P1424" s="13">
        <v>3969.68</v>
      </c>
      <c r="Q1424" s="13">
        <v>38.840000000000003</v>
      </c>
      <c r="R1424" s="1" t="s">
        <v>29</v>
      </c>
      <c r="S1424" s="1">
        <v>2</v>
      </c>
      <c r="T1424" s="1" t="b">
        <v>0</v>
      </c>
      <c r="U1424" s="1" t="s">
        <v>39</v>
      </c>
      <c r="V1424" s="3">
        <v>7</v>
      </c>
    </row>
    <row r="1425" spans="1:22" x14ac:dyDescent="0.3">
      <c r="A1425" s="2" t="s">
        <v>3346</v>
      </c>
      <c r="B1425" s="10">
        <v>45599</v>
      </c>
      <c r="C1425" s="22">
        <v>45599</v>
      </c>
      <c r="D1425" s="1" t="s">
        <v>3347</v>
      </c>
      <c r="E1425" s="1" t="s">
        <v>878</v>
      </c>
      <c r="F1425" s="1">
        <v>40</v>
      </c>
      <c r="G1425" s="1" t="s">
        <v>34</v>
      </c>
      <c r="H1425" s="1" t="s">
        <v>111</v>
      </c>
      <c r="I1425" s="1" t="s">
        <v>330</v>
      </c>
      <c r="J1425" s="1" t="s">
        <v>44</v>
      </c>
      <c r="K1425" s="1" t="s">
        <v>221</v>
      </c>
      <c r="L1425" s="1">
        <v>4</v>
      </c>
      <c r="M1425" s="13">
        <v>25047.24</v>
      </c>
      <c r="N1425" s="15">
        <v>0.06</v>
      </c>
      <c r="O1425" s="13">
        <v>86856.88</v>
      </c>
      <c r="P1425" s="13">
        <v>33882.26</v>
      </c>
      <c r="Q1425" s="13">
        <v>83.32</v>
      </c>
      <c r="R1425" s="1" t="s">
        <v>51</v>
      </c>
      <c r="S1425" s="1">
        <v>5</v>
      </c>
      <c r="T1425" s="1" t="b">
        <v>0</v>
      </c>
      <c r="U1425" s="1" t="s">
        <v>39</v>
      </c>
      <c r="V1425" s="3">
        <v>4</v>
      </c>
    </row>
    <row r="1426" spans="1:22" x14ac:dyDescent="0.3">
      <c r="A1426" s="2" t="s">
        <v>3348</v>
      </c>
      <c r="B1426" s="10">
        <v>44424</v>
      </c>
      <c r="C1426" s="22">
        <v>44424</v>
      </c>
      <c r="D1426" s="1" t="s">
        <v>3349</v>
      </c>
      <c r="E1426" s="1" t="s">
        <v>569</v>
      </c>
      <c r="F1426" s="1">
        <v>42</v>
      </c>
      <c r="G1426" s="1" t="s">
        <v>24</v>
      </c>
      <c r="H1426" s="1" t="s">
        <v>25</v>
      </c>
      <c r="I1426" s="1" t="s">
        <v>55</v>
      </c>
      <c r="J1426" s="1" t="s">
        <v>127</v>
      </c>
      <c r="K1426" s="1" t="s">
        <v>142</v>
      </c>
      <c r="L1426" s="1">
        <v>5</v>
      </c>
      <c r="M1426" s="13">
        <v>25084.959999999999</v>
      </c>
      <c r="N1426" s="15">
        <v>0.05</v>
      </c>
      <c r="O1426" s="13">
        <v>172376.29</v>
      </c>
      <c r="P1426" s="13">
        <v>18968.099999999999</v>
      </c>
      <c r="Q1426" s="13">
        <v>74.02</v>
      </c>
      <c r="R1426" s="1" t="s">
        <v>51</v>
      </c>
      <c r="S1426" s="1">
        <v>1</v>
      </c>
      <c r="T1426" s="1" t="b">
        <v>0</v>
      </c>
      <c r="U1426" s="1" t="s">
        <v>39</v>
      </c>
      <c r="V1426" s="3">
        <v>8</v>
      </c>
    </row>
    <row r="1427" spans="1:22" x14ac:dyDescent="0.3">
      <c r="A1427" s="2" t="s">
        <v>3350</v>
      </c>
      <c r="B1427" s="10">
        <v>44271</v>
      </c>
      <c r="C1427" s="22">
        <v>44271</v>
      </c>
      <c r="D1427" s="1" t="s">
        <v>3351</v>
      </c>
      <c r="E1427" s="1" t="s">
        <v>3253</v>
      </c>
      <c r="F1427" s="1">
        <v>38</v>
      </c>
      <c r="G1427" s="1" t="s">
        <v>434</v>
      </c>
      <c r="H1427" s="1" t="s">
        <v>74</v>
      </c>
      <c r="I1427" s="1" t="s">
        <v>101</v>
      </c>
      <c r="J1427" s="1" t="s">
        <v>76</v>
      </c>
      <c r="K1427" s="1" t="s">
        <v>132</v>
      </c>
      <c r="L1427" s="1">
        <v>5</v>
      </c>
      <c r="M1427" s="13">
        <v>888.01</v>
      </c>
      <c r="N1427" s="15">
        <v>0.25</v>
      </c>
      <c r="O1427" s="13">
        <v>3544.92</v>
      </c>
      <c r="P1427" s="13">
        <v>906.65</v>
      </c>
      <c r="Q1427" s="13">
        <v>30.07</v>
      </c>
      <c r="R1427" s="1" t="s">
        <v>70</v>
      </c>
      <c r="S1427" s="1">
        <v>1</v>
      </c>
      <c r="T1427" s="1" t="b">
        <v>0</v>
      </c>
      <c r="U1427" s="1" t="s">
        <v>58</v>
      </c>
      <c r="V1427" s="3">
        <v>4</v>
      </c>
    </row>
    <row r="1428" spans="1:22" x14ac:dyDescent="0.3">
      <c r="A1428" s="2" t="s">
        <v>3352</v>
      </c>
      <c r="B1428" s="10">
        <v>44488</v>
      </c>
      <c r="C1428" s="22">
        <v>44488</v>
      </c>
      <c r="D1428" s="1" t="s">
        <v>3353</v>
      </c>
      <c r="E1428" s="1" t="s">
        <v>48</v>
      </c>
      <c r="F1428" s="1">
        <v>20</v>
      </c>
      <c r="G1428" s="1" t="s">
        <v>34</v>
      </c>
      <c r="H1428" s="1" t="s">
        <v>35</v>
      </c>
      <c r="I1428" s="1" t="s">
        <v>43</v>
      </c>
      <c r="J1428" s="1" t="s">
        <v>37</v>
      </c>
      <c r="K1428" s="1" t="s">
        <v>671</v>
      </c>
      <c r="L1428" s="1">
        <v>3</v>
      </c>
      <c r="M1428" s="13">
        <v>805.93</v>
      </c>
      <c r="N1428" s="15">
        <v>0.05</v>
      </c>
      <c r="O1428" s="13">
        <v>2114.44</v>
      </c>
      <c r="P1428" s="13">
        <v>1247.55</v>
      </c>
      <c r="Q1428" s="13">
        <v>55.34</v>
      </c>
      <c r="R1428" s="1" t="s">
        <v>78</v>
      </c>
      <c r="S1428" s="1">
        <v>3</v>
      </c>
      <c r="T1428" s="1" t="b">
        <v>0</v>
      </c>
      <c r="U1428" s="1" t="s">
        <v>39</v>
      </c>
      <c r="V1428" s="3">
        <v>5</v>
      </c>
    </row>
    <row r="1429" spans="1:22" x14ac:dyDescent="0.3">
      <c r="A1429" s="2" t="s">
        <v>3354</v>
      </c>
      <c r="B1429" s="10">
        <v>45143</v>
      </c>
      <c r="C1429" s="22">
        <v>45143</v>
      </c>
      <c r="D1429" s="1" t="s">
        <v>3355</v>
      </c>
      <c r="E1429" s="1" t="s">
        <v>220</v>
      </c>
      <c r="F1429" s="1">
        <v>25</v>
      </c>
      <c r="G1429" s="1" t="s">
        <v>68</v>
      </c>
      <c r="H1429" s="1" t="s">
        <v>35</v>
      </c>
      <c r="I1429" s="1" t="s">
        <v>49</v>
      </c>
      <c r="J1429" s="1" t="s">
        <v>37</v>
      </c>
      <c r="K1429" s="1" t="s">
        <v>38</v>
      </c>
      <c r="L1429" s="1">
        <v>1</v>
      </c>
      <c r="M1429" s="13">
        <v>1196.94</v>
      </c>
      <c r="N1429" s="15">
        <v>0.09</v>
      </c>
      <c r="O1429" s="13">
        <v>1644.73</v>
      </c>
      <c r="P1429" s="13">
        <v>754.93</v>
      </c>
      <c r="Q1429" s="13">
        <v>47.47</v>
      </c>
      <c r="R1429" s="1" t="s">
        <v>64</v>
      </c>
      <c r="S1429" s="1">
        <v>3</v>
      </c>
      <c r="T1429" s="1" t="b">
        <v>0</v>
      </c>
      <c r="U1429" s="1" t="s">
        <v>39</v>
      </c>
      <c r="V1429" s="3">
        <v>1</v>
      </c>
    </row>
    <row r="1430" spans="1:22" x14ac:dyDescent="0.3">
      <c r="A1430" s="2" t="s">
        <v>3356</v>
      </c>
      <c r="B1430" s="10">
        <v>44424</v>
      </c>
      <c r="C1430" s="22">
        <v>44424</v>
      </c>
      <c r="D1430" s="1" t="s">
        <v>3357</v>
      </c>
      <c r="E1430" s="1" t="s">
        <v>1330</v>
      </c>
      <c r="F1430" s="1">
        <v>11</v>
      </c>
      <c r="G1430" s="1" t="s">
        <v>24</v>
      </c>
      <c r="H1430" s="1" t="s">
        <v>25</v>
      </c>
      <c r="I1430" s="1" t="s">
        <v>26</v>
      </c>
      <c r="J1430" s="1" t="s">
        <v>62</v>
      </c>
      <c r="K1430" s="1" t="s">
        <v>151</v>
      </c>
      <c r="L1430" s="1">
        <v>7</v>
      </c>
      <c r="M1430" s="13">
        <v>1004.42</v>
      </c>
      <c r="N1430" s="15">
        <v>0.04</v>
      </c>
      <c r="O1430" s="13">
        <v>8377.27</v>
      </c>
      <c r="P1430" s="13">
        <v>5250.13</v>
      </c>
      <c r="Q1430" s="13">
        <v>59.41</v>
      </c>
      <c r="R1430" s="1" t="s">
        <v>70</v>
      </c>
      <c r="S1430" s="1">
        <v>3</v>
      </c>
      <c r="T1430" s="1" t="b">
        <v>0</v>
      </c>
      <c r="U1430" s="1" t="s">
        <v>39</v>
      </c>
      <c r="V1430" s="3">
        <v>1</v>
      </c>
    </row>
    <row r="1431" spans="1:22" x14ac:dyDescent="0.3">
      <c r="A1431" s="2" t="s">
        <v>3358</v>
      </c>
      <c r="B1431" s="10">
        <v>43932</v>
      </c>
      <c r="C1431" s="22">
        <v>43932</v>
      </c>
      <c r="D1431" s="1" t="s">
        <v>3359</v>
      </c>
      <c r="E1431" s="1" t="s">
        <v>200</v>
      </c>
      <c r="F1431" s="1">
        <v>39</v>
      </c>
      <c r="G1431" s="1" t="s">
        <v>68</v>
      </c>
      <c r="H1431" s="1" t="s">
        <v>82</v>
      </c>
      <c r="I1431" s="1" t="s">
        <v>293</v>
      </c>
      <c r="J1431" s="1" t="s">
        <v>127</v>
      </c>
      <c r="K1431" s="1" t="s">
        <v>308</v>
      </c>
      <c r="L1431" s="1">
        <v>5</v>
      </c>
      <c r="M1431" s="13">
        <v>71617.52</v>
      </c>
      <c r="N1431" s="15">
        <v>0.36</v>
      </c>
      <c r="O1431" s="13">
        <v>255897.86</v>
      </c>
      <c r="P1431" s="13">
        <v>28898.92</v>
      </c>
      <c r="Q1431" s="13">
        <v>75.489999999999995</v>
      </c>
      <c r="R1431" s="1" t="s">
        <v>51</v>
      </c>
      <c r="S1431" s="1">
        <v>4</v>
      </c>
      <c r="T1431" s="1" t="b">
        <v>1</v>
      </c>
      <c r="U1431" s="1" t="s">
        <v>30</v>
      </c>
      <c r="V1431" s="3">
        <v>2</v>
      </c>
    </row>
    <row r="1432" spans="1:22" x14ac:dyDescent="0.3">
      <c r="A1432" s="2" t="s">
        <v>3360</v>
      </c>
      <c r="B1432" s="10">
        <v>44418</v>
      </c>
      <c r="C1432" s="22">
        <v>44418</v>
      </c>
      <c r="D1432" s="1" t="s">
        <v>3361</v>
      </c>
      <c r="E1432" s="1" t="s">
        <v>804</v>
      </c>
      <c r="F1432" s="1">
        <v>32</v>
      </c>
      <c r="G1432" s="1" t="s">
        <v>34</v>
      </c>
      <c r="H1432" s="1" t="s">
        <v>74</v>
      </c>
      <c r="I1432" s="1" t="s">
        <v>75</v>
      </c>
      <c r="J1432" s="1" t="s">
        <v>44</v>
      </c>
      <c r="K1432" s="1" t="s">
        <v>50</v>
      </c>
      <c r="L1432" s="1">
        <v>1</v>
      </c>
      <c r="M1432" s="13">
        <v>9518.8799999999992</v>
      </c>
      <c r="N1432" s="15">
        <v>0.28000000000000003</v>
      </c>
      <c r="O1432" s="13">
        <v>8848.99</v>
      </c>
      <c r="P1432" s="13">
        <v>3106.65</v>
      </c>
      <c r="Q1432" s="13">
        <v>60.55</v>
      </c>
      <c r="R1432" s="1" t="s">
        <v>78</v>
      </c>
      <c r="S1432" s="1">
        <v>5</v>
      </c>
      <c r="T1432" s="1" t="b">
        <v>0</v>
      </c>
      <c r="U1432" s="1" t="s">
        <v>137</v>
      </c>
      <c r="V1432" s="3">
        <v>6</v>
      </c>
    </row>
    <row r="1433" spans="1:22" x14ac:dyDescent="0.3">
      <c r="A1433" s="2" t="s">
        <v>3362</v>
      </c>
      <c r="B1433" s="10">
        <v>44613</v>
      </c>
      <c r="C1433" s="22">
        <v>44613</v>
      </c>
      <c r="D1433" s="1" t="s">
        <v>3363</v>
      </c>
      <c r="E1433" s="1" t="s">
        <v>1033</v>
      </c>
      <c r="F1433" s="1">
        <v>37</v>
      </c>
      <c r="G1433" s="1" t="s">
        <v>24</v>
      </c>
      <c r="H1433" s="1" t="s">
        <v>25</v>
      </c>
      <c r="I1433" s="1" t="s">
        <v>55</v>
      </c>
      <c r="J1433" s="1" t="s">
        <v>146</v>
      </c>
      <c r="K1433" s="1" t="s">
        <v>217</v>
      </c>
      <c r="L1433" s="1">
        <v>6</v>
      </c>
      <c r="M1433" s="13">
        <v>4023.89</v>
      </c>
      <c r="N1433" s="15">
        <v>0.1</v>
      </c>
      <c r="O1433" s="13">
        <v>22623.39</v>
      </c>
      <c r="P1433" s="13">
        <v>2450.1799999999998</v>
      </c>
      <c r="Q1433" s="13">
        <v>43.87</v>
      </c>
      <c r="R1433" s="1" t="s">
        <v>70</v>
      </c>
      <c r="S1433" s="1">
        <v>4</v>
      </c>
      <c r="T1433" s="1" t="b">
        <v>0</v>
      </c>
      <c r="U1433" s="1" t="s">
        <v>84</v>
      </c>
      <c r="V1433" s="3">
        <v>2</v>
      </c>
    </row>
    <row r="1434" spans="1:22" x14ac:dyDescent="0.3">
      <c r="A1434" s="2" t="s">
        <v>3364</v>
      </c>
      <c r="B1434" s="10">
        <v>45026</v>
      </c>
      <c r="C1434" s="22">
        <v>45026</v>
      </c>
      <c r="D1434" s="1" t="s">
        <v>3365</v>
      </c>
      <c r="E1434" s="1" t="s">
        <v>1638</v>
      </c>
      <c r="F1434" s="1">
        <v>21</v>
      </c>
      <c r="G1434" s="1" t="s">
        <v>24</v>
      </c>
      <c r="H1434" s="1" t="s">
        <v>35</v>
      </c>
      <c r="I1434" s="1" t="s">
        <v>36</v>
      </c>
      <c r="J1434" s="1" t="s">
        <v>146</v>
      </c>
      <c r="K1434" s="1" t="s">
        <v>217</v>
      </c>
      <c r="L1434" s="1">
        <v>10</v>
      </c>
      <c r="M1434" s="13">
        <v>12942.94</v>
      </c>
      <c r="N1434" s="15">
        <v>0.17</v>
      </c>
      <c r="O1434" s="13">
        <v>168816.96</v>
      </c>
      <c r="P1434" s="13">
        <v>44825.88</v>
      </c>
      <c r="Q1434" s="13">
        <v>57.55</v>
      </c>
      <c r="R1434" s="1" t="s">
        <v>64</v>
      </c>
      <c r="S1434" s="1">
        <v>3</v>
      </c>
      <c r="T1434" s="1" t="b">
        <v>0</v>
      </c>
      <c r="U1434" s="1" t="s">
        <v>137</v>
      </c>
      <c r="V1434" s="3">
        <v>6</v>
      </c>
    </row>
    <row r="1435" spans="1:22" x14ac:dyDescent="0.3">
      <c r="A1435" s="2" t="s">
        <v>3366</v>
      </c>
      <c r="B1435" s="10">
        <v>45246</v>
      </c>
      <c r="C1435" s="22">
        <v>45246</v>
      </c>
      <c r="D1435" s="1" t="s">
        <v>3367</v>
      </c>
      <c r="E1435" s="1" t="s">
        <v>3031</v>
      </c>
      <c r="F1435" s="1">
        <v>44</v>
      </c>
      <c r="G1435" s="1" t="s">
        <v>34</v>
      </c>
      <c r="H1435" s="1" t="s">
        <v>82</v>
      </c>
      <c r="I1435" s="1" t="s">
        <v>83</v>
      </c>
      <c r="J1435" s="1" t="s">
        <v>146</v>
      </c>
      <c r="K1435" s="1" t="s">
        <v>178</v>
      </c>
      <c r="L1435" s="1">
        <v>9</v>
      </c>
      <c r="M1435" s="13">
        <v>6566.64</v>
      </c>
      <c r="N1435" s="15">
        <v>0.11</v>
      </c>
      <c r="O1435" s="13">
        <v>50681.89</v>
      </c>
      <c r="P1435" s="13">
        <v>12859.41</v>
      </c>
      <c r="Q1435" s="13">
        <v>88.55</v>
      </c>
      <c r="R1435" s="1" t="s">
        <v>29</v>
      </c>
      <c r="S1435" s="1">
        <v>3</v>
      </c>
      <c r="T1435" s="1" t="b">
        <v>0</v>
      </c>
      <c r="U1435" s="1" t="s">
        <v>39</v>
      </c>
      <c r="V1435" s="3">
        <v>2</v>
      </c>
    </row>
    <row r="1436" spans="1:22" x14ac:dyDescent="0.3">
      <c r="A1436" s="2" t="s">
        <v>3368</v>
      </c>
      <c r="B1436" s="10">
        <v>43859</v>
      </c>
      <c r="C1436" s="22">
        <v>43859</v>
      </c>
      <c r="D1436" s="1" t="s">
        <v>3369</v>
      </c>
      <c r="E1436" s="1" t="s">
        <v>418</v>
      </c>
      <c r="F1436" s="1">
        <v>32</v>
      </c>
      <c r="G1436" s="1" t="s">
        <v>68</v>
      </c>
      <c r="H1436" s="1" t="s">
        <v>25</v>
      </c>
      <c r="I1436" s="1" t="s">
        <v>26</v>
      </c>
      <c r="J1436" s="1" t="s">
        <v>27</v>
      </c>
      <c r="K1436" s="1" t="s">
        <v>56</v>
      </c>
      <c r="L1436" s="1">
        <v>3</v>
      </c>
      <c r="M1436" s="13">
        <v>111.25</v>
      </c>
      <c r="N1436" s="15">
        <v>0.34</v>
      </c>
      <c r="O1436" s="13">
        <v>169.55</v>
      </c>
      <c r="P1436" s="13">
        <v>14.81</v>
      </c>
      <c r="Q1436" s="13">
        <v>67.44</v>
      </c>
      <c r="R1436" s="1" t="s">
        <v>57</v>
      </c>
      <c r="S1436" s="1">
        <v>4</v>
      </c>
      <c r="T1436" s="1" t="b">
        <v>1</v>
      </c>
      <c r="U1436" s="1" t="s">
        <v>30</v>
      </c>
      <c r="V1436" s="3">
        <v>2</v>
      </c>
    </row>
    <row r="1437" spans="1:22" x14ac:dyDescent="0.3">
      <c r="A1437" s="2" t="s">
        <v>3370</v>
      </c>
      <c r="B1437" s="10">
        <v>45444</v>
      </c>
      <c r="C1437" s="22">
        <v>45444</v>
      </c>
      <c r="D1437" s="1" t="s">
        <v>3371</v>
      </c>
      <c r="E1437" s="1" t="s">
        <v>1266</v>
      </c>
      <c r="F1437" s="1">
        <v>19</v>
      </c>
      <c r="G1437" s="1" t="s">
        <v>34</v>
      </c>
      <c r="H1437" s="1" t="s">
        <v>74</v>
      </c>
      <c r="I1437" s="1" t="s">
        <v>192</v>
      </c>
      <c r="J1437" s="1" t="s">
        <v>76</v>
      </c>
      <c r="K1437" s="1" t="s">
        <v>113</v>
      </c>
      <c r="L1437" s="1">
        <v>4</v>
      </c>
      <c r="M1437" s="13">
        <v>2911.82</v>
      </c>
      <c r="N1437" s="15">
        <v>0.11</v>
      </c>
      <c r="O1437" s="13">
        <v>17929.64</v>
      </c>
      <c r="P1437" s="13">
        <v>6962.57</v>
      </c>
      <c r="Q1437" s="13">
        <v>69.31</v>
      </c>
      <c r="R1437" s="1" t="s">
        <v>57</v>
      </c>
      <c r="S1437" s="1">
        <v>4</v>
      </c>
      <c r="T1437" s="1" t="b">
        <v>1</v>
      </c>
      <c r="U1437" s="1" t="s">
        <v>30</v>
      </c>
      <c r="V1437" s="3">
        <v>7</v>
      </c>
    </row>
    <row r="1438" spans="1:22" x14ac:dyDescent="0.3">
      <c r="A1438" s="2" t="s">
        <v>3372</v>
      </c>
      <c r="B1438" s="10">
        <v>43933</v>
      </c>
      <c r="C1438" s="22">
        <v>43933</v>
      </c>
      <c r="D1438" s="1" t="s">
        <v>3373</v>
      </c>
      <c r="E1438" s="1" t="s">
        <v>804</v>
      </c>
      <c r="F1438" s="1">
        <v>33</v>
      </c>
      <c r="G1438" s="1" t="s">
        <v>68</v>
      </c>
      <c r="H1438" s="1" t="s">
        <v>82</v>
      </c>
      <c r="I1438" s="1" t="s">
        <v>244</v>
      </c>
      <c r="J1438" s="1" t="s">
        <v>37</v>
      </c>
      <c r="K1438" s="1" t="s">
        <v>231</v>
      </c>
      <c r="L1438" s="1">
        <v>9</v>
      </c>
      <c r="M1438" s="13">
        <v>2037.1</v>
      </c>
      <c r="N1438" s="15">
        <v>0.35</v>
      </c>
      <c r="O1438" s="13">
        <v>12133.55</v>
      </c>
      <c r="P1438" s="13">
        <v>4748.4399999999996</v>
      </c>
      <c r="Q1438" s="13">
        <v>81.709999999999994</v>
      </c>
      <c r="R1438" s="1" t="s">
        <v>57</v>
      </c>
      <c r="S1438" s="1">
        <v>5</v>
      </c>
      <c r="T1438" s="1" t="b">
        <v>0</v>
      </c>
      <c r="U1438" s="1" t="s">
        <v>39</v>
      </c>
      <c r="V1438" s="3">
        <v>10</v>
      </c>
    </row>
    <row r="1439" spans="1:22" x14ac:dyDescent="0.3">
      <c r="A1439" s="2" t="s">
        <v>3374</v>
      </c>
      <c r="B1439" s="10">
        <v>44476</v>
      </c>
      <c r="C1439" s="22">
        <v>44476</v>
      </c>
      <c r="D1439" s="1" t="s">
        <v>3375</v>
      </c>
      <c r="E1439" s="1" t="s">
        <v>1246</v>
      </c>
      <c r="F1439" s="1">
        <v>37</v>
      </c>
      <c r="G1439" s="1" t="s">
        <v>24</v>
      </c>
      <c r="H1439" s="1" t="s">
        <v>25</v>
      </c>
      <c r="I1439" s="1" t="s">
        <v>26</v>
      </c>
      <c r="J1439" s="1" t="s">
        <v>62</v>
      </c>
      <c r="K1439" s="1" t="s">
        <v>283</v>
      </c>
      <c r="L1439" s="1">
        <v>10</v>
      </c>
      <c r="M1439" s="13">
        <v>786.45</v>
      </c>
      <c r="N1439" s="15">
        <v>7.0000000000000007E-2</v>
      </c>
      <c r="O1439" s="13">
        <v>6041.95</v>
      </c>
      <c r="P1439" s="13">
        <v>2564.65</v>
      </c>
      <c r="Q1439" s="13">
        <v>36.01</v>
      </c>
      <c r="R1439" s="1" t="s">
        <v>78</v>
      </c>
      <c r="S1439" s="1">
        <v>3</v>
      </c>
      <c r="T1439" s="1" t="b">
        <v>0</v>
      </c>
      <c r="U1439" s="1" t="s">
        <v>39</v>
      </c>
      <c r="V1439" s="3">
        <v>1</v>
      </c>
    </row>
    <row r="1440" spans="1:22" x14ac:dyDescent="0.3">
      <c r="A1440" s="2" t="s">
        <v>3376</v>
      </c>
      <c r="B1440" s="10">
        <v>44622</v>
      </c>
      <c r="C1440" s="22">
        <v>44622</v>
      </c>
      <c r="D1440" s="1" t="s">
        <v>3377</v>
      </c>
      <c r="E1440" s="1" t="s">
        <v>983</v>
      </c>
      <c r="F1440" s="1">
        <v>26</v>
      </c>
      <c r="G1440" s="1" t="s">
        <v>434</v>
      </c>
      <c r="H1440" s="1" t="s">
        <v>25</v>
      </c>
      <c r="I1440" s="1" t="s">
        <v>69</v>
      </c>
      <c r="J1440" s="1" t="s">
        <v>44</v>
      </c>
      <c r="K1440" s="1" t="s">
        <v>45</v>
      </c>
      <c r="L1440" s="1">
        <v>4</v>
      </c>
      <c r="M1440" s="13">
        <v>9797.48</v>
      </c>
      <c r="N1440" s="15">
        <v>0.19</v>
      </c>
      <c r="O1440" s="13">
        <v>35253.800000000003</v>
      </c>
      <c r="P1440" s="13">
        <v>6234.5</v>
      </c>
      <c r="Q1440" s="13">
        <v>54.57</v>
      </c>
      <c r="R1440" s="1" t="s">
        <v>70</v>
      </c>
      <c r="S1440" s="1">
        <v>4</v>
      </c>
      <c r="T1440" s="1" t="b">
        <v>0</v>
      </c>
      <c r="U1440" s="1" t="s">
        <v>39</v>
      </c>
      <c r="V1440" s="3">
        <v>10</v>
      </c>
    </row>
    <row r="1441" spans="1:22" x14ac:dyDescent="0.3">
      <c r="A1441" s="2" t="s">
        <v>3378</v>
      </c>
      <c r="B1441" s="10">
        <v>43944</v>
      </c>
      <c r="C1441" s="22">
        <v>43944</v>
      </c>
      <c r="D1441" s="1" t="s">
        <v>3379</v>
      </c>
      <c r="E1441" s="1" t="s">
        <v>973</v>
      </c>
      <c r="F1441" s="1">
        <v>53</v>
      </c>
      <c r="G1441" s="1" t="s">
        <v>24</v>
      </c>
      <c r="H1441" s="1" t="s">
        <v>35</v>
      </c>
      <c r="I1441" s="1" t="s">
        <v>36</v>
      </c>
      <c r="J1441" s="1" t="s">
        <v>27</v>
      </c>
      <c r="K1441" s="1" t="s">
        <v>56</v>
      </c>
      <c r="L1441" s="1">
        <v>10</v>
      </c>
      <c r="M1441" s="13">
        <v>396.88</v>
      </c>
      <c r="N1441" s="15">
        <v>0.2</v>
      </c>
      <c r="O1441" s="13">
        <v>3258.96</v>
      </c>
      <c r="P1441" s="13">
        <v>349.2</v>
      </c>
      <c r="Q1441" s="13">
        <v>85.52</v>
      </c>
      <c r="R1441" s="1" t="s">
        <v>51</v>
      </c>
      <c r="S1441" s="1">
        <v>4</v>
      </c>
      <c r="T1441" s="1" t="b">
        <v>0</v>
      </c>
      <c r="U1441" s="1" t="s">
        <v>39</v>
      </c>
      <c r="V1441" s="3">
        <v>8</v>
      </c>
    </row>
    <row r="1442" spans="1:22" x14ac:dyDescent="0.3">
      <c r="A1442" s="2" t="s">
        <v>3380</v>
      </c>
      <c r="B1442" s="10">
        <v>44866</v>
      </c>
      <c r="C1442" s="22">
        <v>44866</v>
      </c>
      <c r="D1442" s="1" t="s">
        <v>3381</v>
      </c>
      <c r="E1442" s="1" t="s">
        <v>2481</v>
      </c>
      <c r="F1442" s="1">
        <v>32</v>
      </c>
      <c r="G1442" s="1" t="s">
        <v>24</v>
      </c>
      <c r="H1442" s="1" t="s">
        <v>35</v>
      </c>
      <c r="I1442" s="1" t="s">
        <v>106</v>
      </c>
      <c r="J1442" s="1" t="s">
        <v>27</v>
      </c>
      <c r="K1442" s="1" t="s">
        <v>28</v>
      </c>
      <c r="L1442" s="1">
        <v>3</v>
      </c>
      <c r="M1442" s="13">
        <v>391.44</v>
      </c>
      <c r="N1442" s="15">
        <v>0.02</v>
      </c>
      <c r="O1442" s="13">
        <v>842.74</v>
      </c>
      <c r="P1442" s="13">
        <v>75.650000000000006</v>
      </c>
      <c r="Q1442" s="13">
        <v>67.459999999999994</v>
      </c>
      <c r="R1442" s="1" t="s">
        <v>51</v>
      </c>
      <c r="S1442" s="1">
        <v>5</v>
      </c>
      <c r="T1442" s="1" t="b">
        <v>0</v>
      </c>
      <c r="U1442" s="1" t="s">
        <v>39</v>
      </c>
      <c r="V1442" s="3">
        <v>2</v>
      </c>
    </row>
    <row r="1443" spans="1:22" x14ac:dyDescent="0.3">
      <c r="A1443" s="2" t="s">
        <v>3382</v>
      </c>
      <c r="B1443" s="10">
        <v>45373</v>
      </c>
      <c r="C1443" s="22">
        <v>45373</v>
      </c>
      <c r="D1443" s="1" t="s">
        <v>3383</v>
      </c>
      <c r="E1443" s="1" t="s">
        <v>384</v>
      </c>
      <c r="F1443" s="1">
        <v>43</v>
      </c>
      <c r="G1443" s="1" t="s">
        <v>34</v>
      </c>
      <c r="H1443" s="1" t="s">
        <v>25</v>
      </c>
      <c r="I1443" s="1" t="s">
        <v>26</v>
      </c>
      <c r="J1443" s="1" t="s">
        <v>62</v>
      </c>
      <c r="K1443" s="1" t="s">
        <v>63</v>
      </c>
      <c r="L1443" s="1">
        <v>3</v>
      </c>
      <c r="M1443" s="13">
        <v>520.52</v>
      </c>
      <c r="N1443" s="15">
        <v>0.27</v>
      </c>
      <c r="O1443" s="13">
        <v>1527.32</v>
      </c>
      <c r="P1443" s="13">
        <v>542.48</v>
      </c>
      <c r="Q1443" s="13">
        <v>45.42</v>
      </c>
      <c r="R1443" s="1" t="s">
        <v>78</v>
      </c>
      <c r="S1443" s="1">
        <v>1</v>
      </c>
      <c r="T1443" s="1" t="b">
        <v>0</v>
      </c>
      <c r="U1443" s="1" t="s">
        <v>197</v>
      </c>
      <c r="V1443" s="3">
        <v>5</v>
      </c>
    </row>
    <row r="1444" spans="1:22" x14ac:dyDescent="0.3">
      <c r="A1444" s="2" t="s">
        <v>3384</v>
      </c>
      <c r="B1444" s="10">
        <v>44212</v>
      </c>
      <c r="C1444" s="22">
        <v>44212</v>
      </c>
      <c r="D1444" s="1" t="s">
        <v>3385</v>
      </c>
      <c r="E1444" s="1" t="s">
        <v>931</v>
      </c>
      <c r="F1444" s="1">
        <v>34</v>
      </c>
      <c r="G1444" s="1" t="s">
        <v>24</v>
      </c>
      <c r="H1444" s="1" t="s">
        <v>111</v>
      </c>
      <c r="I1444" s="1" t="s">
        <v>112</v>
      </c>
      <c r="J1444" s="1" t="s">
        <v>76</v>
      </c>
      <c r="K1444" s="1" t="s">
        <v>122</v>
      </c>
      <c r="L1444" s="1">
        <v>8</v>
      </c>
      <c r="M1444" s="13">
        <v>2520.61</v>
      </c>
      <c r="N1444" s="15">
        <v>0.21</v>
      </c>
      <c r="O1444" s="13">
        <v>16226.61</v>
      </c>
      <c r="P1444" s="13">
        <v>4402.1499999999996</v>
      </c>
      <c r="Q1444" s="13">
        <v>66.22</v>
      </c>
      <c r="R1444" s="1" t="s">
        <v>70</v>
      </c>
      <c r="S1444" s="1">
        <v>2</v>
      </c>
      <c r="T1444" s="1" t="b">
        <v>1</v>
      </c>
      <c r="U1444" s="1" t="s">
        <v>30</v>
      </c>
      <c r="V1444" s="3">
        <v>5</v>
      </c>
    </row>
    <row r="1445" spans="1:22" x14ac:dyDescent="0.3">
      <c r="A1445" s="2" t="s">
        <v>3386</v>
      </c>
      <c r="B1445" s="10">
        <v>44810</v>
      </c>
      <c r="C1445" s="22">
        <v>44810</v>
      </c>
      <c r="D1445" s="1" t="s">
        <v>3387</v>
      </c>
      <c r="E1445" s="1" t="s">
        <v>729</v>
      </c>
      <c r="F1445" s="1">
        <v>25</v>
      </c>
      <c r="G1445" s="1" t="s">
        <v>34</v>
      </c>
      <c r="H1445" s="1" t="s">
        <v>74</v>
      </c>
      <c r="I1445" s="1" t="s">
        <v>75</v>
      </c>
      <c r="J1445" s="1" t="s">
        <v>62</v>
      </c>
      <c r="K1445" s="1" t="s">
        <v>63</v>
      </c>
      <c r="L1445" s="1">
        <v>1</v>
      </c>
      <c r="M1445" s="13">
        <v>834.25</v>
      </c>
      <c r="N1445" s="15">
        <v>0.18</v>
      </c>
      <c r="O1445" s="13">
        <v>828.78</v>
      </c>
      <c r="P1445" s="13">
        <v>257.11</v>
      </c>
      <c r="Q1445" s="13">
        <v>40.700000000000003</v>
      </c>
      <c r="R1445" s="1" t="s">
        <v>51</v>
      </c>
      <c r="S1445" s="1">
        <v>1</v>
      </c>
      <c r="T1445" s="1" t="b">
        <v>0</v>
      </c>
      <c r="U1445" s="1" t="s">
        <v>84</v>
      </c>
      <c r="V1445" s="3">
        <v>2</v>
      </c>
    </row>
    <row r="1446" spans="1:22" x14ac:dyDescent="0.3">
      <c r="A1446" s="2" t="s">
        <v>3388</v>
      </c>
      <c r="B1446" s="10">
        <v>45646</v>
      </c>
      <c r="C1446" s="22">
        <v>45646</v>
      </c>
      <c r="D1446" s="1" t="s">
        <v>3389</v>
      </c>
      <c r="E1446" s="1" t="s">
        <v>660</v>
      </c>
      <c r="F1446" s="1">
        <v>48</v>
      </c>
      <c r="G1446" s="1" t="s">
        <v>24</v>
      </c>
      <c r="H1446" s="1" t="s">
        <v>74</v>
      </c>
      <c r="I1446" s="1" t="s">
        <v>101</v>
      </c>
      <c r="J1446" s="1" t="s">
        <v>37</v>
      </c>
      <c r="K1446" s="1" t="s">
        <v>102</v>
      </c>
      <c r="L1446" s="1">
        <v>5</v>
      </c>
      <c r="M1446" s="13">
        <v>1283.6099999999999</v>
      </c>
      <c r="N1446" s="15">
        <v>0.36</v>
      </c>
      <c r="O1446" s="13">
        <v>3770.64</v>
      </c>
      <c r="P1446" s="13">
        <v>2025.41</v>
      </c>
      <c r="Q1446" s="13">
        <v>50.14</v>
      </c>
      <c r="R1446" s="1" t="s">
        <v>70</v>
      </c>
      <c r="S1446" s="1">
        <v>4</v>
      </c>
      <c r="T1446" s="1" t="b">
        <v>0</v>
      </c>
      <c r="U1446" s="1" t="s">
        <v>39</v>
      </c>
      <c r="V1446" s="3">
        <v>8</v>
      </c>
    </row>
    <row r="1447" spans="1:22" x14ac:dyDescent="0.3">
      <c r="A1447" s="2" t="s">
        <v>3390</v>
      </c>
      <c r="B1447" s="10">
        <v>44319</v>
      </c>
      <c r="C1447" s="22">
        <v>44319</v>
      </c>
      <c r="D1447" s="1" t="s">
        <v>3391</v>
      </c>
      <c r="E1447" s="1" t="s">
        <v>1865</v>
      </c>
      <c r="F1447" s="1">
        <v>27</v>
      </c>
      <c r="G1447" s="1" t="s">
        <v>68</v>
      </c>
      <c r="H1447" s="1" t="s">
        <v>35</v>
      </c>
      <c r="I1447" s="1" t="s">
        <v>36</v>
      </c>
      <c r="J1447" s="1" t="s">
        <v>76</v>
      </c>
      <c r="K1447" s="1" t="s">
        <v>77</v>
      </c>
      <c r="L1447" s="1">
        <v>4</v>
      </c>
      <c r="M1447" s="13">
        <v>2657.71</v>
      </c>
      <c r="N1447" s="15">
        <v>0.06</v>
      </c>
      <c r="O1447" s="13">
        <v>13392.95</v>
      </c>
      <c r="P1447" s="13">
        <v>6034.89</v>
      </c>
      <c r="Q1447" s="13">
        <v>21.27</v>
      </c>
      <c r="R1447" s="1" t="s">
        <v>57</v>
      </c>
      <c r="S1447" s="1">
        <v>5</v>
      </c>
      <c r="T1447" s="1" t="b">
        <v>0</v>
      </c>
      <c r="U1447" s="1" t="s">
        <v>39</v>
      </c>
      <c r="V1447" s="3">
        <v>9</v>
      </c>
    </row>
    <row r="1448" spans="1:22" x14ac:dyDescent="0.3">
      <c r="A1448" s="2" t="s">
        <v>3392</v>
      </c>
      <c r="B1448" s="10">
        <v>43895</v>
      </c>
      <c r="C1448" s="22">
        <v>43895</v>
      </c>
      <c r="D1448" s="1" t="s">
        <v>3393</v>
      </c>
      <c r="E1448" s="1" t="s">
        <v>460</v>
      </c>
      <c r="F1448" s="1">
        <v>29</v>
      </c>
      <c r="G1448" s="1" t="s">
        <v>68</v>
      </c>
      <c r="H1448" s="1" t="s">
        <v>35</v>
      </c>
      <c r="I1448" s="1" t="s">
        <v>36</v>
      </c>
      <c r="J1448" s="1" t="s">
        <v>27</v>
      </c>
      <c r="K1448" s="1" t="s">
        <v>430</v>
      </c>
      <c r="L1448" s="1">
        <v>7</v>
      </c>
      <c r="M1448" s="13">
        <v>363.04</v>
      </c>
      <c r="N1448" s="15">
        <v>0.17</v>
      </c>
      <c r="O1448" s="13">
        <v>1919.38</v>
      </c>
      <c r="P1448" s="13">
        <v>104.66</v>
      </c>
      <c r="Q1448" s="13">
        <v>54.23</v>
      </c>
      <c r="R1448" s="1" t="s">
        <v>51</v>
      </c>
      <c r="S1448" s="1">
        <v>5</v>
      </c>
      <c r="T1448" s="1" t="b">
        <v>0</v>
      </c>
      <c r="U1448" s="1" t="s">
        <v>39</v>
      </c>
      <c r="V1448" s="3">
        <v>5</v>
      </c>
    </row>
    <row r="1449" spans="1:22" x14ac:dyDescent="0.3">
      <c r="A1449" s="2" t="s">
        <v>3394</v>
      </c>
      <c r="B1449" s="10">
        <v>45061</v>
      </c>
      <c r="C1449" s="22">
        <v>45061</v>
      </c>
      <c r="D1449" s="1" t="s">
        <v>3395</v>
      </c>
      <c r="E1449" s="1" t="s">
        <v>1159</v>
      </c>
      <c r="F1449" s="1">
        <v>36</v>
      </c>
      <c r="G1449" s="1" t="s">
        <v>34</v>
      </c>
      <c r="H1449" s="1" t="s">
        <v>111</v>
      </c>
      <c r="I1449" s="1" t="s">
        <v>330</v>
      </c>
      <c r="J1449" s="1" t="s">
        <v>27</v>
      </c>
      <c r="K1449" s="1" t="s">
        <v>97</v>
      </c>
      <c r="L1449" s="1">
        <v>2</v>
      </c>
      <c r="M1449" s="13">
        <v>399.16</v>
      </c>
      <c r="N1449" s="15">
        <v>0.34</v>
      </c>
      <c r="O1449" s="13">
        <v>850.9</v>
      </c>
      <c r="P1449" s="13">
        <v>55.39</v>
      </c>
      <c r="Q1449" s="13">
        <v>50.2</v>
      </c>
      <c r="R1449" s="1" t="s">
        <v>78</v>
      </c>
      <c r="S1449" s="1">
        <v>5</v>
      </c>
      <c r="T1449" s="1" t="b">
        <v>0</v>
      </c>
      <c r="U1449" s="1" t="s">
        <v>137</v>
      </c>
      <c r="V1449" s="3">
        <v>1</v>
      </c>
    </row>
    <row r="1450" spans="1:22" x14ac:dyDescent="0.3">
      <c r="A1450" s="2" t="s">
        <v>3396</v>
      </c>
      <c r="B1450" s="10">
        <v>45535</v>
      </c>
      <c r="C1450" s="22">
        <v>45535</v>
      </c>
      <c r="D1450" s="1" t="s">
        <v>3397</v>
      </c>
      <c r="E1450" s="1" t="s">
        <v>1001</v>
      </c>
      <c r="F1450" s="1">
        <v>6</v>
      </c>
      <c r="G1450" s="1" t="s">
        <v>24</v>
      </c>
      <c r="H1450" s="1" t="s">
        <v>111</v>
      </c>
      <c r="I1450" s="1" t="s">
        <v>121</v>
      </c>
      <c r="J1450" s="1" t="s">
        <v>27</v>
      </c>
      <c r="K1450" s="1" t="s">
        <v>97</v>
      </c>
      <c r="L1450" s="1">
        <v>1</v>
      </c>
      <c r="M1450" s="13">
        <v>231.86</v>
      </c>
      <c r="N1450" s="15">
        <v>0.05</v>
      </c>
      <c r="O1450" s="13">
        <v>371.3</v>
      </c>
      <c r="P1450" s="13">
        <v>34.56</v>
      </c>
      <c r="Q1450" s="13">
        <v>71.709999999999994</v>
      </c>
      <c r="R1450" s="1" t="s">
        <v>64</v>
      </c>
      <c r="S1450" s="1">
        <v>2</v>
      </c>
      <c r="T1450" s="1" t="b">
        <v>0</v>
      </c>
      <c r="U1450" s="1" t="s">
        <v>137</v>
      </c>
      <c r="V1450" s="3">
        <v>7</v>
      </c>
    </row>
    <row r="1451" spans="1:22" x14ac:dyDescent="0.3">
      <c r="A1451" s="2" t="s">
        <v>3398</v>
      </c>
      <c r="B1451" s="10">
        <v>45546</v>
      </c>
      <c r="C1451" s="22">
        <v>45546</v>
      </c>
      <c r="D1451" s="1" t="s">
        <v>3399</v>
      </c>
      <c r="E1451" s="1" t="s">
        <v>92</v>
      </c>
      <c r="F1451" s="1">
        <v>33</v>
      </c>
      <c r="G1451" s="1" t="s">
        <v>68</v>
      </c>
      <c r="H1451" s="1" t="s">
        <v>111</v>
      </c>
      <c r="I1451" s="1" t="s">
        <v>121</v>
      </c>
      <c r="J1451" s="1" t="s">
        <v>37</v>
      </c>
      <c r="K1451" s="1" t="s">
        <v>38</v>
      </c>
      <c r="L1451" s="1">
        <v>5</v>
      </c>
      <c r="M1451" s="13">
        <v>1914.01</v>
      </c>
      <c r="N1451" s="15">
        <v>0.13</v>
      </c>
      <c r="O1451" s="13">
        <v>2301.14</v>
      </c>
      <c r="P1451" s="13">
        <v>974.62</v>
      </c>
      <c r="Q1451" s="13">
        <v>78.05</v>
      </c>
      <c r="R1451" s="1" t="s">
        <v>78</v>
      </c>
      <c r="S1451" s="1">
        <v>1</v>
      </c>
      <c r="T1451" s="1" t="b">
        <v>1</v>
      </c>
      <c r="U1451" s="1" t="s">
        <v>30</v>
      </c>
      <c r="V1451" s="3">
        <v>2</v>
      </c>
    </row>
    <row r="1452" spans="1:22" x14ac:dyDescent="0.3">
      <c r="A1452" s="2" t="s">
        <v>3400</v>
      </c>
      <c r="B1452" s="10">
        <v>44891</v>
      </c>
      <c r="C1452" s="22">
        <v>44891</v>
      </c>
      <c r="D1452" s="1" t="s">
        <v>3401</v>
      </c>
      <c r="E1452" s="1" t="s">
        <v>3402</v>
      </c>
      <c r="F1452" s="1">
        <v>62</v>
      </c>
      <c r="G1452" s="1" t="s">
        <v>68</v>
      </c>
      <c r="H1452" s="1" t="s">
        <v>82</v>
      </c>
      <c r="I1452" s="1" t="s">
        <v>126</v>
      </c>
      <c r="J1452" s="1" t="s">
        <v>76</v>
      </c>
      <c r="K1452" s="1" t="s">
        <v>89</v>
      </c>
      <c r="L1452" s="1">
        <v>6</v>
      </c>
      <c r="M1452" s="13">
        <v>2854.71</v>
      </c>
      <c r="N1452" s="15">
        <v>0.08</v>
      </c>
      <c r="O1452" s="13">
        <v>14003.32</v>
      </c>
      <c r="P1452" s="13">
        <v>2778.35</v>
      </c>
      <c r="Q1452" s="13">
        <v>104.98</v>
      </c>
      <c r="R1452" s="1" t="s">
        <v>70</v>
      </c>
      <c r="S1452" s="1">
        <v>3</v>
      </c>
      <c r="T1452" s="1" t="b">
        <v>0</v>
      </c>
      <c r="U1452" s="1" t="s">
        <v>39</v>
      </c>
      <c r="V1452" s="3">
        <v>7</v>
      </c>
    </row>
    <row r="1453" spans="1:22" x14ac:dyDescent="0.3">
      <c r="A1453" s="2" t="s">
        <v>3403</v>
      </c>
      <c r="B1453" s="10">
        <v>44606</v>
      </c>
      <c r="C1453" s="22">
        <v>44606</v>
      </c>
      <c r="D1453" s="1" t="s">
        <v>3404</v>
      </c>
      <c r="E1453" s="1" t="s">
        <v>943</v>
      </c>
      <c r="F1453" s="1">
        <v>34</v>
      </c>
      <c r="G1453" s="1" t="s">
        <v>24</v>
      </c>
      <c r="H1453" s="1" t="s">
        <v>74</v>
      </c>
      <c r="I1453" s="1" t="s">
        <v>101</v>
      </c>
      <c r="J1453" s="1" t="s">
        <v>62</v>
      </c>
      <c r="K1453" s="1" t="s">
        <v>570</v>
      </c>
      <c r="L1453" s="1">
        <v>2</v>
      </c>
      <c r="M1453" s="13">
        <v>297.05</v>
      </c>
      <c r="N1453" s="15">
        <v>0.19</v>
      </c>
      <c r="O1453" s="13">
        <v>431.92</v>
      </c>
      <c r="P1453" s="13">
        <v>187.79</v>
      </c>
      <c r="Q1453" s="13">
        <v>46.2</v>
      </c>
      <c r="R1453" s="1" t="s">
        <v>29</v>
      </c>
      <c r="S1453" s="1">
        <v>3</v>
      </c>
      <c r="T1453" s="1" t="b">
        <v>0</v>
      </c>
      <c r="U1453" s="1" t="s">
        <v>39</v>
      </c>
      <c r="V1453" s="3">
        <v>9</v>
      </c>
    </row>
    <row r="1454" spans="1:22" x14ac:dyDescent="0.3">
      <c r="A1454" s="2" t="s">
        <v>3405</v>
      </c>
      <c r="B1454" s="10">
        <v>45470</v>
      </c>
      <c r="C1454" s="22">
        <v>45470</v>
      </c>
      <c r="D1454" s="1" t="s">
        <v>3406</v>
      </c>
      <c r="E1454" s="1" t="s">
        <v>1436</v>
      </c>
      <c r="F1454" s="1">
        <v>30</v>
      </c>
      <c r="G1454" s="1" t="s">
        <v>24</v>
      </c>
      <c r="H1454" s="1" t="s">
        <v>82</v>
      </c>
      <c r="I1454" s="1" t="s">
        <v>244</v>
      </c>
      <c r="J1454" s="1" t="s">
        <v>76</v>
      </c>
      <c r="K1454" s="1" t="s">
        <v>207</v>
      </c>
      <c r="L1454" s="1">
        <v>5</v>
      </c>
      <c r="M1454" s="13">
        <v>3154.09</v>
      </c>
      <c r="N1454" s="15">
        <v>0.01</v>
      </c>
      <c r="O1454" s="13">
        <v>4594.66</v>
      </c>
      <c r="P1454" s="13">
        <v>1520</v>
      </c>
      <c r="Q1454" s="13">
        <v>69.59</v>
      </c>
      <c r="R1454" s="1" t="s">
        <v>78</v>
      </c>
      <c r="S1454" s="1">
        <v>3</v>
      </c>
      <c r="T1454" s="1" t="b">
        <v>0</v>
      </c>
      <c r="U1454" s="1" t="s">
        <v>39</v>
      </c>
      <c r="V1454" s="3">
        <v>9</v>
      </c>
    </row>
    <row r="1455" spans="1:22" x14ac:dyDescent="0.3">
      <c r="A1455" s="2" t="s">
        <v>3407</v>
      </c>
      <c r="B1455" s="10">
        <v>45231</v>
      </c>
      <c r="C1455" s="22">
        <v>45231</v>
      </c>
      <c r="D1455" s="1" t="s">
        <v>3408</v>
      </c>
      <c r="E1455" s="1" t="s">
        <v>1627</v>
      </c>
      <c r="F1455" s="1">
        <v>38</v>
      </c>
      <c r="G1455" s="1" t="s">
        <v>68</v>
      </c>
      <c r="H1455" s="1" t="s">
        <v>25</v>
      </c>
      <c r="I1455" s="1" t="s">
        <v>26</v>
      </c>
      <c r="J1455" s="1" t="s">
        <v>44</v>
      </c>
      <c r="K1455" s="1" t="s">
        <v>50</v>
      </c>
      <c r="L1455" s="1">
        <v>1</v>
      </c>
      <c r="M1455" s="13">
        <v>25780.61</v>
      </c>
      <c r="N1455" s="15">
        <v>0.21</v>
      </c>
      <c r="O1455" s="13">
        <v>22272.46</v>
      </c>
      <c r="P1455" s="13">
        <v>8421.08</v>
      </c>
      <c r="Q1455" s="13">
        <v>59.29</v>
      </c>
      <c r="R1455" s="1" t="s">
        <v>57</v>
      </c>
      <c r="S1455" s="1">
        <v>4</v>
      </c>
      <c r="T1455" s="1" t="b">
        <v>0</v>
      </c>
      <c r="U1455" s="1" t="s">
        <v>39</v>
      </c>
      <c r="V1455" s="3">
        <v>3</v>
      </c>
    </row>
    <row r="1456" spans="1:22" x14ac:dyDescent="0.3">
      <c r="A1456" s="2" t="s">
        <v>3409</v>
      </c>
      <c r="B1456" s="10">
        <v>43895</v>
      </c>
      <c r="C1456" s="22">
        <v>43895</v>
      </c>
      <c r="D1456" s="1" t="s">
        <v>3410</v>
      </c>
      <c r="E1456" s="1" t="s">
        <v>1285</v>
      </c>
      <c r="F1456" s="1">
        <v>42</v>
      </c>
      <c r="G1456" s="1" t="s">
        <v>34</v>
      </c>
      <c r="H1456" s="1" t="s">
        <v>111</v>
      </c>
      <c r="I1456" s="1" t="s">
        <v>121</v>
      </c>
      <c r="J1456" s="1" t="s">
        <v>37</v>
      </c>
      <c r="K1456" s="1" t="s">
        <v>38</v>
      </c>
      <c r="L1456" s="1">
        <v>6</v>
      </c>
      <c r="M1456" s="13">
        <v>1391.35</v>
      </c>
      <c r="N1456" s="15">
        <v>0.11</v>
      </c>
      <c r="O1456" s="13">
        <v>7920.74</v>
      </c>
      <c r="P1456" s="13">
        <v>3630.28</v>
      </c>
      <c r="Q1456" s="13">
        <v>103.09</v>
      </c>
      <c r="R1456" s="1" t="s">
        <v>70</v>
      </c>
      <c r="S1456" s="1">
        <v>5</v>
      </c>
      <c r="T1456" s="1" t="b">
        <v>1</v>
      </c>
      <c r="U1456" s="1" t="s">
        <v>30</v>
      </c>
      <c r="V1456" s="3">
        <v>1</v>
      </c>
    </row>
    <row r="1457" spans="1:22" x14ac:dyDescent="0.3">
      <c r="A1457" s="2" t="s">
        <v>3411</v>
      </c>
      <c r="B1457" s="10">
        <v>45317</v>
      </c>
      <c r="C1457" s="22">
        <v>45317</v>
      </c>
      <c r="D1457" s="1" t="s">
        <v>3412</v>
      </c>
      <c r="E1457" s="1" t="s">
        <v>1541</v>
      </c>
      <c r="F1457" s="1">
        <v>36</v>
      </c>
      <c r="G1457" s="1" t="s">
        <v>68</v>
      </c>
      <c r="H1457" s="1" t="s">
        <v>35</v>
      </c>
      <c r="I1457" s="1" t="s">
        <v>49</v>
      </c>
      <c r="J1457" s="1" t="s">
        <v>37</v>
      </c>
      <c r="K1457" s="1" t="s">
        <v>38</v>
      </c>
      <c r="L1457" s="1">
        <v>10</v>
      </c>
      <c r="M1457" s="13">
        <v>1843.94</v>
      </c>
      <c r="N1457" s="15">
        <v>0.31</v>
      </c>
      <c r="O1457" s="13">
        <v>13547.2</v>
      </c>
      <c r="P1457" s="13">
        <v>6188.12</v>
      </c>
      <c r="Q1457" s="13">
        <v>63.02</v>
      </c>
      <c r="R1457" s="1" t="s">
        <v>51</v>
      </c>
      <c r="S1457" s="1">
        <v>3</v>
      </c>
      <c r="T1457" s="1" t="b">
        <v>0</v>
      </c>
      <c r="U1457" s="1" t="s">
        <v>39</v>
      </c>
      <c r="V1457" s="3">
        <v>10</v>
      </c>
    </row>
    <row r="1458" spans="1:22" x14ac:dyDescent="0.3">
      <c r="A1458" s="2" t="s">
        <v>3413</v>
      </c>
      <c r="B1458" s="10">
        <v>45520</v>
      </c>
      <c r="C1458" s="22">
        <v>45520</v>
      </c>
      <c r="D1458" s="1" t="s">
        <v>3414</v>
      </c>
      <c r="E1458" s="1" t="s">
        <v>433</v>
      </c>
      <c r="F1458" s="1">
        <v>44</v>
      </c>
      <c r="G1458" s="1" t="s">
        <v>24</v>
      </c>
      <c r="H1458" s="1" t="s">
        <v>35</v>
      </c>
      <c r="I1458" s="1" t="s">
        <v>36</v>
      </c>
      <c r="J1458" s="1" t="s">
        <v>127</v>
      </c>
      <c r="K1458" s="1" t="s">
        <v>128</v>
      </c>
      <c r="L1458" s="1">
        <v>10</v>
      </c>
      <c r="M1458" s="13">
        <v>70999.960000000006</v>
      </c>
      <c r="N1458" s="15">
        <v>0.37</v>
      </c>
      <c r="O1458" s="13">
        <v>619186.18000000005</v>
      </c>
      <c r="P1458" s="13">
        <v>80911.12</v>
      </c>
      <c r="Q1458" s="13">
        <v>58.51</v>
      </c>
      <c r="R1458" s="1" t="s">
        <v>51</v>
      </c>
      <c r="S1458" s="1">
        <v>5</v>
      </c>
      <c r="T1458" s="1" t="b">
        <v>0</v>
      </c>
      <c r="U1458" s="1" t="s">
        <v>137</v>
      </c>
      <c r="V1458" s="3">
        <v>6</v>
      </c>
    </row>
    <row r="1459" spans="1:22" x14ac:dyDescent="0.3">
      <c r="A1459" s="2" t="s">
        <v>3415</v>
      </c>
      <c r="B1459" s="10">
        <v>44476</v>
      </c>
      <c r="C1459" s="22">
        <v>44476</v>
      </c>
      <c r="D1459" s="1" t="s">
        <v>3416</v>
      </c>
      <c r="E1459" s="1" t="s">
        <v>423</v>
      </c>
      <c r="F1459" s="1">
        <v>22</v>
      </c>
      <c r="G1459" s="1" t="s">
        <v>34</v>
      </c>
      <c r="H1459" s="1" t="s">
        <v>111</v>
      </c>
      <c r="I1459" s="1" t="s">
        <v>141</v>
      </c>
      <c r="J1459" s="1" t="s">
        <v>37</v>
      </c>
      <c r="K1459" s="1" t="s">
        <v>102</v>
      </c>
      <c r="L1459" s="1">
        <v>2</v>
      </c>
      <c r="M1459" s="13">
        <v>785.12</v>
      </c>
      <c r="N1459" s="15">
        <v>0.23</v>
      </c>
      <c r="O1459" s="13">
        <v>1096.54</v>
      </c>
      <c r="P1459" s="13">
        <v>569.29999999999995</v>
      </c>
      <c r="Q1459" s="13">
        <v>95.2</v>
      </c>
      <c r="R1459" s="1" t="s">
        <v>70</v>
      </c>
      <c r="S1459" s="1">
        <v>4</v>
      </c>
      <c r="T1459" s="1" t="b">
        <v>1</v>
      </c>
      <c r="U1459" s="1" t="s">
        <v>30</v>
      </c>
      <c r="V1459" s="3">
        <v>10</v>
      </c>
    </row>
    <row r="1460" spans="1:22" x14ac:dyDescent="0.3">
      <c r="A1460" s="2" t="s">
        <v>3417</v>
      </c>
      <c r="B1460" s="10">
        <v>44460</v>
      </c>
      <c r="C1460" s="22">
        <v>44460</v>
      </c>
      <c r="D1460" s="1" t="s">
        <v>3418</v>
      </c>
      <c r="E1460" s="1" t="s">
        <v>338</v>
      </c>
      <c r="F1460" s="1">
        <v>14</v>
      </c>
      <c r="G1460" s="1" t="s">
        <v>34</v>
      </c>
      <c r="H1460" s="1" t="s">
        <v>35</v>
      </c>
      <c r="I1460" s="1" t="s">
        <v>106</v>
      </c>
      <c r="J1460" s="1" t="s">
        <v>44</v>
      </c>
      <c r="K1460" s="1" t="s">
        <v>45</v>
      </c>
      <c r="L1460" s="1">
        <v>9</v>
      </c>
      <c r="M1460" s="13">
        <v>15802.88</v>
      </c>
      <c r="N1460" s="15">
        <v>0.01</v>
      </c>
      <c r="O1460" s="13">
        <v>165325.69</v>
      </c>
      <c r="P1460" s="13">
        <v>46953.51</v>
      </c>
      <c r="Q1460" s="13">
        <v>64.989999999999995</v>
      </c>
      <c r="R1460" s="1" t="s">
        <v>29</v>
      </c>
      <c r="S1460" s="1">
        <v>1</v>
      </c>
      <c r="T1460" s="1" t="b">
        <v>0</v>
      </c>
      <c r="U1460" s="1" t="s">
        <v>39</v>
      </c>
      <c r="V1460" s="3">
        <v>9</v>
      </c>
    </row>
    <row r="1461" spans="1:22" x14ac:dyDescent="0.3">
      <c r="A1461" s="2" t="s">
        <v>3419</v>
      </c>
      <c r="B1461" s="10">
        <v>45115</v>
      </c>
      <c r="C1461" s="22">
        <v>45115</v>
      </c>
      <c r="D1461" s="1" t="s">
        <v>3420</v>
      </c>
      <c r="E1461" s="1" t="s">
        <v>2927</v>
      </c>
      <c r="F1461" s="1">
        <v>36</v>
      </c>
      <c r="G1461" s="1" t="s">
        <v>24</v>
      </c>
      <c r="H1461" s="1" t="s">
        <v>74</v>
      </c>
      <c r="I1461" s="1" t="s">
        <v>75</v>
      </c>
      <c r="J1461" s="1" t="s">
        <v>76</v>
      </c>
      <c r="K1461" s="1" t="s">
        <v>122</v>
      </c>
      <c r="L1461" s="1">
        <v>1</v>
      </c>
      <c r="M1461" s="13">
        <v>1861.32</v>
      </c>
      <c r="N1461" s="15">
        <v>0.38</v>
      </c>
      <c r="O1461" s="13">
        <v>1580.05</v>
      </c>
      <c r="P1461" s="13">
        <v>590.29</v>
      </c>
      <c r="Q1461" s="13">
        <v>55.74</v>
      </c>
      <c r="R1461" s="1" t="s">
        <v>78</v>
      </c>
      <c r="S1461" s="1">
        <v>4</v>
      </c>
      <c r="T1461" s="1" t="b">
        <v>0</v>
      </c>
      <c r="U1461" s="1" t="s">
        <v>39</v>
      </c>
      <c r="V1461" s="3">
        <v>1</v>
      </c>
    </row>
    <row r="1462" spans="1:22" x14ac:dyDescent="0.3">
      <c r="A1462" s="2" t="s">
        <v>3421</v>
      </c>
      <c r="B1462" s="10">
        <v>44459</v>
      </c>
      <c r="C1462" s="22">
        <v>44459</v>
      </c>
      <c r="D1462" s="1" t="s">
        <v>3422</v>
      </c>
      <c r="E1462" s="1" t="s">
        <v>1384</v>
      </c>
      <c r="F1462" s="1">
        <v>54</v>
      </c>
      <c r="G1462" s="1" t="s">
        <v>24</v>
      </c>
      <c r="H1462" s="1" t="s">
        <v>74</v>
      </c>
      <c r="I1462" s="1" t="s">
        <v>136</v>
      </c>
      <c r="J1462" s="1" t="s">
        <v>146</v>
      </c>
      <c r="K1462" s="1" t="s">
        <v>217</v>
      </c>
      <c r="L1462" s="1">
        <v>1</v>
      </c>
      <c r="M1462" s="13">
        <v>7834.86</v>
      </c>
      <c r="N1462" s="15">
        <v>0.37</v>
      </c>
      <c r="O1462" s="13">
        <v>4867.16</v>
      </c>
      <c r="P1462" s="13">
        <v>961.37</v>
      </c>
      <c r="Q1462" s="13">
        <v>53.04</v>
      </c>
      <c r="R1462" s="1" t="s">
        <v>29</v>
      </c>
      <c r="S1462" s="1">
        <v>1</v>
      </c>
      <c r="T1462" s="1" t="b">
        <v>0</v>
      </c>
      <c r="U1462" s="1" t="s">
        <v>39</v>
      </c>
      <c r="V1462" s="3">
        <v>8</v>
      </c>
    </row>
    <row r="1463" spans="1:22" x14ac:dyDescent="0.3">
      <c r="A1463" s="2" t="s">
        <v>3423</v>
      </c>
      <c r="B1463" s="10">
        <v>45588</v>
      </c>
      <c r="C1463" s="22">
        <v>45588</v>
      </c>
      <c r="D1463" s="1" t="s">
        <v>3424</v>
      </c>
      <c r="E1463" s="1" t="s">
        <v>926</v>
      </c>
      <c r="F1463" s="1">
        <v>32</v>
      </c>
      <c r="G1463" s="1" t="s">
        <v>68</v>
      </c>
      <c r="H1463" s="1" t="s">
        <v>82</v>
      </c>
      <c r="I1463" s="1" t="s">
        <v>83</v>
      </c>
      <c r="J1463" s="1" t="s">
        <v>127</v>
      </c>
      <c r="K1463" s="1" t="s">
        <v>142</v>
      </c>
      <c r="L1463" s="1">
        <v>9</v>
      </c>
      <c r="M1463" s="13">
        <v>45487.77</v>
      </c>
      <c r="N1463" s="15">
        <v>0.17</v>
      </c>
      <c r="O1463" s="13">
        <v>355300.24</v>
      </c>
      <c r="P1463" s="13">
        <v>48057.8</v>
      </c>
      <c r="Q1463" s="13">
        <v>81.010000000000005</v>
      </c>
      <c r="R1463" s="1" t="s">
        <v>29</v>
      </c>
      <c r="S1463" s="1">
        <v>5</v>
      </c>
      <c r="T1463" s="1" t="b">
        <v>0</v>
      </c>
      <c r="U1463" s="1" t="s">
        <v>39</v>
      </c>
      <c r="V1463" s="3">
        <v>10</v>
      </c>
    </row>
    <row r="1464" spans="1:22" x14ac:dyDescent="0.3">
      <c r="A1464" s="2" t="s">
        <v>3425</v>
      </c>
      <c r="B1464" s="10">
        <v>44843</v>
      </c>
      <c r="C1464" s="22">
        <v>44843</v>
      </c>
      <c r="D1464" s="1" t="s">
        <v>3426</v>
      </c>
      <c r="E1464" s="1" t="s">
        <v>1064</v>
      </c>
      <c r="F1464" s="1">
        <v>47</v>
      </c>
      <c r="G1464" s="1" t="s">
        <v>24</v>
      </c>
      <c r="H1464" s="1" t="s">
        <v>111</v>
      </c>
      <c r="I1464" s="1" t="s">
        <v>121</v>
      </c>
      <c r="J1464" s="1" t="s">
        <v>44</v>
      </c>
      <c r="K1464" s="1" t="s">
        <v>45</v>
      </c>
      <c r="L1464" s="1">
        <v>6</v>
      </c>
      <c r="M1464" s="13">
        <v>5535.62</v>
      </c>
      <c r="N1464" s="15">
        <v>0.27</v>
      </c>
      <c r="O1464" s="13">
        <v>20778.29</v>
      </c>
      <c r="P1464" s="13">
        <v>3962.34</v>
      </c>
      <c r="Q1464" s="13">
        <v>76.760000000000005</v>
      </c>
      <c r="R1464" s="1" t="s">
        <v>70</v>
      </c>
      <c r="S1464" s="1">
        <v>3</v>
      </c>
      <c r="T1464" s="1" t="b">
        <v>0</v>
      </c>
      <c r="U1464" s="1" t="s">
        <v>39</v>
      </c>
      <c r="V1464" s="3">
        <v>5</v>
      </c>
    </row>
    <row r="1465" spans="1:22" x14ac:dyDescent="0.3">
      <c r="A1465" s="2" t="s">
        <v>3427</v>
      </c>
      <c r="B1465" s="10">
        <v>44716</v>
      </c>
      <c r="C1465" s="22">
        <v>44716</v>
      </c>
      <c r="D1465" s="1" t="s">
        <v>3428</v>
      </c>
      <c r="E1465" s="1" t="s">
        <v>33</v>
      </c>
      <c r="F1465" s="1">
        <v>8</v>
      </c>
      <c r="G1465" s="1" t="s">
        <v>24</v>
      </c>
      <c r="H1465" s="1" t="s">
        <v>74</v>
      </c>
      <c r="I1465" s="1" t="s">
        <v>75</v>
      </c>
      <c r="J1465" s="1" t="s">
        <v>76</v>
      </c>
      <c r="K1465" s="1" t="s">
        <v>207</v>
      </c>
      <c r="L1465" s="1">
        <v>7</v>
      </c>
      <c r="M1465" s="13">
        <v>2943.52</v>
      </c>
      <c r="N1465" s="15">
        <v>0.27</v>
      </c>
      <c r="O1465" s="13">
        <v>21771.759999999998</v>
      </c>
      <c r="P1465" s="13">
        <v>5661.41</v>
      </c>
      <c r="Q1465" s="13">
        <v>21.72</v>
      </c>
      <c r="R1465" s="1" t="s">
        <v>70</v>
      </c>
      <c r="S1465" s="1">
        <v>4</v>
      </c>
      <c r="T1465" s="1" t="b">
        <v>0</v>
      </c>
      <c r="U1465" s="1" t="s">
        <v>137</v>
      </c>
      <c r="V1465" s="3">
        <v>3</v>
      </c>
    </row>
    <row r="1466" spans="1:22" x14ac:dyDescent="0.3">
      <c r="A1466" s="2" t="s">
        <v>3429</v>
      </c>
      <c r="B1466" s="10">
        <v>43995</v>
      </c>
      <c r="C1466" s="22">
        <v>43995</v>
      </c>
      <c r="D1466" s="1" t="s">
        <v>3430</v>
      </c>
      <c r="E1466" s="1" t="s">
        <v>850</v>
      </c>
      <c r="F1466" s="1">
        <v>15</v>
      </c>
      <c r="G1466" s="1" t="s">
        <v>24</v>
      </c>
      <c r="H1466" s="1" t="s">
        <v>35</v>
      </c>
      <c r="I1466" s="1" t="s">
        <v>43</v>
      </c>
      <c r="J1466" s="1" t="s">
        <v>37</v>
      </c>
      <c r="K1466" s="1" t="s">
        <v>231</v>
      </c>
      <c r="L1466" s="1">
        <v>4</v>
      </c>
      <c r="M1466" s="13">
        <v>1506.41</v>
      </c>
      <c r="N1466" s="15">
        <v>0.19</v>
      </c>
      <c r="O1466" s="13">
        <v>6032.13</v>
      </c>
      <c r="P1466" s="13">
        <v>1914.08</v>
      </c>
      <c r="Q1466" s="13">
        <v>36.43</v>
      </c>
      <c r="R1466" s="1" t="s">
        <v>51</v>
      </c>
      <c r="S1466" s="1">
        <v>3</v>
      </c>
      <c r="T1466" s="1" t="b">
        <v>0</v>
      </c>
      <c r="U1466" s="1" t="s">
        <v>39</v>
      </c>
      <c r="V1466" s="3">
        <v>7</v>
      </c>
    </row>
    <row r="1467" spans="1:22" x14ac:dyDescent="0.3">
      <c r="A1467" s="2" t="s">
        <v>3431</v>
      </c>
      <c r="B1467" s="10">
        <v>45526</v>
      </c>
      <c r="C1467" s="22">
        <v>45526</v>
      </c>
      <c r="D1467" s="1" t="s">
        <v>3432</v>
      </c>
      <c r="E1467" s="1" t="s">
        <v>2637</v>
      </c>
      <c r="F1467" s="1">
        <v>31</v>
      </c>
      <c r="G1467" s="1" t="s">
        <v>34</v>
      </c>
      <c r="H1467" s="1" t="s">
        <v>25</v>
      </c>
      <c r="I1467" s="1" t="s">
        <v>26</v>
      </c>
      <c r="J1467" s="1" t="s">
        <v>76</v>
      </c>
      <c r="K1467" s="1" t="s">
        <v>207</v>
      </c>
      <c r="L1467" s="1">
        <v>3</v>
      </c>
      <c r="M1467" s="13">
        <v>2207.16</v>
      </c>
      <c r="N1467" s="15">
        <v>0.2</v>
      </c>
      <c r="O1467" s="13">
        <v>7894.09</v>
      </c>
      <c r="P1467" s="13">
        <v>2384.5700000000002</v>
      </c>
      <c r="Q1467" s="13">
        <v>30.61</v>
      </c>
      <c r="R1467" s="1" t="s">
        <v>70</v>
      </c>
      <c r="S1467" s="1">
        <v>3</v>
      </c>
      <c r="T1467" s="1" t="b">
        <v>0</v>
      </c>
      <c r="U1467" s="1" t="s">
        <v>39</v>
      </c>
      <c r="V1467" s="3">
        <v>2</v>
      </c>
    </row>
    <row r="1468" spans="1:22" x14ac:dyDescent="0.3">
      <c r="A1468" s="2" t="s">
        <v>3433</v>
      </c>
      <c r="B1468" s="10">
        <v>44557</v>
      </c>
      <c r="C1468" s="22">
        <v>44557</v>
      </c>
      <c r="D1468" s="1" t="s">
        <v>3434</v>
      </c>
      <c r="E1468" s="1" t="s">
        <v>1018</v>
      </c>
      <c r="F1468" s="1">
        <v>50</v>
      </c>
      <c r="G1468" s="1" t="s">
        <v>24</v>
      </c>
      <c r="H1468" s="1" t="s">
        <v>35</v>
      </c>
      <c r="I1468" s="1" t="s">
        <v>49</v>
      </c>
      <c r="J1468" s="1" t="s">
        <v>37</v>
      </c>
      <c r="K1468" s="1" t="s">
        <v>102</v>
      </c>
      <c r="L1468" s="1">
        <v>9</v>
      </c>
      <c r="M1468" s="13">
        <v>1833.53</v>
      </c>
      <c r="N1468" s="15">
        <v>0.17</v>
      </c>
      <c r="O1468" s="13">
        <v>10130.450000000001</v>
      </c>
      <c r="P1468" s="13">
        <v>6082.08</v>
      </c>
      <c r="Q1468" s="13">
        <v>40.130000000000003</v>
      </c>
      <c r="R1468" s="1" t="s">
        <v>57</v>
      </c>
      <c r="S1468" s="1">
        <v>1</v>
      </c>
      <c r="T1468" s="1" t="b">
        <v>1</v>
      </c>
      <c r="U1468" s="1" t="s">
        <v>30</v>
      </c>
      <c r="V1468" s="3">
        <v>3</v>
      </c>
    </row>
    <row r="1469" spans="1:22" x14ac:dyDescent="0.3">
      <c r="A1469" s="2" t="s">
        <v>3435</v>
      </c>
      <c r="B1469" s="10">
        <v>44667</v>
      </c>
      <c r="C1469" s="22">
        <v>44667</v>
      </c>
      <c r="D1469" s="1" t="s">
        <v>3436</v>
      </c>
      <c r="E1469" s="1" t="s">
        <v>92</v>
      </c>
      <c r="F1469" s="1">
        <v>32</v>
      </c>
      <c r="G1469" s="1" t="s">
        <v>24</v>
      </c>
      <c r="H1469" s="1" t="s">
        <v>25</v>
      </c>
      <c r="I1469" s="1" t="s">
        <v>55</v>
      </c>
      <c r="J1469" s="1" t="s">
        <v>27</v>
      </c>
      <c r="K1469" s="1" t="s">
        <v>97</v>
      </c>
      <c r="L1469" s="1">
        <v>6</v>
      </c>
      <c r="M1469" s="13">
        <v>85.52</v>
      </c>
      <c r="N1469" s="15">
        <v>0.26</v>
      </c>
      <c r="O1469" s="13">
        <v>564.09</v>
      </c>
      <c r="P1469" s="13">
        <v>43.08</v>
      </c>
      <c r="Q1469" s="13">
        <v>32.799999999999997</v>
      </c>
      <c r="R1469" s="1" t="s">
        <v>29</v>
      </c>
      <c r="S1469" s="1">
        <v>4</v>
      </c>
      <c r="T1469" s="1" t="b">
        <v>0</v>
      </c>
      <c r="U1469" s="1" t="s">
        <v>39</v>
      </c>
      <c r="V1469" s="3">
        <v>7</v>
      </c>
    </row>
    <row r="1470" spans="1:22" x14ac:dyDescent="0.3">
      <c r="A1470" s="2" t="s">
        <v>3437</v>
      </c>
      <c r="B1470" s="10">
        <v>44451</v>
      </c>
      <c r="C1470" s="22">
        <v>44451</v>
      </c>
      <c r="D1470" s="1" t="s">
        <v>3438</v>
      </c>
      <c r="E1470" s="1" t="s">
        <v>3152</v>
      </c>
      <c r="F1470" s="1">
        <v>19</v>
      </c>
      <c r="G1470" s="1" t="s">
        <v>34</v>
      </c>
      <c r="H1470" s="1" t="s">
        <v>74</v>
      </c>
      <c r="I1470" s="1" t="s">
        <v>101</v>
      </c>
      <c r="J1470" s="1" t="s">
        <v>44</v>
      </c>
      <c r="K1470" s="1" t="s">
        <v>186</v>
      </c>
      <c r="L1470" s="1">
        <v>4</v>
      </c>
      <c r="M1470" s="13">
        <v>5696.48</v>
      </c>
      <c r="N1470" s="15">
        <v>0.12</v>
      </c>
      <c r="O1470" s="13">
        <v>22406.7</v>
      </c>
      <c r="P1470" s="13">
        <v>5980.82</v>
      </c>
      <c r="Q1470" s="13">
        <v>55.28</v>
      </c>
      <c r="R1470" s="1" t="s">
        <v>51</v>
      </c>
      <c r="S1470" s="1">
        <v>3</v>
      </c>
      <c r="T1470" s="1" t="b">
        <v>0</v>
      </c>
      <c r="U1470" s="1" t="s">
        <v>39</v>
      </c>
      <c r="V1470" s="3">
        <v>3</v>
      </c>
    </row>
    <row r="1471" spans="1:22" x14ac:dyDescent="0.3">
      <c r="A1471" s="2" t="s">
        <v>3439</v>
      </c>
      <c r="B1471" s="10">
        <v>44464</v>
      </c>
      <c r="C1471" s="22">
        <v>44464</v>
      </c>
      <c r="D1471" s="1" t="s">
        <v>3440</v>
      </c>
      <c r="E1471" s="1" t="s">
        <v>468</v>
      </c>
      <c r="F1471" s="1">
        <v>47</v>
      </c>
      <c r="G1471" s="1" t="s">
        <v>24</v>
      </c>
      <c r="H1471" s="1" t="s">
        <v>74</v>
      </c>
      <c r="I1471" s="1" t="s">
        <v>136</v>
      </c>
      <c r="J1471" s="1" t="s">
        <v>127</v>
      </c>
      <c r="K1471" s="1" t="s">
        <v>171</v>
      </c>
      <c r="L1471" s="1">
        <v>8</v>
      </c>
      <c r="M1471" s="13">
        <v>75788.600000000006</v>
      </c>
      <c r="N1471" s="15">
        <v>0.25</v>
      </c>
      <c r="O1471" s="13">
        <v>518764.77</v>
      </c>
      <c r="P1471" s="13">
        <v>69163.47</v>
      </c>
      <c r="Q1471" s="13">
        <v>47.81</v>
      </c>
      <c r="R1471" s="1" t="s">
        <v>64</v>
      </c>
      <c r="S1471" s="1">
        <v>2</v>
      </c>
      <c r="T1471" s="1" t="b">
        <v>0</v>
      </c>
      <c r="U1471" s="1" t="s">
        <v>39</v>
      </c>
      <c r="V1471" s="3">
        <v>10</v>
      </c>
    </row>
    <row r="1472" spans="1:22" x14ac:dyDescent="0.3">
      <c r="A1472" s="2" t="s">
        <v>3441</v>
      </c>
      <c r="B1472" s="10">
        <v>44492</v>
      </c>
      <c r="C1472" s="22">
        <v>44492</v>
      </c>
      <c r="D1472" s="1" t="s">
        <v>3442</v>
      </c>
      <c r="E1472" s="1" t="s">
        <v>120</v>
      </c>
      <c r="F1472" s="1">
        <v>52</v>
      </c>
      <c r="G1472" s="1" t="s">
        <v>24</v>
      </c>
      <c r="H1472" s="1" t="s">
        <v>25</v>
      </c>
      <c r="I1472" s="1" t="s">
        <v>55</v>
      </c>
      <c r="J1472" s="1" t="s">
        <v>37</v>
      </c>
      <c r="K1472" s="1" t="s">
        <v>671</v>
      </c>
      <c r="L1472" s="1">
        <v>5</v>
      </c>
      <c r="M1472" s="13">
        <v>1074.3599999999999</v>
      </c>
      <c r="N1472" s="15">
        <v>0.39</v>
      </c>
      <c r="O1472" s="13">
        <v>2700.49</v>
      </c>
      <c r="P1472" s="13">
        <v>861.37</v>
      </c>
      <c r="Q1472" s="13">
        <v>86.73</v>
      </c>
      <c r="R1472" s="1" t="s">
        <v>64</v>
      </c>
      <c r="S1472" s="1">
        <v>3</v>
      </c>
      <c r="T1472" s="1" t="b">
        <v>0</v>
      </c>
      <c r="U1472" s="1" t="s">
        <v>39</v>
      </c>
      <c r="V1472" s="3">
        <v>8</v>
      </c>
    </row>
    <row r="1473" spans="1:22" x14ac:dyDescent="0.3">
      <c r="A1473" s="2" t="s">
        <v>3443</v>
      </c>
      <c r="B1473" s="10">
        <v>44186</v>
      </c>
      <c r="C1473" s="22">
        <v>44186</v>
      </c>
      <c r="D1473" s="1" t="s">
        <v>3444</v>
      </c>
      <c r="E1473" s="1" t="s">
        <v>1653</v>
      </c>
      <c r="F1473" s="1">
        <v>39</v>
      </c>
      <c r="G1473" s="1" t="s">
        <v>34</v>
      </c>
      <c r="H1473" s="1" t="s">
        <v>111</v>
      </c>
      <c r="I1473" s="1" t="s">
        <v>112</v>
      </c>
      <c r="J1473" s="1" t="s">
        <v>44</v>
      </c>
      <c r="K1473" s="1" t="s">
        <v>93</v>
      </c>
      <c r="L1473" s="1">
        <v>2</v>
      </c>
      <c r="M1473" s="13">
        <v>10151.9</v>
      </c>
      <c r="N1473" s="15">
        <v>0.21</v>
      </c>
      <c r="O1473" s="13">
        <v>11388.89</v>
      </c>
      <c r="P1473" s="13">
        <v>2489.06</v>
      </c>
      <c r="Q1473" s="13">
        <v>77</v>
      </c>
      <c r="R1473" s="1" t="s">
        <v>51</v>
      </c>
      <c r="S1473" s="1">
        <v>5</v>
      </c>
      <c r="T1473" s="1" t="b">
        <v>1</v>
      </c>
      <c r="U1473" s="1" t="s">
        <v>30</v>
      </c>
      <c r="V1473" s="3">
        <v>5</v>
      </c>
    </row>
    <row r="1474" spans="1:22" x14ac:dyDescent="0.3">
      <c r="A1474" s="2" t="s">
        <v>3445</v>
      </c>
      <c r="B1474" s="10">
        <v>45387</v>
      </c>
      <c r="C1474" s="22">
        <v>45387</v>
      </c>
      <c r="D1474" s="1" t="s">
        <v>3446</v>
      </c>
      <c r="E1474" s="1" t="s">
        <v>1266</v>
      </c>
      <c r="F1474" s="1">
        <v>32</v>
      </c>
      <c r="G1474" s="1" t="s">
        <v>34</v>
      </c>
      <c r="H1474" s="1" t="s">
        <v>25</v>
      </c>
      <c r="I1474" s="1" t="s">
        <v>26</v>
      </c>
      <c r="J1474" s="1" t="s">
        <v>37</v>
      </c>
      <c r="K1474" s="1" t="s">
        <v>454</v>
      </c>
      <c r="L1474" s="1">
        <v>5</v>
      </c>
      <c r="M1474" s="13">
        <v>1353.73</v>
      </c>
      <c r="N1474" s="15">
        <v>0.34</v>
      </c>
      <c r="O1474" s="13">
        <v>6179.59</v>
      </c>
      <c r="P1474" s="13">
        <v>3104.88</v>
      </c>
      <c r="Q1474" s="13">
        <v>47.49</v>
      </c>
      <c r="R1474" s="1" t="s">
        <v>64</v>
      </c>
      <c r="S1474" s="1">
        <v>1</v>
      </c>
      <c r="T1474" s="1" t="b">
        <v>0</v>
      </c>
      <c r="U1474" s="1" t="s">
        <v>39</v>
      </c>
      <c r="V1474" s="3">
        <v>6</v>
      </c>
    </row>
    <row r="1475" spans="1:22" x14ac:dyDescent="0.3">
      <c r="A1475" s="2" t="s">
        <v>3447</v>
      </c>
      <c r="B1475" s="10">
        <v>45026</v>
      </c>
      <c r="C1475" s="22">
        <v>45026</v>
      </c>
      <c r="D1475" s="1" t="s">
        <v>3448</v>
      </c>
      <c r="E1475" s="1" t="s">
        <v>23</v>
      </c>
      <c r="F1475" s="1">
        <v>32</v>
      </c>
      <c r="G1475" s="1" t="s">
        <v>34</v>
      </c>
      <c r="H1475" s="1" t="s">
        <v>111</v>
      </c>
      <c r="I1475" s="1" t="s">
        <v>112</v>
      </c>
      <c r="J1475" s="1" t="s">
        <v>127</v>
      </c>
      <c r="K1475" s="1" t="s">
        <v>171</v>
      </c>
      <c r="L1475" s="1">
        <v>5</v>
      </c>
      <c r="M1475" s="13">
        <v>79827.98</v>
      </c>
      <c r="N1475" s="15">
        <v>0.28000000000000003</v>
      </c>
      <c r="O1475" s="13">
        <v>418460.95</v>
      </c>
      <c r="P1475" s="13">
        <v>34788.35</v>
      </c>
      <c r="Q1475" s="13">
        <v>73.92</v>
      </c>
      <c r="R1475" s="1" t="s">
        <v>64</v>
      </c>
      <c r="S1475" s="1">
        <v>2</v>
      </c>
      <c r="T1475" s="1" t="b">
        <v>0</v>
      </c>
      <c r="U1475" s="1" t="s">
        <v>39</v>
      </c>
      <c r="V1475" s="3">
        <v>2</v>
      </c>
    </row>
    <row r="1476" spans="1:22" x14ac:dyDescent="0.3">
      <c r="A1476" s="2" t="s">
        <v>3449</v>
      </c>
      <c r="B1476" s="10">
        <v>45603</v>
      </c>
      <c r="C1476" s="22">
        <v>45603</v>
      </c>
      <c r="D1476" s="1" t="s">
        <v>3450</v>
      </c>
      <c r="E1476" s="1" t="s">
        <v>2367</v>
      </c>
      <c r="F1476" s="1">
        <v>8</v>
      </c>
      <c r="G1476" s="1" t="s">
        <v>68</v>
      </c>
      <c r="H1476" s="1" t="s">
        <v>111</v>
      </c>
      <c r="I1476" s="1" t="s">
        <v>112</v>
      </c>
      <c r="J1476" s="1" t="s">
        <v>146</v>
      </c>
      <c r="K1476" s="1" t="s">
        <v>147</v>
      </c>
      <c r="L1476" s="1">
        <v>1</v>
      </c>
      <c r="M1476" s="13">
        <v>14972.12</v>
      </c>
      <c r="N1476" s="15">
        <v>0.02</v>
      </c>
      <c r="O1476" s="13">
        <v>14887.84</v>
      </c>
      <c r="P1476" s="13">
        <v>3707.49</v>
      </c>
      <c r="Q1476" s="13">
        <v>63.98</v>
      </c>
      <c r="R1476" s="1" t="s">
        <v>51</v>
      </c>
      <c r="S1476" s="1">
        <v>5</v>
      </c>
      <c r="T1476" s="1" t="b">
        <v>0</v>
      </c>
      <c r="U1476" s="1" t="s">
        <v>137</v>
      </c>
      <c r="V1476" s="3">
        <v>7</v>
      </c>
    </row>
    <row r="1477" spans="1:22" x14ac:dyDescent="0.3">
      <c r="A1477" s="2" t="s">
        <v>3451</v>
      </c>
      <c r="B1477" s="10">
        <v>44349</v>
      </c>
      <c r="C1477" s="22">
        <v>44349</v>
      </c>
      <c r="D1477" s="1" t="s">
        <v>3452</v>
      </c>
      <c r="E1477" s="1" t="s">
        <v>676</v>
      </c>
      <c r="F1477" s="1">
        <v>44</v>
      </c>
      <c r="G1477" s="1" t="s">
        <v>68</v>
      </c>
      <c r="H1477" s="1" t="s">
        <v>111</v>
      </c>
      <c r="I1477" s="1" t="s">
        <v>121</v>
      </c>
      <c r="J1477" s="1" t="s">
        <v>76</v>
      </c>
      <c r="K1477" s="1" t="s">
        <v>89</v>
      </c>
      <c r="L1477" s="1">
        <v>0</v>
      </c>
      <c r="M1477" s="13">
        <v>2696.46</v>
      </c>
      <c r="N1477" s="15">
        <v>0.28999999999999998</v>
      </c>
      <c r="O1477" s="13">
        <v>2622.68</v>
      </c>
      <c r="P1477" s="13">
        <v>977.15</v>
      </c>
      <c r="Q1477" s="13">
        <v>101.51</v>
      </c>
      <c r="R1477" s="1" t="s">
        <v>51</v>
      </c>
      <c r="S1477" s="1">
        <v>2</v>
      </c>
      <c r="T1477" s="1" t="b">
        <v>0</v>
      </c>
      <c r="U1477" s="1" t="s">
        <v>39</v>
      </c>
      <c r="V1477" s="3">
        <v>6</v>
      </c>
    </row>
    <row r="1478" spans="1:22" x14ac:dyDescent="0.3">
      <c r="A1478" s="2" t="s">
        <v>3453</v>
      </c>
      <c r="B1478" s="10">
        <v>44275</v>
      </c>
      <c r="C1478" s="22">
        <v>44275</v>
      </c>
      <c r="D1478" s="1" t="s">
        <v>3454</v>
      </c>
      <c r="E1478" s="1" t="s">
        <v>743</v>
      </c>
      <c r="F1478" s="1">
        <v>41</v>
      </c>
      <c r="G1478" s="1" t="s">
        <v>68</v>
      </c>
      <c r="H1478" s="1" t="s">
        <v>35</v>
      </c>
      <c r="I1478" s="1" t="s">
        <v>43</v>
      </c>
      <c r="J1478" s="1" t="s">
        <v>146</v>
      </c>
      <c r="K1478" s="1" t="s">
        <v>178</v>
      </c>
      <c r="L1478" s="1">
        <v>5</v>
      </c>
      <c r="M1478" s="13">
        <v>12410.73</v>
      </c>
      <c r="N1478" s="15">
        <v>0.36</v>
      </c>
      <c r="O1478" s="13">
        <v>40821.89</v>
      </c>
      <c r="P1478" s="13">
        <v>12307.83</v>
      </c>
      <c r="Q1478" s="13">
        <v>65.83</v>
      </c>
      <c r="R1478" s="1" t="s">
        <v>78</v>
      </c>
      <c r="S1478" s="1">
        <v>1</v>
      </c>
      <c r="T1478" s="1" t="b">
        <v>0</v>
      </c>
      <c r="U1478" s="1" t="s">
        <v>39</v>
      </c>
      <c r="V1478" s="3">
        <v>2</v>
      </c>
    </row>
    <row r="1479" spans="1:22" x14ac:dyDescent="0.3">
      <c r="A1479" s="2" t="s">
        <v>3455</v>
      </c>
      <c r="B1479" s="10">
        <v>44022</v>
      </c>
      <c r="C1479" s="22">
        <v>44022</v>
      </c>
      <c r="D1479" s="1" t="s">
        <v>3456</v>
      </c>
      <c r="E1479" s="1" t="s">
        <v>412</v>
      </c>
      <c r="F1479" s="1">
        <v>15</v>
      </c>
      <c r="G1479" s="1" t="s">
        <v>34</v>
      </c>
      <c r="H1479" s="1" t="s">
        <v>74</v>
      </c>
      <c r="I1479" s="1" t="s">
        <v>136</v>
      </c>
      <c r="J1479" s="1" t="s">
        <v>62</v>
      </c>
      <c r="K1479" s="1" t="s">
        <v>266</v>
      </c>
      <c r="L1479" s="1">
        <v>1</v>
      </c>
      <c r="M1479" s="13">
        <v>702.36</v>
      </c>
      <c r="N1479" s="15">
        <v>0.39</v>
      </c>
      <c r="O1479" s="13">
        <v>539.17999999999995</v>
      </c>
      <c r="P1479" s="13">
        <v>184.49</v>
      </c>
      <c r="Q1479" s="13">
        <v>59.64</v>
      </c>
      <c r="R1479" s="1" t="s">
        <v>51</v>
      </c>
      <c r="S1479" s="1">
        <v>1</v>
      </c>
      <c r="T1479" s="1" t="b">
        <v>0</v>
      </c>
      <c r="U1479" s="1" t="s">
        <v>39</v>
      </c>
      <c r="V1479" s="3">
        <v>4</v>
      </c>
    </row>
    <row r="1480" spans="1:22" x14ac:dyDescent="0.3">
      <c r="A1480" s="2" t="s">
        <v>3457</v>
      </c>
      <c r="B1480" s="10">
        <v>45081</v>
      </c>
      <c r="C1480" s="22">
        <v>45081</v>
      </c>
      <c r="D1480" s="1" t="s">
        <v>3458</v>
      </c>
      <c r="E1480" s="1" t="s">
        <v>2934</v>
      </c>
      <c r="F1480" s="1">
        <v>32</v>
      </c>
      <c r="G1480" s="1" t="s">
        <v>463</v>
      </c>
      <c r="H1480" s="1" t="s">
        <v>82</v>
      </c>
      <c r="I1480" s="1" t="s">
        <v>83</v>
      </c>
      <c r="J1480" s="1" t="s">
        <v>62</v>
      </c>
      <c r="K1480" s="1" t="s">
        <v>107</v>
      </c>
      <c r="L1480" s="1">
        <v>2</v>
      </c>
      <c r="M1480" s="13">
        <v>200.96</v>
      </c>
      <c r="N1480" s="15">
        <v>0.25</v>
      </c>
      <c r="O1480" s="13">
        <v>458.12</v>
      </c>
      <c r="P1480" s="13">
        <v>104.93</v>
      </c>
      <c r="Q1480" s="13">
        <v>75.89</v>
      </c>
      <c r="R1480" s="1" t="s">
        <v>70</v>
      </c>
      <c r="S1480" s="1">
        <v>1</v>
      </c>
      <c r="T1480" s="1" t="b">
        <v>1</v>
      </c>
      <c r="U1480" s="1" t="s">
        <v>30</v>
      </c>
      <c r="V1480" s="3">
        <v>4</v>
      </c>
    </row>
    <row r="1481" spans="1:22" x14ac:dyDescent="0.3">
      <c r="A1481" s="2" t="s">
        <v>3459</v>
      </c>
      <c r="B1481" s="10">
        <v>44463</v>
      </c>
      <c r="C1481" s="22">
        <v>44463</v>
      </c>
      <c r="D1481" s="1" t="s">
        <v>95</v>
      </c>
      <c r="E1481" s="1" t="s">
        <v>516</v>
      </c>
      <c r="F1481" s="1">
        <v>43</v>
      </c>
      <c r="G1481" s="1" t="s">
        <v>34</v>
      </c>
      <c r="H1481" s="1" t="s">
        <v>35</v>
      </c>
      <c r="I1481" s="1" t="s">
        <v>49</v>
      </c>
      <c r="J1481" s="1" t="s">
        <v>44</v>
      </c>
      <c r="K1481" s="1" t="s">
        <v>93</v>
      </c>
      <c r="L1481" s="1">
        <v>2</v>
      </c>
      <c r="M1481" s="13">
        <v>2701.39</v>
      </c>
      <c r="N1481" s="15">
        <v>0.33</v>
      </c>
      <c r="O1481" s="13">
        <v>4179.32</v>
      </c>
      <c r="P1481" s="13">
        <v>933.32</v>
      </c>
      <c r="Q1481" s="13">
        <v>79.239999999999995</v>
      </c>
      <c r="R1481" s="1" t="s">
        <v>70</v>
      </c>
      <c r="S1481" s="1">
        <v>5</v>
      </c>
      <c r="T1481" s="1" t="b">
        <v>0</v>
      </c>
      <c r="U1481" s="1" t="s">
        <v>84</v>
      </c>
      <c r="V1481" s="3">
        <v>2</v>
      </c>
    </row>
    <row r="1482" spans="1:22" x14ac:dyDescent="0.3">
      <c r="A1482" s="2" t="s">
        <v>3460</v>
      </c>
      <c r="B1482" s="10">
        <v>43908</v>
      </c>
      <c r="C1482" s="22">
        <v>43908</v>
      </c>
      <c r="D1482" s="1" t="s">
        <v>3461</v>
      </c>
      <c r="E1482" s="1" t="s">
        <v>1492</v>
      </c>
      <c r="F1482" s="1">
        <v>35</v>
      </c>
      <c r="G1482" s="1" t="s">
        <v>34</v>
      </c>
      <c r="H1482" s="1" t="s">
        <v>35</v>
      </c>
      <c r="I1482" s="1" t="s">
        <v>49</v>
      </c>
      <c r="J1482" s="1" t="s">
        <v>37</v>
      </c>
      <c r="K1482" s="1" t="s">
        <v>102</v>
      </c>
      <c r="L1482" s="1">
        <v>9</v>
      </c>
      <c r="M1482" s="13">
        <v>2028.03</v>
      </c>
      <c r="N1482" s="15">
        <v>0.12</v>
      </c>
      <c r="O1482" s="13">
        <v>15078.05</v>
      </c>
      <c r="P1482" s="13">
        <v>8126.73</v>
      </c>
      <c r="Q1482" s="13">
        <v>55.01</v>
      </c>
      <c r="R1482" s="1" t="s">
        <v>57</v>
      </c>
      <c r="S1482" s="1">
        <v>4</v>
      </c>
      <c r="T1482" s="1" t="b">
        <v>0</v>
      </c>
      <c r="U1482" s="1" t="s">
        <v>39</v>
      </c>
      <c r="V1482" s="3">
        <v>9</v>
      </c>
    </row>
    <row r="1483" spans="1:22" x14ac:dyDescent="0.3">
      <c r="A1483" s="2" t="s">
        <v>3462</v>
      </c>
      <c r="B1483" s="10">
        <v>43831</v>
      </c>
      <c r="C1483" s="22">
        <v>43831</v>
      </c>
      <c r="D1483" s="1" t="s">
        <v>3463</v>
      </c>
      <c r="E1483" s="1" t="s">
        <v>516</v>
      </c>
      <c r="F1483" s="1">
        <v>29</v>
      </c>
      <c r="G1483" s="1" t="s">
        <v>34</v>
      </c>
      <c r="H1483" s="1" t="s">
        <v>35</v>
      </c>
      <c r="I1483" s="1" t="s">
        <v>106</v>
      </c>
      <c r="J1483" s="1" t="s">
        <v>76</v>
      </c>
      <c r="K1483" s="1" t="s">
        <v>207</v>
      </c>
      <c r="L1483" s="1">
        <v>4</v>
      </c>
      <c r="M1483" s="13">
        <v>2870.76</v>
      </c>
      <c r="N1483" s="15">
        <v>0.08</v>
      </c>
      <c r="O1483" s="13">
        <v>7950.72</v>
      </c>
      <c r="P1483" s="13">
        <v>2135.16</v>
      </c>
      <c r="Q1483" s="13">
        <v>55.33</v>
      </c>
      <c r="R1483" s="1" t="s">
        <v>78</v>
      </c>
      <c r="S1483" s="1">
        <v>3</v>
      </c>
      <c r="T1483" s="1" t="b">
        <v>0</v>
      </c>
      <c r="U1483" s="1" t="s">
        <v>84</v>
      </c>
      <c r="V1483" s="3">
        <v>1</v>
      </c>
    </row>
    <row r="1484" spans="1:22" x14ac:dyDescent="0.3">
      <c r="A1484" s="2" t="s">
        <v>3464</v>
      </c>
      <c r="B1484" s="10">
        <v>45628</v>
      </c>
      <c r="C1484" s="22">
        <v>45628</v>
      </c>
      <c r="D1484" s="1" t="s">
        <v>3465</v>
      </c>
      <c r="E1484" s="1" t="s">
        <v>716</v>
      </c>
      <c r="F1484" s="1">
        <v>53</v>
      </c>
      <c r="G1484" s="1" t="s">
        <v>34</v>
      </c>
      <c r="H1484" s="1" t="s">
        <v>74</v>
      </c>
      <c r="I1484" s="1" t="s">
        <v>136</v>
      </c>
      <c r="J1484" s="1" t="s">
        <v>76</v>
      </c>
      <c r="K1484" s="1" t="s">
        <v>89</v>
      </c>
      <c r="L1484" s="1">
        <v>9</v>
      </c>
      <c r="M1484" s="13">
        <v>3206.85</v>
      </c>
      <c r="N1484" s="15">
        <v>0.36</v>
      </c>
      <c r="O1484" s="13">
        <v>16832.810000000001</v>
      </c>
      <c r="P1484" s="13">
        <v>7356.75</v>
      </c>
      <c r="Q1484" s="13">
        <v>78.400000000000006</v>
      </c>
      <c r="R1484" s="1" t="s">
        <v>51</v>
      </c>
      <c r="S1484" s="1">
        <v>2</v>
      </c>
      <c r="T1484" s="1" t="b">
        <v>0</v>
      </c>
      <c r="U1484" s="1" t="s">
        <v>39</v>
      </c>
      <c r="V1484" s="3">
        <v>9</v>
      </c>
    </row>
    <row r="1485" spans="1:22" x14ac:dyDescent="0.3">
      <c r="A1485" s="2" t="s">
        <v>3466</v>
      </c>
      <c r="B1485" s="10">
        <v>44957</v>
      </c>
      <c r="C1485" s="22">
        <v>44957</v>
      </c>
      <c r="D1485" s="1" t="s">
        <v>3467</v>
      </c>
      <c r="E1485" s="1" t="s">
        <v>2001</v>
      </c>
      <c r="F1485" s="1">
        <v>25</v>
      </c>
      <c r="G1485" s="1" t="s">
        <v>24</v>
      </c>
      <c r="H1485" s="1" t="s">
        <v>111</v>
      </c>
      <c r="I1485" s="1" t="s">
        <v>121</v>
      </c>
      <c r="J1485" s="1" t="s">
        <v>27</v>
      </c>
      <c r="K1485" s="1" t="s">
        <v>400</v>
      </c>
      <c r="L1485" s="1">
        <v>8</v>
      </c>
      <c r="M1485" s="13">
        <v>100.16</v>
      </c>
      <c r="N1485" s="15">
        <v>0.37</v>
      </c>
      <c r="O1485" s="13">
        <v>487.77</v>
      </c>
      <c r="P1485" s="13">
        <v>30.28</v>
      </c>
      <c r="Q1485" s="13">
        <v>43.77</v>
      </c>
      <c r="R1485" s="1" t="s">
        <v>70</v>
      </c>
      <c r="S1485" s="1">
        <v>3</v>
      </c>
      <c r="T1485" s="1" t="b">
        <v>0</v>
      </c>
      <c r="U1485" s="1" t="s">
        <v>39</v>
      </c>
      <c r="V1485" s="3">
        <v>8</v>
      </c>
    </row>
    <row r="1486" spans="1:22" x14ac:dyDescent="0.3">
      <c r="A1486" s="2" t="s">
        <v>3468</v>
      </c>
      <c r="B1486" s="10">
        <v>45177</v>
      </c>
      <c r="C1486" s="22">
        <v>45177</v>
      </c>
      <c r="D1486" s="1" t="s">
        <v>3469</v>
      </c>
      <c r="E1486" s="1" t="s">
        <v>1312</v>
      </c>
      <c r="F1486" s="1">
        <v>29</v>
      </c>
      <c r="G1486" s="1" t="s">
        <v>34</v>
      </c>
      <c r="H1486" s="1" t="s">
        <v>111</v>
      </c>
      <c r="I1486" s="1" t="s">
        <v>112</v>
      </c>
      <c r="J1486" s="1" t="s">
        <v>127</v>
      </c>
      <c r="K1486" s="1" t="s">
        <v>196</v>
      </c>
      <c r="L1486" s="1">
        <v>6</v>
      </c>
      <c r="M1486" s="13">
        <v>63434.95</v>
      </c>
      <c r="N1486" s="15">
        <v>0.24</v>
      </c>
      <c r="O1486" s="13">
        <v>350565.99</v>
      </c>
      <c r="P1486" s="13">
        <v>45365.64</v>
      </c>
      <c r="Q1486" s="13">
        <v>76.62</v>
      </c>
      <c r="R1486" s="1" t="s">
        <v>29</v>
      </c>
      <c r="S1486" s="1">
        <v>1</v>
      </c>
      <c r="T1486" s="1" t="b">
        <v>0</v>
      </c>
      <c r="U1486" s="1" t="s">
        <v>39</v>
      </c>
      <c r="V1486" s="3">
        <v>3</v>
      </c>
    </row>
    <row r="1487" spans="1:22" x14ac:dyDescent="0.3">
      <c r="A1487" s="2" t="s">
        <v>3470</v>
      </c>
      <c r="B1487" s="10">
        <v>44668</v>
      </c>
      <c r="C1487" s="22">
        <v>44668</v>
      </c>
      <c r="D1487" s="1" t="s">
        <v>3471</v>
      </c>
      <c r="E1487" s="1" t="s">
        <v>1425</v>
      </c>
      <c r="F1487" s="1">
        <v>18</v>
      </c>
      <c r="G1487" s="1" t="s">
        <v>24</v>
      </c>
      <c r="H1487" s="1" t="s">
        <v>35</v>
      </c>
      <c r="I1487" s="1" t="s">
        <v>43</v>
      </c>
      <c r="J1487" s="1" t="s">
        <v>44</v>
      </c>
      <c r="K1487" s="1" t="s">
        <v>186</v>
      </c>
      <c r="L1487" s="1">
        <v>5</v>
      </c>
      <c r="M1487" s="13">
        <v>15688.53</v>
      </c>
      <c r="N1487" s="15">
        <v>0.03</v>
      </c>
      <c r="O1487" s="13">
        <v>85481.83</v>
      </c>
      <c r="P1487" s="13">
        <v>16735.14</v>
      </c>
      <c r="Q1487" s="13">
        <v>49.69</v>
      </c>
      <c r="R1487" s="1" t="s">
        <v>70</v>
      </c>
      <c r="S1487" s="1">
        <v>4</v>
      </c>
      <c r="T1487" s="1" t="b">
        <v>0</v>
      </c>
      <c r="U1487" s="1" t="s">
        <v>39</v>
      </c>
      <c r="V1487" s="3">
        <v>10</v>
      </c>
    </row>
    <row r="1488" spans="1:22" x14ac:dyDescent="0.3">
      <c r="A1488" s="2" t="s">
        <v>3472</v>
      </c>
      <c r="B1488" s="10">
        <v>44998</v>
      </c>
      <c r="C1488" s="22">
        <v>44998</v>
      </c>
      <c r="D1488" s="1" t="s">
        <v>3473</v>
      </c>
      <c r="E1488" s="1" t="s">
        <v>81</v>
      </c>
      <c r="F1488" s="1">
        <v>21</v>
      </c>
      <c r="G1488" s="1" t="s">
        <v>68</v>
      </c>
      <c r="H1488" s="1" t="s">
        <v>111</v>
      </c>
      <c r="I1488" s="1" t="s">
        <v>141</v>
      </c>
      <c r="J1488" s="1" t="s">
        <v>127</v>
      </c>
      <c r="K1488" s="1" t="s">
        <v>308</v>
      </c>
      <c r="L1488" s="1">
        <v>2</v>
      </c>
      <c r="M1488" s="13">
        <v>76616.83</v>
      </c>
      <c r="N1488" s="15">
        <v>0.1</v>
      </c>
      <c r="O1488" s="13">
        <v>186369.89</v>
      </c>
      <c r="P1488" s="13">
        <v>20529.28</v>
      </c>
      <c r="Q1488" s="13">
        <v>55.12</v>
      </c>
      <c r="R1488" s="1" t="s">
        <v>78</v>
      </c>
      <c r="S1488" s="1">
        <v>4</v>
      </c>
      <c r="T1488" s="1" t="b">
        <v>0</v>
      </c>
      <c r="U1488" s="1" t="s">
        <v>39</v>
      </c>
      <c r="V1488" s="3">
        <v>5</v>
      </c>
    </row>
    <row r="1489" spans="1:22" x14ac:dyDescent="0.3">
      <c r="A1489" s="2" t="s">
        <v>3474</v>
      </c>
      <c r="B1489" s="10">
        <v>44320</v>
      </c>
      <c r="C1489" s="22">
        <v>44320</v>
      </c>
      <c r="D1489" s="1" t="s">
        <v>3475</v>
      </c>
      <c r="E1489" s="1" t="s">
        <v>406</v>
      </c>
      <c r="F1489" s="1">
        <v>43</v>
      </c>
      <c r="G1489" s="1" t="s">
        <v>34</v>
      </c>
      <c r="H1489" s="1" t="s">
        <v>35</v>
      </c>
      <c r="I1489" s="1" t="s">
        <v>36</v>
      </c>
      <c r="J1489" s="1" t="s">
        <v>44</v>
      </c>
      <c r="K1489" s="1" t="s">
        <v>221</v>
      </c>
      <c r="L1489" s="1">
        <v>5</v>
      </c>
      <c r="M1489" s="13">
        <v>31699.03</v>
      </c>
      <c r="N1489" s="15">
        <v>0</v>
      </c>
      <c r="O1489" s="13">
        <v>40736.49</v>
      </c>
      <c r="P1489" s="13">
        <v>13735.32</v>
      </c>
      <c r="Q1489" s="13">
        <v>44.74</v>
      </c>
      <c r="R1489" s="1" t="s">
        <v>78</v>
      </c>
      <c r="S1489" s="1">
        <v>1</v>
      </c>
      <c r="T1489" s="1" t="b">
        <v>1</v>
      </c>
      <c r="U1489" s="1" t="s">
        <v>30</v>
      </c>
      <c r="V1489" s="3">
        <v>8</v>
      </c>
    </row>
    <row r="1490" spans="1:22" x14ac:dyDescent="0.3">
      <c r="A1490" s="2" t="s">
        <v>3476</v>
      </c>
      <c r="B1490" s="10">
        <v>45274</v>
      </c>
      <c r="C1490" s="22">
        <v>45274</v>
      </c>
      <c r="D1490" s="1" t="s">
        <v>3477</v>
      </c>
      <c r="E1490" s="1" t="s">
        <v>657</v>
      </c>
      <c r="F1490" s="1">
        <v>26</v>
      </c>
      <c r="G1490" s="1" t="s">
        <v>24</v>
      </c>
      <c r="H1490" s="1" t="s">
        <v>35</v>
      </c>
      <c r="I1490" s="1" t="s">
        <v>106</v>
      </c>
      <c r="J1490" s="1" t="s">
        <v>76</v>
      </c>
      <c r="K1490" s="1" t="s">
        <v>113</v>
      </c>
      <c r="L1490" s="1">
        <v>9</v>
      </c>
      <c r="M1490" s="13">
        <v>3755.73</v>
      </c>
      <c r="N1490" s="15">
        <v>0.11</v>
      </c>
      <c r="O1490" s="13">
        <v>27923.07</v>
      </c>
      <c r="P1490" s="13">
        <v>12762.99</v>
      </c>
      <c r="Q1490" s="13">
        <v>89.92</v>
      </c>
      <c r="R1490" s="1" t="s">
        <v>29</v>
      </c>
      <c r="S1490" s="1">
        <v>1</v>
      </c>
      <c r="T1490" s="1" t="b">
        <v>0</v>
      </c>
      <c r="U1490" s="1" t="s">
        <v>39</v>
      </c>
      <c r="V1490" s="3">
        <v>3</v>
      </c>
    </row>
    <row r="1491" spans="1:22" x14ac:dyDescent="0.3">
      <c r="A1491" s="2" t="s">
        <v>3478</v>
      </c>
      <c r="B1491" s="10">
        <v>44284</v>
      </c>
      <c r="C1491" s="22">
        <v>44284</v>
      </c>
      <c r="D1491" s="1" t="s">
        <v>3479</v>
      </c>
      <c r="E1491" s="1" t="s">
        <v>341</v>
      </c>
      <c r="F1491" s="1">
        <v>28</v>
      </c>
      <c r="G1491" s="1" t="s">
        <v>34</v>
      </c>
      <c r="H1491" s="1" t="s">
        <v>82</v>
      </c>
      <c r="I1491" s="1" t="s">
        <v>83</v>
      </c>
      <c r="J1491" s="1" t="s">
        <v>76</v>
      </c>
      <c r="K1491" s="1" t="s">
        <v>207</v>
      </c>
      <c r="L1491" s="1">
        <v>2</v>
      </c>
      <c r="M1491" s="13">
        <v>2973.25</v>
      </c>
      <c r="N1491" s="15">
        <v>0.16</v>
      </c>
      <c r="O1491" s="13">
        <v>5032.59</v>
      </c>
      <c r="P1491" s="13">
        <v>2113.6999999999998</v>
      </c>
      <c r="Q1491" s="13">
        <v>62.75</v>
      </c>
      <c r="R1491" s="1" t="s">
        <v>78</v>
      </c>
      <c r="S1491" s="1">
        <v>1</v>
      </c>
      <c r="T1491" s="1" t="b">
        <v>1</v>
      </c>
      <c r="U1491" s="1" t="s">
        <v>30</v>
      </c>
      <c r="V1491" s="3">
        <v>8</v>
      </c>
    </row>
    <row r="1492" spans="1:22" x14ac:dyDescent="0.3">
      <c r="A1492" s="2" t="s">
        <v>3480</v>
      </c>
      <c r="B1492" s="10">
        <v>45036</v>
      </c>
      <c r="C1492" s="22">
        <v>45036</v>
      </c>
      <c r="D1492" s="1" t="s">
        <v>3481</v>
      </c>
      <c r="E1492" s="1" t="s">
        <v>2927</v>
      </c>
      <c r="F1492" s="1">
        <v>45</v>
      </c>
      <c r="G1492" s="1" t="s">
        <v>68</v>
      </c>
      <c r="H1492" s="1" t="s">
        <v>35</v>
      </c>
      <c r="I1492" s="1" t="s">
        <v>49</v>
      </c>
      <c r="J1492" s="1" t="s">
        <v>146</v>
      </c>
      <c r="K1492" s="1" t="s">
        <v>484</v>
      </c>
      <c r="L1492" s="1">
        <v>3</v>
      </c>
      <c r="M1492" s="13">
        <v>9606.06</v>
      </c>
      <c r="N1492" s="15">
        <v>0.27</v>
      </c>
      <c r="O1492" s="13">
        <v>22984.85</v>
      </c>
      <c r="P1492" s="13">
        <v>4327.42</v>
      </c>
      <c r="Q1492" s="13">
        <v>50.91</v>
      </c>
      <c r="R1492" s="1" t="s">
        <v>57</v>
      </c>
      <c r="S1492" s="1">
        <v>5</v>
      </c>
      <c r="T1492" s="1" t="b">
        <v>0</v>
      </c>
      <c r="U1492" s="1" t="s">
        <v>39</v>
      </c>
      <c r="V1492" s="3">
        <v>4</v>
      </c>
    </row>
    <row r="1493" spans="1:22" x14ac:dyDescent="0.3">
      <c r="A1493" s="2" t="s">
        <v>3482</v>
      </c>
      <c r="B1493" s="10">
        <v>44733</v>
      </c>
      <c r="C1493" s="22">
        <v>44733</v>
      </c>
      <c r="D1493" s="1" t="s">
        <v>3483</v>
      </c>
      <c r="E1493" s="1" t="s">
        <v>578</v>
      </c>
      <c r="F1493" s="1">
        <v>55</v>
      </c>
      <c r="G1493" s="1" t="s">
        <v>68</v>
      </c>
      <c r="H1493" s="1" t="s">
        <v>74</v>
      </c>
      <c r="I1493" s="1" t="s">
        <v>136</v>
      </c>
      <c r="J1493" s="1" t="s">
        <v>37</v>
      </c>
      <c r="K1493" s="1" t="s">
        <v>38</v>
      </c>
      <c r="L1493" s="1">
        <v>7</v>
      </c>
      <c r="M1493" s="13">
        <v>2037.82</v>
      </c>
      <c r="N1493" s="15">
        <v>0.02</v>
      </c>
      <c r="O1493" s="13">
        <v>21578.84</v>
      </c>
      <c r="P1493" s="13">
        <v>9156.6</v>
      </c>
      <c r="Q1493" s="13">
        <v>69.790000000000006</v>
      </c>
      <c r="R1493" s="1" t="s">
        <v>70</v>
      </c>
      <c r="S1493" s="1">
        <v>3</v>
      </c>
      <c r="T1493" s="1" t="b">
        <v>0</v>
      </c>
      <c r="U1493" s="1" t="s">
        <v>137</v>
      </c>
      <c r="V1493" s="3">
        <v>8</v>
      </c>
    </row>
    <row r="1494" spans="1:22" x14ac:dyDescent="0.3">
      <c r="A1494" s="2" t="s">
        <v>3484</v>
      </c>
      <c r="B1494" s="10">
        <v>45008</v>
      </c>
      <c r="C1494" s="22">
        <v>45008</v>
      </c>
      <c r="D1494" s="1" t="s">
        <v>3485</v>
      </c>
      <c r="E1494" s="1" t="s">
        <v>292</v>
      </c>
      <c r="F1494" s="1">
        <v>35</v>
      </c>
      <c r="G1494" s="1" t="s">
        <v>463</v>
      </c>
      <c r="H1494" s="1" t="s">
        <v>74</v>
      </c>
      <c r="I1494" s="1" t="s">
        <v>75</v>
      </c>
      <c r="J1494" s="1" t="s">
        <v>37</v>
      </c>
      <c r="K1494" s="1" t="s">
        <v>102</v>
      </c>
      <c r="L1494" s="1">
        <v>10</v>
      </c>
      <c r="M1494" s="13">
        <v>1251.33</v>
      </c>
      <c r="N1494" s="15">
        <v>0.24</v>
      </c>
      <c r="O1494" s="13">
        <v>11610.5</v>
      </c>
      <c r="P1494" s="13">
        <v>5273.78</v>
      </c>
      <c r="Q1494" s="13">
        <v>55.63</v>
      </c>
      <c r="R1494" s="1" t="s">
        <v>57</v>
      </c>
      <c r="S1494" s="1">
        <v>3</v>
      </c>
      <c r="T1494" s="1" t="b">
        <v>0</v>
      </c>
      <c r="U1494" s="1" t="s">
        <v>39</v>
      </c>
      <c r="V1494" s="3">
        <v>4</v>
      </c>
    </row>
    <row r="1495" spans="1:22" x14ac:dyDescent="0.3">
      <c r="A1495" s="2" t="s">
        <v>3486</v>
      </c>
      <c r="B1495" s="10">
        <v>44011</v>
      </c>
      <c r="C1495" s="22">
        <v>44011</v>
      </c>
      <c r="D1495" s="1" t="s">
        <v>3487</v>
      </c>
      <c r="E1495" s="1" t="s">
        <v>657</v>
      </c>
      <c r="F1495" s="1">
        <v>44</v>
      </c>
      <c r="G1495" s="1" t="s">
        <v>34</v>
      </c>
      <c r="H1495" s="1" t="s">
        <v>111</v>
      </c>
      <c r="I1495" s="1" t="s">
        <v>121</v>
      </c>
      <c r="J1495" s="1" t="s">
        <v>76</v>
      </c>
      <c r="K1495" s="1" t="s">
        <v>122</v>
      </c>
      <c r="L1495" s="1">
        <v>10</v>
      </c>
      <c r="M1495" s="13">
        <v>1705.06</v>
      </c>
      <c r="N1495" s="15">
        <v>0.23</v>
      </c>
      <c r="O1495" s="13">
        <v>16597.509999999998</v>
      </c>
      <c r="P1495" s="13">
        <v>4467.97</v>
      </c>
      <c r="Q1495" s="13">
        <v>63.43</v>
      </c>
      <c r="R1495" s="1" t="s">
        <v>29</v>
      </c>
      <c r="S1495" s="1">
        <v>1</v>
      </c>
      <c r="T1495" s="1" t="b">
        <v>1</v>
      </c>
      <c r="U1495" s="1" t="s">
        <v>30</v>
      </c>
      <c r="V1495" s="3">
        <v>10</v>
      </c>
    </row>
    <row r="1496" spans="1:22" x14ac:dyDescent="0.3">
      <c r="A1496" s="2" t="s">
        <v>3488</v>
      </c>
      <c r="B1496" s="10">
        <v>44196</v>
      </c>
      <c r="C1496" s="22">
        <v>44196</v>
      </c>
      <c r="D1496" s="1" t="s">
        <v>3489</v>
      </c>
      <c r="E1496" s="1" t="s">
        <v>786</v>
      </c>
      <c r="F1496" s="1">
        <v>27</v>
      </c>
      <c r="G1496" s="1" t="s">
        <v>24</v>
      </c>
      <c r="H1496" s="1" t="s">
        <v>25</v>
      </c>
      <c r="I1496" s="1" t="s">
        <v>69</v>
      </c>
      <c r="J1496" s="1" t="s">
        <v>44</v>
      </c>
      <c r="K1496" s="1" t="s">
        <v>186</v>
      </c>
      <c r="L1496" s="1">
        <v>8</v>
      </c>
      <c r="M1496" s="13">
        <v>9942.4500000000007</v>
      </c>
      <c r="N1496" s="15">
        <v>0.03</v>
      </c>
      <c r="O1496" s="13">
        <v>60313.96</v>
      </c>
      <c r="P1496" s="13">
        <v>18873.68</v>
      </c>
      <c r="Q1496" s="13">
        <v>68.3</v>
      </c>
      <c r="R1496" s="1" t="s">
        <v>57</v>
      </c>
      <c r="S1496" s="1">
        <v>5</v>
      </c>
      <c r="T1496" s="1" t="b">
        <v>0</v>
      </c>
      <c r="U1496" s="1" t="s">
        <v>84</v>
      </c>
      <c r="V1496" s="3">
        <v>4</v>
      </c>
    </row>
    <row r="1497" spans="1:22" x14ac:dyDescent="0.3">
      <c r="A1497" s="2" t="s">
        <v>3490</v>
      </c>
      <c r="B1497" s="10">
        <v>44523</v>
      </c>
      <c r="C1497" s="22">
        <v>44523</v>
      </c>
      <c r="D1497" s="1" t="s">
        <v>3491</v>
      </c>
      <c r="E1497" s="1" t="s">
        <v>583</v>
      </c>
      <c r="F1497" s="1">
        <v>33</v>
      </c>
      <c r="G1497" s="1" t="s">
        <v>391</v>
      </c>
      <c r="H1497" s="1" t="s">
        <v>25</v>
      </c>
      <c r="I1497" s="1" t="s">
        <v>170</v>
      </c>
      <c r="J1497" s="1" t="s">
        <v>27</v>
      </c>
      <c r="K1497" s="1" t="s">
        <v>97</v>
      </c>
      <c r="L1497" s="1">
        <v>7</v>
      </c>
      <c r="M1497" s="13">
        <v>307.63</v>
      </c>
      <c r="N1497" s="15">
        <v>0.33</v>
      </c>
      <c r="O1497" s="13">
        <v>1086.05</v>
      </c>
      <c r="P1497" s="13">
        <v>55.5</v>
      </c>
      <c r="Q1497" s="13">
        <v>33.159999999999997</v>
      </c>
      <c r="R1497" s="1" t="s">
        <v>51</v>
      </c>
      <c r="S1497" s="1">
        <v>4</v>
      </c>
      <c r="T1497" s="1" t="b">
        <v>0</v>
      </c>
      <c r="U1497" s="1" t="s">
        <v>39</v>
      </c>
      <c r="V1497" s="3">
        <v>1</v>
      </c>
    </row>
    <row r="1498" spans="1:22" x14ac:dyDescent="0.3">
      <c r="A1498" s="2" t="s">
        <v>3492</v>
      </c>
      <c r="B1498" s="10">
        <v>45438</v>
      </c>
      <c r="C1498" s="22">
        <v>45438</v>
      </c>
      <c r="D1498" s="1" t="s">
        <v>3493</v>
      </c>
      <c r="E1498" s="1" t="s">
        <v>272</v>
      </c>
      <c r="F1498" s="1">
        <v>23</v>
      </c>
      <c r="G1498" s="1" t="s">
        <v>34</v>
      </c>
      <c r="H1498" s="1" t="s">
        <v>111</v>
      </c>
      <c r="I1498" s="1" t="s">
        <v>141</v>
      </c>
      <c r="J1498" s="1" t="s">
        <v>146</v>
      </c>
      <c r="K1498" s="1" t="s">
        <v>147</v>
      </c>
      <c r="L1498" s="1">
        <v>5</v>
      </c>
      <c r="M1498" s="13">
        <v>7747.27</v>
      </c>
      <c r="N1498" s="15">
        <v>0.33</v>
      </c>
      <c r="O1498" s="13">
        <v>8175.82</v>
      </c>
      <c r="P1498" s="13">
        <v>2263.89</v>
      </c>
      <c r="Q1498" s="13">
        <v>42.55</v>
      </c>
      <c r="R1498" s="1" t="s">
        <v>29</v>
      </c>
      <c r="S1498" s="1">
        <v>5</v>
      </c>
      <c r="T1498" s="1" t="b">
        <v>0</v>
      </c>
      <c r="U1498" s="1" t="s">
        <v>137</v>
      </c>
      <c r="V1498" s="3">
        <v>3</v>
      </c>
    </row>
    <row r="1499" spans="1:22" x14ac:dyDescent="0.3">
      <c r="A1499" s="2" t="s">
        <v>3494</v>
      </c>
      <c r="B1499" s="10">
        <v>45360</v>
      </c>
      <c r="C1499" s="22">
        <v>45360</v>
      </c>
      <c r="D1499" s="1" t="s">
        <v>3495</v>
      </c>
      <c r="E1499" s="1" t="s">
        <v>690</v>
      </c>
      <c r="F1499" s="1">
        <v>42</v>
      </c>
      <c r="G1499" s="1" t="s">
        <v>68</v>
      </c>
      <c r="H1499" s="1" t="s">
        <v>25</v>
      </c>
      <c r="I1499" s="1" t="s">
        <v>55</v>
      </c>
      <c r="J1499" s="1" t="s">
        <v>44</v>
      </c>
      <c r="K1499" s="1" t="s">
        <v>186</v>
      </c>
      <c r="L1499" s="1">
        <v>9</v>
      </c>
      <c r="M1499" s="13">
        <v>17413.689999999999</v>
      </c>
      <c r="N1499" s="15">
        <v>0.05</v>
      </c>
      <c r="O1499" s="13">
        <v>193913.96</v>
      </c>
      <c r="P1499" s="13">
        <v>54048.53</v>
      </c>
      <c r="Q1499" s="13">
        <v>50.26</v>
      </c>
      <c r="R1499" s="1" t="s">
        <v>78</v>
      </c>
      <c r="S1499" s="1">
        <v>2</v>
      </c>
      <c r="T1499" s="1" t="b">
        <v>0</v>
      </c>
      <c r="U1499" s="1" t="s">
        <v>39</v>
      </c>
      <c r="V1499" s="3">
        <v>1</v>
      </c>
    </row>
    <row r="1500" spans="1:22" x14ac:dyDescent="0.3">
      <c r="A1500" s="2" t="s">
        <v>3496</v>
      </c>
      <c r="B1500" s="10">
        <v>44540</v>
      </c>
      <c r="C1500" s="22">
        <v>44540</v>
      </c>
      <c r="D1500" s="1" t="s">
        <v>3497</v>
      </c>
      <c r="E1500" s="1" t="s">
        <v>2161</v>
      </c>
      <c r="F1500" s="1">
        <v>44</v>
      </c>
      <c r="G1500" s="1" t="s">
        <v>34</v>
      </c>
      <c r="H1500" s="1" t="s">
        <v>74</v>
      </c>
      <c r="I1500" s="1" t="s">
        <v>75</v>
      </c>
      <c r="J1500" s="1" t="s">
        <v>127</v>
      </c>
      <c r="K1500" s="1" t="s">
        <v>196</v>
      </c>
      <c r="L1500" s="1">
        <v>5</v>
      </c>
      <c r="M1500" s="13">
        <v>11301.06</v>
      </c>
      <c r="N1500" s="15">
        <v>0.25</v>
      </c>
      <c r="O1500" s="13">
        <v>34158.03</v>
      </c>
      <c r="P1500" s="13">
        <v>4246.6000000000004</v>
      </c>
      <c r="Q1500" s="13">
        <v>53.85</v>
      </c>
      <c r="R1500" s="1" t="s">
        <v>70</v>
      </c>
      <c r="S1500" s="1">
        <v>3</v>
      </c>
      <c r="T1500" s="1" t="b">
        <v>0</v>
      </c>
      <c r="U1500" s="1" t="s">
        <v>58</v>
      </c>
      <c r="V1500" s="3">
        <v>6</v>
      </c>
    </row>
    <row r="1501" spans="1:22" x14ac:dyDescent="0.3">
      <c r="A1501" s="2" t="s">
        <v>3498</v>
      </c>
      <c r="B1501" s="10">
        <v>44905</v>
      </c>
      <c r="C1501" s="22">
        <v>44905</v>
      </c>
      <c r="D1501" s="1" t="s">
        <v>3499</v>
      </c>
      <c r="E1501" s="1" t="s">
        <v>824</v>
      </c>
      <c r="F1501" s="1">
        <v>54</v>
      </c>
      <c r="G1501" s="1" t="s">
        <v>24</v>
      </c>
      <c r="H1501" s="1" t="s">
        <v>74</v>
      </c>
      <c r="I1501" s="1" t="s">
        <v>101</v>
      </c>
      <c r="J1501" s="1" t="s">
        <v>27</v>
      </c>
      <c r="K1501" s="1" t="s">
        <v>56</v>
      </c>
      <c r="L1501" s="1">
        <v>3</v>
      </c>
      <c r="M1501" s="13">
        <v>448.85</v>
      </c>
      <c r="N1501" s="15">
        <v>0.02</v>
      </c>
      <c r="O1501" s="13">
        <v>1000.55</v>
      </c>
      <c r="P1501" s="13">
        <v>81.62</v>
      </c>
      <c r="Q1501" s="13">
        <v>54.31</v>
      </c>
      <c r="R1501" s="1" t="s">
        <v>70</v>
      </c>
      <c r="S1501" s="1">
        <v>2</v>
      </c>
      <c r="T1501" s="1" t="b">
        <v>0</v>
      </c>
      <c r="U1501" s="1" t="s">
        <v>84</v>
      </c>
      <c r="V1501" s="3">
        <v>2</v>
      </c>
    </row>
    <row r="1502" spans="1:22" x14ac:dyDescent="0.3">
      <c r="A1502" s="2" t="s">
        <v>3500</v>
      </c>
      <c r="B1502" s="10">
        <v>44798</v>
      </c>
      <c r="C1502" s="22">
        <v>44798</v>
      </c>
      <c r="D1502" s="1" t="s">
        <v>3501</v>
      </c>
      <c r="E1502" s="1" t="s">
        <v>116</v>
      </c>
      <c r="F1502" s="1">
        <v>35</v>
      </c>
      <c r="G1502" s="1" t="s">
        <v>68</v>
      </c>
      <c r="H1502" s="1" t="s">
        <v>74</v>
      </c>
      <c r="I1502" s="1" t="s">
        <v>75</v>
      </c>
      <c r="J1502" s="1" t="s">
        <v>127</v>
      </c>
      <c r="K1502" s="1" t="s">
        <v>128</v>
      </c>
      <c r="L1502" s="1">
        <v>7</v>
      </c>
      <c r="M1502" s="13">
        <v>62975.42</v>
      </c>
      <c r="N1502" s="15">
        <v>0.22</v>
      </c>
      <c r="O1502" s="13">
        <v>468129.68</v>
      </c>
      <c r="P1502" s="13">
        <v>79235.509999999995</v>
      </c>
      <c r="Q1502" s="13">
        <v>49.03</v>
      </c>
      <c r="R1502" s="1" t="s">
        <v>51</v>
      </c>
      <c r="S1502" s="1">
        <v>2</v>
      </c>
      <c r="T1502" s="1" t="b">
        <v>1</v>
      </c>
      <c r="U1502" s="1" t="s">
        <v>30</v>
      </c>
      <c r="V1502" s="3">
        <v>9</v>
      </c>
    </row>
    <row r="1503" spans="1:22" x14ac:dyDescent="0.3">
      <c r="A1503" s="2" t="s">
        <v>3502</v>
      </c>
      <c r="B1503" s="10">
        <v>44013</v>
      </c>
      <c r="C1503" s="22">
        <v>44013</v>
      </c>
      <c r="D1503" s="1" t="s">
        <v>3503</v>
      </c>
      <c r="E1503" s="1" t="s">
        <v>354</v>
      </c>
      <c r="F1503" s="1">
        <v>39</v>
      </c>
      <c r="G1503" s="1" t="s">
        <v>34</v>
      </c>
      <c r="H1503" s="1" t="s">
        <v>111</v>
      </c>
      <c r="I1503" s="1" t="s">
        <v>141</v>
      </c>
      <c r="J1503" s="1" t="s">
        <v>62</v>
      </c>
      <c r="K1503" s="1" t="s">
        <v>283</v>
      </c>
      <c r="L1503" s="1">
        <v>2</v>
      </c>
      <c r="M1503" s="13">
        <v>917.65</v>
      </c>
      <c r="N1503" s="15">
        <v>0.12</v>
      </c>
      <c r="O1503" s="13">
        <v>2151.39</v>
      </c>
      <c r="P1503" s="13">
        <v>856.13</v>
      </c>
      <c r="Q1503" s="13">
        <v>59.6</v>
      </c>
      <c r="R1503" s="1" t="s">
        <v>57</v>
      </c>
      <c r="S1503" s="1">
        <v>3</v>
      </c>
      <c r="T1503" s="1" t="b">
        <v>1</v>
      </c>
      <c r="U1503" s="1" t="s">
        <v>30</v>
      </c>
      <c r="V1503" s="3">
        <v>6</v>
      </c>
    </row>
    <row r="1504" spans="1:22" x14ac:dyDescent="0.3">
      <c r="A1504" s="2" t="s">
        <v>3504</v>
      </c>
      <c r="B1504" s="10">
        <v>44748</v>
      </c>
      <c r="C1504" s="22">
        <v>44748</v>
      </c>
      <c r="D1504" s="1" t="s">
        <v>3505</v>
      </c>
      <c r="E1504" s="1" t="s">
        <v>516</v>
      </c>
      <c r="F1504" s="1">
        <v>27</v>
      </c>
      <c r="G1504" s="1" t="s">
        <v>68</v>
      </c>
      <c r="H1504" s="1" t="s">
        <v>111</v>
      </c>
      <c r="I1504" s="1" t="s">
        <v>141</v>
      </c>
      <c r="J1504" s="1" t="s">
        <v>37</v>
      </c>
      <c r="K1504" s="1" t="s">
        <v>454</v>
      </c>
      <c r="L1504" s="1">
        <v>9</v>
      </c>
      <c r="M1504" s="13">
        <v>1127.06</v>
      </c>
      <c r="N1504" s="15">
        <v>0.38</v>
      </c>
      <c r="O1504" s="13">
        <v>9829.11</v>
      </c>
      <c r="P1504" s="13">
        <v>4003.53</v>
      </c>
      <c r="Q1504" s="13">
        <v>54.43</v>
      </c>
      <c r="R1504" s="1" t="s">
        <v>51</v>
      </c>
      <c r="S1504" s="1">
        <v>5</v>
      </c>
      <c r="T1504" s="1" t="b">
        <v>0</v>
      </c>
      <c r="U1504" s="1" t="s">
        <v>39</v>
      </c>
      <c r="V1504" s="3">
        <v>5</v>
      </c>
    </row>
    <row r="1505" spans="1:22" x14ac:dyDescent="0.3">
      <c r="A1505" s="2" t="s">
        <v>3506</v>
      </c>
      <c r="B1505" s="10">
        <v>44778</v>
      </c>
      <c r="C1505" s="22">
        <v>44778</v>
      </c>
      <c r="D1505" s="1" t="s">
        <v>3507</v>
      </c>
      <c r="E1505" s="1" t="s">
        <v>61</v>
      </c>
      <c r="F1505" s="1">
        <v>38</v>
      </c>
      <c r="G1505" s="1" t="s">
        <v>24</v>
      </c>
      <c r="H1505" s="1" t="s">
        <v>111</v>
      </c>
      <c r="I1505" s="1" t="s">
        <v>141</v>
      </c>
      <c r="J1505" s="1" t="s">
        <v>44</v>
      </c>
      <c r="K1505" s="1" t="s">
        <v>45</v>
      </c>
      <c r="L1505" s="1">
        <v>5</v>
      </c>
      <c r="M1505" s="13">
        <v>17880.95</v>
      </c>
      <c r="N1505" s="15">
        <v>0.03</v>
      </c>
      <c r="O1505" s="13">
        <v>116528.23</v>
      </c>
      <c r="P1505" s="13">
        <v>33231.599999999999</v>
      </c>
      <c r="Q1505" s="13">
        <v>47.07</v>
      </c>
      <c r="R1505" s="1" t="s">
        <v>57</v>
      </c>
      <c r="S1505" s="1">
        <v>1</v>
      </c>
      <c r="T1505" s="1" t="b">
        <v>0</v>
      </c>
      <c r="U1505" s="1" t="s">
        <v>58</v>
      </c>
      <c r="V1505" s="3">
        <v>2</v>
      </c>
    </row>
    <row r="1506" spans="1:22" x14ac:dyDescent="0.3">
      <c r="A1506" s="2" t="s">
        <v>3508</v>
      </c>
      <c r="B1506" s="10">
        <v>44794</v>
      </c>
      <c r="C1506" s="22">
        <v>44794</v>
      </c>
      <c r="D1506" s="1" t="s">
        <v>3509</v>
      </c>
      <c r="E1506" s="1" t="s">
        <v>2494</v>
      </c>
      <c r="F1506" s="1">
        <v>44</v>
      </c>
      <c r="G1506" s="1" t="s">
        <v>68</v>
      </c>
      <c r="H1506" s="1" t="s">
        <v>111</v>
      </c>
      <c r="I1506" s="1" t="s">
        <v>330</v>
      </c>
      <c r="J1506" s="1" t="s">
        <v>62</v>
      </c>
      <c r="K1506" s="1" t="s">
        <v>151</v>
      </c>
      <c r="L1506" s="1">
        <v>2</v>
      </c>
      <c r="M1506" s="13">
        <v>1390.9</v>
      </c>
      <c r="N1506" s="15">
        <v>0.4</v>
      </c>
      <c r="O1506" s="13">
        <v>2194.06</v>
      </c>
      <c r="P1506" s="13">
        <v>741.62</v>
      </c>
      <c r="Q1506" s="13">
        <v>68.5</v>
      </c>
      <c r="R1506" s="1" t="s">
        <v>70</v>
      </c>
      <c r="S1506" s="1">
        <v>2</v>
      </c>
      <c r="T1506" s="1" t="b">
        <v>0</v>
      </c>
      <c r="U1506" s="1" t="s">
        <v>39</v>
      </c>
      <c r="V1506" s="3">
        <v>8</v>
      </c>
    </row>
    <row r="1507" spans="1:22" x14ac:dyDescent="0.3">
      <c r="A1507" s="2" t="s">
        <v>3510</v>
      </c>
      <c r="B1507" s="10">
        <v>44092</v>
      </c>
      <c r="C1507" s="22">
        <v>44092</v>
      </c>
      <c r="D1507" s="1" t="s">
        <v>3511</v>
      </c>
      <c r="E1507" s="1" t="s">
        <v>426</v>
      </c>
      <c r="F1507" s="1">
        <v>15</v>
      </c>
      <c r="G1507" s="1" t="s">
        <v>24</v>
      </c>
      <c r="H1507" s="1" t="s">
        <v>35</v>
      </c>
      <c r="I1507" s="1" t="s">
        <v>43</v>
      </c>
      <c r="J1507" s="1" t="s">
        <v>146</v>
      </c>
      <c r="K1507" s="1" t="s">
        <v>484</v>
      </c>
      <c r="L1507" s="1">
        <v>8</v>
      </c>
      <c r="M1507" s="13">
        <v>5733.61</v>
      </c>
      <c r="N1507" s="15">
        <v>0.13</v>
      </c>
      <c r="O1507" s="13">
        <v>40572.080000000002</v>
      </c>
      <c r="P1507" s="13">
        <v>10225.36</v>
      </c>
      <c r="Q1507" s="13">
        <v>74.430000000000007</v>
      </c>
      <c r="R1507" s="1" t="s">
        <v>57</v>
      </c>
      <c r="S1507" s="1">
        <v>1</v>
      </c>
      <c r="T1507" s="1" t="b">
        <v>0</v>
      </c>
      <c r="U1507" s="1" t="s">
        <v>39</v>
      </c>
      <c r="V1507" s="3">
        <v>3</v>
      </c>
    </row>
    <row r="1508" spans="1:22" x14ac:dyDescent="0.3">
      <c r="A1508" s="2" t="s">
        <v>3512</v>
      </c>
      <c r="B1508" s="10">
        <v>44066</v>
      </c>
      <c r="C1508" s="22">
        <v>44066</v>
      </c>
      <c r="D1508" s="1" t="s">
        <v>3513</v>
      </c>
      <c r="E1508" s="1" t="s">
        <v>2053</v>
      </c>
      <c r="F1508" s="1">
        <v>33</v>
      </c>
      <c r="G1508" s="1" t="s">
        <v>24</v>
      </c>
      <c r="H1508" s="1" t="s">
        <v>74</v>
      </c>
      <c r="I1508" s="1" t="s">
        <v>101</v>
      </c>
      <c r="J1508" s="1" t="s">
        <v>76</v>
      </c>
      <c r="K1508" s="1" t="s">
        <v>77</v>
      </c>
      <c r="L1508" s="1">
        <v>5</v>
      </c>
      <c r="M1508" s="13">
        <v>774.58</v>
      </c>
      <c r="N1508" s="15">
        <v>0.31</v>
      </c>
      <c r="O1508" s="13">
        <v>670.73</v>
      </c>
      <c r="P1508" s="13">
        <v>287.27</v>
      </c>
      <c r="Q1508" s="13">
        <v>49.67</v>
      </c>
      <c r="R1508" s="1" t="s">
        <v>78</v>
      </c>
      <c r="S1508" s="1">
        <v>3</v>
      </c>
      <c r="T1508" s="1" t="b">
        <v>0</v>
      </c>
      <c r="U1508" s="1" t="s">
        <v>39</v>
      </c>
      <c r="V1508" s="3">
        <v>6</v>
      </c>
    </row>
    <row r="1509" spans="1:22" x14ac:dyDescent="0.3">
      <c r="A1509" s="2" t="s">
        <v>3514</v>
      </c>
      <c r="B1509" s="10">
        <v>45491</v>
      </c>
      <c r="C1509" s="22">
        <v>45491</v>
      </c>
      <c r="D1509" s="1" t="s">
        <v>3515</v>
      </c>
      <c r="E1509" s="1" t="s">
        <v>976</v>
      </c>
      <c r="F1509" s="1">
        <v>28</v>
      </c>
      <c r="G1509" s="1" t="s">
        <v>34</v>
      </c>
      <c r="H1509" s="1" t="s">
        <v>35</v>
      </c>
      <c r="I1509" s="1" t="s">
        <v>36</v>
      </c>
      <c r="J1509" s="1" t="s">
        <v>44</v>
      </c>
      <c r="K1509" s="1" t="s">
        <v>221</v>
      </c>
      <c r="L1509" s="1">
        <v>9</v>
      </c>
      <c r="M1509" s="13">
        <v>10925.91</v>
      </c>
      <c r="N1509" s="15">
        <v>0.33</v>
      </c>
      <c r="O1509" s="13">
        <v>95157.91</v>
      </c>
      <c r="P1509" s="13">
        <v>21495.8</v>
      </c>
      <c r="Q1509" s="13">
        <v>38.47</v>
      </c>
      <c r="R1509" s="1" t="s">
        <v>57</v>
      </c>
      <c r="S1509" s="1">
        <v>4</v>
      </c>
      <c r="T1509" s="1" t="b">
        <v>0</v>
      </c>
      <c r="U1509" s="1" t="s">
        <v>39</v>
      </c>
      <c r="V1509" s="3">
        <v>9</v>
      </c>
    </row>
    <row r="1510" spans="1:22" x14ac:dyDescent="0.3">
      <c r="A1510" s="2" t="s">
        <v>3516</v>
      </c>
      <c r="B1510" s="10">
        <v>43943</v>
      </c>
      <c r="C1510" s="22">
        <v>43943</v>
      </c>
      <c r="D1510" s="1" t="s">
        <v>3517</v>
      </c>
      <c r="E1510" s="1" t="s">
        <v>3518</v>
      </c>
      <c r="F1510" s="1">
        <v>18</v>
      </c>
      <c r="G1510" s="1" t="s">
        <v>34</v>
      </c>
      <c r="H1510" s="1" t="s">
        <v>25</v>
      </c>
      <c r="I1510" s="1" t="s">
        <v>69</v>
      </c>
      <c r="J1510" s="1" t="s">
        <v>27</v>
      </c>
      <c r="K1510" s="1" t="s">
        <v>430</v>
      </c>
      <c r="L1510" s="1">
        <v>7</v>
      </c>
      <c r="M1510" s="13">
        <v>224.96</v>
      </c>
      <c r="N1510" s="15">
        <v>0.22</v>
      </c>
      <c r="O1510" s="13">
        <v>1195.3</v>
      </c>
      <c r="P1510" s="13">
        <v>91.79</v>
      </c>
      <c r="Q1510" s="13">
        <v>52.6</v>
      </c>
      <c r="R1510" s="1" t="s">
        <v>70</v>
      </c>
      <c r="S1510" s="1">
        <v>2</v>
      </c>
      <c r="T1510" s="1" t="b">
        <v>0</v>
      </c>
      <c r="U1510" s="1" t="s">
        <v>39</v>
      </c>
      <c r="V1510" s="3">
        <v>8</v>
      </c>
    </row>
    <row r="1511" spans="1:22" x14ac:dyDescent="0.3">
      <c r="A1511" s="2" t="s">
        <v>3519</v>
      </c>
      <c r="B1511" s="10">
        <v>45590</v>
      </c>
      <c r="C1511" s="22">
        <v>45590</v>
      </c>
      <c r="D1511" s="1" t="s">
        <v>3520</v>
      </c>
      <c r="E1511" s="1" t="s">
        <v>33</v>
      </c>
      <c r="F1511" s="1">
        <v>69</v>
      </c>
      <c r="G1511" s="1" t="s">
        <v>24</v>
      </c>
      <c r="H1511" s="1" t="s">
        <v>35</v>
      </c>
      <c r="I1511" s="1" t="s">
        <v>36</v>
      </c>
      <c r="J1511" s="1" t="s">
        <v>27</v>
      </c>
      <c r="K1511" s="1" t="s">
        <v>28</v>
      </c>
      <c r="L1511" s="1">
        <v>4</v>
      </c>
      <c r="M1511" s="13">
        <v>226.36</v>
      </c>
      <c r="N1511" s="15">
        <v>0.27</v>
      </c>
      <c r="O1511" s="13">
        <v>801.8</v>
      </c>
      <c r="P1511" s="13">
        <v>89.81</v>
      </c>
      <c r="Q1511" s="13">
        <v>59.7</v>
      </c>
      <c r="R1511" s="1" t="s">
        <v>29</v>
      </c>
      <c r="S1511" s="1">
        <v>2</v>
      </c>
      <c r="T1511" s="1" t="b">
        <v>0</v>
      </c>
      <c r="U1511" s="1" t="s">
        <v>137</v>
      </c>
      <c r="V1511" s="3">
        <v>5</v>
      </c>
    </row>
    <row r="1512" spans="1:22" x14ac:dyDescent="0.3">
      <c r="A1512" s="2" t="s">
        <v>3521</v>
      </c>
      <c r="B1512" s="10">
        <v>44844</v>
      </c>
      <c r="C1512" s="22">
        <v>44844</v>
      </c>
      <c r="D1512" s="1" t="s">
        <v>3522</v>
      </c>
      <c r="E1512" s="1" t="s">
        <v>1447</v>
      </c>
      <c r="F1512" s="1">
        <v>21</v>
      </c>
      <c r="G1512" s="1" t="s">
        <v>34</v>
      </c>
      <c r="H1512" s="1" t="s">
        <v>35</v>
      </c>
      <c r="I1512" s="1" t="s">
        <v>49</v>
      </c>
      <c r="J1512" s="1" t="s">
        <v>127</v>
      </c>
      <c r="K1512" s="1" t="s">
        <v>308</v>
      </c>
      <c r="L1512" s="1">
        <v>6</v>
      </c>
      <c r="M1512" s="13">
        <v>78971.02</v>
      </c>
      <c r="N1512" s="15">
        <v>0.22</v>
      </c>
      <c r="O1512" s="13">
        <v>377676.65</v>
      </c>
      <c r="P1512" s="13">
        <v>38339.769999999997</v>
      </c>
      <c r="Q1512" s="13">
        <v>61.31</v>
      </c>
      <c r="R1512" s="1" t="s">
        <v>51</v>
      </c>
      <c r="S1512" s="1">
        <v>3</v>
      </c>
      <c r="T1512" s="1" t="b">
        <v>0</v>
      </c>
      <c r="U1512" s="1" t="s">
        <v>137</v>
      </c>
      <c r="V1512" s="3">
        <v>9</v>
      </c>
    </row>
    <row r="1513" spans="1:22" x14ac:dyDescent="0.3">
      <c r="A1513" s="2" t="s">
        <v>3523</v>
      </c>
      <c r="B1513" s="10">
        <v>44150</v>
      </c>
      <c r="C1513" s="22">
        <v>44150</v>
      </c>
      <c r="D1513" s="1" t="s">
        <v>3524</v>
      </c>
      <c r="E1513" s="1" t="s">
        <v>247</v>
      </c>
      <c r="F1513" s="1">
        <v>26</v>
      </c>
      <c r="G1513" s="1" t="s">
        <v>68</v>
      </c>
      <c r="H1513" s="1" t="s">
        <v>35</v>
      </c>
      <c r="I1513" s="1" t="s">
        <v>49</v>
      </c>
      <c r="J1513" s="1" t="s">
        <v>27</v>
      </c>
      <c r="K1513" s="1" t="s">
        <v>97</v>
      </c>
      <c r="L1513" s="1">
        <v>8</v>
      </c>
      <c r="M1513" s="13">
        <v>52.56</v>
      </c>
      <c r="N1513" s="15">
        <v>0.37</v>
      </c>
      <c r="O1513" s="13">
        <v>225.58</v>
      </c>
      <c r="P1513" s="13">
        <v>17.940000000000001</v>
      </c>
      <c r="Q1513" s="13">
        <v>62.46</v>
      </c>
      <c r="R1513" s="1" t="s">
        <v>29</v>
      </c>
      <c r="S1513" s="1">
        <v>5</v>
      </c>
      <c r="T1513" s="1" t="b">
        <v>1</v>
      </c>
      <c r="U1513" s="1" t="s">
        <v>30</v>
      </c>
      <c r="V1513" s="3">
        <v>1</v>
      </c>
    </row>
    <row r="1514" spans="1:22" x14ac:dyDescent="0.3">
      <c r="A1514" s="2" t="s">
        <v>3525</v>
      </c>
      <c r="B1514" s="10">
        <v>45077</v>
      </c>
      <c r="C1514" s="22">
        <v>45077</v>
      </c>
      <c r="D1514" s="1" t="s">
        <v>3526</v>
      </c>
      <c r="E1514" s="1" t="s">
        <v>842</v>
      </c>
      <c r="F1514" s="1">
        <v>30</v>
      </c>
      <c r="G1514" s="1" t="s">
        <v>34</v>
      </c>
      <c r="H1514" s="1" t="s">
        <v>35</v>
      </c>
      <c r="I1514" s="1" t="s">
        <v>43</v>
      </c>
      <c r="J1514" s="1" t="s">
        <v>37</v>
      </c>
      <c r="K1514" s="1" t="s">
        <v>182</v>
      </c>
      <c r="L1514" s="1">
        <v>10</v>
      </c>
      <c r="M1514" s="13">
        <v>1573.67</v>
      </c>
      <c r="N1514" s="15">
        <v>0.23</v>
      </c>
      <c r="O1514" s="13">
        <v>18377.46</v>
      </c>
      <c r="P1514" s="13">
        <v>7519.84</v>
      </c>
      <c r="Q1514" s="13">
        <v>64.77</v>
      </c>
      <c r="R1514" s="1" t="s">
        <v>64</v>
      </c>
      <c r="S1514" s="1">
        <v>5</v>
      </c>
      <c r="T1514" s="1" t="b">
        <v>0</v>
      </c>
      <c r="U1514" s="1" t="s">
        <v>39</v>
      </c>
      <c r="V1514" s="3">
        <v>7</v>
      </c>
    </row>
    <row r="1515" spans="1:22" x14ac:dyDescent="0.3">
      <c r="A1515" s="2" t="s">
        <v>3527</v>
      </c>
      <c r="B1515" s="10">
        <v>44611</v>
      </c>
      <c r="C1515" s="22">
        <v>44611</v>
      </c>
      <c r="D1515" s="1" t="s">
        <v>3528</v>
      </c>
      <c r="E1515" s="1" t="s">
        <v>1348</v>
      </c>
      <c r="F1515" s="1">
        <v>4</v>
      </c>
      <c r="G1515" s="1" t="s">
        <v>24</v>
      </c>
      <c r="H1515" s="1" t="s">
        <v>25</v>
      </c>
      <c r="I1515" s="1" t="s">
        <v>55</v>
      </c>
      <c r="J1515" s="1" t="s">
        <v>76</v>
      </c>
      <c r="K1515" s="1" t="s">
        <v>89</v>
      </c>
      <c r="L1515" s="1">
        <v>2</v>
      </c>
      <c r="M1515" s="13">
        <v>3632.97</v>
      </c>
      <c r="N1515" s="15">
        <v>0.15</v>
      </c>
      <c r="O1515" s="13">
        <v>6196.59</v>
      </c>
      <c r="P1515" s="13">
        <v>1525.34</v>
      </c>
      <c r="Q1515" s="13">
        <v>56.08</v>
      </c>
      <c r="R1515" s="1" t="s">
        <v>64</v>
      </c>
      <c r="S1515" s="1">
        <v>3</v>
      </c>
      <c r="T1515" s="1" t="b">
        <v>0</v>
      </c>
      <c r="U1515" s="1" t="s">
        <v>39</v>
      </c>
      <c r="V1515" s="3">
        <v>2</v>
      </c>
    </row>
    <row r="1516" spans="1:22" x14ac:dyDescent="0.3">
      <c r="A1516" s="2" t="s">
        <v>3529</v>
      </c>
      <c r="B1516" s="10">
        <v>44656</v>
      </c>
      <c r="C1516" s="22">
        <v>44656</v>
      </c>
      <c r="D1516" s="1" t="s">
        <v>3530</v>
      </c>
      <c r="E1516" s="1" t="s">
        <v>3077</v>
      </c>
      <c r="F1516" s="1">
        <v>41</v>
      </c>
      <c r="G1516" s="1" t="s">
        <v>68</v>
      </c>
      <c r="H1516" s="1" t="s">
        <v>74</v>
      </c>
      <c r="I1516" s="1" t="s">
        <v>136</v>
      </c>
      <c r="J1516" s="1" t="s">
        <v>127</v>
      </c>
      <c r="K1516" s="1" t="s">
        <v>142</v>
      </c>
      <c r="L1516" s="1">
        <v>2</v>
      </c>
      <c r="M1516" s="13">
        <v>17140.580000000002</v>
      </c>
      <c r="N1516" s="15">
        <v>0.38</v>
      </c>
      <c r="O1516" s="13">
        <v>30862.38</v>
      </c>
      <c r="P1516" s="13">
        <v>4123.18</v>
      </c>
      <c r="Q1516" s="13">
        <v>34.79</v>
      </c>
      <c r="R1516" s="1" t="s">
        <v>29</v>
      </c>
      <c r="S1516" s="1">
        <v>2</v>
      </c>
      <c r="T1516" s="1" t="b">
        <v>0</v>
      </c>
      <c r="U1516" s="1" t="s">
        <v>39</v>
      </c>
      <c r="V1516" s="3">
        <v>5</v>
      </c>
    </row>
    <row r="1517" spans="1:22" x14ac:dyDescent="0.3">
      <c r="A1517" s="2" t="s">
        <v>3531</v>
      </c>
      <c r="B1517" s="10">
        <v>44984</v>
      </c>
      <c r="C1517" s="22">
        <v>44984</v>
      </c>
      <c r="D1517" s="1" t="s">
        <v>3532</v>
      </c>
      <c r="E1517" s="1" t="s">
        <v>786</v>
      </c>
      <c r="F1517" s="1">
        <v>42</v>
      </c>
      <c r="G1517" s="1" t="s">
        <v>34</v>
      </c>
      <c r="H1517" s="1" t="s">
        <v>35</v>
      </c>
      <c r="I1517" s="1" t="s">
        <v>106</v>
      </c>
      <c r="J1517" s="1" t="s">
        <v>127</v>
      </c>
      <c r="K1517" s="1" t="s">
        <v>308</v>
      </c>
      <c r="L1517" s="1">
        <v>8</v>
      </c>
      <c r="M1517" s="13">
        <v>63840.88</v>
      </c>
      <c r="N1517" s="15">
        <v>0.28999999999999998</v>
      </c>
      <c r="O1517" s="13">
        <v>376670.08</v>
      </c>
      <c r="P1517" s="13">
        <v>52527.72</v>
      </c>
      <c r="Q1517" s="13">
        <v>64.650000000000006</v>
      </c>
      <c r="R1517" s="1" t="s">
        <v>78</v>
      </c>
      <c r="S1517" s="1">
        <v>4</v>
      </c>
      <c r="T1517" s="1" t="b">
        <v>0</v>
      </c>
      <c r="U1517" s="1" t="s">
        <v>39</v>
      </c>
      <c r="V1517" s="3">
        <v>8</v>
      </c>
    </row>
    <row r="1518" spans="1:22" x14ac:dyDescent="0.3">
      <c r="A1518" s="2" t="s">
        <v>3533</v>
      </c>
      <c r="B1518" s="10">
        <v>44066</v>
      </c>
      <c r="C1518" s="22">
        <v>44066</v>
      </c>
      <c r="D1518" s="1" t="s">
        <v>3534</v>
      </c>
      <c r="E1518" s="1" t="s">
        <v>1462</v>
      </c>
      <c r="F1518" s="1">
        <v>41</v>
      </c>
      <c r="G1518" s="1" t="s">
        <v>34</v>
      </c>
      <c r="H1518" s="1" t="s">
        <v>74</v>
      </c>
      <c r="I1518" s="1" t="s">
        <v>192</v>
      </c>
      <c r="J1518" s="1" t="s">
        <v>62</v>
      </c>
      <c r="K1518" s="1" t="s">
        <v>570</v>
      </c>
      <c r="L1518" s="1">
        <v>10</v>
      </c>
      <c r="M1518" s="13">
        <v>788.79</v>
      </c>
      <c r="N1518" s="15">
        <v>0.14000000000000001</v>
      </c>
      <c r="O1518" s="13">
        <v>7024.12</v>
      </c>
      <c r="P1518" s="13">
        <v>3794.94</v>
      </c>
      <c r="Q1518" s="13">
        <v>48.05</v>
      </c>
      <c r="R1518" s="1" t="s">
        <v>57</v>
      </c>
      <c r="S1518" s="1">
        <v>2</v>
      </c>
      <c r="T1518" s="1" t="b">
        <v>0</v>
      </c>
      <c r="U1518" s="1" t="s">
        <v>197</v>
      </c>
      <c r="V1518" s="3">
        <v>9</v>
      </c>
    </row>
    <row r="1519" spans="1:22" x14ac:dyDescent="0.3">
      <c r="A1519" s="2" t="s">
        <v>3535</v>
      </c>
      <c r="B1519" s="10">
        <v>44491</v>
      </c>
      <c r="C1519" s="22">
        <v>44491</v>
      </c>
      <c r="D1519" s="1" t="s">
        <v>3536</v>
      </c>
      <c r="E1519" s="1" t="s">
        <v>387</v>
      </c>
      <c r="F1519" s="1">
        <v>19</v>
      </c>
      <c r="G1519" s="1" t="s">
        <v>24</v>
      </c>
      <c r="H1519" s="1" t="s">
        <v>82</v>
      </c>
      <c r="I1519" s="1" t="s">
        <v>126</v>
      </c>
      <c r="J1519" s="1" t="s">
        <v>76</v>
      </c>
      <c r="K1519" s="1" t="s">
        <v>132</v>
      </c>
      <c r="L1519" s="1">
        <v>8</v>
      </c>
      <c r="M1519" s="13">
        <v>2778.54</v>
      </c>
      <c r="N1519" s="15">
        <v>0.15</v>
      </c>
      <c r="O1519" s="13">
        <v>18541.830000000002</v>
      </c>
      <c r="P1519" s="13">
        <v>6381.78</v>
      </c>
      <c r="Q1519" s="13">
        <v>88.73</v>
      </c>
      <c r="R1519" s="1" t="s">
        <v>29</v>
      </c>
      <c r="S1519" s="1">
        <v>3</v>
      </c>
      <c r="T1519" s="1" t="b">
        <v>0</v>
      </c>
      <c r="U1519" s="1" t="s">
        <v>39</v>
      </c>
      <c r="V1519" s="3">
        <v>6</v>
      </c>
    </row>
    <row r="1520" spans="1:22" x14ac:dyDescent="0.3">
      <c r="A1520" s="2" t="s">
        <v>3537</v>
      </c>
      <c r="B1520" s="10">
        <v>45387</v>
      </c>
      <c r="C1520" s="22">
        <v>45387</v>
      </c>
      <c r="D1520" s="1" t="s">
        <v>3538</v>
      </c>
      <c r="E1520" s="1" t="s">
        <v>523</v>
      </c>
      <c r="F1520" s="1">
        <v>51</v>
      </c>
      <c r="G1520" s="1" t="s">
        <v>34</v>
      </c>
      <c r="H1520" s="1" t="s">
        <v>82</v>
      </c>
      <c r="I1520" s="1" t="s">
        <v>244</v>
      </c>
      <c r="J1520" s="1" t="s">
        <v>127</v>
      </c>
      <c r="K1520" s="1" t="s">
        <v>142</v>
      </c>
      <c r="L1520" s="1">
        <v>3</v>
      </c>
      <c r="M1520" s="13">
        <v>15320.14</v>
      </c>
      <c r="N1520" s="15">
        <v>0.14000000000000001</v>
      </c>
      <c r="O1520" s="13">
        <v>58711.83</v>
      </c>
      <c r="P1520" s="13">
        <v>5168.1000000000004</v>
      </c>
      <c r="Q1520" s="13">
        <v>65.67</v>
      </c>
      <c r="R1520" s="1" t="s">
        <v>64</v>
      </c>
      <c r="S1520" s="1">
        <v>4</v>
      </c>
      <c r="T1520" s="1" t="b">
        <v>0</v>
      </c>
      <c r="U1520" s="1" t="s">
        <v>39</v>
      </c>
      <c r="V1520" s="3">
        <v>5</v>
      </c>
    </row>
    <row r="1521" spans="1:22" x14ac:dyDescent="0.3">
      <c r="A1521" s="2" t="s">
        <v>3539</v>
      </c>
      <c r="B1521" s="10">
        <v>43939</v>
      </c>
      <c r="C1521" s="22">
        <v>43939</v>
      </c>
      <c r="D1521" s="1" t="s">
        <v>3540</v>
      </c>
      <c r="E1521" s="1" t="s">
        <v>740</v>
      </c>
      <c r="F1521" s="1">
        <v>31</v>
      </c>
      <c r="G1521" s="1" t="s">
        <v>24</v>
      </c>
      <c r="H1521" s="1" t="s">
        <v>74</v>
      </c>
      <c r="I1521" s="1" t="s">
        <v>75</v>
      </c>
      <c r="J1521" s="1" t="s">
        <v>146</v>
      </c>
      <c r="K1521" s="1" t="s">
        <v>178</v>
      </c>
      <c r="L1521" s="1">
        <v>2</v>
      </c>
      <c r="M1521" s="13">
        <v>10120.93</v>
      </c>
      <c r="N1521" s="15">
        <v>0.3</v>
      </c>
      <c r="O1521" s="13">
        <v>14109.98</v>
      </c>
      <c r="P1521" s="13">
        <v>2053.92</v>
      </c>
      <c r="Q1521" s="13">
        <v>26.6</v>
      </c>
      <c r="R1521" s="1" t="s">
        <v>51</v>
      </c>
      <c r="S1521" s="1">
        <v>1</v>
      </c>
      <c r="T1521" s="1" t="b">
        <v>0</v>
      </c>
      <c r="U1521" s="1" t="s">
        <v>39</v>
      </c>
      <c r="V1521" s="3">
        <v>9</v>
      </c>
    </row>
    <row r="1522" spans="1:22" x14ac:dyDescent="0.3">
      <c r="A1522" s="2" t="s">
        <v>3541</v>
      </c>
      <c r="B1522" s="10">
        <v>44619</v>
      </c>
      <c r="C1522" s="22">
        <v>44619</v>
      </c>
      <c r="D1522" s="1" t="s">
        <v>3542</v>
      </c>
      <c r="E1522" s="1" t="s">
        <v>732</v>
      </c>
      <c r="F1522" s="1">
        <v>26</v>
      </c>
      <c r="G1522" s="1" t="s">
        <v>68</v>
      </c>
      <c r="H1522" s="1" t="s">
        <v>111</v>
      </c>
      <c r="I1522" s="1" t="s">
        <v>112</v>
      </c>
      <c r="J1522" s="1" t="s">
        <v>76</v>
      </c>
      <c r="K1522" s="1" t="s">
        <v>89</v>
      </c>
      <c r="L1522" s="1">
        <v>7</v>
      </c>
      <c r="M1522" s="13">
        <v>3036.93</v>
      </c>
      <c r="N1522" s="15">
        <v>0.24</v>
      </c>
      <c r="O1522" s="13">
        <v>15791.37</v>
      </c>
      <c r="P1522" s="13">
        <v>5788.85</v>
      </c>
      <c r="Q1522" s="13">
        <v>87.14</v>
      </c>
      <c r="R1522" s="1" t="s">
        <v>57</v>
      </c>
      <c r="S1522" s="1">
        <v>1</v>
      </c>
      <c r="T1522" s="1" t="b">
        <v>0</v>
      </c>
      <c r="U1522" s="1" t="s">
        <v>39</v>
      </c>
      <c r="V1522" s="3">
        <v>10</v>
      </c>
    </row>
    <row r="1523" spans="1:22" x14ac:dyDescent="0.3">
      <c r="A1523" s="2" t="s">
        <v>3543</v>
      </c>
      <c r="B1523" s="10">
        <v>44251</v>
      </c>
      <c r="C1523" s="22">
        <v>44251</v>
      </c>
      <c r="D1523" s="1" t="s">
        <v>3544</v>
      </c>
      <c r="E1523" s="1" t="s">
        <v>716</v>
      </c>
      <c r="F1523" s="1">
        <v>38</v>
      </c>
      <c r="G1523" s="1" t="s">
        <v>24</v>
      </c>
      <c r="H1523" s="1" t="s">
        <v>25</v>
      </c>
      <c r="I1523" s="1" t="s">
        <v>170</v>
      </c>
      <c r="J1523" s="1" t="s">
        <v>44</v>
      </c>
      <c r="K1523" s="1" t="s">
        <v>93</v>
      </c>
      <c r="L1523" s="1">
        <v>1</v>
      </c>
      <c r="M1523" s="13">
        <v>17927.93</v>
      </c>
      <c r="N1523" s="15">
        <v>0.26</v>
      </c>
      <c r="O1523" s="13">
        <v>11706.31</v>
      </c>
      <c r="P1523" s="13">
        <v>2947.16</v>
      </c>
      <c r="Q1523" s="13">
        <v>44.44</v>
      </c>
      <c r="R1523" s="1" t="s">
        <v>70</v>
      </c>
      <c r="S1523" s="1">
        <v>3</v>
      </c>
      <c r="T1523" s="1" t="b">
        <v>1</v>
      </c>
      <c r="U1523" s="1" t="s">
        <v>30</v>
      </c>
      <c r="V1523" s="3">
        <v>8</v>
      </c>
    </row>
    <row r="1524" spans="1:22" x14ac:dyDescent="0.3">
      <c r="A1524" s="2" t="s">
        <v>3545</v>
      </c>
      <c r="B1524" s="10">
        <v>44912</v>
      </c>
      <c r="C1524" s="22">
        <v>44912</v>
      </c>
      <c r="D1524" s="1" t="s">
        <v>798</v>
      </c>
      <c r="E1524" s="1" t="s">
        <v>1154</v>
      </c>
      <c r="F1524" s="1">
        <v>16</v>
      </c>
      <c r="G1524" s="1" t="s">
        <v>34</v>
      </c>
      <c r="H1524" s="1" t="s">
        <v>25</v>
      </c>
      <c r="I1524" s="1" t="s">
        <v>170</v>
      </c>
      <c r="J1524" s="1" t="s">
        <v>37</v>
      </c>
      <c r="K1524" s="1" t="s">
        <v>182</v>
      </c>
      <c r="L1524" s="1">
        <v>2</v>
      </c>
      <c r="M1524" s="13">
        <v>1398.45</v>
      </c>
      <c r="N1524" s="15">
        <v>0.28999999999999998</v>
      </c>
      <c r="O1524" s="13">
        <v>1359</v>
      </c>
      <c r="P1524" s="13">
        <v>537.38</v>
      </c>
      <c r="Q1524" s="13">
        <v>44.47</v>
      </c>
      <c r="R1524" s="1" t="s">
        <v>57</v>
      </c>
      <c r="S1524" s="1">
        <v>4</v>
      </c>
      <c r="T1524" s="1" t="b">
        <v>0</v>
      </c>
      <c r="U1524" s="1" t="s">
        <v>137</v>
      </c>
      <c r="V1524" s="3">
        <v>9</v>
      </c>
    </row>
    <row r="1525" spans="1:22" x14ac:dyDescent="0.3">
      <c r="A1525" s="2" t="s">
        <v>3546</v>
      </c>
      <c r="B1525" s="10">
        <v>43870</v>
      </c>
      <c r="C1525" s="22">
        <v>43870</v>
      </c>
      <c r="D1525" s="1" t="s">
        <v>3547</v>
      </c>
      <c r="E1525" s="1" t="s">
        <v>767</v>
      </c>
      <c r="F1525" s="1">
        <v>38</v>
      </c>
      <c r="G1525" s="1" t="s">
        <v>24</v>
      </c>
      <c r="H1525" s="1" t="s">
        <v>35</v>
      </c>
      <c r="I1525" s="1" t="s">
        <v>106</v>
      </c>
      <c r="J1525" s="1" t="s">
        <v>127</v>
      </c>
      <c r="K1525" s="1" t="s">
        <v>171</v>
      </c>
      <c r="L1525" s="1">
        <v>5</v>
      </c>
      <c r="M1525" s="13">
        <v>79820.399999999994</v>
      </c>
      <c r="N1525" s="15">
        <v>0.39</v>
      </c>
      <c r="O1525" s="13">
        <v>221917.54</v>
      </c>
      <c r="P1525" s="13">
        <v>22317.55</v>
      </c>
      <c r="Q1525" s="13">
        <v>38.44</v>
      </c>
      <c r="R1525" s="1" t="s">
        <v>57</v>
      </c>
      <c r="S1525" s="1">
        <v>1</v>
      </c>
      <c r="T1525" s="1" t="b">
        <v>0</v>
      </c>
      <c r="U1525" s="1" t="s">
        <v>58</v>
      </c>
      <c r="V1525" s="3">
        <v>8</v>
      </c>
    </row>
    <row r="1526" spans="1:22" x14ac:dyDescent="0.3">
      <c r="A1526" s="2" t="s">
        <v>3548</v>
      </c>
      <c r="B1526" s="10">
        <v>43857</v>
      </c>
      <c r="C1526" s="22">
        <v>43857</v>
      </c>
      <c r="D1526" s="1" t="s">
        <v>3549</v>
      </c>
      <c r="E1526" s="1" t="s">
        <v>660</v>
      </c>
      <c r="F1526" s="1">
        <v>19</v>
      </c>
      <c r="G1526" s="1" t="s">
        <v>24</v>
      </c>
      <c r="H1526" s="1" t="s">
        <v>111</v>
      </c>
      <c r="I1526" s="1" t="s">
        <v>330</v>
      </c>
      <c r="J1526" s="1" t="s">
        <v>127</v>
      </c>
      <c r="K1526" s="1" t="s">
        <v>196</v>
      </c>
      <c r="L1526" s="1">
        <v>4</v>
      </c>
      <c r="M1526" s="13">
        <v>17422.66</v>
      </c>
      <c r="N1526" s="15">
        <v>7.0000000000000007E-2</v>
      </c>
      <c r="O1526" s="13">
        <v>52626.5</v>
      </c>
      <c r="P1526" s="13">
        <v>6738.52</v>
      </c>
      <c r="Q1526" s="13">
        <v>87.09</v>
      </c>
      <c r="R1526" s="1" t="s">
        <v>51</v>
      </c>
      <c r="S1526" s="1">
        <v>2</v>
      </c>
      <c r="T1526" s="1" t="b">
        <v>1</v>
      </c>
      <c r="U1526" s="1" t="s">
        <v>30</v>
      </c>
      <c r="V1526" s="3">
        <v>2</v>
      </c>
    </row>
    <row r="1527" spans="1:22" x14ac:dyDescent="0.3">
      <c r="A1527" s="2" t="s">
        <v>3550</v>
      </c>
      <c r="B1527" s="10">
        <v>43996</v>
      </c>
      <c r="C1527" s="22">
        <v>43996</v>
      </c>
      <c r="D1527" s="1" t="s">
        <v>3551</v>
      </c>
      <c r="E1527" s="1" t="s">
        <v>1229</v>
      </c>
      <c r="F1527" s="1">
        <v>36</v>
      </c>
      <c r="G1527" s="1" t="s">
        <v>34</v>
      </c>
      <c r="H1527" s="1" t="s">
        <v>35</v>
      </c>
      <c r="I1527" s="1" t="s">
        <v>106</v>
      </c>
      <c r="J1527" s="1" t="s">
        <v>146</v>
      </c>
      <c r="K1527" s="1" t="s">
        <v>217</v>
      </c>
      <c r="L1527" s="1">
        <v>4</v>
      </c>
      <c r="M1527" s="13">
        <v>3136.59</v>
      </c>
      <c r="N1527" s="15">
        <v>0.12</v>
      </c>
      <c r="O1527" s="13">
        <v>14497.79</v>
      </c>
      <c r="P1527" s="13">
        <v>2492.75</v>
      </c>
      <c r="Q1527" s="13">
        <v>79.400000000000006</v>
      </c>
      <c r="R1527" s="1" t="s">
        <v>51</v>
      </c>
      <c r="S1527" s="1">
        <v>2</v>
      </c>
      <c r="T1527" s="1" t="b">
        <v>1</v>
      </c>
      <c r="U1527" s="1" t="s">
        <v>30</v>
      </c>
      <c r="V1527" s="3">
        <v>6</v>
      </c>
    </row>
    <row r="1528" spans="1:22" x14ac:dyDescent="0.3">
      <c r="A1528" s="2" t="s">
        <v>3552</v>
      </c>
      <c r="B1528" s="10">
        <v>45564</v>
      </c>
      <c r="C1528" s="22">
        <v>45564</v>
      </c>
      <c r="D1528" s="1" t="s">
        <v>3553</v>
      </c>
      <c r="E1528" s="1" t="s">
        <v>983</v>
      </c>
      <c r="F1528" s="1">
        <v>31</v>
      </c>
      <c r="G1528" s="1" t="s">
        <v>24</v>
      </c>
      <c r="H1528" s="1" t="s">
        <v>25</v>
      </c>
      <c r="I1528" s="1" t="s">
        <v>69</v>
      </c>
      <c r="J1528" s="1" t="s">
        <v>127</v>
      </c>
      <c r="K1528" s="1" t="s">
        <v>128</v>
      </c>
      <c r="L1528" s="1">
        <v>8</v>
      </c>
      <c r="M1528" s="13">
        <v>31909.439999999999</v>
      </c>
      <c r="N1528" s="15">
        <v>0.22</v>
      </c>
      <c r="O1528" s="13">
        <v>265931.19</v>
      </c>
      <c r="P1528" s="13">
        <v>40509.78</v>
      </c>
      <c r="Q1528" s="13">
        <v>54.88</v>
      </c>
      <c r="R1528" s="1" t="s">
        <v>78</v>
      </c>
      <c r="S1528" s="1">
        <v>4</v>
      </c>
      <c r="T1528" s="1" t="b">
        <v>0</v>
      </c>
      <c r="U1528" s="1" t="s">
        <v>39</v>
      </c>
      <c r="V1528" s="3">
        <v>6</v>
      </c>
    </row>
    <row r="1529" spans="1:22" x14ac:dyDescent="0.3">
      <c r="A1529" s="2" t="s">
        <v>3554</v>
      </c>
      <c r="B1529" s="10">
        <v>44874</v>
      </c>
      <c r="C1529" s="22">
        <v>44874</v>
      </c>
      <c r="D1529" s="1" t="s">
        <v>3555</v>
      </c>
      <c r="E1529" s="1" t="s">
        <v>534</v>
      </c>
      <c r="F1529" s="1">
        <v>37</v>
      </c>
      <c r="G1529" s="1" t="s">
        <v>68</v>
      </c>
      <c r="H1529" s="1" t="s">
        <v>35</v>
      </c>
      <c r="I1529" s="1" t="s">
        <v>43</v>
      </c>
      <c r="J1529" s="1" t="s">
        <v>27</v>
      </c>
      <c r="K1529" s="1" t="s">
        <v>56</v>
      </c>
      <c r="L1529" s="1">
        <v>9</v>
      </c>
      <c r="M1529" s="13">
        <v>389.41</v>
      </c>
      <c r="N1529" s="15">
        <v>0.02</v>
      </c>
      <c r="O1529" s="13">
        <v>2847.85</v>
      </c>
      <c r="P1529" s="13">
        <v>272.2</v>
      </c>
      <c r="Q1529" s="13">
        <v>66.430000000000007</v>
      </c>
      <c r="R1529" s="1" t="s">
        <v>51</v>
      </c>
      <c r="S1529" s="1">
        <v>5</v>
      </c>
      <c r="T1529" s="1" t="b">
        <v>0</v>
      </c>
      <c r="U1529" s="1" t="s">
        <v>39</v>
      </c>
      <c r="V1529" s="3">
        <v>1</v>
      </c>
    </row>
    <row r="1530" spans="1:22" x14ac:dyDescent="0.3">
      <c r="A1530" s="2" t="s">
        <v>3556</v>
      </c>
      <c r="B1530" s="10">
        <v>44663</v>
      </c>
      <c r="C1530" s="22">
        <v>44663</v>
      </c>
      <c r="D1530" s="1" t="s">
        <v>3557</v>
      </c>
      <c r="E1530" s="1" t="s">
        <v>1173</v>
      </c>
      <c r="F1530" s="1">
        <v>39</v>
      </c>
      <c r="G1530" s="1" t="s">
        <v>68</v>
      </c>
      <c r="H1530" s="1" t="s">
        <v>111</v>
      </c>
      <c r="I1530" s="1" t="s">
        <v>121</v>
      </c>
      <c r="J1530" s="1" t="s">
        <v>62</v>
      </c>
      <c r="K1530" s="1" t="s">
        <v>63</v>
      </c>
      <c r="L1530" s="1">
        <v>10</v>
      </c>
      <c r="M1530" s="13">
        <v>231.25</v>
      </c>
      <c r="N1530" s="15">
        <v>0.27</v>
      </c>
      <c r="O1530" s="13">
        <v>2387.56</v>
      </c>
      <c r="P1530" s="13">
        <v>908.86</v>
      </c>
      <c r="Q1530" s="13">
        <v>50.77</v>
      </c>
      <c r="R1530" s="1" t="s">
        <v>64</v>
      </c>
      <c r="S1530" s="1">
        <v>1</v>
      </c>
      <c r="T1530" s="1" t="b">
        <v>0</v>
      </c>
      <c r="U1530" s="1" t="s">
        <v>58</v>
      </c>
      <c r="V1530" s="3">
        <v>5</v>
      </c>
    </row>
    <row r="1531" spans="1:22" x14ac:dyDescent="0.3">
      <c r="A1531" s="2" t="s">
        <v>3558</v>
      </c>
      <c r="B1531" s="10">
        <v>44148</v>
      </c>
      <c r="C1531" s="22">
        <v>44148</v>
      </c>
      <c r="D1531" s="1" t="s">
        <v>3559</v>
      </c>
      <c r="E1531" s="1" t="s">
        <v>2030</v>
      </c>
      <c r="F1531" s="1">
        <v>16</v>
      </c>
      <c r="G1531" s="1" t="s">
        <v>68</v>
      </c>
      <c r="H1531" s="1" t="s">
        <v>35</v>
      </c>
      <c r="I1531" s="1" t="s">
        <v>106</v>
      </c>
      <c r="J1531" s="1" t="s">
        <v>146</v>
      </c>
      <c r="K1531" s="1" t="s">
        <v>147</v>
      </c>
      <c r="L1531" s="1">
        <v>2</v>
      </c>
      <c r="M1531" s="13">
        <v>3021.82</v>
      </c>
      <c r="N1531" s="15">
        <v>0.01</v>
      </c>
      <c r="O1531" s="13">
        <v>4428.2700000000004</v>
      </c>
      <c r="P1531" s="13">
        <v>885.39</v>
      </c>
      <c r="Q1531" s="13">
        <v>38.11</v>
      </c>
      <c r="R1531" s="1" t="s">
        <v>51</v>
      </c>
      <c r="S1531" s="1">
        <v>1</v>
      </c>
      <c r="T1531" s="1" t="b">
        <v>1</v>
      </c>
      <c r="U1531" s="1" t="s">
        <v>30</v>
      </c>
      <c r="V1531" s="3">
        <v>3</v>
      </c>
    </row>
    <row r="1532" spans="1:22" x14ac:dyDescent="0.3">
      <c r="A1532" s="2" t="s">
        <v>3560</v>
      </c>
      <c r="B1532" s="10">
        <v>45401</v>
      </c>
      <c r="C1532" s="22">
        <v>45401</v>
      </c>
      <c r="D1532" s="1" t="s">
        <v>3561</v>
      </c>
      <c r="E1532" s="1" t="s">
        <v>1091</v>
      </c>
      <c r="F1532" s="1">
        <v>26</v>
      </c>
      <c r="G1532" s="1" t="s">
        <v>88</v>
      </c>
      <c r="H1532" s="1" t="s">
        <v>111</v>
      </c>
      <c r="I1532" s="1" t="s">
        <v>330</v>
      </c>
      <c r="J1532" s="1" t="s">
        <v>37</v>
      </c>
      <c r="K1532" s="1" t="s">
        <v>454</v>
      </c>
      <c r="L1532" s="1">
        <v>9</v>
      </c>
      <c r="M1532" s="13">
        <v>1545.52</v>
      </c>
      <c r="N1532" s="15">
        <v>0.19</v>
      </c>
      <c r="O1532" s="13">
        <v>17885.64</v>
      </c>
      <c r="P1532" s="13">
        <v>11381.04</v>
      </c>
      <c r="Q1532" s="13">
        <v>81</v>
      </c>
      <c r="R1532" s="1" t="s">
        <v>51</v>
      </c>
      <c r="S1532" s="1">
        <v>1</v>
      </c>
      <c r="T1532" s="1" t="b">
        <v>0</v>
      </c>
      <c r="U1532" s="1" t="s">
        <v>137</v>
      </c>
      <c r="V1532" s="3">
        <v>9</v>
      </c>
    </row>
    <row r="1533" spans="1:22" x14ac:dyDescent="0.3">
      <c r="A1533" s="2" t="s">
        <v>3562</v>
      </c>
      <c r="B1533" s="10">
        <v>44171</v>
      </c>
      <c r="C1533" s="22">
        <v>44171</v>
      </c>
      <c r="D1533" s="1" t="s">
        <v>3563</v>
      </c>
      <c r="E1533" s="1" t="s">
        <v>2137</v>
      </c>
      <c r="F1533" s="1">
        <v>31</v>
      </c>
      <c r="G1533" s="1" t="s">
        <v>68</v>
      </c>
      <c r="H1533" s="1" t="s">
        <v>111</v>
      </c>
      <c r="I1533" s="1" t="s">
        <v>141</v>
      </c>
      <c r="J1533" s="1" t="s">
        <v>37</v>
      </c>
      <c r="K1533" s="1" t="s">
        <v>671</v>
      </c>
      <c r="L1533" s="1">
        <v>9</v>
      </c>
      <c r="M1533" s="13">
        <v>1896.41</v>
      </c>
      <c r="N1533" s="15">
        <v>0.01</v>
      </c>
      <c r="O1533" s="13">
        <v>12286.54</v>
      </c>
      <c r="P1533" s="13">
        <v>5443.3</v>
      </c>
      <c r="Q1533" s="13">
        <v>40.44</v>
      </c>
      <c r="R1533" s="1" t="s">
        <v>78</v>
      </c>
      <c r="S1533" s="1">
        <v>2</v>
      </c>
      <c r="T1533" s="1" t="b">
        <v>0</v>
      </c>
      <c r="U1533" s="1" t="s">
        <v>39</v>
      </c>
      <c r="V1533" s="3">
        <v>2</v>
      </c>
    </row>
    <row r="1534" spans="1:22" x14ac:dyDescent="0.3">
      <c r="A1534" s="2" t="s">
        <v>3564</v>
      </c>
      <c r="B1534" s="10">
        <v>45203</v>
      </c>
      <c r="C1534" s="22">
        <v>45203</v>
      </c>
      <c r="D1534" s="1" t="s">
        <v>3565</v>
      </c>
      <c r="E1534" s="1" t="s">
        <v>1047</v>
      </c>
      <c r="F1534" s="1">
        <v>24</v>
      </c>
      <c r="G1534" s="1" t="s">
        <v>24</v>
      </c>
      <c r="H1534" s="1" t="s">
        <v>35</v>
      </c>
      <c r="I1534" s="1" t="s">
        <v>36</v>
      </c>
      <c r="J1534" s="1" t="s">
        <v>146</v>
      </c>
      <c r="K1534" s="1" t="s">
        <v>217</v>
      </c>
      <c r="L1534" s="1">
        <v>3</v>
      </c>
      <c r="M1534" s="13">
        <v>8534.5</v>
      </c>
      <c r="N1534" s="15">
        <v>0.34</v>
      </c>
      <c r="O1534" s="13">
        <v>18094.21</v>
      </c>
      <c r="P1534" s="13">
        <v>4596.01</v>
      </c>
      <c r="Q1534" s="13">
        <v>55.57</v>
      </c>
      <c r="R1534" s="1" t="s">
        <v>64</v>
      </c>
      <c r="S1534" s="1">
        <v>4</v>
      </c>
      <c r="T1534" s="1" t="b">
        <v>0</v>
      </c>
      <c r="U1534" s="1" t="s">
        <v>39</v>
      </c>
      <c r="V1534" s="3">
        <v>4</v>
      </c>
    </row>
    <row r="1535" spans="1:22" x14ac:dyDescent="0.3">
      <c r="A1535" s="2" t="s">
        <v>3566</v>
      </c>
      <c r="B1535" s="10">
        <v>44825</v>
      </c>
      <c r="C1535" s="22">
        <v>44825</v>
      </c>
      <c r="D1535" s="1" t="s">
        <v>3567</v>
      </c>
      <c r="E1535" s="1" t="s">
        <v>2286</v>
      </c>
      <c r="F1535" s="1">
        <v>54</v>
      </c>
      <c r="G1535" s="1" t="s">
        <v>68</v>
      </c>
      <c r="H1535" s="1" t="s">
        <v>25</v>
      </c>
      <c r="I1535" s="1" t="s">
        <v>170</v>
      </c>
      <c r="J1535" s="1" t="s">
        <v>62</v>
      </c>
      <c r="K1535" s="1" t="s">
        <v>266</v>
      </c>
      <c r="L1535" s="1">
        <v>2</v>
      </c>
      <c r="M1535" s="13">
        <v>1340.31</v>
      </c>
      <c r="N1535" s="15">
        <v>0.03</v>
      </c>
      <c r="O1535" s="13">
        <v>2902.07</v>
      </c>
      <c r="P1535" s="13">
        <v>1116.1600000000001</v>
      </c>
      <c r="Q1535" s="13">
        <v>67.16</v>
      </c>
      <c r="R1535" s="1" t="s">
        <v>51</v>
      </c>
      <c r="S1535" s="1">
        <v>4</v>
      </c>
      <c r="T1535" s="1" t="b">
        <v>0</v>
      </c>
      <c r="U1535" s="1" t="s">
        <v>58</v>
      </c>
      <c r="V1535" s="3">
        <v>7</v>
      </c>
    </row>
    <row r="1536" spans="1:22" x14ac:dyDescent="0.3">
      <c r="A1536" s="2" t="s">
        <v>3568</v>
      </c>
      <c r="B1536" s="10">
        <v>44953</v>
      </c>
      <c r="C1536" s="22">
        <v>44953</v>
      </c>
      <c r="D1536" s="1" t="s">
        <v>3569</v>
      </c>
      <c r="E1536" s="1" t="s">
        <v>1033</v>
      </c>
      <c r="F1536" s="1">
        <v>57</v>
      </c>
      <c r="G1536" s="1" t="s">
        <v>34</v>
      </c>
      <c r="H1536" s="1" t="s">
        <v>82</v>
      </c>
      <c r="I1536" s="1" t="s">
        <v>244</v>
      </c>
      <c r="J1536" s="1" t="s">
        <v>146</v>
      </c>
      <c r="K1536" s="1" t="s">
        <v>147</v>
      </c>
      <c r="L1536" s="1">
        <v>2</v>
      </c>
      <c r="M1536" s="13">
        <v>4266.54</v>
      </c>
      <c r="N1536" s="15">
        <v>0.25</v>
      </c>
      <c r="O1536" s="13">
        <v>6436.16</v>
      </c>
      <c r="P1536" s="13">
        <v>1469.74</v>
      </c>
      <c r="Q1536" s="13">
        <v>75.67</v>
      </c>
      <c r="R1536" s="1" t="s">
        <v>57</v>
      </c>
      <c r="S1536" s="1">
        <v>3</v>
      </c>
      <c r="T1536" s="1" t="b">
        <v>0</v>
      </c>
      <c r="U1536" s="1" t="s">
        <v>39</v>
      </c>
      <c r="V1536" s="3">
        <v>2</v>
      </c>
    </row>
    <row r="1537" spans="1:22" x14ac:dyDescent="0.3">
      <c r="A1537" s="2" t="s">
        <v>3570</v>
      </c>
      <c r="B1537" s="10">
        <v>44769</v>
      </c>
      <c r="C1537" s="22">
        <v>44769</v>
      </c>
      <c r="D1537" s="1" t="s">
        <v>3571</v>
      </c>
      <c r="E1537" s="1" t="s">
        <v>157</v>
      </c>
      <c r="F1537" s="1">
        <v>37</v>
      </c>
      <c r="G1537" s="1" t="s">
        <v>68</v>
      </c>
      <c r="H1537" s="1" t="s">
        <v>25</v>
      </c>
      <c r="I1537" s="1" t="s">
        <v>55</v>
      </c>
      <c r="J1537" s="1" t="s">
        <v>44</v>
      </c>
      <c r="K1537" s="1" t="s">
        <v>221</v>
      </c>
      <c r="L1537" s="1">
        <v>8</v>
      </c>
      <c r="M1537" s="13">
        <v>31076.19</v>
      </c>
      <c r="N1537" s="15">
        <v>0.36</v>
      </c>
      <c r="O1537" s="13">
        <v>234872.45</v>
      </c>
      <c r="P1537" s="13">
        <v>66519.22</v>
      </c>
      <c r="Q1537" s="13">
        <v>47.98</v>
      </c>
      <c r="R1537" s="1" t="s">
        <v>57</v>
      </c>
      <c r="S1537" s="1">
        <v>2</v>
      </c>
      <c r="T1537" s="1" t="b">
        <v>0</v>
      </c>
      <c r="U1537" s="1" t="s">
        <v>39</v>
      </c>
      <c r="V1537" s="3">
        <v>6</v>
      </c>
    </row>
    <row r="1538" spans="1:22" x14ac:dyDescent="0.3">
      <c r="A1538" s="2" t="s">
        <v>3572</v>
      </c>
      <c r="B1538" s="10">
        <v>44600</v>
      </c>
      <c r="C1538" s="22">
        <v>44600</v>
      </c>
      <c r="D1538" s="1" t="s">
        <v>3573</v>
      </c>
      <c r="E1538" s="1" t="s">
        <v>594</v>
      </c>
      <c r="F1538" s="1">
        <v>38</v>
      </c>
      <c r="G1538" s="1" t="s">
        <v>391</v>
      </c>
      <c r="H1538" s="1" t="s">
        <v>111</v>
      </c>
      <c r="I1538" s="1" t="s">
        <v>112</v>
      </c>
      <c r="J1538" s="1" t="s">
        <v>146</v>
      </c>
      <c r="K1538" s="1" t="s">
        <v>276</v>
      </c>
      <c r="L1538" s="1">
        <v>1</v>
      </c>
      <c r="M1538" s="13">
        <v>11257.57</v>
      </c>
      <c r="N1538" s="15">
        <v>0.19</v>
      </c>
      <c r="O1538" s="13">
        <v>9056.57</v>
      </c>
      <c r="P1538" s="13">
        <v>2063.37</v>
      </c>
      <c r="Q1538" s="13">
        <v>75.319999999999993</v>
      </c>
      <c r="R1538" s="1" t="s">
        <v>70</v>
      </c>
      <c r="S1538" s="1">
        <v>5</v>
      </c>
      <c r="T1538" s="1" t="b">
        <v>0</v>
      </c>
      <c r="U1538" s="1" t="s">
        <v>39</v>
      </c>
      <c r="V1538" s="3">
        <v>1</v>
      </c>
    </row>
    <row r="1539" spans="1:22" x14ac:dyDescent="0.3">
      <c r="A1539" s="2" t="s">
        <v>3574</v>
      </c>
      <c r="B1539" s="10">
        <v>45398</v>
      </c>
      <c r="C1539" s="22">
        <v>45398</v>
      </c>
      <c r="D1539" s="1" t="s">
        <v>3575</v>
      </c>
      <c r="E1539" s="1" t="s">
        <v>247</v>
      </c>
      <c r="F1539" s="1">
        <v>45</v>
      </c>
      <c r="G1539" s="1" t="s">
        <v>34</v>
      </c>
      <c r="H1539" s="1" t="s">
        <v>25</v>
      </c>
      <c r="I1539" s="1" t="s">
        <v>55</v>
      </c>
      <c r="J1539" s="1" t="s">
        <v>44</v>
      </c>
      <c r="K1539" s="1" t="s">
        <v>221</v>
      </c>
      <c r="L1539" s="1">
        <v>4</v>
      </c>
      <c r="M1539" s="13">
        <v>28347.279999999999</v>
      </c>
      <c r="N1539" s="15">
        <v>0.03</v>
      </c>
      <c r="O1539" s="13">
        <v>180991</v>
      </c>
      <c r="P1539" s="13">
        <v>31963.08</v>
      </c>
      <c r="Q1539" s="13">
        <v>74.83</v>
      </c>
      <c r="R1539" s="1" t="s">
        <v>64</v>
      </c>
      <c r="S1539" s="1">
        <v>5</v>
      </c>
      <c r="T1539" s="1" t="b">
        <v>0</v>
      </c>
      <c r="U1539" s="1" t="s">
        <v>39</v>
      </c>
      <c r="V1539" s="3">
        <v>4</v>
      </c>
    </row>
    <row r="1540" spans="1:22" x14ac:dyDescent="0.3">
      <c r="A1540" s="2" t="s">
        <v>3576</v>
      </c>
      <c r="B1540" s="10">
        <v>43930</v>
      </c>
      <c r="C1540" s="22">
        <v>43930</v>
      </c>
      <c r="D1540" s="1" t="s">
        <v>2809</v>
      </c>
      <c r="E1540" s="1" t="s">
        <v>908</v>
      </c>
      <c r="F1540" s="1">
        <v>47</v>
      </c>
      <c r="G1540" s="1" t="s">
        <v>68</v>
      </c>
      <c r="H1540" s="1" t="s">
        <v>82</v>
      </c>
      <c r="I1540" s="1" t="s">
        <v>126</v>
      </c>
      <c r="J1540" s="1" t="s">
        <v>76</v>
      </c>
      <c r="K1540" s="1" t="s">
        <v>132</v>
      </c>
      <c r="L1540" s="1">
        <v>4</v>
      </c>
      <c r="M1540" s="13">
        <v>657.77</v>
      </c>
      <c r="N1540" s="15">
        <v>0.03</v>
      </c>
      <c r="O1540" s="13">
        <v>3207.24</v>
      </c>
      <c r="P1540" s="13">
        <v>961.26</v>
      </c>
      <c r="Q1540" s="13">
        <v>83.48</v>
      </c>
      <c r="R1540" s="1" t="s">
        <v>70</v>
      </c>
      <c r="S1540" s="1">
        <v>3</v>
      </c>
      <c r="T1540" s="1" t="b">
        <v>0</v>
      </c>
      <c r="U1540" s="1" t="s">
        <v>39</v>
      </c>
      <c r="V1540" s="3">
        <v>9</v>
      </c>
    </row>
    <row r="1541" spans="1:22" x14ac:dyDescent="0.3">
      <c r="A1541" s="2" t="s">
        <v>3577</v>
      </c>
      <c r="B1541" s="10">
        <v>44300</v>
      </c>
      <c r="C1541" s="22">
        <v>44300</v>
      </c>
      <c r="D1541" s="1" t="s">
        <v>3578</v>
      </c>
      <c r="E1541" s="1" t="s">
        <v>1327</v>
      </c>
      <c r="F1541" s="1">
        <v>39</v>
      </c>
      <c r="G1541" s="1" t="s">
        <v>34</v>
      </c>
      <c r="H1541" s="1" t="s">
        <v>111</v>
      </c>
      <c r="I1541" s="1" t="s">
        <v>141</v>
      </c>
      <c r="J1541" s="1" t="s">
        <v>37</v>
      </c>
      <c r="K1541" s="1" t="s">
        <v>231</v>
      </c>
      <c r="L1541" s="1">
        <v>5</v>
      </c>
      <c r="M1541" s="13">
        <v>2059.98</v>
      </c>
      <c r="N1541" s="15">
        <v>0.02</v>
      </c>
      <c r="O1541" s="13">
        <v>12556.26</v>
      </c>
      <c r="P1541" s="13">
        <v>8037.6</v>
      </c>
      <c r="Q1541" s="13">
        <v>70.48</v>
      </c>
      <c r="R1541" s="1" t="s">
        <v>78</v>
      </c>
      <c r="S1541" s="1">
        <v>2</v>
      </c>
      <c r="T1541" s="1" t="b">
        <v>1</v>
      </c>
      <c r="U1541" s="1" t="s">
        <v>30</v>
      </c>
      <c r="V1541" s="3">
        <v>8</v>
      </c>
    </row>
    <row r="1542" spans="1:22" x14ac:dyDescent="0.3">
      <c r="A1542" s="2" t="s">
        <v>3579</v>
      </c>
      <c r="B1542" s="10">
        <v>44368</v>
      </c>
      <c r="C1542" s="22">
        <v>44368</v>
      </c>
      <c r="D1542" s="1" t="s">
        <v>3580</v>
      </c>
      <c r="E1542" s="1" t="s">
        <v>1266</v>
      </c>
      <c r="F1542" s="1">
        <v>19</v>
      </c>
      <c r="G1542" s="1" t="s">
        <v>68</v>
      </c>
      <c r="H1542" s="1" t="s">
        <v>25</v>
      </c>
      <c r="I1542" s="1" t="s">
        <v>69</v>
      </c>
      <c r="J1542" s="1" t="s">
        <v>27</v>
      </c>
      <c r="K1542" s="1" t="s">
        <v>450</v>
      </c>
      <c r="L1542" s="1">
        <v>6</v>
      </c>
      <c r="M1542" s="13">
        <v>428.86</v>
      </c>
      <c r="N1542" s="15">
        <v>0.34</v>
      </c>
      <c r="O1542" s="13">
        <v>2486.44</v>
      </c>
      <c r="P1542" s="13">
        <v>163.61000000000001</v>
      </c>
      <c r="Q1542" s="13">
        <v>58.49</v>
      </c>
      <c r="R1542" s="1" t="s">
        <v>57</v>
      </c>
      <c r="S1542" s="1">
        <v>4</v>
      </c>
      <c r="T1542" s="1" t="b">
        <v>0</v>
      </c>
      <c r="U1542" s="1" t="s">
        <v>39</v>
      </c>
      <c r="V1542" s="3">
        <v>9</v>
      </c>
    </row>
    <row r="1543" spans="1:22" x14ac:dyDescent="0.3">
      <c r="A1543" s="2" t="s">
        <v>3581</v>
      </c>
      <c r="B1543" s="10">
        <v>44851</v>
      </c>
      <c r="C1543" s="22">
        <v>44851</v>
      </c>
      <c r="D1543" s="1" t="s">
        <v>3582</v>
      </c>
      <c r="E1543" s="1" t="s">
        <v>1665</v>
      </c>
      <c r="F1543" s="1">
        <v>34</v>
      </c>
      <c r="G1543" s="1" t="s">
        <v>24</v>
      </c>
      <c r="H1543" s="1" t="s">
        <v>25</v>
      </c>
      <c r="I1543" s="1" t="s">
        <v>170</v>
      </c>
      <c r="J1543" s="1" t="s">
        <v>62</v>
      </c>
      <c r="K1543" s="1" t="s">
        <v>283</v>
      </c>
      <c r="L1543" s="1">
        <v>3</v>
      </c>
      <c r="M1543" s="13">
        <v>1036.73</v>
      </c>
      <c r="N1543" s="15">
        <v>0.14000000000000001</v>
      </c>
      <c r="O1543" s="13">
        <v>2702.94</v>
      </c>
      <c r="P1543" s="13">
        <v>1061.8599999999999</v>
      </c>
      <c r="Q1543" s="13">
        <v>58.18</v>
      </c>
      <c r="R1543" s="1" t="s">
        <v>57</v>
      </c>
      <c r="S1543" s="1">
        <v>1</v>
      </c>
      <c r="T1543" s="1" t="b">
        <v>0</v>
      </c>
      <c r="U1543" s="1" t="s">
        <v>137</v>
      </c>
      <c r="V1543" s="3">
        <v>6</v>
      </c>
    </row>
    <row r="1544" spans="1:22" x14ac:dyDescent="0.3">
      <c r="A1544" s="2" t="s">
        <v>3583</v>
      </c>
      <c r="B1544" s="10">
        <v>44325</v>
      </c>
      <c r="C1544" s="22">
        <v>44325</v>
      </c>
      <c r="D1544" s="1" t="s">
        <v>3584</v>
      </c>
      <c r="E1544" s="1" t="s">
        <v>872</v>
      </c>
      <c r="F1544" s="1">
        <v>20</v>
      </c>
      <c r="G1544" s="1" t="s">
        <v>68</v>
      </c>
      <c r="H1544" s="1" t="s">
        <v>74</v>
      </c>
      <c r="I1544" s="1" t="s">
        <v>192</v>
      </c>
      <c r="J1544" s="1" t="s">
        <v>44</v>
      </c>
      <c r="K1544" s="1" t="s">
        <v>50</v>
      </c>
      <c r="L1544" s="1">
        <v>7</v>
      </c>
      <c r="M1544" s="13">
        <v>29131.43</v>
      </c>
      <c r="N1544" s="15">
        <v>0.3</v>
      </c>
      <c r="O1544" s="13">
        <v>181240.28</v>
      </c>
      <c r="P1544" s="13">
        <v>48821.49</v>
      </c>
      <c r="Q1544" s="13">
        <v>47.3</v>
      </c>
      <c r="R1544" s="1" t="s">
        <v>70</v>
      </c>
      <c r="S1544" s="1">
        <v>3</v>
      </c>
      <c r="T1544" s="1" t="b">
        <v>0</v>
      </c>
      <c r="U1544" s="1" t="s">
        <v>137</v>
      </c>
      <c r="V1544" s="3">
        <v>8</v>
      </c>
    </row>
    <row r="1545" spans="1:22" x14ac:dyDescent="0.3">
      <c r="A1545" s="2" t="s">
        <v>3585</v>
      </c>
      <c r="B1545" s="10">
        <v>44707</v>
      </c>
      <c r="C1545" s="22">
        <v>44707</v>
      </c>
      <c r="D1545" s="1" t="s">
        <v>3586</v>
      </c>
      <c r="E1545" s="1" t="s">
        <v>869</v>
      </c>
      <c r="F1545" s="1">
        <v>31</v>
      </c>
      <c r="G1545" s="1" t="s">
        <v>68</v>
      </c>
      <c r="H1545" s="1" t="s">
        <v>35</v>
      </c>
      <c r="I1545" s="1" t="s">
        <v>36</v>
      </c>
      <c r="J1545" s="1" t="s">
        <v>76</v>
      </c>
      <c r="K1545" s="1" t="s">
        <v>89</v>
      </c>
      <c r="L1545" s="1">
        <v>10</v>
      </c>
      <c r="M1545" s="13">
        <v>1278.8800000000001</v>
      </c>
      <c r="N1545" s="15">
        <v>0.2</v>
      </c>
      <c r="O1545" s="13">
        <v>17829.400000000001</v>
      </c>
      <c r="P1545" s="13">
        <v>6153.63</v>
      </c>
      <c r="Q1545" s="13">
        <v>43.3</v>
      </c>
      <c r="R1545" s="1" t="s">
        <v>70</v>
      </c>
      <c r="S1545" s="1">
        <v>3</v>
      </c>
      <c r="T1545" s="1" t="b">
        <v>0</v>
      </c>
      <c r="U1545" s="1" t="s">
        <v>39</v>
      </c>
      <c r="V1545" s="3">
        <v>8</v>
      </c>
    </row>
    <row r="1546" spans="1:22" x14ac:dyDescent="0.3">
      <c r="A1546" s="2" t="s">
        <v>3587</v>
      </c>
      <c r="B1546" s="10">
        <v>44445</v>
      </c>
      <c r="C1546" s="22">
        <v>44445</v>
      </c>
      <c r="D1546" s="1" t="s">
        <v>3588</v>
      </c>
      <c r="E1546" s="1" t="s">
        <v>3016</v>
      </c>
      <c r="F1546" s="1">
        <v>51</v>
      </c>
      <c r="G1546" s="1" t="s">
        <v>24</v>
      </c>
      <c r="H1546" s="1" t="s">
        <v>35</v>
      </c>
      <c r="I1546" s="1" t="s">
        <v>43</v>
      </c>
      <c r="J1546" s="1" t="s">
        <v>62</v>
      </c>
      <c r="K1546" s="1" t="s">
        <v>283</v>
      </c>
      <c r="L1546" s="1">
        <v>5</v>
      </c>
      <c r="M1546" s="13">
        <v>1499.28</v>
      </c>
      <c r="N1546" s="15">
        <v>0.03</v>
      </c>
      <c r="O1546" s="13">
        <v>8327.23</v>
      </c>
      <c r="P1546" s="13">
        <v>4182.3100000000004</v>
      </c>
      <c r="Q1546" s="13">
        <v>74.08</v>
      </c>
      <c r="R1546" s="1" t="s">
        <v>57</v>
      </c>
      <c r="S1546" s="1">
        <v>3</v>
      </c>
      <c r="T1546" s="1" t="b">
        <v>0</v>
      </c>
      <c r="U1546" s="1" t="s">
        <v>39</v>
      </c>
      <c r="V1546" s="3">
        <v>1</v>
      </c>
    </row>
    <row r="1547" spans="1:22" x14ac:dyDescent="0.3">
      <c r="A1547" s="2" t="s">
        <v>3589</v>
      </c>
      <c r="B1547" s="10">
        <v>44787</v>
      </c>
      <c r="C1547" s="22">
        <v>44787</v>
      </c>
      <c r="D1547" s="1" t="s">
        <v>3590</v>
      </c>
      <c r="E1547" s="1" t="s">
        <v>1084</v>
      </c>
      <c r="F1547" s="1">
        <v>48</v>
      </c>
      <c r="G1547" s="1" t="s">
        <v>24</v>
      </c>
      <c r="H1547" s="1" t="s">
        <v>35</v>
      </c>
      <c r="I1547" s="1" t="s">
        <v>43</v>
      </c>
      <c r="J1547" s="1" t="s">
        <v>27</v>
      </c>
      <c r="K1547" s="1" t="s">
        <v>400</v>
      </c>
      <c r="L1547" s="1">
        <v>2</v>
      </c>
      <c r="M1547" s="13">
        <v>179.94</v>
      </c>
      <c r="N1547" s="15">
        <v>0.39</v>
      </c>
      <c r="O1547" s="13">
        <v>272.5</v>
      </c>
      <c r="P1547" s="13">
        <v>14.86</v>
      </c>
      <c r="Q1547" s="13">
        <v>56.43</v>
      </c>
      <c r="R1547" s="1" t="s">
        <v>51</v>
      </c>
      <c r="S1547" s="1">
        <v>1</v>
      </c>
      <c r="T1547" s="1" t="b">
        <v>0</v>
      </c>
      <c r="U1547" s="1" t="s">
        <v>137</v>
      </c>
      <c r="V1547" s="3">
        <v>3</v>
      </c>
    </row>
    <row r="1548" spans="1:22" x14ac:dyDescent="0.3">
      <c r="A1548" s="2" t="s">
        <v>3591</v>
      </c>
      <c r="B1548" s="10">
        <v>44492</v>
      </c>
      <c r="C1548" s="22">
        <v>44492</v>
      </c>
      <c r="D1548" s="1" t="s">
        <v>3592</v>
      </c>
      <c r="E1548" s="1" t="s">
        <v>767</v>
      </c>
      <c r="F1548" s="1">
        <v>68</v>
      </c>
      <c r="G1548" s="1" t="s">
        <v>68</v>
      </c>
      <c r="H1548" s="1" t="s">
        <v>82</v>
      </c>
      <c r="I1548" s="1" t="s">
        <v>244</v>
      </c>
      <c r="J1548" s="1" t="s">
        <v>27</v>
      </c>
      <c r="K1548" s="1" t="s">
        <v>450</v>
      </c>
      <c r="L1548" s="1">
        <v>4</v>
      </c>
      <c r="M1548" s="13">
        <v>103.01</v>
      </c>
      <c r="N1548" s="15">
        <v>0.4</v>
      </c>
      <c r="O1548" s="13">
        <v>239.3</v>
      </c>
      <c r="P1548" s="13">
        <v>22.6</v>
      </c>
      <c r="Q1548" s="13">
        <v>78.91</v>
      </c>
      <c r="R1548" s="1" t="s">
        <v>64</v>
      </c>
      <c r="S1548" s="1">
        <v>1</v>
      </c>
      <c r="T1548" s="1" t="b">
        <v>1</v>
      </c>
      <c r="U1548" s="1" t="s">
        <v>30</v>
      </c>
      <c r="V1548" s="3">
        <v>4</v>
      </c>
    </row>
    <row r="1549" spans="1:22" x14ac:dyDescent="0.3">
      <c r="A1549" s="2" t="s">
        <v>3593</v>
      </c>
      <c r="B1549" s="10">
        <v>45648</v>
      </c>
      <c r="C1549" s="22">
        <v>45648</v>
      </c>
      <c r="D1549" s="1" t="s">
        <v>3594</v>
      </c>
      <c r="E1549" s="1" t="s">
        <v>433</v>
      </c>
      <c r="F1549" s="1">
        <v>53</v>
      </c>
      <c r="G1549" s="1" t="s">
        <v>34</v>
      </c>
      <c r="H1549" s="1" t="s">
        <v>35</v>
      </c>
      <c r="I1549" s="1" t="s">
        <v>36</v>
      </c>
      <c r="J1549" s="1" t="s">
        <v>37</v>
      </c>
      <c r="K1549" s="1" t="s">
        <v>671</v>
      </c>
      <c r="L1549" s="1">
        <v>3</v>
      </c>
      <c r="M1549" s="13">
        <v>855.83</v>
      </c>
      <c r="N1549" s="15">
        <v>0.14000000000000001</v>
      </c>
      <c r="O1549" s="13">
        <v>2047.13</v>
      </c>
      <c r="P1549" s="13">
        <v>587.72</v>
      </c>
      <c r="Q1549" s="13">
        <v>59.05</v>
      </c>
      <c r="R1549" s="1" t="s">
        <v>57</v>
      </c>
      <c r="S1549" s="1">
        <v>4</v>
      </c>
      <c r="T1549" s="1" t="b">
        <v>0</v>
      </c>
      <c r="U1549" s="1" t="s">
        <v>58</v>
      </c>
      <c r="V1549" s="3">
        <v>6</v>
      </c>
    </row>
    <row r="1550" spans="1:22" x14ac:dyDescent="0.3">
      <c r="A1550" s="2" t="s">
        <v>3595</v>
      </c>
      <c r="B1550" s="10">
        <v>44164</v>
      </c>
      <c r="C1550" s="22">
        <v>44164</v>
      </c>
      <c r="D1550" s="1" t="s">
        <v>3596</v>
      </c>
      <c r="E1550" s="1" t="s">
        <v>92</v>
      </c>
      <c r="F1550" s="1">
        <v>25</v>
      </c>
      <c r="G1550" s="1" t="s">
        <v>88</v>
      </c>
      <c r="H1550" s="1" t="s">
        <v>111</v>
      </c>
      <c r="I1550" s="1" t="s">
        <v>330</v>
      </c>
      <c r="J1550" s="1" t="s">
        <v>62</v>
      </c>
      <c r="K1550" s="1" t="s">
        <v>63</v>
      </c>
      <c r="L1550" s="1">
        <v>3</v>
      </c>
      <c r="M1550" s="13">
        <v>956.34</v>
      </c>
      <c r="N1550" s="15">
        <v>0.24</v>
      </c>
      <c r="O1550" s="13">
        <v>1598.88</v>
      </c>
      <c r="P1550" s="13">
        <v>746.01</v>
      </c>
      <c r="Q1550" s="13">
        <v>74.98</v>
      </c>
      <c r="R1550" s="1" t="s">
        <v>70</v>
      </c>
      <c r="S1550" s="1">
        <v>1</v>
      </c>
      <c r="T1550" s="1" t="b">
        <v>0</v>
      </c>
      <c r="U1550" s="1" t="s">
        <v>39</v>
      </c>
      <c r="V1550" s="3">
        <v>2</v>
      </c>
    </row>
    <row r="1551" spans="1:22" x14ac:dyDescent="0.3">
      <c r="A1551" s="2" t="s">
        <v>3597</v>
      </c>
      <c r="B1551" s="10">
        <v>45240</v>
      </c>
      <c r="C1551" s="22">
        <v>45240</v>
      </c>
      <c r="D1551" s="1" t="s">
        <v>3598</v>
      </c>
      <c r="E1551" s="1" t="s">
        <v>1591</v>
      </c>
      <c r="F1551" s="1">
        <v>25</v>
      </c>
      <c r="G1551" s="1" t="s">
        <v>24</v>
      </c>
      <c r="H1551" s="1" t="s">
        <v>74</v>
      </c>
      <c r="I1551" s="1" t="s">
        <v>136</v>
      </c>
      <c r="J1551" s="1" t="s">
        <v>44</v>
      </c>
      <c r="K1551" s="1" t="s">
        <v>50</v>
      </c>
      <c r="L1551" s="1">
        <v>2</v>
      </c>
      <c r="M1551" s="13">
        <v>30782.35</v>
      </c>
      <c r="N1551" s="15">
        <v>0.22</v>
      </c>
      <c r="O1551" s="13">
        <v>47340.73</v>
      </c>
      <c r="P1551" s="13">
        <v>11318.5</v>
      </c>
      <c r="Q1551" s="13">
        <v>48.72</v>
      </c>
      <c r="R1551" s="1" t="s">
        <v>78</v>
      </c>
      <c r="S1551" s="1">
        <v>4</v>
      </c>
      <c r="T1551" s="1" t="b">
        <v>0</v>
      </c>
      <c r="U1551" s="1" t="s">
        <v>39</v>
      </c>
      <c r="V1551" s="3">
        <v>10</v>
      </c>
    </row>
    <row r="1552" spans="1:22" x14ac:dyDescent="0.3">
      <c r="A1552" s="2" t="s">
        <v>3599</v>
      </c>
      <c r="B1552" s="10">
        <v>44271</v>
      </c>
      <c r="C1552" s="22">
        <v>44271</v>
      </c>
      <c r="D1552" s="1" t="s">
        <v>3600</v>
      </c>
      <c r="E1552" s="1" t="s">
        <v>1733</v>
      </c>
      <c r="F1552" s="1">
        <v>34</v>
      </c>
      <c r="G1552" s="1" t="s">
        <v>24</v>
      </c>
      <c r="H1552" s="1" t="s">
        <v>25</v>
      </c>
      <c r="I1552" s="1" t="s">
        <v>26</v>
      </c>
      <c r="J1552" s="1" t="s">
        <v>44</v>
      </c>
      <c r="K1552" s="1" t="s">
        <v>221</v>
      </c>
      <c r="L1552" s="1">
        <v>2</v>
      </c>
      <c r="M1552" s="13">
        <v>22148.9</v>
      </c>
      <c r="N1552" s="15">
        <v>0.1</v>
      </c>
      <c r="O1552" s="13">
        <v>46326.9</v>
      </c>
      <c r="P1552" s="13">
        <v>10034.049999999999</v>
      </c>
      <c r="Q1552" s="13">
        <v>55.7</v>
      </c>
      <c r="R1552" s="1" t="s">
        <v>29</v>
      </c>
      <c r="S1552" s="1">
        <v>4</v>
      </c>
      <c r="T1552" s="1" t="b">
        <v>0</v>
      </c>
      <c r="U1552" s="1" t="s">
        <v>84</v>
      </c>
      <c r="V1552" s="3">
        <v>1</v>
      </c>
    </row>
    <row r="1553" spans="1:22" x14ac:dyDescent="0.3">
      <c r="A1553" s="2" t="s">
        <v>3601</v>
      </c>
      <c r="B1553" s="10">
        <v>44232</v>
      </c>
      <c r="C1553" s="22">
        <v>44232</v>
      </c>
      <c r="D1553" s="1" t="s">
        <v>3602</v>
      </c>
      <c r="E1553" s="1" t="s">
        <v>1064</v>
      </c>
      <c r="F1553" s="1">
        <v>19</v>
      </c>
      <c r="G1553" s="1" t="s">
        <v>68</v>
      </c>
      <c r="H1553" s="1" t="s">
        <v>35</v>
      </c>
      <c r="I1553" s="1" t="s">
        <v>106</v>
      </c>
      <c r="J1553" s="1" t="s">
        <v>37</v>
      </c>
      <c r="K1553" s="1" t="s">
        <v>182</v>
      </c>
      <c r="L1553" s="1">
        <v>4</v>
      </c>
      <c r="M1553" s="13">
        <v>1900.58</v>
      </c>
      <c r="N1553" s="15">
        <v>0.12</v>
      </c>
      <c r="O1553" s="13">
        <v>6413.16</v>
      </c>
      <c r="P1553" s="13">
        <v>3388.38</v>
      </c>
      <c r="Q1553" s="13">
        <v>47.89</v>
      </c>
      <c r="R1553" s="1" t="s">
        <v>78</v>
      </c>
      <c r="S1553" s="1">
        <v>3</v>
      </c>
      <c r="T1553" s="1" t="b">
        <v>0</v>
      </c>
      <c r="U1553" s="1" t="s">
        <v>39</v>
      </c>
      <c r="V1553" s="3">
        <v>1</v>
      </c>
    </row>
    <row r="1554" spans="1:22" x14ac:dyDescent="0.3">
      <c r="A1554" s="2" t="s">
        <v>3603</v>
      </c>
      <c r="B1554" s="10">
        <v>43916</v>
      </c>
      <c r="C1554" s="22">
        <v>43916</v>
      </c>
      <c r="D1554" s="1" t="s">
        <v>3604</v>
      </c>
      <c r="E1554" s="1" t="s">
        <v>1345</v>
      </c>
      <c r="F1554" s="1">
        <v>34</v>
      </c>
      <c r="G1554" s="1" t="s">
        <v>34</v>
      </c>
      <c r="H1554" s="1" t="s">
        <v>74</v>
      </c>
      <c r="I1554" s="1" t="s">
        <v>192</v>
      </c>
      <c r="J1554" s="1" t="s">
        <v>44</v>
      </c>
      <c r="K1554" s="1" t="s">
        <v>186</v>
      </c>
      <c r="L1554" s="1">
        <v>8</v>
      </c>
      <c r="M1554" s="13">
        <v>30630.05</v>
      </c>
      <c r="N1554" s="15">
        <v>0.31</v>
      </c>
      <c r="O1554" s="13">
        <v>154185.04999999999</v>
      </c>
      <c r="P1554" s="13">
        <v>41569.879999999997</v>
      </c>
      <c r="Q1554" s="13">
        <v>27.98</v>
      </c>
      <c r="R1554" s="1" t="s">
        <v>57</v>
      </c>
      <c r="S1554" s="1">
        <v>1</v>
      </c>
      <c r="T1554" s="1" t="b">
        <v>0</v>
      </c>
      <c r="U1554" s="1" t="s">
        <v>84</v>
      </c>
      <c r="V1554" s="3">
        <v>4</v>
      </c>
    </row>
    <row r="1555" spans="1:22" x14ac:dyDescent="0.3">
      <c r="A1555" s="2" t="s">
        <v>3605</v>
      </c>
      <c r="B1555" s="10">
        <v>44259</v>
      </c>
      <c r="C1555" s="22">
        <v>44259</v>
      </c>
      <c r="D1555" s="1" t="s">
        <v>3606</v>
      </c>
      <c r="E1555" s="1" t="s">
        <v>1047</v>
      </c>
      <c r="F1555" s="1">
        <v>27</v>
      </c>
      <c r="G1555" s="1" t="s">
        <v>24</v>
      </c>
      <c r="H1555" s="1" t="s">
        <v>82</v>
      </c>
      <c r="I1555" s="1" t="s">
        <v>244</v>
      </c>
      <c r="J1555" s="1" t="s">
        <v>146</v>
      </c>
      <c r="K1555" s="1" t="s">
        <v>484</v>
      </c>
      <c r="L1555" s="1">
        <v>2</v>
      </c>
      <c r="M1555" s="13">
        <v>12124.27</v>
      </c>
      <c r="N1555" s="15">
        <v>0.2</v>
      </c>
      <c r="O1555" s="13">
        <v>19621.740000000002</v>
      </c>
      <c r="P1555" s="13">
        <v>4737.6899999999996</v>
      </c>
      <c r="Q1555" s="13">
        <v>91.21</v>
      </c>
      <c r="R1555" s="1" t="s">
        <v>29</v>
      </c>
      <c r="S1555" s="1">
        <v>3</v>
      </c>
      <c r="T1555" s="1" t="b">
        <v>0</v>
      </c>
      <c r="U1555" s="1" t="s">
        <v>39</v>
      </c>
      <c r="V1555" s="3">
        <v>7</v>
      </c>
    </row>
    <row r="1556" spans="1:22" x14ac:dyDescent="0.3">
      <c r="A1556" s="2" t="s">
        <v>3607</v>
      </c>
      <c r="B1556" s="10">
        <v>44307</v>
      </c>
      <c r="C1556" s="22">
        <v>44307</v>
      </c>
      <c r="D1556" s="1" t="s">
        <v>3608</v>
      </c>
      <c r="E1556" s="1" t="s">
        <v>473</v>
      </c>
      <c r="F1556" s="1">
        <v>49</v>
      </c>
      <c r="G1556" s="1" t="s">
        <v>68</v>
      </c>
      <c r="H1556" s="1" t="s">
        <v>74</v>
      </c>
      <c r="I1556" s="1" t="s">
        <v>75</v>
      </c>
      <c r="J1556" s="1" t="s">
        <v>62</v>
      </c>
      <c r="K1556" s="1" t="s">
        <v>107</v>
      </c>
      <c r="L1556" s="1">
        <v>7</v>
      </c>
      <c r="M1556" s="13">
        <v>534.91</v>
      </c>
      <c r="N1556" s="15">
        <v>7.0000000000000007E-2</v>
      </c>
      <c r="O1556" s="13">
        <v>4674.41</v>
      </c>
      <c r="P1556" s="13">
        <v>2443.2199999999998</v>
      </c>
      <c r="Q1556" s="13">
        <v>61.73</v>
      </c>
      <c r="R1556" s="1" t="s">
        <v>51</v>
      </c>
      <c r="S1556" s="1">
        <v>1</v>
      </c>
      <c r="T1556" s="1" t="b">
        <v>0</v>
      </c>
      <c r="U1556" s="1" t="s">
        <v>84</v>
      </c>
      <c r="V1556" s="3">
        <v>7</v>
      </c>
    </row>
    <row r="1557" spans="1:22" x14ac:dyDescent="0.3">
      <c r="A1557" s="2" t="s">
        <v>3609</v>
      </c>
      <c r="B1557" s="10">
        <v>45315</v>
      </c>
      <c r="C1557" s="22">
        <v>45315</v>
      </c>
      <c r="D1557" s="1" t="s">
        <v>3610</v>
      </c>
      <c r="E1557" s="1" t="s">
        <v>324</v>
      </c>
      <c r="F1557" s="1">
        <v>46</v>
      </c>
      <c r="G1557" s="1" t="s">
        <v>68</v>
      </c>
      <c r="H1557" s="1" t="s">
        <v>74</v>
      </c>
      <c r="I1557" s="1" t="s">
        <v>192</v>
      </c>
      <c r="J1557" s="1" t="s">
        <v>37</v>
      </c>
      <c r="K1557" s="1" t="s">
        <v>231</v>
      </c>
      <c r="L1557" s="1">
        <v>2</v>
      </c>
      <c r="M1557" s="13">
        <v>1022.14</v>
      </c>
      <c r="N1557" s="15">
        <v>0.23</v>
      </c>
      <c r="O1557" s="13">
        <v>1560.83</v>
      </c>
      <c r="P1557" s="13">
        <v>580.86</v>
      </c>
      <c r="Q1557" s="13">
        <v>51.54</v>
      </c>
      <c r="R1557" s="1" t="s">
        <v>78</v>
      </c>
      <c r="S1557" s="1">
        <v>5</v>
      </c>
      <c r="T1557" s="1" t="b">
        <v>1</v>
      </c>
      <c r="U1557" s="1" t="s">
        <v>30</v>
      </c>
      <c r="V1557" s="3">
        <v>4</v>
      </c>
    </row>
    <row r="1558" spans="1:22" x14ac:dyDescent="0.3">
      <c r="A1558" s="2" t="s">
        <v>3611</v>
      </c>
      <c r="B1558" s="10">
        <v>45484</v>
      </c>
      <c r="C1558" s="22">
        <v>45484</v>
      </c>
      <c r="D1558" s="1" t="s">
        <v>3612</v>
      </c>
      <c r="E1558" s="1" t="s">
        <v>729</v>
      </c>
      <c r="F1558" s="1">
        <v>54</v>
      </c>
      <c r="G1558" s="1" t="s">
        <v>24</v>
      </c>
      <c r="H1558" s="1" t="s">
        <v>82</v>
      </c>
      <c r="I1558" s="1" t="s">
        <v>126</v>
      </c>
      <c r="J1558" s="1" t="s">
        <v>44</v>
      </c>
      <c r="K1558" s="1" t="s">
        <v>50</v>
      </c>
      <c r="L1558" s="1">
        <v>4</v>
      </c>
      <c r="M1558" s="13">
        <v>34537.46</v>
      </c>
      <c r="N1558" s="15">
        <v>0.05</v>
      </c>
      <c r="O1558" s="13">
        <v>208628.7</v>
      </c>
      <c r="P1558" s="13">
        <v>50381.67</v>
      </c>
      <c r="Q1558" s="13">
        <v>76.14</v>
      </c>
      <c r="R1558" s="1" t="s">
        <v>51</v>
      </c>
      <c r="S1558" s="1">
        <v>3</v>
      </c>
      <c r="T1558" s="1" t="b">
        <v>0</v>
      </c>
      <c r="U1558" s="1" t="s">
        <v>39</v>
      </c>
      <c r="V1558" s="3">
        <v>8</v>
      </c>
    </row>
    <row r="1559" spans="1:22" x14ac:dyDescent="0.3">
      <c r="A1559" s="2" t="s">
        <v>3613</v>
      </c>
      <c r="B1559" s="10">
        <v>43906</v>
      </c>
      <c r="C1559" s="22">
        <v>43906</v>
      </c>
      <c r="D1559" s="1" t="s">
        <v>3614</v>
      </c>
      <c r="E1559" s="1" t="s">
        <v>520</v>
      </c>
      <c r="F1559" s="1">
        <v>33</v>
      </c>
      <c r="G1559" s="1" t="s">
        <v>68</v>
      </c>
      <c r="H1559" s="1" t="s">
        <v>82</v>
      </c>
      <c r="I1559" s="1" t="s">
        <v>244</v>
      </c>
      <c r="J1559" s="1" t="s">
        <v>62</v>
      </c>
      <c r="K1559" s="1" t="s">
        <v>570</v>
      </c>
      <c r="L1559" s="1">
        <v>8</v>
      </c>
      <c r="M1559" s="13">
        <v>1355.07</v>
      </c>
      <c r="N1559" s="15">
        <v>0.25</v>
      </c>
      <c r="O1559" s="13">
        <v>7286.92</v>
      </c>
      <c r="P1559" s="13">
        <v>3585.8</v>
      </c>
      <c r="Q1559" s="13">
        <v>86.98</v>
      </c>
      <c r="R1559" s="1" t="s">
        <v>29</v>
      </c>
      <c r="S1559" s="1">
        <v>4</v>
      </c>
      <c r="T1559" s="1" t="b">
        <v>0</v>
      </c>
      <c r="U1559" s="1" t="s">
        <v>137</v>
      </c>
      <c r="V1559" s="3">
        <v>5</v>
      </c>
    </row>
    <row r="1560" spans="1:22" x14ac:dyDescent="0.3">
      <c r="A1560" s="2" t="s">
        <v>3615</v>
      </c>
      <c r="B1560" s="10">
        <v>45083</v>
      </c>
      <c r="C1560" s="22">
        <v>45083</v>
      </c>
      <c r="D1560" s="1" t="s">
        <v>3616</v>
      </c>
      <c r="E1560" s="1" t="s">
        <v>1555</v>
      </c>
      <c r="F1560" s="1">
        <v>32</v>
      </c>
      <c r="G1560" s="1" t="s">
        <v>24</v>
      </c>
      <c r="H1560" s="1" t="s">
        <v>82</v>
      </c>
      <c r="I1560" s="1" t="s">
        <v>293</v>
      </c>
      <c r="J1560" s="1" t="s">
        <v>44</v>
      </c>
      <c r="K1560" s="1" t="s">
        <v>50</v>
      </c>
      <c r="L1560" s="1">
        <v>9</v>
      </c>
      <c r="M1560" s="13">
        <v>24542.85</v>
      </c>
      <c r="N1560" s="15">
        <v>0.3</v>
      </c>
      <c r="O1560" s="13">
        <v>291832.52</v>
      </c>
      <c r="P1560" s="13">
        <v>76203.02</v>
      </c>
      <c r="Q1560" s="13">
        <v>95.21</v>
      </c>
      <c r="R1560" s="1" t="s">
        <v>70</v>
      </c>
      <c r="S1560" s="1">
        <v>2</v>
      </c>
      <c r="T1560" s="1" t="b">
        <v>0</v>
      </c>
      <c r="U1560" s="1" t="s">
        <v>39</v>
      </c>
      <c r="V1560" s="3">
        <v>6</v>
      </c>
    </row>
    <row r="1561" spans="1:22" x14ac:dyDescent="0.3">
      <c r="A1561" s="2" t="s">
        <v>3617</v>
      </c>
      <c r="B1561" s="10">
        <v>44970</v>
      </c>
      <c r="C1561" s="22">
        <v>44970</v>
      </c>
      <c r="D1561" s="1" t="s">
        <v>3618</v>
      </c>
      <c r="E1561" s="1" t="s">
        <v>154</v>
      </c>
      <c r="F1561" s="1">
        <v>34</v>
      </c>
      <c r="G1561" s="1" t="s">
        <v>68</v>
      </c>
      <c r="H1561" s="1" t="s">
        <v>74</v>
      </c>
      <c r="I1561" s="1" t="s">
        <v>75</v>
      </c>
      <c r="J1561" s="1" t="s">
        <v>127</v>
      </c>
      <c r="K1561" s="1" t="s">
        <v>308</v>
      </c>
      <c r="L1561" s="1">
        <v>8</v>
      </c>
      <c r="M1561" s="13">
        <v>78209.240000000005</v>
      </c>
      <c r="N1561" s="15">
        <v>0.1</v>
      </c>
      <c r="O1561" s="13">
        <v>571749.49</v>
      </c>
      <c r="P1561" s="13">
        <v>85521.04</v>
      </c>
      <c r="Q1561" s="13">
        <v>51.05</v>
      </c>
      <c r="R1561" s="1" t="s">
        <v>64</v>
      </c>
      <c r="S1561" s="1">
        <v>1</v>
      </c>
      <c r="T1561" s="1" t="b">
        <v>0</v>
      </c>
      <c r="U1561" s="1" t="s">
        <v>137</v>
      </c>
      <c r="V1561" s="3">
        <v>1</v>
      </c>
    </row>
    <row r="1562" spans="1:22" x14ac:dyDescent="0.3">
      <c r="A1562" s="2" t="s">
        <v>3619</v>
      </c>
      <c r="B1562" s="10">
        <v>44572</v>
      </c>
      <c r="C1562" s="22">
        <v>44572</v>
      </c>
      <c r="D1562" s="1" t="s">
        <v>1233</v>
      </c>
      <c r="E1562" s="1" t="s">
        <v>894</v>
      </c>
      <c r="F1562" s="1">
        <v>36</v>
      </c>
      <c r="G1562" s="1" t="s">
        <v>24</v>
      </c>
      <c r="H1562" s="1" t="s">
        <v>111</v>
      </c>
      <c r="I1562" s="1" t="s">
        <v>112</v>
      </c>
      <c r="J1562" s="1" t="s">
        <v>76</v>
      </c>
      <c r="K1562" s="1" t="s">
        <v>89</v>
      </c>
      <c r="L1562" s="1">
        <v>3</v>
      </c>
      <c r="M1562" s="13">
        <v>3496.76</v>
      </c>
      <c r="N1562" s="15">
        <v>0.05</v>
      </c>
      <c r="O1562" s="13">
        <v>8060.61</v>
      </c>
      <c r="P1562" s="13">
        <v>2308.11</v>
      </c>
      <c r="Q1562" s="13">
        <v>40.950000000000003</v>
      </c>
      <c r="R1562" s="1" t="s">
        <v>70</v>
      </c>
      <c r="S1562" s="1">
        <v>4</v>
      </c>
      <c r="T1562" s="1" t="b">
        <v>0</v>
      </c>
      <c r="U1562" s="1" t="s">
        <v>39</v>
      </c>
      <c r="V1562" s="3">
        <v>3</v>
      </c>
    </row>
    <row r="1563" spans="1:22" x14ac:dyDescent="0.3">
      <c r="A1563" s="2" t="s">
        <v>3620</v>
      </c>
      <c r="B1563" s="10">
        <v>43834</v>
      </c>
      <c r="C1563" s="22">
        <v>43834</v>
      </c>
      <c r="D1563" s="1" t="s">
        <v>3621</v>
      </c>
      <c r="E1563" s="1" t="s">
        <v>2144</v>
      </c>
      <c r="F1563" s="1">
        <v>25</v>
      </c>
      <c r="G1563" s="1" t="s">
        <v>24</v>
      </c>
      <c r="H1563" s="1" t="s">
        <v>25</v>
      </c>
      <c r="I1563" s="1" t="s">
        <v>69</v>
      </c>
      <c r="J1563" s="1" t="s">
        <v>127</v>
      </c>
      <c r="K1563" s="1" t="s">
        <v>196</v>
      </c>
      <c r="L1563" s="1">
        <v>5</v>
      </c>
      <c r="M1563" s="13">
        <v>74661.960000000006</v>
      </c>
      <c r="N1563" s="15">
        <v>0.1</v>
      </c>
      <c r="O1563" s="13">
        <v>413676.41</v>
      </c>
      <c r="P1563" s="13">
        <v>38409.75</v>
      </c>
      <c r="Q1563" s="13">
        <v>43.58</v>
      </c>
      <c r="R1563" s="1" t="s">
        <v>29</v>
      </c>
      <c r="S1563" s="1">
        <v>3</v>
      </c>
      <c r="T1563" s="1" t="b">
        <v>0</v>
      </c>
      <c r="U1563" s="1" t="s">
        <v>39</v>
      </c>
      <c r="V1563" s="3">
        <v>9</v>
      </c>
    </row>
    <row r="1564" spans="1:22" x14ac:dyDescent="0.3">
      <c r="A1564" s="2" t="s">
        <v>3622</v>
      </c>
      <c r="B1564" s="10">
        <v>43952</v>
      </c>
      <c r="C1564" s="22">
        <v>43952</v>
      </c>
      <c r="D1564" s="1" t="s">
        <v>3623</v>
      </c>
      <c r="E1564" s="1" t="s">
        <v>1324</v>
      </c>
      <c r="F1564" s="1">
        <v>6</v>
      </c>
      <c r="G1564" s="1" t="s">
        <v>34</v>
      </c>
      <c r="H1564" s="1" t="s">
        <v>111</v>
      </c>
      <c r="I1564" s="1" t="s">
        <v>121</v>
      </c>
      <c r="J1564" s="1" t="s">
        <v>76</v>
      </c>
      <c r="K1564" s="1" t="s">
        <v>77</v>
      </c>
      <c r="L1564" s="1">
        <v>10</v>
      </c>
      <c r="M1564" s="13">
        <v>2668.56</v>
      </c>
      <c r="N1564" s="15">
        <v>0.03</v>
      </c>
      <c r="O1564" s="13">
        <v>32567.59</v>
      </c>
      <c r="P1564" s="13">
        <v>10352.49</v>
      </c>
      <c r="Q1564" s="13">
        <v>77.489999999999995</v>
      </c>
      <c r="R1564" s="1" t="s">
        <v>51</v>
      </c>
      <c r="S1564" s="1">
        <v>5</v>
      </c>
      <c r="T1564" s="1" t="b">
        <v>0</v>
      </c>
      <c r="U1564" s="1" t="s">
        <v>39</v>
      </c>
      <c r="V1564" s="3">
        <v>4</v>
      </c>
    </row>
    <row r="1565" spans="1:22" x14ac:dyDescent="0.3">
      <c r="A1565" s="2" t="s">
        <v>3624</v>
      </c>
      <c r="B1565" s="10">
        <v>44312</v>
      </c>
      <c r="C1565" s="22">
        <v>44312</v>
      </c>
      <c r="D1565" s="1" t="s">
        <v>3625</v>
      </c>
      <c r="E1565" s="1" t="s">
        <v>1471</v>
      </c>
      <c r="F1565" s="1">
        <v>34</v>
      </c>
      <c r="G1565" s="1" t="s">
        <v>68</v>
      </c>
      <c r="H1565" s="1" t="s">
        <v>111</v>
      </c>
      <c r="I1565" s="1" t="s">
        <v>330</v>
      </c>
      <c r="J1565" s="1" t="s">
        <v>127</v>
      </c>
      <c r="K1565" s="1" t="s">
        <v>171</v>
      </c>
      <c r="L1565" s="1">
        <v>1</v>
      </c>
      <c r="M1565" s="13">
        <v>78711.02</v>
      </c>
      <c r="N1565" s="15">
        <v>0.18</v>
      </c>
      <c r="O1565" s="13">
        <v>90409.82</v>
      </c>
      <c r="P1565" s="13">
        <v>11769.97</v>
      </c>
      <c r="Q1565" s="13">
        <v>90.37</v>
      </c>
      <c r="R1565" s="1" t="s">
        <v>57</v>
      </c>
      <c r="S1565" s="1">
        <v>3</v>
      </c>
      <c r="T1565" s="1" t="b">
        <v>0</v>
      </c>
      <c r="U1565" s="1" t="s">
        <v>39</v>
      </c>
      <c r="V1565" s="3">
        <v>3</v>
      </c>
    </row>
    <row r="1566" spans="1:22" x14ac:dyDescent="0.3">
      <c r="A1566" s="2" t="s">
        <v>3626</v>
      </c>
      <c r="B1566" s="10">
        <v>44938</v>
      </c>
      <c r="C1566" s="22">
        <v>44938</v>
      </c>
      <c r="D1566" s="1" t="s">
        <v>3627</v>
      </c>
      <c r="E1566" s="1" t="s">
        <v>2001</v>
      </c>
      <c r="F1566" s="1">
        <v>29</v>
      </c>
      <c r="G1566" s="1" t="s">
        <v>68</v>
      </c>
      <c r="H1566" s="1" t="s">
        <v>25</v>
      </c>
      <c r="I1566" s="1" t="s">
        <v>26</v>
      </c>
      <c r="J1566" s="1" t="s">
        <v>27</v>
      </c>
      <c r="K1566" s="1" t="s">
        <v>400</v>
      </c>
      <c r="L1566" s="1">
        <v>1</v>
      </c>
      <c r="M1566" s="13">
        <v>243.91</v>
      </c>
      <c r="N1566" s="15">
        <v>0.3</v>
      </c>
      <c r="O1566" s="13">
        <v>164.22</v>
      </c>
      <c r="P1566" s="13">
        <v>16.45</v>
      </c>
      <c r="Q1566" s="13">
        <v>53.75</v>
      </c>
      <c r="R1566" s="1" t="s">
        <v>64</v>
      </c>
      <c r="S1566" s="1">
        <v>5</v>
      </c>
      <c r="T1566" s="1" t="b">
        <v>0</v>
      </c>
      <c r="U1566" s="1" t="s">
        <v>137</v>
      </c>
      <c r="V1566" s="3">
        <v>3</v>
      </c>
    </row>
    <row r="1567" spans="1:22" x14ac:dyDescent="0.3">
      <c r="A1567" s="2" t="s">
        <v>3628</v>
      </c>
      <c r="B1567" s="10">
        <v>45564</v>
      </c>
      <c r="C1567" s="22">
        <v>45564</v>
      </c>
      <c r="D1567" s="1" t="s">
        <v>3629</v>
      </c>
      <c r="E1567" s="1" t="s">
        <v>1782</v>
      </c>
      <c r="F1567" s="1">
        <v>22</v>
      </c>
      <c r="G1567" s="1" t="s">
        <v>68</v>
      </c>
      <c r="H1567" s="1" t="s">
        <v>35</v>
      </c>
      <c r="I1567" s="1" t="s">
        <v>43</v>
      </c>
      <c r="J1567" s="1" t="s">
        <v>62</v>
      </c>
      <c r="K1567" s="1" t="s">
        <v>570</v>
      </c>
      <c r="L1567" s="1">
        <v>2</v>
      </c>
      <c r="M1567" s="13">
        <v>1099.72</v>
      </c>
      <c r="N1567" s="15">
        <v>0.22</v>
      </c>
      <c r="O1567" s="13">
        <v>2033.79</v>
      </c>
      <c r="P1567" s="13">
        <v>869.03</v>
      </c>
      <c r="Q1567" s="13">
        <v>61.35</v>
      </c>
      <c r="R1567" s="1" t="s">
        <v>78</v>
      </c>
      <c r="S1567" s="1">
        <v>3</v>
      </c>
      <c r="T1567" s="1" t="b">
        <v>0</v>
      </c>
      <c r="U1567" s="1" t="s">
        <v>39</v>
      </c>
      <c r="V1567" s="3">
        <v>4</v>
      </c>
    </row>
    <row r="1568" spans="1:22" x14ac:dyDescent="0.3">
      <c r="A1568" s="2" t="s">
        <v>3630</v>
      </c>
      <c r="B1568" s="10">
        <v>45061</v>
      </c>
      <c r="C1568" s="22">
        <v>45061</v>
      </c>
      <c r="D1568" s="1" t="s">
        <v>3631</v>
      </c>
      <c r="E1568" s="1" t="s">
        <v>2286</v>
      </c>
      <c r="F1568" s="1">
        <v>35</v>
      </c>
      <c r="G1568" s="1" t="s">
        <v>34</v>
      </c>
      <c r="H1568" s="1" t="s">
        <v>111</v>
      </c>
      <c r="I1568" s="1" t="s">
        <v>121</v>
      </c>
      <c r="J1568" s="1" t="s">
        <v>146</v>
      </c>
      <c r="K1568" s="1" t="s">
        <v>217</v>
      </c>
      <c r="L1568" s="1">
        <v>2</v>
      </c>
      <c r="M1568" s="13">
        <v>5536.92</v>
      </c>
      <c r="N1568" s="15">
        <v>7.0000000000000007E-2</v>
      </c>
      <c r="O1568" s="13">
        <v>16264.24</v>
      </c>
      <c r="P1568" s="13">
        <v>5022.79</v>
      </c>
      <c r="Q1568" s="13">
        <v>86.81</v>
      </c>
      <c r="R1568" s="1" t="s">
        <v>78</v>
      </c>
      <c r="S1568" s="1">
        <v>5</v>
      </c>
      <c r="T1568" s="1" t="b">
        <v>0</v>
      </c>
      <c r="U1568" s="1" t="s">
        <v>84</v>
      </c>
      <c r="V1568" s="3">
        <v>4</v>
      </c>
    </row>
    <row r="1569" spans="1:22" x14ac:dyDescent="0.3">
      <c r="A1569" s="2" t="s">
        <v>3632</v>
      </c>
      <c r="B1569" s="10">
        <v>45186</v>
      </c>
      <c r="C1569" s="22">
        <v>45186</v>
      </c>
      <c r="D1569" s="1" t="s">
        <v>3633</v>
      </c>
      <c r="E1569" s="1" t="s">
        <v>1131</v>
      </c>
      <c r="F1569" s="1">
        <v>32</v>
      </c>
      <c r="G1569" s="1" t="s">
        <v>24</v>
      </c>
      <c r="H1569" s="1" t="s">
        <v>74</v>
      </c>
      <c r="I1569" s="1" t="s">
        <v>101</v>
      </c>
      <c r="J1569" s="1" t="s">
        <v>37</v>
      </c>
      <c r="K1569" s="1" t="s">
        <v>454</v>
      </c>
      <c r="L1569" s="1">
        <v>10</v>
      </c>
      <c r="M1569" s="13">
        <v>384.92</v>
      </c>
      <c r="N1569" s="15">
        <v>0.13</v>
      </c>
      <c r="O1569" s="13">
        <v>3802.28</v>
      </c>
      <c r="P1569" s="13">
        <v>1470.62</v>
      </c>
      <c r="Q1569" s="13">
        <v>46.05</v>
      </c>
      <c r="R1569" s="1" t="s">
        <v>51</v>
      </c>
      <c r="S1569" s="1">
        <v>1</v>
      </c>
      <c r="T1569" s="1" t="b">
        <v>0</v>
      </c>
      <c r="U1569" s="1" t="s">
        <v>58</v>
      </c>
      <c r="V1569" s="3">
        <v>9</v>
      </c>
    </row>
    <row r="1570" spans="1:22" x14ac:dyDescent="0.3">
      <c r="A1570" s="2" t="s">
        <v>3634</v>
      </c>
      <c r="B1570" s="10">
        <v>43986</v>
      </c>
      <c r="C1570" s="22">
        <v>43986</v>
      </c>
      <c r="D1570" s="1" t="s">
        <v>3635</v>
      </c>
      <c r="E1570" s="1" t="s">
        <v>272</v>
      </c>
      <c r="F1570" s="1">
        <v>44</v>
      </c>
      <c r="G1570" s="1" t="s">
        <v>34</v>
      </c>
      <c r="H1570" s="1" t="s">
        <v>35</v>
      </c>
      <c r="I1570" s="1" t="s">
        <v>106</v>
      </c>
      <c r="J1570" s="1" t="s">
        <v>27</v>
      </c>
      <c r="K1570" s="1" t="s">
        <v>430</v>
      </c>
      <c r="L1570" s="1">
        <v>10</v>
      </c>
      <c r="M1570" s="13">
        <v>350.15</v>
      </c>
      <c r="N1570" s="15">
        <v>7.0000000000000007E-2</v>
      </c>
      <c r="O1570" s="13">
        <v>4245.67</v>
      </c>
      <c r="P1570" s="13">
        <v>346.67</v>
      </c>
      <c r="Q1570" s="13">
        <v>62.1</v>
      </c>
      <c r="R1570" s="1" t="s">
        <v>70</v>
      </c>
      <c r="S1570" s="1">
        <v>3</v>
      </c>
      <c r="T1570" s="1" t="b">
        <v>1</v>
      </c>
      <c r="U1570" s="1" t="s">
        <v>30</v>
      </c>
      <c r="V1570" s="3">
        <v>1</v>
      </c>
    </row>
    <row r="1571" spans="1:22" x14ac:dyDescent="0.3">
      <c r="A1571" s="2" t="s">
        <v>3636</v>
      </c>
      <c r="B1571" s="10">
        <v>43909</v>
      </c>
      <c r="C1571" s="22">
        <v>43909</v>
      </c>
      <c r="D1571" s="1" t="s">
        <v>3637</v>
      </c>
      <c r="E1571" s="1" t="s">
        <v>3518</v>
      </c>
      <c r="F1571" s="1">
        <v>24</v>
      </c>
      <c r="G1571" s="1" t="s">
        <v>391</v>
      </c>
      <c r="H1571" s="1" t="s">
        <v>25</v>
      </c>
      <c r="I1571" s="1" t="s">
        <v>26</v>
      </c>
      <c r="J1571" s="1" t="s">
        <v>127</v>
      </c>
      <c r="K1571" s="1" t="s">
        <v>196</v>
      </c>
      <c r="L1571" s="1">
        <v>6</v>
      </c>
      <c r="M1571" s="13">
        <v>15086.96</v>
      </c>
      <c r="N1571" s="15">
        <v>0.13</v>
      </c>
      <c r="O1571" s="13">
        <v>83619.759999999995</v>
      </c>
      <c r="P1571" s="13">
        <v>10183.25</v>
      </c>
      <c r="Q1571" s="13">
        <v>74.72</v>
      </c>
      <c r="R1571" s="1" t="s">
        <v>70</v>
      </c>
      <c r="S1571" s="1">
        <v>1</v>
      </c>
      <c r="T1571" s="1" t="b">
        <v>0</v>
      </c>
      <c r="U1571" s="1" t="s">
        <v>39</v>
      </c>
      <c r="V1571" s="3">
        <v>4</v>
      </c>
    </row>
    <row r="1572" spans="1:22" x14ac:dyDescent="0.3">
      <c r="A1572" s="2" t="s">
        <v>3638</v>
      </c>
      <c r="B1572" s="10">
        <v>45467</v>
      </c>
      <c r="C1572" s="22">
        <v>45467</v>
      </c>
      <c r="D1572" s="1" t="s">
        <v>3639</v>
      </c>
      <c r="E1572" s="1" t="s">
        <v>1001</v>
      </c>
      <c r="F1572" s="1">
        <v>18</v>
      </c>
      <c r="G1572" s="1" t="s">
        <v>68</v>
      </c>
      <c r="H1572" s="1" t="s">
        <v>82</v>
      </c>
      <c r="I1572" s="1" t="s">
        <v>126</v>
      </c>
      <c r="J1572" s="1" t="s">
        <v>146</v>
      </c>
      <c r="K1572" s="1" t="s">
        <v>217</v>
      </c>
      <c r="L1572" s="1">
        <v>4</v>
      </c>
      <c r="M1572" s="13">
        <v>6805.31</v>
      </c>
      <c r="N1572" s="15">
        <v>0.01</v>
      </c>
      <c r="O1572" s="13">
        <v>48326.79</v>
      </c>
      <c r="P1572" s="13">
        <v>11120.45</v>
      </c>
      <c r="Q1572" s="13">
        <v>101.73</v>
      </c>
      <c r="R1572" s="1" t="s">
        <v>51</v>
      </c>
      <c r="S1572" s="1">
        <v>2</v>
      </c>
      <c r="T1572" s="1" t="b">
        <v>1</v>
      </c>
      <c r="U1572" s="1" t="s">
        <v>30</v>
      </c>
      <c r="V1572" s="3">
        <v>3</v>
      </c>
    </row>
    <row r="1573" spans="1:22" x14ac:dyDescent="0.3">
      <c r="A1573" s="2" t="s">
        <v>3640</v>
      </c>
      <c r="B1573" s="10">
        <v>44598</v>
      </c>
      <c r="C1573" s="22">
        <v>44598</v>
      </c>
      <c r="D1573" s="1" t="s">
        <v>3641</v>
      </c>
      <c r="E1573" s="1" t="s">
        <v>693</v>
      </c>
      <c r="F1573" s="1">
        <v>20</v>
      </c>
      <c r="G1573" s="1" t="s">
        <v>34</v>
      </c>
      <c r="H1573" s="1" t="s">
        <v>82</v>
      </c>
      <c r="I1573" s="1" t="s">
        <v>126</v>
      </c>
      <c r="J1573" s="1" t="s">
        <v>76</v>
      </c>
      <c r="K1573" s="1" t="s">
        <v>132</v>
      </c>
      <c r="L1573" s="1">
        <v>2</v>
      </c>
      <c r="M1573" s="13">
        <v>2075.29</v>
      </c>
      <c r="N1573" s="15">
        <v>0.21</v>
      </c>
      <c r="O1573" s="13">
        <v>2998.78</v>
      </c>
      <c r="P1573" s="13">
        <v>1031.57</v>
      </c>
      <c r="Q1573" s="13">
        <v>62.3</v>
      </c>
      <c r="R1573" s="1" t="s">
        <v>29</v>
      </c>
      <c r="S1573" s="1">
        <v>4</v>
      </c>
      <c r="T1573" s="1" t="b">
        <v>0</v>
      </c>
      <c r="U1573" s="1" t="s">
        <v>39</v>
      </c>
      <c r="V1573" s="3">
        <v>1</v>
      </c>
    </row>
    <row r="1574" spans="1:22" x14ac:dyDescent="0.3">
      <c r="A1574" s="2" t="s">
        <v>3642</v>
      </c>
      <c r="B1574" s="10">
        <v>44227</v>
      </c>
      <c r="C1574" s="22">
        <v>44227</v>
      </c>
      <c r="D1574" s="1" t="s">
        <v>3643</v>
      </c>
      <c r="E1574" s="1" t="s">
        <v>1159</v>
      </c>
      <c r="F1574" s="1">
        <v>18</v>
      </c>
      <c r="G1574" s="1" t="s">
        <v>34</v>
      </c>
      <c r="H1574" s="1" t="s">
        <v>25</v>
      </c>
      <c r="I1574" s="1" t="s">
        <v>69</v>
      </c>
      <c r="J1574" s="1" t="s">
        <v>44</v>
      </c>
      <c r="K1574" s="1" t="s">
        <v>186</v>
      </c>
      <c r="L1574" s="1">
        <v>1</v>
      </c>
      <c r="M1574" s="13">
        <v>10111.030000000001</v>
      </c>
      <c r="N1574" s="15">
        <v>0.27</v>
      </c>
      <c r="O1574" s="13">
        <v>6692.45</v>
      </c>
      <c r="P1574" s="13">
        <v>2226.89</v>
      </c>
      <c r="Q1574" s="13">
        <v>30.16</v>
      </c>
      <c r="R1574" s="1" t="s">
        <v>29</v>
      </c>
      <c r="S1574" s="1">
        <v>2</v>
      </c>
      <c r="T1574" s="1" t="b">
        <v>0</v>
      </c>
      <c r="U1574" s="1" t="s">
        <v>39</v>
      </c>
      <c r="V1574" s="3">
        <v>4</v>
      </c>
    </row>
    <row r="1575" spans="1:22" x14ac:dyDescent="0.3">
      <c r="A1575" s="2" t="s">
        <v>3644</v>
      </c>
      <c r="B1575" s="10">
        <v>45214</v>
      </c>
      <c r="C1575" s="22">
        <v>45214</v>
      </c>
      <c r="D1575" s="1" t="s">
        <v>3645</v>
      </c>
      <c r="E1575" s="1" t="s">
        <v>116</v>
      </c>
      <c r="F1575" s="1">
        <v>18</v>
      </c>
      <c r="G1575" s="1" t="s">
        <v>34</v>
      </c>
      <c r="H1575" s="1" t="s">
        <v>82</v>
      </c>
      <c r="I1575" s="1" t="s">
        <v>244</v>
      </c>
      <c r="J1575" s="1" t="s">
        <v>37</v>
      </c>
      <c r="K1575" s="1" t="s">
        <v>102</v>
      </c>
      <c r="L1575" s="1">
        <v>2</v>
      </c>
      <c r="M1575" s="13">
        <v>2007.33</v>
      </c>
      <c r="N1575" s="15">
        <v>0.17</v>
      </c>
      <c r="O1575" s="13">
        <v>3672.85</v>
      </c>
      <c r="P1575" s="13">
        <v>1779.77</v>
      </c>
      <c r="Q1575" s="13">
        <v>78.53</v>
      </c>
      <c r="R1575" s="1" t="s">
        <v>78</v>
      </c>
      <c r="S1575" s="1">
        <v>5</v>
      </c>
      <c r="T1575" s="1" t="b">
        <v>0</v>
      </c>
      <c r="U1575" s="1" t="s">
        <v>39</v>
      </c>
      <c r="V1575" s="3">
        <v>2</v>
      </c>
    </row>
    <row r="1576" spans="1:22" x14ac:dyDescent="0.3">
      <c r="A1576" s="2" t="s">
        <v>3646</v>
      </c>
      <c r="B1576" s="10">
        <v>44250</v>
      </c>
      <c r="C1576" s="22">
        <v>44250</v>
      </c>
      <c r="D1576" s="1" t="s">
        <v>3647</v>
      </c>
      <c r="E1576" s="1" t="s">
        <v>1064</v>
      </c>
      <c r="F1576" s="1">
        <v>24</v>
      </c>
      <c r="G1576" s="1" t="s">
        <v>34</v>
      </c>
      <c r="H1576" s="1" t="s">
        <v>82</v>
      </c>
      <c r="I1576" s="1" t="s">
        <v>126</v>
      </c>
      <c r="J1576" s="1" t="s">
        <v>44</v>
      </c>
      <c r="K1576" s="1" t="s">
        <v>221</v>
      </c>
      <c r="L1576" s="1">
        <v>5</v>
      </c>
      <c r="M1576" s="13">
        <v>2018.71</v>
      </c>
      <c r="N1576" s="15">
        <v>0.33</v>
      </c>
      <c r="O1576" s="13">
        <v>6353.83</v>
      </c>
      <c r="P1576" s="13">
        <v>1860.03</v>
      </c>
      <c r="Q1576" s="13">
        <v>62.35</v>
      </c>
      <c r="R1576" s="1" t="s">
        <v>51</v>
      </c>
      <c r="S1576" s="1">
        <v>5</v>
      </c>
      <c r="T1576" s="1" t="b">
        <v>0</v>
      </c>
      <c r="U1576" s="1" t="s">
        <v>39</v>
      </c>
      <c r="V1576" s="3">
        <v>1</v>
      </c>
    </row>
    <row r="1577" spans="1:22" x14ac:dyDescent="0.3">
      <c r="A1577" s="2" t="s">
        <v>3648</v>
      </c>
      <c r="B1577" s="10">
        <v>45498</v>
      </c>
      <c r="C1577" s="22">
        <v>45498</v>
      </c>
      <c r="D1577" s="1" t="s">
        <v>3649</v>
      </c>
      <c r="E1577" s="1" t="s">
        <v>1266</v>
      </c>
      <c r="F1577" s="1">
        <v>37</v>
      </c>
      <c r="G1577" s="1" t="s">
        <v>34</v>
      </c>
      <c r="H1577" s="1" t="s">
        <v>82</v>
      </c>
      <c r="I1577" s="1" t="s">
        <v>126</v>
      </c>
      <c r="J1577" s="1" t="s">
        <v>76</v>
      </c>
      <c r="K1577" s="1" t="s">
        <v>207</v>
      </c>
      <c r="L1577" s="1">
        <v>6</v>
      </c>
      <c r="M1577" s="13">
        <v>3101.95</v>
      </c>
      <c r="N1577" s="15">
        <v>0.35</v>
      </c>
      <c r="O1577" s="13">
        <v>20358.13</v>
      </c>
      <c r="P1577" s="13">
        <v>7357.07</v>
      </c>
      <c r="Q1577" s="13">
        <v>89.04</v>
      </c>
      <c r="R1577" s="1" t="s">
        <v>70</v>
      </c>
      <c r="S1577" s="1">
        <v>3</v>
      </c>
      <c r="T1577" s="1" t="b">
        <v>1</v>
      </c>
      <c r="U1577" s="1" t="s">
        <v>30</v>
      </c>
      <c r="V1577" s="3">
        <v>7</v>
      </c>
    </row>
    <row r="1578" spans="1:22" x14ac:dyDescent="0.3">
      <c r="A1578" s="2" t="s">
        <v>3650</v>
      </c>
      <c r="B1578" s="10">
        <v>45198</v>
      </c>
      <c r="C1578" s="22">
        <v>45198</v>
      </c>
      <c r="D1578" s="1" t="s">
        <v>3651</v>
      </c>
      <c r="E1578" s="1" t="s">
        <v>1489</v>
      </c>
      <c r="F1578" s="1">
        <v>38</v>
      </c>
      <c r="G1578" s="1" t="s">
        <v>68</v>
      </c>
      <c r="H1578" s="1" t="s">
        <v>74</v>
      </c>
      <c r="I1578" s="1" t="s">
        <v>75</v>
      </c>
      <c r="J1578" s="1" t="s">
        <v>44</v>
      </c>
      <c r="K1578" s="1" t="s">
        <v>186</v>
      </c>
      <c r="L1578" s="1">
        <v>8</v>
      </c>
      <c r="M1578" s="13">
        <v>24623.45</v>
      </c>
      <c r="N1578" s="15">
        <v>0.03</v>
      </c>
      <c r="O1578" s="13">
        <v>242532.88</v>
      </c>
      <c r="P1578" s="13">
        <v>63126.55</v>
      </c>
      <c r="Q1578" s="13">
        <v>36.04</v>
      </c>
      <c r="R1578" s="1" t="s">
        <v>70</v>
      </c>
      <c r="S1578" s="1">
        <v>1</v>
      </c>
      <c r="T1578" s="1" t="b">
        <v>0</v>
      </c>
      <c r="U1578" s="1" t="s">
        <v>39</v>
      </c>
      <c r="V1578" s="3">
        <v>4</v>
      </c>
    </row>
    <row r="1579" spans="1:22" x14ac:dyDescent="0.3">
      <c r="A1579" s="2" t="s">
        <v>3652</v>
      </c>
      <c r="B1579" s="10">
        <v>45027</v>
      </c>
      <c r="C1579" s="22">
        <v>45027</v>
      </c>
      <c r="D1579" s="1" t="s">
        <v>3653</v>
      </c>
      <c r="E1579" s="1" t="s">
        <v>259</v>
      </c>
      <c r="F1579" s="1">
        <v>36</v>
      </c>
      <c r="G1579" s="1" t="s">
        <v>24</v>
      </c>
      <c r="H1579" s="1" t="s">
        <v>25</v>
      </c>
      <c r="I1579" s="1" t="s">
        <v>26</v>
      </c>
      <c r="J1579" s="1" t="s">
        <v>127</v>
      </c>
      <c r="K1579" s="1" t="s">
        <v>196</v>
      </c>
      <c r="L1579" s="1">
        <v>5</v>
      </c>
      <c r="M1579" s="13">
        <v>18000.28</v>
      </c>
      <c r="N1579" s="15">
        <v>0.12</v>
      </c>
      <c r="O1579" s="13">
        <v>109973.4</v>
      </c>
      <c r="P1579" s="13">
        <v>11424.94</v>
      </c>
      <c r="Q1579" s="13">
        <v>73.2</v>
      </c>
      <c r="R1579" s="1" t="s">
        <v>29</v>
      </c>
      <c r="S1579" s="1">
        <v>4</v>
      </c>
      <c r="T1579" s="1" t="b">
        <v>0</v>
      </c>
      <c r="U1579" s="1" t="s">
        <v>39</v>
      </c>
      <c r="V1579" s="3">
        <v>2</v>
      </c>
    </row>
    <row r="1580" spans="1:22" x14ac:dyDescent="0.3">
      <c r="A1580" s="2" t="s">
        <v>3654</v>
      </c>
      <c r="B1580" s="10">
        <v>44183</v>
      </c>
      <c r="C1580" s="22">
        <v>44183</v>
      </c>
      <c r="D1580" s="1" t="s">
        <v>3655</v>
      </c>
      <c r="E1580" s="1" t="s">
        <v>33</v>
      </c>
      <c r="F1580" s="1">
        <v>53</v>
      </c>
      <c r="G1580" s="1" t="s">
        <v>34</v>
      </c>
      <c r="H1580" s="1" t="s">
        <v>82</v>
      </c>
      <c r="I1580" s="1" t="s">
        <v>293</v>
      </c>
      <c r="J1580" s="1" t="s">
        <v>27</v>
      </c>
      <c r="K1580" s="1" t="s">
        <v>430</v>
      </c>
      <c r="L1580" s="1">
        <v>3</v>
      </c>
      <c r="M1580" s="13">
        <v>284.05</v>
      </c>
      <c r="N1580" s="15">
        <v>0.26</v>
      </c>
      <c r="O1580" s="13">
        <v>407.29</v>
      </c>
      <c r="P1580" s="13">
        <v>27.33</v>
      </c>
      <c r="Q1580" s="13">
        <v>74.569999999999993</v>
      </c>
      <c r="R1580" s="1" t="s">
        <v>51</v>
      </c>
      <c r="S1580" s="1">
        <v>2</v>
      </c>
      <c r="T1580" s="1" t="b">
        <v>0</v>
      </c>
      <c r="U1580" s="1" t="s">
        <v>39</v>
      </c>
      <c r="V1580" s="3">
        <v>2</v>
      </c>
    </row>
    <row r="1581" spans="1:22" x14ac:dyDescent="0.3">
      <c r="A1581" s="2" t="s">
        <v>3656</v>
      </c>
      <c r="B1581" s="10">
        <v>45281</v>
      </c>
      <c r="C1581" s="22">
        <v>45281</v>
      </c>
      <c r="D1581" s="1" t="s">
        <v>3657</v>
      </c>
      <c r="E1581" s="1" t="s">
        <v>1131</v>
      </c>
      <c r="F1581" s="1">
        <v>29</v>
      </c>
      <c r="G1581" s="1" t="s">
        <v>463</v>
      </c>
      <c r="H1581" s="1" t="s">
        <v>82</v>
      </c>
      <c r="I1581" s="1" t="s">
        <v>83</v>
      </c>
      <c r="J1581" s="1" t="s">
        <v>27</v>
      </c>
      <c r="K1581" s="1" t="s">
        <v>400</v>
      </c>
      <c r="L1581" s="1">
        <v>9</v>
      </c>
      <c r="M1581" s="13">
        <v>344.79</v>
      </c>
      <c r="N1581" s="15">
        <v>0.33</v>
      </c>
      <c r="O1581" s="13">
        <v>2084.9</v>
      </c>
      <c r="P1581" s="13">
        <v>132.76</v>
      </c>
      <c r="Q1581" s="13">
        <v>57.21</v>
      </c>
      <c r="R1581" s="1" t="s">
        <v>78</v>
      </c>
      <c r="S1581" s="1">
        <v>2</v>
      </c>
      <c r="T1581" s="1" t="b">
        <v>0</v>
      </c>
      <c r="U1581" s="1" t="s">
        <v>84</v>
      </c>
      <c r="V1581" s="3">
        <v>10</v>
      </c>
    </row>
    <row r="1582" spans="1:22" x14ac:dyDescent="0.3">
      <c r="A1582" s="2" t="s">
        <v>3658</v>
      </c>
      <c r="B1582" s="10">
        <v>44225</v>
      </c>
      <c r="C1582" s="22">
        <v>44225</v>
      </c>
      <c r="D1582" s="1" t="s">
        <v>3659</v>
      </c>
      <c r="E1582" s="1" t="s">
        <v>275</v>
      </c>
      <c r="F1582" s="1">
        <v>51</v>
      </c>
      <c r="G1582" s="1" t="s">
        <v>68</v>
      </c>
      <c r="H1582" s="1" t="s">
        <v>35</v>
      </c>
      <c r="I1582" s="1" t="s">
        <v>36</v>
      </c>
      <c r="J1582" s="1" t="s">
        <v>37</v>
      </c>
      <c r="K1582" s="1" t="s">
        <v>454</v>
      </c>
      <c r="L1582" s="1">
        <v>4</v>
      </c>
      <c r="M1582" s="13">
        <v>1427.81</v>
      </c>
      <c r="N1582" s="15">
        <v>0.28000000000000003</v>
      </c>
      <c r="O1582" s="13">
        <v>3737.3</v>
      </c>
      <c r="P1582" s="13">
        <v>1821.21</v>
      </c>
      <c r="Q1582" s="13">
        <v>66.760000000000005</v>
      </c>
      <c r="R1582" s="1" t="s">
        <v>70</v>
      </c>
      <c r="S1582" s="1">
        <v>4</v>
      </c>
      <c r="T1582" s="1" t="b">
        <v>0</v>
      </c>
      <c r="U1582" s="1" t="s">
        <v>197</v>
      </c>
      <c r="V1582" s="3">
        <v>5</v>
      </c>
    </row>
    <row r="1583" spans="1:22" x14ac:dyDescent="0.3">
      <c r="A1583" s="2" t="s">
        <v>3660</v>
      </c>
      <c r="B1583" s="10">
        <v>45550</v>
      </c>
      <c r="C1583" s="22">
        <v>45550</v>
      </c>
      <c r="D1583" s="1" t="s">
        <v>3661</v>
      </c>
      <c r="E1583" s="1" t="s">
        <v>2229</v>
      </c>
      <c r="F1583" s="1">
        <v>63</v>
      </c>
      <c r="G1583" s="1" t="s">
        <v>68</v>
      </c>
      <c r="H1583" s="1" t="s">
        <v>35</v>
      </c>
      <c r="I1583" s="1" t="s">
        <v>43</v>
      </c>
      <c r="J1583" s="1" t="s">
        <v>44</v>
      </c>
      <c r="K1583" s="1" t="s">
        <v>93</v>
      </c>
      <c r="L1583" s="1">
        <v>1</v>
      </c>
      <c r="M1583" s="13">
        <v>30262.77</v>
      </c>
      <c r="N1583" s="15">
        <v>0.22</v>
      </c>
      <c r="O1583" s="13">
        <v>35090.43</v>
      </c>
      <c r="P1583" s="13">
        <v>5627.29</v>
      </c>
      <c r="Q1583" s="13">
        <v>62.47</v>
      </c>
      <c r="R1583" s="1" t="s">
        <v>51</v>
      </c>
      <c r="S1583" s="1">
        <v>1</v>
      </c>
      <c r="T1583" s="1" t="b">
        <v>0</v>
      </c>
      <c r="U1583" s="1" t="s">
        <v>39</v>
      </c>
      <c r="V1583" s="3">
        <v>10</v>
      </c>
    </row>
    <row r="1584" spans="1:22" x14ac:dyDescent="0.3">
      <c r="A1584" s="2" t="s">
        <v>3662</v>
      </c>
      <c r="B1584" s="10">
        <v>44689</v>
      </c>
      <c r="C1584" s="22">
        <v>44689</v>
      </c>
      <c r="D1584" s="1" t="s">
        <v>3663</v>
      </c>
      <c r="E1584" s="1" t="s">
        <v>3664</v>
      </c>
      <c r="F1584" s="1">
        <v>33</v>
      </c>
      <c r="G1584" s="1" t="s">
        <v>24</v>
      </c>
      <c r="H1584" s="1" t="s">
        <v>25</v>
      </c>
      <c r="I1584" s="1" t="s">
        <v>55</v>
      </c>
      <c r="J1584" s="1" t="s">
        <v>76</v>
      </c>
      <c r="K1584" s="1" t="s">
        <v>113</v>
      </c>
      <c r="L1584" s="1">
        <v>7</v>
      </c>
      <c r="M1584" s="13">
        <v>607.95000000000005</v>
      </c>
      <c r="N1584" s="15">
        <v>0.38</v>
      </c>
      <c r="O1584" s="13">
        <v>3644.03</v>
      </c>
      <c r="P1584" s="13">
        <v>1026.0999999999999</v>
      </c>
      <c r="Q1584" s="13">
        <v>64.63</v>
      </c>
      <c r="R1584" s="1" t="s">
        <v>57</v>
      </c>
      <c r="S1584" s="1">
        <v>3</v>
      </c>
      <c r="T1584" s="1" t="b">
        <v>0</v>
      </c>
      <c r="U1584" s="1" t="s">
        <v>39</v>
      </c>
      <c r="V1584" s="3">
        <v>1</v>
      </c>
    </row>
    <row r="1585" spans="1:22" x14ac:dyDescent="0.3">
      <c r="A1585" s="2" t="s">
        <v>3665</v>
      </c>
      <c r="B1585" s="10">
        <v>45425</v>
      </c>
      <c r="C1585" s="22">
        <v>45425</v>
      </c>
      <c r="D1585" s="1" t="s">
        <v>3666</v>
      </c>
      <c r="E1585" s="1" t="s">
        <v>3667</v>
      </c>
      <c r="F1585" s="1">
        <v>30</v>
      </c>
      <c r="G1585" s="1" t="s">
        <v>34</v>
      </c>
      <c r="H1585" s="1" t="s">
        <v>82</v>
      </c>
      <c r="I1585" s="1" t="s">
        <v>244</v>
      </c>
      <c r="J1585" s="1" t="s">
        <v>76</v>
      </c>
      <c r="K1585" s="1" t="s">
        <v>77</v>
      </c>
      <c r="L1585" s="1">
        <v>2</v>
      </c>
      <c r="M1585" s="13">
        <v>358</v>
      </c>
      <c r="N1585" s="15">
        <v>0.38</v>
      </c>
      <c r="O1585" s="13">
        <v>728.66</v>
      </c>
      <c r="P1585" s="13">
        <v>256.39999999999998</v>
      </c>
      <c r="Q1585" s="13">
        <v>63.9</v>
      </c>
      <c r="R1585" s="1" t="s">
        <v>51</v>
      </c>
      <c r="S1585" s="1">
        <v>1</v>
      </c>
      <c r="T1585" s="1" t="b">
        <v>0</v>
      </c>
      <c r="U1585" s="1" t="s">
        <v>39</v>
      </c>
      <c r="V1585" s="3">
        <v>6</v>
      </c>
    </row>
    <row r="1586" spans="1:22" x14ac:dyDescent="0.3">
      <c r="A1586" s="2" t="s">
        <v>3668</v>
      </c>
      <c r="B1586" s="10">
        <v>44347</v>
      </c>
      <c r="C1586" s="22">
        <v>44347</v>
      </c>
      <c r="D1586" s="1" t="s">
        <v>3669</v>
      </c>
      <c r="E1586" s="1" t="s">
        <v>344</v>
      </c>
      <c r="F1586" s="1">
        <v>31</v>
      </c>
      <c r="G1586" s="1" t="s">
        <v>68</v>
      </c>
      <c r="H1586" s="1" t="s">
        <v>82</v>
      </c>
      <c r="I1586" s="1" t="s">
        <v>126</v>
      </c>
      <c r="J1586" s="1" t="s">
        <v>76</v>
      </c>
      <c r="K1586" s="1" t="s">
        <v>207</v>
      </c>
      <c r="L1586" s="1">
        <v>2</v>
      </c>
      <c r="M1586" s="13">
        <v>1322.23</v>
      </c>
      <c r="N1586" s="15">
        <v>0.02</v>
      </c>
      <c r="O1586" s="13">
        <v>3457.5</v>
      </c>
      <c r="P1586" s="13">
        <v>1452.45</v>
      </c>
      <c r="Q1586" s="13">
        <v>55.18</v>
      </c>
      <c r="R1586" s="1" t="s">
        <v>78</v>
      </c>
      <c r="S1586" s="1">
        <v>3</v>
      </c>
      <c r="T1586" s="1" t="b">
        <v>1</v>
      </c>
      <c r="U1586" s="1" t="s">
        <v>30</v>
      </c>
      <c r="V1586" s="3">
        <v>7</v>
      </c>
    </row>
    <row r="1587" spans="1:22" x14ac:dyDescent="0.3">
      <c r="A1587" s="2" t="s">
        <v>3670</v>
      </c>
      <c r="B1587" s="10">
        <v>45021</v>
      </c>
      <c r="C1587" s="22">
        <v>45021</v>
      </c>
      <c r="D1587" s="1" t="s">
        <v>3671</v>
      </c>
      <c r="E1587" s="1" t="s">
        <v>905</v>
      </c>
      <c r="F1587" s="1">
        <v>51</v>
      </c>
      <c r="G1587" s="1" t="s">
        <v>34</v>
      </c>
      <c r="H1587" s="1" t="s">
        <v>35</v>
      </c>
      <c r="I1587" s="1" t="s">
        <v>106</v>
      </c>
      <c r="J1587" s="1" t="s">
        <v>146</v>
      </c>
      <c r="K1587" s="1" t="s">
        <v>161</v>
      </c>
      <c r="L1587" s="1">
        <v>3</v>
      </c>
      <c r="M1587" s="13">
        <v>11418.23</v>
      </c>
      <c r="N1587" s="15">
        <v>0.01</v>
      </c>
      <c r="O1587" s="13">
        <v>43058.66</v>
      </c>
      <c r="P1587" s="13">
        <v>7315.08</v>
      </c>
      <c r="Q1587" s="13">
        <v>41.92</v>
      </c>
      <c r="R1587" s="1" t="s">
        <v>70</v>
      </c>
      <c r="S1587" s="1">
        <v>2</v>
      </c>
      <c r="T1587" s="1" t="b">
        <v>0</v>
      </c>
      <c r="U1587" s="1" t="s">
        <v>39</v>
      </c>
      <c r="V1587" s="3">
        <v>3</v>
      </c>
    </row>
    <row r="1588" spans="1:22" x14ac:dyDescent="0.3">
      <c r="A1588" s="2" t="s">
        <v>3672</v>
      </c>
      <c r="B1588" s="10">
        <v>44190</v>
      </c>
      <c r="C1588" s="22">
        <v>44190</v>
      </c>
      <c r="D1588" s="1" t="s">
        <v>3673</v>
      </c>
      <c r="E1588" s="1" t="s">
        <v>983</v>
      </c>
      <c r="F1588" s="1">
        <v>53</v>
      </c>
      <c r="G1588" s="1" t="s">
        <v>68</v>
      </c>
      <c r="H1588" s="1" t="s">
        <v>111</v>
      </c>
      <c r="I1588" s="1" t="s">
        <v>141</v>
      </c>
      <c r="J1588" s="1" t="s">
        <v>127</v>
      </c>
      <c r="K1588" s="1" t="s">
        <v>142</v>
      </c>
      <c r="L1588" s="1">
        <v>4</v>
      </c>
      <c r="M1588" s="13">
        <v>65983.59</v>
      </c>
      <c r="N1588" s="15">
        <v>0.12</v>
      </c>
      <c r="O1588" s="13">
        <v>161534.85</v>
      </c>
      <c r="P1588" s="13">
        <v>25135.71</v>
      </c>
      <c r="Q1588" s="13">
        <v>66.2</v>
      </c>
      <c r="R1588" s="1" t="s">
        <v>57</v>
      </c>
      <c r="S1588" s="1">
        <v>1</v>
      </c>
      <c r="T1588" s="1" t="b">
        <v>0</v>
      </c>
      <c r="U1588" s="1" t="s">
        <v>39</v>
      </c>
      <c r="V1588" s="3">
        <v>4</v>
      </c>
    </row>
    <row r="1589" spans="1:22" x14ac:dyDescent="0.3">
      <c r="A1589" s="2" t="s">
        <v>3674</v>
      </c>
      <c r="B1589" s="10">
        <v>44553</v>
      </c>
      <c r="C1589" s="22">
        <v>44553</v>
      </c>
      <c r="D1589" s="1" t="s">
        <v>3675</v>
      </c>
      <c r="E1589" s="1" t="s">
        <v>1309</v>
      </c>
      <c r="F1589" s="1">
        <v>45</v>
      </c>
      <c r="G1589" s="1" t="s">
        <v>24</v>
      </c>
      <c r="H1589" s="1" t="s">
        <v>25</v>
      </c>
      <c r="I1589" s="1" t="s">
        <v>69</v>
      </c>
      <c r="J1589" s="1" t="s">
        <v>127</v>
      </c>
      <c r="K1589" s="1" t="s">
        <v>171</v>
      </c>
      <c r="L1589" s="1">
        <v>4</v>
      </c>
      <c r="M1589" s="13">
        <v>55475.839999999997</v>
      </c>
      <c r="N1589" s="15">
        <v>0.06</v>
      </c>
      <c r="O1589" s="13">
        <v>176358.34</v>
      </c>
      <c r="P1589" s="13">
        <v>22566.53</v>
      </c>
      <c r="Q1589" s="13">
        <v>40.68</v>
      </c>
      <c r="R1589" s="1" t="s">
        <v>29</v>
      </c>
      <c r="S1589" s="1">
        <v>4</v>
      </c>
      <c r="T1589" s="1" t="b">
        <v>0</v>
      </c>
      <c r="U1589" s="1" t="s">
        <v>84</v>
      </c>
      <c r="V1589" s="3">
        <v>2</v>
      </c>
    </row>
    <row r="1590" spans="1:22" x14ac:dyDescent="0.3">
      <c r="A1590" s="2" t="s">
        <v>3676</v>
      </c>
      <c r="B1590" s="10">
        <v>45613</v>
      </c>
      <c r="C1590" s="22">
        <v>45613</v>
      </c>
      <c r="D1590" s="1" t="s">
        <v>3677</v>
      </c>
      <c r="E1590" s="1" t="s">
        <v>594</v>
      </c>
      <c r="F1590" s="1">
        <v>14</v>
      </c>
      <c r="G1590" s="1" t="s">
        <v>34</v>
      </c>
      <c r="H1590" s="1" t="s">
        <v>74</v>
      </c>
      <c r="I1590" s="1" t="s">
        <v>75</v>
      </c>
      <c r="J1590" s="1" t="s">
        <v>76</v>
      </c>
      <c r="K1590" s="1" t="s">
        <v>132</v>
      </c>
      <c r="L1590" s="1">
        <v>8</v>
      </c>
      <c r="M1590" s="13">
        <v>1693.73</v>
      </c>
      <c r="N1590" s="15">
        <v>0.03</v>
      </c>
      <c r="O1590" s="13">
        <v>12090.22</v>
      </c>
      <c r="P1590" s="13">
        <v>3498.38</v>
      </c>
      <c r="Q1590" s="13">
        <v>36.04</v>
      </c>
      <c r="R1590" s="1" t="s">
        <v>70</v>
      </c>
      <c r="S1590" s="1">
        <v>3</v>
      </c>
      <c r="T1590" s="1" t="b">
        <v>0</v>
      </c>
      <c r="U1590" s="1" t="s">
        <v>84</v>
      </c>
      <c r="V1590" s="3">
        <v>5</v>
      </c>
    </row>
    <row r="1591" spans="1:22" x14ac:dyDescent="0.3">
      <c r="A1591" s="2" t="s">
        <v>3678</v>
      </c>
      <c r="B1591" s="10">
        <v>44426</v>
      </c>
      <c r="C1591" s="22">
        <v>44426</v>
      </c>
      <c r="D1591" s="1" t="s">
        <v>3679</v>
      </c>
      <c r="E1591" s="1" t="s">
        <v>973</v>
      </c>
      <c r="F1591" s="1">
        <v>34</v>
      </c>
      <c r="G1591" s="1" t="s">
        <v>24</v>
      </c>
      <c r="H1591" s="1" t="s">
        <v>111</v>
      </c>
      <c r="I1591" s="1" t="s">
        <v>330</v>
      </c>
      <c r="J1591" s="1" t="s">
        <v>76</v>
      </c>
      <c r="K1591" s="1" t="s">
        <v>113</v>
      </c>
      <c r="L1591" s="1">
        <v>1</v>
      </c>
      <c r="M1591" s="13">
        <v>1197.05</v>
      </c>
      <c r="N1591" s="15">
        <v>0.33</v>
      </c>
      <c r="O1591" s="13">
        <v>1082.08</v>
      </c>
      <c r="P1591" s="13">
        <v>320.52</v>
      </c>
      <c r="Q1591" s="13">
        <v>29.64</v>
      </c>
      <c r="R1591" s="1" t="s">
        <v>78</v>
      </c>
      <c r="S1591" s="1">
        <v>4</v>
      </c>
      <c r="T1591" s="1" t="b">
        <v>0</v>
      </c>
      <c r="U1591" s="1" t="s">
        <v>84</v>
      </c>
      <c r="V1591" s="3">
        <v>3</v>
      </c>
    </row>
    <row r="1592" spans="1:22" x14ac:dyDescent="0.3">
      <c r="A1592" s="2" t="s">
        <v>3680</v>
      </c>
      <c r="B1592" s="10">
        <v>44661</v>
      </c>
      <c r="C1592" s="22">
        <v>44661</v>
      </c>
      <c r="D1592" s="1" t="s">
        <v>3681</v>
      </c>
      <c r="E1592" s="1" t="s">
        <v>426</v>
      </c>
      <c r="F1592" s="1">
        <v>37</v>
      </c>
      <c r="G1592" s="1" t="s">
        <v>34</v>
      </c>
      <c r="H1592" s="1" t="s">
        <v>82</v>
      </c>
      <c r="I1592" s="1" t="s">
        <v>83</v>
      </c>
      <c r="J1592" s="1" t="s">
        <v>27</v>
      </c>
      <c r="K1592" s="1" t="s">
        <v>450</v>
      </c>
      <c r="L1592" s="1">
        <v>2</v>
      </c>
      <c r="M1592" s="13">
        <v>153.13999999999999</v>
      </c>
      <c r="N1592" s="15">
        <v>0.28999999999999998</v>
      </c>
      <c r="O1592" s="13">
        <v>289.25</v>
      </c>
      <c r="P1592" s="13">
        <v>25.46</v>
      </c>
      <c r="Q1592" s="13">
        <v>77.75</v>
      </c>
      <c r="R1592" s="1" t="s">
        <v>78</v>
      </c>
      <c r="S1592" s="1">
        <v>5</v>
      </c>
      <c r="T1592" s="1" t="b">
        <v>0</v>
      </c>
      <c r="U1592" s="1" t="s">
        <v>39</v>
      </c>
      <c r="V1592" s="3">
        <v>8</v>
      </c>
    </row>
    <row r="1593" spans="1:22" x14ac:dyDescent="0.3">
      <c r="A1593" s="2" t="s">
        <v>3682</v>
      </c>
      <c r="B1593" s="10">
        <v>44608</v>
      </c>
      <c r="C1593" s="22">
        <v>44608</v>
      </c>
      <c r="D1593" s="1" t="s">
        <v>3683</v>
      </c>
      <c r="E1593" s="1" t="s">
        <v>616</v>
      </c>
      <c r="F1593" s="1">
        <v>34</v>
      </c>
      <c r="G1593" s="1" t="s">
        <v>24</v>
      </c>
      <c r="H1593" s="1" t="s">
        <v>74</v>
      </c>
      <c r="I1593" s="1" t="s">
        <v>136</v>
      </c>
      <c r="J1593" s="1" t="s">
        <v>62</v>
      </c>
      <c r="K1593" s="1" t="s">
        <v>107</v>
      </c>
      <c r="L1593" s="1">
        <v>10</v>
      </c>
      <c r="M1593" s="13">
        <v>1347.14</v>
      </c>
      <c r="N1593" s="15">
        <v>0.17</v>
      </c>
      <c r="O1593" s="13">
        <v>12168.87</v>
      </c>
      <c r="P1593" s="13">
        <v>3966.61</v>
      </c>
      <c r="Q1593" s="13">
        <v>43.49</v>
      </c>
      <c r="R1593" s="1" t="s">
        <v>78</v>
      </c>
      <c r="S1593" s="1">
        <v>3</v>
      </c>
      <c r="T1593" s="1" t="b">
        <v>1</v>
      </c>
      <c r="U1593" s="1" t="s">
        <v>30</v>
      </c>
      <c r="V1593" s="3">
        <v>3</v>
      </c>
    </row>
    <row r="1594" spans="1:22" x14ac:dyDescent="0.3">
      <c r="A1594" s="2" t="s">
        <v>3684</v>
      </c>
      <c r="B1594" s="10">
        <v>45611</v>
      </c>
      <c r="C1594" s="22">
        <v>45611</v>
      </c>
      <c r="D1594" s="1" t="s">
        <v>3685</v>
      </c>
      <c r="E1594" s="1" t="s">
        <v>1047</v>
      </c>
      <c r="F1594" s="1">
        <v>34</v>
      </c>
      <c r="G1594" s="1" t="s">
        <v>68</v>
      </c>
      <c r="H1594" s="1" t="s">
        <v>35</v>
      </c>
      <c r="I1594" s="1" t="s">
        <v>43</v>
      </c>
      <c r="J1594" s="1" t="s">
        <v>27</v>
      </c>
      <c r="K1594" s="1" t="s">
        <v>97</v>
      </c>
      <c r="L1594" s="1">
        <v>3</v>
      </c>
      <c r="M1594" s="13">
        <v>124.6</v>
      </c>
      <c r="N1594" s="15">
        <v>0.33</v>
      </c>
      <c r="O1594" s="13">
        <v>224.85</v>
      </c>
      <c r="P1594" s="13">
        <v>18.07</v>
      </c>
      <c r="Q1594" s="13">
        <v>79.099999999999994</v>
      </c>
      <c r="R1594" s="1" t="s">
        <v>70</v>
      </c>
      <c r="S1594" s="1">
        <v>3</v>
      </c>
      <c r="T1594" s="1" t="b">
        <v>0</v>
      </c>
      <c r="U1594" s="1" t="s">
        <v>39</v>
      </c>
      <c r="V1594" s="3">
        <v>8</v>
      </c>
    </row>
    <row r="1595" spans="1:22" x14ac:dyDescent="0.3">
      <c r="A1595" s="2" t="s">
        <v>3686</v>
      </c>
      <c r="B1595" s="10">
        <v>44083</v>
      </c>
      <c r="C1595" s="22">
        <v>44083</v>
      </c>
      <c r="D1595" s="1" t="s">
        <v>3687</v>
      </c>
      <c r="E1595" s="1" t="s">
        <v>1050</v>
      </c>
      <c r="F1595" s="1">
        <v>37</v>
      </c>
      <c r="G1595" s="1" t="s">
        <v>434</v>
      </c>
      <c r="H1595" s="1" t="s">
        <v>35</v>
      </c>
      <c r="I1595" s="1" t="s">
        <v>43</v>
      </c>
      <c r="J1595" s="1" t="s">
        <v>146</v>
      </c>
      <c r="K1595" s="1" t="s">
        <v>178</v>
      </c>
      <c r="L1595" s="1">
        <v>1</v>
      </c>
      <c r="M1595" s="13">
        <v>3528.13</v>
      </c>
      <c r="N1595" s="15">
        <v>0.38</v>
      </c>
      <c r="O1595" s="13">
        <v>2038.22</v>
      </c>
      <c r="P1595" s="13">
        <v>420.96</v>
      </c>
      <c r="Q1595" s="13">
        <v>53.63</v>
      </c>
      <c r="R1595" s="1" t="s">
        <v>70</v>
      </c>
      <c r="S1595" s="1">
        <v>1</v>
      </c>
      <c r="T1595" s="1" t="b">
        <v>1</v>
      </c>
      <c r="U1595" s="1" t="s">
        <v>30</v>
      </c>
      <c r="V1595" s="3">
        <v>6</v>
      </c>
    </row>
    <row r="1596" spans="1:22" x14ac:dyDescent="0.3">
      <c r="A1596" s="2" t="s">
        <v>3688</v>
      </c>
      <c r="B1596" s="10">
        <v>45410</v>
      </c>
      <c r="C1596" s="22">
        <v>45410</v>
      </c>
      <c r="D1596" s="1" t="s">
        <v>3689</v>
      </c>
      <c r="E1596" s="1" t="s">
        <v>220</v>
      </c>
      <c r="F1596" s="1">
        <v>32</v>
      </c>
      <c r="G1596" s="1" t="s">
        <v>34</v>
      </c>
      <c r="H1596" s="1" t="s">
        <v>111</v>
      </c>
      <c r="I1596" s="1" t="s">
        <v>121</v>
      </c>
      <c r="J1596" s="1" t="s">
        <v>37</v>
      </c>
      <c r="K1596" s="1" t="s">
        <v>38</v>
      </c>
      <c r="L1596" s="1">
        <v>1</v>
      </c>
      <c r="M1596" s="13">
        <v>2169.87</v>
      </c>
      <c r="N1596" s="15">
        <v>0.38</v>
      </c>
      <c r="O1596" s="13">
        <v>1926.55</v>
      </c>
      <c r="P1596" s="13">
        <v>458.88</v>
      </c>
      <c r="Q1596" s="13">
        <v>52.43</v>
      </c>
      <c r="R1596" s="1" t="s">
        <v>64</v>
      </c>
      <c r="S1596" s="1">
        <v>5</v>
      </c>
      <c r="T1596" s="1" t="b">
        <v>0</v>
      </c>
      <c r="U1596" s="1" t="s">
        <v>58</v>
      </c>
      <c r="V1596" s="3">
        <v>3</v>
      </c>
    </row>
    <row r="1597" spans="1:22" x14ac:dyDescent="0.3">
      <c r="A1597" s="2" t="s">
        <v>3690</v>
      </c>
      <c r="B1597" s="10">
        <v>43928</v>
      </c>
      <c r="C1597" s="22">
        <v>43928</v>
      </c>
      <c r="D1597" s="1" t="s">
        <v>3691</v>
      </c>
      <c r="E1597" s="1" t="s">
        <v>370</v>
      </c>
      <c r="F1597" s="1">
        <v>41</v>
      </c>
      <c r="G1597" s="1" t="s">
        <v>24</v>
      </c>
      <c r="H1597" s="1" t="s">
        <v>25</v>
      </c>
      <c r="I1597" s="1" t="s">
        <v>170</v>
      </c>
      <c r="J1597" s="1" t="s">
        <v>127</v>
      </c>
      <c r="K1597" s="1" t="s">
        <v>517</v>
      </c>
      <c r="L1597" s="1">
        <v>9</v>
      </c>
      <c r="M1597" s="13">
        <v>5129.67</v>
      </c>
      <c r="N1597" s="15">
        <v>0.32</v>
      </c>
      <c r="O1597" s="13">
        <v>38513.550000000003</v>
      </c>
      <c r="P1597" s="13">
        <v>4662.1000000000004</v>
      </c>
      <c r="Q1597" s="13">
        <v>46.85</v>
      </c>
      <c r="R1597" s="1" t="s">
        <v>64</v>
      </c>
      <c r="S1597" s="1">
        <v>5</v>
      </c>
      <c r="T1597" s="1" t="b">
        <v>0</v>
      </c>
      <c r="U1597" s="1" t="s">
        <v>39</v>
      </c>
      <c r="V1597" s="3">
        <v>2</v>
      </c>
    </row>
    <row r="1598" spans="1:22" x14ac:dyDescent="0.3">
      <c r="A1598" s="2" t="s">
        <v>3692</v>
      </c>
      <c r="B1598" s="10">
        <v>44440</v>
      </c>
      <c r="C1598" s="22">
        <v>44440</v>
      </c>
      <c r="D1598" s="1" t="s">
        <v>3693</v>
      </c>
      <c r="E1598" s="1" t="s">
        <v>809</v>
      </c>
      <c r="F1598" s="1">
        <v>29</v>
      </c>
      <c r="G1598" s="1" t="s">
        <v>34</v>
      </c>
      <c r="H1598" s="1" t="s">
        <v>25</v>
      </c>
      <c r="I1598" s="1" t="s">
        <v>55</v>
      </c>
      <c r="J1598" s="1" t="s">
        <v>76</v>
      </c>
      <c r="K1598" s="1" t="s">
        <v>207</v>
      </c>
      <c r="L1598" s="1">
        <v>2</v>
      </c>
      <c r="M1598" s="13">
        <v>3887.01</v>
      </c>
      <c r="N1598" s="15">
        <v>0.36</v>
      </c>
      <c r="O1598" s="13">
        <v>5775.71</v>
      </c>
      <c r="P1598" s="13">
        <v>2252.91</v>
      </c>
      <c r="Q1598" s="13">
        <v>53.35</v>
      </c>
      <c r="R1598" s="1" t="s">
        <v>57</v>
      </c>
      <c r="S1598" s="1">
        <v>5</v>
      </c>
      <c r="T1598" s="1" t="b">
        <v>0</v>
      </c>
      <c r="U1598" s="1" t="s">
        <v>39</v>
      </c>
      <c r="V1598" s="3">
        <v>1</v>
      </c>
    </row>
    <row r="1599" spans="1:22" x14ac:dyDescent="0.3">
      <c r="A1599" s="2" t="s">
        <v>3694</v>
      </c>
      <c r="B1599" s="10">
        <v>44666</v>
      </c>
      <c r="C1599" s="22">
        <v>44666</v>
      </c>
      <c r="D1599" s="1" t="s">
        <v>3695</v>
      </c>
      <c r="E1599" s="1" t="s">
        <v>1036</v>
      </c>
      <c r="F1599" s="1">
        <v>46</v>
      </c>
      <c r="G1599" s="1" t="s">
        <v>68</v>
      </c>
      <c r="H1599" s="1" t="s">
        <v>111</v>
      </c>
      <c r="I1599" s="1" t="s">
        <v>112</v>
      </c>
      <c r="J1599" s="1" t="s">
        <v>76</v>
      </c>
      <c r="K1599" s="1" t="s">
        <v>113</v>
      </c>
      <c r="L1599" s="1">
        <v>8</v>
      </c>
      <c r="M1599" s="13">
        <v>2375.65</v>
      </c>
      <c r="N1599" s="15">
        <v>0.39</v>
      </c>
      <c r="O1599" s="13">
        <v>14431.7</v>
      </c>
      <c r="P1599" s="13">
        <v>5032.2</v>
      </c>
      <c r="Q1599" s="13">
        <v>74.260000000000005</v>
      </c>
      <c r="R1599" s="1" t="s">
        <v>78</v>
      </c>
      <c r="S1599" s="1">
        <v>3</v>
      </c>
      <c r="T1599" s="1" t="b">
        <v>0</v>
      </c>
      <c r="U1599" s="1" t="s">
        <v>39</v>
      </c>
      <c r="V1599" s="3">
        <v>5</v>
      </c>
    </row>
    <row r="1600" spans="1:22" x14ac:dyDescent="0.3">
      <c r="A1600" s="2" t="s">
        <v>3696</v>
      </c>
      <c r="B1600" s="10">
        <v>44778</v>
      </c>
      <c r="C1600" s="22">
        <v>44778</v>
      </c>
      <c r="D1600" s="1" t="s">
        <v>3697</v>
      </c>
      <c r="E1600" s="1" t="s">
        <v>319</v>
      </c>
      <c r="F1600" s="1">
        <v>31</v>
      </c>
      <c r="G1600" s="1" t="s">
        <v>24</v>
      </c>
      <c r="H1600" s="1" t="s">
        <v>25</v>
      </c>
      <c r="I1600" s="1" t="s">
        <v>26</v>
      </c>
      <c r="J1600" s="1" t="s">
        <v>37</v>
      </c>
      <c r="K1600" s="1" t="s">
        <v>182</v>
      </c>
      <c r="L1600" s="1">
        <v>4</v>
      </c>
      <c r="M1600" s="13">
        <v>1536.84</v>
      </c>
      <c r="N1600" s="15">
        <v>0</v>
      </c>
      <c r="O1600" s="13">
        <v>8572.24</v>
      </c>
      <c r="P1600" s="13">
        <v>4876.08</v>
      </c>
      <c r="Q1600" s="13">
        <v>73.06</v>
      </c>
      <c r="R1600" s="1" t="s">
        <v>29</v>
      </c>
      <c r="S1600" s="1">
        <v>5</v>
      </c>
      <c r="T1600" s="1" t="b">
        <v>0</v>
      </c>
      <c r="U1600" s="1" t="s">
        <v>39</v>
      </c>
      <c r="V1600" s="3">
        <v>6</v>
      </c>
    </row>
    <row r="1601" spans="1:22" x14ac:dyDescent="0.3">
      <c r="A1601" s="2" t="s">
        <v>3698</v>
      </c>
      <c r="B1601" s="10">
        <v>43973</v>
      </c>
      <c r="C1601" s="22">
        <v>43973</v>
      </c>
      <c r="D1601" s="1" t="s">
        <v>3699</v>
      </c>
      <c r="E1601" s="1" t="s">
        <v>994</v>
      </c>
      <c r="F1601" s="1">
        <v>12</v>
      </c>
      <c r="G1601" s="1" t="s">
        <v>34</v>
      </c>
      <c r="H1601" s="1" t="s">
        <v>74</v>
      </c>
      <c r="I1601" s="1" t="s">
        <v>75</v>
      </c>
      <c r="J1601" s="1" t="s">
        <v>76</v>
      </c>
      <c r="K1601" s="1" t="s">
        <v>113</v>
      </c>
      <c r="L1601" s="1">
        <v>10</v>
      </c>
      <c r="M1601" s="13">
        <v>2830.97</v>
      </c>
      <c r="N1601" s="15">
        <v>0.36</v>
      </c>
      <c r="O1601" s="13">
        <v>22010.44</v>
      </c>
      <c r="P1601" s="13">
        <v>5346.01</v>
      </c>
      <c r="Q1601" s="13">
        <v>65.650000000000006</v>
      </c>
      <c r="R1601" s="1" t="s">
        <v>57</v>
      </c>
      <c r="S1601" s="1">
        <v>1</v>
      </c>
      <c r="T1601" s="1" t="b">
        <v>0</v>
      </c>
      <c r="U1601" s="1" t="s">
        <v>39</v>
      </c>
      <c r="V1601" s="3">
        <v>4</v>
      </c>
    </row>
    <row r="1602" spans="1:22" x14ac:dyDescent="0.3">
      <c r="A1602" s="2" t="s">
        <v>3700</v>
      </c>
      <c r="B1602" s="10">
        <v>45264</v>
      </c>
      <c r="C1602" s="22">
        <v>45264</v>
      </c>
      <c r="D1602" s="1" t="s">
        <v>3701</v>
      </c>
      <c r="E1602" s="1" t="s">
        <v>487</v>
      </c>
      <c r="F1602" s="1">
        <v>13</v>
      </c>
      <c r="G1602" s="1" t="s">
        <v>34</v>
      </c>
      <c r="H1602" s="1" t="s">
        <v>35</v>
      </c>
      <c r="I1602" s="1" t="s">
        <v>106</v>
      </c>
      <c r="J1602" s="1" t="s">
        <v>62</v>
      </c>
      <c r="K1602" s="1" t="s">
        <v>151</v>
      </c>
      <c r="L1602" s="1">
        <v>10</v>
      </c>
      <c r="M1602" s="13">
        <v>1096</v>
      </c>
      <c r="N1602" s="15">
        <v>0.31</v>
      </c>
      <c r="O1602" s="13">
        <v>6190.12</v>
      </c>
      <c r="P1602" s="13">
        <v>1824.11</v>
      </c>
      <c r="Q1602" s="13">
        <v>82.85</v>
      </c>
      <c r="R1602" s="1" t="s">
        <v>70</v>
      </c>
      <c r="S1602" s="1">
        <v>5</v>
      </c>
      <c r="T1602" s="1" t="b">
        <v>0</v>
      </c>
      <c r="U1602" s="1" t="s">
        <v>39</v>
      </c>
      <c r="V1602" s="3">
        <v>7</v>
      </c>
    </row>
    <row r="1603" spans="1:22" x14ac:dyDescent="0.3">
      <c r="A1603" s="2" t="s">
        <v>3702</v>
      </c>
      <c r="B1603" s="10">
        <v>45139</v>
      </c>
      <c r="C1603" s="22">
        <v>45139</v>
      </c>
      <c r="D1603" s="1" t="s">
        <v>3703</v>
      </c>
      <c r="E1603" s="1" t="s">
        <v>2481</v>
      </c>
      <c r="F1603" s="1">
        <v>33</v>
      </c>
      <c r="G1603" s="1" t="s">
        <v>68</v>
      </c>
      <c r="H1603" s="1" t="s">
        <v>35</v>
      </c>
      <c r="I1603" s="1" t="s">
        <v>49</v>
      </c>
      <c r="J1603" s="1" t="s">
        <v>27</v>
      </c>
      <c r="K1603" s="1" t="s">
        <v>430</v>
      </c>
      <c r="L1603" s="1">
        <v>4</v>
      </c>
      <c r="M1603" s="13">
        <v>223.01</v>
      </c>
      <c r="N1603" s="15">
        <v>0.06</v>
      </c>
      <c r="O1603" s="13">
        <v>1169.6099999999999</v>
      </c>
      <c r="P1603" s="13">
        <v>100.59</v>
      </c>
      <c r="Q1603" s="13">
        <v>66.900000000000006</v>
      </c>
      <c r="R1603" s="1" t="s">
        <v>64</v>
      </c>
      <c r="S1603" s="1">
        <v>2</v>
      </c>
      <c r="T1603" s="1" t="b">
        <v>0</v>
      </c>
      <c r="U1603" s="1" t="s">
        <v>39</v>
      </c>
      <c r="V1603" s="3">
        <v>2</v>
      </c>
    </row>
    <row r="1604" spans="1:22" x14ac:dyDescent="0.3">
      <c r="A1604" s="2" t="s">
        <v>3704</v>
      </c>
      <c r="B1604" s="10">
        <v>45540</v>
      </c>
      <c r="C1604" s="22">
        <v>45540</v>
      </c>
      <c r="D1604" s="1" t="s">
        <v>3705</v>
      </c>
      <c r="E1604" s="1" t="s">
        <v>566</v>
      </c>
      <c r="F1604" s="1">
        <v>34</v>
      </c>
      <c r="G1604" s="1" t="s">
        <v>34</v>
      </c>
      <c r="H1604" s="1" t="s">
        <v>25</v>
      </c>
      <c r="I1604" s="1" t="s">
        <v>26</v>
      </c>
      <c r="J1604" s="1" t="s">
        <v>146</v>
      </c>
      <c r="K1604" s="1" t="s">
        <v>217</v>
      </c>
      <c r="L1604" s="1">
        <v>5</v>
      </c>
      <c r="M1604" s="13">
        <v>4061.88</v>
      </c>
      <c r="N1604" s="15">
        <v>0.18</v>
      </c>
      <c r="O1604" s="13">
        <v>4315.2700000000004</v>
      </c>
      <c r="P1604" s="13">
        <v>1050.3399999999999</v>
      </c>
      <c r="Q1604" s="13">
        <v>67.959999999999994</v>
      </c>
      <c r="R1604" s="1" t="s">
        <v>29</v>
      </c>
      <c r="S1604" s="1">
        <v>1</v>
      </c>
      <c r="T1604" s="1" t="b">
        <v>0</v>
      </c>
      <c r="U1604" s="1" t="s">
        <v>39</v>
      </c>
      <c r="V1604" s="3">
        <v>2</v>
      </c>
    </row>
    <row r="1605" spans="1:22" x14ac:dyDescent="0.3">
      <c r="A1605" s="2" t="s">
        <v>3706</v>
      </c>
      <c r="B1605" s="10">
        <v>45270</v>
      </c>
      <c r="C1605" s="22">
        <v>45270</v>
      </c>
      <c r="D1605" s="1" t="s">
        <v>3707</v>
      </c>
      <c r="E1605" s="1" t="s">
        <v>2328</v>
      </c>
      <c r="F1605" s="1">
        <v>46</v>
      </c>
      <c r="G1605" s="1" t="s">
        <v>24</v>
      </c>
      <c r="H1605" s="1" t="s">
        <v>35</v>
      </c>
      <c r="I1605" s="1" t="s">
        <v>43</v>
      </c>
      <c r="J1605" s="1" t="s">
        <v>76</v>
      </c>
      <c r="K1605" s="1" t="s">
        <v>207</v>
      </c>
      <c r="L1605" s="1">
        <v>5</v>
      </c>
      <c r="M1605" s="13">
        <v>1679.82</v>
      </c>
      <c r="N1605" s="15">
        <v>0.28999999999999998</v>
      </c>
      <c r="O1605" s="13">
        <v>5932.93</v>
      </c>
      <c r="P1605" s="13">
        <v>2439.71</v>
      </c>
      <c r="Q1605" s="13">
        <v>61.89</v>
      </c>
      <c r="R1605" s="1" t="s">
        <v>57</v>
      </c>
      <c r="S1605" s="1">
        <v>2</v>
      </c>
      <c r="T1605" s="1" t="b">
        <v>0</v>
      </c>
      <c r="U1605" s="1" t="s">
        <v>84</v>
      </c>
      <c r="V1605" s="3">
        <v>3</v>
      </c>
    </row>
    <row r="1606" spans="1:22" x14ac:dyDescent="0.3">
      <c r="A1606" s="2" t="s">
        <v>3708</v>
      </c>
      <c r="B1606" s="10">
        <v>44922</v>
      </c>
      <c r="C1606" s="22">
        <v>44922</v>
      </c>
      <c r="D1606" s="1" t="s">
        <v>3709</v>
      </c>
      <c r="E1606" s="1" t="s">
        <v>100</v>
      </c>
      <c r="F1606" s="1">
        <v>49</v>
      </c>
      <c r="G1606" s="1" t="s">
        <v>24</v>
      </c>
      <c r="H1606" s="1" t="s">
        <v>35</v>
      </c>
      <c r="I1606" s="1" t="s">
        <v>49</v>
      </c>
      <c r="J1606" s="1" t="s">
        <v>27</v>
      </c>
      <c r="K1606" s="1" t="s">
        <v>450</v>
      </c>
      <c r="L1606" s="1">
        <v>1</v>
      </c>
      <c r="M1606" s="13">
        <v>111.85</v>
      </c>
      <c r="N1606" s="15">
        <v>0.03</v>
      </c>
      <c r="O1606" s="13">
        <v>85.28</v>
      </c>
      <c r="P1606" s="13">
        <v>7.87</v>
      </c>
      <c r="Q1606" s="13">
        <v>62.85</v>
      </c>
      <c r="R1606" s="1" t="s">
        <v>51</v>
      </c>
      <c r="S1606" s="1">
        <v>1</v>
      </c>
      <c r="T1606" s="1" t="b">
        <v>0</v>
      </c>
      <c r="U1606" s="1" t="s">
        <v>39</v>
      </c>
      <c r="V1606" s="3">
        <v>3</v>
      </c>
    </row>
    <row r="1607" spans="1:22" x14ac:dyDescent="0.3">
      <c r="A1607" s="2" t="s">
        <v>3710</v>
      </c>
      <c r="B1607" s="10">
        <v>45427</v>
      </c>
      <c r="C1607" s="22">
        <v>45427</v>
      </c>
      <c r="D1607" s="1" t="s">
        <v>3711</v>
      </c>
      <c r="E1607" s="1" t="s">
        <v>786</v>
      </c>
      <c r="F1607" s="1">
        <v>35</v>
      </c>
      <c r="G1607" s="1" t="s">
        <v>34</v>
      </c>
      <c r="H1607" s="1" t="s">
        <v>25</v>
      </c>
      <c r="I1607" s="1" t="s">
        <v>69</v>
      </c>
      <c r="J1607" s="1" t="s">
        <v>27</v>
      </c>
      <c r="K1607" s="1" t="s">
        <v>56</v>
      </c>
      <c r="L1607" s="1">
        <v>5</v>
      </c>
      <c r="M1607" s="13">
        <v>111.25</v>
      </c>
      <c r="N1607" s="15">
        <v>0.21</v>
      </c>
      <c r="O1607" s="13">
        <v>998.96</v>
      </c>
      <c r="P1607" s="13">
        <v>93.18</v>
      </c>
      <c r="Q1607" s="13">
        <v>69.34</v>
      </c>
      <c r="R1607" s="1" t="s">
        <v>64</v>
      </c>
      <c r="S1607" s="1">
        <v>4</v>
      </c>
      <c r="T1607" s="1" t="b">
        <v>0</v>
      </c>
      <c r="U1607" s="1" t="s">
        <v>39</v>
      </c>
      <c r="V1607" s="3">
        <v>3</v>
      </c>
    </row>
    <row r="1608" spans="1:22" x14ac:dyDescent="0.3">
      <c r="A1608" s="2" t="s">
        <v>3712</v>
      </c>
      <c r="B1608" s="10">
        <v>44198</v>
      </c>
      <c r="C1608" s="22">
        <v>44198</v>
      </c>
      <c r="D1608" s="1" t="s">
        <v>3713</v>
      </c>
      <c r="E1608" s="1" t="s">
        <v>931</v>
      </c>
      <c r="F1608" s="1">
        <v>22</v>
      </c>
      <c r="G1608" s="1" t="s">
        <v>34</v>
      </c>
      <c r="H1608" s="1" t="s">
        <v>25</v>
      </c>
      <c r="I1608" s="1" t="s">
        <v>170</v>
      </c>
      <c r="J1608" s="1" t="s">
        <v>76</v>
      </c>
      <c r="K1608" s="1" t="s">
        <v>77</v>
      </c>
      <c r="L1608" s="1">
        <v>6</v>
      </c>
      <c r="M1608" s="13">
        <v>2532.5500000000002</v>
      </c>
      <c r="N1608" s="15">
        <v>0.06</v>
      </c>
      <c r="O1608" s="13">
        <v>10659.76</v>
      </c>
      <c r="P1608" s="13">
        <v>4546.7299999999996</v>
      </c>
      <c r="Q1608" s="13">
        <v>64.53</v>
      </c>
      <c r="R1608" s="1" t="s">
        <v>78</v>
      </c>
      <c r="S1608" s="1">
        <v>1</v>
      </c>
      <c r="T1608" s="1" t="b">
        <v>0</v>
      </c>
      <c r="U1608" s="1" t="s">
        <v>1411</v>
      </c>
      <c r="V1608" s="3">
        <v>1</v>
      </c>
    </row>
    <row r="1609" spans="1:22" x14ac:dyDescent="0.3">
      <c r="A1609" s="2" t="s">
        <v>3714</v>
      </c>
      <c r="B1609" s="10">
        <v>44214</v>
      </c>
      <c r="C1609" s="22">
        <v>44214</v>
      </c>
      <c r="D1609" s="1" t="s">
        <v>3715</v>
      </c>
      <c r="E1609" s="1" t="s">
        <v>1833</v>
      </c>
      <c r="F1609" s="1">
        <v>34</v>
      </c>
      <c r="G1609" s="1" t="s">
        <v>24</v>
      </c>
      <c r="H1609" s="1" t="s">
        <v>111</v>
      </c>
      <c r="I1609" s="1" t="s">
        <v>330</v>
      </c>
      <c r="J1609" s="1" t="s">
        <v>127</v>
      </c>
      <c r="K1609" s="1" t="s">
        <v>142</v>
      </c>
      <c r="L1609" s="1">
        <v>4</v>
      </c>
      <c r="M1609" s="13">
        <v>47874.239999999998</v>
      </c>
      <c r="N1609" s="15">
        <v>0.28999999999999998</v>
      </c>
      <c r="O1609" s="13">
        <v>95589.48</v>
      </c>
      <c r="P1609" s="13">
        <v>11952.46</v>
      </c>
      <c r="Q1609" s="13">
        <v>79.36</v>
      </c>
      <c r="R1609" s="1" t="s">
        <v>29</v>
      </c>
      <c r="S1609" s="1">
        <v>2</v>
      </c>
      <c r="T1609" s="1" t="b">
        <v>1</v>
      </c>
      <c r="U1609" s="1" t="s">
        <v>30</v>
      </c>
      <c r="V1609" s="3">
        <v>3</v>
      </c>
    </row>
    <row r="1610" spans="1:22" x14ac:dyDescent="0.3">
      <c r="A1610" s="2" t="s">
        <v>3716</v>
      </c>
      <c r="B1610" s="10">
        <v>44021</v>
      </c>
      <c r="C1610" s="22">
        <v>44021</v>
      </c>
      <c r="D1610" s="1" t="s">
        <v>3717</v>
      </c>
      <c r="E1610" s="1" t="s">
        <v>809</v>
      </c>
      <c r="F1610" s="1">
        <v>47</v>
      </c>
      <c r="G1610" s="1" t="s">
        <v>24</v>
      </c>
      <c r="H1610" s="1" t="s">
        <v>25</v>
      </c>
      <c r="I1610" s="1" t="s">
        <v>170</v>
      </c>
      <c r="J1610" s="1" t="s">
        <v>127</v>
      </c>
      <c r="K1610" s="1" t="s">
        <v>171</v>
      </c>
      <c r="L1610" s="1">
        <v>4</v>
      </c>
      <c r="M1610" s="13">
        <v>37472.699999999997</v>
      </c>
      <c r="N1610" s="15">
        <v>0.01</v>
      </c>
      <c r="O1610" s="13">
        <v>218210.41</v>
      </c>
      <c r="P1610" s="13">
        <v>22304.92</v>
      </c>
      <c r="Q1610" s="13">
        <v>43.11</v>
      </c>
      <c r="R1610" s="1" t="s">
        <v>70</v>
      </c>
      <c r="S1610" s="1">
        <v>4</v>
      </c>
      <c r="T1610" s="1" t="b">
        <v>0</v>
      </c>
      <c r="U1610" s="1" t="s">
        <v>39</v>
      </c>
      <c r="V1610" s="3">
        <v>10</v>
      </c>
    </row>
    <row r="1611" spans="1:22" x14ac:dyDescent="0.3">
      <c r="A1611" s="2" t="s">
        <v>3718</v>
      </c>
      <c r="B1611" s="10">
        <v>45328</v>
      </c>
      <c r="C1611" s="22">
        <v>45328</v>
      </c>
      <c r="D1611" s="1" t="s">
        <v>3719</v>
      </c>
      <c r="E1611" s="1" t="s">
        <v>286</v>
      </c>
      <c r="F1611" s="1">
        <v>18</v>
      </c>
      <c r="G1611" s="1" t="s">
        <v>34</v>
      </c>
      <c r="H1611" s="1" t="s">
        <v>35</v>
      </c>
      <c r="I1611" s="1" t="s">
        <v>43</v>
      </c>
      <c r="J1611" s="1" t="s">
        <v>44</v>
      </c>
      <c r="K1611" s="1" t="s">
        <v>50</v>
      </c>
      <c r="L1611" s="1">
        <v>8</v>
      </c>
      <c r="M1611" s="13">
        <v>31388.84</v>
      </c>
      <c r="N1611" s="15">
        <v>0.39</v>
      </c>
      <c r="O1611" s="13">
        <v>135556.47</v>
      </c>
      <c r="P1611" s="13">
        <v>45198.52</v>
      </c>
      <c r="Q1611" s="13">
        <v>57.54</v>
      </c>
      <c r="R1611" s="1" t="s">
        <v>78</v>
      </c>
      <c r="S1611" s="1">
        <v>4</v>
      </c>
      <c r="T1611" s="1" t="b">
        <v>0</v>
      </c>
      <c r="U1611" s="1" t="s">
        <v>39</v>
      </c>
      <c r="V1611" s="3">
        <v>4</v>
      </c>
    </row>
    <row r="1612" spans="1:22" x14ac:dyDescent="0.3">
      <c r="A1612" s="2" t="s">
        <v>3720</v>
      </c>
      <c r="B1612" s="10">
        <v>45087</v>
      </c>
      <c r="C1612" s="22">
        <v>45087</v>
      </c>
      <c r="D1612" s="1" t="s">
        <v>3721</v>
      </c>
      <c r="E1612" s="1" t="s">
        <v>611</v>
      </c>
      <c r="F1612" s="1">
        <v>20</v>
      </c>
      <c r="G1612" s="1" t="s">
        <v>34</v>
      </c>
      <c r="H1612" s="1" t="s">
        <v>25</v>
      </c>
      <c r="I1612" s="1" t="s">
        <v>26</v>
      </c>
      <c r="J1612" s="1" t="s">
        <v>146</v>
      </c>
      <c r="K1612" s="1" t="s">
        <v>161</v>
      </c>
      <c r="L1612" s="1">
        <v>7</v>
      </c>
      <c r="M1612" s="13">
        <v>754.28</v>
      </c>
      <c r="N1612" s="15">
        <v>0.05</v>
      </c>
      <c r="O1612" s="13">
        <v>7778.83</v>
      </c>
      <c r="P1612" s="13">
        <v>2271.0500000000002</v>
      </c>
      <c r="Q1612" s="13">
        <v>45.61</v>
      </c>
      <c r="R1612" s="1" t="s">
        <v>57</v>
      </c>
      <c r="S1612" s="1">
        <v>1</v>
      </c>
      <c r="T1612" s="1" t="b">
        <v>0</v>
      </c>
      <c r="U1612" s="1" t="s">
        <v>39</v>
      </c>
      <c r="V1612" s="3">
        <v>4</v>
      </c>
    </row>
    <row r="1613" spans="1:22" x14ac:dyDescent="0.3">
      <c r="A1613" s="2" t="s">
        <v>3722</v>
      </c>
      <c r="B1613" s="10">
        <v>45000</v>
      </c>
      <c r="C1613" s="22">
        <v>45000</v>
      </c>
      <c r="D1613" s="1" t="s">
        <v>3723</v>
      </c>
      <c r="E1613" s="1" t="s">
        <v>716</v>
      </c>
      <c r="F1613" s="1">
        <v>18</v>
      </c>
      <c r="G1613" s="1" t="s">
        <v>24</v>
      </c>
      <c r="H1613" s="1" t="s">
        <v>82</v>
      </c>
      <c r="I1613" s="1" t="s">
        <v>126</v>
      </c>
      <c r="J1613" s="1" t="s">
        <v>146</v>
      </c>
      <c r="K1613" s="1" t="s">
        <v>147</v>
      </c>
      <c r="L1613" s="1">
        <v>5</v>
      </c>
      <c r="M1613" s="13">
        <v>5610.04</v>
      </c>
      <c r="N1613" s="15">
        <v>0.21</v>
      </c>
      <c r="O1613" s="13">
        <v>27238.57</v>
      </c>
      <c r="P1613" s="13">
        <v>4096.24</v>
      </c>
      <c r="Q1613" s="13">
        <v>84.23</v>
      </c>
      <c r="R1613" s="1" t="s">
        <v>78</v>
      </c>
      <c r="S1613" s="1">
        <v>2</v>
      </c>
      <c r="T1613" s="1" t="b">
        <v>0</v>
      </c>
      <c r="U1613" s="1" t="s">
        <v>39</v>
      </c>
      <c r="V1613" s="3">
        <v>2</v>
      </c>
    </row>
    <row r="1614" spans="1:22" x14ac:dyDescent="0.3">
      <c r="A1614" s="2" t="s">
        <v>3724</v>
      </c>
      <c r="B1614" s="10">
        <v>45428</v>
      </c>
      <c r="C1614" s="22">
        <v>45428</v>
      </c>
      <c r="D1614" s="1" t="s">
        <v>3725</v>
      </c>
      <c r="E1614" s="1" t="s">
        <v>801</v>
      </c>
      <c r="F1614" s="1">
        <v>38</v>
      </c>
      <c r="G1614" s="1" t="s">
        <v>24</v>
      </c>
      <c r="H1614" s="1" t="s">
        <v>74</v>
      </c>
      <c r="I1614" s="1" t="s">
        <v>75</v>
      </c>
      <c r="J1614" s="1" t="s">
        <v>44</v>
      </c>
      <c r="K1614" s="1" t="s">
        <v>221</v>
      </c>
      <c r="L1614" s="1">
        <v>5</v>
      </c>
      <c r="M1614" s="13">
        <v>25978.76</v>
      </c>
      <c r="N1614" s="15">
        <v>0.11</v>
      </c>
      <c r="O1614" s="13">
        <v>222707.41</v>
      </c>
      <c r="P1614" s="13">
        <v>45655.25</v>
      </c>
      <c r="Q1614" s="13">
        <v>40.229999999999997</v>
      </c>
      <c r="R1614" s="1" t="s">
        <v>29</v>
      </c>
      <c r="S1614" s="1">
        <v>1</v>
      </c>
      <c r="T1614" s="1" t="b">
        <v>0</v>
      </c>
      <c r="U1614" s="1" t="s">
        <v>39</v>
      </c>
      <c r="V1614" s="3">
        <v>4</v>
      </c>
    </row>
    <row r="1615" spans="1:22" x14ac:dyDescent="0.3">
      <c r="A1615" s="2" t="s">
        <v>3726</v>
      </c>
      <c r="B1615" s="10">
        <v>45302</v>
      </c>
      <c r="C1615" s="22">
        <v>45302</v>
      </c>
      <c r="D1615" s="1" t="s">
        <v>3727</v>
      </c>
      <c r="E1615" s="1" t="s">
        <v>429</v>
      </c>
      <c r="F1615" s="1">
        <v>23</v>
      </c>
      <c r="G1615" s="1" t="s">
        <v>34</v>
      </c>
      <c r="H1615" s="1" t="s">
        <v>111</v>
      </c>
      <c r="I1615" s="1" t="s">
        <v>121</v>
      </c>
      <c r="J1615" s="1" t="s">
        <v>27</v>
      </c>
      <c r="K1615" s="1" t="s">
        <v>56</v>
      </c>
      <c r="L1615" s="1">
        <v>6</v>
      </c>
      <c r="M1615" s="13">
        <v>69.63</v>
      </c>
      <c r="N1615" s="15">
        <v>0.33</v>
      </c>
      <c r="O1615" s="13">
        <v>256.35000000000002</v>
      </c>
      <c r="P1615" s="13">
        <v>21.2</v>
      </c>
      <c r="Q1615" s="13">
        <v>103.66</v>
      </c>
      <c r="R1615" s="1" t="s">
        <v>51</v>
      </c>
      <c r="S1615" s="1">
        <v>1</v>
      </c>
      <c r="T1615" s="1" t="b">
        <v>1</v>
      </c>
      <c r="U1615" s="1" t="s">
        <v>30</v>
      </c>
      <c r="V1615" s="3">
        <v>1</v>
      </c>
    </row>
    <row r="1616" spans="1:22" x14ac:dyDescent="0.3">
      <c r="A1616" s="2" t="s">
        <v>3728</v>
      </c>
      <c r="B1616" s="10">
        <v>44848</v>
      </c>
      <c r="C1616" s="22">
        <v>44848</v>
      </c>
      <c r="D1616" s="1" t="s">
        <v>3729</v>
      </c>
      <c r="E1616" s="1" t="s">
        <v>555</v>
      </c>
      <c r="F1616" s="1">
        <v>3</v>
      </c>
      <c r="G1616" s="1" t="s">
        <v>24</v>
      </c>
      <c r="H1616" s="1" t="s">
        <v>74</v>
      </c>
      <c r="I1616" s="1" t="s">
        <v>101</v>
      </c>
      <c r="J1616" s="1" t="s">
        <v>146</v>
      </c>
      <c r="K1616" s="1" t="s">
        <v>484</v>
      </c>
      <c r="L1616" s="1">
        <v>1</v>
      </c>
      <c r="M1616" s="13">
        <v>6882.24</v>
      </c>
      <c r="N1616" s="15">
        <v>0.06</v>
      </c>
      <c r="O1616" s="13">
        <v>5996.92</v>
      </c>
      <c r="P1616" s="13">
        <v>1545.12</v>
      </c>
      <c r="Q1616" s="13">
        <v>56.46</v>
      </c>
      <c r="R1616" s="1" t="s">
        <v>64</v>
      </c>
      <c r="S1616" s="1">
        <v>3</v>
      </c>
      <c r="T1616" s="1" t="b">
        <v>1</v>
      </c>
      <c r="U1616" s="1" t="s">
        <v>30</v>
      </c>
      <c r="V1616" s="3">
        <v>3</v>
      </c>
    </row>
    <row r="1617" spans="1:22" x14ac:dyDescent="0.3">
      <c r="A1617" s="2" t="s">
        <v>3730</v>
      </c>
      <c r="B1617" s="10">
        <v>44110</v>
      </c>
      <c r="C1617" s="22">
        <v>44110</v>
      </c>
      <c r="D1617" s="1" t="s">
        <v>3731</v>
      </c>
      <c r="E1617" s="1" t="s">
        <v>1033</v>
      </c>
      <c r="F1617" s="1">
        <v>36</v>
      </c>
      <c r="G1617" s="1" t="s">
        <v>24</v>
      </c>
      <c r="H1617" s="1" t="s">
        <v>25</v>
      </c>
      <c r="I1617" s="1" t="s">
        <v>26</v>
      </c>
      <c r="J1617" s="1" t="s">
        <v>27</v>
      </c>
      <c r="K1617" s="1" t="s">
        <v>400</v>
      </c>
      <c r="L1617" s="1">
        <v>8</v>
      </c>
      <c r="M1617" s="13">
        <v>498.13</v>
      </c>
      <c r="N1617" s="15">
        <v>0.2</v>
      </c>
      <c r="O1617" s="13">
        <v>2870.12</v>
      </c>
      <c r="P1617" s="13">
        <v>226.32</v>
      </c>
      <c r="Q1617" s="13">
        <v>36.47</v>
      </c>
      <c r="R1617" s="1" t="s">
        <v>78</v>
      </c>
      <c r="S1617" s="1">
        <v>4</v>
      </c>
      <c r="T1617" s="1" t="b">
        <v>1</v>
      </c>
      <c r="U1617" s="1" t="s">
        <v>30</v>
      </c>
      <c r="V1617" s="3">
        <v>6</v>
      </c>
    </row>
    <row r="1618" spans="1:22" x14ac:dyDescent="0.3">
      <c r="A1618" s="2" t="s">
        <v>3732</v>
      </c>
      <c r="B1618" s="10">
        <v>44014</v>
      </c>
      <c r="C1618" s="22">
        <v>44014</v>
      </c>
      <c r="D1618" s="1" t="s">
        <v>3733</v>
      </c>
      <c r="E1618" s="1" t="s">
        <v>668</v>
      </c>
      <c r="F1618" s="1">
        <v>19</v>
      </c>
      <c r="G1618" s="1" t="s">
        <v>34</v>
      </c>
      <c r="H1618" s="1" t="s">
        <v>25</v>
      </c>
      <c r="I1618" s="1" t="s">
        <v>170</v>
      </c>
      <c r="J1618" s="1" t="s">
        <v>27</v>
      </c>
      <c r="K1618" s="1" t="s">
        <v>56</v>
      </c>
      <c r="L1618" s="1">
        <v>6</v>
      </c>
      <c r="M1618" s="13">
        <v>170</v>
      </c>
      <c r="N1618" s="15">
        <v>0.36</v>
      </c>
      <c r="O1618" s="13">
        <v>834.1</v>
      </c>
      <c r="P1618" s="13">
        <v>50.58</v>
      </c>
      <c r="Q1618" s="13">
        <v>64.22</v>
      </c>
      <c r="R1618" s="1" t="s">
        <v>57</v>
      </c>
      <c r="S1618" s="1">
        <v>2</v>
      </c>
      <c r="T1618" s="1" t="b">
        <v>0</v>
      </c>
      <c r="U1618" s="1" t="s">
        <v>58</v>
      </c>
      <c r="V1618" s="3">
        <v>5</v>
      </c>
    </row>
    <row r="1619" spans="1:22" x14ac:dyDescent="0.3">
      <c r="A1619" s="2" t="s">
        <v>3734</v>
      </c>
      <c r="B1619" s="10">
        <v>45316</v>
      </c>
      <c r="C1619" s="22">
        <v>45316</v>
      </c>
      <c r="D1619" s="1" t="s">
        <v>3735</v>
      </c>
      <c r="E1619" s="1" t="s">
        <v>61</v>
      </c>
      <c r="F1619" s="1">
        <v>40</v>
      </c>
      <c r="G1619" s="1" t="s">
        <v>34</v>
      </c>
      <c r="H1619" s="1" t="s">
        <v>82</v>
      </c>
      <c r="I1619" s="1" t="s">
        <v>293</v>
      </c>
      <c r="J1619" s="1" t="s">
        <v>37</v>
      </c>
      <c r="K1619" s="1" t="s">
        <v>671</v>
      </c>
      <c r="L1619" s="1">
        <v>9</v>
      </c>
      <c r="M1619" s="13">
        <v>432.41</v>
      </c>
      <c r="N1619" s="15">
        <v>0.37</v>
      </c>
      <c r="O1619" s="13">
        <v>2362.96</v>
      </c>
      <c r="P1619" s="13">
        <v>1178.26</v>
      </c>
      <c r="Q1619" s="13">
        <v>86.75</v>
      </c>
      <c r="R1619" s="1" t="s">
        <v>57</v>
      </c>
      <c r="S1619" s="1">
        <v>5</v>
      </c>
      <c r="T1619" s="1" t="b">
        <v>0</v>
      </c>
      <c r="U1619" s="1" t="s">
        <v>137</v>
      </c>
      <c r="V1619" s="3">
        <v>10</v>
      </c>
    </row>
    <row r="1620" spans="1:22" x14ac:dyDescent="0.3">
      <c r="A1620" s="2" t="s">
        <v>3736</v>
      </c>
      <c r="B1620" s="10">
        <v>43878</v>
      </c>
      <c r="C1620" s="22">
        <v>43878</v>
      </c>
      <c r="D1620" s="1" t="s">
        <v>3737</v>
      </c>
      <c r="E1620" s="1" t="s">
        <v>1950</v>
      </c>
      <c r="F1620" s="1">
        <v>46</v>
      </c>
      <c r="G1620" s="1" t="s">
        <v>24</v>
      </c>
      <c r="H1620" s="1" t="s">
        <v>82</v>
      </c>
      <c r="I1620" s="1" t="s">
        <v>293</v>
      </c>
      <c r="J1620" s="1" t="s">
        <v>27</v>
      </c>
      <c r="K1620" s="1" t="s">
        <v>28</v>
      </c>
      <c r="L1620" s="1">
        <v>5</v>
      </c>
      <c r="M1620" s="13">
        <v>308.01</v>
      </c>
      <c r="N1620" s="15">
        <v>0.04</v>
      </c>
      <c r="O1620" s="13">
        <v>1315.86</v>
      </c>
      <c r="P1620" s="13">
        <v>56.05</v>
      </c>
      <c r="Q1620" s="13">
        <v>55.47</v>
      </c>
      <c r="R1620" s="1" t="s">
        <v>64</v>
      </c>
      <c r="S1620" s="1">
        <v>2</v>
      </c>
      <c r="T1620" s="1" t="b">
        <v>0</v>
      </c>
      <c r="U1620" s="1" t="s">
        <v>39</v>
      </c>
      <c r="V1620" s="3">
        <v>2</v>
      </c>
    </row>
    <row r="1621" spans="1:22" x14ac:dyDescent="0.3">
      <c r="A1621" s="2" t="s">
        <v>3738</v>
      </c>
      <c r="B1621" s="10">
        <v>44089</v>
      </c>
      <c r="C1621" s="22">
        <v>44089</v>
      </c>
      <c r="D1621" s="1" t="s">
        <v>3739</v>
      </c>
      <c r="E1621" s="1" t="s">
        <v>256</v>
      </c>
      <c r="F1621" s="1">
        <v>54</v>
      </c>
      <c r="G1621" s="1" t="s">
        <v>24</v>
      </c>
      <c r="H1621" s="1" t="s">
        <v>25</v>
      </c>
      <c r="I1621" s="1" t="s">
        <v>26</v>
      </c>
      <c r="J1621" s="1" t="s">
        <v>146</v>
      </c>
      <c r="K1621" s="1" t="s">
        <v>276</v>
      </c>
      <c r="L1621" s="1">
        <v>8</v>
      </c>
      <c r="M1621" s="13">
        <v>10241.77</v>
      </c>
      <c r="N1621" s="15">
        <v>0.28999999999999998</v>
      </c>
      <c r="O1621" s="13">
        <v>61888.65</v>
      </c>
      <c r="P1621" s="13">
        <v>13264.84</v>
      </c>
      <c r="Q1621" s="13">
        <v>67.150000000000006</v>
      </c>
      <c r="R1621" s="1" t="s">
        <v>29</v>
      </c>
      <c r="S1621" s="1">
        <v>1</v>
      </c>
      <c r="T1621" s="1" t="b">
        <v>1</v>
      </c>
      <c r="U1621" s="1" t="s">
        <v>30</v>
      </c>
      <c r="V1621" s="3">
        <v>6</v>
      </c>
    </row>
    <row r="1622" spans="1:22" x14ac:dyDescent="0.3">
      <c r="A1622" s="2" t="s">
        <v>3740</v>
      </c>
      <c r="B1622" s="10">
        <v>44759</v>
      </c>
      <c r="C1622" s="22">
        <v>44759</v>
      </c>
      <c r="D1622" s="1" t="s">
        <v>3741</v>
      </c>
      <c r="E1622" s="1" t="s">
        <v>1246</v>
      </c>
      <c r="F1622" s="1">
        <v>31</v>
      </c>
      <c r="G1622" s="1" t="s">
        <v>24</v>
      </c>
      <c r="H1622" s="1" t="s">
        <v>25</v>
      </c>
      <c r="I1622" s="1" t="s">
        <v>170</v>
      </c>
      <c r="J1622" s="1" t="s">
        <v>62</v>
      </c>
      <c r="K1622" s="1" t="s">
        <v>63</v>
      </c>
      <c r="L1622" s="1">
        <v>5</v>
      </c>
      <c r="M1622" s="13">
        <v>854</v>
      </c>
      <c r="N1622" s="15">
        <v>0.33</v>
      </c>
      <c r="O1622" s="13">
        <v>691.57</v>
      </c>
      <c r="P1622" s="13">
        <v>321.8</v>
      </c>
      <c r="Q1622" s="13">
        <v>40.83</v>
      </c>
      <c r="R1622" s="1" t="s">
        <v>64</v>
      </c>
      <c r="S1622" s="1">
        <v>1</v>
      </c>
      <c r="T1622" s="1" t="b">
        <v>1</v>
      </c>
      <c r="U1622" s="1" t="s">
        <v>30</v>
      </c>
      <c r="V1622" s="3">
        <v>6</v>
      </c>
    </row>
    <row r="1623" spans="1:22" x14ac:dyDescent="0.3">
      <c r="A1623" s="2" t="s">
        <v>3742</v>
      </c>
      <c r="B1623" s="10">
        <v>44483</v>
      </c>
      <c r="C1623" s="22">
        <v>44483</v>
      </c>
      <c r="D1623" s="1" t="s">
        <v>3743</v>
      </c>
      <c r="E1623" s="1" t="s">
        <v>33</v>
      </c>
      <c r="F1623" s="1">
        <v>33</v>
      </c>
      <c r="G1623" s="1" t="s">
        <v>34</v>
      </c>
      <c r="H1623" s="1" t="s">
        <v>111</v>
      </c>
      <c r="I1623" s="1" t="s">
        <v>121</v>
      </c>
      <c r="J1623" s="1" t="s">
        <v>146</v>
      </c>
      <c r="K1623" s="1" t="s">
        <v>484</v>
      </c>
      <c r="L1623" s="1">
        <v>9</v>
      </c>
      <c r="M1623" s="13">
        <v>2605.13</v>
      </c>
      <c r="N1623" s="15">
        <v>0.21</v>
      </c>
      <c r="O1623" s="13">
        <v>20094.939999999999</v>
      </c>
      <c r="P1623" s="13">
        <v>2400.52</v>
      </c>
      <c r="Q1623" s="13">
        <v>83.93</v>
      </c>
      <c r="R1623" s="1" t="s">
        <v>51</v>
      </c>
      <c r="S1623" s="1">
        <v>4</v>
      </c>
      <c r="T1623" s="1" t="b">
        <v>1</v>
      </c>
      <c r="U1623" s="1" t="s">
        <v>30</v>
      </c>
      <c r="V1623" s="3">
        <v>5</v>
      </c>
    </row>
    <row r="1624" spans="1:22" x14ac:dyDescent="0.3">
      <c r="A1624" s="2" t="s">
        <v>3744</v>
      </c>
      <c r="B1624" s="10">
        <v>45206</v>
      </c>
      <c r="C1624" s="22">
        <v>45206</v>
      </c>
      <c r="D1624" s="1" t="s">
        <v>3745</v>
      </c>
      <c r="E1624" s="1" t="s">
        <v>1044</v>
      </c>
      <c r="F1624" s="1">
        <v>34</v>
      </c>
      <c r="G1624" s="1" t="s">
        <v>34</v>
      </c>
      <c r="H1624" s="1" t="s">
        <v>35</v>
      </c>
      <c r="I1624" s="1" t="s">
        <v>49</v>
      </c>
      <c r="J1624" s="1" t="s">
        <v>76</v>
      </c>
      <c r="K1624" s="1" t="s">
        <v>77</v>
      </c>
      <c r="L1624" s="1">
        <v>1</v>
      </c>
      <c r="M1624" s="13">
        <v>3669.1</v>
      </c>
      <c r="N1624" s="15">
        <v>0.23</v>
      </c>
      <c r="O1624" s="13">
        <v>2724.49</v>
      </c>
      <c r="P1624" s="13">
        <v>1136.46</v>
      </c>
      <c r="Q1624" s="13">
        <v>66</v>
      </c>
      <c r="R1624" s="1" t="s">
        <v>51</v>
      </c>
      <c r="S1624" s="1">
        <v>5</v>
      </c>
      <c r="T1624" s="1" t="b">
        <v>0</v>
      </c>
      <c r="U1624" s="1" t="s">
        <v>39</v>
      </c>
      <c r="V1624" s="3">
        <v>9</v>
      </c>
    </row>
    <row r="1625" spans="1:22" x14ac:dyDescent="0.3">
      <c r="A1625" s="2" t="s">
        <v>3746</v>
      </c>
      <c r="B1625" s="10">
        <v>44048</v>
      </c>
      <c r="C1625" s="22">
        <v>44048</v>
      </c>
      <c r="D1625" s="1" t="s">
        <v>3747</v>
      </c>
      <c r="E1625" s="1" t="s">
        <v>1064</v>
      </c>
      <c r="F1625" s="1">
        <v>44</v>
      </c>
      <c r="G1625" s="1" t="s">
        <v>24</v>
      </c>
      <c r="H1625" s="1" t="s">
        <v>82</v>
      </c>
      <c r="I1625" s="1" t="s">
        <v>244</v>
      </c>
      <c r="J1625" s="1" t="s">
        <v>44</v>
      </c>
      <c r="K1625" s="1" t="s">
        <v>186</v>
      </c>
      <c r="L1625" s="1">
        <v>6</v>
      </c>
      <c r="M1625" s="13">
        <v>10121.629999999999</v>
      </c>
      <c r="N1625" s="15">
        <v>0.2</v>
      </c>
      <c r="O1625" s="13">
        <v>61938.25</v>
      </c>
      <c r="P1625" s="13">
        <v>19909.16</v>
      </c>
      <c r="Q1625" s="13">
        <v>79.23</v>
      </c>
      <c r="R1625" s="1" t="s">
        <v>78</v>
      </c>
      <c r="S1625" s="1">
        <v>1</v>
      </c>
      <c r="T1625" s="1" t="b">
        <v>0</v>
      </c>
      <c r="U1625" s="1" t="s">
        <v>137</v>
      </c>
      <c r="V1625" s="3">
        <v>2</v>
      </c>
    </row>
    <row r="1626" spans="1:22" x14ac:dyDescent="0.3">
      <c r="A1626" s="2" t="s">
        <v>3748</v>
      </c>
      <c r="B1626" s="10">
        <v>44220</v>
      </c>
      <c r="C1626" s="22">
        <v>44220</v>
      </c>
      <c r="D1626" s="1" t="s">
        <v>3749</v>
      </c>
      <c r="E1626" s="1" t="s">
        <v>195</v>
      </c>
      <c r="F1626" s="1">
        <v>38</v>
      </c>
      <c r="G1626" s="1" t="s">
        <v>68</v>
      </c>
      <c r="H1626" s="1" t="s">
        <v>111</v>
      </c>
      <c r="I1626" s="1" t="s">
        <v>121</v>
      </c>
      <c r="J1626" s="1" t="s">
        <v>76</v>
      </c>
      <c r="K1626" s="1" t="s">
        <v>77</v>
      </c>
      <c r="L1626" s="1">
        <v>10</v>
      </c>
      <c r="M1626" s="13">
        <v>546.08000000000004</v>
      </c>
      <c r="N1626" s="15">
        <v>0.02</v>
      </c>
      <c r="O1626" s="13">
        <v>4248.99</v>
      </c>
      <c r="P1626" s="13">
        <v>1231.33</v>
      </c>
      <c r="Q1626" s="13">
        <v>64.33</v>
      </c>
      <c r="R1626" s="1" t="s">
        <v>64</v>
      </c>
      <c r="S1626" s="1">
        <v>5</v>
      </c>
      <c r="T1626" s="1" t="b">
        <v>0</v>
      </c>
      <c r="U1626" s="1" t="s">
        <v>39</v>
      </c>
      <c r="V1626" s="3">
        <v>3</v>
      </c>
    </row>
    <row r="1627" spans="1:22" x14ac:dyDescent="0.3">
      <c r="A1627" s="2" t="s">
        <v>3750</v>
      </c>
      <c r="B1627" s="10">
        <v>43950</v>
      </c>
      <c r="C1627" s="22">
        <v>43950</v>
      </c>
      <c r="D1627" s="1" t="s">
        <v>1406</v>
      </c>
      <c r="E1627" s="1" t="s">
        <v>487</v>
      </c>
      <c r="F1627" s="1">
        <v>44</v>
      </c>
      <c r="G1627" s="1" t="s">
        <v>34</v>
      </c>
      <c r="H1627" s="1" t="s">
        <v>35</v>
      </c>
      <c r="I1627" s="1" t="s">
        <v>43</v>
      </c>
      <c r="J1627" s="1" t="s">
        <v>127</v>
      </c>
      <c r="K1627" s="1" t="s">
        <v>196</v>
      </c>
      <c r="L1627" s="1">
        <v>5</v>
      </c>
      <c r="M1627" s="13">
        <v>20270.62</v>
      </c>
      <c r="N1627" s="15">
        <v>0.13</v>
      </c>
      <c r="O1627" s="13">
        <v>92969.99</v>
      </c>
      <c r="P1627" s="13">
        <v>10193.11</v>
      </c>
      <c r="Q1627" s="13">
        <v>48.68</v>
      </c>
      <c r="R1627" s="1" t="s">
        <v>29</v>
      </c>
      <c r="S1627" s="1">
        <v>2</v>
      </c>
      <c r="T1627" s="1" t="b">
        <v>0</v>
      </c>
      <c r="U1627" s="1" t="s">
        <v>39</v>
      </c>
      <c r="V1627" s="3">
        <v>3</v>
      </c>
    </row>
    <row r="1628" spans="1:22" x14ac:dyDescent="0.3">
      <c r="A1628" s="2" t="s">
        <v>3751</v>
      </c>
      <c r="B1628" s="10">
        <v>44107</v>
      </c>
      <c r="C1628" s="22">
        <v>44107</v>
      </c>
      <c r="D1628" s="1" t="s">
        <v>3752</v>
      </c>
      <c r="E1628" s="1" t="s">
        <v>213</v>
      </c>
      <c r="F1628" s="1">
        <v>18</v>
      </c>
      <c r="G1628" s="1" t="s">
        <v>24</v>
      </c>
      <c r="H1628" s="1" t="s">
        <v>25</v>
      </c>
      <c r="I1628" s="1" t="s">
        <v>26</v>
      </c>
      <c r="J1628" s="1" t="s">
        <v>127</v>
      </c>
      <c r="K1628" s="1" t="s">
        <v>142</v>
      </c>
      <c r="L1628" s="1">
        <v>7</v>
      </c>
      <c r="M1628" s="13">
        <v>37436.559999999998</v>
      </c>
      <c r="N1628" s="15">
        <v>0.37</v>
      </c>
      <c r="O1628" s="13">
        <v>134393.01</v>
      </c>
      <c r="P1628" s="13">
        <v>20949.87</v>
      </c>
      <c r="Q1628" s="13">
        <v>52.14</v>
      </c>
      <c r="R1628" s="1" t="s">
        <v>78</v>
      </c>
      <c r="S1628" s="1">
        <v>2</v>
      </c>
      <c r="T1628" s="1" t="b">
        <v>0</v>
      </c>
      <c r="U1628" s="1" t="s">
        <v>39</v>
      </c>
      <c r="V1628" s="3">
        <v>10</v>
      </c>
    </row>
    <row r="1629" spans="1:22" x14ac:dyDescent="0.3">
      <c r="A1629" s="2" t="s">
        <v>3753</v>
      </c>
      <c r="B1629" s="10">
        <v>45309</v>
      </c>
      <c r="C1629" s="22">
        <v>45309</v>
      </c>
      <c r="D1629" s="1" t="s">
        <v>3754</v>
      </c>
      <c r="E1629" s="1" t="s">
        <v>3253</v>
      </c>
      <c r="F1629" s="1">
        <v>34</v>
      </c>
      <c r="G1629" s="1" t="s">
        <v>24</v>
      </c>
      <c r="H1629" s="1" t="s">
        <v>25</v>
      </c>
      <c r="I1629" s="1" t="s">
        <v>69</v>
      </c>
      <c r="J1629" s="1" t="s">
        <v>76</v>
      </c>
      <c r="K1629" s="1" t="s">
        <v>113</v>
      </c>
      <c r="L1629" s="1">
        <v>7</v>
      </c>
      <c r="M1629" s="13">
        <v>1628.33</v>
      </c>
      <c r="N1629" s="15">
        <v>0.37</v>
      </c>
      <c r="O1629" s="13">
        <v>7092.35</v>
      </c>
      <c r="P1629" s="13">
        <v>2745.59</v>
      </c>
      <c r="Q1629" s="13">
        <v>37.909999999999997</v>
      </c>
      <c r="R1629" s="1" t="s">
        <v>70</v>
      </c>
      <c r="S1629" s="1">
        <v>1</v>
      </c>
      <c r="T1629" s="1" t="b">
        <v>1</v>
      </c>
      <c r="U1629" s="1" t="s">
        <v>30</v>
      </c>
      <c r="V1629" s="3">
        <v>3</v>
      </c>
    </row>
    <row r="1630" spans="1:22" x14ac:dyDescent="0.3">
      <c r="A1630" s="2" t="s">
        <v>3755</v>
      </c>
      <c r="B1630" s="10">
        <v>45431</v>
      </c>
      <c r="C1630" s="22">
        <v>45431</v>
      </c>
      <c r="D1630" s="1" t="s">
        <v>3756</v>
      </c>
      <c r="E1630" s="1" t="s">
        <v>487</v>
      </c>
      <c r="F1630" s="1">
        <v>26</v>
      </c>
      <c r="G1630" s="1" t="s">
        <v>24</v>
      </c>
      <c r="H1630" s="1" t="s">
        <v>82</v>
      </c>
      <c r="I1630" s="1" t="s">
        <v>293</v>
      </c>
      <c r="J1630" s="1" t="s">
        <v>37</v>
      </c>
      <c r="K1630" s="1" t="s">
        <v>102</v>
      </c>
      <c r="L1630" s="1">
        <v>4</v>
      </c>
      <c r="M1630" s="13">
        <v>1340.35</v>
      </c>
      <c r="N1630" s="15">
        <v>0.28000000000000003</v>
      </c>
      <c r="O1630" s="13">
        <v>6161.42</v>
      </c>
      <c r="P1630" s="13">
        <v>2285.21</v>
      </c>
      <c r="Q1630" s="13">
        <v>75.459999999999994</v>
      </c>
      <c r="R1630" s="1" t="s">
        <v>57</v>
      </c>
      <c r="S1630" s="1">
        <v>2</v>
      </c>
      <c r="T1630" s="1" t="b">
        <v>0</v>
      </c>
      <c r="U1630" s="1" t="s">
        <v>39</v>
      </c>
      <c r="V1630" s="3">
        <v>7</v>
      </c>
    </row>
    <row r="1631" spans="1:22" x14ac:dyDescent="0.3">
      <c r="A1631" s="2" t="s">
        <v>3757</v>
      </c>
      <c r="B1631" s="10">
        <v>44804</v>
      </c>
      <c r="C1631" s="22">
        <v>44804</v>
      </c>
      <c r="D1631" s="1" t="s">
        <v>3758</v>
      </c>
      <c r="E1631" s="1" t="s">
        <v>1519</v>
      </c>
      <c r="F1631" s="1">
        <v>32</v>
      </c>
      <c r="G1631" s="1" t="s">
        <v>34</v>
      </c>
      <c r="H1631" s="1" t="s">
        <v>35</v>
      </c>
      <c r="I1631" s="1" t="s">
        <v>43</v>
      </c>
      <c r="J1631" s="1" t="s">
        <v>76</v>
      </c>
      <c r="K1631" s="1" t="s">
        <v>122</v>
      </c>
      <c r="L1631" s="1">
        <v>7</v>
      </c>
      <c r="M1631" s="13">
        <v>3559.36</v>
      </c>
      <c r="N1631" s="15">
        <v>0.26</v>
      </c>
      <c r="O1631" s="13">
        <v>22968.400000000001</v>
      </c>
      <c r="P1631" s="13">
        <v>9552.92</v>
      </c>
      <c r="Q1631" s="13">
        <v>50.49</v>
      </c>
      <c r="R1631" s="1" t="s">
        <v>57</v>
      </c>
      <c r="S1631" s="1">
        <v>4</v>
      </c>
      <c r="T1631" s="1" t="b">
        <v>0</v>
      </c>
      <c r="U1631" s="1" t="s">
        <v>39</v>
      </c>
      <c r="V1631" s="3">
        <v>5</v>
      </c>
    </row>
    <row r="1632" spans="1:22" x14ac:dyDescent="0.3">
      <c r="A1632" s="2" t="s">
        <v>3759</v>
      </c>
      <c r="B1632" s="10">
        <v>45276</v>
      </c>
      <c r="C1632" s="22">
        <v>45276</v>
      </c>
      <c r="D1632" s="1" t="s">
        <v>3760</v>
      </c>
      <c r="E1632" s="1" t="s">
        <v>748</v>
      </c>
      <c r="F1632" s="1">
        <v>15</v>
      </c>
      <c r="G1632" s="1" t="s">
        <v>68</v>
      </c>
      <c r="H1632" s="1" t="s">
        <v>111</v>
      </c>
      <c r="I1632" s="1" t="s">
        <v>141</v>
      </c>
      <c r="J1632" s="1" t="s">
        <v>37</v>
      </c>
      <c r="K1632" s="1" t="s">
        <v>454</v>
      </c>
      <c r="L1632" s="1">
        <v>8</v>
      </c>
      <c r="M1632" s="13">
        <v>1831.18</v>
      </c>
      <c r="N1632" s="15">
        <v>0.37</v>
      </c>
      <c r="O1632" s="13">
        <v>8593.6</v>
      </c>
      <c r="P1632" s="13">
        <v>2469.88</v>
      </c>
      <c r="Q1632" s="13">
        <v>52.31</v>
      </c>
      <c r="R1632" s="1" t="s">
        <v>51</v>
      </c>
      <c r="S1632" s="1">
        <v>4</v>
      </c>
      <c r="T1632" s="1" t="b">
        <v>0</v>
      </c>
      <c r="U1632" s="1" t="s">
        <v>39</v>
      </c>
      <c r="V1632" s="3">
        <v>5</v>
      </c>
    </row>
    <row r="1633" spans="1:22" x14ac:dyDescent="0.3">
      <c r="A1633" s="2" t="s">
        <v>3761</v>
      </c>
      <c r="B1633" s="10">
        <v>44266</v>
      </c>
      <c r="C1633" s="22">
        <v>44266</v>
      </c>
      <c r="D1633" s="1" t="s">
        <v>3762</v>
      </c>
      <c r="E1633" s="1" t="s">
        <v>453</v>
      </c>
      <c r="F1633" s="1">
        <v>30</v>
      </c>
      <c r="G1633" s="1" t="s">
        <v>34</v>
      </c>
      <c r="H1633" s="1" t="s">
        <v>74</v>
      </c>
      <c r="I1633" s="1" t="s">
        <v>75</v>
      </c>
      <c r="J1633" s="1" t="s">
        <v>27</v>
      </c>
      <c r="K1633" s="1" t="s">
        <v>97</v>
      </c>
      <c r="L1633" s="1">
        <v>7</v>
      </c>
      <c r="M1633" s="13">
        <v>236.4</v>
      </c>
      <c r="N1633" s="15">
        <v>0.32</v>
      </c>
      <c r="O1633" s="13">
        <v>1215.8399999999999</v>
      </c>
      <c r="P1633" s="13">
        <v>86.13</v>
      </c>
      <c r="Q1633" s="13">
        <v>33.049999999999997</v>
      </c>
      <c r="R1633" s="1" t="s">
        <v>64</v>
      </c>
      <c r="S1633" s="1">
        <v>2</v>
      </c>
      <c r="T1633" s="1" t="b">
        <v>1</v>
      </c>
      <c r="U1633" s="1" t="s">
        <v>30</v>
      </c>
      <c r="V1633" s="3">
        <v>3</v>
      </c>
    </row>
    <row r="1634" spans="1:22" x14ac:dyDescent="0.3">
      <c r="A1634" s="2" t="s">
        <v>3763</v>
      </c>
      <c r="B1634" s="10">
        <v>44767</v>
      </c>
      <c r="C1634" s="22">
        <v>44767</v>
      </c>
      <c r="D1634" s="1" t="s">
        <v>3764</v>
      </c>
      <c r="E1634" s="1" t="s">
        <v>983</v>
      </c>
      <c r="F1634" s="1">
        <v>44</v>
      </c>
      <c r="G1634" s="1" t="s">
        <v>24</v>
      </c>
      <c r="H1634" s="1" t="s">
        <v>82</v>
      </c>
      <c r="I1634" s="1" t="s">
        <v>293</v>
      </c>
      <c r="J1634" s="1" t="s">
        <v>146</v>
      </c>
      <c r="K1634" s="1" t="s">
        <v>217</v>
      </c>
      <c r="L1634" s="1">
        <v>8</v>
      </c>
      <c r="M1634" s="13">
        <v>12531.28</v>
      </c>
      <c r="N1634" s="15">
        <v>0.26</v>
      </c>
      <c r="O1634" s="13">
        <v>102179.33</v>
      </c>
      <c r="P1634" s="13">
        <v>18509.68</v>
      </c>
      <c r="Q1634" s="13">
        <v>84.53</v>
      </c>
      <c r="R1634" s="1" t="s">
        <v>64</v>
      </c>
      <c r="S1634" s="1">
        <v>1</v>
      </c>
      <c r="T1634" s="1" t="b">
        <v>0</v>
      </c>
      <c r="U1634" s="1" t="s">
        <v>137</v>
      </c>
      <c r="V1634" s="3">
        <v>6</v>
      </c>
    </row>
    <row r="1635" spans="1:22" x14ac:dyDescent="0.3">
      <c r="A1635" s="2" t="s">
        <v>3765</v>
      </c>
      <c r="B1635" s="10">
        <v>44139</v>
      </c>
      <c r="C1635" s="22">
        <v>44139</v>
      </c>
      <c r="D1635" s="1" t="s">
        <v>3766</v>
      </c>
      <c r="E1635" s="1" t="s">
        <v>789</v>
      </c>
      <c r="F1635" s="1">
        <v>30</v>
      </c>
      <c r="G1635" s="1" t="s">
        <v>34</v>
      </c>
      <c r="H1635" s="1" t="s">
        <v>82</v>
      </c>
      <c r="I1635" s="1" t="s">
        <v>126</v>
      </c>
      <c r="J1635" s="1" t="s">
        <v>146</v>
      </c>
      <c r="K1635" s="1" t="s">
        <v>217</v>
      </c>
      <c r="L1635" s="1">
        <v>1</v>
      </c>
      <c r="M1635" s="13">
        <v>13269.22</v>
      </c>
      <c r="N1635" s="15">
        <v>0.27</v>
      </c>
      <c r="O1635" s="13">
        <v>7469.13</v>
      </c>
      <c r="P1635" s="13">
        <v>1868.37</v>
      </c>
      <c r="Q1635" s="13">
        <v>57.24</v>
      </c>
      <c r="R1635" s="1" t="s">
        <v>64</v>
      </c>
      <c r="S1635" s="1">
        <v>2</v>
      </c>
      <c r="T1635" s="1" t="b">
        <v>0</v>
      </c>
      <c r="U1635" s="1" t="s">
        <v>84</v>
      </c>
      <c r="V1635" s="3">
        <v>1</v>
      </c>
    </row>
    <row r="1636" spans="1:22" x14ac:dyDescent="0.3">
      <c r="A1636" s="2" t="s">
        <v>3767</v>
      </c>
      <c r="B1636" s="10">
        <v>44976</v>
      </c>
      <c r="C1636" s="22">
        <v>44976</v>
      </c>
      <c r="D1636" s="1" t="s">
        <v>3768</v>
      </c>
      <c r="E1636" s="1" t="s">
        <v>1039</v>
      </c>
      <c r="F1636" s="1">
        <v>36</v>
      </c>
      <c r="G1636" s="1" t="s">
        <v>34</v>
      </c>
      <c r="H1636" s="1" t="s">
        <v>74</v>
      </c>
      <c r="I1636" s="1" t="s">
        <v>192</v>
      </c>
      <c r="J1636" s="1" t="s">
        <v>44</v>
      </c>
      <c r="K1636" s="1" t="s">
        <v>186</v>
      </c>
      <c r="L1636" s="1">
        <v>6</v>
      </c>
      <c r="M1636" s="13">
        <v>3886.28</v>
      </c>
      <c r="N1636" s="15">
        <v>0.02</v>
      </c>
      <c r="O1636" s="13">
        <v>22799.71</v>
      </c>
      <c r="P1636" s="13">
        <v>4659.41</v>
      </c>
      <c r="Q1636" s="13">
        <v>44.59</v>
      </c>
      <c r="R1636" s="1" t="s">
        <v>64</v>
      </c>
      <c r="S1636" s="1">
        <v>1</v>
      </c>
      <c r="T1636" s="1" t="b">
        <v>0</v>
      </c>
      <c r="U1636" s="1" t="s">
        <v>39</v>
      </c>
      <c r="V1636" s="3">
        <v>6</v>
      </c>
    </row>
    <row r="1637" spans="1:22" x14ac:dyDescent="0.3">
      <c r="A1637" s="2" t="s">
        <v>3769</v>
      </c>
      <c r="B1637" s="10">
        <v>44204</v>
      </c>
      <c r="C1637" s="22">
        <v>44204</v>
      </c>
      <c r="D1637" s="1" t="s">
        <v>3770</v>
      </c>
      <c r="E1637" s="1" t="s">
        <v>735</v>
      </c>
      <c r="F1637" s="1">
        <v>48</v>
      </c>
      <c r="G1637" s="1" t="s">
        <v>68</v>
      </c>
      <c r="H1637" s="1" t="s">
        <v>82</v>
      </c>
      <c r="I1637" s="1" t="s">
        <v>244</v>
      </c>
      <c r="J1637" s="1" t="s">
        <v>76</v>
      </c>
      <c r="K1637" s="1" t="s">
        <v>122</v>
      </c>
      <c r="L1637" s="1">
        <v>3</v>
      </c>
      <c r="M1637" s="13">
        <v>1116.5999999999999</v>
      </c>
      <c r="N1637" s="15">
        <v>0.09</v>
      </c>
      <c r="O1637" s="13">
        <v>2760.68</v>
      </c>
      <c r="P1637" s="13">
        <v>860.81</v>
      </c>
      <c r="Q1637" s="13">
        <v>92.64</v>
      </c>
      <c r="R1637" s="1" t="s">
        <v>51</v>
      </c>
      <c r="S1637" s="1">
        <v>4</v>
      </c>
      <c r="T1637" s="1" t="b">
        <v>0</v>
      </c>
      <c r="U1637" s="1" t="s">
        <v>39</v>
      </c>
      <c r="V1637" s="3">
        <v>2</v>
      </c>
    </row>
    <row r="1638" spans="1:22" x14ac:dyDescent="0.3">
      <c r="A1638" s="2" t="s">
        <v>3771</v>
      </c>
      <c r="B1638" s="10">
        <v>44855</v>
      </c>
      <c r="C1638" s="22">
        <v>44855</v>
      </c>
      <c r="D1638" s="1" t="s">
        <v>3772</v>
      </c>
      <c r="E1638" s="1" t="s">
        <v>1119</v>
      </c>
      <c r="F1638" s="1">
        <v>48</v>
      </c>
      <c r="G1638" s="1" t="s">
        <v>34</v>
      </c>
      <c r="H1638" s="1" t="s">
        <v>35</v>
      </c>
      <c r="I1638" s="1" t="s">
        <v>49</v>
      </c>
      <c r="J1638" s="1" t="s">
        <v>44</v>
      </c>
      <c r="K1638" s="1" t="s">
        <v>45</v>
      </c>
      <c r="L1638" s="1">
        <v>5</v>
      </c>
      <c r="M1638" s="13">
        <v>6159.86</v>
      </c>
      <c r="N1638" s="15">
        <v>0.03</v>
      </c>
      <c r="O1638" s="13">
        <v>5594.1</v>
      </c>
      <c r="P1638" s="13">
        <v>1071.6400000000001</v>
      </c>
      <c r="Q1638" s="13">
        <v>52.14</v>
      </c>
      <c r="R1638" s="1" t="s">
        <v>51</v>
      </c>
      <c r="S1638" s="1">
        <v>2</v>
      </c>
      <c r="T1638" s="1" t="b">
        <v>0</v>
      </c>
      <c r="U1638" s="1" t="s">
        <v>39</v>
      </c>
      <c r="V1638" s="3">
        <v>5</v>
      </c>
    </row>
    <row r="1639" spans="1:22" x14ac:dyDescent="0.3">
      <c r="A1639" s="2" t="s">
        <v>3773</v>
      </c>
      <c r="B1639" s="10">
        <v>45198</v>
      </c>
      <c r="C1639" s="22">
        <v>45198</v>
      </c>
      <c r="D1639" s="1" t="s">
        <v>3774</v>
      </c>
      <c r="E1639" s="1" t="s">
        <v>1229</v>
      </c>
      <c r="F1639" s="1">
        <v>31</v>
      </c>
      <c r="G1639" s="1" t="s">
        <v>24</v>
      </c>
      <c r="H1639" s="1" t="s">
        <v>82</v>
      </c>
      <c r="I1639" s="1" t="s">
        <v>126</v>
      </c>
      <c r="J1639" s="1" t="s">
        <v>27</v>
      </c>
      <c r="K1639" s="1" t="s">
        <v>430</v>
      </c>
      <c r="L1639" s="1">
        <v>7</v>
      </c>
      <c r="M1639" s="13">
        <v>72.5</v>
      </c>
      <c r="N1639" s="15">
        <v>0.28000000000000003</v>
      </c>
      <c r="O1639" s="13">
        <v>449.07</v>
      </c>
      <c r="P1639" s="13">
        <v>36.76</v>
      </c>
      <c r="Q1639" s="13">
        <v>80.150000000000006</v>
      </c>
      <c r="R1639" s="1" t="s">
        <v>78</v>
      </c>
      <c r="S1639" s="1">
        <v>4</v>
      </c>
      <c r="T1639" s="1" t="b">
        <v>0</v>
      </c>
      <c r="U1639" s="1" t="s">
        <v>84</v>
      </c>
      <c r="V1639" s="3">
        <v>9</v>
      </c>
    </row>
    <row r="1640" spans="1:22" x14ac:dyDescent="0.3">
      <c r="A1640" s="2" t="s">
        <v>3775</v>
      </c>
      <c r="B1640" s="10">
        <v>44570</v>
      </c>
      <c r="C1640" s="22">
        <v>44570</v>
      </c>
      <c r="D1640" s="1" t="s">
        <v>3776</v>
      </c>
      <c r="E1640" s="1" t="s">
        <v>81</v>
      </c>
      <c r="F1640" s="1">
        <v>37</v>
      </c>
      <c r="G1640" s="1" t="s">
        <v>68</v>
      </c>
      <c r="H1640" s="1" t="s">
        <v>25</v>
      </c>
      <c r="I1640" s="1" t="s">
        <v>55</v>
      </c>
      <c r="J1640" s="1" t="s">
        <v>37</v>
      </c>
      <c r="K1640" s="1" t="s">
        <v>454</v>
      </c>
      <c r="L1640" s="1">
        <v>2</v>
      </c>
      <c r="M1640" s="13">
        <v>1173.03</v>
      </c>
      <c r="N1640" s="15">
        <v>0.28999999999999998</v>
      </c>
      <c r="O1640" s="13">
        <v>1370.12</v>
      </c>
      <c r="P1640" s="13">
        <v>604.94000000000005</v>
      </c>
      <c r="Q1640" s="13">
        <v>50.86</v>
      </c>
      <c r="R1640" s="1" t="s">
        <v>29</v>
      </c>
      <c r="S1640" s="1">
        <v>3</v>
      </c>
      <c r="T1640" s="1" t="b">
        <v>0</v>
      </c>
      <c r="U1640" s="1" t="s">
        <v>39</v>
      </c>
      <c r="V1640" s="3">
        <v>1</v>
      </c>
    </row>
    <row r="1641" spans="1:22" x14ac:dyDescent="0.3">
      <c r="A1641" s="2" t="s">
        <v>3777</v>
      </c>
      <c r="B1641" s="10">
        <v>44093</v>
      </c>
      <c r="C1641" s="22">
        <v>44093</v>
      </c>
      <c r="D1641" s="1" t="s">
        <v>3778</v>
      </c>
      <c r="E1641" s="1" t="s">
        <v>540</v>
      </c>
      <c r="F1641" s="1">
        <v>30</v>
      </c>
      <c r="G1641" s="1" t="s">
        <v>68</v>
      </c>
      <c r="H1641" s="1" t="s">
        <v>25</v>
      </c>
      <c r="I1641" s="1" t="s">
        <v>170</v>
      </c>
      <c r="J1641" s="1" t="s">
        <v>127</v>
      </c>
      <c r="K1641" s="1" t="s">
        <v>128</v>
      </c>
      <c r="L1641" s="1">
        <v>10</v>
      </c>
      <c r="M1641" s="13">
        <v>5927.03</v>
      </c>
      <c r="N1641" s="15">
        <v>0.37</v>
      </c>
      <c r="O1641" s="13">
        <v>41239.82</v>
      </c>
      <c r="P1641" s="13">
        <v>4624.5200000000004</v>
      </c>
      <c r="Q1641" s="13">
        <v>77.349999999999994</v>
      </c>
      <c r="R1641" s="1" t="s">
        <v>64</v>
      </c>
      <c r="S1641" s="1">
        <v>4</v>
      </c>
      <c r="T1641" s="1" t="b">
        <v>0</v>
      </c>
      <c r="U1641" s="1" t="s">
        <v>39</v>
      </c>
      <c r="V1641" s="3">
        <v>4</v>
      </c>
    </row>
    <row r="1642" spans="1:22" x14ac:dyDescent="0.3">
      <c r="A1642" s="2" t="s">
        <v>3779</v>
      </c>
      <c r="B1642" s="10">
        <v>44935</v>
      </c>
      <c r="C1642" s="22">
        <v>44935</v>
      </c>
      <c r="D1642" s="1" t="s">
        <v>3780</v>
      </c>
      <c r="E1642" s="1" t="s">
        <v>3040</v>
      </c>
      <c r="F1642" s="1">
        <v>44</v>
      </c>
      <c r="G1642" s="1" t="s">
        <v>24</v>
      </c>
      <c r="H1642" s="1" t="s">
        <v>25</v>
      </c>
      <c r="I1642" s="1" t="s">
        <v>170</v>
      </c>
      <c r="J1642" s="1" t="s">
        <v>146</v>
      </c>
      <c r="K1642" s="1" t="s">
        <v>147</v>
      </c>
      <c r="L1642" s="1">
        <v>6</v>
      </c>
      <c r="M1642" s="13">
        <v>14871.36</v>
      </c>
      <c r="N1642" s="15">
        <v>0.23</v>
      </c>
      <c r="O1642" s="13">
        <v>56010.61</v>
      </c>
      <c r="P1642" s="13">
        <v>9090.5499999999993</v>
      </c>
      <c r="Q1642" s="13">
        <v>74.650000000000006</v>
      </c>
      <c r="R1642" s="1" t="s">
        <v>64</v>
      </c>
      <c r="S1642" s="1">
        <v>2</v>
      </c>
      <c r="T1642" s="1" t="b">
        <v>0</v>
      </c>
      <c r="U1642" s="1" t="s">
        <v>39</v>
      </c>
      <c r="V1642" s="3">
        <v>8</v>
      </c>
    </row>
    <row r="1643" spans="1:22" x14ac:dyDescent="0.3">
      <c r="A1643" s="2" t="s">
        <v>3781</v>
      </c>
      <c r="B1643" s="10">
        <v>45393</v>
      </c>
      <c r="C1643" s="22">
        <v>45393</v>
      </c>
      <c r="D1643" s="1" t="s">
        <v>3782</v>
      </c>
      <c r="E1643" s="1" t="s">
        <v>3040</v>
      </c>
      <c r="F1643" s="1">
        <v>15</v>
      </c>
      <c r="G1643" s="1" t="s">
        <v>34</v>
      </c>
      <c r="H1643" s="1" t="s">
        <v>35</v>
      </c>
      <c r="I1643" s="1" t="s">
        <v>106</v>
      </c>
      <c r="J1643" s="1" t="s">
        <v>37</v>
      </c>
      <c r="K1643" s="1" t="s">
        <v>231</v>
      </c>
      <c r="L1643" s="1">
        <v>2</v>
      </c>
      <c r="M1643" s="13">
        <v>1384.67</v>
      </c>
      <c r="N1643" s="15">
        <v>0.21</v>
      </c>
      <c r="O1643" s="13">
        <v>4252.3500000000004</v>
      </c>
      <c r="P1643" s="13">
        <v>1481.85</v>
      </c>
      <c r="Q1643" s="13">
        <v>74.86</v>
      </c>
      <c r="R1643" s="1" t="s">
        <v>64</v>
      </c>
      <c r="S1643" s="1">
        <v>3</v>
      </c>
      <c r="T1643" s="1" t="b">
        <v>0</v>
      </c>
      <c r="U1643" s="1" t="s">
        <v>39</v>
      </c>
      <c r="V1643" s="3">
        <v>8</v>
      </c>
    </row>
    <row r="1644" spans="1:22" x14ac:dyDescent="0.3">
      <c r="A1644" s="2" t="s">
        <v>3783</v>
      </c>
      <c r="B1644" s="10">
        <v>44255</v>
      </c>
      <c r="C1644" s="22">
        <v>44255</v>
      </c>
      <c r="D1644" s="1" t="s">
        <v>3784</v>
      </c>
      <c r="E1644" s="1" t="s">
        <v>1246</v>
      </c>
      <c r="F1644" s="1">
        <v>32</v>
      </c>
      <c r="G1644" s="1" t="s">
        <v>68</v>
      </c>
      <c r="H1644" s="1" t="s">
        <v>82</v>
      </c>
      <c r="I1644" s="1" t="s">
        <v>83</v>
      </c>
      <c r="J1644" s="1" t="s">
        <v>62</v>
      </c>
      <c r="K1644" s="1" t="s">
        <v>107</v>
      </c>
      <c r="L1644" s="1">
        <v>1</v>
      </c>
      <c r="M1644" s="13">
        <v>1285.8</v>
      </c>
      <c r="N1644" s="15">
        <v>0.12</v>
      </c>
      <c r="O1644" s="13">
        <v>930.59</v>
      </c>
      <c r="P1644" s="13">
        <v>331.39</v>
      </c>
      <c r="Q1644" s="13">
        <v>110.69</v>
      </c>
      <c r="R1644" s="1" t="s">
        <v>51</v>
      </c>
      <c r="S1644" s="1">
        <v>1</v>
      </c>
      <c r="T1644" s="1" t="b">
        <v>0</v>
      </c>
      <c r="U1644" s="1" t="s">
        <v>137</v>
      </c>
      <c r="V1644" s="3">
        <v>8</v>
      </c>
    </row>
    <row r="1645" spans="1:22" x14ac:dyDescent="0.3">
      <c r="A1645" s="2" t="s">
        <v>3785</v>
      </c>
      <c r="B1645" s="10">
        <v>45446</v>
      </c>
      <c r="C1645" s="22">
        <v>45446</v>
      </c>
      <c r="D1645" s="1" t="s">
        <v>3786</v>
      </c>
      <c r="E1645" s="1" t="s">
        <v>1335</v>
      </c>
      <c r="F1645" s="1">
        <v>40</v>
      </c>
      <c r="G1645" s="1" t="s">
        <v>24</v>
      </c>
      <c r="H1645" s="1" t="s">
        <v>111</v>
      </c>
      <c r="I1645" s="1" t="s">
        <v>141</v>
      </c>
      <c r="J1645" s="1" t="s">
        <v>127</v>
      </c>
      <c r="K1645" s="1" t="s">
        <v>171</v>
      </c>
      <c r="L1645" s="1">
        <v>9</v>
      </c>
      <c r="M1645" s="13">
        <v>62118.25</v>
      </c>
      <c r="N1645" s="15">
        <v>0.27</v>
      </c>
      <c r="O1645" s="13">
        <v>741493.84</v>
      </c>
      <c r="P1645" s="13">
        <v>88815.59</v>
      </c>
      <c r="Q1645" s="13">
        <v>64.34</v>
      </c>
      <c r="R1645" s="1" t="s">
        <v>51</v>
      </c>
      <c r="S1645" s="1">
        <v>1</v>
      </c>
      <c r="T1645" s="1" t="b">
        <v>0</v>
      </c>
      <c r="U1645" s="1" t="s">
        <v>137</v>
      </c>
      <c r="V1645" s="3">
        <v>6</v>
      </c>
    </row>
    <row r="1646" spans="1:22" x14ac:dyDescent="0.3">
      <c r="A1646" s="2" t="s">
        <v>3787</v>
      </c>
      <c r="B1646" s="10">
        <v>44359</v>
      </c>
      <c r="C1646" s="22">
        <v>44359</v>
      </c>
      <c r="D1646" s="1" t="s">
        <v>3788</v>
      </c>
      <c r="E1646" s="1" t="s">
        <v>1030</v>
      </c>
      <c r="F1646" s="1">
        <v>42</v>
      </c>
      <c r="G1646" s="1" t="s">
        <v>24</v>
      </c>
      <c r="H1646" s="1" t="s">
        <v>25</v>
      </c>
      <c r="I1646" s="1" t="s">
        <v>69</v>
      </c>
      <c r="J1646" s="1" t="s">
        <v>44</v>
      </c>
      <c r="K1646" s="1" t="s">
        <v>50</v>
      </c>
      <c r="L1646" s="1">
        <v>10</v>
      </c>
      <c r="M1646" s="13">
        <v>10408.77</v>
      </c>
      <c r="N1646" s="15">
        <v>0.32</v>
      </c>
      <c r="O1646" s="13">
        <v>104668.88</v>
      </c>
      <c r="P1646" s="13">
        <v>36667.24</v>
      </c>
      <c r="Q1646" s="13">
        <v>59.71</v>
      </c>
      <c r="R1646" s="1" t="s">
        <v>70</v>
      </c>
      <c r="S1646" s="1">
        <v>2</v>
      </c>
      <c r="T1646" s="1" t="b">
        <v>1</v>
      </c>
      <c r="U1646" s="1" t="s">
        <v>30</v>
      </c>
      <c r="V1646" s="3">
        <v>5</v>
      </c>
    </row>
    <row r="1647" spans="1:22" x14ac:dyDescent="0.3">
      <c r="A1647" s="2" t="s">
        <v>3789</v>
      </c>
      <c r="B1647" s="10">
        <v>44766</v>
      </c>
      <c r="C1647" s="22">
        <v>44766</v>
      </c>
      <c r="D1647" s="1" t="s">
        <v>3790</v>
      </c>
      <c r="E1647" s="1" t="s">
        <v>349</v>
      </c>
      <c r="F1647" s="1">
        <v>46</v>
      </c>
      <c r="G1647" s="1" t="s">
        <v>24</v>
      </c>
      <c r="H1647" s="1" t="s">
        <v>35</v>
      </c>
      <c r="I1647" s="1" t="s">
        <v>43</v>
      </c>
      <c r="J1647" s="1" t="s">
        <v>37</v>
      </c>
      <c r="K1647" s="1" t="s">
        <v>231</v>
      </c>
      <c r="L1647" s="1">
        <v>8</v>
      </c>
      <c r="M1647" s="13">
        <v>1555.78</v>
      </c>
      <c r="N1647" s="15">
        <v>0.04</v>
      </c>
      <c r="O1647" s="13">
        <v>16126.18</v>
      </c>
      <c r="P1647" s="13">
        <v>4937.0600000000004</v>
      </c>
      <c r="Q1647" s="13">
        <v>68.28</v>
      </c>
      <c r="R1647" s="1" t="s">
        <v>57</v>
      </c>
      <c r="S1647" s="1">
        <v>3</v>
      </c>
      <c r="T1647" s="1" t="b">
        <v>0</v>
      </c>
      <c r="U1647" s="1" t="s">
        <v>39</v>
      </c>
      <c r="V1647" s="3">
        <v>10</v>
      </c>
    </row>
    <row r="1648" spans="1:22" x14ac:dyDescent="0.3">
      <c r="A1648" s="2" t="s">
        <v>3791</v>
      </c>
      <c r="B1648" s="10">
        <v>44751</v>
      </c>
      <c r="C1648" s="22">
        <v>44751</v>
      </c>
      <c r="D1648" s="1" t="s">
        <v>3792</v>
      </c>
      <c r="E1648" s="1" t="s">
        <v>2494</v>
      </c>
      <c r="F1648" s="1">
        <v>38</v>
      </c>
      <c r="G1648" s="1" t="s">
        <v>34</v>
      </c>
      <c r="H1648" s="1" t="s">
        <v>82</v>
      </c>
      <c r="I1648" s="1" t="s">
        <v>83</v>
      </c>
      <c r="J1648" s="1" t="s">
        <v>27</v>
      </c>
      <c r="K1648" s="1" t="s">
        <v>430</v>
      </c>
      <c r="L1648" s="1">
        <v>10</v>
      </c>
      <c r="M1648" s="13">
        <v>282.32</v>
      </c>
      <c r="N1648" s="15">
        <v>0.11</v>
      </c>
      <c r="O1648" s="13">
        <v>3690.15</v>
      </c>
      <c r="P1648" s="13">
        <v>255.64</v>
      </c>
      <c r="Q1648" s="13">
        <v>68.13</v>
      </c>
      <c r="R1648" s="1" t="s">
        <v>51</v>
      </c>
      <c r="S1648" s="1">
        <v>4</v>
      </c>
      <c r="T1648" s="1" t="b">
        <v>1</v>
      </c>
      <c r="U1648" s="1" t="s">
        <v>30</v>
      </c>
      <c r="V1648" s="3">
        <v>2</v>
      </c>
    </row>
    <row r="1649" spans="1:22" x14ac:dyDescent="0.3">
      <c r="A1649" s="2" t="s">
        <v>3793</v>
      </c>
      <c r="B1649" s="10">
        <v>45626</v>
      </c>
      <c r="C1649" s="22">
        <v>45626</v>
      </c>
      <c r="D1649" s="1" t="s">
        <v>3794</v>
      </c>
      <c r="E1649" s="1" t="s">
        <v>1601</v>
      </c>
      <c r="F1649" s="1">
        <v>50</v>
      </c>
      <c r="G1649" s="1" t="s">
        <v>68</v>
      </c>
      <c r="H1649" s="1" t="s">
        <v>35</v>
      </c>
      <c r="I1649" s="1" t="s">
        <v>43</v>
      </c>
      <c r="J1649" s="1" t="s">
        <v>146</v>
      </c>
      <c r="K1649" s="1" t="s">
        <v>178</v>
      </c>
      <c r="L1649" s="1">
        <v>1</v>
      </c>
      <c r="M1649" s="13">
        <v>3657.04</v>
      </c>
      <c r="N1649" s="15">
        <v>0.21</v>
      </c>
      <c r="O1649" s="13">
        <v>3446.01</v>
      </c>
      <c r="P1649" s="13">
        <v>616.92999999999995</v>
      </c>
      <c r="Q1649" s="13">
        <v>48.37</v>
      </c>
      <c r="R1649" s="1" t="s">
        <v>29</v>
      </c>
      <c r="S1649" s="1">
        <v>3</v>
      </c>
      <c r="T1649" s="1" t="b">
        <v>0</v>
      </c>
      <c r="U1649" s="1" t="s">
        <v>39</v>
      </c>
      <c r="V1649" s="3">
        <v>1</v>
      </c>
    </row>
    <row r="1650" spans="1:22" x14ac:dyDescent="0.3">
      <c r="A1650" s="2" t="s">
        <v>3795</v>
      </c>
      <c r="B1650" s="10">
        <v>44842</v>
      </c>
      <c r="C1650" s="22">
        <v>44842</v>
      </c>
      <c r="D1650" s="1" t="s">
        <v>3796</v>
      </c>
      <c r="E1650" s="1" t="s">
        <v>131</v>
      </c>
      <c r="F1650" s="1">
        <v>29</v>
      </c>
      <c r="G1650" s="1" t="s">
        <v>24</v>
      </c>
      <c r="H1650" s="1" t="s">
        <v>25</v>
      </c>
      <c r="I1650" s="1" t="s">
        <v>55</v>
      </c>
      <c r="J1650" s="1" t="s">
        <v>146</v>
      </c>
      <c r="K1650" s="1" t="s">
        <v>178</v>
      </c>
      <c r="L1650" s="1">
        <v>7</v>
      </c>
      <c r="M1650" s="13">
        <v>8342.2099999999991</v>
      </c>
      <c r="N1650" s="15">
        <v>0.31</v>
      </c>
      <c r="O1650" s="13">
        <v>46118.01</v>
      </c>
      <c r="P1650" s="13">
        <v>10147.74</v>
      </c>
      <c r="Q1650" s="13">
        <v>47.94</v>
      </c>
      <c r="R1650" s="1" t="s">
        <v>70</v>
      </c>
      <c r="S1650" s="1">
        <v>5</v>
      </c>
      <c r="T1650" s="1" t="b">
        <v>0</v>
      </c>
      <c r="U1650" s="1" t="s">
        <v>39</v>
      </c>
      <c r="V1650" s="3">
        <v>1</v>
      </c>
    </row>
    <row r="1651" spans="1:22" x14ac:dyDescent="0.3">
      <c r="A1651" s="2" t="s">
        <v>3797</v>
      </c>
      <c r="B1651" s="10">
        <v>44894</v>
      </c>
      <c r="C1651" s="22">
        <v>44894</v>
      </c>
      <c r="D1651" s="1" t="s">
        <v>3798</v>
      </c>
      <c r="E1651" s="1" t="s">
        <v>755</v>
      </c>
      <c r="F1651" s="1">
        <v>27</v>
      </c>
      <c r="G1651" s="1" t="s">
        <v>24</v>
      </c>
      <c r="H1651" s="1" t="s">
        <v>82</v>
      </c>
      <c r="I1651" s="1" t="s">
        <v>293</v>
      </c>
      <c r="J1651" s="1" t="s">
        <v>146</v>
      </c>
      <c r="K1651" s="1" t="s">
        <v>161</v>
      </c>
      <c r="L1651" s="1">
        <v>1</v>
      </c>
      <c r="M1651" s="13">
        <v>2937.76</v>
      </c>
      <c r="N1651" s="15">
        <v>7.0000000000000007E-2</v>
      </c>
      <c r="O1651" s="13">
        <v>2128.61</v>
      </c>
      <c r="P1651" s="13">
        <v>360.5</v>
      </c>
      <c r="Q1651" s="13">
        <v>64.66</v>
      </c>
      <c r="R1651" s="1" t="s">
        <v>70</v>
      </c>
      <c r="S1651" s="1">
        <v>5</v>
      </c>
      <c r="T1651" s="1" t="b">
        <v>0</v>
      </c>
      <c r="U1651" s="1" t="s">
        <v>39</v>
      </c>
      <c r="V1651" s="3">
        <v>6</v>
      </c>
    </row>
    <row r="1652" spans="1:22" x14ac:dyDescent="0.3">
      <c r="A1652" s="2" t="s">
        <v>3799</v>
      </c>
      <c r="B1652" s="10">
        <v>44940</v>
      </c>
      <c r="C1652" s="22">
        <v>44940</v>
      </c>
      <c r="D1652" s="1" t="s">
        <v>3800</v>
      </c>
      <c r="E1652" s="1" t="s">
        <v>1782</v>
      </c>
      <c r="F1652" s="1">
        <v>13</v>
      </c>
      <c r="G1652" s="1" t="s">
        <v>68</v>
      </c>
      <c r="H1652" s="1" t="s">
        <v>111</v>
      </c>
      <c r="I1652" s="1" t="s">
        <v>112</v>
      </c>
      <c r="J1652" s="1" t="s">
        <v>76</v>
      </c>
      <c r="K1652" s="1" t="s">
        <v>113</v>
      </c>
      <c r="L1652" s="1">
        <v>4</v>
      </c>
      <c r="M1652" s="13">
        <v>1975.84</v>
      </c>
      <c r="N1652" s="15">
        <v>0.38</v>
      </c>
      <c r="O1652" s="13">
        <v>3561.8</v>
      </c>
      <c r="P1652" s="13">
        <v>1285.6300000000001</v>
      </c>
      <c r="Q1652" s="13">
        <v>69.349999999999994</v>
      </c>
      <c r="R1652" s="1" t="s">
        <v>64</v>
      </c>
      <c r="S1652" s="1">
        <v>2</v>
      </c>
      <c r="T1652" s="1" t="b">
        <v>0</v>
      </c>
      <c r="U1652" s="1" t="s">
        <v>39</v>
      </c>
      <c r="V1652" s="3">
        <v>7</v>
      </c>
    </row>
    <row r="1653" spans="1:22" x14ac:dyDescent="0.3">
      <c r="A1653" s="2" t="s">
        <v>3801</v>
      </c>
      <c r="B1653" s="10">
        <v>45172</v>
      </c>
      <c r="C1653" s="22">
        <v>45172</v>
      </c>
      <c r="D1653" s="1" t="s">
        <v>3802</v>
      </c>
      <c r="E1653" s="1" t="s">
        <v>360</v>
      </c>
      <c r="F1653" s="1">
        <v>22</v>
      </c>
      <c r="G1653" s="1" t="s">
        <v>24</v>
      </c>
      <c r="H1653" s="1" t="s">
        <v>74</v>
      </c>
      <c r="I1653" s="1" t="s">
        <v>192</v>
      </c>
      <c r="J1653" s="1" t="s">
        <v>44</v>
      </c>
      <c r="K1653" s="1" t="s">
        <v>186</v>
      </c>
      <c r="L1653" s="1">
        <v>7</v>
      </c>
      <c r="M1653" s="13">
        <v>31725.3</v>
      </c>
      <c r="N1653" s="15">
        <v>0.37</v>
      </c>
      <c r="O1653" s="13">
        <v>162459.18</v>
      </c>
      <c r="P1653" s="13">
        <v>38520.589999999997</v>
      </c>
      <c r="Q1653" s="13">
        <v>64.239999999999995</v>
      </c>
      <c r="R1653" s="1" t="s">
        <v>51</v>
      </c>
      <c r="S1653" s="1">
        <v>3</v>
      </c>
      <c r="T1653" s="1" t="b">
        <v>0</v>
      </c>
      <c r="U1653" s="1" t="s">
        <v>39</v>
      </c>
      <c r="V1653" s="3">
        <v>3</v>
      </c>
    </row>
    <row r="1654" spans="1:22" x14ac:dyDescent="0.3">
      <c r="A1654" s="2" t="s">
        <v>3803</v>
      </c>
      <c r="B1654" s="10">
        <v>45067</v>
      </c>
      <c r="C1654" s="22">
        <v>45067</v>
      </c>
      <c r="D1654" s="1" t="s">
        <v>3804</v>
      </c>
      <c r="E1654" s="1" t="s">
        <v>181</v>
      </c>
      <c r="F1654" s="1">
        <v>21</v>
      </c>
      <c r="G1654" s="1" t="s">
        <v>24</v>
      </c>
      <c r="H1654" s="1" t="s">
        <v>111</v>
      </c>
      <c r="I1654" s="1" t="s">
        <v>141</v>
      </c>
      <c r="J1654" s="1" t="s">
        <v>146</v>
      </c>
      <c r="K1654" s="1" t="s">
        <v>484</v>
      </c>
      <c r="L1654" s="1">
        <v>7</v>
      </c>
      <c r="M1654" s="13">
        <v>7147.56</v>
      </c>
      <c r="N1654" s="15">
        <v>0.25</v>
      </c>
      <c r="O1654" s="13">
        <v>64932.35</v>
      </c>
      <c r="P1654" s="13">
        <v>18485.240000000002</v>
      </c>
      <c r="Q1654" s="13">
        <v>94.91</v>
      </c>
      <c r="R1654" s="1" t="s">
        <v>29</v>
      </c>
      <c r="S1654" s="1">
        <v>5</v>
      </c>
      <c r="T1654" s="1" t="b">
        <v>0</v>
      </c>
      <c r="U1654" s="1" t="s">
        <v>39</v>
      </c>
      <c r="V1654" s="3">
        <v>5</v>
      </c>
    </row>
    <row r="1655" spans="1:22" x14ac:dyDescent="0.3">
      <c r="A1655" s="2" t="s">
        <v>3805</v>
      </c>
      <c r="B1655" s="10">
        <v>44512</v>
      </c>
      <c r="C1655" s="22">
        <v>44512</v>
      </c>
      <c r="D1655" s="1" t="s">
        <v>3806</v>
      </c>
      <c r="E1655" s="1" t="s">
        <v>794</v>
      </c>
      <c r="F1655" s="1">
        <v>42</v>
      </c>
      <c r="G1655" s="1" t="s">
        <v>68</v>
      </c>
      <c r="H1655" s="1" t="s">
        <v>82</v>
      </c>
      <c r="I1655" s="1" t="s">
        <v>83</v>
      </c>
      <c r="J1655" s="1" t="s">
        <v>27</v>
      </c>
      <c r="K1655" s="1" t="s">
        <v>28</v>
      </c>
      <c r="L1655" s="1">
        <v>8</v>
      </c>
      <c r="M1655" s="13">
        <v>465.39</v>
      </c>
      <c r="N1655" s="15">
        <v>0.2</v>
      </c>
      <c r="O1655" s="13">
        <v>2501.0700000000002</v>
      </c>
      <c r="P1655" s="13">
        <v>173.37</v>
      </c>
      <c r="Q1655" s="13">
        <v>89.42</v>
      </c>
      <c r="R1655" s="1" t="s">
        <v>78</v>
      </c>
      <c r="S1655" s="1">
        <v>3</v>
      </c>
      <c r="T1655" s="1" t="b">
        <v>0</v>
      </c>
      <c r="U1655" s="1" t="s">
        <v>137</v>
      </c>
      <c r="V1655" s="3">
        <v>2</v>
      </c>
    </row>
    <row r="1656" spans="1:22" x14ac:dyDescent="0.3">
      <c r="A1656" s="2" t="s">
        <v>3807</v>
      </c>
      <c r="B1656" s="10">
        <v>44054</v>
      </c>
      <c r="C1656" s="22">
        <v>44054</v>
      </c>
      <c r="D1656" s="1" t="s">
        <v>3808</v>
      </c>
      <c r="E1656" s="1" t="s">
        <v>3005</v>
      </c>
      <c r="F1656" s="1">
        <v>37</v>
      </c>
      <c r="G1656" s="1" t="s">
        <v>24</v>
      </c>
      <c r="H1656" s="1" t="s">
        <v>35</v>
      </c>
      <c r="I1656" s="1" t="s">
        <v>49</v>
      </c>
      <c r="J1656" s="1" t="s">
        <v>76</v>
      </c>
      <c r="K1656" s="1" t="s">
        <v>122</v>
      </c>
      <c r="L1656" s="1">
        <v>10</v>
      </c>
      <c r="M1656" s="13">
        <v>2383.1999999999998</v>
      </c>
      <c r="N1656" s="15">
        <v>0.23</v>
      </c>
      <c r="O1656" s="13">
        <v>19650.37</v>
      </c>
      <c r="P1656" s="13">
        <v>10442.57</v>
      </c>
      <c r="Q1656" s="13">
        <v>79.75</v>
      </c>
      <c r="R1656" s="1" t="s">
        <v>70</v>
      </c>
      <c r="S1656" s="1">
        <v>2</v>
      </c>
      <c r="T1656" s="1" t="b">
        <v>0</v>
      </c>
      <c r="U1656" s="1" t="s">
        <v>137</v>
      </c>
      <c r="V1656" s="3">
        <v>10</v>
      </c>
    </row>
    <row r="1657" spans="1:22" x14ac:dyDescent="0.3">
      <c r="A1657" s="2" t="s">
        <v>3809</v>
      </c>
      <c r="B1657" s="10">
        <v>45514</v>
      </c>
      <c r="C1657" s="22">
        <v>45514</v>
      </c>
      <c r="D1657" s="1" t="s">
        <v>3810</v>
      </c>
      <c r="E1657" s="1" t="s">
        <v>1586</v>
      </c>
      <c r="F1657" s="1">
        <v>23</v>
      </c>
      <c r="G1657" s="1" t="s">
        <v>24</v>
      </c>
      <c r="H1657" s="1" t="s">
        <v>111</v>
      </c>
      <c r="I1657" s="1" t="s">
        <v>121</v>
      </c>
      <c r="J1657" s="1" t="s">
        <v>44</v>
      </c>
      <c r="K1657" s="1" t="s">
        <v>221</v>
      </c>
      <c r="L1657" s="1">
        <v>1</v>
      </c>
      <c r="M1657" s="13">
        <v>17279.95</v>
      </c>
      <c r="N1657" s="15">
        <v>0.36</v>
      </c>
      <c r="O1657" s="13">
        <v>15219.05</v>
      </c>
      <c r="P1657" s="13">
        <v>4268.25</v>
      </c>
      <c r="Q1657" s="13">
        <v>69.91</v>
      </c>
      <c r="R1657" s="1" t="s">
        <v>51</v>
      </c>
      <c r="S1657" s="1">
        <v>4</v>
      </c>
      <c r="T1657" s="1" t="b">
        <v>0</v>
      </c>
      <c r="U1657" s="1" t="s">
        <v>84</v>
      </c>
      <c r="V1657" s="3">
        <v>4</v>
      </c>
    </row>
    <row r="1658" spans="1:22" x14ac:dyDescent="0.3">
      <c r="A1658" s="2" t="s">
        <v>3811</v>
      </c>
      <c r="B1658" s="10">
        <v>44687</v>
      </c>
      <c r="C1658" s="22">
        <v>44687</v>
      </c>
      <c r="D1658" s="1" t="s">
        <v>3812</v>
      </c>
      <c r="E1658" s="1" t="s">
        <v>878</v>
      </c>
      <c r="F1658" s="1">
        <v>40</v>
      </c>
      <c r="G1658" s="1" t="s">
        <v>68</v>
      </c>
      <c r="H1658" s="1" t="s">
        <v>25</v>
      </c>
      <c r="I1658" s="1" t="s">
        <v>69</v>
      </c>
      <c r="J1658" s="1" t="s">
        <v>37</v>
      </c>
      <c r="K1658" s="1" t="s">
        <v>231</v>
      </c>
      <c r="L1658" s="1">
        <v>5</v>
      </c>
      <c r="M1658" s="13">
        <v>663.74</v>
      </c>
      <c r="N1658" s="15">
        <v>0.09</v>
      </c>
      <c r="O1658" s="13">
        <v>4621.5200000000004</v>
      </c>
      <c r="P1658" s="13">
        <v>2166.11</v>
      </c>
      <c r="Q1658" s="13">
        <v>60.08</v>
      </c>
      <c r="R1658" s="1" t="s">
        <v>70</v>
      </c>
      <c r="S1658" s="1">
        <v>2</v>
      </c>
      <c r="T1658" s="1" t="b">
        <v>0</v>
      </c>
      <c r="U1658" s="1" t="s">
        <v>39</v>
      </c>
      <c r="V1658" s="3">
        <v>4</v>
      </c>
    </row>
    <row r="1659" spans="1:22" x14ac:dyDescent="0.3">
      <c r="A1659" s="2" t="s">
        <v>3813</v>
      </c>
      <c r="B1659" s="10">
        <v>44745</v>
      </c>
      <c r="C1659" s="22">
        <v>44745</v>
      </c>
      <c r="D1659" s="1" t="s">
        <v>3814</v>
      </c>
      <c r="E1659" s="1" t="s">
        <v>786</v>
      </c>
      <c r="F1659" s="1">
        <v>36</v>
      </c>
      <c r="G1659" s="1" t="s">
        <v>24</v>
      </c>
      <c r="H1659" s="1" t="s">
        <v>25</v>
      </c>
      <c r="I1659" s="1" t="s">
        <v>55</v>
      </c>
      <c r="J1659" s="1" t="s">
        <v>37</v>
      </c>
      <c r="K1659" s="1" t="s">
        <v>182</v>
      </c>
      <c r="L1659" s="1">
        <v>7</v>
      </c>
      <c r="M1659" s="13">
        <v>541.57000000000005</v>
      </c>
      <c r="N1659" s="15">
        <v>0.38</v>
      </c>
      <c r="O1659" s="13">
        <v>3426.91</v>
      </c>
      <c r="P1659" s="13">
        <v>1569.49</v>
      </c>
      <c r="Q1659" s="13">
        <v>60.06</v>
      </c>
      <c r="R1659" s="1" t="s">
        <v>51</v>
      </c>
      <c r="S1659" s="1">
        <v>2</v>
      </c>
      <c r="T1659" s="1" t="b">
        <v>0</v>
      </c>
      <c r="U1659" s="1" t="s">
        <v>39</v>
      </c>
      <c r="V1659" s="3">
        <v>3</v>
      </c>
    </row>
    <row r="1660" spans="1:22" x14ac:dyDescent="0.3">
      <c r="A1660" s="2" t="s">
        <v>3815</v>
      </c>
      <c r="B1660" s="10">
        <v>44813</v>
      </c>
      <c r="C1660" s="22">
        <v>44813</v>
      </c>
      <c r="D1660" s="1" t="s">
        <v>3816</v>
      </c>
      <c r="E1660" s="1" t="s">
        <v>608</v>
      </c>
      <c r="F1660" s="1">
        <v>54</v>
      </c>
      <c r="G1660" s="1" t="s">
        <v>68</v>
      </c>
      <c r="H1660" s="1" t="s">
        <v>82</v>
      </c>
      <c r="I1660" s="1" t="s">
        <v>293</v>
      </c>
      <c r="J1660" s="1" t="s">
        <v>44</v>
      </c>
      <c r="K1660" s="1" t="s">
        <v>93</v>
      </c>
      <c r="L1660" s="1">
        <v>5</v>
      </c>
      <c r="M1660" s="13">
        <v>26136.57</v>
      </c>
      <c r="N1660" s="15">
        <v>0</v>
      </c>
      <c r="O1660" s="13">
        <v>148485.57999999999</v>
      </c>
      <c r="P1660" s="13">
        <v>38154.910000000003</v>
      </c>
      <c r="Q1660" s="13">
        <v>66.36</v>
      </c>
      <c r="R1660" s="1" t="s">
        <v>78</v>
      </c>
      <c r="S1660" s="1">
        <v>1</v>
      </c>
      <c r="T1660" s="1" t="b">
        <v>0</v>
      </c>
      <c r="U1660" s="1" t="s">
        <v>84</v>
      </c>
      <c r="V1660" s="3">
        <v>5</v>
      </c>
    </row>
    <row r="1661" spans="1:22" x14ac:dyDescent="0.3">
      <c r="A1661" s="2" t="s">
        <v>3817</v>
      </c>
      <c r="B1661" s="10">
        <v>45593</v>
      </c>
      <c r="C1661" s="22">
        <v>45593</v>
      </c>
      <c r="D1661" s="1" t="s">
        <v>3818</v>
      </c>
      <c r="E1661" s="1" t="s">
        <v>174</v>
      </c>
      <c r="F1661" s="1">
        <v>39</v>
      </c>
      <c r="G1661" s="1" t="s">
        <v>24</v>
      </c>
      <c r="H1661" s="1" t="s">
        <v>82</v>
      </c>
      <c r="I1661" s="1" t="s">
        <v>244</v>
      </c>
      <c r="J1661" s="1" t="s">
        <v>62</v>
      </c>
      <c r="K1661" s="1" t="s">
        <v>63</v>
      </c>
      <c r="L1661" s="1">
        <v>7</v>
      </c>
      <c r="M1661" s="13">
        <v>1034.1400000000001</v>
      </c>
      <c r="N1661" s="15">
        <v>0.16</v>
      </c>
      <c r="O1661" s="13">
        <v>6020</v>
      </c>
      <c r="P1661" s="13">
        <v>2601.0500000000002</v>
      </c>
      <c r="Q1661" s="13">
        <v>80.959999999999994</v>
      </c>
      <c r="R1661" s="1" t="s">
        <v>64</v>
      </c>
      <c r="S1661" s="1">
        <v>5</v>
      </c>
      <c r="T1661" s="1" t="b">
        <v>0</v>
      </c>
      <c r="U1661" s="1" t="s">
        <v>39</v>
      </c>
      <c r="V1661" s="3">
        <v>9</v>
      </c>
    </row>
    <row r="1662" spans="1:22" x14ac:dyDescent="0.3">
      <c r="A1662" s="2" t="s">
        <v>3819</v>
      </c>
      <c r="B1662" s="10">
        <v>45543</v>
      </c>
      <c r="C1662" s="22">
        <v>45543</v>
      </c>
      <c r="D1662" s="1" t="s">
        <v>3820</v>
      </c>
      <c r="E1662" s="1" t="s">
        <v>953</v>
      </c>
      <c r="F1662" s="1">
        <v>52</v>
      </c>
      <c r="G1662" s="1" t="s">
        <v>68</v>
      </c>
      <c r="H1662" s="1" t="s">
        <v>111</v>
      </c>
      <c r="I1662" s="1" t="s">
        <v>330</v>
      </c>
      <c r="J1662" s="1" t="s">
        <v>37</v>
      </c>
      <c r="K1662" s="1" t="s">
        <v>231</v>
      </c>
      <c r="L1662" s="1">
        <v>10</v>
      </c>
      <c r="M1662" s="13">
        <v>1414.73</v>
      </c>
      <c r="N1662" s="15">
        <v>0.32</v>
      </c>
      <c r="O1662" s="13">
        <v>12821.19</v>
      </c>
      <c r="P1662" s="13">
        <v>7374.35</v>
      </c>
      <c r="Q1662" s="13">
        <v>58.56</v>
      </c>
      <c r="R1662" s="1" t="s">
        <v>78</v>
      </c>
      <c r="S1662" s="1">
        <v>2</v>
      </c>
      <c r="T1662" s="1" t="b">
        <v>0</v>
      </c>
      <c r="U1662" s="1" t="s">
        <v>39</v>
      </c>
      <c r="V1662" s="3">
        <v>5</v>
      </c>
    </row>
    <row r="1663" spans="1:22" x14ac:dyDescent="0.3">
      <c r="A1663" s="2" t="s">
        <v>3821</v>
      </c>
      <c r="B1663" s="10">
        <v>45242</v>
      </c>
      <c r="C1663" s="22">
        <v>45242</v>
      </c>
      <c r="D1663" s="1" t="s">
        <v>3822</v>
      </c>
      <c r="E1663" s="1" t="s">
        <v>61</v>
      </c>
      <c r="F1663" s="1">
        <v>49</v>
      </c>
      <c r="G1663" s="1" t="s">
        <v>34</v>
      </c>
      <c r="H1663" s="1" t="s">
        <v>25</v>
      </c>
      <c r="I1663" s="1" t="s">
        <v>55</v>
      </c>
      <c r="J1663" s="1" t="s">
        <v>27</v>
      </c>
      <c r="K1663" s="1" t="s">
        <v>97</v>
      </c>
      <c r="L1663" s="1">
        <v>2</v>
      </c>
      <c r="M1663" s="13">
        <v>53.72</v>
      </c>
      <c r="N1663" s="15">
        <v>0.33</v>
      </c>
      <c r="O1663" s="13">
        <v>63.44</v>
      </c>
      <c r="P1663" s="13">
        <v>5.23</v>
      </c>
      <c r="Q1663" s="13">
        <v>62.93</v>
      </c>
      <c r="R1663" s="1" t="s">
        <v>70</v>
      </c>
      <c r="S1663" s="1">
        <v>2</v>
      </c>
      <c r="T1663" s="1" t="b">
        <v>1</v>
      </c>
      <c r="U1663" s="1" t="s">
        <v>30</v>
      </c>
      <c r="V1663" s="3">
        <v>9</v>
      </c>
    </row>
    <row r="1664" spans="1:22" x14ac:dyDescent="0.3">
      <c r="A1664" s="2" t="s">
        <v>3823</v>
      </c>
      <c r="B1664" s="10">
        <v>44544</v>
      </c>
      <c r="C1664" s="22">
        <v>44544</v>
      </c>
      <c r="D1664" s="1" t="s">
        <v>1144</v>
      </c>
      <c r="E1664" s="1" t="s">
        <v>1899</v>
      </c>
      <c r="F1664" s="1">
        <v>26</v>
      </c>
      <c r="G1664" s="1" t="s">
        <v>24</v>
      </c>
      <c r="H1664" s="1" t="s">
        <v>25</v>
      </c>
      <c r="I1664" s="1" t="s">
        <v>170</v>
      </c>
      <c r="J1664" s="1" t="s">
        <v>27</v>
      </c>
      <c r="K1664" s="1" t="s">
        <v>28</v>
      </c>
      <c r="L1664" s="1">
        <v>10</v>
      </c>
      <c r="M1664" s="13">
        <v>293.89</v>
      </c>
      <c r="N1664" s="15">
        <v>0.38</v>
      </c>
      <c r="O1664" s="13">
        <v>1212.94</v>
      </c>
      <c r="P1664" s="13">
        <v>128.26</v>
      </c>
      <c r="Q1664" s="13">
        <v>43.01</v>
      </c>
      <c r="R1664" s="1" t="s">
        <v>57</v>
      </c>
      <c r="S1664" s="1">
        <v>1</v>
      </c>
      <c r="T1664" s="1" t="b">
        <v>0</v>
      </c>
      <c r="U1664" s="1" t="s">
        <v>58</v>
      </c>
      <c r="V1664" s="3">
        <v>6</v>
      </c>
    </row>
    <row r="1665" spans="1:22" x14ac:dyDescent="0.3">
      <c r="A1665" s="2" t="s">
        <v>3824</v>
      </c>
      <c r="B1665" s="10">
        <v>44286</v>
      </c>
      <c r="C1665" s="22">
        <v>44286</v>
      </c>
      <c r="D1665" s="1" t="s">
        <v>3825</v>
      </c>
      <c r="E1665" s="1" t="s">
        <v>279</v>
      </c>
      <c r="F1665" s="1">
        <v>30</v>
      </c>
      <c r="G1665" s="1" t="s">
        <v>68</v>
      </c>
      <c r="H1665" s="1" t="s">
        <v>25</v>
      </c>
      <c r="I1665" s="1" t="s">
        <v>170</v>
      </c>
      <c r="J1665" s="1" t="s">
        <v>62</v>
      </c>
      <c r="K1665" s="1" t="s">
        <v>266</v>
      </c>
      <c r="L1665" s="1">
        <v>3</v>
      </c>
      <c r="M1665" s="13">
        <v>672.84</v>
      </c>
      <c r="N1665" s="15">
        <v>0.35</v>
      </c>
      <c r="O1665" s="13">
        <v>1371.74</v>
      </c>
      <c r="P1665" s="13">
        <v>547.98</v>
      </c>
      <c r="Q1665" s="13">
        <v>61.75</v>
      </c>
      <c r="R1665" s="1" t="s">
        <v>57</v>
      </c>
      <c r="S1665" s="1">
        <v>1</v>
      </c>
      <c r="T1665" s="1" t="b">
        <v>1</v>
      </c>
      <c r="U1665" s="1" t="s">
        <v>30</v>
      </c>
      <c r="V1665" s="3">
        <v>8</v>
      </c>
    </row>
    <row r="1666" spans="1:22" x14ac:dyDescent="0.3">
      <c r="A1666" s="2" t="s">
        <v>3826</v>
      </c>
      <c r="B1666" s="10">
        <v>44215</v>
      </c>
      <c r="C1666" s="22">
        <v>44215</v>
      </c>
      <c r="D1666" s="1" t="s">
        <v>3827</v>
      </c>
      <c r="E1666" s="1" t="s">
        <v>1327</v>
      </c>
      <c r="F1666" s="1">
        <v>40</v>
      </c>
      <c r="G1666" s="1" t="s">
        <v>88</v>
      </c>
      <c r="H1666" s="1" t="s">
        <v>25</v>
      </c>
      <c r="I1666" s="1" t="s">
        <v>69</v>
      </c>
      <c r="J1666" s="1" t="s">
        <v>27</v>
      </c>
      <c r="K1666" s="1" t="s">
        <v>450</v>
      </c>
      <c r="L1666" s="1">
        <v>8</v>
      </c>
      <c r="M1666" s="13">
        <v>250.4</v>
      </c>
      <c r="N1666" s="15">
        <v>0.34</v>
      </c>
      <c r="O1666" s="13">
        <v>989.57</v>
      </c>
      <c r="P1666" s="13">
        <v>63.61</v>
      </c>
      <c r="Q1666" s="13">
        <v>62.31</v>
      </c>
      <c r="R1666" s="1" t="s">
        <v>70</v>
      </c>
      <c r="S1666" s="1">
        <v>4</v>
      </c>
      <c r="T1666" s="1" t="b">
        <v>0</v>
      </c>
      <c r="U1666" s="1" t="s">
        <v>39</v>
      </c>
      <c r="V1666" s="3">
        <v>9</v>
      </c>
    </row>
    <row r="1667" spans="1:22" x14ac:dyDescent="0.3">
      <c r="A1667" s="2" t="s">
        <v>3828</v>
      </c>
      <c r="B1667" s="10">
        <v>44957</v>
      </c>
      <c r="C1667" s="22">
        <v>44957</v>
      </c>
      <c r="D1667" s="1" t="s">
        <v>3829</v>
      </c>
      <c r="E1667" s="1" t="s">
        <v>1733</v>
      </c>
      <c r="F1667" s="1">
        <v>28</v>
      </c>
      <c r="G1667" s="1" t="s">
        <v>68</v>
      </c>
      <c r="H1667" s="1" t="s">
        <v>35</v>
      </c>
      <c r="I1667" s="1" t="s">
        <v>43</v>
      </c>
      <c r="J1667" s="1" t="s">
        <v>127</v>
      </c>
      <c r="K1667" s="1" t="s">
        <v>196</v>
      </c>
      <c r="L1667" s="1">
        <v>7</v>
      </c>
      <c r="M1667" s="13">
        <v>67056.12</v>
      </c>
      <c r="N1667" s="15">
        <v>0.16</v>
      </c>
      <c r="O1667" s="13">
        <v>386566.32</v>
      </c>
      <c r="P1667" s="13">
        <v>40666.720000000001</v>
      </c>
      <c r="Q1667" s="13">
        <v>42.69</v>
      </c>
      <c r="R1667" s="1" t="s">
        <v>78</v>
      </c>
      <c r="S1667" s="1">
        <v>2</v>
      </c>
      <c r="T1667" s="1" t="b">
        <v>0</v>
      </c>
      <c r="U1667" s="1" t="s">
        <v>58</v>
      </c>
      <c r="V1667" s="3">
        <v>7</v>
      </c>
    </row>
    <row r="1668" spans="1:22" x14ac:dyDescent="0.3">
      <c r="A1668" s="2" t="s">
        <v>3830</v>
      </c>
      <c r="B1668" s="10">
        <v>44745</v>
      </c>
      <c r="C1668" s="22">
        <v>44745</v>
      </c>
      <c r="D1668" s="1" t="s">
        <v>3831</v>
      </c>
      <c r="E1668" s="1" t="s">
        <v>3143</v>
      </c>
      <c r="F1668" s="1">
        <v>25</v>
      </c>
      <c r="G1668" s="1" t="s">
        <v>24</v>
      </c>
      <c r="H1668" s="1" t="s">
        <v>35</v>
      </c>
      <c r="I1668" s="1" t="s">
        <v>36</v>
      </c>
      <c r="J1668" s="1" t="s">
        <v>37</v>
      </c>
      <c r="K1668" s="1" t="s">
        <v>102</v>
      </c>
      <c r="L1668" s="1">
        <v>10</v>
      </c>
      <c r="M1668" s="13">
        <v>718.67</v>
      </c>
      <c r="N1668" s="15">
        <v>0.32</v>
      </c>
      <c r="O1668" s="13">
        <v>6934.59</v>
      </c>
      <c r="P1668" s="13">
        <v>2686.48</v>
      </c>
      <c r="Q1668" s="13">
        <v>47.47</v>
      </c>
      <c r="R1668" s="1" t="s">
        <v>64</v>
      </c>
      <c r="S1668" s="1">
        <v>4</v>
      </c>
      <c r="T1668" s="1" t="b">
        <v>0</v>
      </c>
      <c r="U1668" s="1" t="s">
        <v>39</v>
      </c>
      <c r="V1668" s="3">
        <v>6</v>
      </c>
    </row>
    <row r="1669" spans="1:22" x14ac:dyDescent="0.3">
      <c r="A1669" s="2" t="s">
        <v>3832</v>
      </c>
      <c r="B1669" s="10">
        <v>44679</v>
      </c>
      <c r="C1669" s="22">
        <v>44679</v>
      </c>
      <c r="D1669" s="1" t="s">
        <v>3833</v>
      </c>
      <c r="E1669" s="1" t="s">
        <v>279</v>
      </c>
      <c r="F1669" s="1">
        <v>37</v>
      </c>
      <c r="G1669" s="1" t="s">
        <v>68</v>
      </c>
      <c r="H1669" s="1" t="s">
        <v>82</v>
      </c>
      <c r="I1669" s="1" t="s">
        <v>293</v>
      </c>
      <c r="J1669" s="1" t="s">
        <v>27</v>
      </c>
      <c r="K1669" s="1" t="s">
        <v>450</v>
      </c>
      <c r="L1669" s="1">
        <v>2</v>
      </c>
      <c r="M1669" s="13">
        <v>104.13</v>
      </c>
      <c r="N1669" s="15">
        <v>0.39</v>
      </c>
      <c r="O1669" s="13">
        <v>155.91</v>
      </c>
      <c r="P1669" s="13">
        <v>16.21</v>
      </c>
      <c r="Q1669" s="13">
        <v>58.21</v>
      </c>
      <c r="R1669" s="1" t="s">
        <v>51</v>
      </c>
      <c r="S1669" s="1">
        <v>3</v>
      </c>
      <c r="T1669" s="1" t="b">
        <v>1</v>
      </c>
      <c r="U1669" s="1" t="s">
        <v>30</v>
      </c>
      <c r="V1669" s="3">
        <v>10</v>
      </c>
    </row>
    <row r="1670" spans="1:22" x14ac:dyDescent="0.3">
      <c r="A1670" s="2" t="s">
        <v>3834</v>
      </c>
      <c r="B1670" s="10">
        <v>45429</v>
      </c>
      <c r="C1670" s="22">
        <v>45429</v>
      </c>
      <c r="D1670" s="1" t="s">
        <v>3835</v>
      </c>
      <c r="E1670" s="1" t="s">
        <v>831</v>
      </c>
      <c r="F1670" s="1">
        <v>34</v>
      </c>
      <c r="G1670" s="1" t="s">
        <v>24</v>
      </c>
      <c r="H1670" s="1" t="s">
        <v>74</v>
      </c>
      <c r="I1670" s="1" t="s">
        <v>101</v>
      </c>
      <c r="J1670" s="1" t="s">
        <v>76</v>
      </c>
      <c r="K1670" s="1" t="s">
        <v>77</v>
      </c>
      <c r="L1670" s="1">
        <v>5</v>
      </c>
      <c r="M1670" s="13">
        <v>1894.58</v>
      </c>
      <c r="N1670" s="15">
        <v>0.19</v>
      </c>
      <c r="O1670" s="13">
        <v>13572.12</v>
      </c>
      <c r="P1670" s="13">
        <v>5410.53</v>
      </c>
      <c r="Q1670" s="13">
        <v>40.74</v>
      </c>
      <c r="R1670" s="1" t="s">
        <v>29</v>
      </c>
      <c r="S1670" s="1">
        <v>4</v>
      </c>
      <c r="T1670" s="1" t="b">
        <v>0</v>
      </c>
      <c r="U1670" s="1" t="s">
        <v>39</v>
      </c>
      <c r="V1670" s="3">
        <v>3</v>
      </c>
    </row>
    <row r="1671" spans="1:22" x14ac:dyDescent="0.3">
      <c r="A1671" s="2" t="s">
        <v>3836</v>
      </c>
      <c r="B1671" s="10">
        <v>45438</v>
      </c>
      <c r="C1671" s="22">
        <v>45438</v>
      </c>
      <c r="D1671" s="1" t="s">
        <v>3837</v>
      </c>
      <c r="E1671" s="1" t="s">
        <v>329</v>
      </c>
      <c r="F1671" s="1">
        <v>44</v>
      </c>
      <c r="G1671" s="1" t="s">
        <v>24</v>
      </c>
      <c r="H1671" s="1" t="s">
        <v>74</v>
      </c>
      <c r="I1671" s="1" t="s">
        <v>75</v>
      </c>
      <c r="J1671" s="1" t="s">
        <v>37</v>
      </c>
      <c r="K1671" s="1" t="s">
        <v>231</v>
      </c>
      <c r="L1671" s="1">
        <v>5</v>
      </c>
      <c r="M1671" s="13">
        <v>678.22</v>
      </c>
      <c r="N1671" s="15">
        <v>0.34</v>
      </c>
      <c r="O1671" s="13">
        <v>3655.87</v>
      </c>
      <c r="P1671" s="13">
        <v>1361.71</v>
      </c>
      <c r="Q1671" s="13">
        <v>56.46</v>
      </c>
      <c r="R1671" s="1" t="s">
        <v>51</v>
      </c>
      <c r="S1671" s="1">
        <v>2</v>
      </c>
      <c r="T1671" s="1" t="b">
        <v>0</v>
      </c>
      <c r="U1671" s="1" t="s">
        <v>137</v>
      </c>
      <c r="V1671" s="3">
        <v>3</v>
      </c>
    </row>
    <row r="1672" spans="1:22" x14ac:dyDescent="0.3">
      <c r="A1672" s="2" t="s">
        <v>3838</v>
      </c>
      <c r="B1672" s="10">
        <v>44166</v>
      </c>
      <c r="C1672" s="22">
        <v>44166</v>
      </c>
      <c r="D1672" s="1" t="s">
        <v>3839</v>
      </c>
      <c r="E1672" s="1" t="s">
        <v>2295</v>
      </c>
      <c r="F1672" s="1">
        <v>46</v>
      </c>
      <c r="G1672" s="1" t="s">
        <v>34</v>
      </c>
      <c r="H1672" s="1" t="s">
        <v>35</v>
      </c>
      <c r="I1672" s="1" t="s">
        <v>36</v>
      </c>
      <c r="J1672" s="1" t="s">
        <v>27</v>
      </c>
      <c r="K1672" s="1" t="s">
        <v>97</v>
      </c>
      <c r="L1672" s="1">
        <v>1</v>
      </c>
      <c r="M1672" s="13">
        <v>94.57</v>
      </c>
      <c r="N1672" s="15">
        <v>0.38</v>
      </c>
      <c r="O1672" s="13">
        <v>44.61</v>
      </c>
      <c r="P1672" s="13">
        <v>2.87</v>
      </c>
      <c r="Q1672" s="13">
        <v>55.93</v>
      </c>
      <c r="R1672" s="1" t="s">
        <v>51</v>
      </c>
      <c r="S1672" s="1">
        <v>3</v>
      </c>
      <c r="T1672" s="1" t="b">
        <v>0</v>
      </c>
      <c r="U1672" s="1" t="s">
        <v>39</v>
      </c>
      <c r="V1672" s="3">
        <v>8</v>
      </c>
    </row>
    <row r="1673" spans="1:22" x14ac:dyDescent="0.3">
      <c r="A1673" s="2" t="s">
        <v>3840</v>
      </c>
      <c r="B1673" s="10">
        <v>43871</v>
      </c>
      <c r="C1673" s="22">
        <v>43871</v>
      </c>
      <c r="D1673" s="1" t="s">
        <v>3841</v>
      </c>
      <c r="E1673" s="1" t="s">
        <v>726</v>
      </c>
      <c r="F1673" s="1">
        <v>26</v>
      </c>
      <c r="G1673" s="1" t="s">
        <v>34</v>
      </c>
      <c r="H1673" s="1" t="s">
        <v>111</v>
      </c>
      <c r="I1673" s="1" t="s">
        <v>330</v>
      </c>
      <c r="J1673" s="1" t="s">
        <v>44</v>
      </c>
      <c r="K1673" s="1" t="s">
        <v>93</v>
      </c>
      <c r="L1673" s="1">
        <v>10</v>
      </c>
      <c r="M1673" s="13">
        <v>26170.61</v>
      </c>
      <c r="N1673" s="15">
        <v>0.14000000000000001</v>
      </c>
      <c r="O1673" s="13">
        <v>206121.15</v>
      </c>
      <c r="P1673" s="13">
        <v>64822.6</v>
      </c>
      <c r="Q1673" s="13">
        <v>51.37</v>
      </c>
      <c r="R1673" s="1" t="s">
        <v>64</v>
      </c>
      <c r="S1673" s="1">
        <v>5</v>
      </c>
      <c r="T1673" s="1" t="b">
        <v>0</v>
      </c>
      <c r="U1673" s="1" t="s">
        <v>84</v>
      </c>
      <c r="V1673" s="3">
        <v>10</v>
      </c>
    </row>
    <row r="1674" spans="1:22" x14ac:dyDescent="0.3">
      <c r="A1674" s="2" t="s">
        <v>3842</v>
      </c>
      <c r="B1674" s="10">
        <v>44889</v>
      </c>
      <c r="C1674" s="22">
        <v>44889</v>
      </c>
      <c r="D1674" s="1" t="s">
        <v>3843</v>
      </c>
      <c r="E1674" s="1" t="s">
        <v>1550</v>
      </c>
      <c r="F1674" s="1">
        <v>30</v>
      </c>
      <c r="G1674" s="1" t="s">
        <v>34</v>
      </c>
      <c r="H1674" s="1" t="s">
        <v>35</v>
      </c>
      <c r="I1674" s="1" t="s">
        <v>36</v>
      </c>
      <c r="J1674" s="1" t="s">
        <v>127</v>
      </c>
      <c r="K1674" s="1" t="s">
        <v>171</v>
      </c>
      <c r="L1674" s="1">
        <v>10</v>
      </c>
      <c r="M1674" s="13">
        <v>42734.97</v>
      </c>
      <c r="N1674" s="15">
        <v>0.19</v>
      </c>
      <c r="O1674" s="13">
        <v>285560.12</v>
      </c>
      <c r="P1674" s="13">
        <v>41480.81</v>
      </c>
      <c r="Q1674" s="13">
        <v>68.69</v>
      </c>
      <c r="R1674" s="1" t="s">
        <v>57</v>
      </c>
      <c r="S1674" s="1">
        <v>4</v>
      </c>
      <c r="T1674" s="1" t="b">
        <v>0</v>
      </c>
      <c r="U1674" s="1" t="s">
        <v>39</v>
      </c>
      <c r="V1674" s="3">
        <v>6</v>
      </c>
    </row>
    <row r="1675" spans="1:22" x14ac:dyDescent="0.3">
      <c r="A1675" s="2" t="s">
        <v>3844</v>
      </c>
      <c r="B1675" s="10">
        <v>44212</v>
      </c>
      <c r="C1675" s="22">
        <v>44212</v>
      </c>
      <c r="D1675" s="1" t="s">
        <v>3845</v>
      </c>
      <c r="E1675" s="1" t="s">
        <v>2286</v>
      </c>
      <c r="F1675" s="1">
        <v>44</v>
      </c>
      <c r="G1675" s="1" t="s">
        <v>34</v>
      </c>
      <c r="H1675" s="1" t="s">
        <v>25</v>
      </c>
      <c r="I1675" s="1" t="s">
        <v>26</v>
      </c>
      <c r="J1675" s="1" t="s">
        <v>76</v>
      </c>
      <c r="K1675" s="1" t="s">
        <v>89</v>
      </c>
      <c r="L1675" s="1">
        <v>8</v>
      </c>
      <c r="M1675" s="13">
        <v>1374.51</v>
      </c>
      <c r="N1675" s="15">
        <v>0.25</v>
      </c>
      <c r="O1675" s="13">
        <v>7027.6</v>
      </c>
      <c r="P1675" s="13">
        <v>2549.4899999999998</v>
      </c>
      <c r="Q1675" s="13">
        <v>47.72</v>
      </c>
      <c r="R1675" s="1" t="s">
        <v>51</v>
      </c>
      <c r="S1675" s="1">
        <v>2</v>
      </c>
      <c r="T1675" s="1" t="b">
        <v>0</v>
      </c>
      <c r="U1675" s="1" t="s">
        <v>197</v>
      </c>
      <c r="V1675" s="3">
        <v>3</v>
      </c>
    </row>
    <row r="1676" spans="1:22" x14ac:dyDescent="0.3">
      <c r="A1676" s="2" t="s">
        <v>3846</v>
      </c>
      <c r="B1676" s="10">
        <v>44143</v>
      </c>
      <c r="C1676" s="22">
        <v>44143</v>
      </c>
      <c r="D1676" s="1" t="s">
        <v>3847</v>
      </c>
      <c r="E1676" s="1" t="s">
        <v>1285</v>
      </c>
      <c r="F1676" s="1">
        <v>43</v>
      </c>
      <c r="G1676" s="1" t="s">
        <v>24</v>
      </c>
      <c r="H1676" s="1" t="s">
        <v>74</v>
      </c>
      <c r="I1676" s="1" t="s">
        <v>136</v>
      </c>
      <c r="J1676" s="1" t="s">
        <v>27</v>
      </c>
      <c r="K1676" s="1" t="s">
        <v>400</v>
      </c>
      <c r="L1676" s="1">
        <v>999</v>
      </c>
      <c r="M1676" s="13">
        <v>195.29</v>
      </c>
      <c r="N1676" s="15">
        <v>0.1</v>
      </c>
      <c r="O1676" s="13">
        <v>140042.31</v>
      </c>
      <c r="P1676" s="13">
        <v>9617.93</v>
      </c>
      <c r="Q1676" s="13">
        <v>60.48</v>
      </c>
      <c r="R1676" s="1" t="s">
        <v>70</v>
      </c>
      <c r="S1676" s="1">
        <v>3</v>
      </c>
      <c r="T1676" s="1" t="b">
        <v>0</v>
      </c>
      <c r="U1676" s="1" t="s">
        <v>39</v>
      </c>
      <c r="V1676" s="3">
        <v>7</v>
      </c>
    </row>
    <row r="1677" spans="1:22" x14ac:dyDescent="0.3">
      <c r="A1677" s="2" t="s">
        <v>3848</v>
      </c>
      <c r="B1677" s="10">
        <v>45286</v>
      </c>
      <c r="C1677" s="22">
        <v>45286</v>
      </c>
      <c r="D1677" s="1" t="s">
        <v>3849</v>
      </c>
      <c r="E1677" s="1" t="s">
        <v>167</v>
      </c>
      <c r="F1677" s="1">
        <v>40</v>
      </c>
      <c r="G1677" s="1" t="s">
        <v>68</v>
      </c>
      <c r="H1677" s="1" t="s">
        <v>111</v>
      </c>
      <c r="I1677" s="1" t="s">
        <v>141</v>
      </c>
      <c r="J1677" s="1" t="s">
        <v>44</v>
      </c>
      <c r="K1677" s="1" t="s">
        <v>221</v>
      </c>
      <c r="L1677" s="1">
        <v>1</v>
      </c>
      <c r="M1677" s="13">
        <v>8061.02</v>
      </c>
      <c r="N1677" s="15">
        <v>0.24</v>
      </c>
      <c r="O1677" s="13">
        <v>5002.7</v>
      </c>
      <c r="P1677" s="13">
        <v>1155.06</v>
      </c>
      <c r="Q1677" s="13">
        <v>108.12</v>
      </c>
      <c r="R1677" s="1" t="s">
        <v>70</v>
      </c>
      <c r="S1677" s="1">
        <v>4</v>
      </c>
      <c r="T1677" s="1" t="b">
        <v>0</v>
      </c>
      <c r="U1677" s="1" t="s">
        <v>84</v>
      </c>
      <c r="V1677" s="3">
        <v>6</v>
      </c>
    </row>
    <row r="1678" spans="1:22" x14ac:dyDescent="0.3">
      <c r="A1678" s="2" t="s">
        <v>3850</v>
      </c>
      <c r="B1678" s="10">
        <v>44580</v>
      </c>
      <c r="C1678" s="22">
        <v>44580</v>
      </c>
      <c r="D1678" s="1" t="s">
        <v>3851</v>
      </c>
      <c r="E1678" s="1" t="s">
        <v>869</v>
      </c>
      <c r="F1678" s="1">
        <v>25</v>
      </c>
      <c r="G1678" s="1" t="s">
        <v>34</v>
      </c>
      <c r="H1678" s="1" t="s">
        <v>35</v>
      </c>
      <c r="I1678" s="1" t="s">
        <v>49</v>
      </c>
      <c r="J1678" s="1" t="s">
        <v>146</v>
      </c>
      <c r="K1678" s="1" t="s">
        <v>484</v>
      </c>
      <c r="L1678" s="1">
        <v>10</v>
      </c>
      <c r="M1678" s="13">
        <v>14755.73</v>
      </c>
      <c r="N1678" s="15">
        <v>0.33</v>
      </c>
      <c r="O1678" s="13">
        <v>79877.72</v>
      </c>
      <c r="P1678" s="13">
        <v>17279.41</v>
      </c>
      <c r="Q1678" s="13">
        <v>54.29</v>
      </c>
      <c r="R1678" s="1" t="s">
        <v>29</v>
      </c>
      <c r="S1678" s="1">
        <v>5</v>
      </c>
      <c r="T1678" s="1" t="b">
        <v>0</v>
      </c>
      <c r="U1678" s="1" t="s">
        <v>39</v>
      </c>
      <c r="V1678" s="3">
        <v>6</v>
      </c>
    </row>
    <row r="1679" spans="1:22" x14ac:dyDescent="0.3">
      <c r="A1679" s="2" t="s">
        <v>3852</v>
      </c>
      <c r="B1679" s="10">
        <v>43845</v>
      </c>
      <c r="C1679" s="22">
        <v>43845</v>
      </c>
      <c r="D1679" s="1" t="s">
        <v>3853</v>
      </c>
      <c r="E1679" s="1" t="s">
        <v>552</v>
      </c>
      <c r="F1679" s="1">
        <v>50</v>
      </c>
      <c r="G1679" s="1" t="s">
        <v>34</v>
      </c>
      <c r="H1679" s="1" t="s">
        <v>82</v>
      </c>
      <c r="I1679" s="1" t="s">
        <v>244</v>
      </c>
      <c r="J1679" s="1" t="s">
        <v>37</v>
      </c>
      <c r="K1679" s="1" t="s">
        <v>671</v>
      </c>
      <c r="L1679" s="1">
        <v>8</v>
      </c>
      <c r="M1679" s="13">
        <v>2450.85</v>
      </c>
      <c r="N1679" s="15">
        <v>0.02</v>
      </c>
      <c r="O1679" s="13">
        <v>13737.04</v>
      </c>
      <c r="P1679" s="13">
        <v>5401.03</v>
      </c>
      <c r="Q1679" s="13">
        <v>95.73</v>
      </c>
      <c r="R1679" s="1" t="s">
        <v>57</v>
      </c>
      <c r="S1679" s="1">
        <v>2</v>
      </c>
      <c r="T1679" s="1" t="b">
        <v>0</v>
      </c>
      <c r="U1679" s="1" t="s">
        <v>39</v>
      </c>
      <c r="V1679" s="3">
        <v>3</v>
      </c>
    </row>
    <row r="1680" spans="1:22" x14ac:dyDescent="0.3">
      <c r="A1680" s="2" t="s">
        <v>3854</v>
      </c>
      <c r="B1680" s="10">
        <v>44352</v>
      </c>
      <c r="C1680" s="22">
        <v>44352</v>
      </c>
      <c r="D1680" s="1" t="s">
        <v>3855</v>
      </c>
      <c r="E1680" s="1" t="s">
        <v>2001</v>
      </c>
      <c r="F1680" s="1">
        <v>36</v>
      </c>
      <c r="G1680" s="1" t="s">
        <v>463</v>
      </c>
      <c r="H1680" s="1" t="s">
        <v>35</v>
      </c>
      <c r="I1680" s="1" t="s">
        <v>36</v>
      </c>
      <c r="J1680" s="1" t="s">
        <v>76</v>
      </c>
      <c r="K1680" s="1" t="s">
        <v>113</v>
      </c>
      <c r="L1680" s="1">
        <v>3</v>
      </c>
      <c r="M1680" s="13">
        <v>3190.15</v>
      </c>
      <c r="N1680" s="15">
        <v>0.14000000000000001</v>
      </c>
      <c r="O1680" s="13">
        <v>12589.64</v>
      </c>
      <c r="P1680" s="13">
        <v>3253.84</v>
      </c>
      <c r="Q1680" s="13">
        <v>41</v>
      </c>
      <c r="R1680" s="1" t="s">
        <v>78</v>
      </c>
      <c r="S1680" s="1">
        <v>1</v>
      </c>
      <c r="T1680" s="1" t="b">
        <v>0</v>
      </c>
      <c r="U1680" s="1" t="s">
        <v>39</v>
      </c>
      <c r="V1680" s="3">
        <v>6</v>
      </c>
    </row>
    <row r="1681" spans="1:22" x14ac:dyDescent="0.3">
      <c r="A1681" s="2" t="s">
        <v>3856</v>
      </c>
      <c r="B1681" s="10">
        <v>44880</v>
      </c>
      <c r="C1681" s="22">
        <v>44880</v>
      </c>
      <c r="D1681" s="1" t="s">
        <v>3857</v>
      </c>
      <c r="E1681" s="1" t="s">
        <v>3667</v>
      </c>
      <c r="F1681" s="1">
        <v>32</v>
      </c>
      <c r="G1681" s="1" t="s">
        <v>68</v>
      </c>
      <c r="H1681" s="1" t="s">
        <v>111</v>
      </c>
      <c r="I1681" s="1" t="s">
        <v>121</v>
      </c>
      <c r="J1681" s="1" t="s">
        <v>27</v>
      </c>
      <c r="K1681" s="1" t="s">
        <v>28</v>
      </c>
      <c r="L1681" s="1">
        <v>5</v>
      </c>
      <c r="M1681" s="13">
        <v>450.47</v>
      </c>
      <c r="N1681" s="15">
        <v>0.3</v>
      </c>
      <c r="O1681" s="13">
        <v>1325.61</v>
      </c>
      <c r="P1681" s="13">
        <v>106.62</v>
      </c>
      <c r="Q1681" s="13">
        <v>50.58</v>
      </c>
      <c r="R1681" s="1" t="s">
        <v>64</v>
      </c>
      <c r="S1681" s="1">
        <v>5</v>
      </c>
      <c r="T1681" s="1" t="b">
        <v>0</v>
      </c>
      <c r="U1681" s="1" t="s">
        <v>84</v>
      </c>
      <c r="V1681" s="3">
        <v>7</v>
      </c>
    </row>
    <row r="1682" spans="1:22" x14ac:dyDescent="0.3">
      <c r="A1682" s="2" t="s">
        <v>3858</v>
      </c>
      <c r="B1682" s="10">
        <v>44672</v>
      </c>
      <c r="C1682" s="22">
        <v>44672</v>
      </c>
      <c r="D1682" s="1" t="s">
        <v>3859</v>
      </c>
      <c r="E1682" s="1" t="s">
        <v>770</v>
      </c>
      <c r="F1682" s="1">
        <v>22</v>
      </c>
      <c r="G1682" s="1" t="s">
        <v>24</v>
      </c>
      <c r="H1682" s="1" t="s">
        <v>111</v>
      </c>
      <c r="I1682" s="1" t="s">
        <v>121</v>
      </c>
      <c r="J1682" s="1" t="s">
        <v>146</v>
      </c>
      <c r="K1682" s="1" t="s">
        <v>147</v>
      </c>
      <c r="L1682" s="1">
        <v>3</v>
      </c>
      <c r="M1682" s="13">
        <v>10164.780000000001</v>
      </c>
      <c r="N1682" s="15">
        <v>0.28999999999999998</v>
      </c>
      <c r="O1682" s="13">
        <v>27674.49</v>
      </c>
      <c r="P1682" s="13">
        <v>4282.2700000000004</v>
      </c>
      <c r="Q1682" s="13">
        <v>81.55</v>
      </c>
      <c r="R1682" s="1" t="s">
        <v>64</v>
      </c>
      <c r="S1682" s="1">
        <v>3</v>
      </c>
      <c r="T1682" s="1" t="b">
        <v>1</v>
      </c>
      <c r="U1682" s="1" t="s">
        <v>30</v>
      </c>
      <c r="V1682" s="3">
        <v>7</v>
      </c>
    </row>
    <row r="1683" spans="1:22" x14ac:dyDescent="0.3">
      <c r="A1683" s="2" t="s">
        <v>3860</v>
      </c>
      <c r="B1683" s="10">
        <v>45585</v>
      </c>
      <c r="C1683" s="22">
        <v>45585</v>
      </c>
      <c r="D1683" s="1" t="s">
        <v>3861</v>
      </c>
      <c r="E1683" s="1" t="s">
        <v>1335</v>
      </c>
      <c r="F1683" s="1">
        <v>15</v>
      </c>
      <c r="G1683" s="1" t="s">
        <v>24</v>
      </c>
      <c r="H1683" s="1" t="s">
        <v>25</v>
      </c>
      <c r="I1683" s="1" t="s">
        <v>26</v>
      </c>
      <c r="J1683" s="1" t="s">
        <v>146</v>
      </c>
      <c r="K1683" s="1" t="s">
        <v>147</v>
      </c>
      <c r="L1683" s="1">
        <v>7</v>
      </c>
      <c r="M1683" s="13">
        <v>8478.8799999999992</v>
      </c>
      <c r="N1683" s="15">
        <v>0.28000000000000003</v>
      </c>
      <c r="O1683" s="13">
        <v>51799.45</v>
      </c>
      <c r="P1683" s="13">
        <v>12429.32</v>
      </c>
      <c r="Q1683" s="13">
        <v>63.81</v>
      </c>
      <c r="R1683" s="1" t="s">
        <v>64</v>
      </c>
      <c r="S1683" s="1">
        <v>3</v>
      </c>
      <c r="T1683" s="1" t="b">
        <v>0</v>
      </c>
      <c r="U1683" s="1" t="s">
        <v>197</v>
      </c>
      <c r="V1683" s="3">
        <v>10</v>
      </c>
    </row>
    <row r="1684" spans="1:22" x14ac:dyDescent="0.3">
      <c r="A1684" s="2" t="s">
        <v>3862</v>
      </c>
      <c r="B1684" s="10">
        <v>45197</v>
      </c>
      <c r="C1684" s="22">
        <v>45197</v>
      </c>
      <c r="D1684" s="1" t="s">
        <v>3863</v>
      </c>
      <c r="E1684" s="1" t="s">
        <v>1345</v>
      </c>
      <c r="F1684" s="1">
        <v>29</v>
      </c>
      <c r="G1684" s="1" t="s">
        <v>24</v>
      </c>
      <c r="H1684" s="1" t="s">
        <v>35</v>
      </c>
      <c r="I1684" s="1" t="s">
        <v>43</v>
      </c>
      <c r="J1684" s="1" t="s">
        <v>62</v>
      </c>
      <c r="K1684" s="1" t="s">
        <v>266</v>
      </c>
      <c r="L1684" s="1">
        <v>7</v>
      </c>
      <c r="M1684" s="13">
        <v>606.80999999999995</v>
      </c>
      <c r="N1684" s="15">
        <v>0.04</v>
      </c>
      <c r="O1684" s="13">
        <v>4234.6400000000003</v>
      </c>
      <c r="P1684" s="13">
        <v>1593.45</v>
      </c>
      <c r="Q1684" s="13">
        <v>88.92</v>
      </c>
      <c r="R1684" s="1" t="s">
        <v>51</v>
      </c>
      <c r="S1684" s="1">
        <v>4</v>
      </c>
      <c r="T1684" s="1" t="b">
        <v>0</v>
      </c>
      <c r="U1684" s="1" t="s">
        <v>137</v>
      </c>
      <c r="V1684" s="3">
        <v>3</v>
      </c>
    </row>
    <row r="1685" spans="1:22" x14ac:dyDescent="0.3">
      <c r="A1685" s="2" t="s">
        <v>3864</v>
      </c>
      <c r="B1685" s="10">
        <v>44176</v>
      </c>
      <c r="C1685" s="22">
        <v>44176</v>
      </c>
      <c r="D1685" s="1" t="s">
        <v>3865</v>
      </c>
      <c r="E1685" s="1" t="s">
        <v>776</v>
      </c>
      <c r="F1685" s="1">
        <v>31</v>
      </c>
      <c r="G1685" s="1" t="s">
        <v>68</v>
      </c>
      <c r="H1685" s="1" t="s">
        <v>74</v>
      </c>
      <c r="I1685" s="1" t="s">
        <v>101</v>
      </c>
      <c r="J1685" s="1" t="s">
        <v>146</v>
      </c>
      <c r="K1685" s="1" t="s">
        <v>276</v>
      </c>
      <c r="L1685" s="1">
        <v>5</v>
      </c>
      <c r="M1685" s="13">
        <v>9275.4699999999993</v>
      </c>
      <c r="N1685" s="15">
        <v>0.32</v>
      </c>
      <c r="O1685" s="13">
        <v>4385.2</v>
      </c>
      <c r="P1685" s="13">
        <v>1038.19</v>
      </c>
      <c r="Q1685" s="13">
        <v>42.64</v>
      </c>
      <c r="R1685" s="1" t="s">
        <v>29</v>
      </c>
      <c r="S1685" s="1">
        <v>1</v>
      </c>
      <c r="T1685" s="1" t="b">
        <v>1</v>
      </c>
      <c r="U1685" s="1" t="s">
        <v>30</v>
      </c>
      <c r="V1685" s="3">
        <v>6</v>
      </c>
    </row>
    <row r="1686" spans="1:22" x14ac:dyDescent="0.3">
      <c r="A1686" s="2" t="s">
        <v>3866</v>
      </c>
      <c r="B1686" s="10">
        <v>44658</v>
      </c>
      <c r="C1686" s="22">
        <v>44658</v>
      </c>
      <c r="D1686" s="1" t="s">
        <v>3867</v>
      </c>
      <c r="E1686" s="1" t="s">
        <v>660</v>
      </c>
      <c r="F1686" s="1">
        <v>56</v>
      </c>
      <c r="G1686" s="1" t="s">
        <v>34</v>
      </c>
      <c r="H1686" s="1" t="s">
        <v>82</v>
      </c>
      <c r="I1686" s="1" t="s">
        <v>244</v>
      </c>
      <c r="J1686" s="1" t="s">
        <v>62</v>
      </c>
      <c r="K1686" s="1" t="s">
        <v>283</v>
      </c>
      <c r="L1686" s="1">
        <v>10</v>
      </c>
      <c r="M1686" s="13">
        <v>781.54</v>
      </c>
      <c r="N1686" s="15">
        <v>0.38</v>
      </c>
      <c r="O1686" s="13">
        <v>5556.24</v>
      </c>
      <c r="P1686" s="13">
        <v>2168.6999999999998</v>
      </c>
      <c r="Q1686" s="13">
        <v>78.77</v>
      </c>
      <c r="R1686" s="1" t="s">
        <v>57</v>
      </c>
      <c r="S1686" s="1">
        <v>5</v>
      </c>
      <c r="T1686" s="1" t="b">
        <v>0</v>
      </c>
      <c r="U1686" s="1" t="s">
        <v>39</v>
      </c>
      <c r="V1686" s="3">
        <v>4</v>
      </c>
    </row>
    <row r="1687" spans="1:22" x14ac:dyDescent="0.3">
      <c r="A1687" s="2" t="s">
        <v>3868</v>
      </c>
      <c r="B1687" s="10">
        <v>44238</v>
      </c>
      <c r="C1687" s="22">
        <v>44238</v>
      </c>
      <c r="D1687" s="1" t="s">
        <v>3869</v>
      </c>
      <c r="E1687" s="1" t="s">
        <v>1159</v>
      </c>
      <c r="F1687" s="1">
        <v>71</v>
      </c>
      <c r="G1687" s="1" t="s">
        <v>68</v>
      </c>
      <c r="H1687" s="1" t="s">
        <v>111</v>
      </c>
      <c r="I1687" s="1" t="s">
        <v>141</v>
      </c>
      <c r="J1687" s="1" t="s">
        <v>146</v>
      </c>
      <c r="K1687" s="1" t="s">
        <v>484</v>
      </c>
      <c r="L1687" s="1">
        <v>2</v>
      </c>
      <c r="M1687" s="13">
        <v>1368.36</v>
      </c>
      <c r="N1687" s="15">
        <v>0.21</v>
      </c>
      <c r="O1687" s="13">
        <v>2751.01</v>
      </c>
      <c r="P1687" s="13">
        <v>302.67</v>
      </c>
      <c r="Q1687" s="13">
        <v>73.319999999999993</v>
      </c>
      <c r="R1687" s="1" t="s">
        <v>29</v>
      </c>
      <c r="S1687" s="1">
        <v>5</v>
      </c>
      <c r="T1687" s="1" t="b">
        <v>0</v>
      </c>
      <c r="U1687" s="1" t="s">
        <v>39</v>
      </c>
      <c r="V1687" s="3">
        <v>3</v>
      </c>
    </row>
    <row r="1688" spans="1:22" x14ac:dyDescent="0.3">
      <c r="A1688" s="2" t="s">
        <v>3870</v>
      </c>
      <c r="B1688" s="10">
        <v>44208</v>
      </c>
      <c r="C1688" s="22">
        <v>44208</v>
      </c>
      <c r="D1688" s="1" t="s">
        <v>3871</v>
      </c>
      <c r="E1688" s="1" t="s">
        <v>2927</v>
      </c>
      <c r="F1688" s="1">
        <v>17</v>
      </c>
      <c r="G1688" s="1" t="s">
        <v>68</v>
      </c>
      <c r="H1688" s="1" t="s">
        <v>35</v>
      </c>
      <c r="I1688" s="1" t="s">
        <v>49</v>
      </c>
      <c r="J1688" s="1" t="s">
        <v>76</v>
      </c>
      <c r="K1688" s="1" t="s">
        <v>89</v>
      </c>
      <c r="L1688" s="1">
        <v>5</v>
      </c>
      <c r="M1688" s="13">
        <v>3585.04</v>
      </c>
      <c r="N1688" s="15">
        <v>0.21</v>
      </c>
      <c r="O1688" s="13">
        <v>12519.02</v>
      </c>
      <c r="P1688" s="13">
        <v>4000.6</v>
      </c>
      <c r="Q1688" s="13">
        <v>65.28</v>
      </c>
      <c r="R1688" s="1" t="s">
        <v>57</v>
      </c>
      <c r="S1688" s="1">
        <v>4</v>
      </c>
      <c r="T1688" s="1" t="b">
        <v>0</v>
      </c>
      <c r="U1688" s="1" t="s">
        <v>39</v>
      </c>
      <c r="V1688" s="3">
        <v>4</v>
      </c>
    </row>
    <row r="1689" spans="1:22" x14ac:dyDescent="0.3">
      <c r="A1689" s="2" t="s">
        <v>3872</v>
      </c>
      <c r="B1689" s="10">
        <v>45072</v>
      </c>
      <c r="C1689" s="22">
        <v>45072</v>
      </c>
      <c r="D1689" s="1" t="s">
        <v>3873</v>
      </c>
      <c r="E1689" s="1" t="s">
        <v>54</v>
      </c>
      <c r="F1689" s="1">
        <v>34</v>
      </c>
      <c r="G1689" s="1" t="s">
        <v>34</v>
      </c>
      <c r="H1689" s="1" t="s">
        <v>35</v>
      </c>
      <c r="I1689" s="1" t="s">
        <v>106</v>
      </c>
      <c r="J1689" s="1" t="s">
        <v>127</v>
      </c>
      <c r="K1689" s="1" t="s">
        <v>142</v>
      </c>
      <c r="L1689" s="1">
        <v>9</v>
      </c>
      <c r="M1689" s="13">
        <v>53164.480000000003</v>
      </c>
      <c r="N1689" s="15">
        <v>0.28000000000000003</v>
      </c>
      <c r="O1689" s="13">
        <v>461808.2</v>
      </c>
      <c r="P1689" s="13">
        <v>47885.66</v>
      </c>
      <c r="Q1689" s="13">
        <v>54.33</v>
      </c>
      <c r="R1689" s="1" t="s">
        <v>64</v>
      </c>
      <c r="S1689" s="1">
        <v>2</v>
      </c>
      <c r="T1689" s="1" t="b">
        <v>0</v>
      </c>
      <c r="U1689" s="1" t="s">
        <v>39</v>
      </c>
      <c r="V1689" s="3">
        <v>10</v>
      </c>
    </row>
    <row r="1690" spans="1:22" x14ac:dyDescent="0.3">
      <c r="A1690" s="2" t="s">
        <v>3874</v>
      </c>
      <c r="B1690" s="10">
        <v>45162</v>
      </c>
      <c r="C1690" s="22">
        <v>45162</v>
      </c>
      <c r="D1690" s="1" t="s">
        <v>3875</v>
      </c>
      <c r="E1690" s="1" t="s">
        <v>375</v>
      </c>
      <c r="F1690" s="1">
        <v>33</v>
      </c>
      <c r="G1690" s="1" t="s">
        <v>34</v>
      </c>
      <c r="H1690" s="1" t="s">
        <v>111</v>
      </c>
      <c r="I1690" s="1" t="s">
        <v>121</v>
      </c>
      <c r="J1690" s="1" t="s">
        <v>76</v>
      </c>
      <c r="K1690" s="1" t="s">
        <v>122</v>
      </c>
      <c r="L1690" s="1">
        <v>10</v>
      </c>
      <c r="M1690" s="13">
        <v>3548.29</v>
      </c>
      <c r="N1690" s="15">
        <v>0.33</v>
      </c>
      <c r="O1690" s="13">
        <v>32142.13</v>
      </c>
      <c r="P1690" s="13">
        <v>13918.96</v>
      </c>
      <c r="Q1690" s="13">
        <v>75.2</v>
      </c>
      <c r="R1690" s="1" t="s">
        <v>57</v>
      </c>
      <c r="S1690" s="1">
        <v>3</v>
      </c>
      <c r="T1690" s="1" t="b">
        <v>0</v>
      </c>
      <c r="U1690" s="1" t="s">
        <v>58</v>
      </c>
      <c r="V1690" s="3">
        <v>8</v>
      </c>
    </row>
    <row r="1691" spans="1:22" x14ac:dyDescent="0.3">
      <c r="A1691" s="2" t="s">
        <v>3876</v>
      </c>
      <c r="B1691" s="10">
        <v>44844</v>
      </c>
      <c r="C1691" s="22">
        <v>44844</v>
      </c>
      <c r="D1691" s="1" t="s">
        <v>3877</v>
      </c>
      <c r="E1691" s="1" t="s">
        <v>3402</v>
      </c>
      <c r="F1691" s="1">
        <v>52</v>
      </c>
      <c r="G1691" s="1" t="s">
        <v>68</v>
      </c>
      <c r="H1691" s="1" t="s">
        <v>35</v>
      </c>
      <c r="I1691" s="1" t="s">
        <v>49</v>
      </c>
      <c r="J1691" s="1" t="s">
        <v>27</v>
      </c>
      <c r="K1691" s="1" t="s">
        <v>430</v>
      </c>
      <c r="L1691" s="1">
        <v>8</v>
      </c>
      <c r="M1691" s="13">
        <v>473.63</v>
      </c>
      <c r="N1691" s="15">
        <v>0.35</v>
      </c>
      <c r="O1691" s="13">
        <v>3088.56</v>
      </c>
      <c r="P1691" s="13">
        <v>221.64</v>
      </c>
      <c r="Q1691" s="13">
        <v>49.07</v>
      </c>
      <c r="R1691" s="1" t="s">
        <v>57</v>
      </c>
      <c r="S1691" s="1">
        <v>5</v>
      </c>
      <c r="T1691" s="1" t="b">
        <v>0</v>
      </c>
      <c r="U1691" s="1" t="s">
        <v>137</v>
      </c>
      <c r="V1691" s="3">
        <v>9</v>
      </c>
    </row>
    <row r="1692" spans="1:22" x14ac:dyDescent="0.3">
      <c r="A1692" s="2" t="s">
        <v>3878</v>
      </c>
      <c r="B1692" s="10">
        <v>44162</v>
      </c>
      <c r="C1692" s="22">
        <v>44162</v>
      </c>
      <c r="D1692" s="1" t="s">
        <v>3879</v>
      </c>
      <c r="E1692" s="1" t="s">
        <v>1820</v>
      </c>
      <c r="F1692" s="1">
        <v>30</v>
      </c>
      <c r="G1692" s="1" t="s">
        <v>34</v>
      </c>
      <c r="H1692" s="1" t="s">
        <v>35</v>
      </c>
      <c r="I1692" s="1" t="s">
        <v>106</v>
      </c>
      <c r="J1692" s="1" t="s">
        <v>76</v>
      </c>
      <c r="K1692" s="1" t="s">
        <v>122</v>
      </c>
      <c r="L1692" s="1">
        <v>2</v>
      </c>
      <c r="M1692" s="13">
        <v>2740.49</v>
      </c>
      <c r="N1692" s="15">
        <v>0.21</v>
      </c>
      <c r="O1692" s="13">
        <v>3954.93</v>
      </c>
      <c r="P1692" s="13">
        <v>1439.89</v>
      </c>
      <c r="Q1692" s="13">
        <v>70.08</v>
      </c>
      <c r="R1692" s="1" t="s">
        <v>51</v>
      </c>
      <c r="S1692" s="1">
        <v>3</v>
      </c>
      <c r="T1692" s="1" t="b">
        <v>1</v>
      </c>
      <c r="U1692" s="1" t="s">
        <v>30</v>
      </c>
      <c r="V1692" s="3">
        <v>1</v>
      </c>
    </row>
    <row r="1693" spans="1:22" x14ac:dyDescent="0.3">
      <c r="A1693" s="2" t="s">
        <v>3880</v>
      </c>
      <c r="B1693" s="10">
        <v>45530</v>
      </c>
      <c r="C1693" s="22">
        <v>45530</v>
      </c>
      <c r="D1693" s="1" t="s">
        <v>3881</v>
      </c>
      <c r="E1693" s="1" t="s">
        <v>446</v>
      </c>
      <c r="F1693" s="1">
        <v>51</v>
      </c>
      <c r="G1693" s="1" t="s">
        <v>24</v>
      </c>
      <c r="H1693" s="1" t="s">
        <v>111</v>
      </c>
      <c r="I1693" s="1" t="s">
        <v>112</v>
      </c>
      <c r="J1693" s="1" t="s">
        <v>44</v>
      </c>
      <c r="K1693" s="1" t="s">
        <v>221</v>
      </c>
      <c r="L1693" s="1">
        <v>2</v>
      </c>
      <c r="M1693" s="13">
        <v>17035.150000000001</v>
      </c>
      <c r="N1693" s="15">
        <v>0.2</v>
      </c>
      <c r="O1693" s="13">
        <v>43451.64</v>
      </c>
      <c r="P1693" s="13">
        <v>9088.2999999999993</v>
      </c>
      <c r="Q1693" s="13">
        <v>103.64</v>
      </c>
      <c r="R1693" s="1" t="s">
        <v>29</v>
      </c>
      <c r="S1693" s="1">
        <v>1</v>
      </c>
      <c r="T1693" s="1" t="b">
        <v>0</v>
      </c>
      <c r="U1693" s="1" t="s">
        <v>39</v>
      </c>
      <c r="V1693" s="3">
        <v>3</v>
      </c>
    </row>
    <row r="1694" spans="1:22" x14ac:dyDescent="0.3">
      <c r="A1694" s="2" t="s">
        <v>3882</v>
      </c>
      <c r="B1694" s="10">
        <v>45000</v>
      </c>
      <c r="C1694" s="22">
        <v>45000</v>
      </c>
      <c r="D1694" s="1" t="s">
        <v>3883</v>
      </c>
      <c r="E1694" s="1" t="s">
        <v>1294</v>
      </c>
      <c r="F1694" s="1">
        <v>45</v>
      </c>
      <c r="G1694" s="1" t="s">
        <v>24</v>
      </c>
      <c r="H1694" s="1" t="s">
        <v>74</v>
      </c>
      <c r="I1694" s="1" t="s">
        <v>75</v>
      </c>
      <c r="J1694" s="1" t="s">
        <v>146</v>
      </c>
      <c r="K1694" s="1" t="s">
        <v>217</v>
      </c>
      <c r="L1694" s="1">
        <v>2</v>
      </c>
      <c r="M1694" s="13">
        <v>7389.74</v>
      </c>
      <c r="N1694" s="15">
        <v>0.4</v>
      </c>
      <c r="O1694" s="13">
        <v>13163.06</v>
      </c>
      <c r="P1694" s="13">
        <v>2642.15</v>
      </c>
      <c r="Q1694" s="13">
        <v>49.76</v>
      </c>
      <c r="R1694" s="1" t="s">
        <v>29</v>
      </c>
      <c r="S1694" s="1">
        <v>4</v>
      </c>
      <c r="T1694" s="1" t="b">
        <v>1</v>
      </c>
      <c r="U1694" s="1" t="s">
        <v>30</v>
      </c>
      <c r="V1694" s="3">
        <v>6</v>
      </c>
    </row>
    <row r="1695" spans="1:22" x14ac:dyDescent="0.3">
      <c r="A1695" s="2" t="s">
        <v>3884</v>
      </c>
      <c r="B1695" s="10">
        <v>45279</v>
      </c>
      <c r="C1695" s="22">
        <v>45279</v>
      </c>
      <c r="D1695" s="1" t="s">
        <v>3885</v>
      </c>
      <c r="E1695" s="1" t="s">
        <v>1550</v>
      </c>
      <c r="F1695" s="1">
        <v>55</v>
      </c>
      <c r="G1695" s="1" t="s">
        <v>24</v>
      </c>
      <c r="H1695" s="1" t="s">
        <v>25</v>
      </c>
      <c r="I1695" s="1" t="s">
        <v>55</v>
      </c>
      <c r="J1695" s="1" t="s">
        <v>27</v>
      </c>
      <c r="K1695" s="1" t="s">
        <v>400</v>
      </c>
      <c r="L1695" s="1">
        <v>10</v>
      </c>
      <c r="M1695" s="13">
        <v>135.28</v>
      </c>
      <c r="N1695" s="15">
        <v>0.11</v>
      </c>
      <c r="O1695" s="13">
        <v>1099.56</v>
      </c>
      <c r="P1695" s="13">
        <v>117.16</v>
      </c>
      <c r="Q1695" s="13">
        <v>52.31</v>
      </c>
      <c r="R1695" s="1" t="s">
        <v>64</v>
      </c>
      <c r="S1695" s="1">
        <v>4</v>
      </c>
      <c r="T1695" s="1" t="b">
        <v>0</v>
      </c>
      <c r="U1695" s="1" t="s">
        <v>84</v>
      </c>
      <c r="V1695" s="3">
        <v>8</v>
      </c>
    </row>
    <row r="1696" spans="1:22" x14ac:dyDescent="0.3">
      <c r="A1696" s="2" t="s">
        <v>3886</v>
      </c>
      <c r="B1696" s="10">
        <v>44315</v>
      </c>
      <c r="C1696" s="22">
        <v>44315</v>
      </c>
      <c r="D1696" s="1" t="s">
        <v>3887</v>
      </c>
      <c r="E1696" s="1" t="s">
        <v>1084</v>
      </c>
      <c r="F1696" s="1">
        <v>37</v>
      </c>
      <c r="G1696" s="1" t="s">
        <v>24</v>
      </c>
      <c r="H1696" s="1" t="s">
        <v>82</v>
      </c>
      <c r="I1696" s="1" t="s">
        <v>244</v>
      </c>
      <c r="J1696" s="1" t="s">
        <v>146</v>
      </c>
      <c r="K1696" s="1" t="s">
        <v>178</v>
      </c>
      <c r="L1696" s="1">
        <v>1</v>
      </c>
      <c r="M1696" s="13">
        <v>14885.78</v>
      </c>
      <c r="N1696" s="15">
        <v>0.36</v>
      </c>
      <c r="O1696" s="13">
        <v>12389.87</v>
      </c>
      <c r="P1696" s="13">
        <v>1669.38</v>
      </c>
      <c r="Q1696" s="13">
        <v>87.48</v>
      </c>
      <c r="R1696" s="1" t="s">
        <v>64</v>
      </c>
      <c r="S1696" s="1">
        <v>3</v>
      </c>
      <c r="T1696" s="1" t="b">
        <v>0</v>
      </c>
      <c r="U1696" s="1" t="s">
        <v>84</v>
      </c>
      <c r="V1696" s="3">
        <v>5</v>
      </c>
    </row>
    <row r="1697" spans="1:22" x14ac:dyDescent="0.3">
      <c r="A1697" s="2" t="s">
        <v>3888</v>
      </c>
      <c r="B1697" s="10">
        <v>45339</v>
      </c>
      <c r="C1697" s="22">
        <v>45339</v>
      </c>
      <c r="D1697" s="1" t="s">
        <v>3889</v>
      </c>
      <c r="E1697" s="1" t="s">
        <v>1036</v>
      </c>
      <c r="F1697" s="1">
        <v>43</v>
      </c>
      <c r="G1697" s="1" t="s">
        <v>34</v>
      </c>
      <c r="H1697" s="1" t="s">
        <v>74</v>
      </c>
      <c r="I1697" s="1" t="s">
        <v>101</v>
      </c>
      <c r="J1697" s="1" t="s">
        <v>62</v>
      </c>
      <c r="K1697" s="1" t="s">
        <v>283</v>
      </c>
      <c r="L1697" s="1">
        <v>1</v>
      </c>
      <c r="M1697" s="13">
        <v>649.08000000000004</v>
      </c>
      <c r="N1697" s="15">
        <v>7.0000000000000007E-2</v>
      </c>
      <c r="O1697" s="13">
        <v>649.52</v>
      </c>
      <c r="P1697" s="13">
        <v>331.12</v>
      </c>
      <c r="Q1697" s="13">
        <v>65.5</v>
      </c>
      <c r="R1697" s="1" t="s">
        <v>78</v>
      </c>
      <c r="S1697" s="1">
        <v>4</v>
      </c>
      <c r="T1697" s="1" t="b">
        <v>0</v>
      </c>
      <c r="U1697" s="1" t="s">
        <v>58</v>
      </c>
      <c r="V1697" s="3">
        <v>1</v>
      </c>
    </row>
    <row r="1698" spans="1:22" x14ac:dyDescent="0.3">
      <c r="A1698" s="2" t="s">
        <v>3890</v>
      </c>
      <c r="B1698" s="10">
        <v>44729</v>
      </c>
      <c r="C1698" s="22">
        <v>44729</v>
      </c>
      <c r="D1698" s="1" t="s">
        <v>3891</v>
      </c>
      <c r="E1698" s="1" t="s">
        <v>1399</v>
      </c>
      <c r="F1698" s="1">
        <v>18</v>
      </c>
      <c r="G1698" s="1" t="s">
        <v>68</v>
      </c>
      <c r="H1698" s="1" t="s">
        <v>111</v>
      </c>
      <c r="I1698" s="1" t="s">
        <v>112</v>
      </c>
      <c r="J1698" s="1" t="s">
        <v>27</v>
      </c>
      <c r="K1698" s="1" t="s">
        <v>430</v>
      </c>
      <c r="L1698" s="1">
        <v>10</v>
      </c>
      <c r="M1698" s="13">
        <v>190.56</v>
      </c>
      <c r="N1698" s="15">
        <v>0.06</v>
      </c>
      <c r="O1698" s="13">
        <v>3127.61</v>
      </c>
      <c r="P1698" s="13">
        <v>256.19</v>
      </c>
      <c r="Q1698" s="13">
        <v>101.94</v>
      </c>
      <c r="R1698" s="1" t="s">
        <v>51</v>
      </c>
      <c r="S1698" s="1">
        <v>3</v>
      </c>
      <c r="T1698" s="1" t="b">
        <v>1</v>
      </c>
      <c r="U1698" s="1" t="s">
        <v>30</v>
      </c>
      <c r="V1698" s="3">
        <v>2</v>
      </c>
    </row>
    <row r="1699" spans="1:22" x14ac:dyDescent="0.3">
      <c r="A1699" s="2" t="s">
        <v>3892</v>
      </c>
      <c r="B1699" s="10">
        <v>44756</v>
      </c>
      <c r="C1699" s="22">
        <v>44756</v>
      </c>
      <c r="D1699" s="1" t="s">
        <v>3893</v>
      </c>
      <c r="E1699" s="1" t="s">
        <v>105</v>
      </c>
      <c r="F1699" s="1">
        <v>48</v>
      </c>
      <c r="G1699" s="1" t="s">
        <v>34</v>
      </c>
      <c r="H1699" s="1" t="s">
        <v>111</v>
      </c>
      <c r="I1699" s="1" t="s">
        <v>121</v>
      </c>
      <c r="J1699" s="1" t="s">
        <v>146</v>
      </c>
      <c r="K1699" s="1" t="s">
        <v>484</v>
      </c>
      <c r="L1699" s="1">
        <v>9</v>
      </c>
      <c r="M1699" s="13">
        <v>3817.71</v>
      </c>
      <c r="N1699" s="15">
        <v>0.25</v>
      </c>
      <c r="O1699" s="13">
        <v>41379.360000000001</v>
      </c>
      <c r="P1699" s="13">
        <v>8384.06</v>
      </c>
      <c r="Q1699" s="13">
        <v>104.35</v>
      </c>
      <c r="R1699" s="1" t="s">
        <v>78</v>
      </c>
      <c r="S1699" s="1">
        <v>5</v>
      </c>
      <c r="T1699" s="1" t="b">
        <v>0</v>
      </c>
      <c r="U1699" s="1" t="s">
        <v>39</v>
      </c>
      <c r="V1699" s="3">
        <v>9</v>
      </c>
    </row>
    <row r="1700" spans="1:22" x14ac:dyDescent="0.3">
      <c r="A1700" s="2" t="s">
        <v>3894</v>
      </c>
      <c r="B1700" s="10">
        <v>44327</v>
      </c>
      <c r="C1700" s="22">
        <v>44327</v>
      </c>
      <c r="D1700" s="1" t="s">
        <v>3895</v>
      </c>
      <c r="E1700" s="1" t="s">
        <v>1036</v>
      </c>
      <c r="F1700" s="1">
        <v>41</v>
      </c>
      <c r="G1700" s="1" t="s">
        <v>68</v>
      </c>
      <c r="H1700" s="1" t="s">
        <v>111</v>
      </c>
      <c r="I1700" s="1" t="s">
        <v>141</v>
      </c>
      <c r="J1700" s="1" t="s">
        <v>76</v>
      </c>
      <c r="K1700" s="1" t="s">
        <v>89</v>
      </c>
      <c r="L1700" s="1">
        <v>6</v>
      </c>
      <c r="M1700" s="13">
        <v>1254.6400000000001</v>
      </c>
      <c r="N1700" s="15">
        <v>0.03</v>
      </c>
      <c r="O1700" s="13">
        <v>10261.459999999999</v>
      </c>
      <c r="P1700" s="13">
        <v>3117.09</v>
      </c>
      <c r="Q1700" s="13">
        <v>62.14</v>
      </c>
      <c r="R1700" s="1" t="s">
        <v>78</v>
      </c>
      <c r="S1700" s="1">
        <v>5</v>
      </c>
      <c r="T1700" s="1" t="b">
        <v>0</v>
      </c>
      <c r="U1700" s="1" t="s">
        <v>137</v>
      </c>
      <c r="V1700" s="3">
        <v>1</v>
      </c>
    </row>
    <row r="1701" spans="1:22" x14ac:dyDescent="0.3">
      <c r="A1701" s="2" t="s">
        <v>3896</v>
      </c>
      <c r="B1701" s="10">
        <v>43960</v>
      </c>
      <c r="C1701" s="22">
        <v>43960</v>
      </c>
      <c r="D1701" s="1" t="s">
        <v>3897</v>
      </c>
      <c r="E1701" s="1" t="s">
        <v>96</v>
      </c>
      <c r="F1701" s="1">
        <v>32</v>
      </c>
      <c r="G1701" s="1" t="s">
        <v>24</v>
      </c>
      <c r="H1701" s="1" t="s">
        <v>82</v>
      </c>
      <c r="I1701" s="1" t="s">
        <v>126</v>
      </c>
      <c r="J1701" s="1" t="s">
        <v>146</v>
      </c>
      <c r="K1701" s="1" t="s">
        <v>484</v>
      </c>
      <c r="L1701" s="1">
        <v>10</v>
      </c>
      <c r="M1701" s="13">
        <v>4628.22</v>
      </c>
      <c r="N1701" s="15">
        <v>0.21</v>
      </c>
      <c r="O1701" s="13">
        <v>53982.41</v>
      </c>
      <c r="P1701" s="13">
        <v>10198.59</v>
      </c>
      <c r="Q1701" s="13">
        <v>81.650000000000006</v>
      </c>
      <c r="R1701" s="1" t="s">
        <v>51</v>
      </c>
      <c r="S1701" s="1">
        <v>3</v>
      </c>
      <c r="T1701" s="1" t="b">
        <v>0</v>
      </c>
      <c r="U1701" s="1" t="s">
        <v>39</v>
      </c>
      <c r="V1701" s="3">
        <v>1</v>
      </c>
    </row>
    <row r="1702" spans="1:22" x14ac:dyDescent="0.3">
      <c r="A1702" s="2" t="s">
        <v>3898</v>
      </c>
      <c r="B1702" s="10">
        <v>44864</v>
      </c>
      <c r="C1702" s="22">
        <v>44864</v>
      </c>
      <c r="D1702" s="1" t="s">
        <v>3899</v>
      </c>
      <c r="E1702" s="1" t="s">
        <v>2462</v>
      </c>
      <c r="F1702" s="1">
        <v>26</v>
      </c>
      <c r="G1702" s="1" t="s">
        <v>68</v>
      </c>
      <c r="H1702" s="1" t="s">
        <v>111</v>
      </c>
      <c r="I1702" s="1" t="s">
        <v>112</v>
      </c>
      <c r="J1702" s="1" t="s">
        <v>146</v>
      </c>
      <c r="K1702" s="1" t="s">
        <v>484</v>
      </c>
      <c r="L1702" s="1">
        <v>8</v>
      </c>
      <c r="M1702" s="13">
        <v>10568.63</v>
      </c>
      <c r="N1702" s="15">
        <v>0.21</v>
      </c>
      <c r="O1702" s="13">
        <v>55630.33</v>
      </c>
      <c r="P1702" s="13">
        <v>14348.89</v>
      </c>
      <c r="Q1702" s="13">
        <v>77.59</v>
      </c>
      <c r="R1702" s="1" t="s">
        <v>29</v>
      </c>
      <c r="S1702" s="1">
        <v>4</v>
      </c>
      <c r="T1702" s="1" t="b">
        <v>0</v>
      </c>
      <c r="U1702" s="1" t="s">
        <v>39</v>
      </c>
      <c r="V1702" s="3">
        <v>1</v>
      </c>
    </row>
    <row r="1703" spans="1:22" x14ac:dyDescent="0.3">
      <c r="A1703" s="2" t="s">
        <v>3900</v>
      </c>
      <c r="B1703" s="10">
        <v>43848</v>
      </c>
      <c r="C1703" s="22">
        <v>43848</v>
      </c>
      <c r="D1703" s="1" t="s">
        <v>3901</v>
      </c>
      <c r="E1703" s="1" t="s">
        <v>2481</v>
      </c>
      <c r="F1703" s="1">
        <v>29</v>
      </c>
      <c r="G1703" s="1" t="s">
        <v>68</v>
      </c>
      <c r="H1703" s="1" t="s">
        <v>35</v>
      </c>
      <c r="I1703" s="1" t="s">
        <v>106</v>
      </c>
      <c r="J1703" s="1" t="s">
        <v>76</v>
      </c>
      <c r="K1703" s="1" t="s">
        <v>122</v>
      </c>
      <c r="L1703" s="1">
        <v>1</v>
      </c>
      <c r="M1703" s="13">
        <v>2597.86</v>
      </c>
      <c r="N1703" s="15">
        <v>0.22</v>
      </c>
      <c r="O1703" s="13">
        <v>1513.98</v>
      </c>
      <c r="P1703" s="13">
        <v>537.04999999999995</v>
      </c>
      <c r="Q1703" s="13">
        <v>56.63</v>
      </c>
      <c r="R1703" s="1" t="s">
        <v>64</v>
      </c>
      <c r="S1703" s="1">
        <v>4</v>
      </c>
      <c r="T1703" s="1" t="b">
        <v>0</v>
      </c>
      <c r="U1703" s="1" t="s">
        <v>84</v>
      </c>
      <c r="V1703" s="3">
        <v>8</v>
      </c>
    </row>
    <row r="1704" spans="1:22" x14ac:dyDescent="0.3">
      <c r="A1704" s="2" t="s">
        <v>3902</v>
      </c>
      <c r="B1704" s="10">
        <v>45323</v>
      </c>
      <c r="C1704" s="22">
        <v>45323</v>
      </c>
      <c r="D1704" s="1" t="s">
        <v>3903</v>
      </c>
      <c r="E1704" s="1" t="s">
        <v>687</v>
      </c>
      <c r="F1704" s="1">
        <v>51</v>
      </c>
      <c r="G1704" s="1" t="s">
        <v>68</v>
      </c>
      <c r="H1704" s="1" t="s">
        <v>111</v>
      </c>
      <c r="I1704" s="1" t="s">
        <v>121</v>
      </c>
      <c r="J1704" s="1" t="s">
        <v>146</v>
      </c>
      <c r="K1704" s="1" t="s">
        <v>276</v>
      </c>
      <c r="L1704" s="1">
        <v>6</v>
      </c>
      <c r="M1704" s="13">
        <v>5856.01</v>
      </c>
      <c r="N1704" s="15">
        <v>0.18</v>
      </c>
      <c r="O1704" s="13">
        <v>26851.31</v>
      </c>
      <c r="P1704" s="13">
        <v>8697.76</v>
      </c>
      <c r="Q1704" s="13">
        <v>63.02</v>
      </c>
      <c r="R1704" s="1" t="s">
        <v>29</v>
      </c>
      <c r="S1704" s="1">
        <v>3</v>
      </c>
      <c r="T1704" s="1" t="b">
        <v>0</v>
      </c>
      <c r="U1704" s="1" t="s">
        <v>39</v>
      </c>
      <c r="V1704" s="3">
        <v>2</v>
      </c>
    </row>
    <row r="1705" spans="1:22" x14ac:dyDescent="0.3">
      <c r="A1705" s="2" t="s">
        <v>3904</v>
      </c>
      <c r="B1705" s="10">
        <v>43845</v>
      </c>
      <c r="C1705" s="22">
        <v>43845</v>
      </c>
      <c r="D1705" s="1" t="s">
        <v>3905</v>
      </c>
      <c r="E1705" s="1" t="s">
        <v>292</v>
      </c>
      <c r="F1705" s="1">
        <v>15</v>
      </c>
      <c r="G1705" s="1" t="s">
        <v>34</v>
      </c>
      <c r="H1705" s="1" t="s">
        <v>35</v>
      </c>
      <c r="I1705" s="1" t="s">
        <v>36</v>
      </c>
      <c r="J1705" s="1" t="s">
        <v>37</v>
      </c>
      <c r="K1705" s="1" t="s">
        <v>454</v>
      </c>
      <c r="L1705" s="1">
        <v>6</v>
      </c>
      <c r="M1705" s="13">
        <v>1616.14</v>
      </c>
      <c r="N1705" s="15">
        <v>0.37</v>
      </c>
      <c r="O1705" s="13">
        <v>4074.48</v>
      </c>
      <c r="P1705" s="13">
        <v>1744.23</v>
      </c>
      <c r="Q1705" s="13">
        <v>70.31</v>
      </c>
      <c r="R1705" s="1" t="s">
        <v>57</v>
      </c>
      <c r="S1705" s="1">
        <v>2</v>
      </c>
      <c r="T1705" s="1" t="b">
        <v>0</v>
      </c>
      <c r="U1705" s="1" t="s">
        <v>39</v>
      </c>
      <c r="V1705" s="3">
        <v>3</v>
      </c>
    </row>
    <row r="1706" spans="1:22" x14ac:dyDescent="0.3">
      <c r="A1706" s="2" t="s">
        <v>3906</v>
      </c>
      <c r="B1706" s="10">
        <v>45273</v>
      </c>
      <c r="C1706" s="22">
        <v>45273</v>
      </c>
      <c r="D1706" s="1" t="s">
        <v>3907</v>
      </c>
      <c r="E1706" s="1" t="s">
        <v>1436</v>
      </c>
      <c r="F1706" s="1">
        <v>38</v>
      </c>
      <c r="G1706" s="1" t="s">
        <v>24</v>
      </c>
      <c r="H1706" s="1" t="s">
        <v>111</v>
      </c>
      <c r="I1706" s="1" t="s">
        <v>330</v>
      </c>
      <c r="J1706" s="1" t="s">
        <v>27</v>
      </c>
      <c r="K1706" s="1" t="s">
        <v>400</v>
      </c>
      <c r="L1706" s="1">
        <v>8</v>
      </c>
      <c r="M1706" s="13">
        <v>117.19</v>
      </c>
      <c r="N1706" s="15">
        <v>0.18</v>
      </c>
      <c r="O1706" s="13">
        <v>525.6</v>
      </c>
      <c r="P1706" s="13">
        <v>50.27</v>
      </c>
      <c r="Q1706" s="13">
        <v>74.25</v>
      </c>
      <c r="R1706" s="1" t="s">
        <v>51</v>
      </c>
      <c r="S1706" s="1">
        <v>5</v>
      </c>
      <c r="T1706" s="1" t="b">
        <v>0</v>
      </c>
      <c r="U1706" s="1" t="s">
        <v>39</v>
      </c>
      <c r="V1706" s="3">
        <v>8</v>
      </c>
    </row>
    <row r="1707" spans="1:22" x14ac:dyDescent="0.3">
      <c r="A1707" s="2" t="s">
        <v>3908</v>
      </c>
      <c r="B1707" s="10">
        <v>44707</v>
      </c>
      <c r="C1707" s="22">
        <v>44707</v>
      </c>
      <c r="D1707" s="1" t="s">
        <v>3909</v>
      </c>
      <c r="E1707" s="1" t="s">
        <v>716</v>
      </c>
      <c r="F1707" s="1">
        <v>22</v>
      </c>
      <c r="G1707" s="1" t="s">
        <v>34</v>
      </c>
      <c r="H1707" s="1" t="s">
        <v>25</v>
      </c>
      <c r="I1707" s="1" t="s">
        <v>69</v>
      </c>
      <c r="J1707" s="1" t="s">
        <v>146</v>
      </c>
      <c r="K1707" s="1" t="s">
        <v>147</v>
      </c>
      <c r="L1707" s="1">
        <v>4</v>
      </c>
      <c r="M1707" s="13">
        <v>871.51</v>
      </c>
      <c r="N1707" s="15">
        <v>0.38</v>
      </c>
      <c r="O1707" s="13">
        <v>3475.68</v>
      </c>
      <c r="P1707" s="13">
        <v>572.32000000000005</v>
      </c>
      <c r="Q1707" s="13">
        <v>44.83</v>
      </c>
      <c r="R1707" s="1" t="s">
        <v>78</v>
      </c>
      <c r="S1707" s="1">
        <v>3</v>
      </c>
      <c r="T1707" s="1" t="b">
        <v>0</v>
      </c>
      <c r="U1707" s="1" t="s">
        <v>39</v>
      </c>
      <c r="V1707" s="3">
        <v>3</v>
      </c>
    </row>
    <row r="1708" spans="1:22" x14ac:dyDescent="0.3">
      <c r="A1708" s="2" t="s">
        <v>3910</v>
      </c>
      <c r="B1708" s="10">
        <v>45417</v>
      </c>
      <c r="C1708" s="22">
        <v>45417</v>
      </c>
      <c r="D1708" s="1" t="s">
        <v>3911</v>
      </c>
      <c r="E1708" s="1" t="s">
        <v>433</v>
      </c>
      <c r="F1708" s="1">
        <v>40</v>
      </c>
      <c r="G1708" s="1" t="s">
        <v>68</v>
      </c>
      <c r="H1708" s="1" t="s">
        <v>25</v>
      </c>
      <c r="I1708" s="1" t="s">
        <v>55</v>
      </c>
      <c r="J1708" s="1" t="s">
        <v>37</v>
      </c>
      <c r="K1708" s="1" t="s">
        <v>38</v>
      </c>
      <c r="L1708" s="1">
        <v>8</v>
      </c>
      <c r="M1708" s="13">
        <v>1207.93</v>
      </c>
      <c r="N1708" s="15">
        <v>0.26</v>
      </c>
      <c r="O1708" s="13">
        <v>11716.75</v>
      </c>
      <c r="P1708" s="13">
        <v>4482.22</v>
      </c>
      <c r="Q1708" s="13">
        <v>60.34</v>
      </c>
      <c r="R1708" s="1" t="s">
        <v>51</v>
      </c>
      <c r="S1708" s="1">
        <v>5</v>
      </c>
      <c r="T1708" s="1" t="b">
        <v>0</v>
      </c>
      <c r="U1708" s="1" t="s">
        <v>39</v>
      </c>
      <c r="V1708" s="3">
        <v>4</v>
      </c>
    </row>
    <row r="1709" spans="1:22" x14ac:dyDescent="0.3">
      <c r="A1709" s="2" t="s">
        <v>3912</v>
      </c>
      <c r="B1709" s="10">
        <v>44221</v>
      </c>
      <c r="C1709" s="22">
        <v>44221</v>
      </c>
      <c r="D1709" s="1" t="s">
        <v>3913</v>
      </c>
      <c r="E1709" s="1" t="s">
        <v>1899</v>
      </c>
      <c r="F1709" s="1">
        <v>33</v>
      </c>
      <c r="G1709" s="1" t="s">
        <v>24</v>
      </c>
      <c r="H1709" s="1" t="s">
        <v>82</v>
      </c>
      <c r="I1709" s="1" t="s">
        <v>126</v>
      </c>
      <c r="J1709" s="1" t="s">
        <v>37</v>
      </c>
      <c r="K1709" s="1" t="s">
        <v>231</v>
      </c>
      <c r="L1709" s="1">
        <v>9</v>
      </c>
      <c r="M1709" s="13">
        <v>1589.89</v>
      </c>
      <c r="N1709" s="15">
        <v>0.08</v>
      </c>
      <c r="O1709" s="13">
        <v>10590.69</v>
      </c>
      <c r="P1709" s="13">
        <v>5434.65</v>
      </c>
      <c r="Q1709" s="13">
        <v>87.21</v>
      </c>
      <c r="R1709" s="1" t="s">
        <v>64</v>
      </c>
      <c r="S1709" s="1">
        <v>4</v>
      </c>
      <c r="T1709" s="1" t="b">
        <v>0</v>
      </c>
      <c r="U1709" s="1" t="s">
        <v>39</v>
      </c>
      <c r="V1709" s="3">
        <v>4</v>
      </c>
    </row>
    <row r="1710" spans="1:22" x14ac:dyDescent="0.3">
      <c r="A1710" s="2" t="s">
        <v>3914</v>
      </c>
      <c r="B1710" s="10">
        <v>44728</v>
      </c>
      <c r="C1710" s="22">
        <v>44728</v>
      </c>
      <c r="D1710" s="1" t="s">
        <v>3915</v>
      </c>
      <c r="E1710" s="1" t="s">
        <v>279</v>
      </c>
      <c r="F1710" s="1">
        <v>21</v>
      </c>
      <c r="G1710" s="1" t="s">
        <v>68</v>
      </c>
      <c r="H1710" s="1" t="s">
        <v>111</v>
      </c>
      <c r="I1710" s="1" t="s">
        <v>141</v>
      </c>
      <c r="J1710" s="1" t="s">
        <v>27</v>
      </c>
      <c r="K1710" s="1" t="s">
        <v>56</v>
      </c>
      <c r="L1710" s="1">
        <v>9</v>
      </c>
      <c r="M1710" s="13">
        <v>468.64</v>
      </c>
      <c r="N1710" s="15">
        <v>0.21</v>
      </c>
      <c r="O1710" s="13">
        <v>5155.01</v>
      </c>
      <c r="P1710" s="13">
        <v>228.82</v>
      </c>
      <c r="Q1710" s="13">
        <v>46.36</v>
      </c>
      <c r="R1710" s="1" t="s">
        <v>70</v>
      </c>
      <c r="S1710" s="1">
        <v>4</v>
      </c>
      <c r="T1710" s="1" t="b">
        <v>0</v>
      </c>
      <c r="U1710" s="1" t="s">
        <v>39</v>
      </c>
      <c r="V1710" s="3">
        <v>5</v>
      </c>
    </row>
    <row r="1711" spans="1:22" x14ac:dyDescent="0.3">
      <c r="A1711" s="2" t="s">
        <v>3916</v>
      </c>
      <c r="B1711" s="10">
        <v>44771</v>
      </c>
      <c r="C1711" s="22">
        <v>44771</v>
      </c>
      <c r="D1711" s="1" t="s">
        <v>3917</v>
      </c>
      <c r="E1711" s="1" t="s">
        <v>552</v>
      </c>
      <c r="F1711" s="1">
        <v>42</v>
      </c>
      <c r="G1711" s="1" t="s">
        <v>68</v>
      </c>
      <c r="H1711" s="1" t="s">
        <v>74</v>
      </c>
      <c r="I1711" s="1" t="s">
        <v>192</v>
      </c>
      <c r="J1711" s="1" t="s">
        <v>146</v>
      </c>
      <c r="K1711" s="1" t="s">
        <v>484</v>
      </c>
      <c r="L1711" s="1">
        <v>3</v>
      </c>
      <c r="M1711" s="13">
        <v>7955.73</v>
      </c>
      <c r="N1711" s="15">
        <v>0.22</v>
      </c>
      <c r="O1711" s="13">
        <v>26168.55</v>
      </c>
      <c r="P1711" s="13">
        <v>5570.15</v>
      </c>
      <c r="Q1711" s="13">
        <v>48.56</v>
      </c>
      <c r="R1711" s="1" t="s">
        <v>29</v>
      </c>
      <c r="S1711" s="1">
        <v>1</v>
      </c>
      <c r="T1711" s="1" t="b">
        <v>0</v>
      </c>
      <c r="U1711" s="1" t="s">
        <v>39</v>
      </c>
      <c r="V1711" s="3">
        <v>2</v>
      </c>
    </row>
    <row r="1712" spans="1:22" x14ac:dyDescent="0.3">
      <c r="A1712" s="2" t="s">
        <v>3918</v>
      </c>
      <c r="B1712" s="10">
        <v>43842</v>
      </c>
      <c r="C1712" s="22">
        <v>43842</v>
      </c>
      <c r="D1712" s="1" t="s">
        <v>3919</v>
      </c>
      <c r="E1712" s="1" t="s">
        <v>1638</v>
      </c>
      <c r="F1712" s="1">
        <v>18</v>
      </c>
      <c r="G1712" s="1" t="s">
        <v>34</v>
      </c>
      <c r="H1712" s="1" t="s">
        <v>111</v>
      </c>
      <c r="I1712" s="1" t="s">
        <v>330</v>
      </c>
      <c r="J1712" s="1" t="s">
        <v>62</v>
      </c>
      <c r="K1712" s="1" t="s">
        <v>283</v>
      </c>
      <c r="L1712" s="1">
        <v>2</v>
      </c>
      <c r="M1712" s="13">
        <v>626.54</v>
      </c>
      <c r="N1712" s="15">
        <v>0.21</v>
      </c>
      <c r="O1712" s="13">
        <v>805.43</v>
      </c>
      <c r="P1712" s="13">
        <v>364.25</v>
      </c>
      <c r="Q1712" s="13">
        <v>56.69</v>
      </c>
      <c r="R1712" s="1" t="s">
        <v>78</v>
      </c>
      <c r="S1712" s="1">
        <v>3</v>
      </c>
      <c r="T1712" s="1" t="b">
        <v>0</v>
      </c>
      <c r="U1712" s="1" t="s">
        <v>39</v>
      </c>
      <c r="V1712" s="3">
        <v>8</v>
      </c>
    </row>
    <row r="1713" spans="1:22" x14ac:dyDescent="0.3">
      <c r="A1713" s="2" t="s">
        <v>3920</v>
      </c>
      <c r="B1713" s="10">
        <v>43837</v>
      </c>
      <c r="C1713" s="22">
        <v>43837</v>
      </c>
      <c r="D1713" s="1" t="s">
        <v>3921</v>
      </c>
      <c r="E1713" s="1" t="s">
        <v>566</v>
      </c>
      <c r="F1713" s="1">
        <v>26</v>
      </c>
      <c r="G1713" s="1" t="s">
        <v>34</v>
      </c>
      <c r="H1713" s="1" t="s">
        <v>25</v>
      </c>
      <c r="I1713" s="1" t="s">
        <v>55</v>
      </c>
      <c r="J1713" s="1" t="s">
        <v>27</v>
      </c>
      <c r="K1713" s="1" t="s">
        <v>28</v>
      </c>
      <c r="L1713" s="1">
        <v>6</v>
      </c>
      <c r="M1713" s="13">
        <v>435.26</v>
      </c>
      <c r="N1713" s="15">
        <v>0.24</v>
      </c>
      <c r="O1713" s="13">
        <v>1450.57</v>
      </c>
      <c r="P1713" s="13">
        <v>128.4</v>
      </c>
      <c r="Q1713" s="13">
        <v>57.95</v>
      </c>
      <c r="R1713" s="1" t="s">
        <v>57</v>
      </c>
      <c r="S1713" s="1">
        <v>5</v>
      </c>
      <c r="T1713" s="1" t="b">
        <v>0</v>
      </c>
      <c r="U1713" s="1" t="s">
        <v>58</v>
      </c>
      <c r="V1713" s="3">
        <v>3</v>
      </c>
    </row>
    <row r="1714" spans="1:22" x14ac:dyDescent="0.3">
      <c r="A1714" s="2" t="s">
        <v>3922</v>
      </c>
      <c r="B1714" s="10">
        <v>43941</v>
      </c>
      <c r="C1714" s="22">
        <v>43941</v>
      </c>
      <c r="D1714" s="1" t="s">
        <v>3166</v>
      </c>
      <c r="E1714" s="1" t="s">
        <v>3253</v>
      </c>
      <c r="F1714" s="1">
        <v>39</v>
      </c>
      <c r="G1714" s="1" t="s">
        <v>34</v>
      </c>
      <c r="H1714" s="1" t="s">
        <v>35</v>
      </c>
      <c r="I1714" s="1" t="s">
        <v>106</v>
      </c>
      <c r="J1714" s="1" t="s">
        <v>44</v>
      </c>
      <c r="K1714" s="1" t="s">
        <v>50</v>
      </c>
      <c r="L1714" s="1">
        <v>9</v>
      </c>
      <c r="M1714" s="13">
        <v>20578.89</v>
      </c>
      <c r="N1714" s="15">
        <v>0.1</v>
      </c>
      <c r="O1714" s="13">
        <v>193354.91</v>
      </c>
      <c r="P1714" s="13">
        <v>46837.64</v>
      </c>
      <c r="Q1714" s="13">
        <v>76.42</v>
      </c>
      <c r="R1714" s="1" t="s">
        <v>51</v>
      </c>
      <c r="S1714" s="1">
        <v>2</v>
      </c>
      <c r="T1714" s="1" t="b">
        <v>0</v>
      </c>
      <c r="U1714" s="1" t="s">
        <v>39</v>
      </c>
      <c r="V1714" s="3">
        <v>1</v>
      </c>
    </row>
    <row r="1715" spans="1:22" x14ac:dyDescent="0.3">
      <c r="A1715" s="2" t="s">
        <v>3923</v>
      </c>
      <c r="B1715" s="10">
        <v>44911</v>
      </c>
      <c r="C1715" s="22">
        <v>44911</v>
      </c>
      <c r="D1715" s="1" t="s">
        <v>3924</v>
      </c>
      <c r="E1715" s="1" t="s">
        <v>1064</v>
      </c>
      <c r="F1715" s="1">
        <v>46</v>
      </c>
      <c r="G1715" s="1" t="s">
        <v>24</v>
      </c>
      <c r="H1715" s="1" t="s">
        <v>25</v>
      </c>
      <c r="I1715" s="1" t="s">
        <v>69</v>
      </c>
      <c r="J1715" s="1" t="s">
        <v>146</v>
      </c>
      <c r="K1715" s="1" t="s">
        <v>161</v>
      </c>
      <c r="L1715" s="1">
        <v>8</v>
      </c>
      <c r="M1715" s="13">
        <v>2230.31</v>
      </c>
      <c r="N1715" s="15">
        <v>0.23</v>
      </c>
      <c r="O1715" s="13">
        <v>11449.66</v>
      </c>
      <c r="P1715" s="13">
        <v>2516.27</v>
      </c>
      <c r="Q1715" s="13">
        <v>57.84</v>
      </c>
      <c r="R1715" s="1" t="s">
        <v>78</v>
      </c>
      <c r="S1715" s="1">
        <v>2</v>
      </c>
      <c r="T1715" s="1" t="b">
        <v>0</v>
      </c>
      <c r="U1715" s="1" t="s">
        <v>58</v>
      </c>
      <c r="V1715" s="3">
        <v>5</v>
      </c>
    </row>
    <row r="1716" spans="1:22" x14ac:dyDescent="0.3">
      <c r="A1716" s="2" t="s">
        <v>3925</v>
      </c>
      <c r="B1716" s="10">
        <v>44396</v>
      </c>
      <c r="C1716" s="22">
        <v>44396</v>
      </c>
      <c r="D1716" s="1" t="s">
        <v>3926</v>
      </c>
      <c r="E1716" s="1" t="s">
        <v>764</v>
      </c>
      <c r="F1716" s="1">
        <v>31</v>
      </c>
      <c r="G1716" s="1" t="s">
        <v>34</v>
      </c>
      <c r="H1716" s="1" t="s">
        <v>111</v>
      </c>
      <c r="I1716" s="1" t="s">
        <v>112</v>
      </c>
      <c r="J1716" s="1" t="s">
        <v>27</v>
      </c>
      <c r="K1716" s="1" t="s">
        <v>400</v>
      </c>
      <c r="L1716" s="1">
        <v>5</v>
      </c>
      <c r="M1716" s="13">
        <v>443.63</v>
      </c>
      <c r="N1716" s="15">
        <v>0.36</v>
      </c>
      <c r="O1716" s="13">
        <v>1854.03</v>
      </c>
      <c r="P1716" s="13">
        <v>166.1</v>
      </c>
      <c r="Q1716" s="13">
        <v>43.69</v>
      </c>
      <c r="R1716" s="1" t="s">
        <v>64</v>
      </c>
      <c r="S1716" s="1">
        <v>2</v>
      </c>
      <c r="T1716" s="1" t="b">
        <v>1</v>
      </c>
      <c r="U1716" s="1" t="s">
        <v>30</v>
      </c>
      <c r="V1716" s="3">
        <v>2</v>
      </c>
    </row>
    <row r="1717" spans="1:22" x14ac:dyDescent="0.3">
      <c r="A1717" s="2" t="s">
        <v>3927</v>
      </c>
      <c r="B1717" s="10">
        <v>43918</v>
      </c>
      <c r="C1717" s="22">
        <v>43918</v>
      </c>
      <c r="D1717" s="1" t="s">
        <v>3928</v>
      </c>
      <c r="E1717" s="1" t="s">
        <v>154</v>
      </c>
      <c r="F1717" s="1">
        <v>45</v>
      </c>
      <c r="G1717" s="1" t="s">
        <v>24</v>
      </c>
      <c r="H1717" s="1" t="s">
        <v>35</v>
      </c>
      <c r="I1717" s="1" t="s">
        <v>49</v>
      </c>
      <c r="J1717" s="1" t="s">
        <v>76</v>
      </c>
      <c r="K1717" s="1" t="s">
        <v>89</v>
      </c>
      <c r="L1717" s="1">
        <v>1</v>
      </c>
      <c r="M1717" s="13">
        <v>1971.81</v>
      </c>
      <c r="N1717" s="15">
        <v>0.05</v>
      </c>
      <c r="O1717" s="13">
        <v>1592.69</v>
      </c>
      <c r="P1717" s="13">
        <v>732.33</v>
      </c>
      <c r="Q1717" s="13">
        <v>57.58</v>
      </c>
      <c r="R1717" s="1" t="s">
        <v>51</v>
      </c>
      <c r="S1717" s="1">
        <v>1</v>
      </c>
      <c r="T1717" s="1" t="b">
        <v>0</v>
      </c>
      <c r="U1717" s="1" t="s">
        <v>39</v>
      </c>
      <c r="V1717" s="3">
        <v>6</v>
      </c>
    </row>
    <row r="1718" spans="1:22" x14ac:dyDescent="0.3">
      <c r="A1718" s="2" t="s">
        <v>3929</v>
      </c>
      <c r="B1718" s="10">
        <v>45000</v>
      </c>
      <c r="C1718" s="22">
        <v>45000</v>
      </c>
      <c r="D1718" s="1" t="s">
        <v>3930</v>
      </c>
      <c r="E1718" s="1" t="s">
        <v>237</v>
      </c>
      <c r="F1718" s="1">
        <v>40</v>
      </c>
      <c r="G1718" s="1" t="s">
        <v>34</v>
      </c>
      <c r="H1718" s="1" t="s">
        <v>74</v>
      </c>
      <c r="I1718" s="1" t="s">
        <v>101</v>
      </c>
      <c r="J1718" s="1" t="s">
        <v>62</v>
      </c>
      <c r="K1718" s="1" t="s">
        <v>570</v>
      </c>
      <c r="L1718" s="1">
        <v>10</v>
      </c>
      <c r="M1718" s="13">
        <v>1452.95</v>
      </c>
      <c r="N1718" s="15">
        <v>0.01</v>
      </c>
      <c r="O1718" s="13">
        <v>18658.740000000002</v>
      </c>
      <c r="P1718" s="13">
        <v>5761.15</v>
      </c>
      <c r="Q1718" s="13">
        <v>57.81</v>
      </c>
      <c r="R1718" s="1" t="s">
        <v>57</v>
      </c>
      <c r="S1718" s="1">
        <v>3</v>
      </c>
      <c r="T1718" s="1" t="b">
        <v>0</v>
      </c>
      <c r="U1718" s="1" t="s">
        <v>39</v>
      </c>
      <c r="V1718" s="3">
        <v>2</v>
      </c>
    </row>
    <row r="1719" spans="1:22" x14ac:dyDescent="0.3">
      <c r="A1719" s="2" t="s">
        <v>3931</v>
      </c>
      <c r="B1719" s="10">
        <v>43920</v>
      </c>
      <c r="C1719" s="22">
        <v>43920</v>
      </c>
      <c r="D1719" s="1" t="s">
        <v>3932</v>
      </c>
      <c r="E1719" s="1" t="s">
        <v>73</v>
      </c>
      <c r="F1719" s="1">
        <v>22</v>
      </c>
      <c r="G1719" s="1" t="s">
        <v>34</v>
      </c>
      <c r="H1719" s="1" t="s">
        <v>25</v>
      </c>
      <c r="I1719" s="1" t="s">
        <v>170</v>
      </c>
      <c r="J1719" s="1" t="s">
        <v>127</v>
      </c>
      <c r="K1719" s="1" t="s">
        <v>308</v>
      </c>
      <c r="L1719" s="1">
        <v>3</v>
      </c>
      <c r="M1719" s="13">
        <v>9772.16</v>
      </c>
      <c r="N1719" s="15">
        <v>0.21</v>
      </c>
      <c r="O1719" s="13">
        <v>30220.53</v>
      </c>
      <c r="P1719" s="13">
        <v>3821.21</v>
      </c>
      <c r="Q1719" s="13">
        <v>87.89</v>
      </c>
      <c r="R1719" s="1" t="s">
        <v>70</v>
      </c>
      <c r="S1719" s="1">
        <v>3</v>
      </c>
      <c r="T1719" s="1" t="b">
        <v>0</v>
      </c>
      <c r="U1719" s="1" t="s">
        <v>39</v>
      </c>
      <c r="V1719" s="3">
        <v>7</v>
      </c>
    </row>
    <row r="1720" spans="1:22" x14ac:dyDescent="0.3">
      <c r="A1720" s="2" t="s">
        <v>3933</v>
      </c>
      <c r="B1720" s="10">
        <v>43960</v>
      </c>
      <c r="C1720" s="22">
        <v>43960</v>
      </c>
      <c r="D1720" s="1" t="s">
        <v>3934</v>
      </c>
      <c r="E1720" s="1" t="s">
        <v>1345</v>
      </c>
      <c r="F1720" s="1">
        <v>7</v>
      </c>
      <c r="G1720" s="1" t="s">
        <v>24</v>
      </c>
      <c r="H1720" s="1" t="s">
        <v>25</v>
      </c>
      <c r="I1720" s="1" t="s">
        <v>55</v>
      </c>
      <c r="J1720" s="1" t="s">
        <v>146</v>
      </c>
      <c r="K1720" s="1" t="s">
        <v>484</v>
      </c>
      <c r="L1720" s="1">
        <v>8</v>
      </c>
      <c r="M1720" s="13">
        <v>2926.82</v>
      </c>
      <c r="N1720" s="15">
        <v>0.04</v>
      </c>
      <c r="O1720" s="13">
        <v>27176.51</v>
      </c>
      <c r="P1720" s="13">
        <v>8084.38</v>
      </c>
      <c r="Q1720" s="13">
        <v>41.11</v>
      </c>
      <c r="R1720" s="1" t="s">
        <v>51</v>
      </c>
      <c r="S1720" s="1">
        <v>1</v>
      </c>
      <c r="T1720" s="1" t="b">
        <v>0</v>
      </c>
      <c r="U1720" s="1" t="s">
        <v>39</v>
      </c>
      <c r="V1720" s="3">
        <v>1</v>
      </c>
    </row>
    <row r="1721" spans="1:22" x14ac:dyDescent="0.3">
      <c r="A1721" s="2" t="s">
        <v>3935</v>
      </c>
      <c r="B1721" s="10">
        <v>44435</v>
      </c>
      <c r="C1721" s="22">
        <v>44435</v>
      </c>
      <c r="D1721" s="1" t="s">
        <v>3936</v>
      </c>
      <c r="E1721" s="1" t="s">
        <v>473</v>
      </c>
      <c r="F1721" s="1">
        <v>53</v>
      </c>
      <c r="G1721" s="1" t="s">
        <v>34</v>
      </c>
      <c r="H1721" s="1" t="s">
        <v>74</v>
      </c>
      <c r="I1721" s="1" t="s">
        <v>101</v>
      </c>
      <c r="J1721" s="1" t="s">
        <v>44</v>
      </c>
      <c r="K1721" s="1" t="s">
        <v>221</v>
      </c>
      <c r="L1721" s="1">
        <v>10</v>
      </c>
      <c r="M1721" s="13">
        <v>20350.98</v>
      </c>
      <c r="N1721" s="15">
        <v>0.22</v>
      </c>
      <c r="O1721" s="13">
        <v>218880.02</v>
      </c>
      <c r="P1721" s="13">
        <v>43493.86</v>
      </c>
      <c r="Q1721" s="13">
        <v>69.86</v>
      </c>
      <c r="R1721" s="1" t="s">
        <v>51</v>
      </c>
      <c r="S1721" s="1">
        <v>1</v>
      </c>
      <c r="T1721" s="1" t="b">
        <v>0</v>
      </c>
      <c r="U1721" s="1" t="s">
        <v>39</v>
      </c>
      <c r="V1721" s="3">
        <v>5</v>
      </c>
    </row>
    <row r="1722" spans="1:22" x14ac:dyDescent="0.3">
      <c r="A1722" s="2" t="s">
        <v>3937</v>
      </c>
      <c r="B1722" s="10">
        <v>44242</v>
      </c>
      <c r="C1722" s="22">
        <v>44242</v>
      </c>
      <c r="D1722" s="1" t="s">
        <v>3938</v>
      </c>
      <c r="E1722" s="1" t="s">
        <v>3667</v>
      </c>
      <c r="F1722" s="1">
        <v>15</v>
      </c>
      <c r="G1722" s="1" t="s">
        <v>24</v>
      </c>
      <c r="H1722" s="1" t="s">
        <v>35</v>
      </c>
      <c r="I1722" s="1" t="s">
        <v>49</v>
      </c>
      <c r="J1722" s="1" t="s">
        <v>44</v>
      </c>
      <c r="K1722" s="1" t="s">
        <v>50</v>
      </c>
      <c r="L1722" s="1">
        <v>5</v>
      </c>
      <c r="M1722" s="13">
        <v>17189.599999999999</v>
      </c>
      <c r="N1722" s="15">
        <v>0.27</v>
      </c>
      <c r="O1722" s="13">
        <v>55435.55</v>
      </c>
      <c r="P1722" s="13">
        <v>13684.7</v>
      </c>
      <c r="Q1722" s="13">
        <v>59.73</v>
      </c>
      <c r="R1722" s="1" t="s">
        <v>70</v>
      </c>
      <c r="S1722" s="1">
        <v>3</v>
      </c>
      <c r="T1722" s="1" t="b">
        <v>0</v>
      </c>
      <c r="U1722" s="1" t="s">
        <v>39</v>
      </c>
      <c r="V1722" s="3">
        <v>6</v>
      </c>
    </row>
    <row r="1723" spans="1:22" x14ac:dyDescent="0.3">
      <c r="A1723" s="2" t="s">
        <v>3939</v>
      </c>
      <c r="B1723" s="10">
        <v>43872</v>
      </c>
      <c r="C1723" s="22">
        <v>43872</v>
      </c>
      <c r="D1723" s="1" t="s">
        <v>3940</v>
      </c>
      <c r="E1723" s="1" t="s">
        <v>1201</v>
      </c>
      <c r="F1723" s="1">
        <v>30</v>
      </c>
      <c r="G1723" s="1" t="s">
        <v>34</v>
      </c>
      <c r="H1723" s="1" t="s">
        <v>74</v>
      </c>
      <c r="I1723" s="1" t="s">
        <v>136</v>
      </c>
      <c r="J1723" s="1" t="s">
        <v>62</v>
      </c>
      <c r="K1723" s="1" t="s">
        <v>283</v>
      </c>
      <c r="L1723" s="1">
        <v>9</v>
      </c>
      <c r="M1723" s="13">
        <v>334.26</v>
      </c>
      <c r="N1723" s="15">
        <v>0.33</v>
      </c>
      <c r="O1723" s="13">
        <v>1656.41</v>
      </c>
      <c r="P1723" s="13">
        <v>547.21</v>
      </c>
      <c r="Q1723" s="13">
        <v>64.37</v>
      </c>
      <c r="R1723" s="1" t="s">
        <v>70</v>
      </c>
      <c r="S1723" s="1">
        <v>3</v>
      </c>
      <c r="T1723" s="1" t="b">
        <v>1</v>
      </c>
      <c r="U1723" s="1" t="s">
        <v>30</v>
      </c>
      <c r="V1723" s="3">
        <v>9</v>
      </c>
    </row>
    <row r="1724" spans="1:22" x14ac:dyDescent="0.3">
      <c r="A1724" s="2" t="s">
        <v>3941</v>
      </c>
      <c r="B1724" s="10">
        <v>44608</v>
      </c>
      <c r="C1724" s="22">
        <v>44608</v>
      </c>
      <c r="D1724" s="1" t="s">
        <v>3942</v>
      </c>
      <c r="E1724" s="1" t="s">
        <v>520</v>
      </c>
      <c r="F1724" s="1">
        <v>36</v>
      </c>
      <c r="G1724" s="1" t="s">
        <v>68</v>
      </c>
      <c r="H1724" s="1" t="s">
        <v>82</v>
      </c>
      <c r="I1724" s="1" t="s">
        <v>126</v>
      </c>
      <c r="J1724" s="1" t="s">
        <v>27</v>
      </c>
      <c r="K1724" s="1" t="s">
        <v>450</v>
      </c>
      <c r="L1724" s="1">
        <v>10</v>
      </c>
      <c r="M1724" s="13">
        <v>340.07</v>
      </c>
      <c r="N1724" s="15">
        <v>0</v>
      </c>
      <c r="O1724" s="13">
        <v>3411.77</v>
      </c>
      <c r="P1724" s="13">
        <v>221.45</v>
      </c>
      <c r="Q1724" s="13">
        <v>94.4</v>
      </c>
      <c r="R1724" s="1" t="s">
        <v>78</v>
      </c>
      <c r="S1724" s="1">
        <v>1</v>
      </c>
      <c r="T1724" s="1" t="b">
        <v>0</v>
      </c>
      <c r="U1724" s="1" t="s">
        <v>197</v>
      </c>
      <c r="V1724" s="3">
        <v>10</v>
      </c>
    </row>
    <row r="1725" spans="1:22" x14ac:dyDescent="0.3">
      <c r="A1725" s="2" t="s">
        <v>3943</v>
      </c>
      <c r="B1725" s="10">
        <v>45436</v>
      </c>
      <c r="C1725" s="22">
        <v>45436</v>
      </c>
      <c r="D1725" s="1" t="s">
        <v>3944</v>
      </c>
      <c r="E1725" s="1" t="s">
        <v>446</v>
      </c>
      <c r="F1725" s="1">
        <v>43</v>
      </c>
      <c r="G1725" s="1" t="s">
        <v>24</v>
      </c>
      <c r="H1725" s="1" t="s">
        <v>25</v>
      </c>
      <c r="I1725" s="1" t="s">
        <v>55</v>
      </c>
      <c r="J1725" s="1" t="s">
        <v>62</v>
      </c>
      <c r="K1725" s="1" t="s">
        <v>283</v>
      </c>
      <c r="L1725" s="1">
        <v>8</v>
      </c>
      <c r="M1725" s="13">
        <v>734.35</v>
      </c>
      <c r="N1725" s="15">
        <v>0.3</v>
      </c>
      <c r="O1725" s="13">
        <v>6592.36</v>
      </c>
      <c r="P1725" s="13">
        <v>2327.04</v>
      </c>
      <c r="Q1725" s="13">
        <v>53.13</v>
      </c>
      <c r="R1725" s="1" t="s">
        <v>78</v>
      </c>
      <c r="S1725" s="1">
        <v>3</v>
      </c>
      <c r="T1725" s="1" t="b">
        <v>0</v>
      </c>
      <c r="U1725" s="1" t="s">
        <v>39</v>
      </c>
      <c r="V1725" s="3">
        <v>1</v>
      </c>
    </row>
    <row r="1726" spans="1:22" x14ac:dyDescent="0.3">
      <c r="A1726" s="2" t="s">
        <v>3945</v>
      </c>
      <c r="B1726" s="10">
        <v>44737</v>
      </c>
      <c r="C1726" s="22">
        <v>44737</v>
      </c>
      <c r="D1726" s="1" t="s">
        <v>3946</v>
      </c>
      <c r="E1726" s="1" t="s">
        <v>1538</v>
      </c>
      <c r="F1726" s="1">
        <v>31</v>
      </c>
      <c r="G1726" s="1" t="s">
        <v>24</v>
      </c>
      <c r="H1726" s="1" t="s">
        <v>35</v>
      </c>
      <c r="I1726" s="1" t="s">
        <v>43</v>
      </c>
      <c r="J1726" s="1" t="s">
        <v>146</v>
      </c>
      <c r="K1726" s="1" t="s">
        <v>484</v>
      </c>
      <c r="L1726" s="1">
        <v>1</v>
      </c>
      <c r="M1726" s="13">
        <v>12201.41</v>
      </c>
      <c r="N1726" s="15">
        <v>0.38</v>
      </c>
      <c r="O1726" s="13">
        <v>11448.72</v>
      </c>
      <c r="P1726" s="13">
        <v>2473.09</v>
      </c>
      <c r="Q1726" s="13">
        <v>54.83</v>
      </c>
      <c r="R1726" s="1" t="s">
        <v>51</v>
      </c>
      <c r="S1726" s="1">
        <v>1</v>
      </c>
      <c r="T1726" s="1" t="b">
        <v>0</v>
      </c>
      <c r="U1726" s="1" t="s">
        <v>39</v>
      </c>
      <c r="V1726" s="3">
        <v>5</v>
      </c>
    </row>
    <row r="1727" spans="1:22" x14ac:dyDescent="0.3">
      <c r="A1727" s="2" t="s">
        <v>3947</v>
      </c>
      <c r="B1727" s="10">
        <v>45513</v>
      </c>
      <c r="C1727" s="22">
        <v>45513</v>
      </c>
      <c r="D1727" s="1" t="s">
        <v>3948</v>
      </c>
      <c r="E1727" s="1" t="s">
        <v>1345</v>
      </c>
      <c r="F1727" s="1">
        <v>18</v>
      </c>
      <c r="G1727" s="1" t="s">
        <v>34</v>
      </c>
      <c r="H1727" s="1" t="s">
        <v>111</v>
      </c>
      <c r="I1727" s="1" t="s">
        <v>141</v>
      </c>
      <c r="J1727" s="1" t="s">
        <v>76</v>
      </c>
      <c r="K1727" s="1" t="s">
        <v>207</v>
      </c>
      <c r="L1727" s="1">
        <v>9</v>
      </c>
      <c r="M1727" s="13">
        <v>892.19</v>
      </c>
      <c r="N1727" s="15">
        <v>0.28999999999999998</v>
      </c>
      <c r="O1727" s="13">
        <v>6933.33</v>
      </c>
      <c r="P1727" s="13">
        <v>3107.54</v>
      </c>
      <c r="Q1727" s="13">
        <v>67.17</v>
      </c>
      <c r="R1727" s="1" t="s">
        <v>51</v>
      </c>
      <c r="S1727" s="1">
        <v>2</v>
      </c>
      <c r="T1727" s="1" t="b">
        <v>0</v>
      </c>
      <c r="U1727" s="1" t="s">
        <v>39</v>
      </c>
      <c r="V1727" s="3">
        <v>10</v>
      </c>
    </row>
    <row r="1728" spans="1:22" x14ac:dyDescent="0.3">
      <c r="A1728" s="2" t="s">
        <v>3949</v>
      </c>
      <c r="B1728" s="10">
        <v>45265</v>
      </c>
      <c r="C1728" s="22">
        <v>45265</v>
      </c>
      <c r="D1728" s="1" t="s">
        <v>3950</v>
      </c>
      <c r="E1728" s="1" t="s">
        <v>516</v>
      </c>
      <c r="F1728" s="1">
        <v>34</v>
      </c>
      <c r="G1728" s="1" t="s">
        <v>68</v>
      </c>
      <c r="H1728" s="1" t="s">
        <v>74</v>
      </c>
      <c r="I1728" s="1" t="s">
        <v>192</v>
      </c>
      <c r="J1728" s="1" t="s">
        <v>44</v>
      </c>
      <c r="K1728" s="1" t="s">
        <v>221</v>
      </c>
      <c r="L1728" s="1">
        <v>3</v>
      </c>
      <c r="M1728" s="13">
        <v>29726.23</v>
      </c>
      <c r="N1728" s="15">
        <v>7.0000000000000007E-2</v>
      </c>
      <c r="O1728" s="13">
        <v>67800.679999999993</v>
      </c>
      <c r="P1728" s="13">
        <v>22599.39</v>
      </c>
      <c r="Q1728" s="13">
        <v>72.069999999999993</v>
      </c>
      <c r="R1728" s="1" t="s">
        <v>57</v>
      </c>
      <c r="S1728" s="1">
        <v>3</v>
      </c>
      <c r="T1728" s="1" t="b">
        <v>0</v>
      </c>
      <c r="U1728" s="1" t="s">
        <v>39</v>
      </c>
      <c r="V1728" s="3">
        <v>10</v>
      </c>
    </row>
    <row r="1729" spans="1:22" x14ac:dyDescent="0.3">
      <c r="A1729" s="2" t="s">
        <v>3951</v>
      </c>
      <c r="B1729" s="10">
        <v>45359</v>
      </c>
      <c r="C1729" s="22">
        <v>45359</v>
      </c>
      <c r="D1729" s="1" t="s">
        <v>3952</v>
      </c>
      <c r="E1729" s="1" t="s">
        <v>693</v>
      </c>
      <c r="F1729" s="1">
        <v>32</v>
      </c>
      <c r="G1729" s="1" t="s">
        <v>68</v>
      </c>
      <c r="H1729" s="1" t="s">
        <v>35</v>
      </c>
      <c r="I1729" s="1" t="s">
        <v>106</v>
      </c>
      <c r="J1729" s="1" t="s">
        <v>27</v>
      </c>
      <c r="K1729" s="1" t="s">
        <v>430</v>
      </c>
      <c r="L1729" s="1">
        <v>3</v>
      </c>
      <c r="M1729" s="13">
        <v>248.9</v>
      </c>
      <c r="N1729" s="15">
        <v>0</v>
      </c>
      <c r="O1729" s="13">
        <v>937.24</v>
      </c>
      <c r="P1729" s="13">
        <v>91.65</v>
      </c>
      <c r="Q1729" s="13">
        <v>73.94</v>
      </c>
      <c r="R1729" s="1" t="s">
        <v>70</v>
      </c>
      <c r="S1729" s="1">
        <v>4</v>
      </c>
      <c r="T1729" s="1" t="b">
        <v>0</v>
      </c>
      <c r="U1729" s="1" t="s">
        <v>39</v>
      </c>
      <c r="V1729" s="3">
        <v>6</v>
      </c>
    </row>
    <row r="1730" spans="1:22" x14ac:dyDescent="0.3">
      <c r="A1730" s="2" t="s">
        <v>3953</v>
      </c>
      <c r="B1730" s="10">
        <v>44557</v>
      </c>
      <c r="C1730" s="22">
        <v>44557</v>
      </c>
      <c r="D1730" s="1" t="s">
        <v>3954</v>
      </c>
      <c r="E1730" s="1" t="s">
        <v>555</v>
      </c>
      <c r="F1730" s="1">
        <v>37</v>
      </c>
      <c r="G1730" s="1" t="s">
        <v>34</v>
      </c>
      <c r="H1730" s="1" t="s">
        <v>74</v>
      </c>
      <c r="I1730" s="1" t="s">
        <v>136</v>
      </c>
      <c r="J1730" s="1" t="s">
        <v>27</v>
      </c>
      <c r="K1730" s="1" t="s">
        <v>97</v>
      </c>
      <c r="L1730" s="1">
        <v>1</v>
      </c>
      <c r="M1730" s="13">
        <v>461.28</v>
      </c>
      <c r="N1730" s="15">
        <v>0.06</v>
      </c>
      <c r="O1730" s="13">
        <v>357.77</v>
      </c>
      <c r="P1730" s="13">
        <v>41.24</v>
      </c>
      <c r="Q1730" s="13">
        <v>57.7</v>
      </c>
      <c r="R1730" s="1" t="s">
        <v>64</v>
      </c>
      <c r="S1730" s="1">
        <v>3</v>
      </c>
      <c r="T1730" s="1" t="b">
        <v>0</v>
      </c>
      <c r="U1730" s="1" t="s">
        <v>39</v>
      </c>
      <c r="V1730" s="3">
        <v>2</v>
      </c>
    </row>
    <row r="1731" spans="1:22" x14ac:dyDescent="0.3">
      <c r="A1731" s="2" t="s">
        <v>3955</v>
      </c>
      <c r="B1731" s="10">
        <v>45215</v>
      </c>
      <c r="C1731" s="22">
        <v>45215</v>
      </c>
      <c r="D1731" s="1" t="s">
        <v>3956</v>
      </c>
      <c r="E1731" s="1" t="s">
        <v>275</v>
      </c>
      <c r="F1731" s="1">
        <v>19</v>
      </c>
      <c r="G1731" s="1" t="s">
        <v>34</v>
      </c>
      <c r="H1731" s="1" t="s">
        <v>74</v>
      </c>
      <c r="I1731" s="1" t="s">
        <v>192</v>
      </c>
      <c r="J1731" s="1" t="s">
        <v>76</v>
      </c>
      <c r="K1731" s="1" t="s">
        <v>89</v>
      </c>
      <c r="L1731" s="1">
        <v>7</v>
      </c>
      <c r="M1731" s="13">
        <v>1104.26</v>
      </c>
      <c r="N1731" s="15">
        <v>0.13</v>
      </c>
      <c r="O1731" s="13">
        <v>6551.79</v>
      </c>
      <c r="P1731" s="13">
        <v>2415.7399999999998</v>
      </c>
      <c r="Q1731" s="13">
        <v>58.32</v>
      </c>
      <c r="R1731" s="1" t="s">
        <v>29</v>
      </c>
      <c r="S1731" s="1">
        <v>3</v>
      </c>
      <c r="T1731" s="1" t="b">
        <v>0</v>
      </c>
      <c r="U1731" s="1" t="s">
        <v>39</v>
      </c>
      <c r="V1731" s="3">
        <v>1</v>
      </c>
    </row>
    <row r="1732" spans="1:22" x14ac:dyDescent="0.3">
      <c r="A1732" s="2" t="s">
        <v>3957</v>
      </c>
      <c r="B1732" s="10">
        <v>45414</v>
      </c>
      <c r="C1732" s="22">
        <v>45414</v>
      </c>
      <c r="D1732" s="1" t="s">
        <v>3958</v>
      </c>
      <c r="E1732" s="1" t="s">
        <v>234</v>
      </c>
      <c r="F1732" s="1">
        <v>25</v>
      </c>
      <c r="G1732" s="1" t="s">
        <v>68</v>
      </c>
      <c r="H1732" s="1" t="s">
        <v>74</v>
      </c>
      <c r="I1732" s="1" t="s">
        <v>192</v>
      </c>
      <c r="J1732" s="1" t="s">
        <v>37</v>
      </c>
      <c r="K1732" s="1" t="s">
        <v>231</v>
      </c>
      <c r="L1732" s="1">
        <v>4</v>
      </c>
      <c r="M1732" s="13">
        <v>867.46</v>
      </c>
      <c r="N1732" s="15">
        <v>0.22</v>
      </c>
      <c r="O1732" s="13">
        <v>4462.82</v>
      </c>
      <c r="P1732" s="13">
        <v>2376.0500000000002</v>
      </c>
      <c r="Q1732" s="13">
        <v>52.4</v>
      </c>
      <c r="R1732" s="1" t="s">
        <v>29</v>
      </c>
      <c r="S1732" s="1">
        <v>2</v>
      </c>
      <c r="T1732" s="1" t="b">
        <v>0</v>
      </c>
      <c r="U1732" s="1" t="s">
        <v>39</v>
      </c>
      <c r="V1732" s="3">
        <v>7</v>
      </c>
    </row>
    <row r="1733" spans="1:22" x14ac:dyDescent="0.3">
      <c r="A1733" s="2" t="s">
        <v>3959</v>
      </c>
      <c r="B1733" s="10">
        <v>43832</v>
      </c>
      <c r="C1733" s="22">
        <v>43832</v>
      </c>
      <c r="D1733" s="1" t="s">
        <v>3960</v>
      </c>
      <c r="E1733" s="1" t="s">
        <v>991</v>
      </c>
      <c r="F1733" s="1">
        <v>45</v>
      </c>
      <c r="G1733" s="1" t="s">
        <v>24</v>
      </c>
      <c r="H1733" s="1" t="s">
        <v>82</v>
      </c>
      <c r="I1733" s="1" t="s">
        <v>293</v>
      </c>
      <c r="J1733" s="1" t="s">
        <v>62</v>
      </c>
      <c r="K1733" s="1" t="s">
        <v>283</v>
      </c>
      <c r="L1733" s="1">
        <v>6</v>
      </c>
      <c r="M1733" s="13">
        <v>682.59</v>
      </c>
      <c r="N1733" s="15">
        <v>0.22</v>
      </c>
      <c r="O1733" s="13">
        <v>2460.25</v>
      </c>
      <c r="P1733" s="13">
        <v>680.71</v>
      </c>
      <c r="Q1733" s="13">
        <v>76.22</v>
      </c>
      <c r="R1733" s="1" t="s">
        <v>29</v>
      </c>
      <c r="S1733" s="1">
        <v>1</v>
      </c>
      <c r="T1733" s="1" t="b">
        <v>1</v>
      </c>
      <c r="U1733" s="1" t="s">
        <v>30</v>
      </c>
      <c r="V1733" s="3">
        <v>3</v>
      </c>
    </row>
    <row r="1734" spans="1:22" x14ac:dyDescent="0.3">
      <c r="A1734" s="2" t="s">
        <v>3961</v>
      </c>
      <c r="B1734" s="10">
        <v>43908</v>
      </c>
      <c r="C1734" s="22">
        <v>43908</v>
      </c>
      <c r="D1734" s="1" t="s">
        <v>3962</v>
      </c>
      <c r="E1734" s="1" t="s">
        <v>676</v>
      </c>
      <c r="F1734" s="1">
        <v>15</v>
      </c>
      <c r="G1734" s="1" t="s">
        <v>68</v>
      </c>
      <c r="H1734" s="1" t="s">
        <v>82</v>
      </c>
      <c r="I1734" s="1" t="s">
        <v>83</v>
      </c>
      <c r="J1734" s="1" t="s">
        <v>44</v>
      </c>
      <c r="K1734" s="1" t="s">
        <v>186</v>
      </c>
      <c r="L1734" s="1">
        <v>6</v>
      </c>
      <c r="M1734" s="13">
        <v>14217.54</v>
      </c>
      <c r="N1734" s="15">
        <v>0.36</v>
      </c>
      <c r="O1734" s="13">
        <v>54182.97</v>
      </c>
      <c r="P1734" s="13">
        <v>16528.59</v>
      </c>
      <c r="Q1734" s="13">
        <v>65.56</v>
      </c>
      <c r="R1734" s="1" t="s">
        <v>51</v>
      </c>
      <c r="S1734" s="1">
        <v>5</v>
      </c>
      <c r="T1734" s="1" t="b">
        <v>0</v>
      </c>
      <c r="U1734" s="1" t="s">
        <v>58</v>
      </c>
      <c r="V1734" s="3">
        <v>9</v>
      </c>
    </row>
    <row r="1735" spans="1:22" x14ac:dyDescent="0.3">
      <c r="A1735" s="2" t="s">
        <v>3963</v>
      </c>
      <c r="B1735" s="10">
        <v>44013</v>
      </c>
      <c r="C1735" s="22">
        <v>44013</v>
      </c>
      <c r="D1735" s="1" t="s">
        <v>3964</v>
      </c>
      <c r="E1735" s="1" t="s">
        <v>894</v>
      </c>
      <c r="F1735" s="1">
        <v>30</v>
      </c>
      <c r="G1735" s="1" t="s">
        <v>34</v>
      </c>
      <c r="H1735" s="1" t="s">
        <v>82</v>
      </c>
      <c r="I1735" s="1" t="s">
        <v>126</v>
      </c>
      <c r="J1735" s="1" t="s">
        <v>37</v>
      </c>
      <c r="K1735" s="1" t="s">
        <v>38</v>
      </c>
      <c r="L1735" s="1">
        <v>9</v>
      </c>
      <c r="M1735" s="13">
        <v>2148.56</v>
      </c>
      <c r="N1735" s="15">
        <v>0.13</v>
      </c>
      <c r="O1735" s="13">
        <v>20282.55</v>
      </c>
      <c r="P1735" s="13">
        <v>9481.52</v>
      </c>
      <c r="Q1735" s="13">
        <v>85.42</v>
      </c>
      <c r="R1735" s="1" t="s">
        <v>57</v>
      </c>
      <c r="S1735" s="1">
        <v>5</v>
      </c>
      <c r="T1735" s="1" t="b">
        <v>0</v>
      </c>
      <c r="U1735" s="1" t="s">
        <v>197</v>
      </c>
      <c r="V1735" s="3">
        <v>6</v>
      </c>
    </row>
    <row r="1736" spans="1:22" x14ac:dyDescent="0.3">
      <c r="A1736" s="2" t="s">
        <v>3965</v>
      </c>
      <c r="B1736" s="10">
        <v>44803</v>
      </c>
      <c r="C1736" s="22">
        <v>44803</v>
      </c>
      <c r="D1736" s="1" t="s">
        <v>3966</v>
      </c>
      <c r="E1736" s="1" t="s">
        <v>1246</v>
      </c>
      <c r="F1736" s="1">
        <v>26</v>
      </c>
      <c r="G1736" s="1" t="s">
        <v>68</v>
      </c>
      <c r="H1736" s="1" t="s">
        <v>82</v>
      </c>
      <c r="I1736" s="1" t="s">
        <v>126</v>
      </c>
      <c r="J1736" s="1" t="s">
        <v>127</v>
      </c>
      <c r="K1736" s="1" t="s">
        <v>196</v>
      </c>
      <c r="L1736" s="1">
        <v>7</v>
      </c>
      <c r="M1736" s="13">
        <v>49602.62</v>
      </c>
      <c r="N1736" s="15">
        <v>0.08</v>
      </c>
      <c r="O1736" s="13">
        <v>439375.74</v>
      </c>
      <c r="P1736" s="13">
        <v>57634.77</v>
      </c>
      <c r="Q1736" s="13">
        <v>76.260000000000005</v>
      </c>
      <c r="R1736" s="1" t="s">
        <v>51</v>
      </c>
      <c r="S1736" s="1">
        <v>4</v>
      </c>
      <c r="T1736" s="1" t="b">
        <v>1</v>
      </c>
      <c r="U1736" s="1" t="s">
        <v>30</v>
      </c>
      <c r="V1736" s="3">
        <v>7</v>
      </c>
    </row>
    <row r="1737" spans="1:22" x14ac:dyDescent="0.3">
      <c r="A1737" s="2" t="s">
        <v>3967</v>
      </c>
      <c r="B1737" s="10">
        <v>44476</v>
      </c>
      <c r="C1737" s="22">
        <v>44476</v>
      </c>
      <c r="D1737" s="1" t="s">
        <v>3968</v>
      </c>
      <c r="E1737" s="1" t="s">
        <v>641</v>
      </c>
      <c r="F1737" s="1">
        <v>42</v>
      </c>
      <c r="G1737" s="1" t="s">
        <v>68</v>
      </c>
      <c r="H1737" s="1" t="s">
        <v>35</v>
      </c>
      <c r="I1737" s="1" t="s">
        <v>49</v>
      </c>
      <c r="J1737" s="1" t="s">
        <v>127</v>
      </c>
      <c r="K1737" s="1" t="s">
        <v>308</v>
      </c>
      <c r="L1737" s="1">
        <v>8</v>
      </c>
      <c r="M1737" s="13">
        <v>32618.21</v>
      </c>
      <c r="N1737" s="15">
        <v>0.24</v>
      </c>
      <c r="O1737" s="13">
        <v>175909.3</v>
      </c>
      <c r="P1737" s="13">
        <v>22171.54</v>
      </c>
      <c r="Q1737" s="13">
        <v>80.63</v>
      </c>
      <c r="R1737" s="1" t="s">
        <v>70</v>
      </c>
      <c r="S1737" s="1">
        <v>5</v>
      </c>
      <c r="T1737" s="1" t="b">
        <v>0</v>
      </c>
      <c r="U1737" s="1" t="s">
        <v>39</v>
      </c>
      <c r="V1737" s="3">
        <v>2</v>
      </c>
    </row>
    <row r="1738" spans="1:22" x14ac:dyDescent="0.3">
      <c r="A1738" s="2" t="s">
        <v>3969</v>
      </c>
      <c r="B1738" s="10">
        <v>45170</v>
      </c>
      <c r="C1738" s="22">
        <v>45170</v>
      </c>
      <c r="D1738" s="1" t="s">
        <v>3970</v>
      </c>
      <c r="E1738" s="1" t="s">
        <v>415</v>
      </c>
      <c r="F1738" s="1">
        <v>38</v>
      </c>
      <c r="G1738" s="1" t="s">
        <v>24</v>
      </c>
      <c r="H1738" s="1" t="s">
        <v>35</v>
      </c>
      <c r="I1738" s="1" t="s">
        <v>43</v>
      </c>
      <c r="J1738" s="1" t="s">
        <v>27</v>
      </c>
      <c r="K1738" s="1" t="s">
        <v>400</v>
      </c>
      <c r="L1738" s="1">
        <v>1</v>
      </c>
      <c r="M1738" s="13">
        <v>166.38</v>
      </c>
      <c r="N1738" s="15">
        <v>0.11</v>
      </c>
      <c r="O1738" s="13">
        <v>187.22</v>
      </c>
      <c r="P1738" s="13">
        <v>18.5</v>
      </c>
      <c r="Q1738" s="13">
        <v>57.01</v>
      </c>
      <c r="R1738" s="1" t="s">
        <v>29</v>
      </c>
      <c r="S1738" s="1">
        <v>5</v>
      </c>
      <c r="T1738" s="1" t="b">
        <v>0</v>
      </c>
      <c r="U1738" s="1" t="s">
        <v>39</v>
      </c>
      <c r="V1738" s="3">
        <v>7</v>
      </c>
    </row>
    <row r="1739" spans="1:22" x14ac:dyDescent="0.3">
      <c r="A1739" s="2" t="s">
        <v>3971</v>
      </c>
      <c r="B1739" s="10">
        <v>43840</v>
      </c>
      <c r="C1739" s="22">
        <v>43840</v>
      </c>
      <c r="D1739" s="1" t="s">
        <v>1683</v>
      </c>
      <c r="E1739" s="1" t="s">
        <v>2214</v>
      </c>
      <c r="F1739" s="1">
        <v>23</v>
      </c>
      <c r="G1739" s="1" t="s">
        <v>34</v>
      </c>
      <c r="H1739" s="1" t="s">
        <v>111</v>
      </c>
      <c r="I1739" s="1" t="s">
        <v>121</v>
      </c>
      <c r="J1739" s="1" t="s">
        <v>146</v>
      </c>
      <c r="K1739" s="1" t="s">
        <v>484</v>
      </c>
      <c r="L1739" s="1">
        <v>9</v>
      </c>
      <c r="M1739" s="13">
        <v>14375.13</v>
      </c>
      <c r="N1739" s="15">
        <v>0.19</v>
      </c>
      <c r="O1739" s="13">
        <v>85772.89</v>
      </c>
      <c r="P1739" s="13">
        <v>14206.15</v>
      </c>
      <c r="Q1739" s="13">
        <v>58.57</v>
      </c>
      <c r="R1739" s="1" t="s">
        <v>57</v>
      </c>
      <c r="S1739" s="1">
        <v>5</v>
      </c>
      <c r="T1739" s="1" t="b">
        <v>0</v>
      </c>
      <c r="U1739" s="1" t="s">
        <v>39</v>
      </c>
      <c r="V1739" s="3">
        <v>2</v>
      </c>
    </row>
    <row r="1740" spans="1:22" x14ac:dyDescent="0.3">
      <c r="A1740" s="2" t="s">
        <v>3972</v>
      </c>
      <c r="B1740" s="10">
        <v>45146</v>
      </c>
      <c r="C1740" s="22">
        <v>45146</v>
      </c>
      <c r="D1740" s="1" t="s">
        <v>3973</v>
      </c>
      <c r="E1740" s="1" t="s">
        <v>2655</v>
      </c>
      <c r="F1740" s="1">
        <v>24</v>
      </c>
      <c r="G1740" s="1" t="s">
        <v>34</v>
      </c>
      <c r="H1740" s="1" t="s">
        <v>25</v>
      </c>
      <c r="I1740" s="1" t="s">
        <v>26</v>
      </c>
      <c r="J1740" s="1" t="s">
        <v>44</v>
      </c>
      <c r="K1740" s="1" t="s">
        <v>117</v>
      </c>
      <c r="L1740" s="1">
        <v>4</v>
      </c>
      <c r="M1740" s="13">
        <v>33469.07</v>
      </c>
      <c r="N1740" s="15">
        <v>0.02</v>
      </c>
      <c r="O1740" s="13">
        <v>211554.01</v>
      </c>
      <c r="P1740" s="13">
        <v>60337.15</v>
      </c>
      <c r="Q1740" s="13">
        <v>33.54</v>
      </c>
      <c r="R1740" s="1" t="s">
        <v>51</v>
      </c>
      <c r="S1740" s="1">
        <v>3</v>
      </c>
      <c r="T1740" s="1" t="b">
        <v>1</v>
      </c>
      <c r="U1740" s="1" t="s">
        <v>30</v>
      </c>
      <c r="V1740" s="3">
        <v>8</v>
      </c>
    </row>
    <row r="1741" spans="1:22" x14ac:dyDescent="0.3">
      <c r="A1741" s="2" t="s">
        <v>3974</v>
      </c>
      <c r="B1741" s="10">
        <v>44877</v>
      </c>
      <c r="C1741" s="22">
        <v>44877</v>
      </c>
      <c r="D1741" s="1" t="s">
        <v>3975</v>
      </c>
      <c r="E1741" s="1" t="s">
        <v>1833</v>
      </c>
      <c r="F1741" s="1">
        <v>26</v>
      </c>
      <c r="G1741" s="1" t="s">
        <v>34</v>
      </c>
      <c r="H1741" s="1" t="s">
        <v>74</v>
      </c>
      <c r="I1741" s="1" t="s">
        <v>75</v>
      </c>
      <c r="J1741" s="1" t="s">
        <v>76</v>
      </c>
      <c r="K1741" s="1" t="s">
        <v>122</v>
      </c>
      <c r="L1741" s="1">
        <v>6</v>
      </c>
      <c r="M1741" s="13">
        <v>2781.83</v>
      </c>
      <c r="N1741" s="15">
        <v>0.34</v>
      </c>
      <c r="O1741" s="13">
        <v>10384.52</v>
      </c>
      <c r="P1741" s="13">
        <v>3543.82</v>
      </c>
      <c r="Q1741" s="13">
        <v>47.91</v>
      </c>
      <c r="R1741" s="1" t="s">
        <v>70</v>
      </c>
      <c r="S1741" s="1">
        <v>2</v>
      </c>
      <c r="T1741" s="1" t="b">
        <v>0</v>
      </c>
      <c r="U1741" s="1" t="s">
        <v>39</v>
      </c>
      <c r="V1741" s="3">
        <v>3</v>
      </c>
    </row>
    <row r="1742" spans="1:22" x14ac:dyDescent="0.3">
      <c r="A1742" s="2" t="s">
        <v>3976</v>
      </c>
      <c r="B1742" s="10">
        <v>44967</v>
      </c>
      <c r="C1742" s="22">
        <v>44967</v>
      </c>
      <c r="D1742" s="1" t="s">
        <v>3977</v>
      </c>
      <c r="E1742" s="1" t="s">
        <v>1601</v>
      </c>
      <c r="F1742" s="1">
        <v>38</v>
      </c>
      <c r="G1742" s="1" t="s">
        <v>68</v>
      </c>
      <c r="H1742" s="1" t="s">
        <v>74</v>
      </c>
      <c r="I1742" s="1" t="s">
        <v>192</v>
      </c>
      <c r="J1742" s="1" t="s">
        <v>76</v>
      </c>
      <c r="K1742" s="1" t="s">
        <v>207</v>
      </c>
      <c r="L1742" s="1">
        <v>9</v>
      </c>
      <c r="M1742" s="13">
        <v>924.21</v>
      </c>
      <c r="N1742" s="15">
        <v>0.25</v>
      </c>
      <c r="O1742" s="13">
        <v>6848.48</v>
      </c>
      <c r="P1742" s="13">
        <v>2169.66</v>
      </c>
      <c r="Q1742" s="13">
        <v>33.880000000000003</v>
      </c>
      <c r="R1742" s="1" t="s">
        <v>29</v>
      </c>
      <c r="S1742" s="1">
        <v>4</v>
      </c>
      <c r="T1742" s="1" t="b">
        <v>0</v>
      </c>
      <c r="U1742" s="1" t="s">
        <v>39</v>
      </c>
      <c r="V1742" s="3">
        <v>6</v>
      </c>
    </row>
    <row r="1743" spans="1:22" x14ac:dyDescent="0.3">
      <c r="A1743" s="2" t="s">
        <v>3978</v>
      </c>
      <c r="B1743" s="10">
        <v>45628</v>
      </c>
      <c r="C1743" s="22">
        <v>45628</v>
      </c>
      <c r="D1743" s="1" t="s">
        <v>3979</v>
      </c>
      <c r="E1743" s="1" t="s">
        <v>1033</v>
      </c>
      <c r="F1743" s="1">
        <v>42</v>
      </c>
      <c r="G1743" s="1" t="s">
        <v>68</v>
      </c>
      <c r="H1743" s="1" t="s">
        <v>25</v>
      </c>
      <c r="I1743" s="1" t="s">
        <v>26</v>
      </c>
      <c r="J1743" s="1" t="s">
        <v>146</v>
      </c>
      <c r="K1743" s="1" t="s">
        <v>217</v>
      </c>
      <c r="L1743" s="1">
        <v>5</v>
      </c>
      <c r="M1743" s="13">
        <v>6804.29</v>
      </c>
      <c r="N1743" s="15">
        <v>0.19</v>
      </c>
      <c r="O1743" s="13">
        <v>29844.9</v>
      </c>
      <c r="P1743" s="13">
        <v>8007.3</v>
      </c>
      <c r="Q1743" s="13">
        <v>38.07</v>
      </c>
      <c r="R1743" s="1" t="s">
        <v>51</v>
      </c>
      <c r="S1743" s="1">
        <v>5</v>
      </c>
      <c r="T1743" s="1" t="b">
        <v>0</v>
      </c>
      <c r="U1743" s="1" t="s">
        <v>39</v>
      </c>
      <c r="V1743" s="3">
        <v>6</v>
      </c>
    </row>
    <row r="1744" spans="1:22" x14ac:dyDescent="0.3">
      <c r="A1744" s="2" t="s">
        <v>3980</v>
      </c>
      <c r="B1744" s="10">
        <v>44818</v>
      </c>
      <c r="C1744" s="22">
        <v>44818</v>
      </c>
      <c r="D1744" s="1" t="s">
        <v>3981</v>
      </c>
      <c r="E1744" s="1" t="s">
        <v>696</v>
      </c>
      <c r="F1744" s="1">
        <v>34</v>
      </c>
      <c r="G1744" s="1" t="s">
        <v>24</v>
      </c>
      <c r="H1744" s="1" t="s">
        <v>111</v>
      </c>
      <c r="I1744" s="1" t="s">
        <v>121</v>
      </c>
      <c r="J1744" s="1" t="s">
        <v>146</v>
      </c>
      <c r="K1744" s="1" t="s">
        <v>484</v>
      </c>
      <c r="L1744" s="1">
        <v>3</v>
      </c>
      <c r="M1744" s="13">
        <v>13367.65</v>
      </c>
      <c r="N1744" s="15">
        <v>0.27</v>
      </c>
      <c r="O1744" s="13">
        <v>30351.3</v>
      </c>
      <c r="P1744" s="13">
        <v>8238.2800000000007</v>
      </c>
      <c r="Q1744" s="13">
        <v>76.52</v>
      </c>
      <c r="R1744" s="1" t="s">
        <v>64</v>
      </c>
      <c r="S1744" s="1">
        <v>3</v>
      </c>
      <c r="T1744" s="1" t="b">
        <v>0</v>
      </c>
      <c r="U1744" s="1" t="s">
        <v>39</v>
      </c>
      <c r="V1744" s="3">
        <v>4</v>
      </c>
    </row>
    <row r="1745" spans="1:22" x14ac:dyDescent="0.3">
      <c r="A1745" s="2" t="s">
        <v>3982</v>
      </c>
      <c r="B1745" s="10">
        <v>43841</v>
      </c>
      <c r="C1745" s="22">
        <v>43841</v>
      </c>
      <c r="D1745" s="1" t="s">
        <v>3983</v>
      </c>
      <c r="E1745" s="1" t="s">
        <v>2900</v>
      </c>
      <c r="F1745" s="1">
        <v>20</v>
      </c>
      <c r="G1745" s="1" t="s">
        <v>68</v>
      </c>
      <c r="H1745" s="1" t="s">
        <v>35</v>
      </c>
      <c r="I1745" s="1" t="s">
        <v>106</v>
      </c>
      <c r="J1745" s="1" t="s">
        <v>146</v>
      </c>
      <c r="K1745" s="1" t="s">
        <v>161</v>
      </c>
      <c r="L1745" s="1">
        <v>5</v>
      </c>
      <c r="M1745" s="13">
        <v>2324.58</v>
      </c>
      <c r="N1745" s="15">
        <v>0.2</v>
      </c>
      <c r="O1745" s="13">
        <v>8032.2</v>
      </c>
      <c r="P1745" s="13">
        <v>1662.26</v>
      </c>
      <c r="Q1745" s="13">
        <v>52.62</v>
      </c>
      <c r="R1745" s="1" t="s">
        <v>51</v>
      </c>
      <c r="S1745" s="1">
        <v>3</v>
      </c>
      <c r="T1745" s="1" t="b">
        <v>0</v>
      </c>
      <c r="U1745" s="1" t="s">
        <v>84</v>
      </c>
      <c r="V1745" s="3">
        <v>4</v>
      </c>
    </row>
    <row r="1746" spans="1:22" x14ac:dyDescent="0.3">
      <c r="A1746" s="2" t="s">
        <v>3984</v>
      </c>
      <c r="B1746" s="10">
        <v>44017</v>
      </c>
      <c r="C1746" s="22">
        <v>44017</v>
      </c>
      <c r="D1746" s="1" t="s">
        <v>3985</v>
      </c>
      <c r="E1746" s="1" t="s">
        <v>1574</v>
      </c>
      <c r="F1746" s="1">
        <v>40</v>
      </c>
      <c r="G1746" s="1" t="s">
        <v>24</v>
      </c>
      <c r="H1746" s="1" t="s">
        <v>25</v>
      </c>
      <c r="I1746" s="1" t="s">
        <v>26</v>
      </c>
      <c r="J1746" s="1" t="s">
        <v>37</v>
      </c>
      <c r="K1746" s="1" t="s">
        <v>231</v>
      </c>
      <c r="L1746" s="1">
        <v>6</v>
      </c>
      <c r="M1746" s="13">
        <v>682.35</v>
      </c>
      <c r="N1746" s="15">
        <v>0.15</v>
      </c>
      <c r="O1746" s="13">
        <v>4243.13</v>
      </c>
      <c r="P1746" s="13">
        <v>2395.37</v>
      </c>
      <c r="Q1746" s="13">
        <v>66.53</v>
      </c>
      <c r="R1746" s="1" t="s">
        <v>64</v>
      </c>
      <c r="S1746" s="1">
        <v>3</v>
      </c>
      <c r="T1746" s="1" t="b">
        <v>0</v>
      </c>
      <c r="U1746" s="1" t="s">
        <v>39</v>
      </c>
      <c r="V1746" s="3">
        <v>5</v>
      </c>
    </row>
    <row r="1747" spans="1:22" x14ac:dyDescent="0.3">
      <c r="A1747" s="2" t="s">
        <v>3986</v>
      </c>
      <c r="B1747" s="10">
        <v>44268</v>
      </c>
      <c r="C1747" s="22">
        <v>44268</v>
      </c>
      <c r="D1747" s="1" t="s">
        <v>3987</v>
      </c>
      <c r="E1747" s="1" t="s">
        <v>1436</v>
      </c>
      <c r="F1747" s="1">
        <v>11</v>
      </c>
      <c r="G1747" s="1" t="s">
        <v>34</v>
      </c>
      <c r="H1747" s="1" t="s">
        <v>25</v>
      </c>
      <c r="I1747" s="1" t="s">
        <v>55</v>
      </c>
      <c r="J1747" s="1" t="s">
        <v>127</v>
      </c>
      <c r="K1747" s="1" t="s">
        <v>128</v>
      </c>
      <c r="L1747" s="1">
        <v>4</v>
      </c>
      <c r="M1747" s="13">
        <v>22676.17</v>
      </c>
      <c r="N1747" s="15">
        <v>0.17</v>
      </c>
      <c r="O1747" s="13">
        <v>85348.7</v>
      </c>
      <c r="P1747" s="13">
        <v>11066.6</v>
      </c>
      <c r="Q1747" s="13">
        <v>67.959999999999994</v>
      </c>
      <c r="R1747" s="1" t="s">
        <v>51</v>
      </c>
      <c r="S1747" s="1">
        <v>1</v>
      </c>
      <c r="T1747" s="1" t="b">
        <v>0</v>
      </c>
      <c r="U1747" s="1" t="s">
        <v>39</v>
      </c>
      <c r="V1747" s="3">
        <v>1</v>
      </c>
    </row>
    <row r="1748" spans="1:22" x14ac:dyDescent="0.3">
      <c r="A1748" s="2" t="s">
        <v>3988</v>
      </c>
      <c r="B1748" s="10">
        <v>44100</v>
      </c>
      <c r="C1748" s="22">
        <v>44100</v>
      </c>
      <c r="D1748" s="1" t="s">
        <v>3989</v>
      </c>
      <c r="E1748" s="1" t="s">
        <v>272</v>
      </c>
      <c r="F1748" s="1">
        <v>44</v>
      </c>
      <c r="G1748" s="1" t="s">
        <v>34</v>
      </c>
      <c r="H1748" s="1" t="s">
        <v>25</v>
      </c>
      <c r="I1748" s="1" t="s">
        <v>26</v>
      </c>
      <c r="J1748" s="1" t="s">
        <v>37</v>
      </c>
      <c r="K1748" s="1" t="s">
        <v>231</v>
      </c>
      <c r="L1748" s="1">
        <v>9</v>
      </c>
      <c r="M1748" s="13">
        <v>2256.35</v>
      </c>
      <c r="N1748" s="15">
        <v>0.31</v>
      </c>
      <c r="O1748" s="13">
        <v>13508.5</v>
      </c>
      <c r="P1748" s="13">
        <v>7604.3</v>
      </c>
      <c r="Q1748" s="13">
        <v>80.48</v>
      </c>
      <c r="R1748" s="1" t="s">
        <v>64</v>
      </c>
      <c r="S1748" s="1">
        <v>5</v>
      </c>
      <c r="T1748" s="1" t="b">
        <v>1</v>
      </c>
      <c r="U1748" s="1" t="s">
        <v>30</v>
      </c>
      <c r="V1748" s="3">
        <v>2</v>
      </c>
    </row>
    <row r="1749" spans="1:22" x14ac:dyDescent="0.3">
      <c r="A1749" s="2" t="s">
        <v>3990</v>
      </c>
      <c r="B1749" s="10">
        <v>45155</v>
      </c>
      <c r="C1749" s="22">
        <v>45155</v>
      </c>
      <c r="D1749" s="1" t="s">
        <v>3991</v>
      </c>
      <c r="E1749" s="1" t="s">
        <v>1246</v>
      </c>
      <c r="F1749" s="1">
        <v>48</v>
      </c>
      <c r="G1749" s="1" t="s">
        <v>24</v>
      </c>
      <c r="H1749" s="1" t="s">
        <v>111</v>
      </c>
      <c r="I1749" s="1" t="s">
        <v>141</v>
      </c>
      <c r="J1749" s="1" t="s">
        <v>76</v>
      </c>
      <c r="K1749" s="1" t="s">
        <v>132</v>
      </c>
      <c r="L1749" s="1">
        <v>4</v>
      </c>
      <c r="M1749" s="13">
        <v>2277.17</v>
      </c>
      <c r="N1749" s="15">
        <v>0.19</v>
      </c>
      <c r="O1749" s="13">
        <v>10944.9</v>
      </c>
      <c r="P1749" s="13">
        <v>4259.5600000000004</v>
      </c>
      <c r="Q1749" s="13">
        <v>68.14</v>
      </c>
      <c r="R1749" s="1" t="s">
        <v>64</v>
      </c>
      <c r="S1749" s="1">
        <v>2</v>
      </c>
      <c r="T1749" s="1" t="b">
        <v>1</v>
      </c>
      <c r="U1749" s="1" t="s">
        <v>30</v>
      </c>
      <c r="V1749" s="3">
        <v>3</v>
      </c>
    </row>
    <row r="1750" spans="1:22" x14ac:dyDescent="0.3">
      <c r="A1750" s="2" t="s">
        <v>3992</v>
      </c>
      <c r="B1750" s="10">
        <v>44211</v>
      </c>
      <c r="C1750" s="22">
        <v>44211</v>
      </c>
      <c r="D1750" s="1" t="s">
        <v>3993</v>
      </c>
      <c r="E1750" s="1" t="s">
        <v>164</v>
      </c>
      <c r="F1750" s="1">
        <v>47</v>
      </c>
      <c r="G1750" s="1" t="s">
        <v>68</v>
      </c>
      <c r="H1750" s="1" t="s">
        <v>35</v>
      </c>
      <c r="I1750" s="1" t="s">
        <v>43</v>
      </c>
      <c r="J1750" s="1" t="s">
        <v>146</v>
      </c>
      <c r="K1750" s="1" t="s">
        <v>276</v>
      </c>
      <c r="L1750" s="1">
        <v>5</v>
      </c>
      <c r="M1750" s="13">
        <v>10407.540000000001</v>
      </c>
      <c r="N1750" s="15">
        <v>0.02</v>
      </c>
      <c r="O1750" s="13">
        <v>43179.3</v>
      </c>
      <c r="P1750" s="13">
        <v>9803.14</v>
      </c>
      <c r="Q1750" s="13">
        <v>66.569999999999993</v>
      </c>
      <c r="R1750" s="1" t="s">
        <v>51</v>
      </c>
      <c r="S1750" s="1">
        <v>1</v>
      </c>
      <c r="T1750" s="1" t="b">
        <v>1</v>
      </c>
      <c r="U1750" s="1" t="s">
        <v>30</v>
      </c>
      <c r="V1750" s="3">
        <v>6</v>
      </c>
    </row>
    <row r="1751" spans="1:22" x14ac:dyDescent="0.3">
      <c r="A1751" s="2" t="s">
        <v>3994</v>
      </c>
      <c r="B1751" s="10">
        <v>44059</v>
      </c>
      <c r="C1751" s="22">
        <v>44059</v>
      </c>
      <c r="D1751" s="1" t="s">
        <v>3995</v>
      </c>
      <c r="E1751" s="1" t="s">
        <v>1733</v>
      </c>
      <c r="F1751" s="1">
        <v>35</v>
      </c>
      <c r="G1751" s="1" t="s">
        <v>391</v>
      </c>
      <c r="H1751" s="1" t="s">
        <v>111</v>
      </c>
      <c r="I1751" s="1" t="s">
        <v>330</v>
      </c>
      <c r="J1751" s="1" t="s">
        <v>27</v>
      </c>
      <c r="K1751" s="1" t="s">
        <v>56</v>
      </c>
      <c r="L1751" s="1">
        <v>10</v>
      </c>
      <c r="M1751" s="13">
        <v>322.14999999999998</v>
      </c>
      <c r="N1751" s="15">
        <v>0.26</v>
      </c>
      <c r="O1751" s="13">
        <v>2631.92</v>
      </c>
      <c r="P1751" s="13">
        <v>219.32</v>
      </c>
      <c r="Q1751" s="13">
        <v>72.89</v>
      </c>
      <c r="R1751" s="1" t="s">
        <v>51</v>
      </c>
      <c r="S1751" s="1">
        <v>4</v>
      </c>
      <c r="T1751" s="1" t="b">
        <v>0</v>
      </c>
      <c r="U1751" s="1" t="s">
        <v>39</v>
      </c>
      <c r="V1751" s="3">
        <v>5</v>
      </c>
    </row>
    <row r="1752" spans="1:22" x14ac:dyDescent="0.3">
      <c r="A1752" s="2" t="s">
        <v>3996</v>
      </c>
      <c r="B1752" s="10">
        <v>45427</v>
      </c>
      <c r="C1752" s="22">
        <v>45427</v>
      </c>
      <c r="D1752" s="1" t="s">
        <v>3997</v>
      </c>
      <c r="E1752" s="1" t="s">
        <v>552</v>
      </c>
      <c r="F1752" s="1">
        <v>27</v>
      </c>
      <c r="G1752" s="1" t="s">
        <v>24</v>
      </c>
      <c r="H1752" s="1" t="s">
        <v>74</v>
      </c>
      <c r="I1752" s="1" t="s">
        <v>75</v>
      </c>
      <c r="J1752" s="1" t="s">
        <v>76</v>
      </c>
      <c r="K1752" s="1" t="s">
        <v>77</v>
      </c>
      <c r="L1752" s="1">
        <v>1</v>
      </c>
      <c r="M1752" s="13">
        <v>2208.92</v>
      </c>
      <c r="N1752" s="15">
        <v>0.2</v>
      </c>
      <c r="O1752" s="13">
        <v>2768.11</v>
      </c>
      <c r="P1752" s="13">
        <v>796.01</v>
      </c>
      <c r="Q1752" s="13">
        <v>73.64</v>
      </c>
      <c r="R1752" s="1" t="s">
        <v>57</v>
      </c>
      <c r="S1752" s="1">
        <v>5</v>
      </c>
      <c r="T1752" s="1" t="b">
        <v>0</v>
      </c>
      <c r="U1752" s="1" t="s">
        <v>39</v>
      </c>
      <c r="V1752" s="3">
        <v>1</v>
      </c>
    </row>
    <row r="1753" spans="1:22" x14ac:dyDescent="0.3">
      <c r="A1753" s="2" t="s">
        <v>3998</v>
      </c>
      <c r="B1753" s="10">
        <v>45589</v>
      </c>
      <c r="C1753" s="22">
        <v>45589</v>
      </c>
      <c r="D1753" s="1" t="s">
        <v>3999</v>
      </c>
      <c r="E1753" s="1" t="s">
        <v>33</v>
      </c>
      <c r="F1753" s="1">
        <v>58</v>
      </c>
      <c r="G1753" s="1" t="s">
        <v>24</v>
      </c>
      <c r="H1753" s="1" t="s">
        <v>82</v>
      </c>
      <c r="I1753" s="1" t="s">
        <v>83</v>
      </c>
      <c r="J1753" s="1" t="s">
        <v>62</v>
      </c>
      <c r="K1753" s="1" t="s">
        <v>570</v>
      </c>
      <c r="L1753" s="1">
        <v>5</v>
      </c>
      <c r="M1753" s="13">
        <v>1349.81</v>
      </c>
      <c r="N1753" s="15">
        <v>0.08</v>
      </c>
      <c r="O1753" s="13">
        <v>6739.7</v>
      </c>
      <c r="P1753" s="13">
        <v>3176.85</v>
      </c>
      <c r="Q1753" s="13">
        <v>79.58</v>
      </c>
      <c r="R1753" s="1" t="s">
        <v>57</v>
      </c>
      <c r="S1753" s="1">
        <v>2</v>
      </c>
      <c r="T1753" s="1" t="b">
        <v>0</v>
      </c>
      <c r="U1753" s="1" t="s">
        <v>84</v>
      </c>
      <c r="V1753" s="3">
        <v>10</v>
      </c>
    </row>
    <row r="1754" spans="1:22" x14ac:dyDescent="0.3">
      <c r="A1754" s="2" t="s">
        <v>4000</v>
      </c>
      <c r="B1754" s="10">
        <v>45344</v>
      </c>
      <c r="C1754" s="22">
        <v>45344</v>
      </c>
      <c r="D1754" s="1" t="s">
        <v>4001</v>
      </c>
      <c r="E1754" s="1" t="s">
        <v>801</v>
      </c>
      <c r="F1754" s="1">
        <v>44</v>
      </c>
      <c r="G1754" s="1" t="s">
        <v>68</v>
      </c>
      <c r="H1754" s="1" t="s">
        <v>25</v>
      </c>
      <c r="I1754" s="1" t="s">
        <v>26</v>
      </c>
      <c r="J1754" s="1" t="s">
        <v>27</v>
      </c>
      <c r="K1754" s="1" t="s">
        <v>400</v>
      </c>
      <c r="L1754" s="1">
        <v>3</v>
      </c>
      <c r="M1754" s="13">
        <v>74.2</v>
      </c>
      <c r="N1754" s="15">
        <v>0.24</v>
      </c>
      <c r="O1754" s="13">
        <v>203.22</v>
      </c>
      <c r="P1754" s="13">
        <v>12.54</v>
      </c>
      <c r="Q1754" s="13">
        <v>53.05</v>
      </c>
      <c r="R1754" s="1" t="s">
        <v>51</v>
      </c>
      <c r="S1754" s="1">
        <v>2</v>
      </c>
      <c r="T1754" s="1" t="b">
        <v>0</v>
      </c>
      <c r="U1754" s="1" t="s">
        <v>39</v>
      </c>
      <c r="V1754" s="3">
        <v>10</v>
      </c>
    </row>
    <row r="1755" spans="1:22" x14ac:dyDescent="0.3">
      <c r="A1755" s="2" t="s">
        <v>4002</v>
      </c>
      <c r="B1755" s="10">
        <v>45240</v>
      </c>
      <c r="C1755" s="22">
        <v>45240</v>
      </c>
      <c r="D1755" s="1" t="s">
        <v>4003</v>
      </c>
      <c r="E1755" s="1" t="s">
        <v>1681</v>
      </c>
      <c r="F1755" s="1">
        <v>50</v>
      </c>
      <c r="G1755" s="1" t="s">
        <v>68</v>
      </c>
      <c r="H1755" s="1" t="s">
        <v>35</v>
      </c>
      <c r="I1755" s="1" t="s">
        <v>106</v>
      </c>
      <c r="J1755" s="1" t="s">
        <v>44</v>
      </c>
      <c r="K1755" s="1" t="s">
        <v>117</v>
      </c>
      <c r="L1755" s="1">
        <v>6</v>
      </c>
      <c r="M1755" s="13">
        <v>34185.33</v>
      </c>
      <c r="N1755" s="15">
        <v>0.21</v>
      </c>
      <c r="O1755" s="13">
        <v>176966.47</v>
      </c>
      <c r="P1755" s="13">
        <v>57877.84</v>
      </c>
      <c r="Q1755" s="13">
        <v>63.45</v>
      </c>
      <c r="R1755" s="1" t="s">
        <v>64</v>
      </c>
      <c r="S1755" s="1">
        <v>2</v>
      </c>
      <c r="T1755" s="1" t="b">
        <v>0</v>
      </c>
      <c r="U1755" s="1" t="s">
        <v>39</v>
      </c>
      <c r="V1755" s="3">
        <v>2</v>
      </c>
    </row>
    <row r="1756" spans="1:22" x14ac:dyDescent="0.3">
      <c r="A1756" s="2" t="s">
        <v>4004</v>
      </c>
      <c r="B1756" s="10">
        <v>44340</v>
      </c>
      <c r="C1756" s="22">
        <v>44340</v>
      </c>
      <c r="D1756" s="1" t="s">
        <v>4005</v>
      </c>
      <c r="E1756" s="1" t="s">
        <v>2140</v>
      </c>
      <c r="F1756" s="1">
        <v>21</v>
      </c>
      <c r="G1756" s="1" t="s">
        <v>24</v>
      </c>
      <c r="H1756" s="1" t="s">
        <v>35</v>
      </c>
      <c r="I1756" s="1" t="s">
        <v>49</v>
      </c>
      <c r="J1756" s="1" t="s">
        <v>62</v>
      </c>
      <c r="K1756" s="1" t="s">
        <v>266</v>
      </c>
      <c r="L1756" s="1">
        <v>2</v>
      </c>
      <c r="M1756" s="13">
        <v>810.88</v>
      </c>
      <c r="N1756" s="15">
        <v>0.39</v>
      </c>
      <c r="O1756" s="13">
        <v>1381.05</v>
      </c>
      <c r="P1756" s="13">
        <v>500.04</v>
      </c>
      <c r="Q1756" s="13">
        <v>42.7</v>
      </c>
      <c r="R1756" s="1" t="s">
        <v>29</v>
      </c>
      <c r="S1756" s="1">
        <v>5</v>
      </c>
      <c r="T1756" s="1" t="b">
        <v>0</v>
      </c>
      <c r="U1756" s="1" t="s">
        <v>699</v>
      </c>
      <c r="V1756" s="3">
        <v>2</v>
      </c>
    </row>
    <row r="1757" spans="1:22" x14ac:dyDescent="0.3">
      <c r="A1757" s="2" t="s">
        <v>4006</v>
      </c>
      <c r="B1757" s="10">
        <v>44991</v>
      </c>
      <c r="C1757" s="22">
        <v>44991</v>
      </c>
      <c r="D1757" s="1" t="s">
        <v>4007</v>
      </c>
      <c r="E1757" s="1" t="s">
        <v>1044</v>
      </c>
      <c r="F1757" s="1">
        <v>43</v>
      </c>
      <c r="G1757" s="1" t="s">
        <v>34</v>
      </c>
      <c r="H1757" s="1" t="s">
        <v>74</v>
      </c>
      <c r="I1757" s="1" t="s">
        <v>101</v>
      </c>
      <c r="J1757" s="1" t="s">
        <v>37</v>
      </c>
      <c r="K1757" s="1" t="s">
        <v>671</v>
      </c>
      <c r="L1757" s="1">
        <v>7</v>
      </c>
      <c r="M1757" s="13">
        <v>142.6</v>
      </c>
      <c r="N1757" s="15">
        <v>0.04</v>
      </c>
      <c r="O1757" s="13">
        <v>1268.77</v>
      </c>
      <c r="P1757" s="13">
        <v>481.8</v>
      </c>
      <c r="Q1757" s="13">
        <v>55.31</v>
      </c>
      <c r="R1757" s="1" t="s">
        <v>70</v>
      </c>
      <c r="S1757" s="1">
        <v>2</v>
      </c>
      <c r="T1757" s="1" t="b">
        <v>0</v>
      </c>
      <c r="U1757" s="1" t="s">
        <v>58</v>
      </c>
      <c r="V1757" s="3">
        <v>5</v>
      </c>
    </row>
    <row r="1758" spans="1:22" x14ac:dyDescent="0.3">
      <c r="A1758" s="2" t="s">
        <v>4008</v>
      </c>
      <c r="B1758" s="10">
        <v>44231</v>
      </c>
      <c r="C1758" s="22">
        <v>44231</v>
      </c>
      <c r="D1758" s="1" t="s">
        <v>4009</v>
      </c>
      <c r="E1758" s="1" t="s">
        <v>1955</v>
      </c>
      <c r="F1758" s="1">
        <v>34</v>
      </c>
      <c r="G1758" s="1" t="s">
        <v>34</v>
      </c>
      <c r="H1758" s="1" t="s">
        <v>35</v>
      </c>
      <c r="I1758" s="1" t="s">
        <v>49</v>
      </c>
      <c r="J1758" s="1" t="s">
        <v>76</v>
      </c>
      <c r="K1758" s="1" t="s">
        <v>77</v>
      </c>
      <c r="L1758" s="1">
        <v>9</v>
      </c>
      <c r="M1758" s="13">
        <v>3473.33</v>
      </c>
      <c r="N1758" s="15">
        <v>0.26</v>
      </c>
      <c r="O1758" s="13">
        <v>20518.25</v>
      </c>
      <c r="P1758" s="13">
        <v>6894.62</v>
      </c>
      <c r="Q1758" s="13">
        <v>54.27</v>
      </c>
      <c r="R1758" s="1" t="s">
        <v>78</v>
      </c>
      <c r="S1758" s="1">
        <v>2</v>
      </c>
      <c r="T1758" s="1" t="b">
        <v>0</v>
      </c>
      <c r="U1758" s="1" t="s">
        <v>39</v>
      </c>
      <c r="V1758" s="3">
        <v>1</v>
      </c>
    </row>
    <row r="1759" spans="1:22" x14ac:dyDescent="0.3">
      <c r="A1759" s="2" t="s">
        <v>4010</v>
      </c>
      <c r="B1759" s="10">
        <v>45487</v>
      </c>
      <c r="C1759" s="22">
        <v>45487</v>
      </c>
      <c r="D1759" s="1" t="s">
        <v>4011</v>
      </c>
      <c r="E1759" s="1" t="s">
        <v>234</v>
      </c>
      <c r="F1759" s="1">
        <v>42</v>
      </c>
      <c r="G1759" s="1" t="s">
        <v>34</v>
      </c>
      <c r="H1759" s="1" t="s">
        <v>82</v>
      </c>
      <c r="I1759" s="1" t="s">
        <v>293</v>
      </c>
      <c r="J1759" s="1" t="s">
        <v>146</v>
      </c>
      <c r="K1759" s="1" t="s">
        <v>147</v>
      </c>
      <c r="L1759" s="1">
        <v>3</v>
      </c>
      <c r="M1759" s="13">
        <v>2246.75</v>
      </c>
      <c r="N1759" s="15">
        <v>0.09</v>
      </c>
      <c r="O1759" s="13">
        <v>10430.01</v>
      </c>
      <c r="P1759" s="13">
        <v>2923.56</v>
      </c>
      <c r="Q1759" s="13">
        <v>75.87</v>
      </c>
      <c r="R1759" s="1" t="s">
        <v>57</v>
      </c>
      <c r="S1759" s="1">
        <v>3</v>
      </c>
      <c r="T1759" s="1" t="b">
        <v>0</v>
      </c>
      <c r="U1759" s="1" t="s">
        <v>39</v>
      </c>
      <c r="V1759" s="3">
        <v>7</v>
      </c>
    </row>
    <row r="1760" spans="1:22" x14ac:dyDescent="0.3">
      <c r="A1760" s="2" t="s">
        <v>4012</v>
      </c>
      <c r="B1760" s="10">
        <v>45246</v>
      </c>
      <c r="C1760" s="22">
        <v>45246</v>
      </c>
      <c r="D1760" s="1" t="s">
        <v>4013</v>
      </c>
      <c r="E1760" s="1" t="s">
        <v>157</v>
      </c>
      <c r="F1760" s="1">
        <v>35</v>
      </c>
      <c r="G1760" s="1" t="s">
        <v>24</v>
      </c>
      <c r="H1760" s="1" t="s">
        <v>111</v>
      </c>
      <c r="I1760" s="1" t="s">
        <v>112</v>
      </c>
      <c r="J1760" s="1" t="s">
        <v>76</v>
      </c>
      <c r="K1760" s="1" t="s">
        <v>113</v>
      </c>
      <c r="L1760" s="1">
        <v>5</v>
      </c>
      <c r="M1760" s="13">
        <v>2427.77</v>
      </c>
      <c r="N1760" s="15">
        <v>0.37</v>
      </c>
      <c r="O1760" s="13">
        <v>6775.69</v>
      </c>
      <c r="P1760" s="13">
        <v>2397.7199999999998</v>
      </c>
      <c r="Q1760" s="13">
        <v>59.3</v>
      </c>
      <c r="R1760" s="1" t="s">
        <v>51</v>
      </c>
      <c r="S1760" s="1">
        <v>3</v>
      </c>
      <c r="T1760" s="1" t="b">
        <v>0</v>
      </c>
      <c r="U1760" s="1" t="s">
        <v>39</v>
      </c>
      <c r="V1760" s="3">
        <v>2</v>
      </c>
    </row>
    <row r="1761" spans="1:22" x14ac:dyDescent="0.3">
      <c r="A1761" s="2" t="s">
        <v>4014</v>
      </c>
      <c r="B1761" s="10">
        <v>44534</v>
      </c>
      <c r="C1761" s="22">
        <v>44534</v>
      </c>
      <c r="D1761" s="1" t="s">
        <v>4015</v>
      </c>
      <c r="E1761" s="1" t="s">
        <v>250</v>
      </c>
      <c r="F1761" s="1">
        <v>46</v>
      </c>
      <c r="G1761" s="1" t="s">
        <v>24</v>
      </c>
      <c r="H1761" s="1" t="s">
        <v>25</v>
      </c>
      <c r="I1761" s="1" t="s">
        <v>55</v>
      </c>
      <c r="J1761" s="1" t="s">
        <v>37</v>
      </c>
      <c r="K1761" s="1" t="s">
        <v>38</v>
      </c>
      <c r="L1761" s="1">
        <v>8</v>
      </c>
      <c r="M1761" s="13">
        <v>2183.25</v>
      </c>
      <c r="N1761" s="15">
        <v>0.33</v>
      </c>
      <c r="O1761" s="13">
        <v>9813.33</v>
      </c>
      <c r="P1761" s="13">
        <v>3029.21</v>
      </c>
      <c r="Q1761" s="13">
        <v>47.17</v>
      </c>
      <c r="R1761" s="1" t="s">
        <v>78</v>
      </c>
      <c r="S1761" s="1">
        <v>2</v>
      </c>
      <c r="T1761" s="1" t="b">
        <v>0</v>
      </c>
      <c r="U1761" s="1" t="s">
        <v>39</v>
      </c>
      <c r="V1761" s="3">
        <v>5</v>
      </c>
    </row>
    <row r="1762" spans="1:22" x14ac:dyDescent="0.3">
      <c r="A1762" s="2" t="s">
        <v>4016</v>
      </c>
      <c r="B1762" s="10">
        <v>44091</v>
      </c>
      <c r="C1762" s="22">
        <v>44091</v>
      </c>
      <c r="D1762" s="1" t="s">
        <v>4017</v>
      </c>
      <c r="E1762" s="1" t="s">
        <v>2655</v>
      </c>
      <c r="F1762" s="1">
        <v>31</v>
      </c>
      <c r="G1762" s="1" t="s">
        <v>68</v>
      </c>
      <c r="H1762" s="1" t="s">
        <v>35</v>
      </c>
      <c r="I1762" s="1" t="s">
        <v>49</v>
      </c>
      <c r="J1762" s="1" t="s">
        <v>62</v>
      </c>
      <c r="K1762" s="1" t="s">
        <v>107</v>
      </c>
      <c r="L1762" s="1">
        <v>7</v>
      </c>
      <c r="M1762" s="13">
        <v>477.86</v>
      </c>
      <c r="N1762" s="15">
        <v>0.36</v>
      </c>
      <c r="O1762" s="13">
        <v>2149.2600000000002</v>
      </c>
      <c r="P1762" s="13">
        <v>674.69</v>
      </c>
      <c r="Q1762" s="13">
        <v>44.92</v>
      </c>
      <c r="R1762" s="1" t="s">
        <v>57</v>
      </c>
      <c r="S1762" s="1">
        <v>3</v>
      </c>
      <c r="T1762" s="1" t="b">
        <v>0</v>
      </c>
      <c r="U1762" s="1" t="s">
        <v>39</v>
      </c>
      <c r="V1762" s="3">
        <v>3</v>
      </c>
    </row>
    <row r="1763" spans="1:22" x14ac:dyDescent="0.3">
      <c r="A1763" s="2" t="s">
        <v>4018</v>
      </c>
      <c r="B1763" s="10">
        <v>45290</v>
      </c>
      <c r="C1763" s="22">
        <v>45290</v>
      </c>
      <c r="D1763" s="1" t="s">
        <v>4019</v>
      </c>
      <c r="E1763" s="1" t="s">
        <v>357</v>
      </c>
      <c r="F1763" s="1">
        <v>35</v>
      </c>
      <c r="G1763" s="1" t="s">
        <v>34</v>
      </c>
      <c r="H1763" s="1" t="s">
        <v>25</v>
      </c>
      <c r="I1763" s="1" t="s">
        <v>26</v>
      </c>
      <c r="J1763" s="1" t="s">
        <v>76</v>
      </c>
      <c r="K1763" s="1" t="s">
        <v>207</v>
      </c>
      <c r="L1763" s="1">
        <v>6</v>
      </c>
      <c r="M1763" s="13">
        <v>2039.2</v>
      </c>
      <c r="N1763" s="15">
        <v>0.25</v>
      </c>
      <c r="O1763" s="13">
        <v>9153.0499999999993</v>
      </c>
      <c r="P1763" s="13">
        <v>5063.5200000000004</v>
      </c>
      <c r="Q1763" s="13">
        <v>61.17</v>
      </c>
      <c r="R1763" s="1" t="s">
        <v>51</v>
      </c>
      <c r="S1763" s="1">
        <v>4</v>
      </c>
      <c r="T1763" s="1" t="b">
        <v>0</v>
      </c>
      <c r="U1763" s="1" t="s">
        <v>39</v>
      </c>
      <c r="V1763" s="3">
        <v>6</v>
      </c>
    </row>
    <row r="1764" spans="1:22" x14ac:dyDescent="0.3">
      <c r="A1764" s="2" t="s">
        <v>4020</v>
      </c>
      <c r="B1764" s="10">
        <v>45392</v>
      </c>
      <c r="C1764" s="22">
        <v>45392</v>
      </c>
      <c r="D1764" s="1" t="s">
        <v>4021</v>
      </c>
      <c r="E1764" s="1" t="s">
        <v>635</v>
      </c>
      <c r="F1764" s="1">
        <v>34</v>
      </c>
      <c r="G1764" s="1" t="s">
        <v>68</v>
      </c>
      <c r="H1764" s="1" t="s">
        <v>35</v>
      </c>
      <c r="I1764" s="1" t="s">
        <v>36</v>
      </c>
      <c r="J1764" s="1" t="s">
        <v>37</v>
      </c>
      <c r="K1764" s="1" t="s">
        <v>38</v>
      </c>
      <c r="L1764" s="1">
        <v>10</v>
      </c>
      <c r="M1764" s="13">
        <v>1620.62</v>
      </c>
      <c r="N1764" s="15">
        <v>0.23</v>
      </c>
      <c r="O1764" s="13">
        <v>21174.44</v>
      </c>
      <c r="P1764" s="13">
        <v>5674.7</v>
      </c>
      <c r="Q1764" s="13">
        <v>44.36</v>
      </c>
      <c r="R1764" s="1" t="s">
        <v>29</v>
      </c>
      <c r="S1764" s="1">
        <v>1</v>
      </c>
      <c r="T1764" s="1" t="b">
        <v>1</v>
      </c>
      <c r="U1764" s="1" t="s">
        <v>30</v>
      </c>
      <c r="V1764" s="3">
        <v>8</v>
      </c>
    </row>
    <row r="1765" spans="1:22" x14ac:dyDescent="0.3">
      <c r="A1765" s="2" t="s">
        <v>4022</v>
      </c>
      <c r="B1765" s="10">
        <v>44845</v>
      </c>
      <c r="C1765" s="22">
        <v>44845</v>
      </c>
      <c r="D1765" s="1" t="s">
        <v>4023</v>
      </c>
      <c r="E1765" s="1" t="s">
        <v>1327</v>
      </c>
      <c r="F1765" s="1">
        <v>33</v>
      </c>
      <c r="G1765" s="1" t="s">
        <v>68</v>
      </c>
      <c r="H1765" s="1" t="s">
        <v>82</v>
      </c>
      <c r="I1765" s="1" t="s">
        <v>126</v>
      </c>
      <c r="J1765" s="1" t="s">
        <v>62</v>
      </c>
      <c r="K1765" s="1" t="s">
        <v>63</v>
      </c>
      <c r="L1765" s="1">
        <v>4</v>
      </c>
      <c r="M1765" s="13">
        <v>417.82</v>
      </c>
      <c r="N1765" s="15">
        <v>0.02</v>
      </c>
      <c r="O1765" s="13">
        <v>1766.12</v>
      </c>
      <c r="P1765" s="13">
        <v>656.08</v>
      </c>
      <c r="Q1765" s="13">
        <v>75.989999999999995</v>
      </c>
      <c r="R1765" s="1" t="s">
        <v>64</v>
      </c>
      <c r="S1765" s="1">
        <v>2</v>
      </c>
      <c r="T1765" s="1" t="b">
        <v>0</v>
      </c>
      <c r="U1765" s="1" t="s">
        <v>39</v>
      </c>
      <c r="V1765" s="3">
        <v>3</v>
      </c>
    </row>
    <row r="1766" spans="1:22" x14ac:dyDescent="0.3">
      <c r="A1766" s="2" t="s">
        <v>4024</v>
      </c>
      <c r="B1766" s="10">
        <v>44323</v>
      </c>
      <c r="C1766" s="22">
        <v>44323</v>
      </c>
      <c r="D1766" s="1" t="s">
        <v>4025</v>
      </c>
      <c r="E1766" s="1" t="s">
        <v>286</v>
      </c>
      <c r="F1766" s="1">
        <v>26</v>
      </c>
      <c r="G1766" s="1" t="s">
        <v>34</v>
      </c>
      <c r="H1766" s="1" t="s">
        <v>111</v>
      </c>
      <c r="I1766" s="1" t="s">
        <v>141</v>
      </c>
      <c r="J1766" s="1" t="s">
        <v>37</v>
      </c>
      <c r="K1766" s="1" t="s">
        <v>231</v>
      </c>
      <c r="L1766" s="1">
        <v>9</v>
      </c>
      <c r="M1766" s="13">
        <v>1526.75</v>
      </c>
      <c r="N1766" s="15">
        <v>0.05</v>
      </c>
      <c r="O1766" s="13">
        <v>20189.330000000002</v>
      </c>
      <c r="P1766" s="13">
        <v>9972.58</v>
      </c>
      <c r="Q1766" s="13">
        <v>67.44</v>
      </c>
      <c r="R1766" s="1" t="s">
        <v>78</v>
      </c>
      <c r="S1766" s="1">
        <v>3</v>
      </c>
      <c r="T1766" s="1" t="b">
        <v>0</v>
      </c>
      <c r="U1766" s="1" t="s">
        <v>39</v>
      </c>
      <c r="V1766" s="3">
        <v>8</v>
      </c>
    </row>
    <row r="1767" spans="1:22" x14ac:dyDescent="0.3">
      <c r="A1767" s="2" t="s">
        <v>4026</v>
      </c>
      <c r="B1767" s="10">
        <v>44717</v>
      </c>
      <c r="C1767" s="22">
        <v>44717</v>
      </c>
      <c r="D1767" s="1" t="s">
        <v>4027</v>
      </c>
      <c r="E1767" s="1" t="s">
        <v>1204</v>
      </c>
      <c r="F1767" s="1">
        <v>28</v>
      </c>
      <c r="G1767" s="1" t="s">
        <v>24</v>
      </c>
      <c r="H1767" s="1" t="s">
        <v>82</v>
      </c>
      <c r="I1767" s="1" t="s">
        <v>293</v>
      </c>
      <c r="J1767" s="1" t="s">
        <v>44</v>
      </c>
      <c r="K1767" s="1" t="s">
        <v>221</v>
      </c>
      <c r="L1767" s="1">
        <v>5</v>
      </c>
      <c r="M1767" s="13">
        <v>34373.42</v>
      </c>
      <c r="N1767" s="15">
        <v>0.27</v>
      </c>
      <c r="O1767" s="13">
        <v>169000.08</v>
      </c>
      <c r="P1767" s="13">
        <v>50613.06</v>
      </c>
      <c r="Q1767" s="13">
        <v>89.82</v>
      </c>
      <c r="R1767" s="1" t="s">
        <v>29</v>
      </c>
      <c r="S1767" s="1">
        <v>1</v>
      </c>
      <c r="T1767" s="1" t="b">
        <v>1</v>
      </c>
      <c r="U1767" s="1" t="s">
        <v>30</v>
      </c>
      <c r="V1767" s="3">
        <v>5</v>
      </c>
    </row>
    <row r="1768" spans="1:22" x14ac:dyDescent="0.3">
      <c r="A1768" s="2" t="s">
        <v>4028</v>
      </c>
      <c r="B1768" s="10">
        <v>45509</v>
      </c>
      <c r="C1768" s="22">
        <v>45509</v>
      </c>
      <c r="D1768" s="1" t="s">
        <v>4029</v>
      </c>
      <c r="E1768" s="1" t="s">
        <v>755</v>
      </c>
      <c r="F1768" s="1">
        <v>41</v>
      </c>
      <c r="G1768" s="1" t="s">
        <v>24</v>
      </c>
      <c r="H1768" s="1" t="s">
        <v>82</v>
      </c>
      <c r="I1768" s="1" t="s">
        <v>244</v>
      </c>
      <c r="J1768" s="1" t="s">
        <v>127</v>
      </c>
      <c r="K1768" s="1" t="s">
        <v>517</v>
      </c>
      <c r="L1768" s="1">
        <v>5</v>
      </c>
      <c r="M1768" s="13">
        <v>64468.92</v>
      </c>
      <c r="N1768" s="15">
        <v>0.2</v>
      </c>
      <c r="O1768" s="13">
        <v>374699.96</v>
      </c>
      <c r="P1768" s="13">
        <v>48329.91</v>
      </c>
      <c r="Q1768" s="13">
        <v>79.41</v>
      </c>
      <c r="R1768" s="1" t="s">
        <v>57</v>
      </c>
      <c r="S1768" s="1">
        <v>1</v>
      </c>
      <c r="T1768" s="1" t="b">
        <v>0</v>
      </c>
      <c r="U1768" s="1" t="s">
        <v>137</v>
      </c>
      <c r="V1768" s="3">
        <v>10</v>
      </c>
    </row>
    <row r="1769" spans="1:22" x14ac:dyDescent="0.3">
      <c r="A1769" s="2" t="s">
        <v>4030</v>
      </c>
      <c r="B1769" s="10">
        <v>45232</v>
      </c>
      <c r="C1769" s="22">
        <v>45232</v>
      </c>
      <c r="D1769" s="1" t="s">
        <v>4031</v>
      </c>
      <c r="E1769" s="1" t="s">
        <v>804</v>
      </c>
      <c r="F1769" s="1">
        <v>38</v>
      </c>
      <c r="G1769" s="1" t="s">
        <v>391</v>
      </c>
      <c r="H1769" s="1" t="s">
        <v>82</v>
      </c>
      <c r="I1769" s="1" t="s">
        <v>126</v>
      </c>
      <c r="J1769" s="1" t="s">
        <v>37</v>
      </c>
      <c r="K1769" s="1" t="s">
        <v>454</v>
      </c>
      <c r="L1769" s="1">
        <v>7</v>
      </c>
      <c r="M1769" s="13">
        <v>315.92</v>
      </c>
      <c r="N1769" s="15">
        <v>0.21</v>
      </c>
      <c r="O1769" s="13">
        <v>1848.67</v>
      </c>
      <c r="P1769" s="13">
        <v>652.99</v>
      </c>
      <c r="Q1769" s="13">
        <v>76.209999999999994</v>
      </c>
      <c r="R1769" s="1" t="s">
        <v>64</v>
      </c>
      <c r="S1769" s="1">
        <v>3</v>
      </c>
      <c r="T1769" s="1" t="b">
        <v>0</v>
      </c>
      <c r="U1769" s="1" t="s">
        <v>39</v>
      </c>
      <c r="V1769" s="3">
        <v>4</v>
      </c>
    </row>
    <row r="1770" spans="1:22" x14ac:dyDescent="0.3">
      <c r="A1770" s="2" t="s">
        <v>4032</v>
      </c>
      <c r="B1770" s="10">
        <v>44148</v>
      </c>
      <c r="C1770" s="22">
        <v>44148</v>
      </c>
      <c r="D1770" s="1" t="s">
        <v>4033</v>
      </c>
      <c r="E1770" s="1" t="s">
        <v>872</v>
      </c>
      <c r="F1770" s="1">
        <v>34</v>
      </c>
      <c r="G1770" s="1" t="s">
        <v>68</v>
      </c>
      <c r="H1770" s="1" t="s">
        <v>25</v>
      </c>
      <c r="I1770" s="1" t="s">
        <v>55</v>
      </c>
      <c r="J1770" s="1" t="s">
        <v>44</v>
      </c>
      <c r="K1770" s="1" t="s">
        <v>50</v>
      </c>
      <c r="L1770" s="1">
        <v>5</v>
      </c>
      <c r="M1770" s="13">
        <v>5883.06</v>
      </c>
      <c r="N1770" s="15">
        <v>0.15</v>
      </c>
      <c r="O1770" s="13">
        <v>18273.96</v>
      </c>
      <c r="P1770" s="13">
        <v>5925.19</v>
      </c>
      <c r="Q1770" s="13">
        <v>69.28</v>
      </c>
      <c r="R1770" s="1" t="s">
        <v>64</v>
      </c>
      <c r="S1770" s="1">
        <v>2</v>
      </c>
      <c r="T1770" s="1" t="b">
        <v>0</v>
      </c>
      <c r="U1770" s="1" t="s">
        <v>137</v>
      </c>
      <c r="V1770" s="3">
        <v>9</v>
      </c>
    </row>
    <row r="1771" spans="1:22" x14ac:dyDescent="0.3">
      <c r="A1771" s="2" t="s">
        <v>4034</v>
      </c>
      <c r="B1771" s="10">
        <v>45136</v>
      </c>
      <c r="C1771" s="22">
        <v>45136</v>
      </c>
      <c r="D1771" s="1" t="s">
        <v>4035</v>
      </c>
      <c r="E1771" s="1" t="s">
        <v>1340</v>
      </c>
      <c r="F1771" s="1">
        <v>-4</v>
      </c>
      <c r="G1771" s="1" t="s">
        <v>34</v>
      </c>
      <c r="H1771" s="1" t="s">
        <v>82</v>
      </c>
      <c r="I1771" s="1" t="s">
        <v>244</v>
      </c>
      <c r="J1771" s="1" t="s">
        <v>146</v>
      </c>
      <c r="K1771" s="1" t="s">
        <v>276</v>
      </c>
      <c r="L1771" s="1">
        <v>8</v>
      </c>
      <c r="M1771" s="13">
        <v>4080.77</v>
      </c>
      <c r="N1771" s="15">
        <v>0.36</v>
      </c>
      <c r="O1771" s="13">
        <v>28369.38</v>
      </c>
      <c r="P1771" s="13">
        <v>7223.68</v>
      </c>
      <c r="Q1771" s="13">
        <v>77.540000000000006</v>
      </c>
      <c r="R1771" s="1" t="s">
        <v>64</v>
      </c>
      <c r="S1771" s="1">
        <v>2</v>
      </c>
      <c r="T1771" s="1" t="b">
        <v>0</v>
      </c>
      <c r="U1771" s="1" t="s">
        <v>39</v>
      </c>
      <c r="V1771" s="3">
        <v>10</v>
      </c>
    </row>
    <row r="1772" spans="1:22" x14ac:dyDescent="0.3">
      <c r="A1772" s="2" t="s">
        <v>4036</v>
      </c>
      <c r="B1772" s="10">
        <v>44949</v>
      </c>
      <c r="C1772" s="22">
        <v>44949</v>
      </c>
      <c r="D1772" s="1" t="s">
        <v>4037</v>
      </c>
      <c r="E1772" s="1" t="s">
        <v>390</v>
      </c>
      <c r="F1772" s="1">
        <v>21</v>
      </c>
      <c r="G1772" s="1" t="s">
        <v>34</v>
      </c>
      <c r="H1772" s="1" t="s">
        <v>111</v>
      </c>
      <c r="I1772" s="1" t="s">
        <v>112</v>
      </c>
      <c r="J1772" s="1" t="s">
        <v>62</v>
      </c>
      <c r="K1772" s="1" t="s">
        <v>266</v>
      </c>
      <c r="L1772" s="1">
        <v>5</v>
      </c>
      <c r="M1772" s="13">
        <v>238.01</v>
      </c>
      <c r="N1772" s="15">
        <v>0.34</v>
      </c>
      <c r="O1772" s="13">
        <v>658.25</v>
      </c>
      <c r="P1772" s="13">
        <v>358.98</v>
      </c>
      <c r="Q1772" s="13">
        <v>83.77</v>
      </c>
      <c r="R1772" s="1" t="s">
        <v>78</v>
      </c>
      <c r="S1772" s="1">
        <v>3</v>
      </c>
      <c r="T1772" s="1" t="b">
        <v>0</v>
      </c>
      <c r="U1772" s="1" t="s">
        <v>39</v>
      </c>
      <c r="V1772" s="3">
        <v>9</v>
      </c>
    </row>
    <row r="1773" spans="1:22" x14ac:dyDescent="0.3">
      <c r="A1773" s="2" t="s">
        <v>4038</v>
      </c>
      <c r="B1773" s="10">
        <v>45420</v>
      </c>
      <c r="C1773" s="22">
        <v>45420</v>
      </c>
      <c r="D1773" s="1" t="s">
        <v>4039</v>
      </c>
      <c r="E1773" s="1" t="s">
        <v>311</v>
      </c>
      <c r="F1773" s="1">
        <v>33</v>
      </c>
      <c r="G1773" s="1" t="s">
        <v>34</v>
      </c>
      <c r="H1773" s="1" t="s">
        <v>74</v>
      </c>
      <c r="I1773" s="1" t="s">
        <v>75</v>
      </c>
      <c r="J1773" s="1" t="s">
        <v>127</v>
      </c>
      <c r="K1773" s="1" t="s">
        <v>142</v>
      </c>
      <c r="L1773" s="1">
        <v>1</v>
      </c>
      <c r="M1773" s="13">
        <v>20268.07</v>
      </c>
      <c r="N1773" s="15">
        <v>0.21</v>
      </c>
      <c r="O1773" s="13">
        <v>30490.51</v>
      </c>
      <c r="P1773" s="13">
        <v>5209.5600000000004</v>
      </c>
      <c r="Q1773" s="13">
        <v>57.63</v>
      </c>
      <c r="R1773" s="1" t="s">
        <v>51</v>
      </c>
      <c r="S1773" s="1">
        <v>2</v>
      </c>
      <c r="T1773" s="1" t="b">
        <v>0</v>
      </c>
      <c r="U1773" s="1" t="s">
        <v>39</v>
      </c>
      <c r="V1773" s="3">
        <v>10</v>
      </c>
    </row>
    <row r="1774" spans="1:22" x14ac:dyDescent="0.3">
      <c r="A1774" s="2" t="s">
        <v>4040</v>
      </c>
      <c r="B1774" s="10">
        <v>44031</v>
      </c>
      <c r="C1774" s="22">
        <v>44031</v>
      </c>
      <c r="D1774" s="1" t="s">
        <v>4041</v>
      </c>
      <c r="E1774" s="1" t="s">
        <v>716</v>
      </c>
      <c r="F1774" s="1">
        <v>37</v>
      </c>
      <c r="G1774" s="1" t="s">
        <v>88</v>
      </c>
      <c r="H1774" s="1" t="s">
        <v>111</v>
      </c>
      <c r="I1774" s="1" t="s">
        <v>112</v>
      </c>
      <c r="J1774" s="1" t="s">
        <v>127</v>
      </c>
      <c r="K1774" s="1" t="s">
        <v>308</v>
      </c>
      <c r="L1774" s="1">
        <v>10</v>
      </c>
      <c r="M1774" s="13">
        <v>61673.760000000002</v>
      </c>
      <c r="N1774" s="15">
        <v>0.15</v>
      </c>
      <c r="O1774" s="13">
        <v>681333.41</v>
      </c>
      <c r="P1774" s="13">
        <v>90844.4</v>
      </c>
      <c r="Q1774" s="13">
        <v>76.69</v>
      </c>
      <c r="R1774" s="1" t="s">
        <v>64</v>
      </c>
      <c r="S1774" s="1">
        <v>3</v>
      </c>
      <c r="T1774" s="1" t="b">
        <v>0</v>
      </c>
      <c r="U1774" s="1" t="s">
        <v>39</v>
      </c>
      <c r="V1774" s="3">
        <v>7</v>
      </c>
    </row>
    <row r="1775" spans="1:22" x14ac:dyDescent="0.3">
      <c r="A1775" s="2" t="s">
        <v>4042</v>
      </c>
      <c r="B1775" s="10">
        <v>45259</v>
      </c>
      <c r="C1775" s="22">
        <v>45259</v>
      </c>
      <c r="D1775" s="1" t="s">
        <v>4043</v>
      </c>
      <c r="E1775" s="1" t="s">
        <v>855</v>
      </c>
      <c r="F1775" s="1">
        <v>31</v>
      </c>
      <c r="G1775" s="1" t="s">
        <v>68</v>
      </c>
      <c r="H1775" s="1" t="s">
        <v>35</v>
      </c>
      <c r="I1775" s="1" t="s">
        <v>36</v>
      </c>
      <c r="J1775" s="1" t="s">
        <v>127</v>
      </c>
      <c r="K1775" s="1" t="s">
        <v>308</v>
      </c>
      <c r="L1775" s="1">
        <v>5</v>
      </c>
      <c r="M1775" s="13">
        <v>5934.23</v>
      </c>
      <c r="N1775" s="15">
        <v>0.35</v>
      </c>
      <c r="O1775" s="13">
        <v>18050.43</v>
      </c>
      <c r="P1775" s="13">
        <v>1851.85</v>
      </c>
      <c r="Q1775" s="13">
        <v>76.64</v>
      </c>
      <c r="R1775" s="1" t="s">
        <v>78</v>
      </c>
      <c r="S1775" s="1">
        <v>3</v>
      </c>
      <c r="T1775" s="1" t="b">
        <v>0</v>
      </c>
      <c r="U1775" s="1" t="s">
        <v>137</v>
      </c>
      <c r="V1775" s="3">
        <v>2</v>
      </c>
    </row>
    <row r="1776" spans="1:22" x14ac:dyDescent="0.3">
      <c r="A1776" s="2" t="s">
        <v>4044</v>
      </c>
      <c r="B1776" s="10">
        <v>43953</v>
      </c>
      <c r="C1776" s="22">
        <v>43953</v>
      </c>
      <c r="D1776" s="1" t="s">
        <v>4045</v>
      </c>
      <c r="E1776" s="1" t="s">
        <v>773</v>
      </c>
      <c r="F1776" s="1">
        <v>34</v>
      </c>
      <c r="G1776" s="1" t="s">
        <v>24</v>
      </c>
      <c r="H1776" s="1" t="s">
        <v>25</v>
      </c>
      <c r="I1776" s="1" t="s">
        <v>55</v>
      </c>
      <c r="J1776" s="1" t="s">
        <v>62</v>
      </c>
      <c r="K1776" s="1" t="s">
        <v>283</v>
      </c>
      <c r="L1776" s="1">
        <v>7</v>
      </c>
      <c r="M1776" s="13">
        <v>1479.71</v>
      </c>
      <c r="N1776" s="15">
        <v>0.18</v>
      </c>
      <c r="O1776" s="13">
        <v>9080.8799999999992</v>
      </c>
      <c r="P1776" s="13">
        <v>3968.87</v>
      </c>
      <c r="Q1776" s="13">
        <v>53.15</v>
      </c>
      <c r="R1776" s="1" t="s">
        <v>57</v>
      </c>
      <c r="S1776" s="1">
        <v>4</v>
      </c>
      <c r="T1776" s="1" t="b">
        <v>0</v>
      </c>
      <c r="U1776" s="1" t="s">
        <v>39</v>
      </c>
      <c r="V1776" s="3">
        <v>2</v>
      </c>
    </row>
    <row r="1777" spans="1:22" x14ac:dyDescent="0.3">
      <c r="A1777" s="2" t="s">
        <v>4046</v>
      </c>
      <c r="B1777" s="10">
        <v>45270</v>
      </c>
      <c r="C1777" s="22">
        <v>45270</v>
      </c>
      <c r="D1777" s="1" t="s">
        <v>2105</v>
      </c>
      <c r="E1777" s="1" t="s">
        <v>1131</v>
      </c>
      <c r="F1777" s="1">
        <v>11</v>
      </c>
      <c r="G1777" s="1" t="s">
        <v>68</v>
      </c>
      <c r="H1777" s="1" t="s">
        <v>82</v>
      </c>
      <c r="I1777" s="1" t="s">
        <v>244</v>
      </c>
      <c r="J1777" s="1" t="s">
        <v>37</v>
      </c>
      <c r="K1777" s="1" t="s">
        <v>38</v>
      </c>
      <c r="L1777" s="1">
        <v>8</v>
      </c>
      <c r="M1777" s="13">
        <v>1075.9000000000001</v>
      </c>
      <c r="N1777" s="15">
        <v>0.21</v>
      </c>
      <c r="O1777" s="13">
        <v>8522.19</v>
      </c>
      <c r="P1777" s="13">
        <v>4754.6099999999997</v>
      </c>
      <c r="Q1777" s="13">
        <v>89.59</v>
      </c>
      <c r="R1777" s="1" t="s">
        <v>70</v>
      </c>
      <c r="S1777" s="1">
        <v>3</v>
      </c>
      <c r="T1777" s="1" t="b">
        <v>0</v>
      </c>
      <c r="U1777" s="1" t="s">
        <v>39</v>
      </c>
      <c r="V1777" s="3">
        <v>6</v>
      </c>
    </row>
    <row r="1778" spans="1:22" x14ac:dyDescent="0.3">
      <c r="A1778" s="2" t="s">
        <v>4047</v>
      </c>
      <c r="B1778" s="10">
        <v>43862</v>
      </c>
      <c r="C1778" s="22">
        <v>43862</v>
      </c>
      <c r="D1778" s="1" t="s">
        <v>4048</v>
      </c>
      <c r="E1778" s="1" t="s">
        <v>3402</v>
      </c>
      <c r="F1778" s="1">
        <v>38</v>
      </c>
      <c r="G1778" s="1" t="s">
        <v>68</v>
      </c>
      <c r="H1778" s="1" t="s">
        <v>82</v>
      </c>
      <c r="I1778" s="1" t="s">
        <v>126</v>
      </c>
      <c r="J1778" s="1" t="s">
        <v>76</v>
      </c>
      <c r="K1778" s="1" t="s">
        <v>207</v>
      </c>
      <c r="L1778" s="1">
        <v>2</v>
      </c>
      <c r="M1778" s="13">
        <v>2078.4499999999998</v>
      </c>
      <c r="N1778" s="15">
        <v>0.17</v>
      </c>
      <c r="O1778" s="13">
        <v>2642.47</v>
      </c>
      <c r="P1778" s="13">
        <v>1089.57</v>
      </c>
      <c r="Q1778" s="13">
        <v>80.23</v>
      </c>
      <c r="R1778" s="1" t="s">
        <v>29</v>
      </c>
      <c r="S1778" s="1">
        <v>5</v>
      </c>
      <c r="T1778" s="1" t="b">
        <v>0</v>
      </c>
      <c r="U1778" s="1" t="s">
        <v>39</v>
      </c>
      <c r="V1778" s="3">
        <v>4</v>
      </c>
    </row>
    <row r="1779" spans="1:22" x14ac:dyDescent="0.3">
      <c r="A1779" s="2" t="s">
        <v>4049</v>
      </c>
      <c r="B1779" s="10">
        <v>44579</v>
      </c>
      <c r="C1779" s="22">
        <v>44579</v>
      </c>
      <c r="D1779" s="1" t="s">
        <v>4050</v>
      </c>
      <c r="E1779" s="1" t="s">
        <v>2637</v>
      </c>
      <c r="F1779" s="1">
        <v>22</v>
      </c>
      <c r="G1779" s="1" t="s">
        <v>34</v>
      </c>
      <c r="H1779" s="1" t="s">
        <v>82</v>
      </c>
      <c r="I1779" s="1" t="s">
        <v>83</v>
      </c>
      <c r="J1779" s="1" t="s">
        <v>76</v>
      </c>
      <c r="K1779" s="1" t="s">
        <v>122</v>
      </c>
      <c r="L1779" s="1">
        <v>2</v>
      </c>
      <c r="M1779" s="13">
        <v>2911.58</v>
      </c>
      <c r="N1779" s="15">
        <v>0.4</v>
      </c>
      <c r="O1779" s="13">
        <v>2708.74</v>
      </c>
      <c r="P1779" s="13">
        <v>1155.6199999999999</v>
      </c>
      <c r="Q1779" s="13">
        <v>78.02</v>
      </c>
      <c r="R1779" s="1" t="s">
        <v>64</v>
      </c>
      <c r="S1779" s="1">
        <v>1</v>
      </c>
      <c r="T1779" s="1" t="b">
        <v>0</v>
      </c>
      <c r="U1779" s="1" t="s">
        <v>39</v>
      </c>
      <c r="V1779" s="3">
        <v>6</v>
      </c>
    </row>
    <row r="1780" spans="1:22" x14ac:dyDescent="0.3">
      <c r="A1780" s="2" t="s">
        <v>4051</v>
      </c>
      <c r="B1780" s="10">
        <v>44978</v>
      </c>
      <c r="C1780" s="22">
        <v>44978</v>
      </c>
      <c r="D1780" s="1" t="s">
        <v>4052</v>
      </c>
      <c r="E1780" s="1" t="s">
        <v>307</v>
      </c>
      <c r="F1780" s="1">
        <v>38</v>
      </c>
      <c r="G1780" s="1" t="s">
        <v>68</v>
      </c>
      <c r="H1780" s="1" t="s">
        <v>25</v>
      </c>
      <c r="I1780" s="1" t="s">
        <v>69</v>
      </c>
      <c r="J1780" s="1" t="s">
        <v>44</v>
      </c>
      <c r="K1780" s="1" t="s">
        <v>221</v>
      </c>
      <c r="L1780" s="1">
        <v>9</v>
      </c>
      <c r="M1780" s="13">
        <v>14262.49</v>
      </c>
      <c r="N1780" s="15">
        <v>0.23</v>
      </c>
      <c r="O1780" s="13">
        <v>118898.21</v>
      </c>
      <c r="P1780" s="13">
        <v>41278.730000000003</v>
      </c>
      <c r="Q1780" s="13">
        <v>79.5</v>
      </c>
      <c r="R1780" s="1" t="s">
        <v>64</v>
      </c>
      <c r="S1780" s="1">
        <v>1</v>
      </c>
      <c r="T1780" s="1" t="b">
        <v>1</v>
      </c>
      <c r="U1780" s="1" t="s">
        <v>30</v>
      </c>
      <c r="V1780" s="3">
        <v>10</v>
      </c>
    </row>
    <row r="1781" spans="1:22" x14ac:dyDescent="0.3">
      <c r="A1781" s="2" t="s">
        <v>4053</v>
      </c>
      <c r="B1781" s="10">
        <v>44225</v>
      </c>
      <c r="C1781" s="22">
        <v>44225</v>
      </c>
      <c r="D1781" s="1" t="s">
        <v>4054</v>
      </c>
      <c r="E1781" s="1" t="s">
        <v>638</v>
      </c>
      <c r="F1781" s="1">
        <v>43</v>
      </c>
      <c r="G1781" s="1" t="s">
        <v>24</v>
      </c>
      <c r="H1781" s="1" t="s">
        <v>35</v>
      </c>
      <c r="I1781" s="1" t="s">
        <v>43</v>
      </c>
      <c r="J1781" s="1" t="s">
        <v>37</v>
      </c>
      <c r="K1781" s="1" t="s">
        <v>671</v>
      </c>
      <c r="L1781" s="1">
        <v>1</v>
      </c>
      <c r="M1781" s="13">
        <v>1381.02</v>
      </c>
      <c r="N1781" s="15">
        <v>0.28000000000000003</v>
      </c>
      <c r="O1781" s="13">
        <v>820.75</v>
      </c>
      <c r="P1781" s="13">
        <v>385.94</v>
      </c>
      <c r="Q1781" s="13">
        <v>79.14</v>
      </c>
      <c r="R1781" s="1" t="s">
        <v>64</v>
      </c>
      <c r="S1781" s="1">
        <v>1</v>
      </c>
      <c r="T1781" s="1" t="b">
        <v>0</v>
      </c>
      <c r="U1781" s="1" t="s">
        <v>39</v>
      </c>
      <c r="V1781" s="3">
        <v>2</v>
      </c>
    </row>
    <row r="1782" spans="1:22" x14ac:dyDescent="0.3">
      <c r="A1782" s="2" t="s">
        <v>4055</v>
      </c>
      <c r="B1782" s="10">
        <v>44053</v>
      </c>
      <c r="C1782" s="22">
        <v>44053</v>
      </c>
      <c r="D1782" s="1" t="s">
        <v>4056</v>
      </c>
      <c r="E1782" s="1" t="s">
        <v>629</v>
      </c>
      <c r="F1782" s="1">
        <v>32</v>
      </c>
      <c r="G1782" s="1" t="s">
        <v>24</v>
      </c>
      <c r="H1782" s="1" t="s">
        <v>35</v>
      </c>
      <c r="I1782" s="1" t="s">
        <v>106</v>
      </c>
      <c r="J1782" s="1" t="s">
        <v>146</v>
      </c>
      <c r="K1782" s="1" t="s">
        <v>161</v>
      </c>
      <c r="L1782" s="1">
        <v>6</v>
      </c>
      <c r="M1782" s="13">
        <v>10767.52</v>
      </c>
      <c r="N1782" s="15">
        <v>0.2</v>
      </c>
      <c r="O1782" s="13">
        <v>51595.93</v>
      </c>
      <c r="P1782" s="13">
        <v>13803.27</v>
      </c>
      <c r="Q1782" s="13">
        <v>52.86</v>
      </c>
      <c r="R1782" s="1" t="s">
        <v>78</v>
      </c>
      <c r="S1782" s="1">
        <v>3</v>
      </c>
      <c r="T1782" s="1" t="b">
        <v>0</v>
      </c>
      <c r="U1782" s="1" t="s">
        <v>137</v>
      </c>
      <c r="V1782" s="3">
        <v>9</v>
      </c>
    </row>
    <row r="1783" spans="1:22" x14ac:dyDescent="0.3">
      <c r="A1783" s="2" t="s">
        <v>4057</v>
      </c>
      <c r="B1783" s="10">
        <v>45502</v>
      </c>
      <c r="C1783" s="22">
        <v>45502</v>
      </c>
      <c r="D1783" s="1" t="s">
        <v>4058</v>
      </c>
      <c r="E1783" s="1" t="s">
        <v>210</v>
      </c>
      <c r="F1783" s="1">
        <v>21</v>
      </c>
      <c r="G1783" s="1" t="s">
        <v>24</v>
      </c>
      <c r="H1783" s="1" t="s">
        <v>74</v>
      </c>
      <c r="I1783" s="1" t="s">
        <v>136</v>
      </c>
      <c r="J1783" s="1" t="s">
        <v>44</v>
      </c>
      <c r="K1783" s="1" t="s">
        <v>93</v>
      </c>
      <c r="L1783" s="1">
        <v>6</v>
      </c>
      <c r="M1783" s="13">
        <v>16429.02</v>
      </c>
      <c r="N1783" s="15">
        <v>0.27</v>
      </c>
      <c r="O1783" s="13">
        <v>133325.04999999999</v>
      </c>
      <c r="P1783" s="13">
        <v>40765.64</v>
      </c>
      <c r="Q1783" s="13">
        <v>32.5</v>
      </c>
      <c r="R1783" s="1" t="s">
        <v>51</v>
      </c>
      <c r="S1783" s="1">
        <v>4</v>
      </c>
      <c r="T1783" s="1" t="b">
        <v>0</v>
      </c>
      <c r="U1783" s="1" t="s">
        <v>39</v>
      </c>
      <c r="V1783" s="3">
        <v>5</v>
      </c>
    </row>
    <row r="1784" spans="1:22" x14ac:dyDescent="0.3">
      <c r="A1784" s="2" t="s">
        <v>4059</v>
      </c>
      <c r="B1784" s="10">
        <v>44531</v>
      </c>
      <c r="C1784" s="22">
        <v>44531</v>
      </c>
      <c r="D1784" s="1" t="s">
        <v>4060</v>
      </c>
      <c r="E1784" s="1" t="s">
        <v>73</v>
      </c>
      <c r="F1784" s="1">
        <v>52</v>
      </c>
      <c r="G1784" s="1" t="s">
        <v>24</v>
      </c>
      <c r="H1784" s="1" t="s">
        <v>74</v>
      </c>
      <c r="I1784" s="1" t="s">
        <v>101</v>
      </c>
      <c r="J1784" s="1" t="s">
        <v>37</v>
      </c>
      <c r="K1784" s="1" t="s">
        <v>102</v>
      </c>
      <c r="L1784" s="1">
        <v>7</v>
      </c>
      <c r="M1784" s="13">
        <v>1393.32</v>
      </c>
      <c r="N1784" s="15">
        <v>0.21</v>
      </c>
      <c r="O1784" s="13">
        <v>6778.86</v>
      </c>
      <c r="P1784" s="13">
        <v>3453.91</v>
      </c>
      <c r="Q1784" s="13">
        <v>40.11</v>
      </c>
      <c r="R1784" s="1" t="s">
        <v>78</v>
      </c>
      <c r="S1784" s="1">
        <v>1</v>
      </c>
      <c r="T1784" s="1" t="b">
        <v>0</v>
      </c>
      <c r="U1784" s="1" t="s">
        <v>39</v>
      </c>
      <c r="V1784" s="3">
        <v>7</v>
      </c>
    </row>
    <row r="1785" spans="1:22" x14ac:dyDescent="0.3">
      <c r="A1785" s="2" t="s">
        <v>4061</v>
      </c>
      <c r="B1785" s="10">
        <v>44786</v>
      </c>
      <c r="C1785" s="22">
        <v>44786</v>
      </c>
      <c r="D1785" s="1" t="s">
        <v>4062</v>
      </c>
      <c r="E1785" s="1" t="s">
        <v>611</v>
      </c>
      <c r="F1785" s="1">
        <v>17</v>
      </c>
      <c r="G1785" s="1" t="s">
        <v>24</v>
      </c>
      <c r="H1785" s="1" t="s">
        <v>82</v>
      </c>
      <c r="I1785" s="1" t="s">
        <v>126</v>
      </c>
      <c r="J1785" s="1" t="s">
        <v>127</v>
      </c>
      <c r="K1785" s="1" t="s">
        <v>171</v>
      </c>
      <c r="L1785" s="1">
        <v>3</v>
      </c>
      <c r="M1785" s="13">
        <v>73253.06</v>
      </c>
      <c r="N1785" s="15">
        <v>0.25</v>
      </c>
      <c r="O1785" s="13">
        <v>209838.58</v>
      </c>
      <c r="P1785" s="13">
        <v>32607.06</v>
      </c>
      <c r="Q1785" s="13">
        <v>80.92</v>
      </c>
      <c r="R1785" s="1" t="s">
        <v>70</v>
      </c>
      <c r="S1785" s="1">
        <v>4</v>
      </c>
      <c r="T1785" s="1" t="b">
        <v>0</v>
      </c>
      <c r="U1785" s="1" t="s">
        <v>58</v>
      </c>
      <c r="V1785" s="3">
        <v>6</v>
      </c>
    </row>
    <row r="1786" spans="1:22" x14ac:dyDescent="0.3">
      <c r="A1786" s="2" t="s">
        <v>4063</v>
      </c>
      <c r="B1786" s="10">
        <v>45290</v>
      </c>
      <c r="C1786" s="22">
        <v>45290</v>
      </c>
      <c r="D1786" s="1" t="s">
        <v>4064</v>
      </c>
      <c r="E1786" s="1" t="s">
        <v>1471</v>
      </c>
      <c r="F1786" s="1">
        <v>44</v>
      </c>
      <c r="G1786" s="1" t="s">
        <v>68</v>
      </c>
      <c r="H1786" s="1" t="s">
        <v>25</v>
      </c>
      <c r="I1786" s="1" t="s">
        <v>69</v>
      </c>
      <c r="J1786" s="1" t="s">
        <v>62</v>
      </c>
      <c r="K1786" s="1" t="s">
        <v>63</v>
      </c>
      <c r="L1786" s="1">
        <v>4</v>
      </c>
      <c r="M1786" s="13">
        <v>746.29</v>
      </c>
      <c r="N1786" s="15">
        <v>0.3</v>
      </c>
      <c r="O1786" s="13">
        <v>1990.92</v>
      </c>
      <c r="P1786" s="13">
        <v>758.46</v>
      </c>
      <c r="Q1786" s="13">
        <v>47.79</v>
      </c>
      <c r="R1786" s="1" t="s">
        <v>70</v>
      </c>
      <c r="S1786" s="1">
        <v>1</v>
      </c>
      <c r="T1786" s="1" t="b">
        <v>0</v>
      </c>
      <c r="U1786" s="1" t="s">
        <v>39</v>
      </c>
      <c r="V1786" s="3">
        <v>7</v>
      </c>
    </row>
    <row r="1787" spans="1:22" x14ac:dyDescent="0.3">
      <c r="A1787" s="2" t="s">
        <v>4065</v>
      </c>
      <c r="B1787" s="10">
        <v>44861</v>
      </c>
      <c r="C1787" s="22">
        <v>44861</v>
      </c>
      <c r="D1787" s="1" t="s">
        <v>4066</v>
      </c>
      <c r="E1787" s="1" t="s">
        <v>2637</v>
      </c>
      <c r="F1787" s="1">
        <v>50</v>
      </c>
      <c r="G1787" s="1" t="s">
        <v>34</v>
      </c>
      <c r="H1787" s="1" t="s">
        <v>74</v>
      </c>
      <c r="I1787" s="1" t="s">
        <v>75</v>
      </c>
      <c r="J1787" s="1" t="s">
        <v>127</v>
      </c>
      <c r="K1787" s="1" t="s">
        <v>128</v>
      </c>
      <c r="L1787" s="1">
        <v>1</v>
      </c>
      <c r="M1787" s="13">
        <v>34094.18</v>
      </c>
      <c r="N1787" s="15">
        <v>0.36</v>
      </c>
      <c r="O1787" s="13">
        <v>20167.52</v>
      </c>
      <c r="P1787" s="13">
        <v>2201.52</v>
      </c>
      <c r="Q1787" s="13">
        <v>51.11</v>
      </c>
      <c r="R1787" s="1" t="s">
        <v>51</v>
      </c>
      <c r="S1787" s="1">
        <v>3</v>
      </c>
      <c r="T1787" s="1" t="b">
        <v>0</v>
      </c>
      <c r="U1787" s="1" t="s">
        <v>39</v>
      </c>
      <c r="V1787" s="3">
        <v>7</v>
      </c>
    </row>
    <row r="1788" spans="1:22" x14ac:dyDescent="0.3">
      <c r="A1788" s="2" t="s">
        <v>4067</v>
      </c>
      <c r="B1788" s="10">
        <v>45391</v>
      </c>
      <c r="C1788" s="22">
        <v>45391</v>
      </c>
      <c r="D1788" s="1" t="s">
        <v>4068</v>
      </c>
      <c r="E1788" s="1" t="s">
        <v>3016</v>
      </c>
      <c r="F1788" s="1">
        <v>34</v>
      </c>
      <c r="G1788" s="1" t="s">
        <v>88</v>
      </c>
      <c r="H1788" s="1" t="s">
        <v>74</v>
      </c>
      <c r="I1788" s="1" t="s">
        <v>101</v>
      </c>
      <c r="J1788" s="1" t="s">
        <v>27</v>
      </c>
      <c r="K1788" s="1" t="s">
        <v>400</v>
      </c>
      <c r="L1788" s="1">
        <v>3</v>
      </c>
      <c r="M1788" s="13">
        <v>242.04</v>
      </c>
      <c r="N1788" s="15">
        <v>0.22</v>
      </c>
      <c r="O1788" s="13">
        <v>845.64</v>
      </c>
      <c r="P1788" s="13">
        <v>49.63</v>
      </c>
      <c r="Q1788" s="13">
        <v>73.34</v>
      </c>
      <c r="R1788" s="1" t="s">
        <v>51</v>
      </c>
      <c r="S1788" s="1">
        <v>3</v>
      </c>
      <c r="T1788" s="1" t="b">
        <v>0</v>
      </c>
      <c r="U1788" s="1" t="s">
        <v>58</v>
      </c>
      <c r="V1788" s="3">
        <v>6</v>
      </c>
    </row>
    <row r="1789" spans="1:22" x14ac:dyDescent="0.3">
      <c r="A1789" s="2" t="s">
        <v>4069</v>
      </c>
      <c r="B1789" s="10">
        <v>44786</v>
      </c>
      <c r="C1789" s="22">
        <v>44786</v>
      </c>
      <c r="D1789" s="1" t="s">
        <v>4070</v>
      </c>
      <c r="E1789" s="1" t="s">
        <v>3143</v>
      </c>
      <c r="F1789" s="1">
        <v>52</v>
      </c>
      <c r="G1789" s="1" t="s">
        <v>68</v>
      </c>
      <c r="H1789" s="1" t="s">
        <v>82</v>
      </c>
      <c r="I1789" s="1" t="s">
        <v>244</v>
      </c>
      <c r="J1789" s="1" t="s">
        <v>27</v>
      </c>
      <c r="K1789" s="1" t="s">
        <v>28</v>
      </c>
      <c r="L1789" s="1">
        <v>2</v>
      </c>
      <c r="M1789" s="13">
        <v>245.29</v>
      </c>
      <c r="N1789" s="15">
        <v>0.28000000000000003</v>
      </c>
      <c r="O1789" s="13">
        <v>480.57</v>
      </c>
      <c r="P1789" s="13">
        <v>45.1</v>
      </c>
      <c r="Q1789" s="13">
        <v>88.28</v>
      </c>
      <c r="R1789" s="1" t="s">
        <v>57</v>
      </c>
      <c r="S1789" s="1">
        <v>5</v>
      </c>
      <c r="T1789" s="1" t="b">
        <v>0</v>
      </c>
      <c r="U1789" s="1" t="s">
        <v>39</v>
      </c>
      <c r="V1789" s="3">
        <v>5</v>
      </c>
    </row>
    <row r="1790" spans="1:22" x14ac:dyDescent="0.3">
      <c r="A1790" s="2" t="s">
        <v>4071</v>
      </c>
      <c r="B1790" s="10">
        <v>44628</v>
      </c>
      <c r="C1790" s="22">
        <v>44628</v>
      </c>
      <c r="D1790" s="1" t="s">
        <v>4072</v>
      </c>
      <c r="E1790" s="1" t="s">
        <v>1538</v>
      </c>
      <c r="F1790" s="1">
        <v>30</v>
      </c>
      <c r="G1790" s="1" t="s">
        <v>34</v>
      </c>
      <c r="H1790" s="1" t="s">
        <v>111</v>
      </c>
      <c r="I1790" s="1" t="s">
        <v>141</v>
      </c>
      <c r="J1790" s="1" t="s">
        <v>127</v>
      </c>
      <c r="K1790" s="1" t="s">
        <v>517</v>
      </c>
      <c r="L1790" s="1">
        <v>6</v>
      </c>
      <c r="M1790" s="13">
        <v>16805.34</v>
      </c>
      <c r="N1790" s="15">
        <v>0.37</v>
      </c>
      <c r="O1790" s="13">
        <v>72535.92</v>
      </c>
      <c r="P1790" s="13">
        <v>4060.33</v>
      </c>
      <c r="Q1790" s="13">
        <v>71.78</v>
      </c>
      <c r="R1790" s="1" t="s">
        <v>29</v>
      </c>
      <c r="S1790" s="1">
        <v>4</v>
      </c>
      <c r="T1790" s="1" t="b">
        <v>0</v>
      </c>
      <c r="U1790" s="1" t="s">
        <v>39</v>
      </c>
      <c r="V1790" s="3">
        <v>3</v>
      </c>
    </row>
    <row r="1791" spans="1:22" x14ac:dyDescent="0.3">
      <c r="A1791" s="2" t="s">
        <v>4073</v>
      </c>
      <c r="B1791" s="10">
        <v>44367</v>
      </c>
      <c r="C1791" s="22">
        <v>44367</v>
      </c>
      <c r="D1791" s="1" t="s">
        <v>4074</v>
      </c>
      <c r="E1791" s="1" t="s">
        <v>2462</v>
      </c>
      <c r="F1791" s="1">
        <v>49</v>
      </c>
      <c r="G1791" s="1" t="s">
        <v>24</v>
      </c>
      <c r="H1791" s="1" t="s">
        <v>25</v>
      </c>
      <c r="I1791" s="1" t="s">
        <v>26</v>
      </c>
      <c r="J1791" s="1" t="s">
        <v>62</v>
      </c>
      <c r="K1791" s="1" t="s">
        <v>283</v>
      </c>
      <c r="L1791" s="1">
        <v>8</v>
      </c>
      <c r="M1791" s="13">
        <v>1136.8699999999999</v>
      </c>
      <c r="N1791" s="15">
        <v>0.18</v>
      </c>
      <c r="O1791" s="13">
        <v>9688.33</v>
      </c>
      <c r="P1791" s="13">
        <v>3919.14</v>
      </c>
      <c r="Q1791" s="13">
        <v>24.54</v>
      </c>
      <c r="R1791" s="1" t="s">
        <v>64</v>
      </c>
      <c r="S1791" s="1">
        <v>5</v>
      </c>
      <c r="T1791" s="1" t="b">
        <v>0</v>
      </c>
      <c r="U1791" s="1" t="s">
        <v>39</v>
      </c>
      <c r="V1791" s="3">
        <v>6</v>
      </c>
    </row>
    <row r="1792" spans="1:22" x14ac:dyDescent="0.3">
      <c r="A1792" s="2" t="s">
        <v>4075</v>
      </c>
      <c r="B1792" s="10">
        <v>44447</v>
      </c>
      <c r="C1792" s="22">
        <v>44447</v>
      </c>
      <c r="D1792" s="1" t="s">
        <v>4076</v>
      </c>
      <c r="E1792" s="1" t="s">
        <v>705</v>
      </c>
      <c r="F1792" s="1">
        <v>30</v>
      </c>
      <c r="G1792" s="1" t="s">
        <v>68</v>
      </c>
      <c r="H1792" s="1" t="s">
        <v>25</v>
      </c>
      <c r="I1792" s="1" t="s">
        <v>69</v>
      </c>
      <c r="J1792" s="1" t="s">
        <v>62</v>
      </c>
      <c r="K1792" s="1" t="s">
        <v>266</v>
      </c>
      <c r="L1792" s="1">
        <v>8</v>
      </c>
      <c r="M1792" s="13">
        <v>1443.03</v>
      </c>
      <c r="N1792" s="15">
        <v>0.31</v>
      </c>
      <c r="O1792" s="13">
        <v>8604.24</v>
      </c>
      <c r="P1792" s="13">
        <v>3984.16</v>
      </c>
      <c r="Q1792" s="13">
        <v>47.13</v>
      </c>
      <c r="R1792" s="1" t="s">
        <v>78</v>
      </c>
      <c r="S1792" s="1">
        <v>4</v>
      </c>
      <c r="T1792" s="1" t="b">
        <v>1</v>
      </c>
      <c r="U1792" s="1" t="s">
        <v>30</v>
      </c>
      <c r="V1792" s="3">
        <v>10</v>
      </c>
    </row>
    <row r="1793" spans="1:22" x14ac:dyDescent="0.3">
      <c r="A1793" s="2" t="s">
        <v>4077</v>
      </c>
      <c r="B1793" s="10">
        <v>43972</v>
      </c>
      <c r="C1793" s="22">
        <v>43972</v>
      </c>
      <c r="D1793" s="1" t="s">
        <v>4078</v>
      </c>
      <c r="E1793" s="1" t="s">
        <v>958</v>
      </c>
      <c r="F1793" s="1">
        <v>42</v>
      </c>
      <c r="G1793" s="1" t="s">
        <v>34</v>
      </c>
      <c r="H1793" s="1" t="s">
        <v>25</v>
      </c>
      <c r="I1793" s="1" t="s">
        <v>170</v>
      </c>
      <c r="J1793" s="1" t="s">
        <v>127</v>
      </c>
      <c r="K1793" s="1" t="s">
        <v>142</v>
      </c>
      <c r="L1793" s="1">
        <v>2</v>
      </c>
      <c r="M1793" s="13">
        <v>43853.55</v>
      </c>
      <c r="N1793" s="15">
        <v>0.03</v>
      </c>
      <c r="O1793" s="13">
        <v>99867.38</v>
      </c>
      <c r="P1793" s="13">
        <v>12392.88</v>
      </c>
      <c r="Q1793" s="13">
        <v>71.03</v>
      </c>
      <c r="R1793" s="1" t="s">
        <v>57</v>
      </c>
      <c r="S1793" s="1">
        <v>4</v>
      </c>
      <c r="T1793" s="1" t="b">
        <v>0</v>
      </c>
      <c r="U1793" s="1" t="s">
        <v>39</v>
      </c>
      <c r="V1793" s="3">
        <v>5</v>
      </c>
    </row>
    <row r="1794" spans="1:22" x14ac:dyDescent="0.3">
      <c r="A1794" s="2" t="s">
        <v>4079</v>
      </c>
      <c r="B1794" s="10">
        <v>45544</v>
      </c>
      <c r="C1794" s="22">
        <v>45544</v>
      </c>
      <c r="D1794" s="1" t="s">
        <v>4080</v>
      </c>
      <c r="E1794" s="1" t="s">
        <v>1390</v>
      </c>
      <c r="F1794" s="1">
        <v>59</v>
      </c>
      <c r="G1794" s="1" t="s">
        <v>34</v>
      </c>
      <c r="H1794" s="1" t="s">
        <v>35</v>
      </c>
      <c r="I1794" s="1" t="s">
        <v>43</v>
      </c>
      <c r="J1794" s="1" t="s">
        <v>62</v>
      </c>
      <c r="K1794" s="1" t="s">
        <v>570</v>
      </c>
      <c r="L1794" s="1">
        <v>3</v>
      </c>
      <c r="M1794" s="13">
        <v>759.61</v>
      </c>
      <c r="N1794" s="15">
        <v>0.09</v>
      </c>
      <c r="O1794" s="13">
        <v>2679.11</v>
      </c>
      <c r="P1794" s="13">
        <v>696.15</v>
      </c>
      <c r="Q1794" s="13">
        <v>32.82</v>
      </c>
      <c r="R1794" s="1" t="s">
        <v>29</v>
      </c>
      <c r="S1794" s="1">
        <v>5</v>
      </c>
      <c r="T1794" s="1" t="b">
        <v>0</v>
      </c>
      <c r="U1794" s="1" t="s">
        <v>39</v>
      </c>
      <c r="V1794" s="3">
        <v>6</v>
      </c>
    </row>
    <row r="1795" spans="1:22" x14ac:dyDescent="0.3">
      <c r="A1795" s="2" t="s">
        <v>4081</v>
      </c>
      <c r="B1795" s="10">
        <v>43944</v>
      </c>
      <c r="C1795" s="22">
        <v>43944</v>
      </c>
      <c r="D1795" s="1" t="s">
        <v>4082</v>
      </c>
      <c r="E1795" s="1" t="s">
        <v>861</v>
      </c>
      <c r="F1795" s="1">
        <v>37</v>
      </c>
      <c r="G1795" s="1" t="s">
        <v>68</v>
      </c>
      <c r="H1795" s="1" t="s">
        <v>82</v>
      </c>
      <c r="I1795" s="1" t="s">
        <v>244</v>
      </c>
      <c r="J1795" s="1" t="s">
        <v>127</v>
      </c>
      <c r="K1795" s="1" t="s">
        <v>517</v>
      </c>
      <c r="L1795" s="1">
        <v>3</v>
      </c>
      <c r="M1795" s="13">
        <v>76008.490000000005</v>
      </c>
      <c r="N1795" s="15">
        <v>7.0000000000000007E-2</v>
      </c>
      <c r="O1795" s="13">
        <v>287543.2</v>
      </c>
      <c r="P1795" s="13">
        <v>19589.55</v>
      </c>
      <c r="Q1795" s="13">
        <v>67.430000000000007</v>
      </c>
      <c r="R1795" s="1" t="s">
        <v>70</v>
      </c>
      <c r="S1795" s="1">
        <v>5</v>
      </c>
      <c r="T1795" s="1" t="b">
        <v>0</v>
      </c>
      <c r="U1795" s="1" t="s">
        <v>1411</v>
      </c>
      <c r="V1795" s="3">
        <v>4</v>
      </c>
    </row>
    <row r="1796" spans="1:22" x14ac:dyDescent="0.3">
      <c r="A1796" s="2" t="s">
        <v>4083</v>
      </c>
      <c r="B1796" s="10">
        <v>44415</v>
      </c>
      <c r="C1796" s="22">
        <v>44415</v>
      </c>
      <c r="D1796" s="1" t="s">
        <v>4084</v>
      </c>
      <c r="E1796" s="1" t="s">
        <v>2281</v>
      </c>
      <c r="F1796" s="1">
        <v>28</v>
      </c>
      <c r="G1796" s="1" t="s">
        <v>391</v>
      </c>
      <c r="H1796" s="1" t="s">
        <v>82</v>
      </c>
      <c r="I1796" s="1" t="s">
        <v>83</v>
      </c>
      <c r="J1796" s="1" t="s">
        <v>27</v>
      </c>
      <c r="K1796" s="1" t="s">
        <v>400</v>
      </c>
      <c r="L1796" s="1">
        <v>1</v>
      </c>
      <c r="M1796" s="13">
        <v>69.87</v>
      </c>
      <c r="N1796" s="15">
        <v>0.27</v>
      </c>
      <c r="O1796" s="13">
        <v>75.650000000000006</v>
      </c>
      <c r="P1796" s="13">
        <v>6</v>
      </c>
      <c r="Q1796" s="13">
        <v>69.5</v>
      </c>
      <c r="R1796" s="1" t="s">
        <v>70</v>
      </c>
      <c r="S1796" s="1">
        <v>2</v>
      </c>
      <c r="T1796" s="1" t="b">
        <v>0</v>
      </c>
      <c r="U1796" s="1" t="s">
        <v>84</v>
      </c>
      <c r="V1796" s="3">
        <v>9</v>
      </c>
    </row>
    <row r="1797" spans="1:22" x14ac:dyDescent="0.3">
      <c r="A1797" s="2" t="s">
        <v>4085</v>
      </c>
      <c r="B1797" s="10">
        <v>45582</v>
      </c>
      <c r="C1797" s="22">
        <v>45582</v>
      </c>
      <c r="D1797" s="1" t="s">
        <v>4086</v>
      </c>
      <c r="E1797" s="1" t="s">
        <v>1387</v>
      </c>
      <c r="F1797" s="1">
        <v>34</v>
      </c>
      <c r="G1797" s="1" t="s">
        <v>68</v>
      </c>
      <c r="H1797" s="1" t="s">
        <v>74</v>
      </c>
      <c r="I1797" s="1" t="s">
        <v>101</v>
      </c>
      <c r="J1797" s="1" t="s">
        <v>27</v>
      </c>
      <c r="K1797" s="1" t="s">
        <v>400</v>
      </c>
      <c r="L1797" s="1">
        <v>1</v>
      </c>
      <c r="M1797" s="13">
        <v>141.61000000000001</v>
      </c>
      <c r="N1797" s="15">
        <v>0.11</v>
      </c>
      <c r="O1797" s="13">
        <v>141.61000000000001</v>
      </c>
      <c r="P1797" s="13">
        <v>11.5</v>
      </c>
      <c r="Q1797" s="13">
        <v>52.28</v>
      </c>
      <c r="R1797" s="1" t="s">
        <v>78</v>
      </c>
      <c r="S1797" s="1">
        <v>4</v>
      </c>
      <c r="T1797" s="1" t="b">
        <v>0</v>
      </c>
      <c r="U1797" s="1" t="s">
        <v>39</v>
      </c>
      <c r="V1797" s="3">
        <v>9</v>
      </c>
    </row>
    <row r="1798" spans="1:22" x14ac:dyDescent="0.3">
      <c r="A1798" s="2" t="s">
        <v>4087</v>
      </c>
      <c r="B1798" s="10">
        <v>45164</v>
      </c>
      <c r="C1798" s="22">
        <v>45164</v>
      </c>
      <c r="D1798" s="1" t="s">
        <v>4088</v>
      </c>
      <c r="E1798" s="1" t="s">
        <v>702</v>
      </c>
      <c r="F1798" s="1">
        <v>39</v>
      </c>
      <c r="G1798" s="1" t="s">
        <v>68</v>
      </c>
      <c r="H1798" s="1" t="s">
        <v>35</v>
      </c>
      <c r="I1798" s="1" t="s">
        <v>43</v>
      </c>
      <c r="J1798" s="1" t="s">
        <v>44</v>
      </c>
      <c r="K1798" s="1" t="s">
        <v>221</v>
      </c>
      <c r="L1798" s="1">
        <v>5</v>
      </c>
      <c r="M1798" s="13">
        <v>21847.95</v>
      </c>
      <c r="N1798" s="15">
        <v>0.28999999999999998</v>
      </c>
      <c r="O1798" s="13">
        <v>103693.59</v>
      </c>
      <c r="P1798" s="13">
        <v>26491.84</v>
      </c>
      <c r="Q1798" s="13">
        <v>67.66</v>
      </c>
      <c r="R1798" s="1" t="s">
        <v>78</v>
      </c>
      <c r="S1798" s="1">
        <v>2</v>
      </c>
      <c r="T1798" s="1" t="b">
        <v>0</v>
      </c>
      <c r="U1798" s="1" t="s">
        <v>39</v>
      </c>
      <c r="V1798" s="3">
        <v>9</v>
      </c>
    </row>
    <row r="1799" spans="1:22" x14ac:dyDescent="0.3">
      <c r="A1799" s="2" t="s">
        <v>4089</v>
      </c>
      <c r="B1799" s="10">
        <v>44351</v>
      </c>
      <c r="C1799" s="22">
        <v>44351</v>
      </c>
      <c r="D1799" s="1" t="s">
        <v>4090</v>
      </c>
      <c r="E1799" s="1" t="s">
        <v>681</v>
      </c>
      <c r="F1799" s="1">
        <v>33</v>
      </c>
      <c r="G1799" s="1" t="s">
        <v>34</v>
      </c>
      <c r="H1799" s="1" t="s">
        <v>82</v>
      </c>
      <c r="I1799" s="1" t="s">
        <v>293</v>
      </c>
      <c r="J1799" s="1" t="s">
        <v>44</v>
      </c>
      <c r="K1799" s="1" t="s">
        <v>117</v>
      </c>
      <c r="L1799" s="1">
        <v>4</v>
      </c>
      <c r="M1799" s="13">
        <v>16298.68</v>
      </c>
      <c r="N1799" s="15">
        <v>0.03</v>
      </c>
      <c r="O1799" s="13">
        <v>94253.6</v>
      </c>
      <c r="P1799" s="13">
        <v>28600.3</v>
      </c>
      <c r="Q1799" s="13">
        <v>95.11</v>
      </c>
      <c r="R1799" s="1" t="s">
        <v>51</v>
      </c>
      <c r="S1799" s="1">
        <v>1</v>
      </c>
      <c r="T1799" s="1" t="b">
        <v>0</v>
      </c>
      <c r="U1799" s="1" t="s">
        <v>39</v>
      </c>
      <c r="V1799" s="3">
        <v>5</v>
      </c>
    </row>
    <row r="1800" spans="1:22" x14ac:dyDescent="0.3">
      <c r="A1800" s="2" t="s">
        <v>4091</v>
      </c>
      <c r="B1800" s="10">
        <v>44605</v>
      </c>
      <c r="C1800" s="22">
        <v>44605</v>
      </c>
      <c r="D1800" s="1" t="s">
        <v>4092</v>
      </c>
      <c r="E1800" s="1" t="s">
        <v>1907</v>
      </c>
      <c r="F1800" s="1">
        <v>44</v>
      </c>
      <c r="G1800" s="1" t="s">
        <v>68</v>
      </c>
      <c r="H1800" s="1" t="s">
        <v>25</v>
      </c>
      <c r="I1800" s="1" t="s">
        <v>55</v>
      </c>
      <c r="J1800" s="1" t="s">
        <v>27</v>
      </c>
      <c r="K1800" s="1" t="s">
        <v>97</v>
      </c>
      <c r="L1800" s="1">
        <v>9</v>
      </c>
      <c r="M1800" s="13">
        <v>479.9</v>
      </c>
      <c r="N1800" s="15">
        <v>0.32</v>
      </c>
      <c r="O1800" s="13">
        <v>3253.67</v>
      </c>
      <c r="P1800" s="13">
        <v>232.06</v>
      </c>
      <c r="Q1800" s="13">
        <v>40.19</v>
      </c>
      <c r="R1800" s="1" t="s">
        <v>70</v>
      </c>
      <c r="S1800" s="1">
        <v>4</v>
      </c>
      <c r="T1800" s="1" t="b">
        <v>0</v>
      </c>
      <c r="U1800" s="1" t="s">
        <v>137</v>
      </c>
      <c r="V1800" s="3">
        <v>3</v>
      </c>
    </row>
    <row r="1801" spans="1:22" x14ac:dyDescent="0.3">
      <c r="A1801" s="2" t="s">
        <v>4093</v>
      </c>
      <c r="B1801" s="10">
        <v>44874</v>
      </c>
      <c r="C1801" s="22">
        <v>44874</v>
      </c>
      <c r="D1801" s="1" t="s">
        <v>4094</v>
      </c>
      <c r="E1801" s="1" t="s">
        <v>616</v>
      </c>
      <c r="F1801" s="1">
        <v>34</v>
      </c>
      <c r="G1801" s="1" t="s">
        <v>68</v>
      </c>
      <c r="H1801" s="1" t="s">
        <v>82</v>
      </c>
      <c r="I1801" s="1" t="s">
        <v>126</v>
      </c>
      <c r="J1801" s="1" t="s">
        <v>146</v>
      </c>
      <c r="K1801" s="1" t="s">
        <v>178</v>
      </c>
      <c r="L1801" s="1">
        <v>5</v>
      </c>
      <c r="M1801" s="13">
        <v>4583.05</v>
      </c>
      <c r="N1801" s="15">
        <v>0.3</v>
      </c>
      <c r="O1801" s="13">
        <v>12705.05</v>
      </c>
      <c r="P1801" s="13">
        <v>2806.09</v>
      </c>
      <c r="Q1801" s="13">
        <v>59.75</v>
      </c>
      <c r="R1801" s="1" t="s">
        <v>57</v>
      </c>
      <c r="S1801" s="1">
        <v>4</v>
      </c>
      <c r="T1801" s="1" t="b">
        <v>0</v>
      </c>
      <c r="U1801" s="1" t="s">
        <v>39</v>
      </c>
      <c r="V1801" s="3">
        <v>6</v>
      </c>
    </row>
    <row r="1802" spans="1:22" x14ac:dyDescent="0.3">
      <c r="A1802" s="2" t="s">
        <v>4095</v>
      </c>
      <c r="B1802" s="10">
        <v>44252</v>
      </c>
      <c r="C1802" s="22">
        <v>44252</v>
      </c>
      <c r="D1802" s="1" t="s">
        <v>4096</v>
      </c>
      <c r="E1802" s="1" t="s">
        <v>1079</v>
      </c>
      <c r="F1802" s="1">
        <v>49</v>
      </c>
      <c r="G1802" s="1" t="s">
        <v>68</v>
      </c>
      <c r="H1802" s="1" t="s">
        <v>111</v>
      </c>
      <c r="I1802" s="1" t="s">
        <v>121</v>
      </c>
      <c r="J1802" s="1" t="s">
        <v>76</v>
      </c>
      <c r="K1802" s="1" t="s">
        <v>89</v>
      </c>
      <c r="L1802" s="1">
        <v>9</v>
      </c>
      <c r="M1802" s="13">
        <v>2124.88</v>
      </c>
      <c r="N1802" s="15">
        <v>0.33</v>
      </c>
      <c r="O1802" s="13">
        <v>10230.52</v>
      </c>
      <c r="P1802" s="13">
        <v>4454.91</v>
      </c>
      <c r="Q1802" s="13">
        <v>81.17</v>
      </c>
      <c r="R1802" s="1" t="s">
        <v>29</v>
      </c>
      <c r="S1802" s="1">
        <v>3</v>
      </c>
      <c r="T1802" s="1" t="b">
        <v>0</v>
      </c>
      <c r="U1802" s="1" t="s">
        <v>84</v>
      </c>
      <c r="V1802" s="3">
        <v>6</v>
      </c>
    </row>
    <row r="1803" spans="1:22" x14ac:dyDescent="0.3">
      <c r="A1803" s="2" t="s">
        <v>4097</v>
      </c>
      <c r="B1803" s="10">
        <v>44625</v>
      </c>
      <c r="C1803" s="22">
        <v>44625</v>
      </c>
      <c r="D1803" s="1" t="s">
        <v>4098</v>
      </c>
      <c r="E1803" s="1" t="s">
        <v>531</v>
      </c>
      <c r="F1803" s="1">
        <v>45</v>
      </c>
      <c r="G1803" s="1" t="s">
        <v>34</v>
      </c>
      <c r="H1803" s="1" t="s">
        <v>25</v>
      </c>
      <c r="I1803" s="1" t="s">
        <v>26</v>
      </c>
      <c r="J1803" s="1" t="s">
        <v>37</v>
      </c>
      <c r="K1803" s="1" t="s">
        <v>182</v>
      </c>
      <c r="L1803" s="1">
        <v>5</v>
      </c>
      <c r="M1803" s="13">
        <v>434.1</v>
      </c>
      <c r="N1803" s="15">
        <v>0.36</v>
      </c>
      <c r="O1803" s="13">
        <v>2157.36</v>
      </c>
      <c r="P1803" s="13">
        <v>864.87</v>
      </c>
      <c r="Q1803" s="13">
        <v>41.13</v>
      </c>
      <c r="R1803" s="1" t="s">
        <v>78</v>
      </c>
      <c r="S1803" s="1">
        <v>4</v>
      </c>
      <c r="T1803" s="1" t="b">
        <v>0</v>
      </c>
      <c r="U1803" s="1" t="s">
        <v>197</v>
      </c>
      <c r="V1803" s="3">
        <v>7</v>
      </c>
    </row>
    <row r="1804" spans="1:22" x14ac:dyDescent="0.3">
      <c r="A1804" s="2" t="s">
        <v>4099</v>
      </c>
      <c r="B1804" s="10">
        <v>45282</v>
      </c>
      <c r="C1804" s="22">
        <v>45282</v>
      </c>
      <c r="D1804" s="1" t="s">
        <v>4100</v>
      </c>
      <c r="E1804" s="1" t="s">
        <v>1345</v>
      </c>
      <c r="F1804" s="1">
        <v>35</v>
      </c>
      <c r="G1804" s="1" t="s">
        <v>34</v>
      </c>
      <c r="H1804" s="1" t="s">
        <v>35</v>
      </c>
      <c r="I1804" s="1" t="s">
        <v>49</v>
      </c>
      <c r="J1804" s="1" t="s">
        <v>127</v>
      </c>
      <c r="K1804" s="1" t="s">
        <v>128</v>
      </c>
      <c r="L1804" s="1">
        <v>5</v>
      </c>
      <c r="M1804" s="13">
        <v>28716</v>
      </c>
      <c r="N1804" s="15">
        <v>0.06</v>
      </c>
      <c r="O1804" s="13">
        <v>118670.05</v>
      </c>
      <c r="P1804" s="13">
        <v>13016.92</v>
      </c>
      <c r="Q1804" s="13">
        <v>60.44</v>
      </c>
      <c r="R1804" s="1" t="s">
        <v>57</v>
      </c>
      <c r="S1804" s="1">
        <v>5</v>
      </c>
      <c r="T1804" s="1" t="b">
        <v>0</v>
      </c>
      <c r="U1804" s="1" t="s">
        <v>39</v>
      </c>
      <c r="V1804" s="3">
        <v>10</v>
      </c>
    </row>
    <row r="1805" spans="1:22" x14ac:dyDescent="0.3">
      <c r="A1805" s="2" t="s">
        <v>4101</v>
      </c>
      <c r="B1805" s="10">
        <v>44624</v>
      </c>
      <c r="C1805" s="22">
        <v>44624</v>
      </c>
      <c r="D1805" s="1" t="s">
        <v>4102</v>
      </c>
      <c r="E1805" s="1" t="s">
        <v>1076</v>
      </c>
      <c r="F1805" s="1">
        <v>33</v>
      </c>
      <c r="G1805" s="1" t="s">
        <v>24</v>
      </c>
      <c r="H1805" s="1" t="s">
        <v>25</v>
      </c>
      <c r="I1805" s="1" t="s">
        <v>170</v>
      </c>
      <c r="J1805" s="1" t="s">
        <v>37</v>
      </c>
      <c r="K1805" s="1" t="s">
        <v>182</v>
      </c>
      <c r="L1805" s="1">
        <v>2</v>
      </c>
      <c r="M1805" s="13">
        <v>2360.33</v>
      </c>
      <c r="N1805" s="15">
        <v>0.23</v>
      </c>
      <c r="O1805" s="13">
        <v>4038.37</v>
      </c>
      <c r="P1805" s="13">
        <v>1837.87</v>
      </c>
      <c r="Q1805" s="13">
        <v>81.05</v>
      </c>
      <c r="R1805" s="1" t="s">
        <v>51</v>
      </c>
      <c r="S1805" s="1">
        <v>3</v>
      </c>
      <c r="T1805" s="1" t="b">
        <v>0</v>
      </c>
      <c r="U1805" s="1" t="s">
        <v>39</v>
      </c>
      <c r="V1805" s="3">
        <v>3</v>
      </c>
    </row>
    <row r="1806" spans="1:22" x14ac:dyDescent="0.3">
      <c r="A1806" s="2" t="s">
        <v>4103</v>
      </c>
      <c r="B1806" s="10">
        <v>44072</v>
      </c>
      <c r="C1806" s="22">
        <v>44072</v>
      </c>
      <c r="D1806" s="1" t="s">
        <v>4104</v>
      </c>
      <c r="E1806" s="1" t="s">
        <v>2001</v>
      </c>
      <c r="F1806" s="1">
        <v>35</v>
      </c>
      <c r="G1806" s="1" t="s">
        <v>68</v>
      </c>
      <c r="H1806" s="1" t="s">
        <v>35</v>
      </c>
      <c r="I1806" s="1" t="s">
        <v>106</v>
      </c>
      <c r="J1806" s="1" t="s">
        <v>62</v>
      </c>
      <c r="K1806" s="1" t="s">
        <v>63</v>
      </c>
      <c r="L1806" s="1">
        <v>8</v>
      </c>
      <c r="M1806" s="13">
        <v>318.51</v>
      </c>
      <c r="N1806" s="15">
        <v>0.31</v>
      </c>
      <c r="O1806" s="13">
        <v>1966.41</v>
      </c>
      <c r="P1806" s="13">
        <v>790.49</v>
      </c>
      <c r="Q1806" s="13">
        <v>72.37</v>
      </c>
      <c r="R1806" s="1" t="s">
        <v>29</v>
      </c>
      <c r="S1806" s="1">
        <v>5</v>
      </c>
      <c r="T1806" s="1" t="b">
        <v>0</v>
      </c>
      <c r="U1806" s="1" t="s">
        <v>137</v>
      </c>
      <c r="V1806" s="3">
        <v>9</v>
      </c>
    </row>
    <row r="1807" spans="1:22" x14ac:dyDescent="0.3">
      <c r="A1807" s="2" t="s">
        <v>4105</v>
      </c>
      <c r="B1807" s="10">
        <v>44765</v>
      </c>
      <c r="C1807" s="22">
        <v>44765</v>
      </c>
      <c r="D1807" s="1" t="s">
        <v>4106</v>
      </c>
      <c r="E1807" s="1" t="s">
        <v>726</v>
      </c>
      <c r="F1807" s="1">
        <v>27</v>
      </c>
      <c r="G1807" s="1" t="s">
        <v>24</v>
      </c>
      <c r="H1807" s="1" t="s">
        <v>111</v>
      </c>
      <c r="I1807" s="1" t="s">
        <v>121</v>
      </c>
      <c r="J1807" s="1" t="s">
        <v>76</v>
      </c>
      <c r="K1807" s="1" t="s">
        <v>89</v>
      </c>
      <c r="L1807" s="1">
        <v>7</v>
      </c>
      <c r="M1807" s="13">
        <v>1384.84</v>
      </c>
      <c r="N1807" s="15">
        <v>0.25</v>
      </c>
      <c r="O1807" s="13">
        <v>11886.58</v>
      </c>
      <c r="P1807" s="13">
        <v>2574.91</v>
      </c>
      <c r="Q1807" s="13">
        <v>74.62</v>
      </c>
      <c r="R1807" s="1" t="s">
        <v>57</v>
      </c>
      <c r="S1807" s="1">
        <v>2</v>
      </c>
      <c r="T1807" s="1" t="b">
        <v>1</v>
      </c>
      <c r="U1807" s="1" t="s">
        <v>30</v>
      </c>
      <c r="V1807" s="3">
        <v>5</v>
      </c>
    </row>
    <row r="1808" spans="1:22" x14ac:dyDescent="0.3">
      <c r="A1808" s="2" t="s">
        <v>4107</v>
      </c>
      <c r="B1808" s="10">
        <v>45048</v>
      </c>
      <c r="C1808" s="22">
        <v>45048</v>
      </c>
      <c r="D1808" s="1" t="s">
        <v>4108</v>
      </c>
      <c r="E1808" s="1" t="s">
        <v>681</v>
      </c>
      <c r="F1808" s="1">
        <v>29</v>
      </c>
      <c r="G1808" s="1" t="s">
        <v>24</v>
      </c>
      <c r="H1808" s="1" t="s">
        <v>25</v>
      </c>
      <c r="I1808" s="1" t="s">
        <v>170</v>
      </c>
      <c r="J1808" s="1" t="s">
        <v>27</v>
      </c>
      <c r="K1808" s="1" t="s">
        <v>430</v>
      </c>
      <c r="L1808" s="1">
        <v>5</v>
      </c>
      <c r="M1808" s="13">
        <v>481.67</v>
      </c>
      <c r="N1808" s="15">
        <v>0.37</v>
      </c>
      <c r="O1808" s="13">
        <v>2050.9499999999998</v>
      </c>
      <c r="P1808" s="13">
        <v>141.47</v>
      </c>
      <c r="Q1808" s="13">
        <v>41.15</v>
      </c>
      <c r="R1808" s="1" t="s">
        <v>51</v>
      </c>
      <c r="S1808" s="1">
        <v>3</v>
      </c>
      <c r="T1808" s="1" t="b">
        <v>0</v>
      </c>
      <c r="U1808" s="1" t="s">
        <v>39</v>
      </c>
      <c r="V1808" s="3">
        <v>8</v>
      </c>
    </row>
    <row r="1809" spans="1:22" x14ac:dyDescent="0.3">
      <c r="A1809" s="2" t="s">
        <v>4109</v>
      </c>
      <c r="B1809" s="10">
        <v>45603</v>
      </c>
      <c r="C1809" s="22">
        <v>45603</v>
      </c>
      <c r="D1809" s="1" t="s">
        <v>4110</v>
      </c>
      <c r="E1809" s="1" t="s">
        <v>513</v>
      </c>
      <c r="F1809" s="1">
        <v>43</v>
      </c>
      <c r="G1809" s="1" t="s">
        <v>68</v>
      </c>
      <c r="H1809" s="1" t="s">
        <v>35</v>
      </c>
      <c r="I1809" s="1" t="s">
        <v>36</v>
      </c>
      <c r="J1809" s="1" t="s">
        <v>44</v>
      </c>
      <c r="K1809" s="1" t="s">
        <v>50</v>
      </c>
      <c r="L1809" s="1">
        <v>2</v>
      </c>
      <c r="M1809" s="13">
        <v>20043.88</v>
      </c>
      <c r="N1809" s="15">
        <v>0.36</v>
      </c>
      <c r="O1809" s="13">
        <v>23212.41</v>
      </c>
      <c r="P1809" s="13">
        <v>5160.18</v>
      </c>
      <c r="Q1809" s="13">
        <v>25.71</v>
      </c>
      <c r="R1809" s="1" t="s">
        <v>70</v>
      </c>
      <c r="S1809" s="1">
        <v>3</v>
      </c>
      <c r="T1809" s="1" t="b">
        <v>0</v>
      </c>
      <c r="U1809" s="1" t="s">
        <v>39</v>
      </c>
      <c r="V1809" s="3">
        <v>10</v>
      </c>
    </row>
    <row r="1810" spans="1:22" x14ac:dyDescent="0.3">
      <c r="A1810" s="2" t="s">
        <v>4111</v>
      </c>
      <c r="B1810" s="10">
        <v>44625</v>
      </c>
      <c r="C1810" s="22">
        <v>44625</v>
      </c>
      <c r="D1810" s="1" t="s">
        <v>4112</v>
      </c>
      <c r="E1810" s="1" t="s">
        <v>110</v>
      </c>
      <c r="F1810" s="1">
        <v>40</v>
      </c>
      <c r="G1810" s="1" t="s">
        <v>34</v>
      </c>
      <c r="H1810" s="1" t="s">
        <v>35</v>
      </c>
      <c r="I1810" s="1" t="s">
        <v>106</v>
      </c>
      <c r="J1810" s="1" t="s">
        <v>146</v>
      </c>
      <c r="K1810" s="1" t="s">
        <v>161</v>
      </c>
      <c r="L1810" s="1">
        <v>1</v>
      </c>
      <c r="M1810" s="13">
        <v>1321.99</v>
      </c>
      <c r="N1810" s="15">
        <v>0.39</v>
      </c>
      <c r="O1810" s="13">
        <v>995.97</v>
      </c>
      <c r="P1810" s="13">
        <v>202.59</v>
      </c>
      <c r="Q1810" s="13">
        <v>63.12</v>
      </c>
      <c r="R1810" s="1" t="s">
        <v>29</v>
      </c>
      <c r="S1810" s="1">
        <v>4</v>
      </c>
      <c r="T1810" s="1" t="b">
        <v>0</v>
      </c>
      <c r="U1810" s="1" t="s">
        <v>39</v>
      </c>
      <c r="V1810" s="3">
        <v>7</v>
      </c>
    </row>
    <row r="1811" spans="1:22" x14ac:dyDescent="0.3">
      <c r="A1811" s="2" t="s">
        <v>4113</v>
      </c>
      <c r="B1811" s="10">
        <v>44040</v>
      </c>
      <c r="C1811" s="22">
        <v>44040</v>
      </c>
      <c r="D1811" s="1" t="s">
        <v>4114</v>
      </c>
      <c r="E1811" s="1" t="s">
        <v>3183</v>
      </c>
      <c r="F1811" s="1">
        <v>34</v>
      </c>
      <c r="G1811" s="1" t="s">
        <v>34</v>
      </c>
      <c r="H1811" s="1" t="s">
        <v>35</v>
      </c>
      <c r="I1811" s="1" t="s">
        <v>36</v>
      </c>
      <c r="J1811" s="1" t="s">
        <v>44</v>
      </c>
      <c r="K1811" s="1" t="s">
        <v>117</v>
      </c>
      <c r="L1811" s="1">
        <v>1</v>
      </c>
      <c r="M1811" s="13">
        <v>16334.58</v>
      </c>
      <c r="N1811" s="15">
        <v>0.09</v>
      </c>
      <c r="O1811" s="13">
        <v>20183.900000000001</v>
      </c>
      <c r="P1811" s="13">
        <v>5249.68</v>
      </c>
      <c r="Q1811" s="13">
        <v>61.69</v>
      </c>
      <c r="R1811" s="1" t="s">
        <v>64</v>
      </c>
      <c r="S1811" s="1">
        <v>5</v>
      </c>
      <c r="T1811" s="1" t="b">
        <v>0</v>
      </c>
      <c r="U1811" s="1" t="s">
        <v>699</v>
      </c>
      <c r="V1811" s="3">
        <v>10</v>
      </c>
    </row>
    <row r="1812" spans="1:22" x14ac:dyDescent="0.3">
      <c r="A1812" s="2" t="s">
        <v>4115</v>
      </c>
      <c r="B1812" s="10">
        <v>44568</v>
      </c>
      <c r="C1812" s="22">
        <v>44568</v>
      </c>
      <c r="D1812" s="1" t="s">
        <v>4116</v>
      </c>
      <c r="E1812" s="1" t="s">
        <v>87</v>
      </c>
      <c r="F1812" s="1">
        <v>33</v>
      </c>
      <c r="G1812" s="1" t="s">
        <v>24</v>
      </c>
      <c r="H1812" s="1" t="s">
        <v>74</v>
      </c>
      <c r="I1812" s="1" t="s">
        <v>101</v>
      </c>
      <c r="J1812" s="1" t="s">
        <v>127</v>
      </c>
      <c r="K1812" s="1" t="s">
        <v>128</v>
      </c>
      <c r="L1812" s="1">
        <v>5</v>
      </c>
      <c r="M1812" s="13">
        <v>27023.75</v>
      </c>
      <c r="N1812" s="15">
        <v>0.03</v>
      </c>
      <c r="O1812" s="13">
        <v>98800.7</v>
      </c>
      <c r="P1812" s="13">
        <v>15632.48</v>
      </c>
      <c r="Q1812" s="13">
        <v>68.45</v>
      </c>
      <c r="R1812" s="1" t="s">
        <v>70</v>
      </c>
      <c r="S1812" s="1">
        <v>4</v>
      </c>
      <c r="T1812" s="1" t="b">
        <v>0</v>
      </c>
      <c r="U1812" s="1" t="s">
        <v>39</v>
      </c>
      <c r="V1812" s="3">
        <v>7</v>
      </c>
    </row>
    <row r="1813" spans="1:22" x14ac:dyDescent="0.3">
      <c r="A1813" s="2" t="s">
        <v>4117</v>
      </c>
      <c r="B1813" s="10">
        <v>43966</v>
      </c>
      <c r="C1813" s="22">
        <v>43966</v>
      </c>
      <c r="D1813" s="1" t="s">
        <v>4118</v>
      </c>
      <c r="E1813" s="1" t="s">
        <v>1650</v>
      </c>
      <c r="F1813" s="1">
        <v>39</v>
      </c>
      <c r="G1813" s="1" t="s">
        <v>68</v>
      </c>
      <c r="H1813" s="1" t="s">
        <v>35</v>
      </c>
      <c r="I1813" s="1" t="s">
        <v>49</v>
      </c>
      <c r="J1813" s="1" t="s">
        <v>127</v>
      </c>
      <c r="K1813" s="1" t="s">
        <v>517</v>
      </c>
      <c r="L1813" s="1">
        <v>5</v>
      </c>
      <c r="M1813" s="13">
        <v>30601.06</v>
      </c>
      <c r="N1813" s="15">
        <v>0.34</v>
      </c>
      <c r="O1813" s="13">
        <v>118310.73</v>
      </c>
      <c r="P1813" s="13">
        <v>14746.62</v>
      </c>
      <c r="Q1813" s="13">
        <v>71.09</v>
      </c>
      <c r="R1813" s="1" t="s">
        <v>64</v>
      </c>
      <c r="S1813" s="1">
        <v>4</v>
      </c>
      <c r="T1813" s="1" t="b">
        <v>0</v>
      </c>
      <c r="U1813" s="1" t="s">
        <v>137</v>
      </c>
      <c r="V1813" s="3">
        <v>2</v>
      </c>
    </row>
    <row r="1814" spans="1:22" x14ac:dyDescent="0.3">
      <c r="A1814" s="2" t="s">
        <v>4119</v>
      </c>
      <c r="B1814" s="10">
        <v>44217</v>
      </c>
      <c r="C1814" s="22">
        <v>44217</v>
      </c>
      <c r="D1814" s="1" t="s">
        <v>4120</v>
      </c>
      <c r="E1814" s="1" t="s">
        <v>716</v>
      </c>
      <c r="F1814" s="1">
        <v>29</v>
      </c>
      <c r="G1814" s="1" t="s">
        <v>34</v>
      </c>
      <c r="H1814" s="1" t="s">
        <v>25</v>
      </c>
      <c r="I1814" s="1" t="s">
        <v>55</v>
      </c>
      <c r="J1814" s="1" t="s">
        <v>44</v>
      </c>
      <c r="K1814" s="1" t="s">
        <v>117</v>
      </c>
      <c r="L1814" s="1">
        <v>7</v>
      </c>
      <c r="M1814" s="13">
        <v>27103.439999999999</v>
      </c>
      <c r="N1814" s="15">
        <v>7.0000000000000007E-2</v>
      </c>
      <c r="O1814" s="13">
        <v>140013.26999999999</v>
      </c>
      <c r="P1814" s="13">
        <v>47871.51</v>
      </c>
      <c r="Q1814" s="13">
        <v>45.89</v>
      </c>
      <c r="R1814" s="1" t="s">
        <v>51</v>
      </c>
      <c r="S1814" s="1">
        <v>2</v>
      </c>
      <c r="T1814" s="1" t="b">
        <v>1</v>
      </c>
      <c r="U1814" s="1" t="s">
        <v>30</v>
      </c>
      <c r="V1814" s="3">
        <v>7</v>
      </c>
    </row>
    <row r="1815" spans="1:22" x14ac:dyDescent="0.3">
      <c r="A1815" s="2" t="s">
        <v>4121</v>
      </c>
      <c r="B1815" s="10">
        <v>44609</v>
      </c>
      <c r="C1815" s="22">
        <v>44609</v>
      </c>
      <c r="D1815" s="1" t="s">
        <v>4122</v>
      </c>
      <c r="E1815" s="1" t="s">
        <v>621</v>
      </c>
      <c r="F1815" s="1">
        <v>24</v>
      </c>
      <c r="G1815" s="1" t="s">
        <v>34</v>
      </c>
      <c r="H1815" s="1" t="s">
        <v>35</v>
      </c>
      <c r="I1815" s="1" t="s">
        <v>36</v>
      </c>
      <c r="J1815" s="1" t="s">
        <v>146</v>
      </c>
      <c r="K1815" s="1" t="s">
        <v>484</v>
      </c>
      <c r="L1815" s="1">
        <v>8</v>
      </c>
      <c r="M1815" s="13">
        <v>4285.05</v>
      </c>
      <c r="N1815" s="15">
        <v>0.23</v>
      </c>
      <c r="O1815" s="13">
        <v>24205.27</v>
      </c>
      <c r="P1815" s="13">
        <v>7134.8</v>
      </c>
      <c r="Q1815" s="13">
        <v>43.11</v>
      </c>
      <c r="R1815" s="1" t="s">
        <v>64</v>
      </c>
      <c r="S1815" s="1">
        <v>3</v>
      </c>
      <c r="T1815" s="1" t="b">
        <v>0</v>
      </c>
      <c r="U1815" s="1" t="s">
        <v>39</v>
      </c>
      <c r="V1815" s="3">
        <v>2</v>
      </c>
    </row>
    <row r="1816" spans="1:22" x14ac:dyDescent="0.3">
      <c r="A1816" s="2" t="s">
        <v>4123</v>
      </c>
      <c r="B1816" s="10">
        <v>44526</v>
      </c>
      <c r="C1816" s="22">
        <v>44526</v>
      </c>
      <c r="D1816" s="1" t="s">
        <v>4124</v>
      </c>
      <c r="E1816" s="1" t="s">
        <v>247</v>
      </c>
      <c r="F1816" s="1">
        <v>19</v>
      </c>
      <c r="G1816" s="1" t="s">
        <v>34</v>
      </c>
      <c r="H1816" s="1" t="s">
        <v>111</v>
      </c>
      <c r="I1816" s="1" t="s">
        <v>330</v>
      </c>
      <c r="J1816" s="1" t="s">
        <v>37</v>
      </c>
      <c r="K1816" s="1" t="s">
        <v>671</v>
      </c>
      <c r="L1816" s="1">
        <v>10</v>
      </c>
      <c r="M1816" s="13">
        <v>2199.23</v>
      </c>
      <c r="N1816" s="15">
        <v>0.03</v>
      </c>
      <c r="O1816" s="13">
        <v>17600.22</v>
      </c>
      <c r="P1816" s="13">
        <v>7462.56</v>
      </c>
      <c r="Q1816" s="13">
        <v>84.56</v>
      </c>
      <c r="R1816" s="1" t="s">
        <v>51</v>
      </c>
      <c r="S1816" s="1">
        <v>4</v>
      </c>
      <c r="T1816" s="1" t="b">
        <v>0</v>
      </c>
      <c r="U1816" s="1" t="s">
        <v>137</v>
      </c>
      <c r="V1816" s="3">
        <v>10</v>
      </c>
    </row>
    <row r="1817" spans="1:22" x14ac:dyDescent="0.3">
      <c r="A1817" s="2" t="s">
        <v>4125</v>
      </c>
      <c r="B1817" s="10">
        <v>44284</v>
      </c>
      <c r="C1817" s="22">
        <v>44284</v>
      </c>
      <c r="D1817" s="1" t="s">
        <v>4126</v>
      </c>
      <c r="E1817" s="1" t="s">
        <v>100</v>
      </c>
      <c r="F1817" s="1">
        <v>11</v>
      </c>
      <c r="G1817" s="1" t="s">
        <v>24</v>
      </c>
      <c r="H1817" s="1" t="s">
        <v>35</v>
      </c>
      <c r="I1817" s="1" t="s">
        <v>36</v>
      </c>
      <c r="J1817" s="1" t="s">
        <v>44</v>
      </c>
      <c r="K1817" s="1" t="s">
        <v>45</v>
      </c>
      <c r="L1817" s="1">
        <v>5</v>
      </c>
      <c r="M1817" s="13">
        <v>24694.95</v>
      </c>
      <c r="N1817" s="15">
        <v>0.14000000000000001</v>
      </c>
      <c r="O1817" s="13">
        <v>21791.52</v>
      </c>
      <c r="P1817" s="13">
        <v>6733.42</v>
      </c>
      <c r="Q1817" s="13">
        <v>16.03</v>
      </c>
      <c r="R1817" s="1" t="s">
        <v>78</v>
      </c>
      <c r="S1817" s="1">
        <v>2</v>
      </c>
      <c r="T1817" s="1" t="b">
        <v>0</v>
      </c>
      <c r="U1817" s="1" t="s">
        <v>137</v>
      </c>
      <c r="V1817" s="3">
        <v>10</v>
      </c>
    </row>
    <row r="1818" spans="1:22" x14ac:dyDescent="0.3">
      <c r="A1818" s="2" t="s">
        <v>4127</v>
      </c>
      <c r="B1818" s="10">
        <v>45580</v>
      </c>
      <c r="C1818" s="22">
        <v>45580</v>
      </c>
      <c r="D1818" s="1" t="s">
        <v>4128</v>
      </c>
      <c r="E1818" s="1" t="s">
        <v>4129</v>
      </c>
      <c r="F1818" s="1">
        <v>34</v>
      </c>
      <c r="G1818" s="1" t="s">
        <v>34</v>
      </c>
      <c r="H1818" s="1" t="s">
        <v>74</v>
      </c>
      <c r="I1818" s="1" t="s">
        <v>192</v>
      </c>
      <c r="J1818" s="1" t="s">
        <v>37</v>
      </c>
      <c r="K1818" s="1" t="s">
        <v>231</v>
      </c>
      <c r="L1818" s="1">
        <v>2</v>
      </c>
      <c r="M1818" s="13">
        <v>346.2</v>
      </c>
      <c r="N1818" s="15">
        <v>0.18</v>
      </c>
      <c r="O1818" s="13">
        <v>627.35</v>
      </c>
      <c r="P1818" s="13">
        <v>286.41000000000003</v>
      </c>
      <c r="Q1818" s="13">
        <v>60.58</v>
      </c>
      <c r="R1818" s="1" t="s">
        <v>78</v>
      </c>
      <c r="S1818" s="1">
        <v>4</v>
      </c>
      <c r="T1818" s="1" t="b">
        <v>0</v>
      </c>
      <c r="U1818" s="1" t="s">
        <v>39</v>
      </c>
      <c r="V1818" s="3">
        <v>4</v>
      </c>
    </row>
    <row r="1819" spans="1:22" x14ac:dyDescent="0.3">
      <c r="A1819" s="2" t="s">
        <v>4130</v>
      </c>
      <c r="B1819" s="10">
        <v>45251</v>
      </c>
      <c r="C1819" s="22">
        <v>45251</v>
      </c>
      <c r="D1819" s="1" t="s">
        <v>4131</v>
      </c>
      <c r="E1819" s="1" t="s">
        <v>1166</v>
      </c>
      <c r="F1819" s="1">
        <v>14</v>
      </c>
      <c r="G1819" s="1" t="s">
        <v>68</v>
      </c>
      <c r="H1819" s="1" t="s">
        <v>111</v>
      </c>
      <c r="I1819" s="1" t="s">
        <v>141</v>
      </c>
      <c r="J1819" s="1" t="s">
        <v>127</v>
      </c>
      <c r="K1819" s="1" t="s">
        <v>142</v>
      </c>
      <c r="L1819" s="1">
        <v>8</v>
      </c>
      <c r="M1819" s="13">
        <v>24941.15</v>
      </c>
      <c r="N1819" s="15">
        <v>0.38</v>
      </c>
      <c r="O1819" s="13">
        <v>134271.79</v>
      </c>
      <c r="P1819" s="13">
        <v>19098.95</v>
      </c>
      <c r="Q1819" s="13">
        <v>79.77</v>
      </c>
      <c r="R1819" s="1" t="s">
        <v>29</v>
      </c>
      <c r="S1819" s="1">
        <v>4</v>
      </c>
      <c r="T1819" s="1" t="b">
        <v>0</v>
      </c>
      <c r="U1819" s="1" t="s">
        <v>39</v>
      </c>
      <c r="V1819" s="3">
        <v>4</v>
      </c>
    </row>
    <row r="1820" spans="1:22" x14ac:dyDescent="0.3">
      <c r="A1820" s="2" t="s">
        <v>4132</v>
      </c>
      <c r="B1820" s="10">
        <v>44837</v>
      </c>
      <c r="C1820" s="22">
        <v>44837</v>
      </c>
      <c r="D1820" s="1" t="s">
        <v>4133</v>
      </c>
      <c r="E1820" s="1" t="s">
        <v>1211</v>
      </c>
      <c r="F1820" s="1">
        <v>36</v>
      </c>
      <c r="G1820" s="1" t="s">
        <v>24</v>
      </c>
      <c r="H1820" s="1" t="s">
        <v>82</v>
      </c>
      <c r="I1820" s="1" t="s">
        <v>293</v>
      </c>
      <c r="J1820" s="1" t="s">
        <v>27</v>
      </c>
      <c r="K1820" s="1" t="s">
        <v>56</v>
      </c>
      <c r="L1820" s="1">
        <v>7</v>
      </c>
      <c r="M1820" s="13">
        <v>490.56</v>
      </c>
      <c r="N1820" s="15">
        <v>0.36</v>
      </c>
      <c r="O1820" s="13">
        <v>2209.98</v>
      </c>
      <c r="P1820" s="13">
        <v>120.11</v>
      </c>
      <c r="Q1820" s="13">
        <v>92.2</v>
      </c>
      <c r="R1820" s="1" t="s">
        <v>57</v>
      </c>
      <c r="S1820" s="1">
        <v>3</v>
      </c>
      <c r="T1820" s="1" t="b">
        <v>0</v>
      </c>
      <c r="U1820" s="1" t="s">
        <v>137</v>
      </c>
      <c r="V1820" s="3">
        <v>2</v>
      </c>
    </row>
    <row r="1821" spans="1:22" x14ac:dyDescent="0.3">
      <c r="A1821" s="2" t="s">
        <v>4134</v>
      </c>
      <c r="B1821" s="10">
        <v>45606</v>
      </c>
      <c r="C1821" s="22">
        <v>45606</v>
      </c>
      <c r="D1821" s="1" t="s">
        <v>4135</v>
      </c>
      <c r="E1821" s="1" t="s">
        <v>2791</v>
      </c>
      <c r="F1821" s="1">
        <v>19</v>
      </c>
      <c r="G1821" s="1" t="s">
        <v>24</v>
      </c>
      <c r="H1821" s="1" t="s">
        <v>82</v>
      </c>
      <c r="I1821" s="1" t="s">
        <v>126</v>
      </c>
      <c r="J1821" s="1" t="s">
        <v>27</v>
      </c>
      <c r="K1821" s="1" t="s">
        <v>430</v>
      </c>
      <c r="L1821" s="1">
        <v>5</v>
      </c>
      <c r="M1821" s="13">
        <v>398.96</v>
      </c>
      <c r="N1821" s="15">
        <v>0.3</v>
      </c>
      <c r="O1821" s="13">
        <v>1473.23</v>
      </c>
      <c r="P1821" s="13">
        <v>123.43</v>
      </c>
      <c r="Q1821" s="13">
        <v>103.58</v>
      </c>
      <c r="R1821" s="1" t="s">
        <v>64</v>
      </c>
      <c r="S1821" s="1">
        <v>3</v>
      </c>
      <c r="T1821" s="1" t="b">
        <v>1</v>
      </c>
      <c r="U1821" s="1" t="s">
        <v>30</v>
      </c>
      <c r="V1821" s="3">
        <v>1</v>
      </c>
    </row>
    <row r="1822" spans="1:22" x14ac:dyDescent="0.3">
      <c r="A1822" s="2" t="s">
        <v>4136</v>
      </c>
      <c r="B1822" s="10">
        <v>43964</v>
      </c>
      <c r="C1822" s="22">
        <v>43964</v>
      </c>
      <c r="D1822" s="1" t="s">
        <v>4137</v>
      </c>
      <c r="E1822" s="1" t="s">
        <v>513</v>
      </c>
      <c r="F1822" s="1">
        <v>27</v>
      </c>
      <c r="G1822" s="1" t="s">
        <v>68</v>
      </c>
      <c r="H1822" s="1" t="s">
        <v>74</v>
      </c>
      <c r="I1822" s="1" t="s">
        <v>101</v>
      </c>
      <c r="J1822" s="1" t="s">
        <v>37</v>
      </c>
      <c r="K1822" s="1" t="s">
        <v>671</v>
      </c>
      <c r="L1822" s="1">
        <v>4</v>
      </c>
      <c r="M1822" s="13">
        <v>1944.29</v>
      </c>
      <c r="N1822" s="15">
        <v>0.17</v>
      </c>
      <c r="O1822" s="13">
        <v>8759.65</v>
      </c>
      <c r="P1822" s="13">
        <v>5237.3500000000004</v>
      </c>
      <c r="Q1822" s="13">
        <v>87.31</v>
      </c>
      <c r="R1822" s="1" t="s">
        <v>78</v>
      </c>
      <c r="S1822" s="1">
        <v>3</v>
      </c>
      <c r="T1822" s="1" t="b">
        <v>0</v>
      </c>
      <c r="U1822" s="1" t="s">
        <v>39</v>
      </c>
      <c r="V1822" s="3">
        <v>4</v>
      </c>
    </row>
    <row r="1823" spans="1:22" x14ac:dyDescent="0.3">
      <c r="A1823" s="2" t="s">
        <v>4138</v>
      </c>
      <c r="B1823" s="10">
        <v>44231</v>
      </c>
      <c r="C1823" s="22">
        <v>44231</v>
      </c>
      <c r="D1823" s="1" t="s">
        <v>4139</v>
      </c>
      <c r="E1823" s="1" t="s">
        <v>3667</v>
      </c>
      <c r="F1823" s="1">
        <v>49</v>
      </c>
      <c r="G1823" s="1" t="s">
        <v>24</v>
      </c>
      <c r="H1823" s="1" t="s">
        <v>82</v>
      </c>
      <c r="I1823" s="1" t="s">
        <v>83</v>
      </c>
      <c r="J1823" s="1" t="s">
        <v>146</v>
      </c>
      <c r="K1823" s="1" t="s">
        <v>484</v>
      </c>
      <c r="L1823" s="1">
        <v>10</v>
      </c>
      <c r="M1823" s="13">
        <v>12708.22</v>
      </c>
      <c r="N1823" s="15">
        <v>0.28000000000000003</v>
      </c>
      <c r="O1823" s="13">
        <v>91510.11</v>
      </c>
      <c r="P1823" s="13">
        <v>20206.87</v>
      </c>
      <c r="Q1823" s="13">
        <v>100.24</v>
      </c>
      <c r="R1823" s="1" t="s">
        <v>51</v>
      </c>
      <c r="S1823" s="1">
        <v>2</v>
      </c>
      <c r="T1823" s="1" t="b">
        <v>0</v>
      </c>
      <c r="U1823" s="1" t="s">
        <v>39</v>
      </c>
      <c r="V1823" s="3">
        <v>3</v>
      </c>
    </row>
    <row r="1824" spans="1:22" x14ac:dyDescent="0.3">
      <c r="A1824" s="2" t="s">
        <v>4140</v>
      </c>
      <c r="B1824" s="10">
        <v>44002</v>
      </c>
      <c r="C1824" s="22">
        <v>44002</v>
      </c>
      <c r="D1824" s="1" t="s">
        <v>4141</v>
      </c>
      <c r="E1824" s="1" t="s">
        <v>847</v>
      </c>
      <c r="F1824" s="1">
        <v>20</v>
      </c>
      <c r="G1824" s="1" t="s">
        <v>24</v>
      </c>
      <c r="H1824" s="1" t="s">
        <v>82</v>
      </c>
      <c r="I1824" s="1" t="s">
        <v>126</v>
      </c>
      <c r="J1824" s="1" t="s">
        <v>37</v>
      </c>
      <c r="K1824" s="1" t="s">
        <v>231</v>
      </c>
      <c r="L1824" s="1">
        <v>8</v>
      </c>
      <c r="M1824" s="13">
        <v>950.66</v>
      </c>
      <c r="N1824" s="15">
        <v>0.32</v>
      </c>
      <c r="O1824" s="13">
        <v>7094.52</v>
      </c>
      <c r="P1824" s="13">
        <v>3770.8</v>
      </c>
      <c r="Q1824" s="13">
        <v>84.8</v>
      </c>
      <c r="R1824" s="1" t="s">
        <v>29</v>
      </c>
      <c r="S1824" s="1">
        <v>5</v>
      </c>
      <c r="T1824" s="1" t="b">
        <v>0</v>
      </c>
      <c r="U1824" s="1" t="s">
        <v>39</v>
      </c>
      <c r="V1824" s="3">
        <v>7</v>
      </c>
    </row>
    <row r="1825" spans="1:22" x14ac:dyDescent="0.3">
      <c r="A1825" s="2" t="s">
        <v>4142</v>
      </c>
      <c r="B1825" s="10">
        <v>44265</v>
      </c>
      <c r="C1825" s="22">
        <v>44265</v>
      </c>
      <c r="D1825" s="1" t="s">
        <v>4143</v>
      </c>
      <c r="E1825" s="1" t="s">
        <v>2001</v>
      </c>
      <c r="F1825" s="1">
        <v>30</v>
      </c>
      <c r="G1825" s="1" t="s">
        <v>34</v>
      </c>
      <c r="H1825" s="1" t="s">
        <v>82</v>
      </c>
      <c r="I1825" s="1" t="s">
        <v>293</v>
      </c>
      <c r="J1825" s="1" t="s">
        <v>146</v>
      </c>
      <c r="K1825" s="1" t="s">
        <v>147</v>
      </c>
      <c r="L1825" s="1">
        <v>3</v>
      </c>
      <c r="M1825" s="13">
        <v>14253.13</v>
      </c>
      <c r="N1825" s="15">
        <v>0.13</v>
      </c>
      <c r="O1825" s="13">
        <v>45619.3</v>
      </c>
      <c r="P1825" s="13">
        <v>11131.02</v>
      </c>
      <c r="Q1825" s="13">
        <v>67.22</v>
      </c>
      <c r="R1825" s="1" t="s">
        <v>51</v>
      </c>
      <c r="S1825" s="1">
        <v>1</v>
      </c>
      <c r="T1825" s="1" t="b">
        <v>0</v>
      </c>
      <c r="U1825" s="1" t="s">
        <v>84</v>
      </c>
      <c r="V1825" s="3">
        <v>3</v>
      </c>
    </row>
    <row r="1826" spans="1:22" x14ac:dyDescent="0.3">
      <c r="A1826" s="2" t="s">
        <v>4144</v>
      </c>
      <c r="B1826" s="10">
        <v>44228</v>
      </c>
      <c r="C1826" s="22">
        <v>44228</v>
      </c>
      <c r="D1826" s="1" t="s">
        <v>4145</v>
      </c>
      <c r="E1826" s="1" t="s">
        <v>135</v>
      </c>
      <c r="F1826" s="1">
        <v>43</v>
      </c>
      <c r="G1826" s="1" t="s">
        <v>68</v>
      </c>
      <c r="H1826" s="1" t="s">
        <v>111</v>
      </c>
      <c r="I1826" s="1" t="s">
        <v>112</v>
      </c>
      <c r="J1826" s="1" t="s">
        <v>76</v>
      </c>
      <c r="K1826" s="1" t="s">
        <v>207</v>
      </c>
      <c r="L1826" s="1">
        <v>9</v>
      </c>
      <c r="M1826" s="13">
        <v>2667.5</v>
      </c>
      <c r="N1826" s="15">
        <v>0.11</v>
      </c>
      <c r="O1826" s="13">
        <v>20759.02</v>
      </c>
      <c r="P1826" s="13">
        <v>8438.9</v>
      </c>
      <c r="Q1826" s="13">
        <v>78.87</v>
      </c>
      <c r="R1826" s="1" t="s">
        <v>64</v>
      </c>
      <c r="S1826" s="1">
        <v>3</v>
      </c>
      <c r="T1826" s="1" t="b">
        <v>0</v>
      </c>
      <c r="U1826" s="1" t="s">
        <v>39</v>
      </c>
      <c r="V1826" s="3">
        <v>3</v>
      </c>
    </row>
    <row r="1827" spans="1:22" x14ac:dyDescent="0.3">
      <c r="A1827" s="2" t="s">
        <v>4146</v>
      </c>
      <c r="B1827" s="10">
        <v>44604</v>
      </c>
      <c r="C1827" s="22">
        <v>44604</v>
      </c>
      <c r="D1827" s="1" t="s">
        <v>4147</v>
      </c>
      <c r="E1827" s="1" t="s">
        <v>164</v>
      </c>
      <c r="F1827" s="1">
        <v>56</v>
      </c>
      <c r="G1827" s="1" t="s">
        <v>34</v>
      </c>
      <c r="H1827" s="1" t="s">
        <v>111</v>
      </c>
      <c r="I1827" s="1" t="s">
        <v>330</v>
      </c>
      <c r="J1827" s="1" t="s">
        <v>76</v>
      </c>
      <c r="K1827" s="1" t="s">
        <v>207</v>
      </c>
      <c r="L1827" s="1">
        <v>2</v>
      </c>
      <c r="M1827" s="13">
        <v>2432.6</v>
      </c>
      <c r="N1827" s="15">
        <v>0.26</v>
      </c>
      <c r="O1827" s="13">
        <v>3968.93</v>
      </c>
      <c r="P1827" s="13">
        <v>1931.36</v>
      </c>
      <c r="Q1827" s="13">
        <v>84.81</v>
      </c>
      <c r="R1827" s="1" t="s">
        <v>57</v>
      </c>
      <c r="S1827" s="1">
        <v>5</v>
      </c>
      <c r="T1827" s="1" t="b">
        <v>0</v>
      </c>
      <c r="U1827" s="1" t="s">
        <v>39</v>
      </c>
      <c r="V1827" s="3">
        <v>8</v>
      </c>
    </row>
    <row r="1828" spans="1:22" x14ac:dyDescent="0.3">
      <c r="A1828" s="2" t="s">
        <v>4148</v>
      </c>
      <c r="B1828" s="10">
        <v>43905</v>
      </c>
      <c r="C1828" s="22">
        <v>43905</v>
      </c>
      <c r="D1828" s="1" t="s">
        <v>4149</v>
      </c>
      <c r="E1828" s="1" t="s">
        <v>4150</v>
      </c>
      <c r="F1828" s="1">
        <v>43</v>
      </c>
      <c r="G1828" s="1" t="s">
        <v>34</v>
      </c>
      <c r="H1828" s="1" t="s">
        <v>25</v>
      </c>
      <c r="I1828" s="1" t="s">
        <v>26</v>
      </c>
      <c r="J1828" s="1" t="s">
        <v>76</v>
      </c>
      <c r="K1828" s="1" t="s">
        <v>113</v>
      </c>
      <c r="L1828" s="1">
        <v>2</v>
      </c>
      <c r="M1828" s="13">
        <v>3471.87</v>
      </c>
      <c r="N1828" s="15">
        <v>0.15</v>
      </c>
      <c r="O1828" s="13">
        <v>5928.17</v>
      </c>
      <c r="P1828" s="13">
        <v>1972.09</v>
      </c>
      <c r="Q1828" s="13">
        <v>48.98</v>
      </c>
      <c r="R1828" s="1" t="s">
        <v>70</v>
      </c>
      <c r="S1828" s="1">
        <v>1</v>
      </c>
      <c r="T1828" s="1" t="b">
        <v>0</v>
      </c>
      <c r="U1828" s="1" t="s">
        <v>137</v>
      </c>
      <c r="V1828" s="3">
        <v>4</v>
      </c>
    </row>
    <row r="1829" spans="1:22" x14ac:dyDescent="0.3">
      <c r="A1829" s="2" t="s">
        <v>4151</v>
      </c>
      <c r="B1829" s="10">
        <v>44111</v>
      </c>
      <c r="C1829" s="22">
        <v>44111</v>
      </c>
      <c r="D1829" s="1" t="s">
        <v>4152</v>
      </c>
      <c r="E1829" s="1" t="s">
        <v>1510</v>
      </c>
      <c r="F1829" s="1">
        <v>38</v>
      </c>
      <c r="G1829" s="1" t="s">
        <v>68</v>
      </c>
      <c r="H1829" s="1" t="s">
        <v>74</v>
      </c>
      <c r="I1829" s="1" t="s">
        <v>192</v>
      </c>
      <c r="J1829" s="1" t="s">
        <v>27</v>
      </c>
      <c r="K1829" s="1" t="s">
        <v>97</v>
      </c>
      <c r="L1829" s="1">
        <v>4</v>
      </c>
      <c r="M1829" s="13">
        <v>372.01</v>
      </c>
      <c r="N1829" s="15">
        <v>0.37</v>
      </c>
      <c r="O1829" s="13">
        <v>823.95</v>
      </c>
      <c r="P1829" s="13">
        <v>59.95</v>
      </c>
      <c r="Q1829" s="13">
        <v>38.479999999999997</v>
      </c>
      <c r="R1829" s="1" t="s">
        <v>51</v>
      </c>
      <c r="S1829" s="1">
        <v>4</v>
      </c>
      <c r="T1829" s="1" t="b">
        <v>0</v>
      </c>
      <c r="U1829" s="1" t="s">
        <v>58</v>
      </c>
      <c r="V1829" s="3">
        <v>8</v>
      </c>
    </row>
    <row r="1830" spans="1:22" x14ac:dyDescent="0.3">
      <c r="A1830" s="2" t="s">
        <v>4153</v>
      </c>
      <c r="B1830" s="10">
        <v>44345</v>
      </c>
      <c r="C1830" s="22">
        <v>44345</v>
      </c>
      <c r="D1830" s="1" t="s">
        <v>4154</v>
      </c>
      <c r="E1830" s="1" t="s">
        <v>1099</v>
      </c>
      <c r="F1830" s="1">
        <v>12</v>
      </c>
      <c r="G1830" s="1" t="s">
        <v>68</v>
      </c>
      <c r="H1830" s="1" t="s">
        <v>35</v>
      </c>
      <c r="I1830" s="1" t="s">
        <v>43</v>
      </c>
      <c r="J1830" s="1" t="s">
        <v>127</v>
      </c>
      <c r="K1830" s="1" t="s">
        <v>142</v>
      </c>
      <c r="L1830" s="1">
        <v>10</v>
      </c>
      <c r="M1830" s="13">
        <v>49305.3</v>
      </c>
      <c r="N1830" s="15">
        <v>0.37</v>
      </c>
      <c r="O1830" s="13">
        <v>431186.13</v>
      </c>
      <c r="P1830" s="13">
        <v>48008.959999999999</v>
      </c>
      <c r="Q1830" s="13">
        <v>69</v>
      </c>
      <c r="R1830" s="1" t="s">
        <v>78</v>
      </c>
      <c r="S1830" s="1">
        <v>5</v>
      </c>
      <c r="T1830" s="1" t="b">
        <v>0</v>
      </c>
      <c r="U1830" s="1" t="s">
        <v>84</v>
      </c>
      <c r="V1830" s="3">
        <v>7</v>
      </c>
    </row>
    <row r="1831" spans="1:22" x14ac:dyDescent="0.3">
      <c r="A1831" s="2" t="s">
        <v>4155</v>
      </c>
      <c r="B1831" s="10">
        <v>44747</v>
      </c>
      <c r="C1831" s="22">
        <v>44747</v>
      </c>
      <c r="D1831" s="1" t="s">
        <v>4156</v>
      </c>
      <c r="E1831" s="1" t="s">
        <v>487</v>
      </c>
      <c r="F1831" s="1">
        <v>29</v>
      </c>
      <c r="G1831" s="1" t="s">
        <v>24</v>
      </c>
      <c r="H1831" s="1" t="s">
        <v>35</v>
      </c>
      <c r="I1831" s="1" t="s">
        <v>43</v>
      </c>
      <c r="J1831" s="1" t="s">
        <v>76</v>
      </c>
      <c r="K1831" s="1" t="s">
        <v>113</v>
      </c>
      <c r="L1831" s="1">
        <v>1</v>
      </c>
      <c r="M1831" s="13">
        <v>332.88</v>
      </c>
      <c r="N1831" s="15">
        <v>0.4</v>
      </c>
      <c r="O1831" s="13">
        <v>306.13</v>
      </c>
      <c r="P1831" s="13">
        <v>129.76</v>
      </c>
      <c r="Q1831" s="13">
        <v>83.16</v>
      </c>
      <c r="R1831" s="1" t="s">
        <v>29</v>
      </c>
      <c r="S1831" s="1">
        <v>2</v>
      </c>
      <c r="T1831" s="1" t="b">
        <v>0</v>
      </c>
      <c r="U1831" s="1" t="s">
        <v>39</v>
      </c>
      <c r="V1831" s="3">
        <v>6</v>
      </c>
    </row>
    <row r="1832" spans="1:22" x14ac:dyDescent="0.3">
      <c r="A1832" s="2" t="s">
        <v>4157</v>
      </c>
      <c r="B1832" s="10">
        <v>45125</v>
      </c>
      <c r="C1832" s="22">
        <v>45125</v>
      </c>
      <c r="D1832" s="1" t="s">
        <v>4158</v>
      </c>
      <c r="E1832" s="1" t="s">
        <v>931</v>
      </c>
      <c r="F1832" s="1">
        <v>39</v>
      </c>
      <c r="G1832" s="1" t="s">
        <v>68</v>
      </c>
      <c r="H1832" s="1" t="s">
        <v>35</v>
      </c>
      <c r="I1832" s="1" t="s">
        <v>43</v>
      </c>
      <c r="J1832" s="1" t="s">
        <v>27</v>
      </c>
      <c r="K1832" s="1" t="s">
        <v>28</v>
      </c>
      <c r="L1832" s="1">
        <v>8</v>
      </c>
      <c r="M1832" s="13">
        <v>455.06</v>
      </c>
      <c r="N1832" s="15">
        <v>0.01</v>
      </c>
      <c r="O1832" s="13">
        <v>5619.54</v>
      </c>
      <c r="P1832" s="13">
        <v>561.84</v>
      </c>
      <c r="Q1832" s="13">
        <v>83.7</v>
      </c>
      <c r="R1832" s="1" t="s">
        <v>57</v>
      </c>
      <c r="S1832" s="1">
        <v>3</v>
      </c>
      <c r="T1832" s="1" t="b">
        <v>0</v>
      </c>
      <c r="U1832" s="1" t="s">
        <v>39</v>
      </c>
      <c r="V1832" s="3">
        <v>10</v>
      </c>
    </row>
    <row r="1833" spans="1:22" x14ac:dyDescent="0.3">
      <c r="A1833" s="2" t="s">
        <v>4159</v>
      </c>
      <c r="B1833" s="10">
        <v>45374</v>
      </c>
      <c r="C1833" s="22">
        <v>45374</v>
      </c>
      <c r="D1833" s="1" t="s">
        <v>4160</v>
      </c>
      <c r="E1833" s="1" t="s">
        <v>1526</v>
      </c>
      <c r="F1833" s="1">
        <v>51</v>
      </c>
      <c r="G1833" s="1" t="s">
        <v>68</v>
      </c>
      <c r="H1833" s="1" t="s">
        <v>111</v>
      </c>
      <c r="I1833" s="1" t="s">
        <v>112</v>
      </c>
      <c r="J1833" s="1" t="s">
        <v>146</v>
      </c>
      <c r="K1833" s="1" t="s">
        <v>147</v>
      </c>
      <c r="L1833" s="1">
        <v>9</v>
      </c>
      <c r="M1833" s="13">
        <v>560.77</v>
      </c>
      <c r="N1833" s="15">
        <v>0.19</v>
      </c>
      <c r="O1833" s="13">
        <v>4861.13</v>
      </c>
      <c r="P1833" s="13">
        <v>1118.77</v>
      </c>
      <c r="Q1833" s="13">
        <v>78.58</v>
      </c>
      <c r="R1833" s="1" t="s">
        <v>70</v>
      </c>
      <c r="S1833" s="1">
        <v>2</v>
      </c>
      <c r="T1833" s="1" t="b">
        <v>0</v>
      </c>
      <c r="U1833" s="1" t="s">
        <v>39</v>
      </c>
      <c r="V1833" s="3">
        <v>1</v>
      </c>
    </row>
    <row r="1834" spans="1:22" x14ac:dyDescent="0.3">
      <c r="A1834" s="2" t="s">
        <v>4161</v>
      </c>
      <c r="B1834" s="10">
        <v>45419</v>
      </c>
      <c r="C1834" s="22">
        <v>45419</v>
      </c>
      <c r="D1834" s="1" t="s">
        <v>4162</v>
      </c>
      <c r="E1834" s="1" t="s">
        <v>2328</v>
      </c>
      <c r="F1834" s="1">
        <v>42</v>
      </c>
      <c r="G1834" s="1" t="s">
        <v>34</v>
      </c>
      <c r="H1834" s="1" t="s">
        <v>35</v>
      </c>
      <c r="I1834" s="1" t="s">
        <v>49</v>
      </c>
      <c r="J1834" s="1" t="s">
        <v>44</v>
      </c>
      <c r="K1834" s="1" t="s">
        <v>45</v>
      </c>
      <c r="L1834" s="1">
        <v>10</v>
      </c>
      <c r="M1834" s="13">
        <v>15954.1</v>
      </c>
      <c r="N1834" s="15">
        <v>0.05</v>
      </c>
      <c r="O1834" s="13">
        <v>267926.31</v>
      </c>
      <c r="P1834" s="13">
        <v>76735.56</v>
      </c>
      <c r="Q1834" s="13">
        <v>54.78</v>
      </c>
      <c r="R1834" s="1" t="s">
        <v>29</v>
      </c>
      <c r="S1834" s="1">
        <v>1</v>
      </c>
      <c r="T1834" s="1" t="b">
        <v>0</v>
      </c>
      <c r="U1834" s="1" t="s">
        <v>39</v>
      </c>
      <c r="V1834" s="3">
        <v>1</v>
      </c>
    </row>
    <row r="1835" spans="1:22" x14ac:dyDescent="0.3">
      <c r="A1835" s="2" t="s">
        <v>4163</v>
      </c>
      <c r="B1835" s="10">
        <v>44900</v>
      </c>
      <c r="C1835" s="22">
        <v>44900</v>
      </c>
      <c r="D1835" s="1" t="s">
        <v>4164</v>
      </c>
      <c r="E1835" s="1" t="s">
        <v>1471</v>
      </c>
      <c r="F1835" s="1">
        <v>25</v>
      </c>
      <c r="G1835" s="1" t="s">
        <v>68</v>
      </c>
      <c r="H1835" s="1" t="s">
        <v>74</v>
      </c>
      <c r="I1835" s="1" t="s">
        <v>136</v>
      </c>
      <c r="J1835" s="1" t="s">
        <v>76</v>
      </c>
      <c r="K1835" s="1" t="s">
        <v>89</v>
      </c>
      <c r="L1835" s="1">
        <v>1</v>
      </c>
      <c r="M1835" s="13">
        <v>336.77</v>
      </c>
      <c r="N1835" s="15">
        <v>0.25</v>
      </c>
      <c r="O1835" s="13">
        <v>197.49</v>
      </c>
      <c r="P1835" s="13">
        <v>67.260000000000005</v>
      </c>
      <c r="Q1835" s="13">
        <v>67.650000000000006</v>
      </c>
      <c r="R1835" s="1" t="s">
        <v>78</v>
      </c>
      <c r="S1835" s="1">
        <v>5</v>
      </c>
      <c r="T1835" s="1" t="b">
        <v>0</v>
      </c>
      <c r="U1835" s="1" t="s">
        <v>39</v>
      </c>
      <c r="V1835" s="3">
        <v>0</v>
      </c>
    </row>
    <row r="1836" spans="1:22" x14ac:dyDescent="0.3">
      <c r="A1836" s="2" t="s">
        <v>4165</v>
      </c>
      <c r="B1836" s="10">
        <v>45651</v>
      </c>
      <c r="C1836" s="22">
        <v>45651</v>
      </c>
      <c r="D1836" s="1" t="s">
        <v>4166</v>
      </c>
      <c r="E1836" s="1" t="s">
        <v>42</v>
      </c>
      <c r="F1836" s="1">
        <v>34</v>
      </c>
      <c r="G1836" s="1" t="s">
        <v>24</v>
      </c>
      <c r="H1836" s="1" t="s">
        <v>35</v>
      </c>
      <c r="I1836" s="1" t="s">
        <v>49</v>
      </c>
      <c r="J1836" s="1" t="s">
        <v>44</v>
      </c>
      <c r="K1836" s="1" t="s">
        <v>45</v>
      </c>
      <c r="L1836" s="1">
        <v>8</v>
      </c>
      <c r="M1836" s="13">
        <v>14656.38</v>
      </c>
      <c r="N1836" s="15">
        <v>0.05</v>
      </c>
      <c r="O1836" s="13">
        <v>100424.49</v>
      </c>
      <c r="P1836" s="13">
        <v>22861.06</v>
      </c>
      <c r="Q1836" s="13">
        <v>54.81</v>
      </c>
      <c r="R1836" s="1" t="s">
        <v>29</v>
      </c>
      <c r="S1836" s="1">
        <v>1</v>
      </c>
      <c r="T1836" s="1" t="b">
        <v>0</v>
      </c>
      <c r="U1836" s="1" t="s">
        <v>39</v>
      </c>
      <c r="V1836" s="3">
        <v>6</v>
      </c>
    </row>
    <row r="1837" spans="1:22" x14ac:dyDescent="0.3">
      <c r="A1837" s="2" t="s">
        <v>4167</v>
      </c>
      <c r="B1837" s="10">
        <v>43867</v>
      </c>
      <c r="C1837" s="22">
        <v>43867</v>
      </c>
      <c r="D1837" s="1" t="s">
        <v>4168</v>
      </c>
      <c r="E1837" s="1" t="s">
        <v>690</v>
      </c>
      <c r="F1837" s="1">
        <v>56</v>
      </c>
      <c r="G1837" s="1" t="s">
        <v>68</v>
      </c>
      <c r="H1837" s="1" t="s">
        <v>35</v>
      </c>
      <c r="I1837" s="1" t="s">
        <v>49</v>
      </c>
      <c r="J1837" s="1" t="s">
        <v>76</v>
      </c>
      <c r="K1837" s="1" t="s">
        <v>89</v>
      </c>
      <c r="L1837" s="1">
        <v>5</v>
      </c>
      <c r="M1837" s="13">
        <v>1920.61</v>
      </c>
      <c r="N1837" s="15">
        <v>0.27</v>
      </c>
      <c r="O1837" s="13">
        <v>5697.27</v>
      </c>
      <c r="P1837" s="13">
        <v>2295.66</v>
      </c>
      <c r="Q1837" s="13">
        <v>69.180000000000007</v>
      </c>
      <c r="R1837" s="1" t="s">
        <v>70</v>
      </c>
      <c r="S1837" s="1">
        <v>5</v>
      </c>
      <c r="T1837" s="1" t="b">
        <v>0</v>
      </c>
      <c r="U1837" s="1" t="s">
        <v>39</v>
      </c>
      <c r="V1837" s="3">
        <v>10</v>
      </c>
    </row>
    <row r="1838" spans="1:22" x14ac:dyDescent="0.3">
      <c r="A1838" s="2" t="s">
        <v>4169</v>
      </c>
      <c r="B1838" s="10">
        <v>45308</v>
      </c>
      <c r="C1838" s="22">
        <v>45308</v>
      </c>
      <c r="D1838" s="1" t="s">
        <v>4170</v>
      </c>
      <c r="E1838" s="1" t="s">
        <v>2900</v>
      </c>
      <c r="F1838" s="1">
        <v>41</v>
      </c>
      <c r="G1838" s="1" t="s">
        <v>34</v>
      </c>
      <c r="H1838" s="1" t="s">
        <v>82</v>
      </c>
      <c r="I1838" s="1" t="s">
        <v>293</v>
      </c>
      <c r="J1838" s="1" t="s">
        <v>76</v>
      </c>
      <c r="K1838" s="1" t="s">
        <v>207</v>
      </c>
      <c r="L1838" s="1">
        <v>2</v>
      </c>
      <c r="M1838" s="13">
        <v>3049.88</v>
      </c>
      <c r="N1838" s="15">
        <v>0.02</v>
      </c>
      <c r="O1838" s="13">
        <v>5433.3</v>
      </c>
      <c r="P1838" s="13">
        <v>1313.05</v>
      </c>
      <c r="Q1838" s="13">
        <v>83.88</v>
      </c>
      <c r="R1838" s="1" t="s">
        <v>51</v>
      </c>
      <c r="S1838" s="1">
        <v>4</v>
      </c>
      <c r="T1838" s="1" t="b">
        <v>0</v>
      </c>
      <c r="U1838" s="1" t="s">
        <v>58</v>
      </c>
      <c r="V1838" s="3">
        <v>6</v>
      </c>
    </row>
    <row r="1839" spans="1:22" x14ac:dyDescent="0.3">
      <c r="A1839" s="2" t="s">
        <v>4171</v>
      </c>
      <c r="B1839" s="10">
        <v>45524</v>
      </c>
      <c r="C1839" s="22">
        <v>45524</v>
      </c>
      <c r="D1839" s="1" t="s">
        <v>4172</v>
      </c>
      <c r="E1839" s="1" t="s">
        <v>1047</v>
      </c>
      <c r="F1839" s="1">
        <v>11</v>
      </c>
      <c r="G1839" s="1" t="s">
        <v>68</v>
      </c>
      <c r="H1839" s="1" t="s">
        <v>74</v>
      </c>
      <c r="I1839" s="1" t="s">
        <v>75</v>
      </c>
      <c r="J1839" s="1" t="s">
        <v>44</v>
      </c>
      <c r="K1839" s="1" t="s">
        <v>117</v>
      </c>
      <c r="L1839" s="1">
        <v>9</v>
      </c>
      <c r="M1839" s="13">
        <v>27363.22</v>
      </c>
      <c r="N1839" s="15">
        <v>0.28999999999999998</v>
      </c>
      <c r="O1839" s="13">
        <v>296392</v>
      </c>
      <c r="P1839" s="13">
        <v>50443.65</v>
      </c>
      <c r="Q1839" s="13">
        <v>53.56</v>
      </c>
      <c r="R1839" s="1" t="s">
        <v>78</v>
      </c>
      <c r="S1839" s="1">
        <v>3</v>
      </c>
      <c r="T1839" s="1" t="b">
        <v>0</v>
      </c>
      <c r="U1839" s="1" t="s">
        <v>39</v>
      </c>
      <c r="V1839" s="3">
        <v>5</v>
      </c>
    </row>
    <row r="1840" spans="1:22" x14ac:dyDescent="0.3">
      <c r="A1840" s="2" t="s">
        <v>4173</v>
      </c>
      <c r="B1840" s="10">
        <v>44496</v>
      </c>
      <c r="C1840" s="22">
        <v>44496</v>
      </c>
      <c r="D1840" s="1" t="s">
        <v>4174</v>
      </c>
      <c r="E1840" s="1" t="s">
        <v>1300</v>
      </c>
      <c r="F1840" s="1">
        <v>25</v>
      </c>
      <c r="G1840" s="1" t="s">
        <v>68</v>
      </c>
      <c r="H1840" s="1" t="s">
        <v>111</v>
      </c>
      <c r="I1840" s="1" t="s">
        <v>121</v>
      </c>
      <c r="J1840" s="1" t="s">
        <v>37</v>
      </c>
      <c r="K1840" s="1" t="s">
        <v>102</v>
      </c>
      <c r="L1840" s="1">
        <v>5</v>
      </c>
      <c r="M1840" s="13">
        <v>2139.2800000000002</v>
      </c>
      <c r="N1840" s="15">
        <v>0.28999999999999998</v>
      </c>
      <c r="O1840" s="13">
        <v>6723.8</v>
      </c>
      <c r="P1840" s="13">
        <v>3518.82</v>
      </c>
      <c r="Q1840" s="13">
        <v>60.66</v>
      </c>
      <c r="R1840" s="1" t="s">
        <v>29</v>
      </c>
      <c r="S1840" s="1">
        <v>5</v>
      </c>
      <c r="T1840" s="1" t="b">
        <v>0</v>
      </c>
      <c r="U1840" s="1" t="s">
        <v>39</v>
      </c>
      <c r="V1840" s="3">
        <v>7</v>
      </c>
    </row>
    <row r="1841" spans="1:22" x14ac:dyDescent="0.3">
      <c r="A1841" s="2" t="s">
        <v>4175</v>
      </c>
      <c r="B1841" s="10">
        <v>44736</v>
      </c>
      <c r="C1841" s="22">
        <v>44736</v>
      </c>
      <c r="D1841" s="1" t="s">
        <v>4176</v>
      </c>
      <c r="E1841" s="1" t="s">
        <v>1108</v>
      </c>
      <c r="F1841" s="1">
        <v>33</v>
      </c>
      <c r="G1841" s="1" t="s">
        <v>24</v>
      </c>
      <c r="H1841" s="1" t="s">
        <v>111</v>
      </c>
      <c r="I1841" s="1" t="s">
        <v>141</v>
      </c>
      <c r="J1841" s="1" t="s">
        <v>127</v>
      </c>
      <c r="K1841" s="1" t="s">
        <v>308</v>
      </c>
      <c r="L1841" s="1">
        <v>7</v>
      </c>
      <c r="M1841" s="13">
        <v>54204.800000000003</v>
      </c>
      <c r="N1841" s="15">
        <v>0.01</v>
      </c>
      <c r="O1841" s="13">
        <v>574778.48</v>
      </c>
      <c r="P1841" s="13">
        <v>66152.73</v>
      </c>
      <c r="Q1841" s="13">
        <v>87.36</v>
      </c>
      <c r="R1841" s="1" t="s">
        <v>51</v>
      </c>
      <c r="S1841" s="1">
        <v>1</v>
      </c>
      <c r="T1841" s="1" t="b">
        <v>0</v>
      </c>
      <c r="U1841" s="1" t="s">
        <v>39</v>
      </c>
      <c r="V1841" s="3">
        <v>8</v>
      </c>
    </row>
    <row r="1842" spans="1:22" x14ac:dyDescent="0.3">
      <c r="A1842" s="2" t="s">
        <v>4177</v>
      </c>
      <c r="B1842" s="10">
        <v>45374</v>
      </c>
      <c r="C1842" s="22">
        <v>45374</v>
      </c>
      <c r="D1842" s="1" t="s">
        <v>4178</v>
      </c>
      <c r="E1842" s="1" t="s">
        <v>1201</v>
      </c>
      <c r="F1842" s="1">
        <v>22</v>
      </c>
      <c r="G1842" s="1" t="s">
        <v>24</v>
      </c>
      <c r="H1842" s="1" t="s">
        <v>35</v>
      </c>
      <c r="I1842" s="1" t="s">
        <v>49</v>
      </c>
      <c r="J1842" s="1" t="s">
        <v>127</v>
      </c>
      <c r="K1842" s="1" t="s">
        <v>171</v>
      </c>
      <c r="L1842" s="1">
        <v>10</v>
      </c>
      <c r="M1842" s="13">
        <v>58117.48</v>
      </c>
      <c r="N1842" s="15">
        <v>0.32</v>
      </c>
      <c r="O1842" s="13">
        <v>569729.38</v>
      </c>
      <c r="P1842" s="13">
        <v>56329.27</v>
      </c>
      <c r="Q1842" s="13">
        <v>66.819999999999993</v>
      </c>
      <c r="R1842" s="1" t="s">
        <v>29</v>
      </c>
      <c r="S1842" s="1">
        <v>1</v>
      </c>
      <c r="T1842" s="1" t="b">
        <v>0</v>
      </c>
      <c r="U1842" s="1" t="s">
        <v>39</v>
      </c>
      <c r="V1842" s="3">
        <v>3</v>
      </c>
    </row>
    <row r="1843" spans="1:22" x14ac:dyDescent="0.3">
      <c r="A1843" s="2" t="s">
        <v>4179</v>
      </c>
      <c r="B1843" s="10">
        <v>43891</v>
      </c>
      <c r="C1843" s="22">
        <v>43891</v>
      </c>
      <c r="D1843" s="1" t="s">
        <v>4180</v>
      </c>
      <c r="E1843" s="1" t="s">
        <v>1904</v>
      </c>
      <c r="F1843" s="1">
        <v>15</v>
      </c>
      <c r="G1843" s="1" t="s">
        <v>34</v>
      </c>
      <c r="H1843" s="1" t="s">
        <v>111</v>
      </c>
      <c r="I1843" s="1" t="s">
        <v>330</v>
      </c>
      <c r="J1843" s="1" t="s">
        <v>37</v>
      </c>
      <c r="K1843" s="1" t="s">
        <v>454</v>
      </c>
      <c r="L1843" s="1">
        <v>3</v>
      </c>
      <c r="M1843" s="13">
        <v>584.36</v>
      </c>
      <c r="N1843" s="15">
        <v>0.36</v>
      </c>
      <c r="O1843" s="13">
        <v>1260.05</v>
      </c>
      <c r="P1843" s="13">
        <v>445.33</v>
      </c>
      <c r="Q1843" s="13">
        <v>92.76</v>
      </c>
      <c r="R1843" s="1" t="s">
        <v>70</v>
      </c>
      <c r="S1843" s="1">
        <v>4</v>
      </c>
      <c r="T1843" s="1" t="b">
        <v>0</v>
      </c>
      <c r="U1843" s="1" t="s">
        <v>137</v>
      </c>
      <c r="V1843" s="3">
        <v>4</v>
      </c>
    </row>
    <row r="1844" spans="1:22" x14ac:dyDescent="0.3">
      <c r="A1844" s="2" t="s">
        <v>4181</v>
      </c>
      <c r="B1844" s="10">
        <v>45453</v>
      </c>
      <c r="C1844" s="22">
        <v>45453</v>
      </c>
      <c r="D1844" s="1" t="s">
        <v>4182</v>
      </c>
      <c r="E1844" s="1" t="s">
        <v>1275</v>
      </c>
      <c r="F1844" s="1">
        <v>58</v>
      </c>
      <c r="G1844" s="1" t="s">
        <v>24</v>
      </c>
      <c r="H1844" s="1" t="s">
        <v>82</v>
      </c>
      <c r="I1844" s="1" t="s">
        <v>83</v>
      </c>
      <c r="J1844" s="1" t="s">
        <v>76</v>
      </c>
      <c r="K1844" s="1" t="s">
        <v>89</v>
      </c>
      <c r="L1844" s="1">
        <v>5</v>
      </c>
      <c r="M1844" s="13">
        <v>1827.87</v>
      </c>
      <c r="N1844" s="15">
        <v>0.17</v>
      </c>
      <c r="O1844" s="13">
        <v>14497.49</v>
      </c>
      <c r="P1844" s="13">
        <v>4727.66</v>
      </c>
      <c r="Q1844" s="13">
        <v>91.8</v>
      </c>
      <c r="R1844" s="1" t="s">
        <v>70</v>
      </c>
      <c r="S1844" s="1">
        <v>5</v>
      </c>
      <c r="T1844" s="1" t="b">
        <v>0</v>
      </c>
      <c r="U1844" s="1" t="s">
        <v>39</v>
      </c>
      <c r="V1844" s="3">
        <v>5</v>
      </c>
    </row>
    <row r="1845" spans="1:22" x14ac:dyDescent="0.3">
      <c r="A1845" s="2" t="s">
        <v>4183</v>
      </c>
      <c r="B1845" s="10">
        <v>44806</v>
      </c>
      <c r="C1845" s="22">
        <v>44806</v>
      </c>
      <c r="D1845" s="1" t="s">
        <v>4184</v>
      </c>
      <c r="E1845" s="1" t="s">
        <v>888</v>
      </c>
      <c r="F1845" s="1">
        <v>55</v>
      </c>
      <c r="G1845" s="1" t="s">
        <v>68</v>
      </c>
      <c r="H1845" s="1" t="s">
        <v>111</v>
      </c>
      <c r="I1845" s="1" t="s">
        <v>112</v>
      </c>
      <c r="J1845" s="1" t="s">
        <v>127</v>
      </c>
      <c r="K1845" s="1" t="s">
        <v>308</v>
      </c>
      <c r="L1845" s="1">
        <v>4</v>
      </c>
      <c r="M1845" s="13">
        <v>32640.78</v>
      </c>
      <c r="N1845" s="15">
        <v>0.24</v>
      </c>
      <c r="O1845" s="13">
        <v>122369.56</v>
      </c>
      <c r="P1845" s="13">
        <v>13905.31</v>
      </c>
      <c r="Q1845" s="13">
        <v>46.2</v>
      </c>
      <c r="R1845" s="1" t="s">
        <v>78</v>
      </c>
      <c r="S1845" s="1">
        <v>3</v>
      </c>
      <c r="T1845" s="1" t="b">
        <v>1</v>
      </c>
      <c r="U1845" s="1" t="s">
        <v>30</v>
      </c>
      <c r="V1845" s="3">
        <v>9</v>
      </c>
    </row>
    <row r="1846" spans="1:22" x14ac:dyDescent="0.3">
      <c r="A1846" s="2" t="s">
        <v>4185</v>
      </c>
      <c r="B1846" s="10">
        <v>43917</v>
      </c>
      <c r="C1846" s="22">
        <v>43917</v>
      </c>
      <c r="D1846" s="1" t="s">
        <v>4186</v>
      </c>
      <c r="E1846" s="1" t="s">
        <v>740</v>
      </c>
      <c r="F1846" s="1">
        <v>21</v>
      </c>
      <c r="G1846" s="1" t="s">
        <v>24</v>
      </c>
      <c r="H1846" s="1" t="s">
        <v>35</v>
      </c>
      <c r="I1846" s="1" t="s">
        <v>106</v>
      </c>
      <c r="J1846" s="1" t="s">
        <v>44</v>
      </c>
      <c r="K1846" s="1" t="s">
        <v>93</v>
      </c>
      <c r="L1846" s="1">
        <v>6</v>
      </c>
      <c r="M1846" s="13">
        <v>2910.04</v>
      </c>
      <c r="N1846" s="15">
        <v>0.13</v>
      </c>
      <c r="O1846" s="13">
        <v>15810.15</v>
      </c>
      <c r="P1846" s="13">
        <v>5082.4799999999996</v>
      </c>
      <c r="Q1846" s="13">
        <v>63.67</v>
      </c>
      <c r="R1846" s="1" t="s">
        <v>70</v>
      </c>
      <c r="S1846" s="1">
        <v>5</v>
      </c>
      <c r="T1846" s="1" t="b">
        <v>0</v>
      </c>
      <c r="U1846" s="1" t="s">
        <v>137</v>
      </c>
      <c r="V1846" s="3">
        <v>4</v>
      </c>
    </row>
    <row r="1847" spans="1:22" x14ac:dyDescent="0.3">
      <c r="A1847" s="2" t="s">
        <v>4187</v>
      </c>
      <c r="B1847" s="10">
        <v>44161</v>
      </c>
      <c r="C1847" s="22">
        <v>44161</v>
      </c>
      <c r="D1847" s="1" t="s">
        <v>4188</v>
      </c>
      <c r="E1847" s="1" t="s">
        <v>1033</v>
      </c>
      <c r="F1847" s="1">
        <v>23</v>
      </c>
      <c r="G1847" s="1" t="s">
        <v>68</v>
      </c>
      <c r="H1847" s="1" t="s">
        <v>35</v>
      </c>
      <c r="I1847" s="1" t="s">
        <v>36</v>
      </c>
      <c r="J1847" s="1" t="s">
        <v>127</v>
      </c>
      <c r="K1847" s="1" t="s">
        <v>308</v>
      </c>
      <c r="L1847" s="1">
        <v>8</v>
      </c>
      <c r="M1847" s="13">
        <v>19009.3</v>
      </c>
      <c r="N1847" s="15">
        <v>0</v>
      </c>
      <c r="O1847" s="13">
        <v>113780.49</v>
      </c>
      <c r="P1847" s="13">
        <v>11022.35</v>
      </c>
      <c r="Q1847" s="13">
        <v>57.37</v>
      </c>
      <c r="R1847" s="1" t="s">
        <v>78</v>
      </c>
      <c r="S1847" s="1">
        <v>5</v>
      </c>
      <c r="T1847" s="1" t="b">
        <v>0</v>
      </c>
      <c r="U1847" s="1" t="s">
        <v>39</v>
      </c>
      <c r="V1847" s="3">
        <v>2</v>
      </c>
    </row>
    <row r="1848" spans="1:22" x14ac:dyDescent="0.3">
      <c r="A1848" s="2" t="s">
        <v>4189</v>
      </c>
      <c r="B1848" s="10">
        <v>45229</v>
      </c>
      <c r="C1848" s="22">
        <v>45229</v>
      </c>
      <c r="D1848" s="1" t="s">
        <v>4190</v>
      </c>
      <c r="E1848" s="1" t="s">
        <v>145</v>
      </c>
      <c r="F1848" s="1">
        <v>40</v>
      </c>
      <c r="G1848" s="1" t="s">
        <v>34</v>
      </c>
      <c r="H1848" s="1" t="s">
        <v>74</v>
      </c>
      <c r="I1848" s="1" t="s">
        <v>192</v>
      </c>
      <c r="J1848" s="1" t="s">
        <v>27</v>
      </c>
      <c r="K1848" s="1" t="s">
        <v>97</v>
      </c>
      <c r="L1848" s="1">
        <v>7</v>
      </c>
      <c r="M1848" s="13">
        <v>230.21</v>
      </c>
      <c r="N1848" s="15">
        <v>0.35</v>
      </c>
      <c r="O1848" s="13">
        <v>1210</v>
      </c>
      <c r="P1848" s="13">
        <v>147.47</v>
      </c>
      <c r="Q1848" s="13">
        <v>21.34</v>
      </c>
      <c r="R1848" s="1" t="s">
        <v>78</v>
      </c>
      <c r="S1848" s="1">
        <v>2</v>
      </c>
      <c r="T1848" s="1" t="b">
        <v>0</v>
      </c>
      <c r="U1848" s="1" t="s">
        <v>58</v>
      </c>
      <c r="V1848" s="3">
        <v>4</v>
      </c>
    </row>
    <row r="1849" spans="1:22" x14ac:dyDescent="0.3">
      <c r="A1849" s="2" t="s">
        <v>4191</v>
      </c>
      <c r="B1849" s="10">
        <v>43986</v>
      </c>
      <c r="C1849" s="22">
        <v>43986</v>
      </c>
      <c r="D1849" s="1" t="s">
        <v>4192</v>
      </c>
      <c r="E1849" s="1" t="s">
        <v>2927</v>
      </c>
      <c r="F1849" s="1">
        <v>49</v>
      </c>
      <c r="G1849" s="1" t="s">
        <v>68</v>
      </c>
      <c r="H1849" s="1" t="s">
        <v>82</v>
      </c>
      <c r="I1849" s="1" t="s">
        <v>244</v>
      </c>
      <c r="J1849" s="1" t="s">
        <v>37</v>
      </c>
      <c r="K1849" s="1" t="s">
        <v>671</v>
      </c>
      <c r="L1849" s="1">
        <v>7</v>
      </c>
      <c r="M1849" s="13">
        <v>1638.61</v>
      </c>
      <c r="N1849" s="15">
        <v>0.04</v>
      </c>
      <c r="O1849" s="13">
        <v>15243.16</v>
      </c>
      <c r="P1849" s="13">
        <v>6526.33</v>
      </c>
      <c r="Q1849" s="13">
        <v>72.09</v>
      </c>
      <c r="R1849" s="1" t="s">
        <v>64</v>
      </c>
      <c r="S1849" s="1">
        <v>2</v>
      </c>
      <c r="T1849" s="1" t="b">
        <v>0</v>
      </c>
      <c r="U1849" s="1" t="s">
        <v>137</v>
      </c>
      <c r="V1849" s="3">
        <v>8</v>
      </c>
    </row>
    <row r="1850" spans="1:22" x14ac:dyDescent="0.3">
      <c r="A1850" s="2" t="s">
        <v>4193</v>
      </c>
      <c r="B1850" s="10">
        <v>45216</v>
      </c>
      <c r="C1850" s="22">
        <v>45216</v>
      </c>
      <c r="D1850" s="1" t="s">
        <v>4194</v>
      </c>
      <c r="E1850" s="1" t="s">
        <v>429</v>
      </c>
      <c r="F1850" s="1">
        <v>47</v>
      </c>
      <c r="G1850" s="1" t="s">
        <v>24</v>
      </c>
      <c r="H1850" s="1" t="s">
        <v>74</v>
      </c>
      <c r="I1850" s="1" t="s">
        <v>75</v>
      </c>
      <c r="J1850" s="1" t="s">
        <v>44</v>
      </c>
      <c r="K1850" s="1" t="s">
        <v>186</v>
      </c>
      <c r="L1850" s="1">
        <v>5</v>
      </c>
      <c r="M1850" s="13">
        <v>30014.400000000001</v>
      </c>
      <c r="N1850" s="15">
        <v>0.11</v>
      </c>
      <c r="O1850" s="13">
        <v>131495.04999999999</v>
      </c>
      <c r="P1850" s="13">
        <v>42093.32</v>
      </c>
      <c r="Q1850" s="13">
        <v>-3.11</v>
      </c>
      <c r="R1850" s="1" t="s">
        <v>70</v>
      </c>
      <c r="S1850" s="1">
        <v>3</v>
      </c>
      <c r="T1850" s="1" t="b">
        <v>0</v>
      </c>
      <c r="U1850" s="1" t="s">
        <v>39</v>
      </c>
      <c r="V1850" s="3">
        <v>2</v>
      </c>
    </row>
    <row r="1851" spans="1:22" x14ac:dyDescent="0.3">
      <c r="A1851" s="2" t="s">
        <v>4195</v>
      </c>
      <c r="B1851" s="10">
        <v>44020</v>
      </c>
      <c r="C1851" s="22">
        <v>44020</v>
      </c>
      <c r="D1851" s="1" t="s">
        <v>4196</v>
      </c>
      <c r="E1851" s="1" t="s">
        <v>1119</v>
      </c>
      <c r="F1851" s="1">
        <v>40</v>
      </c>
      <c r="G1851" s="1" t="s">
        <v>391</v>
      </c>
      <c r="H1851" s="1" t="s">
        <v>82</v>
      </c>
      <c r="I1851" s="1" t="s">
        <v>293</v>
      </c>
      <c r="J1851" s="1" t="s">
        <v>76</v>
      </c>
      <c r="K1851" s="1" t="s">
        <v>89</v>
      </c>
      <c r="L1851" s="1">
        <v>5</v>
      </c>
      <c r="M1851" s="13">
        <v>3727.28</v>
      </c>
      <c r="N1851" s="15">
        <v>0.39</v>
      </c>
      <c r="O1851" s="13">
        <v>2837.9</v>
      </c>
      <c r="P1851" s="13">
        <v>877.47</v>
      </c>
      <c r="Q1851" s="13">
        <v>53.25</v>
      </c>
      <c r="R1851" s="1" t="s">
        <v>78</v>
      </c>
      <c r="S1851" s="1">
        <v>3</v>
      </c>
      <c r="T1851" s="1" t="b">
        <v>0</v>
      </c>
      <c r="U1851" s="1" t="s">
        <v>39</v>
      </c>
      <c r="V1851" s="3">
        <v>7</v>
      </c>
    </row>
    <row r="1852" spans="1:22" x14ac:dyDescent="0.3">
      <c r="A1852" s="2" t="s">
        <v>4197</v>
      </c>
      <c r="B1852" s="10">
        <v>44026</v>
      </c>
      <c r="C1852" s="22">
        <v>44026</v>
      </c>
      <c r="D1852" s="1" t="s">
        <v>4198</v>
      </c>
      <c r="E1852" s="1" t="s">
        <v>437</v>
      </c>
      <c r="F1852" s="1">
        <v>49</v>
      </c>
      <c r="G1852" s="1" t="s">
        <v>68</v>
      </c>
      <c r="H1852" s="1" t="s">
        <v>82</v>
      </c>
      <c r="I1852" s="1" t="s">
        <v>126</v>
      </c>
      <c r="J1852" s="1" t="s">
        <v>76</v>
      </c>
      <c r="K1852" s="1" t="s">
        <v>132</v>
      </c>
      <c r="L1852" s="1">
        <v>6</v>
      </c>
      <c r="M1852" s="13">
        <v>831.4</v>
      </c>
      <c r="N1852" s="15">
        <v>0.21</v>
      </c>
      <c r="O1852" s="13">
        <v>4736.01</v>
      </c>
      <c r="P1852" s="13">
        <v>1752.33</v>
      </c>
      <c r="Q1852" s="13">
        <v>85.94</v>
      </c>
      <c r="R1852" s="1" t="s">
        <v>78</v>
      </c>
      <c r="S1852" s="1">
        <v>3</v>
      </c>
      <c r="T1852" s="1" t="b">
        <v>0</v>
      </c>
      <c r="U1852" s="1" t="s">
        <v>39</v>
      </c>
      <c r="V1852" s="3">
        <v>1</v>
      </c>
    </row>
    <row r="1853" spans="1:22" x14ac:dyDescent="0.3">
      <c r="A1853" s="2" t="s">
        <v>4199</v>
      </c>
      <c r="B1853" s="10">
        <v>45289</v>
      </c>
      <c r="C1853" s="22">
        <v>45289</v>
      </c>
      <c r="D1853" s="1" t="s">
        <v>4200</v>
      </c>
      <c r="E1853" s="1" t="s">
        <v>360</v>
      </c>
      <c r="F1853" s="1">
        <v>29</v>
      </c>
      <c r="G1853" s="1" t="s">
        <v>68</v>
      </c>
      <c r="H1853" s="1" t="s">
        <v>111</v>
      </c>
      <c r="I1853" s="1" t="s">
        <v>112</v>
      </c>
      <c r="J1853" s="1" t="s">
        <v>76</v>
      </c>
      <c r="K1853" s="1" t="s">
        <v>77</v>
      </c>
      <c r="L1853" s="1">
        <v>5</v>
      </c>
      <c r="M1853" s="13">
        <v>1297.55</v>
      </c>
      <c r="N1853" s="15">
        <v>0.12</v>
      </c>
      <c r="O1853" s="13">
        <v>5012.78</v>
      </c>
      <c r="P1853" s="13">
        <v>1781.1</v>
      </c>
      <c r="Q1853" s="13">
        <v>72.34</v>
      </c>
      <c r="R1853" s="1" t="s">
        <v>70</v>
      </c>
      <c r="S1853" s="1">
        <v>3</v>
      </c>
      <c r="T1853" s="1" t="b">
        <v>0</v>
      </c>
      <c r="U1853" s="1" t="s">
        <v>84</v>
      </c>
      <c r="V1853" s="3">
        <v>9</v>
      </c>
    </row>
    <row r="1854" spans="1:22" x14ac:dyDescent="0.3">
      <c r="A1854" s="2" t="s">
        <v>4201</v>
      </c>
      <c r="B1854" s="10">
        <v>44667</v>
      </c>
      <c r="C1854" s="22">
        <v>44667</v>
      </c>
      <c r="D1854" s="1" t="s">
        <v>4202</v>
      </c>
      <c r="E1854" s="1" t="s">
        <v>2505</v>
      </c>
      <c r="F1854" s="1">
        <v>51</v>
      </c>
      <c r="G1854" s="1" t="s">
        <v>24</v>
      </c>
      <c r="H1854" s="1" t="s">
        <v>35</v>
      </c>
      <c r="I1854" s="1" t="s">
        <v>43</v>
      </c>
      <c r="J1854" s="1" t="s">
        <v>37</v>
      </c>
      <c r="K1854" s="1" t="s">
        <v>671</v>
      </c>
      <c r="L1854" s="1">
        <v>7</v>
      </c>
      <c r="M1854" s="13">
        <v>1556.32</v>
      </c>
      <c r="N1854" s="15">
        <v>0.13</v>
      </c>
      <c r="O1854" s="13">
        <v>12767.61</v>
      </c>
      <c r="P1854" s="13">
        <v>6509.98</v>
      </c>
      <c r="Q1854" s="13">
        <v>58.7</v>
      </c>
      <c r="R1854" s="1" t="s">
        <v>78</v>
      </c>
      <c r="S1854" s="1">
        <v>5</v>
      </c>
      <c r="T1854" s="1" t="b">
        <v>0</v>
      </c>
      <c r="U1854" s="1" t="s">
        <v>39</v>
      </c>
      <c r="V1854" s="3">
        <v>9</v>
      </c>
    </row>
    <row r="1855" spans="1:22" x14ac:dyDescent="0.3">
      <c r="A1855" s="2" t="s">
        <v>4203</v>
      </c>
      <c r="B1855" s="10">
        <v>44330</v>
      </c>
      <c r="C1855" s="22">
        <v>44330</v>
      </c>
      <c r="D1855" s="1" t="s">
        <v>4204</v>
      </c>
      <c r="E1855" s="1" t="s">
        <v>1638</v>
      </c>
      <c r="F1855" s="1">
        <v>33</v>
      </c>
      <c r="G1855" s="1" t="s">
        <v>24</v>
      </c>
      <c r="H1855" s="1" t="s">
        <v>35</v>
      </c>
      <c r="I1855" s="1" t="s">
        <v>49</v>
      </c>
      <c r="J1855" s="1" t="s">
        <v>37</v>
      </c>
      <c r="K1855" s="1" t="s">
        <v>671</v>
      </c>
      <c r="L1855" s="1">
        <v>8</v>
      </c>
      <c r="M1855" s="13">
        <v>2335.3200000000002</v>
      </c>
      <c r="N1855" s="15">
        <v>0.26</v>
      </c>
      <c r="O1855" s="13">
        <v>20223.59</v>
      </c>
      <c r="P1855" s="13">
        <v>8084.22</v>
      </c>
      <c r="Q1855" s="13">
        <v>94.12</v>
      </c>
      <c r="R1855" s="1" t="s">
        <v>78</v>
      </c>
      <c r="S1855" s="1">
        <v>3</v>
      </c>
      <c r="T1855" s="1" t="b">
        <v>1</v>
      </c>
      <c r="U1855" s="1" t="s">
        <v>30</v>
      </c>
      <c r="V1855" s="3">
        <v>2</v>
      </c>
    </row>
    <row r="1856" spans="1:22" x14ac:dyDescent="0.3">
      <c r="A1856" s="2" t="s">
        <v>4205</v>
      </c>
      <c r="B1856" s="10">
        <v>44443</v>
      </c>
      <c r="C1856" s="22">
        <v>44443</v>
      </c>
      <c r="D1856" s="1" t="s">
        <v>4206</v>
      </c>
      <c r="E1856" s="1" t="s">
        <v>344</v>
      </c>
      <c r="F1856" s="1">
        <v>49</v>
      </c>
      <c r="G1856" s="1" t="s">
        <v>34</v>
      </c>
      <c r="H1856" s="1" t="s">
        <v>82</v>
      </c>
      <c r="I1856" s="1" t="s">
        <v>293</v>
      </c>
      <c r="J1856" s="1" t="s">
        <v>146</v>
      </c>
      <c r="K1856" s="1" t="s">
        <v>161</v>
      </c>
      <c r="L1856" s="1">
        <v>2</v>
      </c>
      <c r="M1856" s="13">
        <v>3995.9</v>
      </c>
      <c r="N1856" s="15">
        <v>0.28000000000000003</v>
      </c>
      <c r="O1856" s="13">
        <v>6264.27</v>
      </c>
      <c r="P1856" s="13">
        <v>1979.87</v>
      </c>
      <c r="Q1856" s="13">
        <v>89.09</v>
      </c>
      <c r="R1856" s="1" t="s">
        <v>29</v>
      </c>
      <c r="S1856" s="1">
        <v>5</v>
      </c>
      <c r="T1856" s="1" t="b">
        <v>0</v>
      </c>
      <c r="U1856" s="1" t="s">
        <v>39</v>
      </c>
      <c r="V1856" s="3">
        <v>7</v>
      </c>
    </row>
    <row r="1857" spans="1:22" x14ac:dyDescent="0.3">
      <c r="A1857" s="2" t="s">
        <v>4207</v>
      </c>
      <c r="B1857" s="10">
        <v>44538</v>
      </c>
      <c r="C1857" s="22">
        <v>44538</v>
      </c>
      <c r="D1857" s="1" t="s">
        <v>4208</v>
      </c>
      <c r="E1857" s="1" t="s">
        <v>702</v>
      </c>
      <c r="F1857" s="1">
        <v>37</v>
      </c>
      <c r="G1857" s="1" t="s">
        <v>68</v>
      </c>
      <c r="H1857" s="1" t="s">
        <v>35</v>
      </c>
      <c r="I1857" s="1" t="s">
        <v>36</v>
      </c>
      <c r="J1857" s="1" t="s">
        <v>62</v>
      </c>
      <c r="K1857" s="1" t="s">
        <v>570</v>
      </c>
      <c r="L1857" s="1">
        <v>7</v>
      </c>
      <c r="M1857" s="13">
        <v>762.53</v>
      </c>
      <c r="N1857" s="15">
        <v>0.39</v>
      </c>
      <c r="O1857" s="13">
        <v>2355.0100000000002</v>
      </c>
      <c r="P1857" s="13">
        <v>1196.24</v>
      </c>
      <c r="Q1857" s="13">
        <v>65.27</v>
      </c>
      <c r="R1857" s="1" t="s">
        <v>51</v>
      </c>
      <c r="S1857" s="1">
        <v>4</v>
      </c>
      <c r="T1857" s="1" t="b">
        <v>0</v>
      </c>
      <c r="U1857" s="1" t="s">
        <v>84</v>
      </c>
      <c r="V1857" s="3">
        <v>5</v>
      </c>
    </row>
    <row r="1858" spans="1:22" x14ac:dyDescent="0.3">
      <c r="A1858" s="2" t="s">
        <v>4209</v>
      </c>
      <c r="B1858" s="10">
        <v>43893</v>
      </c>
      <c r="C1858" s="22">
        <v>43893</v>
      </c>
      <c r="D1858" s="1" t="s">
        <v>4210</v>
      </c>
      <c r="E1858" s="1" t="s">
        <v>4211</v>
      </c>
      <c r="F1858" s="1">
        <v>33</v>
      </c>
      <c r="G1858" s="1" t="s">
        <v>34</v>
      </c>
      <c r="H1858" s="1" t="s">
        <v>25</v>
      </c>
      <c r="I1858" s="1" t="s">
        <v>55</v>
      </c>
      <c r="J1858" s="1" t="s">
        <v>146</v>
      </c>
      <c r="K1858" s="1" t="s">
        <v>484</v>
      </c>
      <c r="L1858" s="1">
        <v>3</v>
      </c>
      <c r="M1858" s="13">
        <v>13678.04</v>
      </c>
      <c r="N1858" s="15">
        <v>0.12</v>
      </c>
      <c r="O1858" s="13">
        <v>35996.57</v>
      </c>
      <c r="P1858" s="13">
        <v>7972.68</v>
      </c>
      <c r="Q1858" s="13">
        <v>67.88</v>
      </c>
      <c r="R1858" s="1" t="s">
        <v>70</v>
      </c>
      <c r="S1858" s="1">
        <v>4</v>
      </c>
      <c r="T1858" s="1" t="b">
        <v>0</v>
      </c>
      <c r="U1858" s="1" t="s">
        <v>39</v>
      </c>
      <c r="V1858" s="3">
        <v>8</v>
      </c>
    </row>
    <row r="1859" spans="1:22" x14ac:dyDescent="0.3">
      <c r="A1859" s="2" t="s">
        <v>4212</v>
      </c>
      <c r="B1859" s="10">
        <v>45146</v>
      </c>
      <c r="C1859" s="22">
        <v>45146</v>
      </c>
      <c r="D1859" s="1" t="s">
        <v>4213</v>
      </c>
      <c r="E1859" s="1" t="s">
        <v>1211</v>
      </c>
      <c r="F1859" s="1">
        <v>39</v>
      </c>
      <c r="G1859" s="1" t="s">
        <v>68</v>
      </c>
      <c r="H1859" s="1" t="s">
        <v>82</v>
      </c>
      <c r="I1859" s="1" t="s">
        <v>83</v>
      </c>
      <c r="J1859" s="1" t="s">
        <v>37</v>
      </c>
      <c r="K1859" s="1" t="s">
        <v>38</v>
      </c>
      <c r="L1859" s="1">
        <v>5</v>
      </c>
      <c r="M1859" s="13">
        <v>781.43</v>
      </c>
      <c r="N1859" s="15">
        <v>0.3</v>
      </c>
      <c r="O1859" s="13">
        <v>3859.69</v>
      </c>
      <c r="P1859" s="13">
        <v>2172.08</v>
      </c>
      <c r="Q1859" s="13">
        <v>63.85</v>
      </c>
      <c r="R1859" s="1" t="s">
        <v>51</v>
      </c>
      <c r="S1859" s="1">
        <v>3</v>
      </c>
      <c r="T1859" s="1" t="b">
        <v>0</v>
      </c>
      <c r="U1859" s="1" t="s">
        <v>39</v>
      </c>
      <c r="V1859" s="3">
        <v>8</v>
      </c>
    </row>
    <row r="1860" spans="1:22" x14ac:dyDescent="0.3">
      <c r="A1860" s="2" t="s">
        <v>4214</v>
      </c>
      <c r="B1860" s="10">
        <v>44593</v>
      </c>
      <c r="C1860" s="22">
        <v>44593</v>
      </c>
      <c r="D1860" s="1" t="s">
        <v>4215</v>
      </c>
      <c r="E1860" s="1" t="s">
        <v>140</v>
      </c>
      <c r="F1860" s="1">
        <v>38</v>
      </c>
      <c r="G1860" s="1" t="s">
        <v>34</v>
      </c>
      <c r="H1860" s="1" t="s">
        <v>74</v>
      </c>
      <c r="I1860" s="1" t="s">
        <v>192</v>
      </c>
      <c r="J1860" s="1" t="s">
        <v>44</v>
      </c>
      <c r="K1860" s="1" t="s">
        <v>221</v>
      </c>
      <c r="L1860" s="1">
        <v>6</v>
      </c>
      <c r="M1860" s="13">
        <v>33340.199999999997</v>
      </c>
      <c r="N1860" s="15">
        <v>0.09</v>
      </c>
      <c r="O1860" s="13">
        <v>161632.18</v>
      </c>
      <c r="P1860" s="13">
        <v>59885</v>
      </c>
      <c r="Q1860" s="13">
        <v>37.520000000000003</v>
      </c>
      <c r="R1860" s="1" t="s">
        <v>70</v>
      </c>
      <c r="S1860" s="1">
        <v>3</v>
      </c>
      <c r="T1860" s="1" t="b">
        <v>0</v>
      </c>
      <c r="U1860" s="1" t="s">
        <v>84</v>
      </c>
      <c r="V1860" s="3">
        <v>7</v>
      </c>
    </row>
    <row r="1861" spans="1:22" x14ac:dyDescent="0.3">
      <c r="A1861" s="2" t="s">
        <v>4216</v>
      </c>
      <c r="B1861" s="10">
        <v>45627</v>
      </c>
      <c r="C1861" s="22">
        <v>45627</v>
      </c>
      <c r="D1861" s="1" t="s">
        <v>4217</v>
      </c>
      <c r="E1861" s="1" t="s">
        <v>693</v>
      </c>
      <c r="F1861" s="1">
        <v>39</v>
      </c>
      <c r="G1861" s="1" t="s">
        <v>391</v>
      </c>
      <c r="H1861" s="1" t="s">
        <v>25</v>
      </c>
      <c r="I1861" s="1" t="s">
        <v>170</v>
      </c>
      <c r="J1861" s="1" t="s">
        <v>37</v>
      </c>
      <c r="K1861" s="1" t="s">
        <v>38</v>
      </c>
      <c r="L1861" s="1">
        <v>8</v>
      </c>
      <c r="M1861" s="13">
        <v>1289.19</v>
      </c>
      <c r="N1861" s="15">
        <v>0.15</v>
      </c>
      <c r="O1861" s="13">
        <v>9301.9500000000007</v>
      </c>
      <c r="P1861" s="13">
        <v>4080.67</v>
      </c>
      <c r="Q1861" s="13">
        <v>43.57</v>
      </c>
      <c r="R1861" s="1" t="s">
        <v>51</v>
      </c>
      <c r="S1861" s="1">
        <v>1</v>
      </c>
      <c r="T1861" s="1" t="b">
        <v>0</v>
      </c>
      <c r="U1861" s="1" t="s">
        <v>84</v>
      </c>
      <c r="V1861" s="3">
        <v>2</v>
      </c>
    </row>
    <row r="1862" spans="1:22" x14ac:dyDescent="0.3">
      <c r="A1862" s="2" t="s">
        <v>4218</v>
      </c>
      <c r="B1862" s="10">
        <v>44824</v>
      </c>
      <c r="C1862" s="22">
        <v>44824</v>
      </c>
      <c r="D1862" s="1" t="s">
        <v>4219</v>
      </c>
      <c r="E1862" s="1" t="s">
        <v>154</v>
      </c>
      <c r="F1862" s="1">
        <v>33</v>
      </c>
      <c r="G1862" s="1" t="s">
        <v>34</v>
      </c>
      <c r="H1862" s="1" t="s">
        <v>111</v>
      </c>
      <c r="I1862" s="1" t="s">
        <v>121</v>
      </c>
      <c r="J1862" s="1" t="s">
        <v>44</v>
      </c>
      <c r="K1862" s="1" t="s">
        <v>93</v>
      </c>
      <c r="L1862" s="1">
        <v>10</v>
      </c>
      <c r="M1862" s="13">
        <v>29389.24</v>
      </c>
      <c r="N1862" s="15">
        <v>0.04</v>
      </c>
      <c r="O1862" s="13">
        <v>314322.83</v>
      </c>
      <c r="P1862" s="13">
        <v>104400.15</v>
      </c>
      <c r="Q1862" s="13">
        <v>66.52</v>
      </c>
      <c r="R1862" s="1" t="s">
        <v>64</v>
      </c>
      <c r="S1862" s="1">
        <v>1</v>
      </c>
      <c r="T1862" s="1" t="b">
        <v>0</v>
      </c>
      <c r="U1862" s="1" t="s">
        <v>39</v>
      </c>
      <c r="V1862" s="3">
        <v>6</v>
      </c>
    </row>
    <row r="1863" spans="1:22" x14ac:dyDescent="0.3">
      <c r="A1863" s="2" t="s">
        <v>4220</v>
      </c>
      <c r="B1863" s="10">
        <v>45163</v>
      </c>
      <c r="C1863" s="22">
        <v>45163</v>
      </c>
      <c r="D1863" s="1" t="s">
        <v>4221</v>
      </c>
      <c r="E1863" s="1" t="s">
        <v>2229</v>
      </c>
      <c r="F1863" s="1">
        <v>51</v>
      </c>
      <c r="G1863" s="1" t="s">
        <v>34</v>
      </c>
      <c r="H1863" s="1" t="s">
        <v>35</v>
      </c>
      <c r="I1863" s="1" t="s">
        <v>36</v>
      </c>
      <c r="J1863" s="1" t="s">
        <v>37</v>
      </c>
      <c r="K1863" s="1" t="s">
        <v>231</v>
      </c>
      <c r="L1863" s="1">
        <v>4</v>
      </c>
      <c r="M1863" s="13">
        <v>173.98</v>
      </c>
      <c r="N1863" s="15">
        <v>0.25</v>
      </c>
      <c r="O1863" s="13">
        <v>855.12</v>
      </c>
      <c r="P1863" s="13">
        <v>447.82</v>
      </c>
      <c r="Q1863" s="13">
        <v>73.28</v>
      </c>
      <c r="R1863" s="1" t="s">
        <v>64</v>
      </c>
      <c r="S1863" s="1">
        <v>1</v>
      </c>
      <c r="T1863" s="1" t="b">
        <v>0</v>
      </c>
      <c r="U1863" s="1" t="s">
        <v>39</v>
      </c>
      <c r="V1863" s="3">
        <v>7</v>
      </c>
    </row>
    <row r="1864" spans="1:22" x14ac:dyDescent="0.3">
      <c r="A1864" s="2" t="s">
        <v>4222</v>
      </c>
      <c r="B1864" s="10">
        <v>44529</v>
      </c>
      <c r="C1864" s="22">
        <v>44529</v>
      </c>
      <c r="D1864" s="1" t="s">
        <v>4223</v>
      </c>
      <c r="E1864" s="1" t="s">
        <v>378</v>
      </c>
      <c r="F1864" s="1">
        <v>46</v>
      </c>
      <c r="G1864" s="1" t="s">
        <v>24</v>
      </c>
      <c r="H1864" s="1" t="s">
        <v>35</v>
      </c>
      <c r="I1864" s="1" t="s">
        <v>49</v>
      </c>
      <c r="J1864" s="1" t="s">
        <v>62</v>
      </c>
      <c r="K1864" s="1" t="s">
        <v>107</v>
      </c>
      <c r="L1864" s="1">
        <v>2</v>
      </c>
      <c r="M1864" s="13">
        <v>756.72</v>
      </c>
      <c r="N1864" s="15">
        <v>0.33</v>
      </c>
      <c r="O1864" s="13">
        <v>749.27</v>
      </c>
      <c r="P1864" s="13">
        <v>238.75</v>
      </c>
      <c r="Q1864" s="13">
        <v>80.16</v>
      </c>
      <c r="R1864" s="1" t="s">
        <v>78</v>
      </c>
      <c r="S1864" s="1">
        <v>2</v>
      </c>
      <c r="T1864" s="1" t="b">
        <v>0</v>
      </c>
      <c r="U1864" s="1" t="s">
        <v>197</v>
      </c>
      <c r="V1864" s="3">
        <v>2</v>
      </c>
    </row>
    <row r="1865" spans="1:22" x14ac:dyDescent="0.3">
      <c r="A1865" s="2" t="s">
        <v>4224</v>
      </c>
      <c r="B1865" s="10">
        <v>45492</v>
      </c>
      <c r="C1865" s="22">
        <v>45492</v>
      </c>
      <c r="D1865" s="1" t="s">
        <v>4225</v>
      </c>
      <c r="E1865" s="1" t="s">
        <v>1131</v>
      </c>
      <c r="F1865" s="1">
        <v>42</v>
      </c>
      <c r="G1865" s="1" t="s">
        <v>34</v>
      </c>
      <c r="H1865" s="1" t="s">
        <v>25</v>
      </c>
      <c r="I1865" s="1" t="s">
        <v>26</v>
      </c>
      <c r="J1865" s="1" t="s">
        <v>62</v>
      </c>
      <c r="K1865" s="1" t="s">
        <v>63</v>
      </c>
      <c r="L1865" s="1">
        <v>1</v>
      </c>
      <c r="M1865" s="13">
        <v>329.58</v>
      </c>
      <c r="N1865" s="15">
        <v>0.11</v>
      </c>
      <c r="O1865" s="13">
        <v>558.63</v>
      </c>
      <c r="P1865" s="13">
        <v>235.62</v>
      </c>
      <c r="Q1865" s="13">
        <v>62.65</v>
      </c>
      <c r="R1865" s="1" t="s">
        <v>57</v>
      </c>
      <c r="S1865" s="1">
        <v>1</v>
      </c>
      <c r="T1865" s="1" t="b">
        <v>0</v>
      </c>
      <c r="U1865" s="1" t="s">
        <v>39</v>
      </c>
      <c r="V1865" s="3">
        <v>10</v>
      </c>
    </row>
    <row r="1866" spans="1:22" x14ac:dyDescent="0.3">
      <c r="A1866" s="2" t="s">
        <v>4226</v>
      </c>
      <c r="B1866" s="10">
        <v>44908</v>
      </c>
      <c r="C1866" s="22">
        <v>44908</v>
      </c>
      <c r="D1866" s="1" t="s">
        <v>4227</v>
      </c>
      <c r="E1866" s="1" t="s">
        <v>1004</v>
      </c>
      <c r="F1866" s="1">
        <v>25</v>
      </c>
      <c r="G1866" s="1" t="s">
        <v>24</v>
      </c>
      <c r="H1866" s="1" t="s">
        <v>25</v>
      </c>
      <c r="I1866" s="1" t="s">
        <v>26</v>
      </c>
      <c r="J1866" s="1" t="s">
        <v>127</v>
      </c>
      <c r="K1866" s="1" t="s">
        <v>196</v>
      </c>
      <c r="L1866" s="1">
        <v>3</v>
      </c>
      <c r="M1866" s="13">
        <v>6718.83</v>
      </c>
      <c r="N1866" s="15">
        <v>0.21</v>
      </c>
      <c r="O1866" s="13">
        <v>17014.88</v>
      </c>
      <c r="P1866" s="13">
        <v>2013.32</v>
      </c>
      <c r="Q1866" s="13">
        <v>59.88</v>
      </c>
      <c r="R1866" s="1" t="s">
        <v>29</v>
      </c>
      <c r="S1866" s="1">
        <v>3</v>
      </c>
      <c r="T1866" s="1" t="b">
        <v>0</v>
      </c>
      <c r="U1866" s="1" t="s">
        <v>39</v>
      </c>
      <c r="V1866" s="3">
        <v>1</v>
      </c>
    </row>
    <row r="1867" spans="1:22" x14ac:dyDescent="0.3">
      <c r="A1867" s="2" t="s">
        <v>4228</v>
      </c>
      <c r="B1867" s="10">
        <v>43985</v>
      </c>
      <c r="C1867" s="22">
        <v>43985</v>
      </c>
      <c r="D1867" s="1" t="s">
        <v>4229</v>
      </c>
      <c r="E1867" s="1" t="s">
        <v>591</v>
      </c>
      <c r="F1867" s="1">
        <v>23</v>
      </c>
      <c r="G1867" s="1" t="s">
        <v>88</v>
      </c>
      <c r="H1867" s="1" t="s">
        <v>82</v>
      </c>
      <c r="I1867" s="1" t="s">
        <v>293</v>
      </c>
      <c r="J1867" s="1" t="s">
        <v>27</v>
      </c>
      <c r="K1867" s="1" t="s">
        <v>400</v>
      </c>
      <c r="L1867" s="1">
        <v>1</v>
      </c>
      <c r="M1867" s="13">
        <v>362.29</v>
      </c>
      <c r="N1867" s="15">
        <v>0.22</v>
      </c>
      <c r="O1867" s="13">
        <v>379.74</v>
      </c>
      <c r="P1867" s="13">
        <v>23.08</v>
      </c>
      <c r="Q1867" s="13">
        <v>80.099999999999994</v>
      </c>
      <c r="R1867" s="1" t="s">
        <v>78</v>
      </c>
      <c r="S1867" s="1">
        <v>3</v>
      </c>
      <c r="T1867" s="1" t="b">
        <v>0</v>
      </c>
      <c r="U1867" s="1" t="s">
        <v>39</v>
      </c>
      <c r="V1867" s="3">
        <v>8</v>
      </c>
    </row>
    <row r="1868" spans="1:22" x14ac:dyDescent="0.3">
      <c r="A1868" s="2" t="s">
        <v>4230</v>
      </c>
      <c r="B1868" s="10">
        <v>45076</v>
      </c>
      <c r="C1868" s="22">
        <v>45076</v>
      </c>
      <c r="D1868" s="1" t="s">
        <v>4231</v>
      </c>
      <c r="E1868" s="1" t="s">
        <v>950</v>
      </c>
      <c r="F1868" s="1">
        <v>42</v>
      </c>
      <c r="G1868" s="1" t="s">
        <v>68</v>
      </c>
      <c r="H1868" s="1" t="s">
        <v>74</v>
      </c>
      <c r="I1868" s="1" t="s">
        <v>192</v>
      </c>
      <c r="J1868" s="1" t="s">
        <v>37</v>
      </c>
      <c r="K1868" s="1" t="s">
        <v>231</v>
      </c>
      <c r="L1868" s="1">
        <v>5</v>
      </c>
      <c r="M1868" s="13">
        <v>2006.42</v>
      </c>
      <c r="N1868" s="15">
        <v>0.04</v>
      </c>
      <c r="O1868" s="13">
        <v>17279.23</v>
      </c>
      <c r="P1868" s="13">
        <v>8223.67</v>
      </c>
      <c r="Q1868" s="13">
        <v>34.08</v>
      </c>
      <c r="R1868" s="1" t="s">
        <v>64</v>
      </c>
      <c r="S1868" s="1">
        <v>3</v>
      </c>
      <c r="T1868" s="1" t="b">
        <v>0</v>
      </c>
      <c r="U1868" s="1" t="s">
        <v>39</v>
      </c>
      <c r="V1868" s="3">
        <v>3</v>
      </c>
    </row>
    <row r="1869" spans="1:22" x14ac:dyDescent="0.3">
      <c r="A1869" s="2" t="s">
        <v>4232</v>
      </c>
      <c r="B1869" s="10">
        <v>44853</v>
      </c>
      <c r="C1869" s="22">
        <v>44853</v>
      </c>
      <c r="D1869" s="1" t="s">
        <v>4233</v>
      </c>
      <c r="E1869" s="1" t="s">
        <v>96</v>
      </c>
      <c r="F1869" s="1">
        <v>39</v>
      </c>
      <c r="G1869" s="1" t="s">
        <v>24</v>
      </c>
      <c r="H1869" s="1" t="s">
        <v>111</v>
      </c>
      <c r="I1869" s="1" t="s">
        <v>141</v>
      </c>
      <c r="J1869" s="1" t="s">
        <v>37</v>
      </c>
      <c r="K1869" s="1" t="s">
        <v>182</v>
      </c>
      <c r="L1869" s="1">
        <v>7</v>
      </c>
      <c r="M1869" s="13">
        <v>128.30000000000001</v>
      </c>
      <c r="N1869" s="15">
        <v>0.24</v>
      </c>
      <c r="O1869" s="13">
        <v>712.63</v>
      </c>
      <c r="P1869" s="13">
        <v>385.99</v>
      </c>
      <c r="Q1869" s="13">
        <v>51.66</v>
      </c>
      <c r="R1869" s="1" t="s">
        <v>64</v>
      </c>
      <c r="S1869" s="1">
        <v>1</v>
      </c>
      <c r="T1869" s="1" t="b">
        <v>0</v>
      </c>
      <c r="U1869" s="1" t="s">
        <v>84</v>
      </c>
      <c r="V1869" s="3">
        <v>4</v>
      </c>
    </row>
    <row r="1870" spans="1:22" x14ac:dyDescent="0.3">
      <c r="A1870" s="2" t="s">
        <v>4234</v>
      </c>
      <c r="B1870" s="10">
        <v>44889</v>
      </c>
      <c r="C1870" s="22">
        <v>44889</v>
      </c>
      <c r="D1870" s="1" t="s">
        <v>4235</v>
      </c>
      <c r="E1870" s="1" t="s">
        <v>804</v>
      </c>
      <c r="F1870" s="1">
        <v>15</v>
      </c>
      <c r="G1870" s="1" t="s">
        <v>68</v>
      </c>
      <c r="H1870" s="1" t="s">
        <v>25</v>
      </c>
      <c r="I1870" s="1" t="s">
        <v>26</v>
      </c>
      <c r="J1870" s="1" t="s">
        <v>76</v>
      </c>
      <c r="K1870" s="1" t="s">
        <v>77</v>
      </c>
      <c r="L1870" s="1">
        <v>10</v>
      </c>
      <c r="M1870" s="13">
        <v>1673.29</v>
      </c>
      <c r="N1870" s="15">
        <v>0.06</v>
      </c>
      <c r="O1870" s="13">
        <v>12137.21</v>
      </c>
      <c r="P1870" s="13">
        <v>4599.2</v>
      </c>
      <c r="Q1870" s="13">
        <v>66.5</v>
      </c>
      <c r="R1870" s="1" t="s">
        <v>70</v>
      </c>
      <c r="S1870" s="1">
        <v>4</v>
      </c>
      <c r="T1870" s="1" t="b">
        <v>0</v>
      </c>
      <c r="U1870" s="1" t="s">
        <v>39</v>
      </c>
      <c r="V1870" s="3">
        <v>2</v>
      </c>
    </row>
    <row r="1871" spans="1:22" x14ac:dyDescent="0.3">
      <c r="A1871" s="2" t="s">
        <v>4236</v>
      </c>
      <c r="B1871" s="10">
        <v>44578</v>
      </c>
      <c r="C1871" s="22">
        <v>44578</v>
      </c>
      <c r="D1871" s="1" t="s">
        <v>4237</v>
      </c>
      <c r="E1871" s="1" t="s">
        <v>561</v>
      </c>
      <c r="F1871" s="1">
        <v>15</v>
      </c>
      <c r="G1871" s="1" t="s">
        <v>24</v>
      </c>
      <c r="H1871" s="1" t="s">
        <v>82</v>
      </c>
      <c r="I1871" s="1" t="s">
        <v>293</v>
      </c>
      <c r="J1871" s="1" t="s">
        <v>76</v>
      </c>
      <c r="K1871" s="1" t="s">
        <v>132</v>
      </c>
      <c r="L1871" s="1">
        <v>1</v>
      </c>
      <c r="M1871" s="13">
        <v>2361.4</v>
      </c>
      <c r="N1871" s="15">
        <v>0.32</v>
      </c>
      <c r="O1871" s="13">
        <v>1313.73</v>
      </c>
      <c r="P1871" s="13">
        <v>339.86</v>
      </c>
      <c r="Q1871" s="13">
        <v>57.6</v>
      </c>
      <c r="R1871" s="1" t="s">
        <v>70</v>
      </c>
      <c r="S1871" s="1">
        <v>3</v>
      </c>
      <c r="T1871" s="1" t="b">
        <v>0</v>
      </c>
      <c r="U1871" s="1" t="s">
        <v>197</v>
      </c>
      <c r="V1871" s="3">
        <v>3</v>
      </c>
    </row>
    <row r="1872" spans="1:22" x14ac:dyDescent="0.3">
      <c r="A1872" s="2" t="s">
        <v>4238</v>
      </c>
      <c r="B1872" s="10">
        <v>44448</v>
      </c>
      <c r="C1872" s="22">
        <v>44448</v>
      </c>
      <c r="D1872" s="1" t="s">
        <v>4239</v>
      </c>
      <c r="E1872" s="1" t="s">
        <v>773</v>
      </c>
      <c r="F1872" s="1">
        <v>32</v>
      </c>
      <c r="G1872" s="1" t="s">
        <v>68</v>
      </c>
      <c r="H1872" s="1" t="s">
        <v>82</v>
      </c>
      <c r="I1872" s="1" t="s">
        <v>293</v>
      </c>
      <c r="J1872" s="1" t="s">
        <v>37</v>
      </c>
      <c r="K1872" s="1" t="s">
        <v>38</v>
      </c>
      <c r="L1872" s="1">
        <v>10</v>
      </c>
      <c r="M1872" s="13">
        <v>1927.01</v>
      </c>
      <c r="N1872" s="15">
        <v>0.23</v>
      </c>
      <c r="O1872" s="13">
        <v>14983.29</v>
      </c>
      <c r="P1872" s="13">
        <v>6280.5</v>
      </c>
      <c r="Q1872" s="13">
        <v>52.73</v>
      </c>
      <c r="R1872" s="1" t="s">
        <v>64</v>
      </c>
      <c r="S1872" s="1">
        <v>3</v>
      </c>
      <c r="T1872" s="1" t="b">
        <v>0</v>
      </c>
      <c r="U1872" s="1" t="s">
        <v>39</v>
      </c>
      <c r="V1872" s="3">
        <v>9</v>
      </c>
    </row>
    <row r="1873" spans="1:22" x14ac:dyDescent="0.3">
      <c r="A1873" s="2" t="s">
        <v>4240</v>
      </c>
      <c r="B1873" s="10">
        <v>45618</v>
      </c>
      <c r="C1873" s="22">
        <v>45618</v>
      </c>
      <c r="D1873" s="1" t="s">
        <v>4241</v>
      </c>
      <c r="E1873" s="1" t="s">
        <v>875</v>
      </c>
      <c r="F1873" s="1">
        <v>23</v>
      </c>
      <c r="G1873" s="1" t="s">
        <v>24</v>
      </c>
      <c r="H1873" s="1" t="s">
        <v>25</v>
      </c>
      <c r="I1873" s="1" t="s">
        <v>55</v>
      </c>
      <c r="J1873" s="1" t="s">
        <v>76</v>
      </c>
      <c r="K1873" s="1" t="s">
        <v>132</v>
      </c>
      <c r="L1873" s="1">
        <v>8</v>
      </c>
      <c r="M1873" s="13">
        <v>3689.55</v>
      </c>
      <c r="N1873" s="15">
        <v>0.36</v>
      </c>
      <c r="O1873" s="13">
        <v>22365.27</v>
      </c>
      <c r="P1873" s="13">
        <v>6339.32</v>
      </c>
      <c r="Q1873" s="13">
        <v>82.16</v>
      </c>
      <c r="R1873" s="1" t="s">
        <v>29</v>
      </c>
      <c r="S1873" s="1">
        <v>4</v>
      </c>
      <c r="T1873" s="1" t="b">
        <v>0</v>
      </c>
      <c r="U1873" s="1" t="s">
        <v>58</v>
      </c>
      <c r="V1873" s="3">
        <v>4</v>
      </c>
    </row>
    <row r="1874" spans="1:22" x14ac:dyDescent="0.3">
      <c r="A1874" s="2" t="s">
        <v>4242</v>
      </c>
      <c r="B1874" s="10">
        <v>45107</v>
      </c>
      <c r="C1874" s="22">
        <v>45107</v>
      </c>
      <c r="D1874" s="1" t="s">
        <v>4243</v>
      </c>
      <c r="E1874" s="1" t="s">
        <v>87</v>
      </c>
      <c r="F1874" s="1">
        <v>41</v>
      </c>
      <c r="G1874" s="1" t="s">
        <v>34</v>
      </c>
      <c r="H1874" s="1" t="s">
        <v>74</v>
      </c>
      <c r="I1874" s="1" t="s">
        <v>75</v>
      </c>
      <c r="J1874" s="1" t="s">
        <v>146</v>
      </c>
      <c r="K1874" s="1" t="s">
        <v>147</v>
      </c>
      <c r="L1874" s="1">
        <v>9</v>
      </c>
      <c r="M1874" s="13">
        <v>6912.54</v>
      </c>
      <c r="N1874" s="15">
        <v>0.01</v>
      </c>
      <c r="O1874" s="13">
        <v>98451.07</v>
      </c>
      <c r="P1874" s="13">
        <v>24585.48</v>
      </c>
      <c r="Q1874" s="13">
        <v>74.650000000000006</v>
      </c>
      <c r="R1874" s="1" t="s">
        <v>70</v>
      </c>
      <c r="S1874" s="1">
        <v>5</v>
      </c>
      <c r="T1874" s="1" t="b">
        <v>0</v>
      </c>
      <c r="U1874" s="1" t="s">
        <v>39</v>
      </c>
      <c r="V1874" s="3">
        <v>6</v>
      </c>
    </row>
    <row r="1875" spans="1:22" x14ac:dyDescent="0.3">
      <c r="A1875" s="2" t="s">
        <v>4244</v>
      </c>
      <c r="B1875" s="10">
        <v>43982</v>
      </c>
      <c r="C1875" s="22">
        <v>43982</v>
      </c>
      <c r="D1875" s="1" t="s">
        <v>4245</v>
      </c>
      <c r="E1875" s="1" t="s">
        <v>687</v>
      </c>
      <c r="F1875" s="1">
        <v>35</v>
      </c>
      <c r="G1875" s="1" t="s">
        <v>34</v>
      </c>
      <c r="H1875" s="1" t="s">
        <v>111</v>
      </c>
      <c r="I1875" s="1" t="s">
        <v>121</v>
      </c>
      <c r="J1875" s="1" t="s">
        <v>44</v>
      </c>
      <c r="K1875" s="1" t="s">
        <v>221</v>
      </c>
      <c r="L1875" s="1">
        <v>4</v>
      </c>
      <c r="M1875" s="13">
        <v>14963.38</v>
      </c>
      <c r="N1875" s="15">
        <v>0.04</v>
      </c>
      <c r="O1875" s="13">
        <v>67902.84</v>
      </c>
      <c r="P1875" s="13">
        <v>22163.23</v>
      </c>
      <c r="Q1875" s="13">
        <v>68.709999999999994</v>
      </c>
      <c r="R1875" s="1" t="s">
        <v>64</v>
      </c>
      <c r="S1875" s="1">
        <v>3</v>
      </c>
      <c r="T1875" s="1" t="b">
        <v>0</v>
      </c>
      <c r="U1875" s="1" t="s">
        <v>197</v>
      </c>
      <c r="V1875" s="3">
        <v>8</v>
      </c>
    </row>
    <row r="1876" spans="1:22" x14ac:dyDescent="0.3">
      <c r="A1876" s="2" t="s">
        <v>4246</v>
      </c>
      <c r="B1876" s="10">
        <v>44061</v>
      </c>
      <c r="C1876" s="22">
        <v>44061</v>
      </c>
      <c r="D1876" s="1" t="s">
        <v>4247</v>
      </c>
      <c r="E1876" s="1" t="s">
        <v>1340</v>
      </c>
      <c r="F1876" s="1">
        <v>49</v>
      </c>
      <c r="G1876" s="1" t="s">
        <v>24</v>
      </c>
      <c r="H1876" s="1" t="s">
        <v>35</v>
      </c>
      <c r="I1876" s="1" t="s">
        <v>36</v>
      </c>
      <c r="J1876" s="1" t="s">
        <v>62</v>
      </c>
      <c r="K1876" s="1" t="s">
        <v>266</v>
      </c>
      <c r="L1876" s="1">
        <v>1</v>
      </c>
      <c r="M1876" s="13">
        <v>1155.8800000000001</v>
      </c>
      <c r="N1876" s="15">
        <v>0.37</v>
      </c>
      <c r="O1876" s="13">
        <v>743.9</v>
      </c>
      <c r="P1876" s="13">
        <v>208.47</v>
      </c>
      <c r="Q1876" s="13">
        <v>59.74</v>
      </c>
      <c r="R1876" s="1" t="s">
        <v>29</v>
      </c>
      <c r="S1876" s="1">
        <v>4</v>
      </c>
      <c r="T1876" s="1" t="b">
        <v>0</v>
      </c>
      <c r="U1876" s="1" t="s">
        <v>39</v>
      </c>
      <c r="V1876" s="3">
        <v>1</v>
      </c>
    </row>
    <row r="1877" spans="1:22" x14ac:dyDescent="0.3">
      <c r="A1877" s="2" t="s">
        <v>4248</v>
      </c>
      <c r="B1877" s="10">
        <v>44250</v>
      </c>
      <c r="C1877" s="22">
        <v>44250</v>
      </c>
      <c r="D1877" s="1" t="s">
        <v>4249</v>
      </c>
      <c r="E1877" s="1" t="s">
        <v>1907</v>
      </c>
      <c r="F1877" s="1">
        <v>46</v>
      </c>
      <c r="G1877" s="1" t="s">
        <v>34</v>
      </c>
      <c r="H1877" s="1" t="s">
        <v>111</v>
      </c>
      <c r="I1877" s="1" t="s">
        <v>121</v>
      </c>
      <c r="J1877" s="1" t="s">
        <v>127</v>
      </c>
      <c r="K1877" s="1" t="s">
        <v>517</v>
      </c>
      <c r="L1877" s="1">
        <v>4</v>
      </c>
      <c r="M1877" s="13">
        <v>69413.05</v>
      </c>
      <c r="N1877" s="15">
        <v>0.19</v>
      </c>
      <c r="O1877" s="13">
        <v>236615.76</v>
      </c>
      <c r="P1877" s="13">
        <v>20189.990000000002</v>
      </c>
      <c r="Q1877" s="13">
        <v>74.25</v>
      </c>
      <c r="R1877" s="1" t="s">
        <v>51</v>
      </c>
      <c r="S1877" s="1">
        <v>2</v>
      </c>
      <c r="T1877" s="1" t="b">
        <v>0</v>
      </c>
      <c r="U1877" s="1" t="s">
        <v>84</v>
      </c>
      <c r="V1877" s="3">
        <v>7</v>
      </c>
    </row>
    <row r="1878" spans="1:22" x14ac:dyDescent="0.3">
      <c r="A1878" s="2" t="s">
        <v>4250</v>
      </c>
      <c r="B1878" s="10">
        <v>45379</v>
      </c>
      <c r="C1878" s="22">
        <v>45379</v>
      </c>
      <c r="D1878" s="1" t="s">
        <v>4251</v>
      </c>
      <c r="E1878" s="1" t="s">
        <v>888</v>
      </c>
      <c r="F1878" s="1">
        <v>12</v>
      </c>
      <c r="G1878" s="1" t="s">
        <v>24</v>
      </c>
      <c r="H1878" s="1" t="s">
        <v>35</v>
      </c>
      <c r="I1878" s="1" t="s">
        <v>49</v>
      </c>
      <c r="J1878" s="1" t="s">
        <v>76</v>
      </c>
      <c r="K1878" s="1" t="s">
        <v>132</v>
      </c>
      <c r="L1878" s="1">
        <v>6</v>
      </c>
      <c r="M1878" s="13">
        <v>3699.24</v>
      </c>
      <c r="N1878" s="15">
        <v>0.33</v>
      </c>
      <c r="O1878" s="13">
        <v>17538.68</v>
      </c>
      <c r="P1878" s="13">
        <v>6519.53</v>
      </c>
      <c r="Q1878" s="13">
        <v>44.19</v>
      </c>
      <c r="R1878" s="1" t="s">
        <v>57</v>
      </c>
      <c r="S1878" s="1">
        <v>2</v>
      </c>
      <c r="T1878" s="1" t="b">
        <v>0</v>
      </c>
      <c r="U1878" s="1" t="s">
        <v>39</v>
      </c>
      <c r="V1878" s="3">
        <v>6</v>
      </c>
    </row>
    <row r="1879" spans="1:22" x14ac:dyDescent="0.3">
      <c r="A1879" s="2" t="s">
        <v>4252</v>
      </c>
      <c r="B1879" s="10">
        <v>44593</v>
      </c>
      <c r="C1879" s="22">
        <v>44593</v>
      </c>
      <c r="D1879" s="1" t="s">
        <v>4253</v>
      </c>
      <c r="E1879" s="1" t="s">
        <v>48</v>
      </c>
      <c r="F1879" s="1">
        <v>36</v>
      </c>
      <c r="G1879" s="1" t="s">
        <v>34</v>
      </c>
      <c r="H1879" s="1" t="s">
        <v>74</v>
      </c>
      <c r="I1879" s="1" t="s">
        <v>192</v>
      </c>
      <c r="J1879" s="1" t="s">
        <v>127</v>
      </c>
      <c r="K1879" s="1" t="s">
        <v>308</v>
      </c>
      <c r="L1879" s="1">
        <v>1</v>
      </c>
      <c r="M1879" s="13">
        <v>21382.9</v>
      </c>
      <c r="N1879" s="15">
        <v>0.19</v>
      </c>
      <c r="O1879" s="13">
        <v>18387.23</v>
      </c>
      <c r="P1879" s="13">
        <v>1757.16</v>
      </c>
      <c r="Q1879" s="13">
        <v>13.65</v>
      </c>
      <c r="R1879" s="1" t="s">
        <v>64</v>
      </c>
      <c r="S1879" s="1">
        <v>5</v>
      </c>
      <c r="T1879" s="1" t="b">
        <v>0</v>
      </c>
      <c r="U1879" s="1" t="s">
        <v>39</v>
      </c>
      <c r="V1879" s="3">
        <v>6</v>
      </c>
    </row>
    <row r="1880" spans="1:22" x14ac:dyDescent="0.3">
      <c r="A1880" s="2" t="s">
        <v>4254</v>
      </c>
      <c r="B1880" s="10">
        <v>44831</v>
      </c>
      <c r="C1880" s="22">
        <v>44831</v>
      </c>
      <c r="D1880" s="1" t="s">
        <v>4255</v>
      </c>
      <c r="E1880" s="1" t="s">
        <v>1601</v>
      </c>
      <c r="F1880" s="1">
        <v>35</v>
      </c>
      <c r="G1880" s="1" t="s">
        <v>34</v>
      </c>
      <c r="H1880" s="1" t="s">
        <v>35</v>
      </c>
      <c r="I1880" s="1" t="s">
        <v>106</v>
      </c>
      <c r="J1880" s="1" t="s">
        <v>44</v>
      </c>
      <c r="K1880" s="1" t="s">
        <v>50</v>
      </c>
      <c r="L1880" s="1">
        <v>6</v>
      </c>
      <c r="M1880" s="13">
        <v>4727.2</v>
      </c>
      <c r="N1880" s="15">
        <v>0.3</v>
      </c>
      <c r="O1880" s="13">
        <v>22747.1</v>
      </c>
      <c r="P1880" s="13">
        <v>6128.52</v>
      </c>
      <c r="Q1880" s="13">
        <v>85.09</v>
      </c>
      <c r="R1880" s="1" t="s">
        <v>57</v>
      </c>
      <c r="S1880" s="1">
        <v>5</v>
      </c>
      <c r="T1880" s="1" t="b">
        <v>0</v>
      </c>
      <c r="U1880" s="1" t="s">
        <v>137</v>
      </c>
      <c r="V1880" s="3">
        <v>9</v>
      </c>
    </row>
    <row r="1881" spans="1:22" x14ac:dyDescent="0.3">
      <c r="A1881" s="2" t="s">
        <v>4256</v>
      </c>
      <c r="B1881" s="10">
        <v>44958</v>
      </c>
      <c r="C1881" s="22">
        <v>44958</v>
      </c>
      <c r="D1881" s="1" t="s">
        <v>4257</v>
      </c>
      <c r="E1881" s="1" t="s">
        <v>2214</v>
      </c>
      <c r="F1881" s="1">
        <v>23</v>
      </c>
      <c r="G1881" s="1" t="s">
        <v>24</v>
      </c>
      <c r="H1881" s="1" t="s">
        <v>25</v>
      </c>
      <c r="I1881" s="1" t="s">
        <v>26</v>
      </c>
      <c r="J1881" s="1" t="s">
        <v>62</v>
      </c>
      <c r="K1881" s="1" t="s">
        <v>266</v>
      </c>
      <c r="L1881" s="1">
        <v>4</v>
      </c>
      <c r="M1881" s="13">
        <v>246.31</v>
      </c>
      <c r="N1881" s="15">
        <v>0.32</v>
      </c>
      <c r="O1881" s="13">
        <v>670.92</v>
      </c>
      <c r="P1881" s="13">
        <v>214.73</v>
      </c>
      <c r="Q1881" s="13">
        <v>54.41</v>
      </c>
      <c r="R1881" s="1" t="s">
        <v>78</v>
      </c>
      <c r="S1881" s="1">
        <v>3</v>
      </c>
      <c r="T1881" s="1" t="b">
        <v>0</v>
      </c>
      <c r="U1881" s="1" t="s">
        <v>39</v>
      </c>
      <c r="V1881" s="3">
        <v>9</v>
      </c>
    </row>
    <row r="1882" spans="1:22" x14ac:dyDescent="0.3">
      <c r="A1882" s="2" t="s">
        <v>4258</v>
      </c>
      <c r="B1882" s="10">
        <v>44450</v>
      </c>
      <c r="C1882" s="22">
        <v>44450</v>
      </c>
      <c r="D1882" s="1" t="s">
        <v>4259</v>
      </c>
      <c r="E1882" s="1" t="s">
        <v>1436</v>
      </c>
      <c r="F1882" s="1">
        <v>31</v>
      </c>
      <c r="G1882" s="1" t="s">
        <v>68</v>
      </c>
      <c r="H1882" s="1" t="s">
        <v>74</v>
      </c>
      <c r="I1882" s="1" t="s">
        <v>136</v>
      </c>
      <c r="J1882" s="1" t="s">
        <v>127</v>
      </c>
      <c r="K1882" s="1" t="s">
        <v>517</v>
      </c>
      <c r="L1882" s="1">
        <v>2</v>
      </c>
      <c r="M1882" s="13">
        <v>20652.77</v>
      </c>
      <c r="N1882" s="15">
        <v>0.17</v>
      </c>
      <c r="O1882" s="13">
        <v>36063.910000000003</v>
      </c>
      <c r="P1882" s="13">
        <v>2449.77</v>
      </c>
      <c r="Q1882" s="13">
        <v>46.55</v>
      </c>
      <c r="R1882" s="1" t="s">
        <v>70</v>
      </c>
      <c r="S1882" s="1">
        <v>1</v>
      </c>
      <c r="T1882" s="1" t="b">
        <v>0</v>
      </c>
      <c r="U1882" s="1" t="s">
        <v>39</v>
      </c>
      <c r="V1882" s="3">
        <v>3</v>
      </c>
    </row>
    <row r="1883" spans="1:22" x14ac:dyDescent="0.3">
      <c r="A1883" s="2" t="s">
        <v>4260</v>
      </c>
      <c r="B1883" s="10">
        <v>44443</v>
      </c>
      <c r="C1883" s="22">
        <v>44443</v>
      </c>
      <c r="D1883" s="1" t="s">
        <v>4261</v>
      </c>
      <c r="E1883" s="1" t="s">
        <v>1324</v>
      </c>
      <c r="F1883" s="1">
        <v>34</v>
      </c>
      <c r="G1883" s="1" t="s">
        <v>68</v>
      </c>
      <c r="H1883" s="1" t="s">
        <v>111</v>
      </c>
      <c r="I1883" s="1" t="s">
        <v>112</v>
      </c>
      <c r="J1883" s="1" t="s">
        <v>76</v>
      </c>
      <c r="K1883" s="1" t="s">
        <v>207</v>
      </c>
      <c r="L1883" s="1">
        <v>2</v>
      </c>
      <c r="M1883" s="13">
        <v>3281.01</v>
      </c>
      <c r="N1883" s="15">
        <v>0.19</v>
      </c>
      <c r="O1883" s="13">
        <v>5549.01</v>
      </c>
      <c r="P1883" s="13">
        <v>1625.36</v>
      </c>
      <c r="Q1883" s="13">
        <v>83.74</v>
      </c>
      <c r="R1883" s="1" t="s">
        <v>70</v>
      </c>
      <c r="S1883" s="1">
        <v>2</v>
      </c>
      <c r="T1883" s="1" t="b">
        <v>0</v>
      </c>
      <c r="U1883" s="1" t="s">
        <v>39</v>
      </c>
      <c r="V1883" s="3">
        <v>9</v>
      </c>
    </row>
    <row r="1884" spans="1:22" x14ac:dyDescent="0.3">
      <c r="A1884" s="2" t="s">
        <v>4262</v>
      </c>
      <c r="B1884" s="10">
        <v>44903</v>
      </c>
      <c r="C1884" s="22">
        <v>44903</v>
      </c>
      <c r="D1884" s="1" t="s">
        <v>4263</v>
      </c>
      <c r="E1884" s="1" t="s">
        <v>1601</v>
      </c>
      <c r="F1884" s="1">
        <v>40</v>
      </c>
      <c r="G1884" s="1" t="s">
        <v>34</v>
      </c>
      <c r="H1884" s="1" t="s">
        <v>25</v>
      </c>
      <c r="I1884" s="1" t="s">
        <v>170</v>
      </c>
      <c r="J1884" s="1" t="s">
        <v>76</v>
      </c>
      <c r="K1884" s="1" t="s">
        <v>89</v>
      </c>
      <c r="L1884" s="1">
        <v>8</v>
      </c>
      <c r="M1884" s="13">
        <v>3539.5</v>
      </c>
      <c r="N1884" s="15">
        <v>0.23</v>
      </c>
      <c r="O1884" s="13">
        <v>17882.7</v>
      </c>
      <c r="P1884" s="13">
        <v>6353.82</v>
      </c>
      <c r="Q1884" s="13">
        <v>60.26</v>
      </c>
      <c r="R1884" s="1" t="s">
        <v>57</v>
      </c>
      <c r="S1884" s="1">
        <v>4</v>
      </c>
      <c r="T1884" s="1" t="b">
        <v>0</v>
      </c>
      <c r="U1884" s="1" t="s">
        <v>84</v>
      </c>
      <c r="V1884" s="3">
        <v>9</v>
      </c>
    </row>
    <row r="1885" spans="1:22" x14ac:dyDescent="0.3">
      <c r="A1885" s="2" t="s">
        <v>4264</v>
      </c>
      <c r="B1885" s="10">
        <v>45512</v>
      </c>
      <c r="C1885" s="22">
        <v>45512</v>
      </c>
      <c r="D1885" s="1" t="s">
        <v>4265</v>
      </c>
      <c r="E1885" s="1" t="s">
        <v>786</v>
      </c>
      <c r="F1885" s="1">
        <v>32</v>
      </c>
      <c r="G1885" s="1" t="s">
        <v>68</v>
      </c>
      <c r="H1885" s="1" t="s">
        <v>82</v>
      </c>
      <c r="I1885" s="1" t="s">
        <v>126</v>
      </c>
      <c r="J1885" s="1" t="s">
        <v>127</v>
      </c>
      <c r="K1885" s="1" t="s">
        <v>171</v>
      </c>
      <c r="L1885" s="1">
        <v>0</v>
      </c>
      <c r="M1885" s="13">
        <v>60299.29</v>
      </c>
      <c r="N1885" s="15">
        <v>7.0000000000000007E-2</v>
      </c>
      <c r="O1885" s="13">
        <v>91325.87</v>
      </c>
      <c r="P1885" s="13">
        <v>12487.67</v>
      </c>
      <c r="Q1885" s="13">
        <v>49.76</v>
      </c>
      <c r="R1885" s="1" t="s">
        <v>78</v>
      </c>
      <c r="S1885" s="1">
        <v>1</v>
      </c>
      <c r="T1885" s="1" t="b">
        <v>0</v>
      </c>
      <c r="U1885" s="1" t="s">
        <v>39</v>
      </c>
      <c r="V1885" s="3">
        <v>4</v>
      </c>
    </row>
    <row r="1886" spans="1:22" x14ac:dyDescent="0.3">
      <c r="A1886" s="2" t="s">
        <v>4266</v>
      </c>
      <c r="B1886" s="10">
        <v>44887</v>
      </c>
      <c r="C1886" s="22">
        <v>44887</v>
      </c>
      <c r="D1886" s="1" t="s">
        <v>4267</v>
      </c>
      <c r="E1886" s="1" t="s">
        <v>1142</v>
      </c>
      <c r="F1886" s="1">
        <v>36</v>
      </c>
      <c r="G1886" s="1" t="s">
        <v>68</v>
      </c>
      <c r="H1886" s="1" t="s">
        <v>25</v>
      </c>
      <c r="I1886" s="1" t="s">
        <v>170</v>
      </c>
      <c r="J1886" s="1" t="s">
        <v>146</v>
      </c>
      <c r="K1886" s="1" t="s">
        <v>178</v>
      </c>
      <c r="L1886" s="1">
        <v>9</v>
      </c>
      <c r="M1886" s="13">
        <v>8072.68</v>
      </c>
      <c r="N1886" s="15">
        <v>0.11</v>
      </c>
      <c r="O1886" s="13">
        <v>55849.13</v>
      </c>
      <c r="P1886" s="13">
        <v>10192.200000000001</v>
      </c>
      <c r="Q1886" s="13">
        <v>56.59</v>
      </c>
      <c r="R1886" s="1" t="s">
        <v>78</v>
      </c>
      <c r="S1886" s="1">
        <v>1</v>
      </c>
      <c r="T1886" s="1" t="b">
        <v>0</v>
      </c>
      <c r="U1886" s="1" t="s">
        <v>39</v>
      </c>
      <c r="V1886" s="3">
        <v>8</v>
      </c>
    </row>
    <row r="1887" spans="1:22" x14ac:dyDescent="0.3">
      <c r="A1887" s="2" t="s">
        <v>4268</v>
      </c>
      <c r="B1887" s="10">
        <v>45011</v>
      </c>
      <c r="C1887" s="22">
        <v>45011</v>
      </c>
      <c r="D1887" s="1" t="s">
        <v>4269</v>
      </c>
      <c r="E1887" s="1" t="s">
        <v>1645</v>
      </c>
      <c r="F1887" s="1">
        <v>28</v>
      </c>
      <c r="G1887" s="1" t="s">
        <v>34</v>
      </c>
      <c r="H1887" s="1" t="s">
        <v>82</v>
      </c>
      <c r="I1887" s="1" t="s">
        <v>83</v>
      </c>
      <c r="J1887" s="1" t="s">
        <v>27</v>
      </c>
      <c r="K1887" s="1" t="s">
        <v>56</v>
      </c>
      <c r="L1887" s="1">
        <v>10</v>
      </c>
      <c r="M1887" s="13">
        <v>241.98</v>
      </c>
      <c r="N1887" s="15">
        <v>0.28000000000000003</v>
      </c>
      <c r="O1887" s="13">
        <v>2282.59</v>
      </c>
      <c r="P1887" s="13">
        <v>137.71</v>
      </c>
      <c r="Q1887" s="13">
        <v>54.31</v>
      </c>
      <c r="R1887" s="1" t="s">
        <v>70</v>
      </c>
      <c r="S1887" s="1">
        <v>5</v>
      </c>
      <c r="T1887" s="1" t="b">
        <v>0</v>
      </c>
      <c r="U1887" s="1" t="s">
        <v>84</v>
      </c>
      <c r="V1887" s="3">
        <v>4</v>
      </c>
    </row>
    <row r="1888" spans="1:22" x14ac:dyDescent="0.3">
      <c r="A1888" s="2" t="s">
        <v>4270</v>
      </c>
      <c r="B1888" s="10">
        <v>44400</v>
      </c>
      <c r="C1888" s="22">
        <v>44400</v>
      </c>
      <c r="D1888" s="1" t="s">
        <v>4271</v>
      </c>
      <c r="E1888" s="1" t="s">
        <v>1275</v>
      </c>
      <c r="F1888" s="1">
        <v>32</v>
      </c>
      <c r="G1888" s="1" t="s">
        <v>34</v>
      </c>
      <c r="H1888" s="1" t="s">
        <v>82</v>
      </c>
      <c r="I1888" s="1" t="s">
        <v>293</v>
      </c>
      <c r="J1888" s="1" t="s">
        <v>37</v>
      </c>
      <c r="K1888" s="1" t="s">
        <v>671</v>
      </c>
      <c r="L1888" s="1">
        <v>3</v>
      </c>
      <c r="M1888" s="13">
        <v>676.4</v>
      </c>
      <c r="N1888" s="15">
        <v>0.31</v>
      </c>
      <c r="O1888" s="13">
        <v>2011.95</v>
      </c>
      <c r="P1888" s="13">
        <v>671.9</v>
      </c>
      <c r="Q1888" s="13">
        <v>89.11</v>
      </c>
      <c r="R1888" s="1" t="s">
        <v>51</v>
      </c>
      <c r="S1888" s="1">
        <v>3</v>
      </c>
      <c r="T1888" s="1" t="b">
        <v>0</v>
      </c>
      <c r="U1888" s="1" t="s">
        <v>39</v>
      </c>
      <c r="V1888" s="3">
        <v>7</v>
      </c>
    </row>
    <row r="1889" spans="1:22" x14ac:dyDescent="0.3">
      <c r="A1889" s="2" t="s">
        <v>4272</v>
      </c>
      <c r="B1889" s="10">
        <v>45433</v>
      </c>
      <c r="C1889" s="22">
        <v>45433</v>
      </c>
      <c r="D1889" s="1" t="s">
        <v>4273</v>
      </c>
      <c r="E1889" s="1" t="s">
        <v>145</v>
      </c>
      <c r="F1889" s="1">
        <v>18</v>
      </c>
      <c r="G1889" s="1" t="s">
        <v>24</v>
      </c>
      <c r="H1889" s="1" t="s">
        <v>82</v>
      </c>
      <c r="I1889" s="1" t="s">
        <v>83</v>
      </c>
      <c r="J1889" s="1" t="s">
        <v>44</v>
      </c>
      <c r="K1889" s="1" t="s">
        <v>45</v>
      </c>
      <c r="L1889" s="1">
        <v>3</v>
      </c>
      <c r="M1889" s="13">
        <v>27654.89</v>
      </c>
      <c r="N1889" s="15">
        <v>7.0000000000000007E-2</v>
      </c>
      <c r="O1889" s="13">
        <v>139972.32999999999</v>
      </c>
      <c r="P1889" s="13">
        <v>47884.94</v>
      </c>
      <c r="Q1889" s="13">
        <v>88.4</v>
      </c>
      <c r="R1889" s="1" t="s">
        <v>78</v>
      </c>
      <c r="S1889" s="1">
        <v>3</v>
      </c>
      <c r="T1889" s="1" t="b">
        <v>0</v>
      </c>
      <c r="U1889" s="1" t="s">
        <v>39</v>
      </c>
      <c r="V1889" s="3">
        <v>7</v>
      </c>
    </row>
    <row r="1890" spans="1:22" x14ac:dyDescent="0.3">
      <c r="A1890" s="2" t="s">
        <v>4274</v>
      </c>
      <c r="B1890" s="10">
        <v>45248</v>
      </c>
      <c r="C1890" s="22">
        <v>45248</v>
      </c>
      <c r="D1890" s="1" t="s">
        <v>4275</v>
      </c>
      <c r="E1890" s="1" t="s">
        <v>131</v>
      </c>
      <c r="F1890" s="1">
        <v>37</v>
      </c>
      <c r="G1890" s="1" t="s">
        <v>34</v>
      </c>
      <c r="H1890" s="1" t="s">
        <v>111</v>
      </c>
      <c r="I1890" s="1" t="s">
        <v>121</v>
      </c>
      <c r="J1890" s="1" t="s">
        <v>37</v>
      </c>
      <c r="K1890" s="1" t="s">
        <v>102</v>
      </c>
      <c r="L1890" s="1">
        <v>3</v>
      </c>
      <c r="M1890" s="13">
        <v>1910.31</v>
      </c>
      <c r="N1890" s="15">
        <v>0.38</v>
      </c>
      <c r="O1890" s="13">
        <v>3118.32</v>
      </c>
      <c r="P1890" s="13">
        <v>1686.07</v>
      </c>
      <c r="Q1890" s="13">
        <v>72.569999999999993</v>
      </c>
      <c r="R1890" s="1" t="s">
        <v>64</v>
      </c>
      <c r="S1890" s="1">
        <v>5</v>
      </c>
      <c r="T1890" s="1" t="b">
        <v>0</v>
      </c>
      <c r="U1890" s="1" t="s">
        <v>58</v>
      </c>
      <c r="V1890" s="3">
        <v>8</v>
      </c>
    </row>
    <row r="1891" spans="1:22" x14ac:dyDescent="0.3">
      <c r="A1891" s="2" t="s">
        <v>4276</v>
      </c>
      <c r="B1891" s="10">
        <v>45081</v>
      </c>
      <c r="C1891" s="22">
        <v>45081</v>
      </c>
      <c r="D1891" s="1" t="s">
        <v>4277</v>
      </c>
      <c r="E1891" s="1" t="s">
        <v>888</v>
      </c>
      <c r="F1891" s="1">
        <v>33</v>
      </c>
      <c r="G1891" s="1" t="s">
        <v>68</v>
      </c>
      <c r="H1891" s="1" t="s">
        <v>74</v>
      </c>
      <c r="I1891" s="1" t="s">
        <v>192</v>
      </c>
      <c r="J1891" s="1" t="s">
        <v>44</v>
      </c>
      <c r="K1891" s="1" t="s">
        <v>45</v>
      </c>
      <c r="L1891" s="1">
        <v>5</v>
      </c>
      <c r="M1891" s="13">
        <v>11967.38</v>
      </c>
      <c r="N1891" s="15">
        <v>7.0000000000000007E-2</v>
      </c>
      <c r="O1891" s="13">
        <v>17838.52</v>
      </c>
      <c r="P1891" s="13">
        <v>3429.62</v>
      </c>
      <c r="Q1891" s="13">
        <v>76.83</v>
      </c>
      <c r="R1891" s="1" t="s">
        <v>29</v>
      </c>
      <c r="S1891" s="1">
        <v>1</v>
      </c>
      <c r="T1891" s="1" t="b">
        <v>0</v>
      </c>
      <c r="U1891" s="1" t="s">
        <v>84</v>
      </c>
      <c r="V1891" s="3">
        <v>2</v>
      </c>
    </row>
    <row r="1892" spans="1:22" x14ac:dyDescent="0.3">
      <c r="A1892" s="2" t="s">
        <v>4278</v>
      </c>
      <c r="B1892" s="10">
        <v>44920</v>
      </c>
      <c r="C1892" s="22">
        <v>44920</v>
      </c>
      <c r="D1892" s="1" t="s">
        <v>4279</v>
      </c>
      <c r="E1892" s="1" t="s">
        <v>705</v>
      </c>
      <c r="F1892" s="1">
        <v>25</v>
      </c>
      <c r="G1892" s="1" t="s">
        <v>34</v>
      </c>
      <c r="H1892" s="1" t="s">
        <v>74</v>
      </c>
      <c r="I1892" s="1" t="s">
        <v>75</v>
      </c>
      <c r="J1892" s="1" t="s">
        <v>76</v>
      </c>
      <c r="K1892" s="1" t="s">
        <v>122</v>
      </c>
      <c r="L1892" s="1">
        <v>10</v>
      </c>
      <c r="M1892" s="13">
        <v>1001.16</v>
      </c>
      <c r="N1892" s="15">
        <v>0.39</v>
      </c>
      <c r="O1892" s="13">
        <v>4877.97</v>
      </c>
      <c r="P1892" s="13">
        <v>1751.33</v>
      </c>
      <c r="Q1892" s="13">
        <v>70.650000000000006</v>
      </c>
      <c r="R1892" s="1" t="s">
        <v>70</v>
      </c>
      <c r="S1892" s="1">
        <v>3</v>
      </c>
      <c r="T1892" s="1" t="b">
        <v>0</v>
      </c>
      <c r="U1892" s="1" t="s">
        <v>39</v>
      </c>
      <c r="V1892" s="3">
        <v>2</v>
      </c>
    </row>
    <row r="1893" spans="1:22" x14ac:dyDescent="0.3">
      <c r="A1893" s="2" t="s">
        <v>4280</v>
      </c>
      <c r="B1893" s="10">
        <v>45497</v>
      </c>
      <c r="C1893" s="22">
        <v>45497</v>
      </c>
      <c r="D1893" s="1" t="s">
        <v>4281</v>
      </c>
      <c r="E1893" s="1" t="s">
        <v>629</v>
      </c>
      <c r="F1893" s="1">
        <v>39</v>
      </c>
      <c r="G1893" s="1" t="s">
        <v>24</v>
      </c>
      <c r="H1893" s="1" t="s">
        <v>35</v>
      </c>
      <c r="I1893" s="1" t="s">
        <v>43</v>
      </c>
      <c r="J1893" s="1" t="s">
        <v>146</v>
      </c>
      <c r="K1893" s="1" t="s">
        <v>147</v>
      </c>
      <c r="L1893" s="1">
        <v>9</v>
      </c>
      <c r="M1893" s="13">
        <v>7643.25</v>
      </c>
      <c r="N1893" s="15">
        <v>0.12</v>
      </c>
      <c r="O1893" s="13">
        <v>102057.62</v>
      </c>
      <c r="P1893" s="13">
        <v>26038.27</v>
      </c>
      <c r="Q1893" s="13">
        <v>62.54</v>
      </c>
      <c r="R1893" s="1" t="s">
        <v>29</v>
      </c>
      <c r="S1893" s="1">
        <v>3</v>
      </c>
      <c r="T1893" s="1" t="b">
        <v>0</v>
      </c>
      <c r="U1893" s="1" t="s">
        <v>39</v>
      </c>
      <c r="V1893" s="3">
        <v>7</v>
      </c>
    </row>
    <row r="1894" spans="1:22" x14ac:dyDescent="0.3">
      <c r="A1894" s="2" t="s">
        <v>4282</v>
      </c>
      <c r="B1894" s="10">
        <v>44903</v>
      </c>
      <c r="C1894" s="22">
        <v>44903</v>
      </c>
      <c r="D1894" s="1" t="s">
        <v>4283</v>
      </c>
      <c r="E1894" s="1" t="s">
        <v>1476</v>
      </c>
      <c r="F1894" s="1">
        <v>47</v>
      </c>
      <c r="G1894" s="1" t="s">
        <v>34</v>
      </c>
      <c r="H1894" s="1" t="s">
        <v>82</v>
      </c>
      <c r="I1894" s="1" t="s">
        <v>126</v>
      </c>
      <c r="J1894" s="1" t="s">
        <v>76</v>
      </c>
      <c r="K1894" s="1" t="s">
        <v>132</v>
      </c>
      <c r="L1894" s="1">
        <v>8</v>
      </c>
      <c r="M1894" s="13">
        <v>2955.05</v>
      </c>
      <c r="N1894" s="15">
        <v>0.21</v>
      </c>
      <c r="O1894" s="13">
        <v>23271.279999999999</v>
      </c>
      <c r="P1894" s="13">
        <v>7242.27</v>
      </c>
      <c r="Q1894" s="13">
        <v>69.25</v>
      </c>
      <c r="R1894" s="1" t="s">
        <v>78</v>
      </c>
      <c r="S1894" s="1">
        <v>4</v>
      </c>
      <c r="T1894" s="1" t="b">
        <v>0</v>
      </c>
      <c r="U1894" s="1" t="s">
        <v>39</v>
      </c>
      <c r="V1894" s="3">
        <v>1</v>
      </c>
    </row>
    <row r="1895" spans="1:22" x14ac:dyDescent="0.3">
      <c r="A1895" s="2" t="s">
        <v>4284</v>
      </c>
      <c r="B1895" s="10">
        <v>44801</v>
      </c>
      <c r="C1895" s="22">
        <v>44801</v>
      </c>
      <c r="D1895" s="1" t="s">
        <v>4285</v>
      </c>
      <c r="E1895" s="1" t="s">
        <v>850</v>
      </c>
      <c r="F1895" s="1">
        <v>33</v>
      </c>
      <c r="G1895" s="1" t="s">
        <v>24</v>
      </c>
      <c r="H1895" s="1" t="s">
        <v>35</v>
      </c>
      <c r="I1895" s="1" t="s">
        <v>43</v>
      </c>
      <c r="J1895" s="1" t="s">
        <v>27</v>
      </c>
      <c r="K1895" s="1" t="s">
        <v>430</v>
      </c>
      <c r="L1895" s="1">
        <v>6</v>
      </c>
      <c r="M1895" s="13">
        <v>497.75</v>
      </c>
      <c r="N1895" s="15">
        <v>0.39</v>
      </c>
      <c r="O1895" s="13">
        <v>2474.96</v>
      </c>
      <c r="P1895" s="13">
        <v>216.67</v>
      </c>
      <c r="Q1895" s="13">
        <v>65.8</v>
      </c>
      <c r="R1895" s="1" t="s">
        <v>64</v>
      </c>
      <c r="S1895" s="1">
        <v>1</v>
      </c>
      <c r="T1895" s="1" t="b">
        <v>0</v>
      </c>
      <c r="U1895" s="1" t="s">
        <v>58</v>
      </c>
      <c r="V1895" s="3">
        <v>3</v>
      </c>
    </row>
    <row r="1896" spans="1:22" x14ac:dyDescent="0.3">
      <c r="A1896" s="2" t="s">
        <v>4286</v>
      </c>
      <c r="B1896" s="10">
        <v>44689</v>
      </c>
      <c r="C1896" s="22">
        <v>44689</v>
      </c>
      <c r="D1896" s="1" t="s">
        <v>4287</v>
      </c>
      <c r="E1896" s="1" t="s">
        <v>154</v>
      </c>
      <c r="F1896" s="1">
        <v>36</v>
      </c>
      <c r="G1896" s="1" t="s">
        <v>68</v>
      </c>
      <c r="H1896" s="1" t="s">
        <v>35</v>
      </c>
      <c r="I1896" s="1" t="s">
        <v>49</v>
      </c>
      <c r="J1896" s="1" t="s">
        <v>146</v>
      </c>
      <c r="K1896" s="1" t="s">
        <v>217</v>
      </c>
      <c r="L1896" s="1">
        <v>4</v>
      </c>
      <c r="M1896" s="13">
        <v>9134.3700000000008</v>
      </c>
      <c r="N1896" s="15">
        <v>0.28999999999999998</v>
      </c>
      <c r="O1896" s="13">
        <v>34788.58</v>
      </c>
      <c r="P1896" s="13">
        <v>8944.34</v>
      </c>
      <c r="Q1896" s="13">
        <v>65.47</v>
      </c>
      <c r="R1896" s="1" t="s">
        <v>57</v>
      </c>
      <c r="S1896" s="1">
        <v>5</v>
      </c>
      <c r="T1896" s="1" t="b">
        <v>0</v>
      </c>
      <c r="U1896" s="1" t="s">
        <v>39</v>
      </c>
      <c r="V1896" s="3">
        <v>4</v>
      </c>
    </row>
    <row r="1897" spans="1:22" x14ac:dyDescent="0.3">
      <c r="A1897" s="2" t="s">
        <v>4288</v>
      </c>
      <c r="B1897" s="10">
        <v>44835</v>
      </c>
      <c r="C1897" s="22">
        <v>44835</v>
      </c>
      <c r="D1897" s="1" t="s">
        <v>4289</v>
      </c>
      <c r="E1897" s="1" t="s">
        <v>603</v>
      </c>
      <c r="F1897" s="1">
        <v>32</v>
      </c>
      <c r="G1897" s="1" t="s">
        <v>88</v>
      </c>
      <c r="H1897" s="1" t="s">
        <v>82</v>
      </c>
      <c r="I1897" s="1" t="s">
        <v>83</v>
      </c>
      <c r="J1897" s="1" t="s">
        <v>37</v>
      </c>
      <c r="K1897" s="1" t="s">
        <v>671</v>
      </c>
      <c r="L1897" s="1">
        <v>10</v>
      </c>
      <c r="M1897" s="13">
        <v>909.09</v>
      </c>
      <c r="N1897" s="15">
        <v>0.28999999999999998</v>
      </c>
      <c r="O1897" s="13">
        <v>6829.99</v>
      </c>
      <c r="P1897" s="13">
        <v>3214.22</v>
      </c>
      <c r="Q1897" s="13">
        <v>86.69</v>
      </c>
      <c r="R1897" s="1" t="s">
        <v>64</v>
      </c>
      <c r="S1897" s="1">
        <v>2</v>
      </c>
      <c r="T1897" s="1" t="b">
        <v>0</v>
      </c>
      <c r="U1897" s="1" t="s">
        <v>39</v>
      </c>
      <c r="V1897" s="3">
        <v>4</v>
      </c>
    </row>
    <row r="1898" spans="1:22" x14ac:dyDescent="0.3">
      <c r="A1898" s="2" t="s">
        <v>4290</v>
      </c>
      <c r="B1898" s="10">
        <v>44469</v>
      </c>
      <c r="C1898" s="22">
        <v>44469</v>
      </c>
      <c r="D1898" s="1" t="s">
        <v>337</v>
      </c>
      <c r="E1898" s="1" t="s">
        <v>842</v>
      </c>
      <c r="F1898" s="1">
        <v>35</v>
      </c>
      <c r="G1898" s="1" t="s">
        <v>24</v>
      </c>
      <c r="H1898" s="1" t="s">
        <v>74</v>
      </c>
      <c r="I1898" s="1" t="s">
        <v>101</v>
      </c>
      <c r="J1898" s="1" t="s">
        <v>27</v>
      </c>
      <c r="K1898" s="1" t="s">
        <v>430</v>
      </c>
      <c r="L1898" s="1">
        <v>4</v>
      </c>
      <c r="M1898" s="13">
        <v>98.95</v>
      </c>
      <c r="N1898" s="15">
        <v>0.15</v>
      </c>
      <c r="O1898" s="13">
        <v>365.47</v>
      </c>
      <c r="P1898" s="13">
        <v>31.72</v>
      </c>
      <c r="Q1898" s="13">
        <v>78.47</v>
      </c>
      <c r="R1898" s="1" t="s">
        <v>57</v>
      </c>
      <c r="S1898" s="1">
        <v>1</v>
      </c>
      <c r="T1898" s="1" t="b">
        <v>1</v>
      </c>
      <c r="U1898" s="1" t="s">
        <v>30</v>
      </c>
      <c r="V1898" s="3">
        <v>4</v>
      </c>
    </row>
    <row r="1899" spans="1:22" x14ac:dyDescent="0.3">
      <c r="A1899" s="2" t="s">
        <v>4291</v>
      </c>
      <c r="B1899" s="10">
        <v>45391</v>
      </c>
      <c r="C1899" s="22">
        <v>45391</v>
      </c>
      <c r="D1899" s="1" t="s">
        <v>4292</v>
      </c>
      <c r="E1899" s="1" t="s">
        <v>4211</v>
      </c>
      <c r="F1899" s="1">
        <v>29</v>
      </c>
      <c r="G1899" s="1" t="s">
        <v>68</v>
      </c>
      <c r="H1899" s="1" t="s">
        <v>35</v>
      </c>
      <c r="I1899" s="1" t="s">
        <v>36</v>
      </c>
      <c r="J1899" s="1" t="s">
        <v>62</v>
      </c>
      <c r="K1899" s="1" t="s">
        <v>63</v>
      </c>
      <c r="L1899" s="1">
        <v>8</v>
      </c>
      <c r="M1899" s="13">
        <v>807.8</v>
      </c>
      <c r="N1899" s="15">
        <v>0.01</v>
      </c>
      <c r="O1899" s="13">
        <v>10104.81</v>
      </c>
      <c r="P1899" s="13">
        <v>3435.69</v>
      </c>
      <c r="Q1899" s="13">
        <v>55.12</v>
      </c>
      <c r="R1899" s="1" t="s">
        <v>57</v>
      </c>
      <c r="S1899" s="1">
        <v>5</v>
      </c>
      <c r="T1899" s="1" t="b">
        <v>1</v>
      </c>
      <c r="U1899" s="1" t="s">
        <v>30</v>
      </c>
      <c r="V1899" s="3">
        <v>10</v>
      </c>
    </row>
    <row r="1900" spans="1:22" x14ac:dyDescent="0.3">
      <c r="A1900" s="2" t="s">
        <v>4293</v>
      </c>
      <c r="B1900" s="10">
        <v>44839</v>
      </c>
      <c r="C1900" s="22">
        <v>44839</v>
      </c>
      <c r="D1900" s="1" t="s">
        <v>4294</v>
      </c>
      <c r="E1900" s="1" t="s">
        <v>2137</v>
      </c>
      <c r="F1900" s="1">
        <v>20</v>
      </c>
      <c r="G1900" s="1" t="s">
        <v>34</v>
      </c>
      <c r="H1900" s="1" t="s">
        <v>74</v>
      </c>
      <c r="I1900" s="1" t="s">
        <v>75</v>
      </c>
      <c r="J1900" s="1" t="s">
        <v>44</v>
      </c>
      <c r="K1900" s="1" t="s">
        <v>221</v>
      </c>
      <c r="L1900" s="1">
        <v>9</v>
      </c>
      <c r="M1900" s="13">
        <v>14626.63</v>
      </c>
      <c r="N1900" s="15">
        <v>0.32</v>
      </c>
      <c r="O1900" s="13">
        <v>81959.990000000005</v>
      </c>
      <c r="P1900" s="13">
        <v>31885.26</v>
      </c>
      <c r="Q1900" s="13">
        <v>43.74</v>
      </c>
      <c r="R1900" s="1" t="s">
        <v>57</v>
      </c>
      <c r="S1900" s="1">
        <v>5</v>
      </c>
      <c r="T1900" s="1" t="b">
        <v>0</v>
      </c>
      <c r="U1900" s="1" t="s">
        <v>39</v>
      </c>
      <c r="V1900" s="3">
        <v>1</v>
      </c>
    </row>
    <row r="1901" spans="1:22" x14ac:dyDescent="0.3">
      <c r="A1901" s="2" t="s">
        <v>4295</v>
      </c>
      <c r="B1901" s="10">
        <v>44041</v>
      </c>
      <c r="C1901" s="22">
        <v>44041</v>
      </c>
      <c r="D1901" s="1" t="s">
        <v>4296</v>
      </c>
      <c r="E1901" s="1" t="s">
        <v>621</v>
      </c>
      <c r="F1901" s="1">
        <v>29</v>
      </c>
      <c r="G1901" s="1" t="s">
        <v>68</v>
      </c>
      <c r="H1901" s="1" t="s">
        <v>74</v>
      </c>
      <c r="I1901" s="1" t="s">
        <v>192</v>
      </c>
      <c r="J1901" s="1" t="s">
        <v>27</v>
      </c>
      <c r="K1901" s="1" t="s">
        <v>97</v>
      </c>
      <c r="L1901" s="1">
        <v>9</v>
      </c>
      <c r="M1901" s="13">
        <v>171.9</v>
      </c>
      <c r="N1901" s="15">
        <v>0.03</v>
      </c>
      <c r="O1901" s="13">
        <v>1613.26</v>
      </c>
      <c r="P1901" s="13">
        <v>139.65</v>
      </c>
      <c r="Q1901" s="13">
        <v>79.37</v>
      </c>
      <c r="R1901" s="1" t="s">
        <v>29</v>
      </c>
      <c r="S1901" s="1">
        <v>3</v>
      </c>
      <c r="T1901" s="1" t="b">
        <v>0</v>
      </c>
      <c r="U1901" s="1" t="s">
        <v>39</v>
      </c>
      <c r="V1901" s="3">
        <v>9</v>
      </c>
    </row>
    <row r="1902" spans="1:22" x14ac:dyDescent="0.3">
      <c r="A1902" s="2" t="s">
        <v>4297</v>
      </c>
      <c r="B1902" s="10">
        <v>44493</v>
      </c>
      <c r="C1902" s="22">
        <v>44493</v>
      </c>
      <c r="D1902" s="1" t="s">
        <v>4298</v>
      </c>
      <c r="E1902" s="1" t="s">
        <v>1173</v>
      </c>
      <c r="F1902" s="1">
        <v>15</v>
      </c>
      <c r="G1902" s="1" t="s">
        <v>34</v>
      </c>
      <c r="H1902" s="1" t="s">
        <v>25</v>
      </c>
      <c r="I1902" s="1" t="s">
        <v>170</v>
      </c>
      <c r="J1902" s="1" t="s">
        <v>37</v>
      </c>
      <c r="K1902" s="1" t="s">
        <v>102</v>
      </c>
      <c r="L1902" s="1">
        <v>5</v>
      </c>
      <c r="M1902" s="13">
        <v>1406.35</v>
      </c>
      <c r="N1902" s="15">
        <v>0.15</v>
      </c>
      <c r="O1902" s="13">
        <v>5360.98</v>
      </c>
      <c r="P1902" s="13">
        <v>3427.48</v>
      </c>
      <c r="Q1902" s="13">
        <v>71.58</v>
      </c>
      <c r="R1902" s="1" t="s">
        <v>64</v>
      </c>
      <c r="S1902" s="1">
        <v>3</v>
      </c>
      <c r="T1902" s="1" t="b">
        <v>0</v>
      </c>
      <c r="U1902" s="1" t="s">
        <v>84</v>
      </c>
      <c r="V1902" s="3">
        <v>1</v>
      </c>
    </row>
    <row r="1903" spans="1:22" x14ac:dyDescent="0.3">
      <c r="A1903" s="2" t="s">
        <v>4299</v>
      </c>
      <c r="B1903" s="10">
        <v>45085</v>
      </c>
      <c r="C1903" s="22">
        <v>45085</v>
      </c>
      <c r="D1903" s="1" t="s">
        <v>4300</v>
      </c>
      <c r="E1903" s="1" t="s">
        <v>1236</v>
      </c>
      <c r="F1903" s="1">
        <v>37</v>
      </c>
      <c r="G1903" s="1" t="s">
        <v>24</v>
      </c>
      <c r="H1903" s="1" t="s">
        <v>25</v>
      </c>
      <c r="I1903" s="1" t="s">
        <v>55</v>
      </c>
      <c r="J1903" s="1" t="s">
        <v>146</v>
      </c>
      <c r="K1903" s="1" t="s">
        <v>276</v>
      </c>
      <c r="L1903" s="1">
        <v>1</v>
      </c>
      <c r="M1903" s="13">
        <v>5089.72</v>
      </c>
      <c r="N1903" s="15">
        <v>0.06</v>
      </c>
      <c r="O1903" s="13">
        <v>8297.84</v>
      </c>
      <c r="P1903" s="13">
        <v>2163.06</v>
      </c>
      <c r="Q1903" s="13">
        <v>48.55</v>
      </c>
      <c r="R1903" s="1" t="s">
        <v>64</v>
      </c>
      <c r="S1903" s="1">
        <v>3</v>
      </c>
      <c r="T1903" s="1" t="b">
        <v>0</v>
      </c>
      <c r="U1903" s="1" t="s">
        <v>39</v>
      </c>
      <c r="V1903" s="3">
        <v>6</v>
      </c>
    </row>
    <row r="1904" spans="1:22" x14ac:dyDescent="0.3">
      <c r="A1904" s="2" t="s">
        <v>4301</v>
      </c>
      <c r="B1904" s="10">
        <v>44913</v>
      </c>
      <c r="C1904" s="22">
        <v>44913</v>
      </c>
      <c r="D1904" s="1" t="s">
        <v>4302</v>
      </c>
      <c r="E1904" s="1" t="s">
        <v>1359</v>
      </c>
      <c r="F1904" s="1">
        <v>33</v>
      </c>
      <c r="G1904" s="1" t="s">
        <v>34</v>
      </c>
      <c r="H1904" s="1" t="s">
        <v>82</v>
      </c>
      <c r="I1904" s="1" t="s">
        <v>83</v>
      </c>
      <c r="J1904" s="1" t="s">
        <v>27</v>
      </c>
      <c r="K1904" s="1" t="s">
        <v>97</v>
      </c>
      <c r="L1904" s="1">
        <v>8</v>
      </c>
      <c r="M1904" s="13">
        <v>117.88</v>
      </c>
      <c r="N1904" s="15">
        <v>0.37</v>
      </c>
      <c r="O1904" s="13">
        <v>478.16</v>
      </c>
      <c r="P1904" s="13">
        <v>41.29</v>
      </c>
      <c r="Q1904" s="13">
        <v>88.62</v>
      </c>
      <c r="R1904" s="1" t="s">
        <v>57</v>
      </c>
      <c r="S1904" s="1">
        <v>1</v>
      </c>
      <c r="T1904" s="1" t="b">
        <v>1</v>
      </c>
      <c r="U1904" s="1" t="s">
        <v>30</v>
      </c>
      <c r="V1904" s="3">
        <v>3</v>
      </c>
    </row>
    <row r="1905" spans="1:22" x14ac:dyDescent="0.3">
      <c r="A1905" s="2" t="s">
        <v>4303</v>
      </c>
      <c r="B1905" s="10">
        <v>44556</v>
      </c>
      <c r="C1905" s="22">
        <v>44556</v>
      </c>
      <c r="D1905" s="1" t="s">
        <v>4304</v>
      </c>
      <c r="E1905" s="1" t="s">
        <v>1064</v>
      </c>
      <c r="F1905" s="1">
        <v>38</v>
      </c>
      <c r="G1905" s="1" t="s">
        <v>68</v>
      </c>
      <c r="H1905" s="1" t="s">
        <v>35</v>
      </c>
      <c r="I1905" s="1" t="s">
        <v>36</v>
      </c>
      <c r="J1905" s="1" t="s">
        <v>76</v>
      </c>
      <c r="K1905" s="1" t="s">
        <v>77</v>
      </c>
      <c r="L1905" s="1">
        <v>9</v>
      </c>
      <c r="M1905" s="13">
        <v>3852.76</v>
      </c>
      <c r="N1905" s="15">
        <v>0.08</v>
      </c>
      <c r="O1905" s="13">
        <v>26003.08</v>
      </c>
      <c r="P1905" s="13">
        <v>7426.65</v>
      </c>
      <c r="Q1905" s="13">
        <v>50.19</v>
      </c>
      <c r="R1905" s="1" t="s">
        <v>70</v>
      </c>
      <c r="S1905" s="1">
        <v>5</v>
      </c>
      <c r="T1905" s="1" t="b">
        <v>0</v>
      </c>
      <c r="U1905" s="1" t="s">
        <v>39</v>
      </c>
      <c r="V1905" s="3">
        <v>9</v>
      </c>
    </row>
    <row r="1906" spans="1:22" x14ac:dyDescent="0.3">
      <c r="A1906" s="2" t="s">
        <v>4305</v>
      </c>
      <c r="B1906" s="10">
        <v>44117</v>
      </c>
      <c r="C1906" s="22">
        <v>44117</v>
      </c>
      <c r="D1906" s="1" t="s">
        <v>4306</v>
      </c>
      <c r="E1906" s="1" t="s">
        <v>878</v>
      </c>
      <c r="F1906" s="1">
        <v>26</v>
      </c>
      <c r="G1906" s="1" t="s">
        <v>24</v>
      </c>
      <c r="H1906" s="1" t="s">
        <v>25</v>
      </c>
      <c r="I1906" s="1" t="s">
        <v>170</v>
      </c>
      <c r="J1906" s="1" t="s">
        <v>146</v>
      </c>
      <c r="K1906" s="1" t="s">
        <v>276</v>
      </c>
      <c r="L1906" s="1">
        <v>10</v>
      </c>
      <c r="M1906" s="13">
        <v>2882</v>
      </c>
      <c r="N1906" s="15">
        <v>0.03</v>
      </c>
      <c r="O1906" s="13">
        <v>25085.42</v>
      </c>
      <c r="P1906" s="13">
        <v>5947.27</v>
      </c>
      <c r="Q1906" s="13">
        <v>58.31</v>
      </c>
      <c r="R1906" s="1" t="s">
        <v>51</v>
      </c>
      <c r="S1906" s="1">
        <v>5</v>
      </c>
      <c r="T1906" s="1" t="b">
        <v>0</v>
      </c>
      <c r="U1906" s="1" t="s">
        <v>39</v>
      </c>
      <c r="V1906" s="3">
        <v>9</v>
      </c>
    </row>
    <row r="1907" spans="1:22" x14ac:dyDescent="0.3">
      <c r="A1907" s="2" t="s">
        <v>4307</v>
      </c>
      <c r="B1907" s="10">
        <v>44639</v>
      </c>
      <c r="C1907" s="22">
        <v>44639</v>
      </c>
      <c r="D1907" s="1" t="s">
        <v>4308</v>
      </c>
      <c r="E1907" s="1" t="s">
        <v>2161</v>
      </c>
      <c r="F1907" s="1">
        <v>50</v>
      </c>
      <c r="G1907" s="1" t="s">
        <v>34</v>
      </c>
      <c r="H1907" s="1" t="s">
        <v>82</v>
      </c>
      <c r="I1907" s="1" t="s">
        <v>83</v>
      </c>
      <c r="J1907" s="1" t="s">
        <v>44</v>
      </c>
      <c r="K1907" s="1" t="s">
        <v>93</v>
      </c>
      <c r="L1907" s="1">
        <v>6</v>
      </c>
      <c r="M1907" s="13">
        <v>14556.36</v>
      </c>
      <c r="N1907" s="15">
        <v>0.03</v>
      </c>
      <c r="O1907" s="13">
        <v>99451.13</v>
      </c>
      <c r="P1907" s="13">
        <v>38970.92</v>
      </c>
      <c r="Q1907" s="13">
        <v>88.32</v>
      </c>
      <c r="R1907" s="1" t="s">
        <v>51</v>
      </c>
      <c r="S1907" s="1">
        <v>3</v>
      </c>
      <c r="T1907" s="1" t="b">
        <v>0</v>
      </c>
      <c r="U1907" s="1" t="s">
        <v>39</v>
      </c>
      <c r="V1907" s="3">
        <v>9</v>
      </c>
    </row>
    <row r="1908" spans="1:22" x14ac:dyDescent="0.3">
      <c r="A1908" s="2" t="s">
        <v>4309</v>
      </c>
      <c r="B1908" s="10">
        <v>44696</v>
      </c>
      <c r="C1908" s="22">
        <v>44696</v>
      </c>
      <c r="D1908" s="1" t="s">
        <v>4310</v>
      </c>
      <c r="E1908" s="1" t="s">
        <v>1335</v>
      </c>
      <c r="F1908" s="1">
        <v>27</v>
      </c>
      <c r="G1908" s="1" t="s">
        <v>24</v>
      </c>
      <c r="H1908" s="1" t="s">
        <v>35</v>
      </c>
      <c r="I1908" s="1" t="s">
        <v>43</v>
      </c>
      <c r="J1908" s="1" t="s">
        <v>27</v>
      </c>
      <c r="K1908" s="1" t="s">
        <v>450</v>
      </c>
      <c r="L1908" s="1">
        <v>7</v>
      </c>
      <c r="M1908" s="13">
        <v>92.16</v>
      </c>
      <c r="N1908" s="15">
        <v>0.12</v>
      </c>
      <c r="O1908" s="13">
        <v>864.08</v>
      </c>
      <c r="P1908" s="13">
        <v>53.74</v>
      </c>
      <c r="Q1908" s="13">
        <v>65.930000000000007</v>
      </c>
      <c r="R1908" s="1" t="s">
        <v>64</v>
      </c>
      <c r="S1908" s="1">
        <v>3</v>
      </c>
      <c r="T1908" s="1" t="b">
        <v>0</v>
      </c>
      <c r="U1908" s="1" t="s">
        <v>39</v>
      </c>
      <c r="V1908" s="3">
        <v>2</v>
      </c>
    </row>
    <row r="1909" spans="1:22" x14ac:dyDescent="0.3">
      <c r="A1909" s="2" t="s">
        <v>4311</v>
      </c>
      <c r="B1909" s="10">
        <v>43992</v>
      </c>
      <c r="C1909" s="22">
        <v>43992</v>
      </c>
      <c r="D1909" s="1" t="s">
        <v>4312</v>
      </c>
      <c r="E1909" s="1" t="s">
        <v>1596</v>
      </c>
      <c r="F1909" s="1">
        <v>34</v>
      </c>
      <c r="G1909" s="1" t="s">
        <v>24</v>
      </c>
      <c r="H1909" s="1" t="s">
        <v>25</v>
      </c>
      <c r="I1909" s="1" t="s">
        <v>69</v>
      </c>
      <c r="J1909" s="1" t="s">
        <v>146</v>
      </c>
      <c r="K1909" s="1" t="s">
        <v>217</v>
      </c>
      <c r="L1909" s="1">
        <v>3</v>
      </c>
      <c r="M1909" s="13">
        <v>6440.36</v>
      </c>
      <c r="N1909" s="15">
        <v>7.0000000000000007E-2</v>
      </c>
      <c r="O1909" s="13">
        <v>22706.45</v>
      </c>
      <c r="P1909" s="13">
        <v>4999.3999999999996</v>
      </c>
      <c r="Q1909" s="13">
        <v>42.43</v>
      </c>
      <c r="R1909" s="1" t="s">
        <v>70</v>
      </c>
      <c r="S1909" s="1">
        <v>4</v>
      </c>
      <c r="T1909" s="1" t="b">
        <v>0</v>
      </c>
      <c r="U1909" s="1" t="s">
        <v>39</v>
      </c>
      <c r="V1909" s="3">
        <v>8</v>
      </c>
    </row>
    <row r="1910" spans="1:22" x14ac:dyDescent="0.3">
      <c r="A1910" s="2" t="s">
        <v>4313</v>
      </c>
      <c r="B1910" s="10">
        <v>43912</v>
      </c>
      <c r="C1910" s="22">
        <v>43912</v>
      </c>
      <c r="D1910" s="1" t="s">
        <v>4314</v>
      </c>
      <c r="E1910" s="1" t="s">
        <v>1201</v>
      </c>
      <c r="F1910" s="1">
        <v>27</v>
      </c>
      <c r="G1910" s="1" t="s">
        <v>24</v>
      </c>
      <c r="H1910" s="1" t="s">
        <v>111</v>
      </c>
      <c r="I1910" s="1" t="s">
        <v>112</v>
      </c>
      <c r="J1910" s="1" t="s">
        <v>44</v>
      </c>
      <c r="K1910" s="1" t="s">
        <v>93</v>
      </c>
      <c r="L1910" s="1">
        <v>2</v>
      </c>
      <c r="M1910" s="13">
        <v>25170.77</v>
      </c>
      <c r="N1910" s="15">
        <v>0.27</v>
      </c>
      <c r="O1910" s="13">
        <v>36389.699999999997</v>
      </c>
      <c r="P1910" s="13">
        <v>9365.3799999999992</v>
      </c>
      <c r="Q1910" s="13">
        <v>87.67</v>
      </c>
      <c r="R1910" s="1" t="s">
        <v>64</v>
      </c>
      <c r="S1910" s="1">
        <v>3</v>
      </c>
      <c r="T1910" s="1" t="b">
        <v>0</v>
      </c>
      <c r="U1910" s="1" t="s">
        <v>39</v>
      </c>
      <c r="V1910" s="3">
        <v>10</v>
      </c>
    </row>
    <row r="1911" spans="1:22" x14ac:dyDescent="0.3">
      <c r="A1911" s="2" t="s">
        <v>4315</v>
      </c>
      <c r="B1911" s="10">
        <v>45577</v>
      </c>
      <c r="C1911" s="22">
        <v>45577</v>
      </c>
      <c r="D1911" s="1" t="s">
        <v>4316</v>
      </c>
      <c r="E1911" s="1" t="s">
        <v>1166</v>
      </c>
      <c r="F1911" s="1">
        <v>50</v>
      </c>
      <c r="G1911" s="1" t="s">
        <v>68</v>
      </c>
      <c r="H1911" s="1" t="s">
        <v>25</v>
      </c>
      <c r="I1911" s="1" t="s">
        <v>170</v>
      </c>
      <c r="J1911" s="1" t="s">
        <v>127</v>
      </c>
      <c r="K1911" s="1" t="s">
        <v>142</v>
      </c>
      <c r="L1911" s="1">
        <v>4</v>
      </c>
      <c r="M1911" s="13">
        <v>40360.699999999997</v>
      </c>
      <c r="N1911" s="15">
        <v>0.05</v>
      </c>
      <c r="O1911" s="13">
        <v>182429.15</v>
      </c>
      <c r="P1911" s="13">
        <v>25030.400000000001</v>
      </c>
      <c r="Q1911" s="13">
        <v>36.28</v>
      </c>
      <c r="R1911" s="1" t="s">
        <v>29</v>
      </c>
      <c r="S1911" s="1">
        <v>1</v>
      </c>
      <c r="T1911" s="1" t="b">
        <v>0</v>
      </c>
      <c r="U1911" s="1" t="s">
        <v>39</v>
      </c>
      <c r="V1911" s="3">
        <v>10</v>
      </c>
    </row>
    <row r="1912" spans="1:22" x14ac:dyDescent="0.3">
      <c r="A1912" s="2" t="s">
        <v>4317</v>
      </c>
      <c r="B1912" s="10">
        <v>45114</v>
      </c>
      <c r="C1912" s="22">
        <v>45114</v>
      </c>
      <c r="D1912" s="1" t="s">
        <v>4318</v>
      </c>
      <c r="E1912" s="1" t="s">
        <v>665</v>
      </c>
      <c r="F1912" s="1">
        <v>39</v>
      </c>
      <c r="G1912" s="1" t="s">
        <v>34</v>
      </c>
      <c r="H1912" s="1" t="s">
        <v>35</v>
      </c>
      <c r="I1912" s="1" t="s">
        <v>43</v>
      </c>
      <c r="J1912" s="1" t="s">
        <v>146</v>
      </c>
      <c r="K1912" s="1" t="s">
        <v>276</v>
      </c>
      <c r="L1912" s="1">
        <v>8</v>
      </c>
      <c r="M1912" s="13">
        <v>3387.86</v>
      </c>
      <c r="N1912" s="15">
        <v>0.24</v>
      </c>
      <c r="O1912" s="13">
        <v>29752.47</v>
      </c>
      <c r="P1912" s="13">
        <v>7208.56</v>
      </c>
      <c r="Q1912" s="13">
        <v>47.15</v>
      </c>
      <c r="R1912" s="1" t="s">
        <v>64</v>
      </c>
      <c r="S1912" s="1">
        <v>5</v>
      </c>
      <c r="T1912" s="1" t="b">
        <v>1</v>
      </c>
      <c r="U1912" s="1" t="s">
        <v>30</v>
      </c>
      <c r="V1912" s="3">
        <v>7</v>
      </c>
    </row>
    <row r="1913" spans="1:22" x14ac:dyDescent="0.3">
      <c r="A1913" s="2" t="s">
        <v>4319</v>
      </c>
      <c r="B1913" s="10">
        <v>45595</v>
      </c>
      <c r="C1913" s="22">
        <v>45595</v>
      </c>
      <c r="D1913" s="1" t="s">
        <v>4320</v>
      </c>
      <c r="E1913" s="1" t="s">
        <v>3518</v>
      </c>
      <c r="F1913" s="1">
        <v>24</v>
      </c>
      <c r="G1913" s="1" t="s">
        <v>34</v>
      </c>
      <c r="H1913" s="1" t="s">
        <v>82</v>
      </c>
      <c r="I1913" s="1" t="s">
        <v>244</v>
      </c>
      <c r="J1913" s="1" t="s">
        <v>76</v>
      </c>
      <c r="K1913" s="1" t="s">
        <v>207</v>
      </c>
      <c r="L1913" s="1">
        <v>5</v>
      </c>
      <c r="M1913" s="13">
        <v>1995.56</v>
      </c>
      <c r="N1913" s="15">
        <v>0.39</v>
      </c>
      <c r="O1913" s="13">
        <v>1555.54</v>
      </c>
      <c r="P1913" s="13">
        <v>614.77</v>
      </c>
      <c r="Q1913" s="13">
        <v>64.19</v>
      </c>
      <c r="R1913" s="1" t="s">
        <v>29</v>
      </c>
      <c r="S1913" s="1">
        <v>2</v>
      </c>
      <c r="T1913" s="1" t="b">
        <v>0</v>
      </c>
      <c r="U1913" s="1" t="s">
        <v>39</v>
      </c>
      <c r="V1913" s="3">
        <v>3</v>
      </c>
    </row>
    <row r="1914" spans="1:22" x14ac:dyDescent="0.3">
      <c r="A1914" s="2" t="s">
        <v>4321</v>
      </c>
      <c r="B1914" s="10">
        <v>44235</v>
      </c>
      <c r="C1914" s="22">
        <v>44235</v>
      </c>
      <c r="D1914" s="1" t="s">
        <v>4322</v>
      </c>
      <c r="E1914" s="1" t="s">
        <v>314</v>
      </c>
      <c r="F1914" s="1">
        <v>20</v>
      </c>
      <c r="G1914" s="1" t="s">
        <v>24</v>
      </c>
      <c r="H1914" s="1" t="s">
        <v>35</v>
      </c>
      <c r="I1914" s="1" t="s">
        <v>36</v>
      </c>
      <c r="J1914" s="1" t="s">
        <v>76</v>
      </c>
      <c r="K1914" s="1" t="s">
        <v>122</v>
      </c>
      <c r="L1914" s="1">
        <v>4</v>
      </c>
      <c r="M1914" s="13">
        <v>781.53</v>
      </c>
      <c r="N1914" s="15">
        <v>0.03</v>
      </c>
      <c r="O1914" s="13">
        <v>2842.15</v>
      </c>
      <c r="P1914" s="13">
        <v>1255.07</v>
      </c>
      <c r="Q1914" s="13">
        <v>61.02</v>
      </c>
      <c r="R1914" s="1" t="s">
        <v>78</v>
      </c>
      <c r="S1914" s="1">
        <v>5</v>
      </c>
      <c r="T1914" s="1" t="b">
        <v>0</v>
      </c>
      <c r="U1914" s="1" t="s">
        <v>39</v>
      </c>
      <c r="V1914" s="3">
        <v>7</v>
      </c>
    </row>
    <row r="1915" spans="1:22" x14ac:dyDescent="0.3">
      <c r="A1915" s="2" t="s">
        <v>4323</v>
      </c>
      <c r="B1915" s="10">
        <v>44684</v>
      </c>
      <c r="C1915" s="22">
        <v>44684</v>
      </c>
      <c r="D1915" s="1" t="s">
        <v>4324</v>
      </c>
      <c r="E1915" s="1" t="s">
        <v>1067</v>
      </c>
      <c r="F1915" s="1">
        <v>36</v>
      </c>
      <c r="G1915" s="1" t="s">
        <v>24</v>
      </c>
      <c r="H1915" s="1" t="s">
        <v>25</v>
      </c>
      <c r="I1915" s="1" t="s">
        <v>170</v>
      </c>
      <c r="J1915" s="1" t="s">
        <v>127</v>
      </c>
      <c r="K1915" s="1" t="s">
        <v>171</v>
      </c>
      <c r="L1915" s="1">
        <v>9</v>
      </c>
      <c r="M1915" s="13">
        <v>58361.52</v>
      </c>
      <c r="N1915" s="15">
        <v>0.14000000000000001</v>
      </c>
      <c r="O1915" s="13">
        <v>656523.77</v>
      </c>
      <c r="P1915" s="13">
        <v>75288.800000000003</v>
      </c>
      <c r="Q1915" s="13">
        <v>48.7</v>
      </c>
      <c r="R1915" s="1" t="s">
        <v>64</v>
      </c>
      <c r="S1915" s="1">
        <v>3</v>
      </c>
      <c r="T1915" s="1" t="b">
        <v>0</v>
      </c>
      <c r="U1915" s="1" t="s">
        <v>39</v>
      </c>
      <c r="V1915" s="3">
        <v>6</v>
      </c>
    </row>
    <row r="1916" spans="1:22" x14ac:dyDescent="0.3">
      <c r="A1916" s="2" t="s">
        <v>4325</v>
      </c>
      <c r="B1916" s="10">
        <v>44405</v>
      </c>
      <c r="C1916" s="22">
        <v>44405</v>
      </c>
      <c r="D1916" s="1" t="s">
        <v>4326</v>
      </c>
      <c r="E1916" s="1" t="s">
        <v>764</v>
      </c>
      <c r="F1916" s="1">
        <v>50</v>
      </c>
      <c r="G1916" s="1" t="s">
        <v>24</v>
      </c>
      <c r="H1916" s="1" t="s">
        <v>25</v>
      </c>
      <c r="I1916" s="1" t="s">
        <v>26</v>
      </c>
      <c r="J1916" s="1" t="s">
        <v>62</v>
      </c>
      <c r="K1916" s="1" t="s">
        <v>570</v>
      </c>
      <c r="L1916" s="1">
        <v>9</v>
      </c>
      <c r="M1916" s="13">
        <v>303.27999999999997</v>
      </c>
      <c r="N1916" s="15">
        <v>0.16</v>
      </c>
      <c r="O1916" s="13">
        <v>2822.94</v>
      </c>
      <c r="P1916" s="13">
        <v>1428.88</v>
      </c>
      <c r="Q1916" s="13">
        <v>66.69</v>
      </c>
      <c r="R1916" s="1" t="s">
        <v>51</v>
      </c>
      <c r="S1916" s="1">
        <v>3</v>
      </c>
      <c r="T1916" s="1" t="b">
        <v>0</v>
      </c>
      <c r="U1916" s="1" t="s">
        <v>84</v>
      </c>
      <c r="V1916" s="3">
        <v>6</v>
      </c>
    </row>
    <row r="1917" spans="1:22" x14ac:dyDescent="0.3">
      <c r="A1917" s="2" t="s">
        <v>4327</v>
      </c>
      <c r="B1917" s="10">
        <v>44917</v>
      </c>
      <c r="C1917" s="22">
        <v>44917</v>
      </c>
      <c r="D1917" s="1" t="s">
        <v>4328</v>
      </c>
      <c r="E1917" s="1" t="s">
        <v>770</v>
      </c>
      <c r="F1917" s="1">
        <v>21</v>
      </c>
      <c r="G1917" s="1" t="s">
        <v>68</v>
      </c>
      <c r="H1917" s="1" t="s">
        <v>74</v>
      </c>
      <c r="I1917" s="1" t="s">
        <v>75</v>
      </c>
      <c r="J1917" s="1" t="s">
        <v>127</v>
      </c>
      <c r="K1917" s="1" t="s">
        <v>128</v>
      </c>
      <c r="L1917" s="1">
        <v>5</v>
      </c>
      <c r="M1917" s="13">
        <v>48591.01</v>
      </c>
      <c r="N1917" s="15">
        <v>0.14000000000000001</v>
      </c>
      <c r="O1917" s="13">
        <v>155853.93</v>
      </c>
      <c r="P1917" s="13">
        <v>14342.24</v>
      </c>
      <c r="Q1917" s="13">
        <v>67.81</v>
      </c>
      <c r="R1917" s="1" t="s">
        <v>29</v>
      </c>
      <c r="S1917" s="1">
        <v>5</v>
      </c>
      <c r="T1917" s="1" t="b">
        <v>0</v>
      </c>
      <c r="U1917" s="1" t="s">
        <v>39</v>
      </c>
      <c r="V1917" s="3">
        <v>2</v>
      </c>
    </row>
    <row r="1918" spans="1:22" x14ac:dyDescent="0.3">
      <c r="A1918" s="2" t="s">
        <v>4329</v>
      </c>
      <c r="B1918" s="10">
        <v>44902</v>
      </c>
      <c r="C1918" s="22">
        <v>44902</v>
      </c>
      <c r="D1918" s="1" t="s">
        <v>4330</v>
      </c>
      <c r="E1918" s="1" t="s">
        <v>931</v>
      </c>
      <c r="F1918" s="1">
        <v>35</v>
      </c>
      <c r="G1918" s="1" t="s">
        <v>24</v>
      </c>
      <c r="H1918" s="1" t="s">
        <v>25</v>
      </c>
      <c r="I1918" s="1" t="s">
        <v>170</v>
      </c>
      <c r="J1918" s="1" t="s">
        <v>27</v>
      </c>
      <c r="K1918" s="1" t="s">
        <v>28</v>
      </c>
      <c r="L1918" s="1">
        <v>1</v>
      </c>
      <c r="M1918" s="13">
        <v>211.63</v>
      </c>
      <c r="N1918" s="15">
        <v>0.34</v>
      </c>
      <c r="O1918" s="13">
        <v>100.19</v>
      </c>
      <c r="P1918" s="13">
        <v>8.8000000000000007</v>
      </c>
      <c r="Q1918" s="13">
        <v>38.35</v>
      </c>
      <c r="R1918" s="1" t="s">
        <v>57</v>
      </c>
      <c r="S1918" s="1">
        <v>3</v>
      </c>
      <c r="T1918" s="1" t="b">
        <v>0</v>
      </c>
      <c r="U1918" s="1" t="s">
        <v>39</v>
      </c>
      <c r="V1918" s="3">
        <v>6</v>
      </c>
    </row>
    <row r="1919" spans="1:22" x14ac:dyDescent="0.3">
      <c r="A1919" s="2" t="s">
        <v>4331</v>
      </c>
      <c r="B1919" s="10">
        <v>43954</v>
      </c>
      <c r="C1919" s="22">
        <v>43954</v>
      </c>
      <c r="D1919" s="1" t="s">
        <v>4332</v>
      </c>
      <c r="E1919" s="1" t="s">
        <v>164</v>
      </c>
      <c r="F1919" s="1">
        <v>37</v>
      </c>
      <c r="G1919" s="1" t="s">
        <v>24</v>
      </c>
      <c r="H1919" s="1" t="s">
        <v>82</v>
      </c>
      <c r="I1919" s="1" t="s">
        <v>126</v>
      </c>
      <c r="J1919" s="1" t="s">
        <v>37</v>
      </c>
      <c r="K1919" s="1" t="s">
        <v>454</v>
      </c>
      <c r="L1919" s="1">
        <v>4</v>
      </c>
      <c r="M1919" s="13">
        <v>206.46</v>
      </c>
      <c r="N1919" s="15">
        <v>0.08</v>
      </c>
      <c r="O1919" s="13">
        <v>835.93</v>
      </c>
      <c r="P1919" s="13">
        <v>232.93</v>
      </c>
      <c r="Q1919" s="13">
        <v>62.51</v>
      </c>
      <c r="R1919" s="1" t="s">
        <v>29</v>
      </c>
      <c r="S1919" s="1">
        <v>1</v>
      </c>
      <c r="T1919" s="1" t="b">
        <v>0</v>
      </c>
      <c r="U1919" s="1" t="s">
        <v>39</v>
      </c>
      <c r="V1919" s="3">
        <v>9</v>
      </c>
    </row>
    <row r="1920" spans="1:22" x14ac:dyDescent="0.3">
      <c r="A1920" s="2" t="s">
        <v>4333</v>
      </c>
      <c r="B1920" s="10">
        <v>44539</v>
      </c>
      <c r="C1920" s="22">
        <v>44539</v>
      </c>
      <c r="D1920" s="1" t="s">
        <v>4334</v>
      </c>
      <c r="E1920" s="1" t="s">
        <v>440</v>
      </c>
      <c r="F1920" s="1">
        <v>25</v>
      </c>
      <c r="G1920" s="1" t="s">
        <v>68</v>
      </c>
      <c r="H1920" s="1" t="s">
        <v>82</v>
      </c>
      <c r="I1920" s="1" t="s">
        <v>83</v>
      </c>
      <c r="J1920" s="1" t="s">
        <v>146</v>
      </c>
      <c r="K1920" s="1" t="s">
        <v>484</v>
      </c>
      <c r="L1920" s="1">
        <v>6</v>
      </c>
      <c r="M1920" s="13">
        <v>12768.97</v>
      </c>
      <c r="N1920" s="15">
        <v>0.03</v>
      </c>
      <c r="O1920" s="13">
        <v>54563.15</v>
      </c>
      <c r="P1920" s="13">
        <v>14418.02</v>
      </c>
      <c r="Q1920" s="13">
        <v>94.15</v>
      </c>
      <c r="R1920" s="1" t="s">
        <v>29</v>
      </c>
      <c r="S1920" s="1">
        <v>5</v>
      </c>
      <c r="T1920" s="1" t="b">
        <v>0</v>
      </c>
      <c r="U1920" s="1" t="s">
        <v>39</v>
      </c>
      <c r="V1920" s="3">
        <v>2</v>
      </c>
    </row>
    <row r="1921" spans="1:22" x14ac:dyDescent="0.3">
      <c r="A1921" s="2" t="s">
        <v>4335</v>
      </c>
      <c r="B1921" s="10">
        <v>45493</v>
      </c>
      <c r="C1921" s="22">
        <v>45493</v>
      </c>
      <c r="D1921" s="1" t="s">
        <v>4336</v>
      </c>
      <c r="E1921" s="1" t="s">
        <v>1996</v>
      </c>
      <c r="F1921" s="1">
        <v>20</v>
      </c>
      <c r="G1921" s="1" t="s">
        <v>68</v>
      </c>
      <c r="H1921" s="1" t="s">
        <v>35</v>
      </c>
      <c r="I1921" s="1" t="s">
        <v>49</v>
      </c>
      <c r="J1921" s="1" t="s">
        <v>62</v>
      </c>
      <c r="K1921" s="1" t="s">
        <v>266</v>
      </c>
      <c r="L1921" s="1">
        <v>9</v>
      </c>
      <c r="M1921" s="13">
        <v>872.17</v>
      </c>
      <c r="N1921" s="15">
        <v>0.28000000000000003</v>
      </c>
      <c r="O1921" s="13">
        <v>9875.31</v>
      </c>
      <c r="P1921" s="13">
        <v>3131.98</v>
      </c>
      <c r="Q1921" s="13">
        <v>23.1</v>
      </c>
      <c r="R1921" s="1" t="s">
        <v>64</v>
      </c>
      <c r="S1921" s="1">
        <v>2</v>
      </c>
      <c r="T1921" s="1" t="b">
        <v>0</v>
      </c>
      <c r="U1921" s="1" t="s">
        <v>39</v>
      </c>
      <c r="V1921" s="3">
        <v>4</v>
      </c>
    </row>
    <row r="1922" spans="1:22" x14ac:dyDescent="0.3">
      <c r="A1922" s="2" t="s">
        <v>4337</v>
      </c>
      <c r="B1922" s="10">
        <v>44304</v>
      </c>
      <c r="C1922" s="22">
        <v>44304</v>
      </c>
      <c r="D1922" s="1" t="s">
        <v>4338</v>
      </c>
      <c r="E1922" s="1" t="s">
        <v>973</v>
      </c>
      <c r="F1922" s="1">
        <v>44</v>
      </c>
      <c r="G1922" s="1" t="s">
        <v>68</v>
      </c>
      <c r="H1922" s="1" t="s">
        <v>111</v>
      </c>
      <c r="I1922" s="1" t="s">
        <v>121</v>
      </c>
      <c r="J1922" s="1" t="s">
        <v>146</v>
      </c>
      <c r="K1922" s="1" t="s">
        <v>147</v>
      </c>
      <c r="L1922" s="1">
        <v>1</v>
      </c>
      <c r="M1922" s="13">
        <v>736.98</v>
      </c>
      <c r="N1922" s="15">
        <v>0.23</v>
      </c>
      <c r="O1922" s="13">
        <v>690.69</v>
      </c>
      <c r="P1922" s="13">
        <v>150.91999999999999</v>
      </c>
      <c r="Q1922" s="13">
        <v>65.86</v>
      </c>
      <c r="R1922" s="1" t="s">
        <v>70</v>
      </c>
      <c r="S1922" s="1">
        <v>1</v>
      </c>
      <c r="T1922" s="1" t="b">
        <v>1</v>
      </c>
      <c r="U1922" s="1" t="s">
        <v>30</v>
      </c>
      <c r="V1922" s="3">
        <v>7</v>
      </c>
    </row>
    <row r="1923" spans="1:22" x14ac:dyDescent="0.3">
      <c r="A1923" s="2" t="s">
        <v>4339</v>
      </c>
      <c r="B1923" s="10">
        <v>45223</v>
      </c>
      <c r="C1923" s="22">
        <v>45223</v>
      </c>
      <c r="D1923" s="1" t="s">
        <v>4340</v>
      </c>
      <c r="E1923" s="1" t="s">
        <v>3402</v>
      </c>
      <c r="F1923" s="1">
        <v>33</v>
      </c>
      <c r="G1923" s="1" t="s">
        <v>34</v>
      </c>
      <c r="H1923" s="1" t="s">
        <v>82</v>
      </c>
      <c r="I1923" s="1" t="s">
        <v>83</v>
      </c>
      <c r="J1923" s="1" t="s">
        <v>37</v>
      </c>
      <c r="K1923" s="1" t="s">
        <v>182</v>
      </c>
      <c r="L1923" s="1">
        <v>4</v>
      </c>
      <c r="M1923" s="13">
        <v>1214.7</v>
      </c>
      <c r="N1923" s="15">
        <v>0.35</v>
      </c>
      <c r="O1923" s="13">
        <v>3082.23</v>
      </c>
      <c r="P1923" s="13">
        <v>1134.31</v>
      </c>
      <c r="Q1923" s="13">
        <v>101.88</v>
      </c>
      <c r="R1923" s="1" t="s">
        <v>51</v>
      </c>
      <c r="S1923" s="1">
        <v>4</v>
      </c>
      <c r="T1923" s="1" t="b">
        <v>0</v>
      </c>
      <c r="U1923" s="1" t="s">
        <v>39</v>
      </c>
      <c r="V1923" s="3">
        <v>4</v>
      </c>
    </row>
    <row r="1924" spans="1:22" x14ac:dyDescent="0.3">
      <c r="A1924" s="2" t="s">
        <v>4341</v>
      </c>
      <c r="B1924" s="10">
        <v>44617</v>
      </c>
      <c r="C1924" s="22">
        <v>44617</v>
      </c>
      <c r="D1924" s="1" t="s">
        <v>4342</v>
      </c>
      <c r="E1924" s="1" t="s">
        <v>681</v>
      </c>
      <c r="F1924" s="1">
        <v>28</v>
      </c>
      <c r="G1924" s="1" t="s">
        <v>24</v>
      </c>
      <c r="H1924" s="1" t="s">
        <v>82</v>
      </c>
      <c r="I1924" s="1" t="s">
        <v>126</v>
      </c>
      <c r="J1924" s="1" t="s">
        <v>37</v>
      </c>
      <c r="K1924" s="1" t="s">
        <v>182</v>
      </c>
      <c r="L1924" s="1">
        <v>2</v>
      </c>
      <c r="M1924" s="13">
        <v>2223.4699999999998</v>
      </c>
      <c r="N1924" s="15">
        <v>0.28000000000000003</v>
      </c>
      <c r="O1924" s="13">
        <v>3216.13</v>
      </c>
      <c r="P1924" s="13">
        <v>1585.85</v>
      </c>
      <c r="Q1924" s="13">
        <v>71.53</v>
      </c>
      <c r="R1924" s="1" t="s">
        <v>29</v>
      </c>
      <c r="S1924" s="1">
        <v>5</v>
      </c>
      <c r="T1924" s="1" t="b">
        <v>0</v>
      </c>
      <c r="U1924" s="1" t="s">
        <v>39</v>
      </c>
      <c r="V1924" s="3">
        <v>10</v>
      </c>
    </row>
    <row r="1925" spans="1:22" x14ac:dyDescent="0.3">
      <c r="A1925" s="2" t="s">
        <v>4343</v>
      </c>
      <c r="B1925" s="10">
        <v>43885</v>
      </c>
      <c r="C1925" s="22">
        <v>43885</v>
      </c>
      <c r="D1925" s="1" t="s">
        <v>4344</v>
      </c>
      <c r="E1925" s="1" t="s">
        <v>105</v>
      </c>
      <c r="F1925" s="1">
        <v>40</v>
      </c>
      <c r="G1925" s="1" t="s">
        <v>34</v>
      </c>
      <c r="H1925" s="1" t="s">
        <v>35</v>
      </c>
      <c r="I1925" s="1" t="s">
        <v>43</v>
      </c>
      <c r="J1925" s="1" t="s">
        <v>76</v>
      </c>
      <c r="K1925" s="1" t="s">
        <v>207</v>
      </c>
      <c r="L1925" s="1">
        <v>7</v>
      </c>
      <c r="M1925" s="13">
        <v>2365.37</v>
      </c>
      <c r="N1925" s="15">
        <v>0.23</v>
      </c>
      <c r="O1925" s="13">
        <v>11584.23</v>
      </c>
      <c r="P1925" s="13">
        <v>4400.45</v>
      </c>
      <c r="Q1925" s="13">
        <v>58.83</v>
      </c>
      <c r="R1925" s="1" t="s">
        <v>57</v>
      </c>
      <c r="S1925" s="1">
        <v>5</v>
      </c>
      <c r="T1925" s="1" t="b">
        <v>0</v>
      </c>
      <c r="U1925" s="1" t="s">
        <v>39</v>
      </c>
      <c r="V1925" s="3">
        <v>3</v>
      </c>
    </row>
    <row r="1926" spans="1:22" x14ac:dyDescent="0.3">
      <c r="A1926" s="2" t="s">
        <v>4345</v>
      </c>
      <c r="B1926" s="10">
        <v>44745</v>
      </c>
      <c r="C1926" s="22">
        <v>44745</v>
      </c>
      <c r="D1926" s="1" t="s">
        <v>4346</v>
      </c>
      <c r="E1926" s="1" t="s">
        <v>177</v>
      </c>
      <c r="F1926" s="1">
        <v>47</v>
      </c>
      <c r="G1926" s="1" t="s">
        <v>24</v>
      </c>
      <c r="H1926" s="1" t="s">
        <v>82</v>
      </c>
      <c r="I1926" s="1" t="s">
        <v>244</v>
      </c>
      <c r="J1926" s="1" t="s">
        <v>27</v>
      </c>
      <c r="K1926" s="1" t="s">
        <v>28</v>
      </c>
      <c r="L1926" s="1">
        <v>9</v>
      </c>
      <c r="M1926" s="13">
        <v>402.48</v>
      </c>
      <c r="N1926" s="15">
        <v>0.34</v>
      </c>
      <c r="O1926" s="13">
        <v>3545.6</v>
      </c>
      <c r="P1926" s="13">
        <v>235.12</v>
      </c>
      <c r="Q1926" s="13">
        <v>108.84</v>
      </c>
      <c r="R1926" s="1" t="s">
        <v>70</v>
      </c>
      <c r="S1926" s="1">
        <v>5</v>
      </c>
      <c r="T1926" s="1" t="b">
        <v>0</v>
      </c>
      <c r="U1926" s="1" t="s">
        <v>39</v>
      </c>
      <c r="V1926" s="3">
        <v>1</v>
      </c>
    </row>
    <row r="1927" spans="1:22" x14ac:dyDescent="0.3">
      <c r="A1927" s="2" t="s">
        <v>4347</v>
      </c>
      <c r="B1927" s="10">
        <v>43923</v>
      </c>
      <c r="C1927" s="22">
        <v>43923</v>
      </c>
      <c r="D1927" s="1" t="s">
        <v>4348</v>
      </c>
      <c r="E1927" s="1" t="s">
        <v>2110</v>
      </c>
      <c r="F1927" s="1">
        <v>27</v>
      </c>
      <c r="G1927" s="1" t="s">
        <v>68</v>
      </c>
      <c r="H1927" s="1" t="s">
        <v>25</v>
      </c>
      <c r="I1927" s="1" t="s">
        <v>55</v>
      </c>
      <c r="J1927" s="1" t="s">
        <v>27</v>
      </c>
      <c r="K1927" s="1" t="s">
        <v>450</v>
      </c>
      <c r="L1927" s="1">
        <v>3</v>
      </c>
      <c r="M1927" s="13">
        <v>263.48</v>
      </c>
      <c r="N1927" s="15">
        <v>0.27</v>
      </c>
      <c r="O1927" s="13">
        <v>622.58000000000004</v>
      </c>
      <c r="P1927" s="13">
        <v>55.39</v>
      </c>
      <c r="Q1927" s="13">
        <v>77.89</v>
      </c>
      <c r="R1927" s="1" t="s">
        <v>29</v>
      </c>
      <c r="S1927" s="1">
        <v>2</v>
      </c>
      <c r="T1927" s="1" t="b">
        <v>0</v>
      </c>
      <c r="U1927" s="1" t="s">
        <v>137</v>
      </c>
      <c r="V1927" s="3">
        <v>3</v>
      </c>
    </row>
    <row r="1928" spans="1:22" x14ac:dyDescent="0.3">
      <c r="A1928" s="2" t="s">
        <v>4349</v>
      </c>
      <c r="B1928" s="10">
        <v>44279</v>
      </c>
      <c r="C1928" s="22">
        <v>44279</v>
      </c>
      <c r="D1928" s="1" t="s">
        <v>4350</v>
      </c>
      <c r="E1928" s="1" t="s">
        <v>1425</v>
      </c>
      <c r="F1928" s="1">
        <v>36</v>
      </c>
      <c r="G1928" s="1" t="s">
        <v>68</v>
      </c>
      <c r="H1928" s="1" t="s">
        <v>35</v>
      </c>
      <c r="I1928" s="1" t="s">
        <v>49</v>
      </c>
      <c r="J1928" s="1" t="s">
        <v>37</v>
      </c>
      <c r="K1928" s="1" t="s">
        <v>182</v>
      </c>
      <c r="L1928" s="1">
        <v>8</v>
      </c>
      <c r="M1928" s="13">
        <v>1335.25</v>
      </c>
      <c r="N1928" s="15">
        <v>0.12</v>
      </c>
      <c r="O1928" s="13">
        <v>9435.3799999999992</v>
      </c>
      <c r="P1928" s="13">
        <v>4980.08</v>
      </c>
      <c r="Q1928" s="13">
        <v>64.56</v>
      </c>
      <c r="R1928" s="1" t="s">
        <v>57</v>
      </c>
      <c r="S1928" s="1">
        <v>2</v>
      </c>
      <c r="T1928" s="1" t="b">
        <v>0</v>
      </c>
      <c r="U1928" s="1" t="s">
        <v>84</v>
      </c>
      <c r="V1928" s="3">
        <v>1</v>
      </c>
    </row>
    <row r="1929" spans="1:22" x14ac:dyDescent="0.3">
      <c r="A1929" s="2" t="s">
        <v>4351</v>
      </c>
      <c r="B1929" s="10">
        <v>45463</v>
      </c>
      <c r="C1929" s="22">
        <v>45463</v>
      </c>
      <c r="D1929" s="1" t="s">
        <v>4352</v>
      </c>
      <c r="E1929" s="1" t="s">
        <v>1229</v>
      </c>
      <c r="F1929" s="1">
        <v>19</v>
      </c>
      <c r="G1929" s="1" t="s">
        <v>68</v>
      </c>
      <c r="H1929" s="1" t="s">
        <v>111</v>
      </c>
      <c r="I1929" s="1" t="s">
        <v>330</v>
      </c>
      <c r="J1929" s="1" t="s">
        <v>27</v>
      </c>
      <c r="K1929" s="1" t="s">
        <v>97</v>
      </c>
      <c r="L1929" s="1">
        <v>9</v>
      </c>
      <c r="M1929" s="13">
        <v>293.41000000000003</v>
      </c>
      <c r="N1929" s="15">
        <v>0.09</v>
      </c>
      <c r="O1929" s="13">
        <v>4375.33</v>
      </c>
      <c r="P1929" s="13">
        <v>353.37</v>
      </c>
      <c r="Q1929" s="13">
        <v>78.569999999999993</v>
      </c>
      <c r="R1929" s="1" t="s">
        <v>51</v>
      </c>
      <c r="S1929" s="1">
        <v>5</v>
      </c>
      <c r="T1929" s="1" t="b">
        <v>0</v>
      </c>
      <c r="U1929" s="1" t="s">
        <v>39</v>
      </c>
      <c r="V1929" s="3">
        <v>8</v>
      </c>
    </row>
    <row r="1930" spans="1:22" x14ac:dyDescent="0.3">
      <c r="A1930" s="2" t="s">
        <v>4353</v>
      </c>
      <c r="B1930" s="10">
        <v>43978</v>
      </c>
      <c r="C1930" s="22">
        <v>43978</v>
      </c>
      <c r="D1930" s="1" t="s">
        <v>4354</v>
      </c>
      <c r="E1930" s="1" t="s">
        <v>1399</v>
      </c>
      <c r="F1930" s="1">
        <v>34</v>
      </c>
      <c r="G1930" s="1" t="s">
        <v>24</v>
      </c>
      <c r="H1930" s="1" t="s">
        <v>111</v>
      </c>
      <c r="I1930" s="1" t="s">
        <v>121</v>
      </c>
      <c r="J1930" s="1" t="s">
        <v>37</v>
      </c>
      <c r="K1930" s="1" t="s">
        <v>102</v>
      </c>
      <c r="L1930" s="1">
        <v>9</v>
      </c>
      <c r="M1930" s="13">
        <v>444.71</v>
      </c>
      <c r="N1930" s="15">
        <v>0.03</v>
      </c>
      <c r="O1930" s="13">
        <v>4995.33</v>
      </c>
      <c r="P1930" s="13">
        <v>3217.96</v>
      </c>
      <c r="Q1930" s="13">
        <v>88.85</v>
      </c>
      <c r="R1930" s="1" t="s">
        <v>78</v>
      </c>
      <c r="S1930" s="1">
        <v>3</v>
      </c>
      <c r="T1930" s="1" t="b">
        <v>0</v>
      </c>
      <c r="U1930" s="1" t="s">
        <v>39</v>
      </c>
      <c r="V1930" s="3">
        <v>6</v>
      </c>
    </row>
    <row r="1931" spans="1:22" x14ac:dyDescent="0.3">
      <c r="A1931" s="2" t="s">
        <v>4355</v>
      </c>
      <c r="B1931" s="10">
        <v>45371</v>
      </c>
      <c r="C1931" s="22">
        <v>45371</v>
      </c>
      <c r="D1931" s="1" t="s">
        <v>4356</v>
      </c>
      <c r="E1931" s="1" t="s">
        <v>814</v>
      </c>
      <c r="F1931" s="1">
        <v>30</v>
      </c>
      <c r="G1931" s="1" t="s">
        <v>24</v>
      </c>
      <c r="H1931" s="1" t="s">
        <v>82</v>
      </c>
      <c r="I1931" s="1" t="s">
        <v>126</v>
      </c>
      <c r="J1931" s="1" t="s">
        <v>127</v>
      </c>
      <c r="K1931" s="1" t="s">
        <v>128</v>
      </c>
      <c r="L1931" s="1">
        <v>6</v>
      </c>
      <c r="M1931" s="13">
        <v>68505.67</v>
      </c>
      <c r="N1931" s="15">
        <v>0.28000000000000003</v>
      </c>
      <c r="O1931" s="13">
        <v>367164.54</v>
      </c>
      <c r="P1931" s="13">
        <v>51349.21</v>
      </c>
      <c r="Q1931" s="13">
        <v>111.8</v>
      </c>
      <c r="R1931" s="1" t="s">
        <v>51</v>
      </c>
      <c r="S1931" s="1">
        <v>1</v>
      </c>
      <c r="T1931" s="1" t="b">
        <v>0</v>
      </c>
      <c r="U1931" s="1" t="s">
        <v>39</v>
      </c>
      <c r="V1931" s="3">
        <v>1</v>
      </c>
    </row>
    <row r="1932" spans="1:22" x14ac:dyDescent="0.3">
      <c r="A1932" s="2" t="s">
        <v>4357</v>
      </c>
      <c r="B1932" s="10">
        <v>45477</v>
      </c>
      <c r="C1932" s="22">
        <v>45477</v>
      </c>
      <c r="D1932" s="1" t="s">
        <v>4358</v>
      </c>
      <c r="E1932" s="1" t="s">
        <v>1865</v>
      </c>
      <c r="F1932" s="1">
        <v>29</v>
      </c>
      <c r="G1932" s="1" t="s">
        <v>34</v>
      </c>
      <c r="H1932" s="1" t="s">
        <v>35</v>
      </c>
      <c r="I1932" s="1" t="s">
        <v>49</v>
      </c>
      <c r="J1932" s="1" t="s">
        <v>76</v>
      </c>
      <c r="K1932" s="1" t="s">
        <v>113</v>
      </c>
      <c r="L1932" s="1">
        <v>7</v>
      </c>
      <c r="M1932" s="13">
        <v>3302.83</v>
      </c>
      <c r="N1932" s="15">
        <v>7.0000000000000007E-2</v>
      </c>
      <c r="O1932" s="13">
        <v>35762.76</v>
      </c>
      <c r="P1932" s="13">
        <v>10582.26</v>
      </c>
      <c r="Q1932" s="13">
        <v>67.27</v>
      </c>
      <c r="R1932" s="1" t="s">
        <v>29</v>
      </c>
      <c r="S1932" s="1">
        <v>2</v>
      </c>
      <c r="T1932" s="1" t="b">
        <v>0</v>
      </c>
      <c r="U1932" s="1" t="s">
        <v>137</v>
      </c>
      <c r="V1932" s="3">
        <v>3</v>
      </c>
    </row>
    <row r="1933" spans="1:22" x14ac:dyDescent="0.3">
      <c r="A1933" s="2" t="s">
        <v>4359</v>
      </c>
      <c r="B1933" s="10">
        <v>45423</v>
      </c>
      <c r="C1933" s="22">
        <v>45423</v>
      </c>
      <c r="D1933" s="1" t="s">
        <v>4360</v>
      </c>
      <c r="E1933" s="1" t="s">
        <v>1555</v>
      </c>
      <c r="F1933" s="1">
        <v>22</v>
      </c>
      <c r="G1933" s="1" t="s">
        <v>68</v>
      </c>
      <c r="H1933" s="1" t="s">
        <v>35</v>
      </c>
      <c r="I1933" s="1" t="s">
        <v>49</v>
      </c>
      <c r="J1933" s="1" t="s">
        <v>62</v>
      </c>
      <c r="K1933" s="1" t="s">
        <v>63</v>
      </c>
      <c r="L1933" s="1">
        <v>1</v>
      </c>
      <c r="M1933" s="13">
        <v>824.98</v>
      </c>
      <c r="N1933" s="15">
        <v>0.04</v>
      </c>
      <c r="O1933" s="13">
        <v>1484.35</v>
      </c>
      <c r="P1933" s="13">
        <v>718.2</v>
      </c>
      <c r="Q1933" s="13">
        <v>58.06</v>
      </c>
      <c r="R1933" s="1" t="s">
        <v>51</v>
      </c>
      <c r="S1933" s="1">
        <v>5</v>
      </c>
      <c r="T1933" s="1" t="b">
        <v>0</v>
      </c>
      <c r="U1933" s="1" t="s">
        <v>39</v>
      </c>
      <c r="V1933" s="3">
        <v>3</v>
      </c>
    </row>
    <row r="1934" spans="1:22" x14ac:dyDescent="0.3">
      <c r="A1934" s="2" t="s">
        <v>4361</v>
      </c>
      <c r="B1934" s="10">
        <v>44940</v>
      </c>
      <c r="C1934" s="22">
        <v>44940</v>
      </c>
      <c r="D1934" s="1" t="s">
        <v>4362</v>
      </c>
      <c r="E1934" s="1" t="s">
        <v>502</v>
      </c>
      <c r="F1934" s="1">
        <v>37</v>
      </c>
      <c r="G1934" s="1" t="s">
        <v>24</v>
      </c>
      <c r="H1934" s="1" t="s">
        <v>35</v>
      </c>
      <c r="I1934" s="1" t="s">
        <v>106</v>
      </c>
      <c r="J1934" s="1" t="s">
        <v>44</v>
      </c>
      <c r="K1934" s="1" t="s">
        <v>221</v>
      </c>
      <c r="L1934" s="1">
        <v>5</v>
      </c>
      <c r="M1934" s="13">
        <v>9906.7099999999991</v>
      </c>
      <c r="N1934" s="15">
        <v>0.34</v>
      </c>
      <c r="O1934" s="13">
        <v>6687.73</v>
      </c>
      <c r="P1934" s="13">
        <v>1816.22</v>
      </c>
      <c r="Q1934" s="13">
        <v>51.63</v>
      </c>
      <c r="R1934" s="1" t="s">
        <v>51</v>
      </c>
      <c r="S1934" s="1">
        <v>3</v>
      </c>
      <c r="T1934" s="1" t="b">
        <v>0</v>
      </c>
      <c r="U1934" s="1" t="s">
        <v>39</v>
      </c>
      <c r="V1934" s="3">
        <v>8</v>
      </c>
    </row>
    <row r="1935" spans="1:22" x14ac:dyDescent="0.3">
      <c r="A1935" s="2" t="s">
        <v>4363</v>
      </c>
      <c r="B1935" s="10">
        <v>44908</v>
      </c>
      <c r="C1935" s="22">
        <v>44908</v>
      </c>
      <c r="D1935" s="1" t="s">
        <v>4364</v>
      </c>
      <c r="E1935" s="1" t="s">
        <v>684</v>
      </c>
      <c r="F1935" s="1">
        <v>41</v>
      </c>
      <c r="G1935" s="1" t="s">
        <v>24</v>
      </c>
      <c r="H1935" s="1" t="s">
        <v>111</v>
      </c>
      <c r="I1935" s="1" t="s">
        <v>112</v>
      </c>
      <c r="J1935" s="1" t="s">
        <v>146</v>
      </c>
      <c r="K1935" s="1" t="s">
        <v>161</v>
      </c>
      <c r="L1935" s="1">
        <v>5</v>
      </c>
      <c r="M1935" s="13">
        <v>2414.2800000000002</v>
      </c>
      <c r="N1935" s="15">
        <v>0.09</v>
      </c>
      <c r="O1935" s="13">
        <v>1901.73</v>
      </c>
      <c r="P1935" s="13">
        <v>492.59</v>
      </c>
      <c r="Q1935" s="13">
        <v>53.13</v>
      </c>
      <c r="R1935" s="1" t="s">
        <v>78</v>
      </c>
      <c r="S1935" s="1">
        <v>4</v>
      </c>
      <c r="T1935" s="1" t="b">
        <v>0</v>
      </c>
      <c r="U1935" s="1" t="s">
        <v>39</v>
      </c>
      <c r="V1935" s="3">
        <v>6</v>
      </c>
    </row>
    <row r="1936" spans="1:22" x14ac:dyDescent="0.3">
      <c r="A1936" s="2" t="s">
        <v>4365</v>
      </c>
      <c r="B1936" s="10">
        <v>45380</v>
      </c>
      <c r="C1936" s="22">
        <v>45380</v>
      </c>
      <c r="D1936" s="1" t="s">
        <v>4366</v>
      </c>
      <c r="E1936" s="1" t="s">
        <v>1899</v>
      </c>
      <c r="F1936" s="1">
        <v>38</v>
      </c>
      <c r="G1936" s="1" t="s">
        <v>68</v>
      </c>
      <c r="H1936" s="1" t="s">
        <v>25</v>
      </c>
      <c r="I1936" s="1" t="s">
        <v>55</v>
      </c>
      <c r="J1936" s="1" t="s">
        <v>62</v>
      </c>
      <c r="K1936" s="1" t="s">
        <v>151</v>
      </c>
      <c r="L1936" s="1">
        <v>9</v>
      </c>
      <c r="M1936" s="13">
        <v>1349.22</v>
      </c>
      <c r="N1936" s="15">
        <v>0.35</v>
      </c>
      <c r="O1936" s="13">
        <v>10275.52</v>
      </c>
      <c r="P1936" s="13">
        <v>4070.89</v>
      </c>
      <c r="Q1936" s="13">
        <v>35.54</v>
      </c>
      <c r="R1936" s="1" t="s">
        <v>64</v>
      </c>
      <c r="S1936" s="1">
        <v>3</v>
      </c>
      <c r="T1936" s="1" t="b">
        <v>0</v>
      </c>
      <c r="U1936" s="1" t="s">
        <v>39</v>
      </c>
      <c r="V1936" s="3">
        <v>3</v>
      </c>
    </row>
    <row r="1937" spans="1:22" x14ac:dyDescent="0.3">
      <c r="A1937" s="2" t="s">
        <v>4367</v>
      </c>
      <c r="B1937" s="10">
        <v>45291</v>
      </c>
      <c r="C1937" s="22">
        <v>45291</v>
      </c>
      <c r="D1937" s="1" t="s">
        <v>4368</v>
      </c>
      <c r="E1937" s="1" t="s">
        <v>2286</v>
      </c>
      <c r="F1937" s="1">
        <v>49</v>
      </c>
      <c r="G1937" s="1" t="s">
        <v>34</v>
      </c>
      <c r="H1937" s="1" t="s">
        <v>111</v>
      </c>
      <c r="I1937" s="1" t="s">
        <v>330</v>
      </c>
      <c r="J1937" s="1" t="s">
        <v>127</v>
      </c>
      <c r="K1937" s="1" t="s">
        <v>196</v>
      </c>
      <c r="L1937" s="1">
        <v>9</v>
      </c>
      <c r="M1937" s="13">
        <v>15045.24</v>
      </c>
      <c r="N1937" s="15">
        <v>0.38</v>
      </c>
      <c r="O1937" s="13">
        <v>72139.33</v>
      </c>
      <c r="P1937" s="13">
        <v>9548.15</v>
      </c>
      <c r="Q1937" s="13">
        <v>70.61</v>
      </c>
      <c r="R1937" s="1" t="s">
        <v>29</v>
      </c>
      <c r="S1937" s="1">
        <v>1</v>
      </c>
      <c r="T1937" s="1" t="b">
        <v>0</v>
      </c>
      <c r="U1937" s="1" t="s">
        <v>39</v>
      </c>
      <c r="V1937" s="3">
        <v>6</v>
      </c>
    </row>
    <row r="1938" spans="1:22" x14ac:dyDescent="0.3">
      <c r="A1938" s="2" t="s">
        <v>4369</v>
      </c>
      <c r="B1938" s="10">
        <v>45593</v>
      </c>
      <c r="C1938" s="22">
        <v>45593</v>
      </c>
      <c r="D1938" s="1" t="s">
        <v>4370</v>
      </c>
      <c r="E1938" s="1" t="s">
        <v>349</v>
      </c>
      <c r="F1938" s="1">
        <v>38</v>
      </c>
      <c r="G1938" s="1" t="s">
        <v>68</v>
      </c>
      <c r="H1938" s="1" t="s">
        <v>111</v>
      </c>
      <c r="I1938" s="1" t="s">
        <v>121</v>
      </c>
      <c r="J1938" s="1" t="s">
        <v>27</v>
      </c>
      <c r="K1938" s="1" t="s">
        <v>400</v>
      </c>
      <c r="L1938" s="1">
        <v>10</v>
      </c>
      <c r="M1938" s="13">
        <v>86.55</v>
      </c>
      <c r="N1938" s="15">
        <v>0.27</v>
      </c>
      <c r="O1938" s="13">
        <v>746.03</v>
      </c>
      <c r="P1938" s="13">
        <v>63.53</v>
      </c>
      <c r="Q1938" s="13">
        <v>71.97</v>
      </c>
      <c r="R1938" s="1" t="s">
        <v>64</v>
      </c>
      <c r="S1938" s="1">
        <v>3</v>
      </c>
      <c r="T1938" s="1" t="b">
        <v>0</v>
      </c>
      <c r="U1938" s="1" t="s">
        <v>39</v>
      </c>
      <c r="V1938" s="3">
        <v>5</v>
      </c>
    </row>
    <row r="1939" spans="1:22" x14ac:dyDescent="0.3">
      <c r="A1939" s="2" t="s">
        <v>4371</v>
      </c>
      <c r="B1939" s="10">
        <v>45030</v>
      </c>
      <c r="C1939" s="22">
        <v>45030</v>
      </c>
      <c r="D1939" s="1" t="s">
        <v>4372</v>
      </c>
      <c r="E1939" s="1" t="s">
        <v>1681</v>
      </c>
      <c r="F1939" s="1">
        <v>11</v>
      </c>
      <c r="G1939" s="1" t="s">
        <v>34</v>
      </c>
      <c r="H1939" s="1" t="s">
        <v>74</v>
      </c>
      <c r="I1939" s="1" t="s">
        <v>75</v>
      </c>
      <c r="J1939" s="1" t="s">
        <v>27</v>
      </c>
      <c r="K1939" s="1" t="s">
        <v>56</v>
      </c>
      <c r="L1939" s="1">
        <v>4</v>
      </c>
      <c r="M1939" s="13">
        <v>201.51</v>
      </c>
      <c r="N1939" s="15">
        <v>0.18</v>
      </c>
      <c r="O1939" s="13">
        <v>1001.11</v>
      </c>
      <c r="P1939" s="13">
        <v>75.38</v>
      </c>
      <c r="Q1939" s="13">
        <v>28.85</v>
      </c>
      <c r="R1939" s="1" t="s">
        <v>51</v>
      </c>
      <c r="S1939" s="1">
        <v>2</v>
      </c>
      <c r="T1939" s="1" t="b">
        <v>0</v>
      </c>
      <c r="U1939" s="1" t="s">
        <v>84</v>
      </c>
      <c r="V1939" s="3">
        <v>9</v>
      </c>
    </row>
    <row r="1940" spans="1:22" x14ac:dyDescent="0.3">
      <c r="A1940" s="2" t="s">
        <v>4373</v>
      </c>
      <c r="B1940" s="10">
        <v>45410</v>
      </c>
      <c r="C1940" s="22">
        <v>45410</v>
      </c>
      <c r="D1940" s="1" t="s">
        <v>1676</v>
      </c>
      <c r="E1940" s="1" t="s">
        <v>1176</v>
      </c>
      <c r="F1940" s="1">
        <v>11</v>
      </c>
      <c r="G1940" s="1" t="s">
        <v>68</v>
      </c>
      <c r="H1940" s="1" t="s">
        <v>82</v>
      </c>
      <c r="I1940" s="1" t="s">
        <v>244</v>
      </c>
      <c r="J1940" s="1" t="s">
        <v>127</v>
      </c>
      <c r="K1940" s="1" t="s">
        <v>128</v>
      </c>
      <c r="L1940" s="1">
        <v>2</v>
      </c>
      <c r="M1940" s="13">
        <v>73369.399999999994</v>
      </c>
      <c r="N1940" s="15">
        <v>0.04</v>
      </c>
      <c r="O1940" s="13">
        <v>252848.3</v>
      </c>
      <c r="P1940" s="13">
        <v>40757.279999999999</v>
      </c>
      <c r="Q1940" s="13">
        <v>78.31</v>
      </c>
      <c r="R1940" s="1" t="s">
        <v>51</v>
      </c>
      <c r="S1940" s="1">
        <v>5</v>
      </c>
      <c r="T1940" s="1" t="b">
        <v>0</v>
      </c>
      <c r="U1940" s="1" t="s">
        <v>39</v>
      </c>
      <c r="V1940" s="3">
        <v>3</v>
      </c>
    </row>
    <row r="1941" spans="1:22" x14ac:dyDescent="0.3">
      <c r="A1941" s="2" t="s">
        <v>4374</v>
      </c>
      <c r="B1941" s="10">
        <v>44192</v>
      </c>
      <c r="C1941" s="22">
        <v>44192</v>
      </c>
      <c r="D1941" s="1" t="s">
        <v>465</v>
      </c>
      <c r="E1941" s="1" t="s">
        <v>4375</v>
      </c>
      <c r="F1941" s="1">
        <v>39</v>
      </c>
      <c r="G1941" s="1" t="s">
        <v>34</v>
      </c>
      <c r="H1941" s="1" t="s">
        <v>35</v>
      </c>
      <c r="I1941" s="1" t="s">
        <v>43</v>
      </c>
      <c r="J1941" s="1" t="s">
        <v>76</v>
      </c>
      <c r="K1941" s="1" t="s">
        <v>132</v>
      </c>
      <c r="L1941" s="1">
        <v>3</v>
      </c>
      <c r="M1941" s="13">
        <v>487.67</v>
      </c>
      <c r="N1941" s="15">
        <v>0.18</v>
      </c>
      <c r="O1941" s="13">
        <v>822.61</v>
      </c>
      <c r="P1941" s="13">
        <v>342.21</v>
      </c>
      <c r="Q1941" s="13">
        <v>83.7</v>
      </c>
      <c r="R1941" s="1" t="s">
        <v>64</v>
      </c>
      <c r="S1941" s="1">
        <v>3</v>
      </c>
      <c r="T1941" s="1" t="b">
        <v>0</v>
      </c>
      <c r="U1941" s="1" t="s">
        <v>39</v>
      </c>
      <c r="V1941" s="3">
        <v>7</v>
      </c>
    </row>
    <row r="1942" spans="1:22" x14ac:dyDescent="0.3">
      <c r="A1942" s="2" t="s">
        <v>4376</v>
      </c>
      <c r="B1942" s="10">
        <v>44610</v>
      </c>
      <c r="C1942" s="22">
        <v>44610</v>
      </c>
      <c r="D1942" s="1" t="s">
        <v>4377</v>
      </c>
      <c r="E1942" s="1" t="s">
        <v>716</v>
      </c>
      <c r="F1942" s="1">
        <v>45</v>
      </c>
      <c r="G1942" s="1" t="s">
        <v>24</v>
      </c>
      <c r="H1942" s="1" t="s">
        <v>25</v>
      </c>
      <c r="I1942" s="1" t="s">
        <v>69</v>
      </c>
      <c r="J1942" s="1" t="s">
        <v>37</v>
      </c>
      <c r="K1942" s="1" t="s">
        <v>38</v>
      </c>
      <c r="L1942" s="1">
        <v>3</v>
      </c>
      <c r="M1942" s="13">
        <v>1152.55</v>
      </c>
      <c r="N1942" s="15">
        <v>0.19</v>
      </c>
      <c r="O1942" s="13">
        <v>3015.35</v>
      </c>
      <c r="P1942" s="13">
        <v>955.16</v>
      </c>
      <c r="Q1942" s="13">
        <v>65.06</v>
      </c>
      <c r="R1942" s="1" t="s">
        <v>64</v>
      </c>
      <c r="S1942" s="1">
        <v>1</v>
      </c>
      <c r="T1942" s="1" t="b">
        <v>0</v>
      </c>
      <c r="U1942" s="1" t="s">
        <v>39</v>
      </c>
      <c r="V1942" s="3">
        <v>2</v>
      </c>
    </row>
    <row r="1943" spans="1:22" x14ac:dyDescent="0.3">
      <c r="A1943" s="2" t="s">
        <v>4378</v>
      </c>
      <c r="B1943" s="10">
        <v>44647</v>
      </c>
      <c r="C1943" s="22">
        <v>44647</v>
      </c>
      <c r="D1943" s="1" t="s">
        <v>4379</v>
      </c>
      <c r="E1943" s="1" t="s">
        <v>2161</v>
      </c>
      <c r="F1943" s="1">
        <v>30</v>
      </c>
      <c r="G1943" s="1" t="s">
        <v>68</v>
      </c>
      <c r="H1943" s="1" t="s">
        <v>25</v>
      </c>
      <c r="I1943" s="1" t="s">
        <v>69</v>
      </c>
      <c r="J1943" s="1" t="s">
        <v>127</v>
      </c>
      <c r="K1943" s="1" t="s">
        <v>142</v>
      </c>
      <c r="L1943" s="1">
        <v>2</v>
      </c>
      <c r="M1943" s="13">
        <v>58913.07</v>
      </c>
      <c r="N1943" s="15">
        <v>0.37</v>
      </c>
      <c r="O1943" s="13">
        <v>86706.37</v>
      </c>
      <c r="P1943" s="13">
        <v>9273.59</v>
      </c>
      <c r="Q1943" s="13">
        <v>54.91</v>
      </c>
      <c r="R1943" s="1" t="s">
        <v>64</v>
      </c>
      <c r="S1943" s="1">
        <v>2</v>
      </c>
      <c r="T1943" s="1" t="b">
        <v>0</v>
      </c>
      <c r="U1943" s="1" t="s">
        <v>137</v>
      </c>
      <c r="V1943" s="3">
        <v>3</v>
      </c>
    </row>
    <row r="1944" spans="1:22" x14ac:dyDescent="0.3">
      <c r="A1944" s="2" t="s">
        <v>4380</v>
      </c>
      <c r="B1944" s="10">
        <v>45438</v>
      </c>
      <c r="C1944" s="22">
        <v>45438</v>
      </c>
      <c r="D1944" s="1" t="s">
        <v>4381</v>
      </c>
      <c r="E1944" s="1" t="s">
        <v>1091</v>
      </c>
      <c r="F1944" s="1">
        <v>30</v>
      </c>
      <c r="G1944" s="1" t="s">
        <v>34</v>
      </c>
      <c r="H1944" s="1" t="s">
        <v>82</v>
      </c>
      <c r="I1944" s="1" t="s">
        <v>83</v>
      </c>
      <c r="J1944" s="1" t="s">
        <v>44</v>
      </c>
      <c r="K1944" s="1" t="s">
        <v>45</v>
      </c>
      <c r="L1944" s="1">
        <v>9</v>
      </c>
      <c r="M1944" s="13">
        <v>10404.799999999999</v>
      </c>
      <c r="N1944" s="15">
        <v>0.35</v>
      </c>
      <c r="O1944" s="13">
        <v>103669.31</v>
      </c>
      <c r="P1944" s="13">
        <v>24976.75</v>
      </c>
      <c r="Q1944" s="13">
        <v>83.45</v>
      </c>
      <c r="R1944" s="1" t="s">
        <v>70</v>
      </c>
      <c r="S1944" s="1">
        <v>1</v>
      </c>
      <c r="T1944" s="1" t="b">
        <v>0</v>
      </c>
      <c r="U1944" s="1" t="s">
        <v>39</v>
      </c>
      <c r="V1944" s="3">
        <v>6</v>
      </c>
    </row>
    <row r="1945" spans="1:22" x14ac:dyDescent="0.3">
      <c r="A1945" s="2" t="s">
        <v>4382</v>
      </c>
      <c r="B1945" s="10">
        <v>44371</v>
      </c>
      <c r="C1945" s="22">
        <v>44371</v>
      </c>
      <c r="D1945" s="1" t="s">
        <v>4383</v>
      </c>
      <c r="E1945" s="1" t="s">
        <v>624</v>
      </c>
      <c r="F1945" s="1">
        <v>8</v>
      </c>
      <c r="G1945" s="1" t="s">
        <v>24</v>
      </c>
      <c r="H1945" s="1" t="s">
        <v>111</v>
      </c>
      <c r="I1945" s="1" t="s">
        <v>330</v>
      </c>
      <c r="J1945" s="1" t="s">
        <v>37</v>
      </c>
      <c r="K1945" s="1" t="s">
        <v>102</v>
      </c>
      <c r="L1945" s="1">
        <v>8</v>
      </c>
      <c r="M1945" s="13">
        <v>955.87</v>
      </c>
      <c r="N1945" s="15">
        <v>0.36</v>
      </c>
      <c r="O1945" s="13">
        <v>6752.84</v>
      </c>
      <c r="P1945" s="13">
        <v>2339.64</v>
      </c>
      <c r="Q1945" s="13">
        <v>64.84</v>
      </c>
      <c r="R1945" s="1" t="s">
        <v>70</v>
      </c>
      <c r="S1945" s="1">
        <v>2</v>
      </c>
      <c r="T1945" s="1" t="b">
        <v>0</v>
      </c>
      <c r="U1945" s="1" t="s">
        <v>39</v>
      </c>
      <c r="V1945" s="3">
        <v>8</v>
      </c>
    </row>
    <row r="1946" spans="1:22" x14ac:dyDescent="0.3">
      <c r="A1946" s="2" t="s">
        <v>4384</v>
      </c>
      <c r="B1946" s="10">
        <v>45404</v>
      </c>
      <c r="C1946" s="22">
        <v>45404</v>
      </c>
      <c r="D1946" s="1" t="s">
        <v>4385</v>
      </c>
      <c r="E1946" s="1" t="s">
        <v>403</v>
      </c>
      <c r="F1946" s="1">
        <v>29</v>
      </c>
      <c r="G1946" s="1" t="s">
        <v>34</v>
      </c>
      <c r="H1946" s="1" t="s">
        <v>74</v>
      </c>
      <c r="I1946" s="1" t="s">
        <v>101</v>
      </c>
      <c r="J1946" s="1" t="s">
        <v>127</v>
      </c>
      <c r="K1946" s="1" t="s">
        <v>142</v>
      </c>
      <c r="L1946" s="1">
        <v>10</v>
      </c>
      <c r="M1946" s="13">
        <v>74580.77</v>
      </c>
      <c r="N1946" s="15">
        <v>0.23</v>
      </c>
      <c r="O1946" s="13">
        <v>804932.74</v>
      </c>
      <c r="P1946" s="13">
        <v>82687.350000000006</v>
      </c>
      <c r="Q1946" s="13">
        <v>42.09</v>
      </c>
      <c r="R1946" s="1" t="s">
        <v>29</v>
      </c>
      <c r="S1946" s="1">
        <v>3</v>
      </c>
      <c r="T1946" s="1" t="b">
        <v>0</v>
      </c>
      <c r="U1946" s="1" t="s">
        <v>39</v>
      </c>
      <c r="V1946" s="3">
        <v>10</v>
      </c>
    </row>
    <row r="1947" spans="1:22" x14ac:dyDescent="0.3">
      <c r="A1947" s="2" t="s">
        <v>4386</v>
      </c>
      <c r="B1947" s="10">
        <v>45114</v>
      </c>
      <c r="C1947" s="22">
        <v>45114</v>
      </c>
      <c r="D1947" s="1" t="s">
        <v>4387</v>
      </c>
      <c r="E1947" s="1" t="s">
        <v>4375</v>
      </c>
      <c r="F1947" s="1">
        <v>33</v>
      </c>
      <c r="G1947" s="1" t="s">
        <v>88</v>
      </c>
      <c r="H1947" s="1" t="s">
        <v>74</v>
      </c>
      <c r="I1947" s="1" t="s">
        <v>192</v>
      </c>
      <c r="J1947" s="1" t="s">
        <v>146</v>
      </c>
      <c r="K1947" s="1" t="s">
        <v>484</v>
      </c>
      <c r="L1947" s="1">
        <v>7</v>
      </c>
      <c r="M1947" s="13">
        <v>8842.83</v>
      </c>
      <c r="N1947" s="15">
        <v>0.34</v>
      </c>
      <c r="O1947" s="13">
        <v>62506.61</v>
      </c>
      <c r="P1947" s="13">
        <v>13120.8</v>
      </c>
      <c r="Q1947" s="13">
        <v>39.72</v>
      </c>
      <c r="R1947" s="1" t="s">
        <v>70</v>
      </c>
      <c r="S1947" s="1">
        <v>3</v>
      </c>
      <c r="T1947" s="1" t="b">
        <v>0</v>
      </c>
      <c r="U1947" s="1" t="s">
        <v>39</v>
      </c>
      <c r="V1947" s="3">
        <v>8</v>
      </c>
    </row>
    <row r="1948" spans="1:22" x14ac:dyDescent="0.3">
      <c r="A1948" s="2" t="s">
        <v>4388</v>
      </c>
      <c r="B1948" s="10">
        <v>44674</v>
      </c>
      <c r="C1948" s="22">
        <v>44674</v>
      </c>
      <c r="D1948" s="1" t="s">
        <v>4389</v>
      </c>
      <c r="E1948" s="1" t="s">
        <v>603</v>
      </c>
      <c r="F1948" s="1">
        <v>34</v>
      </c>
      <c r="G1948" s="1" t="s">
        <v>24</v>
      </c>
      <c r="H1948" s="1" t="s">
        <v>111</v>
      </c>
      <c r="I1948" s="1" t="s">
        <v>112</v>
      </c>
      <c r="J1948" s="1" t="s">
        <v>146</v>
      </c>
      <c r="K1948" s="1" t="s">
        <v>276</v>
      </c>
      <c r="L1948" s="1">
        <v>3</v>
      </c>
      <c r="M1948" s="13">
        <v>12939.84</v>
      </c>
      <c r="N1948" s="15">
        <v>0.06</v>
      </c>
      <c r="O1948" s="13">
        <v>52303.18</v>
      </c>
      <c r="P1948" s="13">
        <v>13163.15</v>
      </c>
      <c r="Q1948" s="13">
        <v>55.28</v>
      </c>
      <c r="R1948" s="1" t="s">
        <v>64</v>
      </c>
      <c r="S1948" s="1">
        <v>1</v>
      </c>
      <c r="T1948" s="1" t="b">
        <v>1</v>
      </c>
      <c r="U1948" s="1" t="s">
        <v>30</v>
      </c>
      <c r="V1948" s="3">
        <v>3</v>
      </c>
    </row>
    <row r="1949" spans="1:22" x14ac:dyDescent="0.3">
      <c r="A1949" s="2" t="s">
        <v>4390</v>
      </c>
      <c r="B1949" s="10">
        <v>44624</v>
      </c>
      <c r="C1949" s="22">
        <v>44624</v>
      </c>
      <c r="D1949" s="1" t="s">
        <v>4391</v>
      </c>
      <c r="E1949" s="1" t="s">
        <v>48</v>
      </c>
      <c r="F1949" s="1">
        <v>46</v>
      </c>
      <c r="G1949" s="1" t="s">
        <v>68</v>
      </c>
      <c r="H1949" s="1" t="s">
        <v>35</v>
      </c>
      <c r="I1949" s="1" t="s">
        <v>49</v>
      </c>
      <c r="J1949" s="1" t="s">
        <v>62</v>
      </c>
      <c r="K1949" s="1" t="s">
        <v>283</v>
      </c>
      <c r="L1949" s="1">
        <v>9</v>
      </c>
      <c r="M1949" s="13">
        <v>1062.8699999999999</v>
      </c>
      <c r="N1949" s="15">
        <v>0.06</v>
      </c>
      <c r="O1949" s="13">
        <v>10261.94</v>
      </c>
      <c r="P1949" s="13">
        <v>4417.8500000000004</v>
      </c>
      <c r="Q1949" s="13">
        <v>54.68</v>
      </c>
      <c r="R1949" s="1" t="s">
        <v>51</v>
      </c>
      <c r="S1949" s="1">
        <v>1</v>
      </c>
      <c r="T1949" s="1" t="b">
        <v>0</v>
      </c>
      <c r="U1949" s="1" t="s">
        <v>39</v>
      </c>
      <c r="V1949" s="3">
        <v>8</v>
      </c>
    </row>
    <row r="1950" spans="1:22" x14ac:dyDescent="0.3">
      <c r="A1950" s="2" t="s">
        <v>4392</v>
      </c>
      <c r="B1950" s="10">
        <v>44435</v>
      </c>
      <c r="C1950" s="22">
        <v>44435</v>
      </c>
      <c r="D1950" s="1" t="s">
        <v>4393</v>
      </c>
      <c r="E1950" s="1" t="s">
        <v>1335</v>
      </c>
      <c r="F1950" s="1">
        <v>34</v>
      </c>
      <c r="G1950" s="1" t="s">
        <v>88</v>
      </c>
      <c r="H1950" s="1" t="s">
        <v>74</v>
      </c>
      <c r="I1950" s="1" t="s">
        <v>101</v>
      </c>
      <c r="J1950" s="1" t="s">
        <v>127</v>
      </c>
      <c r="K1950" s="1" t="s">
        <v>517</v>
      </c>
      <c r="L1950" s="1">
        <v>3</v>
      </c>
      <c r="M1950" s="13">
        <v>59808.51</v>
      </c>
      <c r="N1950" s="15">
        <v>0.34</v>
      </c>
      <c r="O1950" s="13">
        <v>150513.04</v>
      </c>
      <c r="P1950" s="13">
        <v>13600.78</v>
      </c>
      <c r="Q1950" s="13">
        <v>53.15</v>
      </c>
      <c r="R1950" s="1" t="s">
        <v>51</v>
      </c>
      <c r="S1950" s="1">
        <v>3</v>
      </c>
      <c r="T1950" s="1" t="b">
        <v>0</v>
      </c>
      <c r="U1950" s="1" t="s">
        <v>39</v>
      </c>
      <c r="V1950" s="3">
        <v>4</v>
      </c>
    </row>
    <row r="1951" spans="1:22" x14ac:dyDescent="0.3">
      <c r="A1951" s="2" t="s">
        <v>4394</v>
      </c>
      <c r="B1951" s="10">
        <v>44630</v>
      </c>
      <c r="C1951" s="22">
        <v>44630</v>
      </c>
      <c r="D1951" s="1" t="s">
        <v>4395</v>
      </c>
      <c r="E1951" s="1" t="s">
        <v>1541</v>
      </c>
      <c r="F1951" s="1">
        <v>44</v>
      </c>
      <c r="G1951" s="1" t="s">
        <v>34</v>
      </c>
      <c r="H1951" s="1" t="s">
        <v>35</v>
      </c>
      <c r="I1951" s="1" t="s">
        <v>106</v>
      </c>
      <c r="J1951" s="1" t="s">
        <v>127</v>
      </c>
      <c r="K1951" s="1" t="s">
        <v>171</v>
      </c>
      <c r="L1951" s="1">
        <v>8</v>
      </c>
      <c r="M1951" s="13">
        <v>33693.65</v>
      </c>
      <c r="N1951" s="15">
        <v>0.27</v>
      </c>
      <c r="O1951" s="13">
        <v>241104.48</v>
      </c>
      <c r="P1951" s="13">
        <v>26410.1</v>
      </c>
      <c r="Q1951" s="13">
        <v>80.849999999999994</v>
      </c>
      <c r="R1951" s="1" t="s">
        <v>51</v>
      </c>
      <c r="S1951" s="1">
        <v>4</v>
      </c>
      <c r="T1951" s="1" t="b">
        <v>0</v>
      </c>
      <c r="U1951" s="1" t="s">
        <v>39</v>
      </c>
      <c r="V1951" s="3">
        <v>4</v>
      </c>
    </row>
    <row r="1952" spans="1:22" x14ac:dyDescent="0.3">
      <c r="A1952" s="2" t="s">
        <v>4396</v>
      </c>
      <c r="B1952" s="10">
        <v>44635</v>
      </c>
      <c r="C1952" s="22">
        <v>44635</v>
      </c>
      <c r="D1952" s="1" t="s">
        <v>4397</v>
      </c>
      <c r="E1952" s="1" t="s">
        <v>61</v>
      </c>
      <c r="F1952" s="1">
        <v>33</v>
      </c>
      <c r="G1952" s="1" t="s">
        <v>24</v>
      </c>
      <c r="H1952" s="1" t="s">
        <v>74</v>
      </c>
      <c r="I1952" s="1" t="s">
        <v>192</v>
      </c>
      <c r="J1952" s="1" t="s">
        <v>62</v>
      </c>
      <c r="K1952" s="1" t="s">
        <v>283</v>
      </c>
      <c r="L1952" s="1">
        <v>10</v>
      </c>
      <c r="M1952" s="13">
        <v>1209.42</v>
      </c>
      <c r="N1952" s="15">
        <v>0.39</v>
      </c>
      <c r="O1952" s="13">
        <v>9490.36</v>
      </c>
      <c r="P1952" s="13">
        <v>4575.74</v>
      </c>
      <c r="Q1952" s="13">
        <v>31.85</v>
      </c>
      <c r="R1952" s="1" t="s">
        <v>70</v>
      </c>
      <c r="S1952" s="1">
        <v>3</v>
      </c>
      <c r="T1952" s="1" t="b">
        <v>0</v>
      </c>
      <c r="U1952" s="1" t="s">
        <v>39</v>
      </c>
      <c r="V1952" s="3">
        <v>6</v>
      </c>
    </row>
    <row r="1953" spans="1:22" x14ac:dyDescent="0.3">
      <c r="A1953" s="2" t="s">
        <v>4398</v>
      </c>
      <c r="B1953" s="10">
        <v>44963</v>
      </c>
      <c r="C1953" s="22">
        <v>44963</v>
      </c>
      <c r="D1953" s="1" t="s">
        <v>4399</v>
      </c>
      <c r="E1953" s="1" t="s">
        <v>174</v>
      </c>
      <c r="F1953" s="1">
        <v>27</v>
      </c>
      <c r="G1953" s="1" t="s">
        <v>34</v>
      </c>
      <c r="H1953" s="1" t="s">
        <v>111</v>
      </c>
      <c r="I1953" s="1" t="s">
        <v>141</v>
      </c>
      <c r="J1953" s="1" t="s">
        <v>76</v>
      </c>
      <c r="K1953" s="1" t="s">
        <v>77</v>
      </c>
      <c r="L1953" s="1">
        <v>7</v>
      </c>
      <c r="M1953" s="13">
        <v>3168.59</v>
      </c>
      <c r="N1953" s="15">
        <v>0.27</v>
      </c>
      <c r="O1953" s="13">
        <v>16375.14</v>
      </c>
      <c r="P1953" s="13">
        <v>4441.7299999999996</v>
      </c>
      <c r="Q1953" s="13">
        <v>88.78</v>
      </c>
      <c r="R1953" s="1" t="s">
        <v>78</v>
      </c>
      <c r="S1953" s="1">
        <v>3</v>
      </c>
      <c r="T1953" s="1" t="b">
        <v>0</v>
      </c>
      <c r="U1953" s="1" t="s">
        <v>39</v>
      </c>
      <c r="V1953" s="3">
        <v>9</v>
      </c>
    </row>
    <row r="1954" spans="1:22" x14ac:dyDescent="0.3">
      <c r="A1954" s="2" t="s">
        <v>4400</v>
      </c>
      <c r="B1954" s="10">
        <v>45463</v>
      </c>
      <c r="C1954" s="22">
        <v>45463</v>
      </c>
      <c r="D1954" s="1" t="s">
        <v>4401</v>
      </c>
      <c r="E1954" s="1" t="s">
        <v>1492</v>
      </c>
      <c r="F1954" s="1">
        <v>3</v>
      </c>
      <c r="G1954" s="1" t="s">
        <v>34</v>
      </c>
      <c r="H1954" s="1" t="s">
        <v>82</v>
      </c>
      <c r="I1954" s="1" t="s">
        <v>293</v>
      </c>
      <c r="J1954" s="1" t="s">
        <v>62</v>
      </c>
      <c r="K1954" s="1" t="s">
        <v>63</v>
      </c>
      <c r="L1954" s="1">
        <v>7</v>
      </c>
      <c r="M1954" s="13">
        <v>1488.69</v>
      </c>
      <c r="N1954" s="15">
        <v>0.23</v>
      </c>
      <c r="O1954" s="13">
        <v>14606.35</v>
      </c>
      <c r="P1954" s="13">
        <v>5456.52</v>
      </c>
      <c r="Q1954" s="13">
        <v>50.25</v>
      </c>
      <c r="R1954" s="1" t="s">
        <v>64</v>
      </c>
      <c r="S1954" s="1">
        <v>5</v>
      </c>
      <c r="T1954" s="1" t="b">
        <v>0</v>
      </c>
      <c r="U1954" s="1" t="s">
        <v>137</v>
      </c>
      <c r="V1954" s="3">
        <v>8</v>
      </c>
    </row>
    <row r="1955" spans="1:22" x14ac:dyDescent="0.3">
      <c r="A1955" s="2" t="s">
        <v>4402</v>
      </c>
      <c r="B1955" s="10">
        <v>44209</v>
      </c>
      <c r="C1955" s="22">
        <v>44209</v>
      </c>
      <c r="D1955" s="1" t="s">
        <v>4403</v>
      </c>
      <c r="E1955" s="1" t="s">
        <v>1650</v>
      </c>
      <c r="F1955" s="1">
        <v>27</v>
      </c>
      <c r="G1955" s="1" t="s">
        <v>68</v>
      </c>
      <c r="H1955" s="1" t="s">
        <v>74</v>
      </c>
      <c r="I1955" s="1" t="s">
        <v>75</v>
      </c>
      <c r="J1955" s="1" t="s">
        <v>76</v>
      </c>
      <c r="K1955" s="1" t="s">
        <v>89</v>
      </c>
      <c r="L1955" s="1">
        <v>4</v>
      </c>
      <c r="M1955" s="13">
        <v>2117.62</v>
      </c>
      <c r="N1955" s="15">
        <v>0.34</v>
      </c>
      <c r="O1955" s="13">
        <v>4971.68</v>
      </c>
      <c r="P1955" s="13">
        <v>1716.37</v>
      </c>
      <c r="Q1955" s="13">
        <v>33.130000000000003</v>
      </c>
      <c r="R1955" s="1" t="s">
        <v>70</v>
      </c>
      <c r="S1955" s="1">
        <v>5</v>
      </c>
      <c r="T1955" s="1" t="b">
        <v>0</v>
      </c>
      <c r="U1955" s="1" t="s">
        <v>39</v>
      </c>
      <c r="V1955" s="3">
        <v>7</v>
      </c>
    </row>
    <row r="1956" spans="1:22" x14ac:dyDescent="0.3">
      <c r="A1956" s="2" t="s">
        <v>4404</v>
      </c>
      <c r="B1956" s="10">
        <v>44869</v>
      </c>
      <c r="C1956" s="22">
        <v>44869</v>
      </c>
      <c r="D1956" s="1" t="s">
        <v>4405</v>
      </c>
      <c r="E1956" s="1" t="s">
        <v>357</v>
      </c>
      <c r="F1956" s="1">
        <v>46</v>
      </c>
      <c r="G1956" s="1" t="s">
        <v>24</v>
      </c>
      <c r="H1956" s="1" t="s">
        <v>111</v>
      </c>
      <c r="I1956" s="1" t="s">
        <v>112</v>
      </c>
      <c r="J1956" s="1" t="s">
        <v>127</v>
      </c>
      <c r="K1956" s="1" t="s">
        <v>142</v>
      </c>
      <c r="L1956" s="1">
        <v>8</v>
      </c>
      <c r="M1956" s="13">
        <v>45292.92</v>
      </c>
      <c r="N1956" s="15">
        <v>0.39</v>
      </c>
      <c r="O1956" s="13">
        <v>211771.49</v>
      </c>
      <c r="P1956" s="13">
        <v>23511.040000000001</v>
      </c>
      <c r="Q1956" s="13">
        <v>58.92</v>
      </c>
      <c r="R1956" s="1" t="s">
        <v>70</v>
      </c>
      <c r="S1956" s="1">
        <v>4</v>
      </c>
      <c r="T1956" s="1" t="b">
        <v>0</v>
      </c>
      <c r="U1956" s="1" t="s">
        <v>39</v>
      </c>
      <c r="V1956" s="3">
        <v>6</v>
      </c>
    </row>
    <row r="1957" spans="1:22" x14ac:dyDescent="0.3">
      <c r="A1957" s="2" t="s">
        <v>4406</v>
      </c>
      <c r="B1957" s="10">
        <v>44283</v>
      </c>
      <c r="C1957" s="22">
        <v>44283</v>
      </c>
      <c r="D1957" s="1" t="s">
        <v>4407</v>
      </c>
      <c r="E1957" s="1" t="s">
        <v>764</v>
      </c>
      <c r="F1957" s="1">
        <v>17</v>
      </c>
      <c r="G1957" s="1" t="s">
        <v>68</v>
      </c>
      <c r="H1957" s="1" t="s">
        <v>74</v>
      </c>
      <c r="I1957" s="1" t="s">
        <v>75</v>
      </c>
      <c r="J1957" s="1" t="s">
        <v>76</v>
      </c>
      <c r="K1957" s="1" t="s">
        <v>132</v>
      </c>
      <c r="L1957" s="1">
        <v>4</v>
      </c>
      <c r="M1957" s="13">
        <v>2764.14</v>
      </c>
      <c r="N1957" s="15">
        <v>0.15</v>
      </c>
      <c r="O1957" s="13">
        <v>10170.200000000001</v>
      </c>
      <c r="P1957" s="13">
        <v>3035.34</v>
      </c>
      <c r="Q1957" s="13">
        <v>56.28</v>
      </c>
      <c r="R1957" s="1" t="s">
        <v>78</v>
      </c>
      <c r="S1957" s="1">
        <v>1</v>
      </c>
      <c r="T1957" s="1" t="b">
        <v>0</v>
      </c>
      <c r="U1957" s="1" t="s">
        <v>39</v>
      </c>
      <c r="V1957" s="3">
        <v>7</v>
      </c>
    </row>
    <row r="1958" spans="1:22" x14ac:dyDescent="0.3">
      <c r="A1958" s="2" t="s">
        <v>4408</v>
      </c>
      <c r="B1958" s="10">
        <v>45523</v>
      </c>
      <c r="C1958" s="22">
        <v>45523</v>
      </c>
      <c r="D1958" s="1" t="s">
        <v>4409</v>
      </c>
      <c r="E1958" s="1" t="s">
        <v>594</v>
      </c>
      <c r="F1958" s="1">
        <v>35</v>
      </c>
      <c r="G1958" s="1" t="s">
        <v>68</v>
      </c>
      <c r="H1958" s="1" t="s">
        <v>35</v>
      </c>
      <c r="I1958" s="1" t="s">
        <v>49</v>
      </c>
      <c r="J1958" s="1" t="s">
        <v>76</v>
      </c>
      <c r="K1958" s="1" t="s">
        <v>132</v>
      </c>
      <c r="L1958" s="1">
        <v>1</v>
      </c>
      <c r="M1958" s="13">
        <v>2372.34</v>
      </c>
      <c r="N1958" s="15">
        <v>0.22</v>
      </c>
      <c r="O1958" s="13">
        <v>2718.27</v>
      </c>
      <c r="P1958" s="13">
        <v>745.68</v>
      </c>
      <c r="Q1958" s="13">
        <v>55.26</v>
      </c>
      <c r="R1958" s="1" t="s">
        <v>78</v>
      </c>
      <c r="S1958" s="1">
        <v>3</v>
      </c>
      <c r="T1958" s="1" t="b">
        <v>1</v>
      </c>
      <c r="U1958" s="1" t="s">
        <v>30</v>
      </c>
      <c r="V1958" s="3">
        <v>3</v>
      </c>
    </row>
    <row r="1959" spans="1:22" x14ac:dyDescent="0.3">
      <c r="A1959" s="2" t="s">
        <v>4410</v>
      </c>
      <c r="B1959" s="10">
        <v>44470</v>
      </c>
      <c r="C1959" s="22">
        <v>44470</v>
      </c>
      <c r="D1959" s="1" t="s">
        <v>4411</v>
      </c>
      <c r="E1959" s="1" t="s">
        <v>2130</v>
      </c>
      <c r="F1959" s="1">
        <v>46</v>
      </c>
      <c r="G1959" s="1" t="s">
        <v>24</v>
      </c>
      <c r="H1959" s="1" t="s">
        <v>74</v>
      </c>
      <c r="I1959" s="1" t="s">
        <v>192</v>
      </c>
      <c r="J1959" s="1" t="s">
        <v>27</v>
      </c>
      <c r="K1959" s="1" t="s">
        <v>430</v>
      </c>
      <c r="L1959" s="1">
        <v>3</v>
      </c>
      <c r="M1959" s="13">
        <v>437.4</v>
      </c>
      <c r="N1959" s="15">
        <v>0.24</v>
      </c>
      <c r="O1959" s="13">
        <v>697.7</v>
      </c>
      <c r="P1959" s="13">
        <v>69.739999999999995</v>
      </c>
      <c r="Q1959" s="13">
        <v>36.51</v>
      </c>
      <c r="R1959" s="1" t="s">
        <v>64</v>
      </c>
      <c r="S1959" s="1">
        <v>3</v>
      </c>
      <c r="T1959" s="1" t="b">
        <v>1</v>
      </c>
      <c r="U1959" s="1" t="s">
        <v>30</v>
      </c>
      <c r="V1959" s="3">
        <v>3</v>
      </c>
    </row>
    <row r="1960" spans="1:22" x14ac:dyDescent="0.3">
      <c r="A1960" s="2" t="s">
        <v>4412</v>
      </c>
      <c r="B1960" s="10">
        <v>44255</v>
      </c>
      <c r="C1960" s="22">
        <v>44255</v>
      </c>
      <c r="D1960" s="1" t="s">
        <v>4413</v>
      </c>
      <c r="E1960" s="1" t="s">
        <v>931</v>
      </c>
      <c r="F1960" s="1">
        <v>39</v>
      </c>
      <c r="G1960" s="1" t="s">
        <v>24</v>
      </c>
      <c r="H1960" s="1" t="s">
        <v>35</v>
      </c>
      <c r="I1960" s="1" t="s">
        <v>49</v>
      </c>
      <c r="J1960" s="1" t="s">
        <v>44</v>
      </c>
      <c r="K1960" s="1" t="s">
        <v>50</v>
      </c>
      <c r="L1960" s="1">
        <v>5</v>
      </c>
      <c r="M1960" s="13">
        <v>20432.759999999998</v>
      </c>
      <c r="N1960" s="15">
        <v>0.34</v>
      </c>
      <c r="O1960" s="13">
        <v>61498.27</v>
      </c>
      <c r="P1960" s="13">
        <v>12694.42</v>
      </c>
      <c r="Q1960" s="13">
        <v>49.26</v>
      </c>
      <c r="R1960" s="1" t="s">
        <v>78</v>
      </c>
      <c r="S1960" s="1">
        <v>4</v>
      </c>
      <c r="T1960" s="1" t="b">
        <v>0</v>
      </c>
      <c r="U1960" s="1" t="s">
        <v>137</v>
      </c>
      <c r="V1960" s="3">
        <v>7</v>
      </c>
    </row>
    <row r="1961" spans="1:22" x14ac:dyDescent="0.3">
      <c r="A1961" s="2" t="s">
        <v>4414</v>
      </c>
      <c r="B1961" s="10">
        <v>44315</v>
      </c>
      <c r="C1961" s="22">
        <v>44315</v>
      </c>
      <c r="D1961" s="1" t="s">
        <v>4415</v>
      </c>
      <c r="E1961" s="1" t="s">
        <v>523</v>
      </c>
      <c r="F1961" s="1">
        <v>32</v>
      </c>
      <c r="G1961" s="1" t="s">
        <v>68</v>
      </c>
      <c r="H1961" s="1" t="s">
        <v>111</v>
      </c>
      <c r="I1961" s="1" t="s">
        <v>141</v>
      </c>
      <c r="J1961" s="1" t="s">
        <v>127</v>
      </c>
      <c r="K1961" s="1" t="s">
        <v>128</v>
      </c>
      <c r="L1961" s="1">
        <v>9</v>
      </c>
      <c r="M1961" s="13">
        <v>18229.89</v>
      </c>
      <c r="N1961" s="15">
        <v>0.19</v>
      </c>
      <c r="O1961" s="13">
        <v>166334.16</v>
      </c>
      <c r="P1961" s="13">
        <v>22099.86</v>
      </c>
      <c r="Q1961" s="13">
        <v>42.76</v>
      </c>
      <c r="R1961" s="1" t="s">
        <v>51</v>
      </c>
      <c r="S1961" s="1">
        <v>2</v>
      </c>
      <c r="T1961" s="1" t="b">
        <v>1</v>
      </c>
      <c r="U1961" s="1" t="s">
        <v>30</v>
      </c>
      <c r="V1961" s="3">
        <v>2</v>
      </c>
    </row>
    <row r="1962" spans="1:22" x14ac:dyDescent="0.3">
      <c r="A1962" s="2" t="s">
        <v>4416</v>
      </c>
      <c r="B1962" s="10">
        <v>45404</v>
      </c>
      <c r="C1962" s="22">
        <v>45404</v>
      </c>
      <c r="D1962" s="1" t="s">
        <v>4417</v>
      </c>
      <c r="E1962" s="1" t="s">
        <v>2053</v>
      </c>
      <c r="F1962" s="1">
        <v>24</v>
      </c>
      <c r="G1962" s="1" t="s">
        <v>24</v>
      </c>
      <c r="H1962" s="1" t="s">
        <v>82</v>
      </c>
      <c r="I1962" s="1" t="s">
        <v>244</v>
      </c>
      <c r="J1962" s="1" t="s">
        <v>37</v>
      </c>
      <c r="K1962" s="1" t="s">
        <v>102</v>
      </c>
      <c r="L1962" s="1">
        <v>10</v>
      </c>
      <c r="M1962" s="13">
        <v>1772.45</v>
      </c>
      <c r="N1962" s="15">
        <v>0.25</v>
      </c>
      <c r="O1962" s="13">
        <v>19172.07</v>
      </c>
      <c r="P1962" s="13">
        <v>8733.2199999999993</v>
      </c>
      <c r="Q1962" s="13">
        <v>67.290000000000006</v>
      </c>
      <c r="R1962" s="1" t="s">
        <v>78</v>
      </c>
      <c r="S1962" s="1">
        <v>5</v>
      </c>
      <c r="T1962" s="1" t="b">
        <v>0</v>
      </c>
      <c r="U1962" s="1" t="s">
        <v>39</v>
      </c>
      <c r="V1962" s="3">
        <v>5</v>
      </c>
    </row>
    <row r="1963" spans="1:22" x14ac:dyDescent="0.3">
      <c r="A1963" s="2" t="s">
        <v>4418</v>
      </c>
      <c r="B1963" s="10">
        <v>45462</v>
      </c>
      <c r="C1963" s="22">
        <v>45462</v>
      </c>
      <c r="D1963" s="1" t="s">
        <v>4419</v>
      </c>
      <c r="E1963" s="1" t="s">
        <v>1309</v>
      </c>
      <c r="F1963" s="1">
        <v>31</v>
      </c>
      <c r="G1963" s="1" t="s">
        <v>34</v>
      </c>
      <c r="H1963" s="1" t="s">
        <v>35</v>
      </c>
      <c r="I1963" s="1" t="s">
        <v>49</v>
      </c>
      <c r="J1963" s="1" t="s">
        <v>146</v>
      </c>
      <c r="K1963" s="1" t="s">
        <v>161</v>
      </c>
      <c r="L1963" s="1">
        <v>10</v>
      </c>
      <c r="M1963" s="13">
        <v>2344.6999999999998</v>
      </c>
      <c r="N1963" s="15">
        <v>0.37</v>
      </c>
      <c r="O1963" s="13">
        <v>24013.4</v>
      </c>
      <c r="P1963" s="13">
        <v>8412.7900000000009</v>
      </c>
      <c r="Q1963" s="13">
        <v>44.13</v>
      </c>
      <c r="R1963" s="1" t="s">
        <v>29</v>
      </c>
      <c r="S1963" s="1">
        <v>3</v>
      </c>
      <c r="T1963" s="1" t="b">
        <v>0</v>
      </c>
      <c r="U1963" s="1" t="s">
        <v>39</v>
      </c>
      <c r="V1963" s="3">
        <v>1</v>
      </c>
    </row>
    <row r="1964" spans="1:22" x14ac:dyDescent="0.3">
      <c r="A1964" s="2" t="s">
        <v>4420</v>
      </c>
      <c r="B1964" s="10">
        <v>44459</v>
      </c>
      <c r="C1964" s="22">
        <v>44459</v>
      </c>
      <c r="D1964" s="1" t="s">
        <v>4421</v>
      </c>
      <c r="E1964" s="1" t="s">
        <v>1384</v>
      </c>
      <c r="F1964" s="1">
        <v>55</v>
      </c>
      <c r="G1964" s="1" t="s">
        <v>24</v>
      </c>
      <c r="H1964" s="1" t="s">
        <v>35</v>
      </c>
      <c r="I1964" s="1" t="s">
        <v>43</v>
      </c>
      <c r="J1964" s="1" t="s">
        <v>62</v>
      </c>
      <c r="K1964" s="1" t="s">
        <v>63</v>
      </c>
      <c r="L1964" s="1">
        <v>4</v>
      </c>
      <c r="M1964" s="13">
        <v>1424.02</v>
      </c>
      <c r="N1964" s="15">
        <v>0.18</v>
      </c>
      <c r="O1964" s="13">
        <v>4662.1099999999997</v>
      </c>
      <c r="P1964" s="13">
        <v>2041.88</v>
      </c>
      <c r="Q1964" s="13">
        <v>54.87</v>
      </c>
      <c r="R1964" s="1" t="s">
        <v>51</v>
      </c>
      <c r="S1964" s="1">
        <v>3</v>
      </c>
      <c r="T1964" s="1" t="b">
        <v>1</v>
      </c>
      <c r="U1964" s="1" t="s">
        <v>30</v>
      </c>
      <c r="V1964" s="3">
        <v>8</v>
      </c>
    </row>
    <row r="1965" spans="1:22" x14ac:dyDescent="0.3">
      <c r="A1965" s="2" t="s">
        <v>4422</v>
      </c>
      <c r="B1965" s="10">
        <v>44290</v>
      </c>
      <c r="C1965" s="22">
        <v>44290</v>
      </c>
      <c r="D1965" s="1" t="s">
        <v>4423</v>
      </c>
      <c r="E1965" s="1" t="s">
        <v>3183</v>
      </c>
      <c r="F1965" s="1">
        <v>32</v>
      </c>
      <c r="G1965" s="1" t="s">
        <v>24</v>
      </c>
      <c r="H1965" s="1" t="s">
        <v>25</v>
      </c>
      <c r="I1965" s="1" t="s">
        <v>69</v>
      </c>
      <c r="J1965" s="1" t="s">
        <v>37</v>
      </c>
      <c r="K1965" s="1" t="s">
        <v>231</v>
      </c>
      <c r="L1965" s="1">
        <v>4</v>
      </c>
      <c r="M1965" s="13">
        <v>1615.32</v>
      </c>
      <c r="N1965" s="15">
        <v>0.23</v>
      </c>
      <c r="O1965" s="13">
        <v>5821.33</v>
      </c>
      <c r="P1965" s="13">
        <v>2423.94</v>
      </c>
      <c r="Q1965" s="13">
        <v>39.79</v>
      </c>
      <c r="R1965" s="1" t="s">
        <v>29</v>
      </c>
      <c r="S1965" s="1">
        <v>3</v>
      </c>
      <c r="T1965" s="1" t="b">
        <v>0</v>
      </c>
      <c r="U1965" s="1" t="s">
        <v>39</v>
      </c>
      <c r="V1965" s="3">
        <v>8</v>
      </c>
    </row>
    <row r="1966" spans="1:22" x14ac:dyDescent="0.3">
      <c r="A1966" s="2" t="s">
        <v>4424</v>
      </c>
      <c r="B1966" s="10">
        <v>44898</v>
      </c>
      <c r="C1966" s="22">
        <v>44898</v>
      </c>
      <c r="D1966" s="1" t="s">
        <v>4425</v>
      </c>
      <c r="E1966" s="1" t="s">
        <v>2462</v>
      </c>
      <c r="F1966" s="1">
        <v>39</v>
      </c>
      <c r="G1966" s="1" t="s">
        <v>68</v>
      </c>
      <c r="H1966" s="1" t="s">
        <v>74</v>
      </c>
      <c r="I1966" s="1" t="s">
        <v>136</v>
      </c>
      <c r="J1966" s="1" t="s">
        <v>44</v>
      </c>
      <c r="K1966" s="1" t="s">
        <v>93</v>
      </c>
      <c r="L1966" s="1">
        <v>10</v>
      </c>
      <c r="M1966" s="13">
        <v>8976.94</v>
      </c>
      <c r="N1966" s="15">
        <v>0.1</v>
      </c>
      <c r="O1966" s="13">
        <v>59488.18</v>
      </c>
      <c r="P1966" s="13">
        <v>14335.73</v>
      </c>
      <c r="Q1966" s="13">
        <v>53.25</v>
      </c>
      <c r="R1966" s="1" t="s">
        <v>78</v>
      </c>
      <c r="S1966" s="1">
        <v>5</v>
      </c>
      <c r="T1966" s="1" t="b">
        <v>0</v>
      </c>
      <c r="U1966" s="1" t="s">
        <v>39</v>
      </c>
      <c r="V1966" s="3">
        <v>3</v>
      </c>
    </row>
    <row r="1967" spans="1:22" x14ac:dyDescent="0.3">
      <c r="A1967" s="2" t="s">
        <v>4426</v>
      </c>
      <c r="B1967" s="10">
        <v>45200</v>
      </c>
      <c r="C1967" s="22">
        <v>45200</v>
      </c>
      <c r="D1967" s="1" t="s">
        <v>4427</v>
      </c>
      <c r="E1967" s="1" t="s">
        <v>2494</v>
      </c>
      <c r="F1967" s="1">
        <v>45</v>
      </c>
      <c r="G1967" s="1" t="s">
        <v>24</v>
      </c>
      <c r="H1967" s="1" t="s">
        <v>35</v>
      </c>
      <c r="I1967" s="1" t="s">
        <v>49</v>
      </c>
      <c r="J1967" s="1" t="s">
        <v>76</v>
      </c>
      <c r="K1967" s="1" t="s">
        <v>77</v>
      </c>
      <c r="L1967" s="1">
        <v>4</v>
      </c>
      <c r="M1967" s="13">
        <v>3292.57</v>
      </c>
      <c r="N1967" s="15">
        <v>0.28000000000000003</v>
      </c>
      <c r="O1967" s="13">
        <v>11158.23</v>
      </c>
      <c r="P1967" s="13">
        <v>3813.16</v>
      </c>
      <c r="Q1967" s="13">
        <v>38.43</v>
      </c>
      <c r="R1967" s="1" t="s">
        <v>78</v>
      </c>
      <c r="S1967" s="1">
        <v>2</v>
      </c>
      <c r="T1967" s="1" t="b">
        <v>1</v>
      </c>
      <c r="U1967" s="1" t="s">
        <v>30</v>
      </c>
      <c r="V1967" s="3">
        <v>2</v>
      </c>
    </row>
    <row r="1968" spans="1:22" x14ac:dyDescent="0.3">
      <c r="A1968" s="2" t="s">
        <v>4428</v>
      </c>
      <c r="B1968" s="10">
        <v>44007</v>
      </c>
      <c r="C1968" s="22">
        <v>44007</v>
      </c>
      <c r="D1968" s="1" t="s">
        <v>4429</v>
      </c>
      <c r="E1968" s="1" t="s">
        <v>3248</v>
      </c>
      <c r="F1968" s="1">
        <v>25</v>
      </c>
      <c r="G1968" s="1" t="s">
        <v>24</v>
      </c>
      <c r="H1968" s="1" t="s">
        <v>74</v>
      </c>
      <c r="I1968" s="1" t="s">
        <v>192</v>
      </c>
      <c r="J1968" s="1" t="s">
        <v>76</v>
      </c>
      <c r="K1968" s="1" t="s">
        <v>77</v>
      </c>
      <c r="L1968" s="1">
        <v>1</v>
      </c>
      <c r="M1968" s="13">
        <v>338.51</v>
      </c>
      <c r="N1968" s="15">
        <v>0.27</v>
      </c>
      <c r="O1968" s="13">
        <v>309.08999999999997</v>
      </c>
      <c r="P1968" s="13">
        <v>73.930000000000007</v>
      </c>
      <c r="Q1968" s="13">
        <v>31.18</v>
      </c>
      <c r="R1968" s="1" t="s">
        <v>78</v>
      </c>
      <c r="S1968" s="1">
        <v>4</v>
      </c>
      <c r="T1968" s="1" t="b">
        <v>0</v>
      </c>
      <c r="U1968" s="1" t="s">
        <v>39</v>
      </c>
      <c r="V1968" s="3">
        <v>9</v>
      </c>
    </row>
    <row r="1969" spans="1:22" x14ac:dyDescent="0.3">
      <c r="A1969" s="2" t="s">
        <v>4430</v>
      </c>
      <c r="B1969" s="10">
        <v>45473</v>
      </c>
      <c r="C1969" s="22">
        <v>45473</v>
      </c>
      <c r="D1969" s="1" t="s">
        <v>4431</v>
      </c>
      <c r="E1969" s="1" t="s">
        <v>1044</v>
      </c>
      <c r="F1969" s="1">
        <v>13</v>
      </c>
      <c r="G1969" s="1" t="s">
        <v>463</v>
      </c>
      <c r="H1969" s="1" t="s">
        <v>111</v>
      </c>
      <c r="I1969" s="1" t="s">
        <v>112</v>
      </c>
      <c r="J1969" s="1" t="s">
        <v>127</v>
      </c>
      <c r="K1969" s="1" t="s">
        <v>517</v>
      </c>
      <c r="L1969" s="1">
        <v>7</v>
      </c>
      <c r="M1969" s="13">
        <v>65719.06</v>
      </c>
      <c r="N1969" s="15">
        <v>0.19</v>
      </c>
      <c r="O1969" s="13">
        <v>568045.49</v>
      </c>
      <c r="P1969" s="13">
        <v>73500.33</v>
      </c>
      <c r="Q1969" s="13">
        <v>74.03</v>
      </c>
      <c r="R1969" s="1" t="s">
        <v>64</v>
      </c>
      <c r="S1969" s="1">
        <v>4</v>
      </c>
      <c r="T1969" s="1" t="b">
        <v>0</v>
      </c>
      <c r="U1969" s="1" t="s">
        <v>197</v>
      </c>
      <c r="V1969" s="3">
        <v>5</v>
      </c>
    </row>
    <row r="1970" spans="1:22" x14ac:dyDescent="0.3">
      <c r="A1970" s="2" t="s">
        <v>4432</v>
      </c>
      <c r="B1970" s="10">
        <v>45530</v>
      </c>
      <c r="C1970" s="22">
        <v>45530</v>
      </c>
      <c r="D1970" s="1" t="s">
        <v>4433</v>
      </c>
      <c r="E1970" s="1" t="s">
        <v>240</v>
      </c>
      <c r="F1970" s="1">
        <v>34</v>
      </c>
      <c r="G1970" s="1" t="s">
        <v>24</v>
      </c>
      <c r="H1970" s="1" t="s">
        <v>74</v>
      </c>
      <c r="I1970" s="1" t="s">
        <v>75</v>
      </c>
      <c r="J1970" s="1" t="s">
        <v>37</v>
      </c>
      <c r="K1970" s="1" t="s">
        <v>231</v>
      </c>
      <c r="L1970" s="1">
        <v>10</v>
      </c>
      <c r="M1970" s="13">
        <v>1495.3</v>
      </c>
      <c r="N1970" s="15">
        <v>0.02</v>
      </c>
      <c r="O1970" s="13">
        <v>21442.1</v>
      </c>
      <c r="P1970" s="13">
        <v>8864.0400000000009</v>
      </c>
      <c r="Q1970" s="13">
        <v>49.29</v>
      </c>
      <c r="R1970" s="1" t="s">
        <v>57</v>
      </c>
      <c r="S1970" s="1">
        <v>5</v>
      </c>
      <c r="T1970" s="1" t="b">
        <v>0</v>
      </c>
      <c r="U1970" s="1" t="s">
        <v>39</v>
      </c>
      <c r="V1970" s="3">
        <v>3</v>
      </c>
    </row>
    <row r="1971" spans="1:22" x14ac:dyDescent="0.3">
      <c r="A1971" s="2" t="s">
        <v>4434</v>
      </c>
      <c r="B1971" s="10">
        <v>43975</v>
      </c>
      <c r="C1971" s="22">
        <v>43975</v>
      </c>
      <c r="D1971" s="1" t="s">
        <v>4435</v>
      </c>
      <c r="E1971" s="1" t="s">
        <v>216</v>
      </c>
      <c r="F1971" s="1">
        <v>15</v>
      </c>
      <c r="G1971" s="1" t="s">
        <v>68</v>
      </c>
      <c r="H1971" s="1" t="s">
        <v>82</v>
      </c>
      <c r="I1971" s="1" t="s">
        <v>126</v>
      </c>
      <c r="J1971" s="1" t="s">
        <v>27</v>
      </c>
      <c r="K1971" s="1" t="s">
        <v>450</v>
      </c>
      <c r="L1971" s="1">
        <v>9</v>
      </c>
      <c r="M1971" s="13">
        <v>156.94999999999999</v>
      </c>
      <c r="N1971" s="15">
        <v>0.25</v>
      </c>
      <c r="O1971" s="13">
        <v>1244.96</v>
      </c>
      <c r="P1971" s="13">
        <v>125.48</v>
      </c>
      <c r="Q1971" s="13">
        <v>101.17</v>
      </c>
      <c r="R1971" s="1" t="s">
        <v>29</v>
      </c>
      <c r="S1971" s="1">
        <v>3</v>
      </c>
      <c r="T1971" s="1" t="b">
        <v>0</v>
      </c>
      <c r="U1971" s="1" t="s">
        <v>197</v>
      </c>
      <c r="V1971" s="3">
        <v>7</v>
      </c>
    </row>
    <row r="1972" spans="1:22" x14ac:dyDescent="0.3">
      <c r="A1972" s="2" t="s">
        <v>4436</v>
      </c>
      <c r="B1972" s="10">
        <v>45546</v>
      </c>
      <c r="C1972" s="22">
        <v>45546</v>
      </c>
      <c r="D1972" s="1" t="s">
        <v>4437</v>
      </c>
      <c r="E1972" s="1" t="s">
        <v>2286</v>
      </c>
      <c r="F1972" s="1">
        <v>31</v>
      </c>
      <c r="G1972" s="1" t="s">
        <v>68</v>
      </c>
      <c r="H1972" s="1" t="s">
        <v>25</v>
      </c>
      <c r="I1972" s="1" t="s">
        <v>69</v>
      </c>
      <c r="J1972" s="1" t="s">
        <v>62</v>
      </c>
      <c r="K1972" s="1" t="s">
        <v>570</v>
      </c>
      <c r="L1972" s="1">
        <v>10</v>
      </c>
      <c r="M1972" s="13">
        <v>1101.3699999999999</v>
      </c>
      <c r="N1972" s="15">
        <v>0.36</v>
      </c>
      <c r="O1972" s="13">
        <v>8920.66</v>
      </c>
      <c r="P1972" s="13">
        <v>4181.57</v>
      </c>
      <c r="Q1972" s="13">
        <v>53.45</v>
      </c>
      <c r="R1972" s="1" t="s">
        <v>51</v>
      </c>
      <c r="S1972" s="1">
        <v>5</v>
      </c>
      <c r="T1972" s="1" t="b">
        <v>0</v>
      </c>
      <c r="U1972" s="1" t="s">
        <v>39</v>
      </c>
      <c r="V1972" s="3">
        <v>10</v>
      </c>
    </row>
    <row r="1973" spans="1:22" x14ac:dyDescent="0.3">
      <c r="A1973" s="2" t="s">
        <v>4438</v>
      </c>
      <c r="B1973" s="10">
        <v>44954</v>
      </c>
      <c r="C1973" s="22">
        <v>44954</v>
      </c>
      <c r="D1973" s="1" t="s">
        <v>4439</v>
      </c>
      <c r="E1973" s="1" t="s">
        <v>3402</v>
      </c>
      <c r="F1973" s="1">
        <v>36</v>
      </c>
      <c r="G1973" s="1" t="s">
        <v>24</v>
      </c>
      <c r="H1973" s="1" t="s">
        <v>82</v>
      </c>
      <c r="I1973" s="1" t="s">
        <v>244</v>
      </c>
      <c r="J1973" s="1" t="s">
        <v>76</v>
      </c>
      <c r="K1973" s="1" t="s">
        <v>89</v>
      </c>
      <c r="L1973" s="1">
        <v>2</v>
      </c>
      <c r="M1973" s="13">
        <v>3753.91</v>
      </c>
      <c r="N1973" s="15">
        <v>0.2</v>
      </c>
      <c r="O1973" s="13">
        <v>5209.29</v>
      </c>
      <c r="P1973" s="13">
        <v>1157.2</v>
      </c>
      <c r="Q1973" s="13">
        <v>78.02</v>
      </c>
      <c r="R1973" s="1" t="s">
        <v>78</v>
      </c>
      <c r="S1973" s="1">
        <v>5</v>
      </c>
      <c r="T1973" s="1" t="b">
        <v>0</v>
      </c>
      <c r="U1973" s="1" t="s">
        <v>39</v>
      </c>
      <c r="V1973" s="3">
        <v>4</v>
      </c>
    </row>
    <row r="1974" spans="1:22" x14ac:dyDescent="0.3">
      <c r="A1974" s="2" t="s">
        <v>4440</v>
      </c>
      <c r="B1974" s="10">
        <v>43905</v>
      </c>
      <c r="C1974" s="22">
        <v>43905</v>
      </c>
      <c r="D1974" s="1" t="s">
        <v>4441</v>
      </c>
      <c r="E1974" s="1" t="s">
        <v>900</v>
      </c>
      <c r="F1974" s="1">
        <v>33</v>
      </c>
      <c r="G1974" s="1" t="s">
        <v>68</v>
      </c>
      <c r="H1974" s="1" t="s">
        <v>25</v>
      </c>
      <c r="I1974" s="1" t="s">
        <v>170</v>
      </c>
      <c r="J1974" s="1" t="s">
        <v>76</v>
      </c>
      <c r="K1974" s="1" t="s">
        <v>207</v>
      </c>
      <c r="L1974" s="1">
        <v>2</v>
      </c>
      <c r="M1974" s="13">
        <v>344.95</v>
      </c>
      <c r="N1974" s="15">
        <v>0.01</v>
      </c>
      <c r="O1974" s="13">
        <v>675.21</v>
      </c>
      <c r="P1974" s="13">
        <v>315.70999999999998</v>
      </c>
      <c r="Q1974" s="13">
        <v>45.42</v>
      </c>
      <c r="R1974" s="1" t="s">
        <v>78</v>
      </c>
      <c r="S1974" s="1">
        <v>3</v>
      </c>
      <c r="T1974" s="1" t="b">
        <v>0</v>
      </c>
      <c r="U1974" s="1" t="s">
        <v>39</v>
      </c>
      <c r="V1974" s="3">
        <v>3</v>
      </c>
    </row>
    <row r="1975" spans="1:22" x14ac:dyDescent="0.3">
      <c r="A1975" s="2" t="s">
        <v>4442</v>
      </c>
      <c r="B1975" s="10">
        <v>45213</v>
      </c>
      <c r="C1975" s="22">
        <v>45213</v>
      </c>
      <c r="D1975" s="1" t="s">
        <v>4443</v>
      </c>
      <c r="E1975" s="1" t="s">
        <v>1596</v>
      </c>
      <c r="F1975" s="1">
        <v>31</v>
      </c>
      <c r="G1975" s="1" t="s">
        <v>68</v>
      </c>
      <c r="H1975" s="1" t="s">
        <v>111</v>
      </c>
      <c r="I1975" s="1" t="s">
        <v>330</v>
      </c>
      <c r="J1975" s="1" t="s">
        <v>37</v>
      </c>
      <c r="K1975" s="1" t="s">
        <v>38</v>
      </c>
      <c r="L1975" s="1">
        <v>10</v>
      </c>
      <c r="M1975" s="13">
        <v>1369.42</v>
      </c>
      <c r="N1975" s="15">
        <v>0.21</v>
      </c>
      <c r="O1975" s="13">
        <v>14115.57</v>
      </c>
      <c r="P1975" s="13">
        <v>6057.11</v>
      </c>
      <c r="Q1975" s="13">
        <v>77.84</v>
      </c>
      <c r="R1975" s="1" t="s">
        <v>57</v>
      </c>
      <c r="S1975" s="1">
        <v>1</v>
      </c>
      <c r="T1975" s="1" t="b">
        <v>0</v>
      </c>
      <c r="U1975" s="1" t="s">
        <v>84</v>
      </c>
      <c r="V1975" s="3">
        <v>1</v>
      </c>
    </row>
    <row r="1976" spans="1:22" x14ac:dyDescent="0.3">
      <c r="A1976" s="2" t="s">
        <v>4444</v>
      </c>
      <c r="B1976" s="10">
        <v>45380</v>
      </c>
      <c r="C1976" s="22">
        <v>45380</v>
      </c>
      <c r="D1976" s="1" t="s">
        <v>4445</v>
      </c>
      <c r="E1976" s="1" t="s">
        <v>206</v>
      </c>
      <c r="F1976" s="1">
        <v>23</v>
      </c>
      <c r="G1976" s="1" t="s">
        <v>24</v>
      </c>
      <c r="H1976" s="1" t="s">
        <v>74</v>
      </c>
      <c r="I1976" s="1" t="s">
        <v>192</v>
      </c>
      <c r="J1976" s="1" t="s">
        <v>37</v>
      </c>
      <c r="K1976" s="1" t="s">
        <v>182</v>
      </c>
      <c r="L1976" s="1">
        <v>1</v>
      </c>
      <c r="M1976" s="13">
        <v>1431.02</v>
      </c>
      <c r="N1976" s="15">
        <v>0.25</v>
      </c>
      <c r="O1976" s="13">
        <v>1421.67</v>
      </c>
      <c r="P1976" s="13">
        <v>657.95</v>
      </c>
      <c r="Q1976" s="13">
        <v>43.1</v>
      </c>
      <c r="R1976" s="1" t="s">
        <v>29</v>
      </c>
      <c r="S1976" s="1">
        <v>2</v>
      </c>
      <c r="T1976" s="1" t="b">
        <v>0</v>
      </c>
      <c r="U1976" s="1" t="s">
        <v>84</v>
      </c>
      <c r="V1976" s="3">
        <v>7</v>
      </c>
    </row>
    <row r="1977" spans="1:22" x14ac:dyDescent="0.3">
      <c r="A1977" s="2" t="s">
        <v>4446</v>
      </c>
      <c r="B1977" s="10">
        <v>45383</v>
      </c>
      <c r="C1977" s="22">
        <v>45383</v>
      </c>
      <c r="D1977" s="1" t="s">
        <v>4447</v>
      </c>
      <c r="E1977" s="1" t="s">
        <v>135</v>
      </c>
      <c r="F1977" s="1">
        <v>30</v>
      </c>
      <c r="G1977" s="1" t="s">
        <v>24</v>
      </c>
      <c r="H1977" s="1" t="s">
        <v>74</v>
      </c>
      <c r="I1977" s="1" t="s">
        <v>101</v>
      </c>
      <c r="J1977" s="1" t="s">
        <v>44</v>
      </c>
      <c r="K1977" s="1" t="s">
        <v>93</v>
      </c>
      <c r="L1977" s="1">
        <v>6</v>
      </c>
      <c r="M1977" s="13">
        <v>17399.759999999998</v>
      </c>
      <c r="N1977" s="15">
        <v>0.22</v>
      </c>
      <c r="O1977" s="13">
        <v>137113.34</v>
      </c>
      <c r="P1977" s="13">
        <v>33401.93</v>
      </c>
      <c r="Q1977" s="13">
        <v>68.400000000000006</v>
      </c>
      <c r="R1977" s="1" t="s">
        <v>78</v>
      </c>
      <c r="S1977" s="1">
        <v>4</v>
      </c>
      <c r="T1977" s="1" t="b">
        <v>0</v>
      </c>
      <c r="U1977" s="1" t="s">
        <v>39</v>
      </c>
      <c r="V1977" s="3">
        <v>6</v>
      </c>
    </row>
    <row r="1978" spans="1:22" x14ac:dyDescent="0.3">
      <c r="A1978" s="2" t="s">
        <v>4448</v>
      </c>
      <c r="B1978" s="10">
        <v>43961</v>
      </c>
      <c r="C1978" s="22">
        <v>43961</v>
      </c>
      <c r="D1978" s="1" t="s">
        <v>4449</v>
      </c>
      <c r="E1978" s="1" t="s">
        <v>73</v>
      </c>
      <c r="F1978" s="1">
        <v>26</v>
      </c>
      <c r="G1978" s="1" t="s">
        <v>24</v>
      </c>
      <c r="H1978" s="1" t="s">
        <v>35</v>
      </c>
      <c r="I1978" s="1" t="s">
        <v>36</v>
      </c>
      <c r="J1978" s="1" t="s">
        <v>146</v>
      </c>
      <c r="K1978" s="1" t="s">
        <v>484</v>
      </c>
      <c r="L1978" s="1">
        <v>7</v>
      </c>
      <c r="M1978" s="13">
        <v>2073.13</v>
      </c>
      <c r="N1978" s="15">
        <v>0.36</v>
      </c>
      <c r="O1978" s="13">
        <v>10684.14</v>
      </c>
      <c r="P1978" s="13">
        <v>1902.76</v>
      </c>
      <c r="Q1978" s="13">
        <v>39.270000000000003</v>
      </c>
      <c r="R1978" s="1" t="s">
        <v>78</v>
      </c>
      <c r="S1978" s="1">
        <v>3</v>
      </c>
      <c r="T1978" s="1" t="b">
        <v>1</v>
      </c>
      <c r="U1978" s="1" t="s">
        <v>30</v>
      </c>
      <c r="V1978" s="3">
        <v>2</v>
      </c>
    </row>
    <row r="1979" spans="1:22" x14ac:dyDescent="0.3">
      <c r="A1979" s="2" t="s">
        <v>4450</v>
      </c>
      <c r="B1979" s="10">
        <v>44379</v>
      </c>
      <c r="C1979" s="22">
        <v>44379</v>
      </c>
      <c r="D1979" s="1" t="s">
        <v>4451</v>
      </c>
      <c r="E1979" s="1" t="s">
        <v>1672</v>
      </c>
      <c r="F1979" s="1">
        <v>26</v>
      </c>
      <c r="G1979" s="1" t="s">
        <v>34</v>
      </c>
      <c r="H1979" s="1" t="s">
        <v>74</v>
      </c>
      <c r="I1979" s="1" t="s">
        <v>75</v>
      </c>
      <c r="J1979" s="1" t="s">
        <v>146</v>
      </c>
      <c r="K1979" s="1" t="s">
        <v>276</v>
      </c>
      <c r="L1979" s="1">
        <v>3</v>
      </c>
      <c r="M1979" s="13">
        <v>9622.0499999999993</v>
      </c>
      <c r="N1979" s="15">
        <v>0.13</v>
      </c>
      <c r="O1979" s="13">
        <v>36572.47</v>
      </c>
      <c r="P1979" s="13">
        <v>7201.38</v>
      </c>
      <c r="Q1979" s="13">
        <v>38.22</v>
      </c>
      <c r="R1979" s="1" t="s">
        <v>70</v>
      </c>
      <c r="S1979" s="1">
        <v>1</v>
      </c>
      <c r="T1979" s="1" t="b">
        <v>0</v>
      </c>
      <c r="U1979" s="1" t="s">
        <v>39</v>
      </c>
      <c r="V1979" s="3">
        <v>3</v>
      </c>
    </row>
    <row r="1980" spans="1:22" x14ac:dyDescent="0.3">
      <c r="A1980" s="2" t="s">
        <v>4452</v>
      </c>
      <c r="B1980" s="10">
        <v>44089</v>
      </c>
      <c r="C1980" s="22">
        <v>44089</v>
      </c>
      <c r="D1980" s="1" t="s">
        <v>4453</v>
      </c>
      <c r="E1980" s="1" t="s">
        <v>1653</v>
      </c>
      <c r="F1980" s="1">
        <v>38</v>
      </c>
      <c r="G1980" s="1" t="s">
        <v>391</v>
      </c>
      <c r="H1980" s="1" t="s">
        <v>74</v>
      </c>
      <c r="I1980" s="1" t="s">
        <v>136</v>
      </c>
      <c r="J1980" s="1" t="s">
        <v>44</v>
      </c>
      <c r="K1980" s="1" t="s">
        <v>186</v>
      </c>
      <c r="L1980" s="1">
        <v>10</v>
      </c>
      <c r="M1980" s="13">
        <v>2950.98</v>
      </c>
      <c r="N1980" s="15">
        <v>0.23</v>
      </c>
      <c r="O1980" s="13">
        <v>23921.040000000001</v>
      </c>
      <c r="P1980" s="13">
        <v>3847.48</v>
      </c>
      <c r="Q1980" s="13">
        <v>-4.29</v>
      </c>
      <c r="R1980" s="1" t="s">
        <v>70</v>
      </c>
      <c r="S1980" s="1">
        <v>3</v>
      </c>
      <c r="T1980" s="1" t="b">
        <v>0</v>
      </c>
      <c r="U1980" s="1" t="s">
        <v>197</v>
      </c>
      <c r="V1980" s="3">
        <v>9</v>
      </c>
    </row>
    <row r="1981" spans="1:22" x14ac:dyDescent="0.3">
      <c r="A1981" s="2" t="s">
        <v>4454</v>
      </c>
      <c r="B1981" s="10">
        <v>43971</v>
      </c>
      <c r="C1981" s="22">
        <v>43971</v>
      </c>
      <c r="D1981" s="1" t="s">
        <v>4455</v>
      </c>
      <c r="E1981" s="1" t="s">
        <v>375</v>
      </c>
      <c r="F1981" s="1">
        <v>34</v>
      </c>
      <c r="G1981" s="1" t="s">
        <v>24</v>
      </c>
      <c r="H1981" s="1" t="s">
        <v>74</v>
      </c>
      <c r="I1981" s="1" t="s">
        <v>192</v>
      </c>
      <c r="J1981" s="1" t="s">
        <v>44</v>
      </c>
      <c r="K1981" s="1" t="s">
        <v>117</v>
      </c>
      <c r="L1981" s="1">
        <v>1</v>
      </c>
      <c r="M1981" s="13">
        <v>5675.07</v>
      </c>
      <c r="N1981" s="15">
        <v>0.05</v>
      </c>
      <c r="O1981" s="13">
        <v>6213.75</v>
      </c>
      <c r="P1981" s="13">
        <v>1926.22</v>
      </c>
      <c r="Q1981" s="13">
        <v>53.4</v>
      </c>
      <c r="R1981" s="1" t="s">
        <v>70</v>
      </c>
      <c r="S1981" s="1">
        <v>1</v>
      </c>
      <c r="T1981" s="1" t="b">
        <v>1</v>
      </c>
      <c r="U1981" s="1" t="s">
        <v>30</v>
      </c>
      <c r="V1981" s="3">
        <v>4</v>
      </c>
    </row>
    <row r="1982" spans="1:22" x14ac:dyDescent="0.3">
      <c r="A1982" s="2" t="s">
        <v>4456</v>
      </c>
      <c r="B1982" s="10">
        <v>45594</v>
      </c>
      <c r="C1982" s="22">
        <v>45594</v>
      </c>
      <c r="D1982" s="1" t="s">
        <v>4457</v>
      </c>
      <c r="E1982" s="1" t="s">
        <v>1733</v>
      </c>
      <c r="F1982" s="1">
        <v>35</v>
      </c>
      <c r="G1982" s="1" t="s">
        <v>34</v>
      </c>
      <c r="H1982" s="1" t="s">
        <v>25</v>
      </c>
      <c r="I1982" s="1" t="s">
        <v>55</v>
      </c>
      <c r="J1982" s="1" t="s">
        <v>44</v>
      </c>
      <c r="K1982" s="1" t="s">
        <v>221</v>
      </c>
      <c r="L1982" s="1">
        <v>1</v>
      </c>
      <c r="M1982" s="13">
        <v>15458.12</v>
      </c>
      <c r="N1982" s="15">
        <v>0.11</v>
      </c>
      <c r="O1982" s="13">
        <v>13583.09</v>
      </c>
      <c r="P1982" s="13">
        <v>3718.13</v>
      </c>
      <c r="Q1982" s="13">
        <v>49.57</v>
      </c>
      <c r="R1982" s="1" t="s">
        <v>51</v>
      </c>
      <c r="S1982" s="1">
        <v>2</v>
      </c>
      <c r="T1982" s="1" t="b">
        <v>1</v>
      </c>
      <c r="U1982" s="1" t="s">
        <v>30</v>
      </c>
      <c r="V1982" s="3">
        <v>5</v>
      </c>
    </row>
    <row r="1983" spans="1:22" x14ac:dyDescent="0.3">
      <c r="A1983" s="2" t="s">
        <v>4458</v>
      </c>
      <c r="B1983" s="10">
        <v>44211</v>
      </c>
      <c r="C1983" s="22">
        <v>44211</v>
      </c>
      <c r="D1983" s="1" t="s">
        <v>4459</v>
      </c>
      <c r="E1983" s="1" t="s">
        <v>1535</v>
      </c>
      <c r="F1983" s="1">
        <v>41</v>
      </c>
      <c r="G1983" s="1" t="s">
        <v>24</v>
      </c>
      <c r="H1983" s="1" t="s">
        <v>74</v>
      </c>
      <c r="I1983" s="1" t="s">
        <v>101</v>
      </c>
      <c r="J1983" s="1" t="s">
        <v>76</v>
      </c>
      <c r="K1983" s="1" t="s">
        <v>122</v>
      </c>
      <c r="L1983" s="1">
        <v>3</v>
      </c>
      <c r="M1983" s="13">
        <v>1065.3800000000001</v>
      </c>
      <c r="N1983" s="15">
        <v>0.01</v>
      </c>
      <c r="O1983" s="13">
        <v>2521.39</v>
      </c>
      <c r="P1983" s="13">
        <v>658.85</v>
      </c>
      <c r="Q1983" s="13">
        <v>38.14</v>
      </c>
      <c r="R1983" s="1" t="s">
        <v>29</v>
      </c>
      <c r="S1983" s="1">
        <v>2</v>
      </c>
      <c r="T1983" s="1" t="b">
        <v>0</v>
      </c>
      <c r="U1983" s="1" t="s">
        <v>39</v>
      </c>
      <c r="V1983" s="3">
        <v>3</v>
      </c>
    </row>
    <row r="1984" spans="1:22" x14ac:dyDescent="0.3">
      <c r="A1984" s="2" t="s">
        <v>4460</v>
      </c>
      <c r="B1984" s="10">
        <v>44132</v>
      </c>
      <c r="C1984" s="22">
        <v>44132</v>
      </c>
      <c r="D1984" s="1" t="s">
        <v>4461</v>
      </c>
      <c r="E1984" s="1" t="s">
        <v>705</v>
      </c>
      <c r="F1984" s="1">
        <v>41</v>
      </c>
      <c r="G1984" s="1" t="s">
        <v>24</v>
      </c>
      <c r="H1984" s="1" t="s">
        <v>35</v>
      </c>
      <c r="I1984" s="1" t="s">
        <v>106</v>
      </c>
      <c r="J1984" s="1" t="s">
        <v>27</v>
      </c>
      <c r="K1984" s="1" t="s">
        <v>97</v>
      </c>
      <c r="L1984" s="1">
        <v>1</v>
      </c>
      <c r="M1984" s="13">
        <v>462.13</v>
      </c>
      <c r="N1984" s="15">
        <v>0.38</v>
      </c>
      <c r="O1984" s="13">
        <v>250.84</v>
      </c>
      <c r="P1984" s="13">
        <v>21.71</v>
      </c>
      <c r="Q1984" s="13">
        <v>65.959999999999994</v>
      </c>
      <c r="R1984" s="1" t="s">
        <v>51</v>
      </c>
      <c r="S1984" s="1">
        <v>3</v>
      </c>
      <c r="T1984" s="1" t="b">
        <v>1</v>
      </c>
      <c r="U1984" s="1" t="s">
        <v>30</v>
      </c>
      <c r="V1984" s="3">
        <v>10</v>
      </c>
    </row>
    <row r="1985" spans="1:22" x14ac:dyDescent="0.3">
      <c r="A1985" s="2" t="s">
        <v>4462</v>
      </c>
      <c r="B1985" s="10">
        <v>44370</v>
      </c>
      <c r="C1985" s="22">
        <v>44370</v>
      </c>
      <c r="D1985" s="1" t="s">
        <v>4463</v>
      </c>
      <c r="E1985" s="1" t="s">
        <v>3183</v>
      </c>
      <c r="F1985" s="1">
        <v>25</v>
      </c>
      <c r="G1985" s="1" t="s">
        <v>68</v>
      </c>
      <c r="H1985" s="1" t="s">
        <v>111</v>
      </c>
      <c r="I1985" s="1" t="s">
        <v>121</v>
      </c>
      <c r="J1985" s="1" t="s">
        <v>76</v>
      </c>
      <c r="K1985" s="1" t="s">
        <v>207</v>
      </c>
      <c r="L1985" s="1">
        <v>2</v>
      </c>
      <c r="M1985" s="13">
        <v>1500.45</v>
      </c>
      <c r="N1985" s="15">
        <v>0.33</v>
      </c>
      <c r="O1985" s="13">
        <v>2399.5100000000002</v>
      </c>
      <c r="P1985" s="13">
        <v>625.12</v>
      </c>
      <c r="Q1985" s="13">
        <v>70.56</v>
      </c>
      <c r="R1985" s="1" t="s">
        <v>51</v>
      </c>
      <c r="S1985" s="1">
        <v>1</v>
      </c>
      <c r="T1985" s="1" t="b">
        <v>0</v>
      </c>
      <c r="U1985" s="1" t="s">
        <v>39</v>
      </c>
      <c r="V1985" s="3">
        <v>9</v>
      </c>
    </row>
    <row r="1986" spans="1:22" x14ac:dyDescent="0.3">
      <c r="A1986" s="2" t="s">
        <v>4464</v>
      </c>
      <c r="B1986" s="10">
        <v>45259</v>
      </c>
      <c r="C1986" s="22">
        <v>45259</v>
      </c>
      <c r="D1986" s="1" t="s">
        <v>4465</v>
      </c>
      <c r="E1986" s="1" t="s">
        <v>603</v>
      </c>
      <c r="F1986" s="1">
        <v>35</v>
      </c>
      <c r="G1986" s="1" t="s">
        <v>68</v>
      </c>
      <c r="H1986" s="1" t="s">
        <v>35</v>
      </c>
      <c r="I1986" s="1" t="s">
        <v>106</v>
      </c>
      <c r="J1986" s="1" t="s">
        <v>44</v>
      </c>
      <c r="K1986" s="1" t="s">
        <v>117</v>
      </c>
      <c r="L1986" s="1">
        <v>6</v>
      </c>
      <c r="M1986" s="13">
        <v>9674.09</v>
      </c>
      <c r="N1986" s="15">
        <v>0.13</v>
      </c>
      <c r="O1986" s="13">
        <v>45840.04</v>
      </c>
      <c r="P1986" s="13">
        <v>10521.95</v>
      </c>
      <c r="Q1986" s="13">
        <v>82.91</v>
      </c>
      <c r="R1986" s="1" t="s">
        <v>70</v>
      </c>
      <c r="S1986" s="1">
        <v>5</v>
      </c>
      <c r="T1986" s="1" t="b">
        <v>0</v>
      </c>
      <c r="U1986" s="1" t="s">
        <v>39</v>
      </c>
      <c r="V1986" s="3">
        <v>4</v>
      </c>
    </row>
    <row r="1987" spans="1:22" x14ac:dyDescent="0.3">
      <c r="A1987" s="2" t="s">
        <v>4466</v>
      </c>
      <c r="B1987" s="10">
        <v>44418</v>
      </c>
      <c r="C1987" s="22">
        <v>44418</v>
      </c>
      <c r="D1987" s="1" t="s">
        <v>4467</v>
      </c>
      <c r="E1987" s="1" t="s">
        <v>575</v>
      </c>
      <c r="F1987" s="1">
        <v>34</v>
      </c>
      <c r="G1987" s="1" t="s">
        <v>68</v>
      </c>
      <c r="H1987" s="1" t="s">
        <v>35</v>
      </c>
      <c r="I1987" s="1" t="s">
        <v>106</v>
      </c>
      <c r="J1987" s="1" t="s">
        <v>76</v>
      </c>
      <c r="K1987" s="1" t="s">
        <v>122</v>
      </c>
      <c r="L1987" s="1">
        <v>6</v>
      </c>
      <c r="M1987" s="13">
        <v>851.31</v>
      </c>
      <c r="N1987" s="15">
        <v>0.03</v>
      </c>
      <c r="O1987" s="13">
        <v>6109.24</v>
      </c>
      <c r="P1987" s="13">
        <v>2057.4299999999998</v>
      </c>
      <c r="Q1987" s="13">
        <v>55.78</v>
      </c>
      <c r="R1987" s="1" t="s">
        <v>64</v>
      </c>
      <c r="S1987" s="1">
        <v>3</v>
      </c>
      <c r="T1987" s="1" t="b">
        <v>0</v>
      </c>
      <c r="U1987" s="1" t="s">
        <v>39</v>
      </c>
      <c r="V1987" s="3">
        <v>1</v>
      </c>
    </row>
    <row r="1988" spans="1:22" x14ac:dyDescent="0.3">
      <c r="A1988" s="2" t="s">
        <v>4468</v>
      </c>
      <c r="B1988" s="10">
        <v>44978</v>
      </c>
      <c r="C1988" s="22">
        <v>44978</v>
      </c>
      <c r="D1988" s="1" t="s">
        <v>4469</v>
      </c>
      <c r="E1988" s="1" t="s">
        <v>1330</v>
      </c>
      <c r="F1988" s="1">
        <v>33</v>
      </c>
      <c r="G1988" s="1" t="s">
        <v>24</v>
      </c>
      <c r="H1988" s="1" t="s">
        <v>74</v>
      </c>
      <c r="I1988" s="1" t="s">
        <v>192</v>
      </c>
      <c r="J1988" s="1" t="s">
        <v>127</v>
      </c>
      <c r="K1988" s="1" t="s">
        <v>142</v>
      </c>
      <c r="L1988" s="1">
        <v>1</v>
      </c>
      <c r="M1988" s="13">
        <v>23168.240000000002</v>
      </c>
      <c r="N1988" s="15">
        <v>0.12</v>
      </c>
      <c r="O1988" s="13">
        <v>22315.35</v>
      </c>
      <c r="P1988" s="13">
        <v>1911.92</v>
      </c>
      <c r="Q1988" s="13">
        <v>65.2</v>
      </c>
      <c r="R1988" s="1" t="s">
        <v>70</v>
      </c>
      <c r="S1988" s="1">
        <v>2</v>
      </c>
      <c r="T1988" s="1" t="b">
        <v>0</v>
      </c>
      <c r="U1988" s="1" t="s">
        <v>84</v>
      </c>
      <c r="V1988" s="3">
        <v>2</v>
      </c>
    </row>
    <row r="1989" spans="1:22" x14ac:dyDescent="0.3">
      <c r="A1989" s="2" t="s">
        <v>4470</v>
      </c>
      <c r="B1989" s="10">
        <v>45273</v>
      </c>
      <c r="C1989" s="22">
        <v>45273</v>
      </c>
      <c r="D1989" s="1" t="s">
        <v>4471</v>
      </c>
      <c r="E1989" s="1" t="s">
        <v>105</v>
      </c>
      <c r="F1989" s="1">
        <v>37</v>
      </c>
      <c r="G1989" s="1" t="s">
        <v>34</v>
      </c>
      <c r="H1989" s="1" t="s">
        <v>74</v>
      </c>
      <c r="I1989" s="1" t="s">
        <v>101</v>
      </c>
      <c r="J1989" s="1" t="s">
        <v>62</v>
      </c>
      <c r="K1989" s="1" t="s">
        <v>151</v>
      </c>
      <c r="L1989" s="1">
        <v>2</v>
      </c>
      <c r="M1989" s="13">
        <v>478.86</v>
      </c>
      <c r="N1989" s="15">
        <v>0.24</v>
      </c>
      <c r="O1989" s="13">
        <v>581.38</v>
      </c>
      <c r="P1989" s="13">
        <v>256.04000000000002</v>
      </c>
      <c r="Q1989" s="13">
        <v>27.77</v>
      </c>
      <c r="R1989" s="1" t="s">
        <v>70</v>
      </c>
      <c r="S1989" s="1">
        <v>5</v>
      </c>
      <c r="T1989" s="1" t="b">
        <v>1</v>
      </c>
      <c r="U1989" s="1" t="s">
        <v>30</v>
      </c>
      <c r="V1989" s="3">
        <v>2</v>
      </c>
    </row>
    <row r="1990" spans="1:22" x14ac:dyDescent="0.3">
      <c r="A1990" s="2" t="s">
        <v>4472</v>
      </c>
      <c r="B1990" s="10">
        <v>45474</v>
      </c>
      <c r="C1990" s="22">
        <v>45474</v>
      </c>
      <c r="D1990" s="1" t="s">
        <v>4473</v>
      </c>
      <c r="E1990" s="1" t="s">
        <v>1131</v>
      </c>
      <c r="F1990" s="1">
        <v>33</v>
      </c>
      <c r="G1990" s="1" t="s">
        <v>68</v>
      </c>
      <c r="H1990" s="1" t="s">
        <v>111</v>
      </c>
      <c r="I1990" s="1" t="s">
        <v>330</v>
      </c>
      <c r="J1990" s="1" t="s">
        <v>127</v>
      </c>
      <c r="K1990" s="1" t="s">
        <v>171</v>
      </c>
      <c r="L1990" s="1">
        <v>7</v>
      </c>
      <c r="M1990" s="13">
        <v>51364.38</v>
      </c>
      <c r="N1990" s="15">
        <v>0.28999999999999998</v>
      </c>
      <c r="O1990" s="13">
        <v>439744.01</v>
      </c>
      <c r="P1990" s="13">
        <v>43544.12</v>
      </c>
      <c r="Q1990" s="13">
        <v>63.03</v>
      </c>
      <c r="R1990" s="1" t="s">
        <v>70</v>
      </c>
      <c r="S1990" s="1">
        <v>4</v>
      </c>
      <c r="T1990" s="1" t="b">
        <v>1</v>
      </c>
      <c r="U1990" s="1" t="s">
        <v>30</v>
      </c>
      <c r="V1990" s="3">
        <v>5</v>
      </c>
    </row>
    <row r="1991" spans="1:22" x14ac:dyDescent="0.3">
      <c r="A1991" s="2" t="s">
        <v>4474</v>
      </c>
      <c r="B1991" s="10">
        <v>44067</v>
      </c>
      <c r="C1991" s="22">
        <v>44067</v>
      </c>
      <c r="D1991" s="1" t="s">
        <v>4475</v>
      </c>
      <c r="E1991" s="1" t="s">
        <v>167</v>
      </c>
      <c r="F1991" s="1">
        <v>20</v>
      </c>
      <c r="G1991" s="1" t="s">
        <v>68</v>
      </c>
      <c r="H1991" s="1" t="s">
        <v>74</v>
      </c>
      <c r="I1991" s="1" t="s">
        <v>101</v>
      </c>
      <c r="J1991" s="1" t="s">
        <v>76</v>
      </c>
      <c r="K1991" s="1" t="s">
        <v>132</v>
      </c>
      <c r="L1991" s="1">
        <v>10</v>
      </c>
      <c r="M1991" s="13">
        <v>3376.68</v>
      </c>
      <c r="N1991" s="15">
        <v>0.25</v>
      </c>
      <c r="O1991" s="13">
        <v>25205.24</v>
      </c>
      <c r="P1991" s="13">
        <v>7511.03</v>
      </c>
      <c r="Q1991" s="13">
        <v>52.49</v>
      </c>
      <c r="R1991" s="1" t="s">
        <v>51</v>
      </c>
      <c r="S1991" s="1">
        <v>2</v>
      </c>
      <c r="T1991" s="1" t="b">
        <v>0</v>
      </c>
      <c r="U1991" s="1" t="s">
        <v>39</v>
      </c>
      <c r="V1991" s="3">
        <v>6</v>
      </c>
    </row>
    <row r="1992" spans="1:22" x14ac:dyDescent="0.3">
      <c r="A1992" s="2" t="s">
        <v>4476</v>
      </c>
      <c r="B1992" s="10">
        <v>44740</v>
      </c>
      <c r="C1992" s="22">
        <v>44740</v>
      </c>
      <c r="D1992" s="1" t="s">
        <v>4477</v>
      </c>
      <c r="E1992" s="1" t="s">
        <v>1312</v>
      </c>
      <c r="F1992" s="1">
        <v>28</v>
      </c>
      <c r="G1992" s="1" t="s">
        <v>391</v>
      </c>
      <c r="H1992" s="1" t="s">
        <v>82</v>
      </c>
      <c r="I1992" s="1" t="s">
        <v>83</v>
      </c>
      <c r="J1992" s="1" t="s">
        <v>146</v>
      </c>
      <c r="K1992" s="1" t="s">
        <v>147</v>
      </c>
      <c r="L1992" s="1">
        <v>10</v>
      </c>
      <c r="M1992" s="13">
        <v>6754.43</v>
      </c>
      <c r="N1992" s="15">
        <v>0.27</v>
      </c>
      <c r="O1992" s="13">
        <v>62381.81</v>
      </c>
      <c r="P1992" s="13">
        <v>13614.67</v>
      </c>
      <c r="Q1992" s="13">
        <v>90.67</v>
      </c>
      <c r="R1992" s="1" t="s">
        <v>78</v>
      </c>
      <c r="S1992" s="1">
        <v>2</v>
      </c>
      <c r="T1992" s="1" t="b">
        <v>1</v>
      </c>
      <c r="U1992" s="1" t="s">
        <v>30</v>
      </c>
      <c r="V1992" s="3">
        <v>5</v>
      </c>
    </row>
    <row r="1993" spans="1:22" x14ac:dyDescent="0.3">
      <c r="A1993" s="2" t="s">
        <v>4478</v>
      </c>
      <c r="B1993" s="10">
        <v>44540</v>
      </c>
      <c r="C1993" s="22">
        <v>44540</v>
      </c>
      <c r="D1993" s="1" t="s">
        <v>4479</v>
      </c>
      <c r="E1993" s="1" t="s">
        <v>375</v>
      </c>
      <c r="F1993" s="1">
        <v>25</v>
      </c>
      <c r="G1993" s="1" t="s">
        <v>68</v>
      </c>
      <c r="H1993" s="1" t="s">
        <v>82</v>
      </c>
      <c r="I1993" s="1" t="s">
        <v>83</v>
      </c>
      <c r="J1993" s="1" t="s">
        <v>44</v>
      </c>
      <c r="K1993" s="1" t="s">
        <v>186</v>
      </c>
      <c r="L1993" s="1">
        <v>1</v>
      </c>
      <c r="M1993" s="13">
        <v>22660.17</v>
      </c>
      <c r="N1993" s="15">
        <v>0.02</v>
      </c>
      <c r="O1993" s="13">
        <v>14757.73</v>
      </c>
      <c r="P1993" s="13">
        <v>4052.14</v>
      </c>
      <c r="Q1993" s="13">
        <v>91.15</v>
      </c>
      <c r="R1993" s="1" t="s">
        <v>64</v>
      </c>
      <c r="S1993" s="1">
        <v>4</v>
      </c>
      <c r="T1993" s="1" t="b">
        <v>0</v>
      </c>
      <c r="U1993" s="1" t="s">
        <v>58</v>
      </c>
      <c r="V1993" s="3">
        <v>10</v>
      </c>
    </row>
    <row r="1994" spans="1:22" x14ac:dyDescent="0.3">
      <c r="A1994" s="2" t="s">
        <v>4480</v>
      </c>
      <c r="B1994" s="10">
        <v>43975</v>
      </c>
      <c r="C1994" s="22">
        <v>43975</v>
      </c>
      <c r="D1994" s="1" t="s">
        <v>4481</v>
      </c>
      <c r="E1994" s="1" t="s">
        <v>1586</v>
      </c>
      <c r="F1994" s="1">
        <v>28</v>
      </c>
      <c r="G1994" s="1" t="s">
        <v>463</v>
      </c>
      <c r="H1994" s="1" t="s">
        <v>111</v>
      </c>
      <c r="I1994" s="1" t="s">
        <v>141</v>
      </c>
      <c r="J1994" s="1" t="s">
        <v>27</v>
      </c>
      <c r="K1994" s="1" t="s">
        <v>430</v>
      </c>
      <c r="L1994" s="1">
        <v>10</v>
      </c>
      <c r="M1994" s="13">
        <v>162.52000000000001</v>
      </c>
      <c r="N1994" s="15">
        <v>0.09</v>
      </c>
      <c r="O1994" s="13">
        <v>1867.23</v>
      </c>
      <c r="P1994" s="13">
        <v>150.49</v>
      </c>
      <c r="Q1994" s="13">
        <v>86.74</v>
      </c>
      <c r="R1994" s="1" t="s">
        <v>57</v>
      </c>
      <c r="S1994" s="1">
        <v>5</v>
      </c>
      <c r="T1994" s="1" t="b">
        <v>0</v>
      </c>
      <c r="U1994" s="1" t="s">
        <v>39</v>
      </c>
      <c r="V1994" s="3">
        <v>10</v>
      </c>
    </row>
    <row r="1995" spans="1:22" x14ac:dyDescent="0.3">
      <c r="A1995" s="2" t="s">
        <v>4482</v>
      </c>
      <c r="B1995" s="10">
        <v>45110</v>
      </c>
      <c r="C1995" s="22">
        <v>45110</v>
      </c>
      <c r="D1995" s="1" t="s">
        <v>4483</v>
      </c>
      <c r="E1995" s="1" t="s">
        <v>203</v>
      </c>
      <c r="F1995" s="1">
        <v>31</v>
      </c>
      <c r="G1995" s="1" t="s">
        <v>24</v>
      </c>
      <c r="H1995" s="1" t="s">
        <v>25</v>
      </c>
      <c r="I1995" s="1" t="s">
        <v>26</v>
      </c>
      <c r="J1995" s="1" t="s">
        <v>76</v>
      </c>
      <c r="K1995" s="1" t="s">
        <v>207</v>
      </c>
      <c r="L1995" s="1">
        <v>1</v>
      </c>
      <c r="M1995" s="13">
        <v>362.3</v>
      </c>
      <c r="N1995" s="15">
        <v>0.37</v>
      </c>
      <c r="O1995" s="13">
        <v>319.67</v>
      </c>
      <c r="P1995" s="13">
        <v>152.66</v>
      </c>
      <c r="Q1995" s="13">
        <v>52.96</v>
      </c>
      <c r="R1995" s="1" t="s">
        <v>70</v>
      </c>
      <c r="S1995" s="1">
        <v>4</v>
      </c>
      <c r="T1995" s="1" t="b">
        <v>0</v>
      </c>
      <c r="U1995" s="1" t="s">
        <v>197</v>
      </c>
      <c r="V1995" s="3">
        <v>3</v>
      </c>
    </row>
    <row r="1996" spans="1:22" x14ac:dyDescent="0.3">
      <c r="A1996" s="2" t="s">
        <v>4484</v>
      </c>
      <c r="B1996" s="10">
        <v>44401</v>
      </c>
      <c r="C1996" s="22">
        <v>44401</v>
      </c>
      <c r="D1996" s="1" t="s">
        <v>4485</v>
      </c>
      <c r="E1996" s="1" t="s">
        <v>1079</v>
      </c>
      <c r="F1996" s="1">
        <v>3</v>
      </c>
      <c r="G1996" s="1" t="s">
        <v>68</v>
      </c>
      <c r="H1996" s="1" t="s">
        <v>74</v>
      </c>
      <c r="I1996" s="1" t="s">
        <v>192</v>
      </c>
      <c r="J1996" s="1" t="s">
        <v>146</v>
      </c>
      <c r="K1996" s="1" t="s">
        <v>178</v>
      </c>
      <c r="L1996" s="1">
        <v>5</v>
      </c>
      <c r="M1996" s="13">
        <v>4265.04</v>
      </c>
      <c r="N1996" s="15">
        <v>0.06</v>
      </c>
      <c r="O1996" s="13">
        <v>24870.66</v>
      </c>
      <c r="P1996" s="13">
        <v>5110.16</v>
      </c>
      <c r="Q1996" s="13">
        <v>40.03</v>
      </c>
      <c r="R1996" s="1" t="s">
        <v>57</v>
      </c>
      <c r="S1996" s="1">
        <v>4</v>
      </c>
      <c r="T1996" s="1" t="b">
        <v>0</v>
      </c>
      <c r="U1996" s="1" t="s">
        <v>39</v>
      </c>
      <c r="V1996" s="3">
        <v>6</v>
      </c>
    </row>
    <row r="1997" spans="1:22" x14ac:dyDescent="0.3">
      <c r="A1997" s="2" t="s">
        <v>4486</v>
      </c>
      <c r="B1997" s="10">
        <v>45085</v>
      </c>
      <c r="C1997" s="22">
        <v>45085</v>
      </c>
      <c r="D1997" s="1" t="s">
        <v>4487</v>
      </c>
      <c r="E1997" s="1" t="s">
        <v>1216</v>
      </c>
      <c r="F1997" s="1">
        <v>41</v>
      </c>
      <c r="G1997" s="1" t="s">
        <v>68</v>
      </c>
      <c r="H1997" s="1" t="s">
        <v>74</v>
      </c>
      <c r="I1997" s="1" t="s">
        <v>75</v>
      </c>
      <c r="J1997" s="1" t="s">
        <v>27</v>
      </c>
      <c r="K1997" s="1" t="s">
        <v>28</v>
      </c>
      <c r="L1997" s="1">
        <v>9</v>
      </c>
      <c r="M1997" s="13">
        <v>193.51</v>
      </c>
      <c r="N1997" s="15">
        <v>0.35</v>
      </c>
      <c r="O1997" s="13">
        <v>2061</v>
      </c>
      <c r="P1997" s="13">
        <v>255.36</v>
      </c>
      <c r="Q1997" s="13">
        <v>60.83</v>
      </c>
      <c r="R1997" s="1" t="s">
        <v>29</v>
      </c>
      <c r="S1997" s="1">
        <v>5</v>
      </c>
      <c r="T1997" s="1" t="b">
        <v>0</v>
      </c>
      <c r="U1997" s="1" t="s">
        <v>137</v>
      </c>
      <c r="V1997" s="3">
        <v>3</v>
      </c>
    </row>
    <row r="1998" spans="1:22" x14ac:dyDescent="0.3">
      <c r="A1998" s="2" t="s">
        <v>4488</v>
      </c>
      <c r="B1998" s="10">
        <v>45093</v>
      </c>
      <c r="C1998" s="22">
        <v>45093</v>
      </c>
      <c r="D1998" s="1" t="s">
        <v>4489</v>
      </c>
      <c r="E1998" s="1" t="s">
        <v>4129</v>
      </c>
      <c r="F1998" s="1">
        <v>48</v>
      </c>
      <c r="G1998" s="1" t="s">
        <v>24</v>
      </c>
      <c r="H1998" s="1" t="s">
        <v>35</v>
      </c>
      <c r="I1998" s="1" t="s">
        <v>49</v>
      </c>
      <c r="J1998" s="1" t="s">
        <v>37</v>
      </c>
      <c r="K1998" s="1" t="s">
        <v>38</v>
      </c>
      <c r="L1998" s="1">
        <v>10</v>
      </c>
      <c r="M1998" s="13">
        <v>1834.25</v>
      </c>
      <c r="N1998" s="15">
        <v>0.11</v>
      </c>
      <c r="O1998" s="13">
        <v>24185.57</v>
      </c>
      <c r="P1998" s="13">
        <v>12598.93</v>
      </c>
      <c r="Q1998" s="13">
        <v>80.64</v>
      </c>
      <c r="R1998" s="1" t="s">
        <v>78</v>
      </c>
      <c r="S1998" s="1">
        <v>1</v>
      </c>
      <c r="T1998" s="1" t="b">
        <v>0</v>
      </c>
      <c r="U1998" s="1" t="s">
        <v>39</v>
      </c>
      <c r="V1998" s="3">
        <v>8</v>
      </c>
    </row>
    <row r="1999" spans="1:22" x14ac:dyDescent="0.3">
      <c r="A1999" s="2" t="s">
        <v>4490</v>
      </c>
      <c r="B1999" s="10">
        <v>44569</v>
      </c>
      <c r="C1999" s="22">
        <v>44569</v>
      </c>
      <c r="D1999" s="1" t="s">
        <v>1347</v>
      </c>
      <c r="E1999" s="1" t="s">
        <v>940</v>
      </c>
      <c r="F1999" s="1">
        <v>6</v>
      </c>
      <c r="G1999" s="1" t="s">
        <v>34</v>
      </c>
      <c r="H1999" s="1" t="s">
        <v>111</v>
      </c>
      <c r="I1999" s="1" t="s">
        <v>121</v>
      </c>
      <c r="J1999" s="1" t="s">
        <v>76</v>
      </c>
      <c r="K1999" s="1" t="s">
        <v>132</v>
      </c>
      <c r="L1999" s="1">
        <v>4</v>
      </c>
      <c r="M1999" s="13">
        <v>2590.6999999999998</v>
      </c>
      <c r="N1999" s="15">
        <v>0.01</v>
      </c>
      <c r="O1999" s="13">
        <v>8555.42</v>
      </c>
      <c r="P1999" s="13">
        <v>3097.74</v>
      </c>
      <c r="Q1999" s="13">
        <v>67.930000000000007</v>
      </c>
      <c r="R1999" s="1" t="s">
        <v>57</v>
      </c>
      <c r="S1999" s="1">
        <v>4</v>
      </c>
      <c r="T1999" s="1" t="b">
        <v>0</v>
      </c>
      <c r="U1999" s="1" t="s">
        <v>39</v>
      </c>
      <c r="V1999" s="3">
        <v>9</v>
      </c>
    </row>
    <row r="2000" spans="1:22" x14ac:dyDescent="0.3">
      <c r="A2000" s="2" t="s">
        <v>4491</v>
      </c>
      <c r="B2000" s="10">
        <v>44965</v>
      </c>
      <c r="C2000" s="22">
        <v>44965</v>
      </c>
      <c r="D2000" s="1" t="s">
        <v>4492</v>
      </c>
      <c r="E2000" s="1" t="s">
        <v>861</v>
      </c>
      <c r="F2000" s="1">
        <v>46</v>
      </c>
      <c r="G2000" s="1" t="s">
        <v>24</v>
      </c>
      <c r="H2000" s="1" t="s">
        <v>82</v>
      </c>
      <c r="I2000" s="1" t="s">
        <v>293</v>
      </c>
      <c r="J2000" s="1" t="s">
        <v>44</v>
      </c>
      <c r="K2000" s="1" t="s">
        <v>221</v>
      </c>
      <c r="L2000" s="1">
        <v>5</v>
      </c>
      <c r="M2000" s="13">
        <v>25731.5</v>
      </c>
      <c r="N2000" s="15">
        <v>0.15</v>
      </c>
      <c r="O2000" s="13">
        <v>25153.93</v>
      </c>
      <c r="P2000" s="13">
        <v>6532.8</v>
      </c>
      <c r="Q2000" s="13">
        <v>67.790000000000006</v>
      </c>
      <c r="R2000" s="1" t="s">
        <v>78</v>
      </c>
      <c r="S2000" s="1">
        <v>2</v>
      </c>
      <c r="T2000" s="1" t="b">
        <v>0</v>
      </c>
      <c r="U2000" s="1" t="s">
        <v>39</v>
      </c>
      <c r="V2000" s="3">
        <v>2</v>
      </c>
    </row>
    <row r="2001" spans="1:22" x14ac:dyDescent="0.3">
      <c r="A2001" s="2" t="s">
        <v>4493</v>
      </c>
      <c r="B2001" s="10">
        <v>44255</v>
      </c>
      <c r="C2001" s="22">
        <v>44255</v>
      </c>
      <c r="D2001" s="1" t="s">
        <v>4494</v>
      </c>
      <c r="E2001" s="1" t="s">
        <v>200</v>
      </c>
      <c r="F2001" s="1">
        <v>38</v>
      </c>
      <c r="G2001" s="1" t="s">
        <v>68</v>
      </c>
      <c r="H2001" s="1" t="s">
        <v>82</v>
      </c>
      <c r="I2001" s="1" t="s">
        <v>244</v>
      </c>
      <c r="J2001" s="1" t="s">
        <v>37</v>
      </c>
      <c r="K2001" s="1" t="s">
        <v>182</v>
      </c>
      <c r="L2001" s="1">
        <v>3</v>
      </c>
      <c r="M2001" s="13">
        <v>892.77</v>
      </c>
      <c r="N2001" s="15">
        <v>0.28000000000000003</v>
      </c>
      <c r="O2001" s="13">
        <v>1753.17</v>
      </c>
      <c r="P2001" s="13">
        <v>830.67</v>
      </c>
      <c r="Q2001" s="13">
        <v>58.34</v>
      </c>
      <c r="R2001" s="1" t="s">
        <v>57</v>
      </c>
      <c r="S2001" s="1">
        <v>2</v>
      </c>
      <c r="T2001" s="1" t="b">
        <v>0</v>
      </c>
      <c r="U2001" s="1" t="s">
        <v>58</v>
      </c>
      <c r="V2001" s="3">
        <v>7</v>
      </c>
    </row>
    <row r="2002" spans="1:22" x14ac:dyDescent="0.3">
      <c r="A2002" s="2" t="s">
        <v>4495</v>
      </c>
      <c r="B2002" s="10">
        <v>45264</v>
      </c>
      <c r="C2002" s="22">
        <v>45264</v>
      </c>
      <c r="D2002" s="1" t="s">
        <v>4496</v>
      </c>
      <c r="E2002" s="1" t="s">
        <v>1459</v>
      </c>
      <c r="F2002" s="1">
        <v>34</v>
      </c>
      <c r="G2002" s="1" t="s">
        <v>434</v>
      </c>
      <c r="H2002" s="1" t="s">
        <v>111</v>
      </c>
      <c r="I2002" s="1" t="s">
        <v>112</v>
      </c>
      <c r="J2002" s="1" t="s">
        <v>127</v>
      </c>
      <c r="K2002" s="1" t="s">
        <v>171</v>
      </c>
      <c r="L2002" s="1">
        <v>5</v>
      </c>
      <c r="M2002" s="13">
        <v>9244.7800000000007</v>
      </c>
      <c r="N2002" s="15">
        <v>0.33</v>
      </c>
      <c r="O2002" s="13">
        <v>27641.06</v>
      </c>
      <c r="P2002" s="13">
        <v>3683.19</v>
      </c>
      <c r="Q2002" s="13">
        <v>66.349999999999994</v>
      </c>
      <c r="R2002" s="1" t="s">
        <v>70</v>
      </c>
      <c r="S2002" s="1">
        <v>3</v>
      </c>
      <c r="T2002" s="1" t="b">
        <v>0</v>
      </c>
      <c r="U2002" s="1" t="s">
        <v>39</v>
      </c>
      <c r="V2002" s="3">
        <v>7</v>
      </c>
    </row>
    <row r="2003" spans="1:22" x14ac:dyDescent="0.3">
      <c r="A2003" s="2" t="s">
        <v>4497</v>
      </c>
      <c r="B2003" s="10">
        <v>45609</v>
      </c>
      <c r="C2003" s="22">
        <v>45609</v>
      </c>
      <c r="D2003" s="1" t="s">
        <v>4498</v>
      </c>
      <c r="E2003" s="1" t="s">
        <v>48</v>
      </c>
      <c r="F2003" s="1">
        <v>38</v>
      </c>
      <c r="G2003" s="1" t="s">
        <v>68</v>
      </c>
      <c r="H2003" s="1" t="s">
        <v>74</v>
      </c>
      <c r="I2003" s="1" t="s">
        <v>192</v>
      </c>
      <c r="J2003" s="1" t="s">
        <v>76</v>
      </c>
      <c r="K2003" s="1" t="s">
        <v>89</v>
      </c>
      <c r="L2003" s="1">
        <v>4</v>
      </c>
      <c r="M2003" s="13">
        <v>485.84</v>
      </c>
      <c r="N2003" s="15">
        <v>0.21</v>
      </c>
      <c r="O2003" s="13">
        <v>1531.45</v>
      </c>
      <c r="P2003" s="13">
        <v>454.16</v>
      </c>
      <c r="Q2003" s="13">
        <v>69.77</v>
      </c>
      <c r="R2003" s="1" t="s">
        <v>51</v>
      </c>
      <c r="S2003" s="1">
        <v>3</v>
      </c>
      <c r="T2003" s="1" t="b">
        <v>0</v>
      </c>
      <c r="U2003" s="1" t="s">
        <v>137</v>
      </c>
      <c r="V2003" s="3">
        <v>1</v>
      </c>
    </row>
    <row r="2004" spans="1:22" x14ac:dyDescent="0.3">
      <c r="A2004" s="2" t="s">
        <v>4499</v>
      </c>
      <c r="B2004" s="10">
        <v>45114</v>
      </c>
      <c r="C2004" s="22">
        <v>45114</v>
      </c>
      <c r="D2004" s="1" t="s">
        <v>4500</v>
      </c>
      <c r="E2004" s="1" t="s">
        <v>105</v>
      </c>
      <c r="F2004" s="1">
        <v>23</v>
      </c>
      <c r="G2004" s="1" t="s">
        <v>68</v>
      </c>
      <c r="H2004" s="1" t="s">
        <v>111</v>
      </c>
      <c r="I2004" s="1" t="s">
        <v>112</v>
      </c>
      <c r="J2004" s="1" t="s">
        <v>62</v>
      </c>
      <c r="K2004" s="1" t="s">
        <v>570</v>
      </c>
      <c r="L2004" s="1">
        <v>3</v>
      </c>
      <c r="M2004" s="13">
        <v>224.89</v>
      </c>
      <c r="N2004" s="15">
        <v>0.21</v>
      </c>
      <c r="O2004" s="13">
        <v>1128.03</v>
      </c>
      <c r="P2004" s="13">
        <v>458.02</v>
      </c>
      <c r="Q2004" s="13">
        <v>65.2</v>
      </c>
      <c r="R2004" s="1" t="s">
        <v>78</v>
      </c>
      <c r="S2004" s="1">
        <v>4</v>
      </c>
      <c r="T2004" s="1" t="b">
        <v>0</v>
      </c>
      <c r="U2004" s="1" t="s">
        <v>84</v>
      </c>
      <c r="V2004" s="3">
        <v>6</v>
      </c>
    </row>
    <row r="2005" spans="1:22" x14ac:dyDescent="0.3">
      <c r="A2005" s="2" t="s">
        <v>4501</v>
      </c>
      <c r="B2005" s="10">
        <v>44061</v>
      </c>
      <c r="C2005" s="22">
        <v>44061</v>
      </c>
      <c r="D2005" s="1" t="s">
        <v>4502</v>
      </c>
      <c r="E2005" s="1" t="s">
        <v>608</v>
      </c>
      <c r="F2005" s="1">
        <v>16</v>
      </c>
      <c r="G2005" s="1" t="s">
        <v>391</v>
      </c>
      <c r="H2005" s="1" t="s">
        <v>82</v>
      </c>
      <c r="I2005" s="1" t="s">
        <v>244</v>
      </c>
      <c r="J2005" s="1" t="s">
        <v>76</v>
      </c>
      <c r="K2005" s="1" t="s">
        <v>77</v>
      </c>
      <c r="L2005" s="1">
        <v>8</v>
      </c>
      <c r="M2005" s="13">
        <v>3254.74</v>
      </c>
      <c r="N2005" s="15">
        <v>0.38</v>
      </c>
      <c r="O2005" s="13">
        <v>17118.02</v>
      </c>
      <c r="P2005" s="13">
        <v>5544.03</v>
      </c>
      <c r="Q2005" s="13">
        <v>75.02</v>
      </c>
      <c r="R2005" s="1" t="s">
        <v>70</v>
      </c>
      <c r="S2005" s="1">
        <v>2</v>
      </c>
      <c r="T2005" s="1" t="b">
        <v>1</v>
      </c>
      <c r="U2005" s="1" t="s">
        <v>30</v>
      </c>
      <c r="V2005" s="3">
        <v>4</v>
      </c>
    </row>
    <row r="2006" spans="1:22" x14ac:dyDescent="0.3">
      <c r="A2006" s="2" t="s">
        <v>4503</v>
      </c>
      <c r="B2006" s="10">
        <v>44814</v>
      </c>
      <c r="C2006" s="22">
        <v>44814</v>
      </c>
      <c r="D2006" s="1" t="s">
        <v>4504</v>
      </c>
      <c r="E2006" s="1" t="s">
        <v>426</v>
      </c>
      <c r="F2006" s="1">
        <v>45</v>
      </c>
      <c r="G2006" s="1" t="s">
        <v>24</v>
      </c>
      <c r="H2006" s="1" t="s">
        <v>74</v>
      </c>
      <c r="I2006" s="1" t="s">
        <v>101</v>
      </c>
      <c r="J2006" s="1" t="s">
        <v>127</v>
      </c>
      <c r="K2006" s="1" t="s">
        <v>128</v>
      </c>
      <c r="L2006" s="1">
        <v>4</v>
      </c>
      <c r="M2006" s="13">
        <v>37633.82</v>
      </c>
      <c r="N2006" s="15">
        <v>0.33</v>
      </c>
      <c r="O2006" s="13">
        <v>125197.09</v>
      </c>
      <c r="P2006" s="13">
        <v>14972.92</v>
      </c>
      <c r="Q2006" s="13">
        <v>53.12</v>
      </c>
      <c r="R2006" s="1" t="s">
        <v>78</v>
      </c>
      <c r="S2006" s="1">
        <v>4</v>
      </c>
      <c r="T2006" s="1" t="b">
        <v>0</v>
      </c>
      <c r="U2006" s="1" t="s">
        <v>39</v>
      </c>
      <c r="V2006" s="3">
        <v>2</v>
      </c>
    </row>
    <row r="2007" spans="1:22" x14ac:dyDescent="0.3">
      <c r="A2007" s="2" t="s">
        <v>4505</v>
      </c>
      <c r="B2007" s="10">
        <v>44080</v>
      </c>
      <c r="C2007" s="22">
        <v>44080</v>
      </c>
      <c r="D2007" s="1" t="s">
        <v>4506</v>
      </c>
      <c r="E2007" s="1" t="s">
        <v>203</v>
      </c>
      <c r="F2007" s="1">
        <v>36</v>
      </c>
      <c r="G2007" s="1" t="s">
        <v>34</v>
      </c>
      <c r="H2007" s="1" t="s">
        <v>82</v>
      </c>
      <c r="I2007" s="1" t="s">
        <v>126</v>
      </c>
      <c r="J2007" s="1" t="s">
        <v>62</v>
      </c>
      <c r="K2007" s="1" t="s">
        <v>151</v>
      </c>
      <c r="L2007" s="1">
        <v>8</v>
      </c>
      <c r="M2007" s="13">
        <v>224.05</v>
      </c>
      <c r="N2007" s="15">
        <v>0.35</v>
      </c>
      <c r="O2007" s="13">
        <v>1031.47</v>
      </c>
      <c r="P2007" s="13">
        <v>454.3</v>
      </c>
      <c r="Q2007" s="13">
        <v>63.62</v>
      </c>
      <c r="R2007" s="1" t="s">
        <v>64</v>
      </c>
      <c r="S2007" s="1">
        <v>3</v>
      </c>
      <c r="T2007" s="1" t="b">
        <v>0</v>
      </c>
      <c r="U2007" s="1" t="s">
        <v>39</v>
      </c>
      <c r="V2007" s="3">
        <v>6</v>
      </c>
    </row>
    <row r="2008" spans="1:22" x14ac:dyDescent="0.3">
      <c r="A2008" s="2" t="s">
        <v>4507</v>
      </c>
      <c r="B2008" s="10">
        <v>45654</v>
      </c>
      <c r="C2008" s="22">
        <v>45654</v>
      </c>
      <c r="D2008" s="1" t="s">
        <v>4508</v>
      </c>
      <c r="E2008" s="1" t="s">
        <v>3518</v>
      </c>
      <c r="F2008" s="1">
        <v>33</v>
      </c>
      <c r="G2008" s="1" t="s">
        <v>68</v>
      </c>
      <c r="H2008" s="1" t="s">
        <v>35</v>
      </c>
      <c r="I2008" s="1" t="s">
        <v>36</v>
      </c>
      <c r="J2008" s="1" t="s">
        <v>27</v>
      </c>
      <c r="K2008" s="1" t="s">
        <v>28</v>
      </c>
      <c r="L2008" s="1">
        <v>1</v>
      </c>
      <c r="M2008" s="13">
        <v>51.21</v>
      </c>
      <c r="N2008" s="15">
        <v>0.14000000000000001</v>
      </c>
      <c r="O2008" s="13">
        <v>42.95</v>
      </c>
      <c r="P2008" s="13">
        <v>2.98</v>
      </c>
      <c r="Q2008" s="13">
        <v>49.87</v>
      </c>
      <c r="R2008" s="1" t="s">
        <v>51</v>
      </c>
      <c r="S2008" s="1">
        <v>4</v>
      </c>
      <c r="T2008" s="1" t="b">
        <v>0</v>
      </c>
      <c r="U2008" s="1" t="s">
        <v>58</v>
      </c>
      <c r="V2008" s="3">
        <v>8</v>
      </c>
    </row>
    <row r="2009" spans="1:22" x14ac:dyDescent="0.3">
      <c r="A2009" s="2" t="s">
        <v>4509</v>
      </c>
      <c r="B2009" s="10">
        <v>44921</v>
      </c>
      <c r="C2009" s="22">
        <v>44921</v>
      </c>
      <c r="D2009" s="1" t="s">
        <v>4510</v>
      </c>
      <c r="E2009" s="1" t="s">
        <v>329</v>
      </c>
      <c r="F2009" s="1">
        <v>33</v>
      </c>
      <c r="G2009" s="1" t="s">
        <v>68</v>
      </c>
      <c r="H2009" s="1" t="s">
        <v>74</v>
      </c>
      <c r="I2009" s="1" t="s">
        <v>136</v>
      </c>
      <c r="J2009" s="1" t="s">
        <v>76</v>
      </c>
      <c r="K2009" s="1" t="s">
        <v>132</v>
      </c>
      <c r="L2009" s="1">
        <v>4</v>
      </c>
      <c r="M2009" s="13">
        <v>1099.8399999999999</v>
      </c>
      <c r="N2009" s="15">
        <v>0.38</v>
      </c>
      <c r="O2009" s="13">
        <v>2509.02</v>
      </c>
      <c r="P2009" s="13">
        <v>890.82</v>
      </c>
      <c r="Q2009" s="13">
        <v>49.1</v>
      </c>
      <c r="R2009" s="1" t="s">
        <v>29</v>
      </c>
      <c r="S2009" s="1">
        <v>1</v>
      </c>
      <c r="T2009" s="1" t="b">
        <v>0</v>
      </c>
      <c r="U2009" s="1" t="s">
        <v>84</v>
      </c>
      <c r="V2009" s="3">
        <v>8</v>
      </c>
    </row>
    <row r="2010" spans="1:22" x14ac:dyDescent="0.3">
      <c r="A2010" s="2" t="s">
        <v>4511</v>
      </c>
      <c r="B2010" s="10">
        <v>44268</v>
      </c>
      <c r="C2010" s="22">
        <v>44268</v>
      </c>
      <c r="D2010" s="1" t="s">
        <v>4512</v>
      </c>
      <c r="E2010" s="1" t="s">
        <v>2257</v>
      </c>
      <c r="F2010" s="1">
        <v>33</v>
      </c>
      <c r="G2010" s="1" t="s">
        <v>34</v>
      </c>
      <c r="H2010" s="1" t="s">
        <v>82</v>
      </c>
      <c r="I2010" s="1" t="s">
        <v>244</v>
      </c>
      <c r="J2010" s="1" t="s">
        <v>27</v>
      </c>
      <c r="K2010" s="1" t="s">
        <v>28</v>
      </c>
      <c r="L2010" s="1">
        <v>1</v>
      </c>
      <c r="M2010" s="13">
        <v>314.79000000000002</v>
      </c>
      <c r="N2010" s="15">
        <v>0.34</v>
      </c>
      <c r="O2010" s="13">
        <v>241.87</v>
      </c>
      <c r="P2010" s="13">
        <v>12.49</v>
      </c>
      <c r="Q2010" s="13">
        <v>85.01</v>
      </c>
      <c r="R2010" s="1" t="s">
        <v>78</v>
      </c>
      <c r="S2010" s="1">
        <v>2</v>
      </c>
      <c r="T2010" s="1" t="b">
        <v>0</v>
      </c>
      <c r="U2010" s="1" t="s">
        <v>39</v>
      </c>
      <c r="V2010" s="3">
        <v>2</v>
      </c>
    </row>
    <row r="2011" spans="1:22" x14ac:dyDescent="0.3">
      <c r="A2011" s="2" t="s">
        <v>4513</v>
      </c>
      <c r="B2011" s="10">
        <v>44351</v>
      </c>
      <c r="C2011" s="22">
        <v>44351</v>
      </c>
      <c r="D2011" s="1" t="s">
        <v>4514</v>
      </c>
      <c r="E2011" s="1" t="s">
        <v>344</v>
      </c>
      <c r="F2011" s="1">
        <v>22</v>
      </c>
      <c r="G2011" s="1" t="s">
        <v>34</v>
      </c>
      <c r="H2011" s="1" t="s">
        <v>35</v>
      </c>
      <c r="I2011" s="1" t="s">
        <v>43</v>
      </c>
      <c r="J2011" s="1" t="s">
        <v>27</v>
      </c>
      <c r="K2011" s="1" t="s">
        <v>56</v>
      </c>
      <c r="L2011" s="1">
        <v>4</v>
      </c>
      <c r="M2011" s="13">
        <v>246.85</v>
      </c>
      <c r="N2011" s="15">
        <v>0.34</v>
      </c>
      <c r="O2011" s="13">
        <v>775.23</v>
      </c>
      <c r="P2011" s="13">
        <v>66.87</v>
      </c>
      <c r="Q2011" s="13">
        <v>76.63</v>
      </c>
      <c r="R2011" s="1" t="s">
        <v>64</v>
      </c>
      <c r="S2011" s="1">
        <v>3</v>
      </c>
      <c r="T2011" s="1" t="b">
        <v>1</v>
      </c>
      <c r="U2011" s="1" t="s">
        <v>30</v>
      </c>
      <c r="V2011" s="3">
        <v>3</v>
      </c>
    </row>
    <row r="2012" spans="1:22" x14ac:dyDescent="0.3">
      <c r="A2012" s="2" t="s">
        <v>4515</v>
      </c>
      <c r="B2012" s="10">
        <v>44924</v>
      </c>
      <c r="C2012" s="22">
        <v>44924</v>
      </c>
      <c r="D2012" s="1" t="s">
        <v>4516</v>
      </c>
      <c r="E2012" s="1" t="s">
        <v>705</v>
      </c>
      <c r="F2012" s="1">
        <v>44</v>
      </c>
      <c r="G2012" s="1" t="s">
        <v>34</v>
      </c>
      <c r="H2012" s="1" t="s">
        <v>111</v>
      </c>
      <c r="I2012" s="1" t="s">
        <v>112</v>
      </c>
      <c r="J2012" s="1" t="s">
        <v>62</v>
      </c>
      <c r="K2012" s="1" t="s">
        <v>266</v>
      </c>
      <c r="L2012" s="1">
        <v>3</v>
      </c>
      <c r="M2012" s="13">
        <v>893.48</v>
      </c>
      <c r="N2012" s="15">
        <v>0.25</v>
      </c>
      <c r="O2012" s="13">
        <v>1609.93</v>
      </c>
      <c r="P2012" s="13">
        <v>529.42999999999995</v>
      </c>
      <c r="Q2012" s="13">
        <v>71.12</v>
      </c>
      <c r="R2012" s="1" t="s">
        <v>78</v>
      </c>
      <c r="S2012" s="1">
        <v>3</v>
      </c>
      <c r="T2012" s="1" t="b">
        <v>0</v>
      </c>
      <c r="U2012" s="1" t="s">
        <v>39</v>
      </c>
      <c r="V2012" s="3">
        <v>8</v>
      </c>
    </row>
    <row r="2013" spans="1:22" x14ac:dyDescent="0.3">
      <c r="A2013" s="2" t="s">
        <v>4517</v>
      </c>
      <c r="B2013" s="10">
        <v>44619</v>
      </c>
      <c r="C2013" s="22">
        <v>44619</v>
      </c>
      <c r="D2013" s="1" t="s">
        <v>4518</v>
      </c>
      <c r="E2013" s="1" t="s">
        <v>2295</v>
      </c>
      <c r="F2013" s="1">
        <v>27</v>
      </c>
      <c r="G2013" s="1" t="s">
        <v>68</v>
      </c>
      <c r="H2013" s="1" t="s">
        <v>82</v>
      </c>
      <c r="I2013" s="1" t="s">
        <v>244</v>
      </c>
      <c r="J2013" s="1" t="s">
        <v>146</v>
      </c>
      <c r="K2013" s="1" t="s">
        <v>147</v>
      </c>
      <c r="L2013" s="1">
        <v>10</v>
      </c>
      <c r="M2013" s="13">
        <v>5565.04</v>
      </c>
      <c r="N2013" s="15">
        <v>0.32</v>
      </c>
      <c r="O2013" s="13">
        <v>39181</v>
      </c>
      <c r="P2013" s="13">
        <v>7825.8</v>
      </c>
      <c r="Q2013" s="13">
        <v>71.62</v>
      </c>
      <c r="R2013" s="1" t="s">
        <v>70</v>
      </c>
      <c r="S2013" s="1">
        <v>4</v>
      </c>
      <c r="T2013" s="1" t="b">
        <v>0</v>
      </c>
      <c r="U2013" s="1" t="s">
        <v>39</v>
      </c>
      <c r="V2013" s="3">
        <v>3</v>
      </c>
    </row>
    <row r="2014" spans="1:22" x14ac:dyDescent="0.3">
      <c r="A2014" s="2" t="s">
        <v>4519</v>
      </c>
      <c r="B2014" s="10">
        <v>45110</v>
      </c>
      <c r="C2014" s="22">
        <v>45110</v>
      </c>
      <c r="D2014" s="1" t="s">
        <v>4520</v>
      </c>
      <c r="E2014" s="1" t="s">
        <v>412</v>
      </c>
      <c r="F2014" s="1">
        <v>37</v>
      </c>
      <c r="G2014" s="1" t="s">
        <v>24</v>
      </c>
      <c r="H2014" s="1" t="s">
        <v>35</v>
      </c>
      <c r="I2014" s="1" t="s">
        <v>49</v>
      </c>
      <c r="J2014" s="1" t="s">
        <v>62</v>
      </c>
      <c r="K2014" s="1" t="s">
        <v>266</v>
      </c>
      <c r="L2014" s="1">
        <v>4</v>
      </c>
      <c r="M2014" s="13">
        <v>258.16000000000003</v>
      </c>
      <c r="N2014" s="15">
        <v>0.2</v>
      </c>
      <c r="O2014" s="13">
        <v>1147.42</v>
      </c>
      <c r="P2014" s="13">
        <v>452.37</v>
      </c>
      <c r="Q2014" s="13">
        <v>71.77</v>
      </c>
      <c r="R2014" s="1" t="s">
        <v>57</v>
      </c>
      <c r="S2014" s="1">
        <v>5</v>
      </c>
      <c r="T2014" s="1" t="b">
        <v>1</v>
      </c>
      <c r="U2014" s="1" t="s">
        <v>30</v>
      </c>
      <c r="V2014" s="3">
        <v>7</v>
      </c>
    </row>
    <row r="2015" spans="1:22" x14ac:dyDescent="0.3">
      <c r="A2015" s="2" t="s">
        <v>4521</v>
      </c>
      <c r="B2015" s="10">
        <v>44482</v>
      </c>
      <c r="C2015" s="22">
        <v>44482</v>
      </c>
      <c r="D2015" s="1" t="s">
        <v>4522</v>
      </c>
      <c r="E2015" s="1" t="s">
        <v>1335</v>
      </c>
      <c r="F2015" s="1">
        <v>49</v>
      </c>
      <c r="G2015" s="1" t="s">
        <v>68</v>
      </c>
      <c r="H2015" s="1" t="s">
        <v>35</v>
      </c>
      <c r="I2015" s="1" t="s">
        <v>43</v>
      </c>
      <c r="J2015" s="1" t="s">
        <v>62</v>
      </c>
      <c r="K2015" s="1" t="s">
        <v>107</v>
      </c>
      <c r="L2015" s="1">
        <v>10</v>
      </c>
      <c r="M2015" s="13">
        <v>1078.3599999999999</v>
      </c>
      <c r="N2015" s="15">
        <v>0.39</v>
      </c>
      <c r="O2015" s="13">
        <v>5300.77</v>
      </c>
      <c r="P2015" s="13">
        <v>2043.67</v>
      </c>
      <c r="Q2015" s="13">
        <v>59.94</v>
      </c>
      <c r="R2015" s="1" t="s">
        <v>70</v>
      </c>
      <c r="S2015" s="1">
        <v>1</v>
      </c>
      <c r="T2015" s="1" t="b">
        <v>0</v>
      </c>
      <c r="U2015" s="1" t="s">
        <v>39</v>
      </c>
      <c r="V2015" s="3">
        <v>2</v>
      </c>
    </row>
    <row r="2016" spans="1:22" x14ac:dyDescent="0.3">
      <c r="A2016" s="2" t="s">
        <v>4523</v>
      </c>
      <c r="B2016" s="10">
        <v>44907</v>
      </c>
      <c r="C2016" s="22">
        <v>44907</v>
      </c>
      <c r="D2016" s="1" t="s">
        <v>4524</v>
      </c>
      <c r="E2016" s="1" t="s">
        <v>1904</v>
      </c>
      <c r="F2016" s="1">
        <v>24</v>
      </c>
      <c r="G2016" s="1" t="s">
        <v>68</v>
      </c>
      <c r="H2016" s="1" t="s">
        <v>111</v>
      </c>
      <c r="I2016" s="1" t="s">
        <v>112</v>
      </c>
      <c r="J2016" s="1" t="s">
        <v>27</v>
      </c>
      <c r="K2016" s="1" t="s">
        <v>28</v>
      </c>
      <c r="L2016" s="1">
        <v>5</v>
      </c>
      <c r="M2016" s="13">
        <v>256.82</v>
      </c>
      <c r="N2016" s="15">
        <v>0.05</v>
      </c>
      <c r="O2016" s="13">
        <v>1034.27</v>
      </c>
      <c r="P2016" s="13">
        <v>102.49</v>
      </c>
      <c r="Q2016" s="13">
        <v>85.67</v>
      </c>
      <c r="R2016" s="1" t="s">
        <v>78</v>
      </c>
      <c r="S2016" s="1">
        <v>5</v>
      </c>
      <c r="T2016" s="1" t="b">
        <v>0</v>
      </c>
      <c r="U2016" s="1" t="s">
        <v>58</v>
      </c>
      <c r="V2016" s="3">
        <v>6</v>
      </c>
    </row>
    <row r="2017" spans="1:22" x14ac:dyDescent="0.3">
      <c r="A2017" s="2" t="s">
        <v>4525</v>
      </c>
      <c r="B2017" s="10">
        <v>45183</v>
      </c>
      <c r="C2017" s="22">
        <v>45183</v>
      </c>
      <c r="D2017" s="1" t="s">
        <v>4526</v>
      </c>
      <c r="E2017" s="1" t="s">
        <v>189</v>
      </c>
      <c r="F2017" s="1">
        <v>27</v>
      </c>
      <c r="G2017" s="1" t="s">
        <v>24</v>
      </c>
      <c r="H2017" s="1" t="s">
        <v>74</v>
      </c>
      <c r="I2017" s="1" t="s">
        <v>136</v>
      </c>
      <c r="J2017" s="1" t="s">
        <v>27</v>
      </c>
      <c r="K2017" s="1" t="s">
        <v>28</v>
      </c>
      <c r="L2017" s="1">
        <v>2</v>
      </c>
      <c r="M2017" s="13">
        <v>188.27</v>
      </c>
      <c r="N2017" s="15">
        <v>0.27</v>
      </c>
      <c r="O2017" s="13">
        <v>372.56</v>
      </c>
      <c r="P2017" s="13">
        <v>23.33</v>
      </c>
      <c r="Q2017" s="13">
        <v>48.93</v>
      </c>
      <c r="R2017" s="1" t="s">
        <v>64</v>
      </c>
      <c r="S2017" s="1">
        <v>5</v>
      </c>
      <c r="T2017" s="1" t="b">
        <v>0</v>
      </c>
      <c r="U2017" s="1" t="s">
        <v>39</v>
      </c>
      <c r="V2017" s="3">
        <v>8</v>
      </c>
    </row>
    <row r="2018" spans="1:22" x14ac:dyDescent="0.3">
      <c r="A2018" s="2" t="s">
        <v>4527</v>
      </c>
      <c r="B2018" s="10">
        <v>44428</v>
      </c>
      <c r="C2018" s="22">
        <v>44428</v>
      </c>
      <c r="D2018" s="1" t="s">
        <v>4528</v>
      </c>
      <c r="E2018" s="1" t="s">
        <v>528</v>
      </c>
      <c r="F2018" s="1">
        <v>26</v>
      </c>
      <c r="G2018" s="1" t="s">
        <v>68</v>
      </c>
      <c r="H2018" s="1" t="s">
        <v>82</v>
      </c>
      <c r="I2018" s="1" t="s">
        <v>126</v>
      </c>
      <c r="J2018" s="1" t="s">
        <v>37</v>
      </c>
      <c r="K2018" s="1" t="s">
        <v>102</v>
      </c>
      <c r="L2018" s="1">
        <v>9</v>
      </c>
      <c r="M2018" s="13">
        <v>296.29000000000002</v>
      </c>
      <c r="N2018" s="15">
        <v>0.39</v>
      </c>
      <c r="O2018" s="13">
        <v>2124.79</v>
      </c>
      <c r="P2018" s="13">
        <v>1395.29</v>
      </c>
      <c r="Q2018" s="13">
        <v>84.16</v>
      </c>
      <c r="R2018" s="1" t="s">
        <v>29</v>
      </c>
      <c r="S2018" s="1">
        <v>4</v>
      </c>
      <c r="T2018" s="1" t="b">
        <v>0</v>
      </c>
      <c r="U2018" s="1" t="s">
        <v>39</v>
      </c>
      <c r="V2018" s="3">
        <v>10</v>
      </c>
    </row>
    <row r="2019" spans="1:22" x14ac:dyDescent="0.3">
      <c r="A2019" s="2" t="s">
        <v>4529</v>
      </c>
      <c r="B2019" s="10">
        <v>44766</v>
      </c>
      <c r="C2019" s="22">
        <v>44766</v>
      </c>
      <c r="D2019" s="1" t="s">
        <v>4530</v>
      </c>
      <c r="E2019" s="1" t="s">
        <v>4531</v>
      </c>
      <c r="F2019" s="1">
        <v>54</v>
      </c>
      <c r="G2019" s="1" t="s">
        <v>24</v>
      </c>
      <c r="H2019" s="1" t="s">
        <v>35</v>
      </c>
      <c r="I2019" s="1" t="s">
        <v>106</v>
      </c>
      <c r="J2019" s="1" t="s">
        <v>37</v>
      </c>
      <c r="K2019" s="1" t="s">
        <v>38</v>
      </c>
      <c r="L2019" s="1">
        <v>2</v>
      </c>
      <c r="M2019" s="13">
        <v>1392.89</v>
      </c>
      <c r="N2019" s="15">
        <v>0.22</v>
      </c>
      <c r="O2019" s="13">
        <v>3170.9</v>
      </c>
      <c r="P2019" s="13">
        <v>1551.48</v>
      </c>
      <c r="Q2019" s="13">
        <v>64.72</v>
      </c>
      <c r="R2019" s="1" t="s">
        <v>78</v>
      </c>
      <c r="S2019" s="1">
        <v>3</v>
      </c>
      <c r="T2019" s="1" t="b">
        <v>0</v>
      </c>
      <c r="U2019" s="1" t="s">
        <v>84</v>
      </c>
      <c r="V2019" s="3">
        <v>3</v>
      </c>
    </row>
    <row r="2020" spans="1:22" x14ac:dyDescent="0.3">
      <c r="A2020" s="2" t="s">
        <v>4532</v>
      </c>
      <c r="B2020" s="10">
        <v>43837</v>
      </c>
      <c r="C2020" s="22">
        <v>43837</v>
      </c>
      <c r="D2020" s="1" t="s">
        <v>4533</v>
      </c>
      <c r="E2020" s="1" t="s">
        <v>1216</v>
      </c>
      <c r="F2020" s="1">
        <v>40</v>
      </c>
      <c r="G2020" s="1" t="s">
        <v>68</v>
      </c>
      <c r="H2020" s="1" t="s">
        <v>35</v>
      </c>
      <c r="I2020" s="1" t="s">
        <v>49</v>
      </c>
      <c r="J2020" s="1" t="s">
        <v>44</v>
      </c>
      <c r="K2020" s="1" t="s">
        <v>221</v>
      </c>
      <c r="L2020" s="1">
        <v>5</v>
      </c>
      <c r="M2020" s="13">
        <v>5040.09</v>
      </c>
      <c r="N2020" s="15">
        <v>0.17</v>
      </c>
      <c r="O2020" s="13">
        <v>16406.419999999998</v>
      </c>
      <c r="P2020" s="13">
        <v>4616.87</v>
      </c>
      <c r="Q2020" s="13">
        <v>51.71</v>
      </c>
      <c r="R2020" s="1" t="s">
        <v>78</v>
      </c>
      <c r="S2020" s="1">
        <v>3</v>
      </c>
      <c r="T2020" s="1" t="b">
        <v>0</v>
      </c>
      <c r="U2020" s="1" t="s">
        <v>197</v>
      </c>
      <c r="V2020" s="3">
        <v>9</v>
      </c>
    </row>
    <row r="2021" spans="1:22" x14ac:dyDescent="0.3">
      <c r="A2021" s="2" t="s">
        <v>4534</v>
      </c>
      <c r="B2021" s="10">
        <v>45337</v>
      </c>
      <c r="C2021" s="22">
        <v>45337</v>
      </c>
      <c r="D2021" s="1" t="s">
        <v>4535</v>
      </c>
      <c r="E2021" s="1" t="s">
        <v>250</v>
      </c>
      <c r="F2021" s="1">
        <v>64</v>
      </c>
      <c r="G2021" s="1" t="s">
        <v>24</v>
      </c>
      <c r="H2021" s="1" t="s">
        <v>111</v>
      </c>
      <c r="I2021" s="1" t="s">
        <v>112</v>
      </c>
      <c r="J2021" s="1" t="s">
        <v>76</v>
      </c>
      <c r="K2021" s="1" t="s">
        <v>77</v>
      </c>
      <c r="L2021" s="1">
        <v>10</v>
      </c>
      <c r="M2021" s="13">
        <v>649.39</v>
      </c>
      <c r="N2021" s="15">
        <v>0.08</v>
      </c>
      <c r="O2021" s="13">
        <v>6250.27</v>
      </c>
      <c r="P2021" s="13">
        <v>1461.59</v>
      </c>
      <c r="Q2021" s="13">
        <v>89.12</v>
      </c>
      <c r="R2021" s="1" t="s">
        <v>57</v>
      </c>
      <c r="S2021" s="1">
        <v>5</v>
      </c>
      <c r="T2021" s="1" t="b">
        <v>0</v>
      </c>
      <c r="U2021" s="1" t="s">
        <v>39</v>
      </c>
      <c r="V2021" s="3">
        <v>1</v>
      </c>
    </row>
    <row r="2022" spans="1:22" x14ac:dyDescent="0.3">
      <c r="A2022" s="2" t="s">
        <v>4536</v>
      </c>
      <c r="B2022" s="10">
        <v>44341</v>
      </c>
      <c r="C2022" s="22">
        <v>44341</v>
      </c>
      <c r="D2022" s="1" t="s">
        <v>4537</v>
      </c>
      <c r="E2022" s="1" t="s">
        <v>748</v>
      </c>
      <c r="F2022" s="1">
        <v>42</v>
      </c>
      <c r="G2022" s="1" t="s">
        <v>24</v>
      </c>
      <c r="H2022" s="1" t="s">
        <v>25</v>
      </c>
      <c r="I2022" s="1" t="s">
        <v>170</v>
      </c>
      <c r="J2022" s="1" t="s">
        <v>44</v>
      </c>
      <c r="K2022" s="1" t="s">
        <v>50</v>
      </c>
      <c r="L2022" s="1">
        <v>1</v>
      </c>
      <c r="M2022" s="13">
        <v>28223.81</v>
      </c>
      <c r="N2022" s="15">
        <v>0.01</v>
      </c>
      <c r="O2022" s="13">
        <v>41826.379999999997</v>
      </c>
      <c r="P2022" s="13">
        <v>10977.5</v>
      </c>
      <c r="Q2022" s="13">
        <v>68.34</v>
      </c>
      <c r="R2022" s="1" t="s">
        <v>57</v>
      </c>
      <c r="S2022" s="1">
        <v>4</v>
      </c>
      <c r="T2022" s="1" t="b">
        <v>0</v>
      </c>
      <c r="U2022" s="1" t="s">
        <v>197</v>
      </c>
      <c r="V2022" s="3">
        <v>8</v>
      </c>
    </row>
    <row r="2023" spans="1:22" x14ac:dyDescent="0.3">
      <c r="A2023" s="2" t="s">
        <v>4538</v>
      </c>
      <c r="B2023" s="10">
        <v>45622</v>
      </c>
      <c r="C2023" s="22">
        <v>45622</v>
      </c>
      <c r="D2023" s="1" t="s">
        <v>4539</v>
      </c>
      <c r="E2023" s="1" t="s">
        <v>2161</v>
      </c>
      <c r="F2023" s="1">
        <v>42</v>
      </c>
      <c r="G2023" s="1" t="s">
        <v>68</v>
      </c>
      <c r="H2023" s="1" t="s">
        <v>25</v>
      </c>
      <c r="I2023" s="1" t="s">
        <v>170</v>
      </c>
      <c r="J2023" s="1" t="s">
        <v>37</v>
      </c>
      <c r="K2023" s="1" t="s">
        <v>102</v>
      </c>
      <c r="L2023" s="1">
        <v>4</v>
      </c>
      <c r="M2023" s="13">
        <v>2248.41</v>
      </c>
      <c r="N2023" s="15">
        <v>0.28999999999999998</v>
      </c>
      <c r="O2023" s="13">
        <v>6511.18</v>
      </c>
      <c r="P2023" s="13">
        <v>3980.78</v>
      </c>
      <c r="Q2023" s="13">
        <v>20.27</v>
      </c>
      <c r="R2023" s="1" t="s">
        <v>51</v>
      </c>
      <c r="S2023" s="1">
        <v>3</v>
      </c>
      <c r="T2023" s="1" t="b">
        <v>0</v>
      </c>
      <c r="U2023" s="1" t="s">
        <v>84</v>
      </c>
      <c r="V2023" s="3">
        <v>1</v>
      </c>
    </row>
    <row r="2024" spans="1:22" x14ac:dyDescent="0.3">
      <c r="A2024" s="2" t="s">
        <v>4540</v>
      </c>
      <c r="B2024" s="10">
        <v>44126</v>
      </c>
      <c r="C2024" s="22">
        <v>44126</v>
      </c>
      <c r="D2024" s="1" t="s">
        <v>4541</v>
      </c>
      <c r="E2024" s="1" t="s">
        <v>1181</v>
      </c>
      <c r="F2024" s="1">
        <v>22</v>
      </c>
      <c r="G2024" s="1" t="s">
        <v>24</v>
      </c>
      <c r="H2024" s="1" t="s">
        <v>111</v>
      </c>
      <c r="I2024" s="1" t="s">
        <v>141</v>
      </c>
      <c r="J2024" s="1" t="s">
        <v>27</v>
      </c>
      <c r="K2024" s="1" t="s">
        <v>450</v>
      </c>
      <c r="L2024" s="1">
        <v>7</v>
      </c>
      <c r="M2024" s="13">
        <v>388.2</v>
      </c>
      <c r="N2024" s="15">
        <v>0.05</v>
      </c>
      <c r="O2024" s="13">
        <v>2233.08</v>
      </c>
      <c r="P2024" s="13">
        <v>175.74</v>
      </c>
      <c r="Q2024" s="13">
        <v>74.16</v>
      </c>
      <c r="R2024" s="1" t="s">
        <v>51</v>
      </c>
      <c r="S2024" s="1">
        <v>2</v>
      </c>
      <c r="T2024" s="1" t="b">
        <v>0</v>
      </c>
      <c r="U2024" s="1" t="s">
        <v>3106</v>
      </c>
      <c r="V2024" s="3">
        <v>4</v>
      </c>
    </row>
    <row r="2025" spans="1:22" x14ac:dyDescent="0.3">
      <c r="A2025" s="2" t="s">
        <v>4542</v>
      </c>
      <c r="B2025" s="10">
        <v>44569</v>
      </c>
      <c r="C2025" s="22">
        <v>44569</v>
      </c>
      <c r="D2025" s="1" t="s">
        <v>4543</v>
      </c>
      <c r="E2025" s="1" t="s">
        <v>888</v>
      </c>
      <c r="F2025" s="1">
        <v>30</v>
      </c>
      <c r="G2025" s="1" t="s">
        <v>68</v>
      </c>
      <c r="H2025" s="1" t="s">
        <v>82</v>
      </c>
      <c r="I2025" s="1" t="s">
        <v>126</v>
      </c>
      <c r="J2025" s="1" t="s">
        <v>76</v>
      </c>
      <c r="K2025" s="1" t="s">
        <v>122</v>
      </c>
      <c r="L2025" s="1">
        <v>5</v>
      </c>
      <c r="M2025" s="13">
        <v>2059.67</v>
      </c>
      <c r="N2025" s="15">
        <v>0.04</v>
      </c>
      <c r="O2025" s="13">
        <v>9298.94</v>
      </c>
      <c r="P2025" s="13">
        <v>5107.08</v>
      </c>
      <c r="Q2025" s="13">
        <v>80.05</v>
      </c>
      <c r="R2025" s="1" t="s">
        <v>70</v>
      </c>
      <c r="S2025" s="1">
        <v>4</v>
      </c>
      <c r="T2025" s="1" t="b">
        <v>0</v>
      </c>
      <c r="U2025" s="1" t="s">
        <v>39</v>
      </c>
      <c r="V2025" s="3">
        <v>3</v>
      </c>
    </row>
    <row r="2026" spans="1:22" x14ac:dyDescent="0.3">
      <c r="A2026" s="2" t="s">
        <v>4544</v>
      </c>
      <c r="B2026" s="10">
        <v>45323</v>
      </c>
      <c r="C2026" s="22">
        <v>45323</v>
      </c>
      <c r="D2026" s="1" t="s">
        <v>4545</v>
      </c>
      <c r="E2026" s="1" t="s">
        <v>1978</v>
      </c>
      <c r="F2026" s="1">
        <v>38</v>
      </c>
      <c r="G2026" s="1" t="s">
        <v>34</v>
      </c>
      <c r="H2026" s="1" t="s">
        <v>111</v>
      </c>
      <c r="I2026" s="1" t="s">
        <v>141</v>
      </c>
      <c r="J2026" s="1" t="s">
        <v>44</v>
      </c>
      <c r="K2026" s="1" t="s">
        <v>117</v>
      </c>
      <c r="L2026" s="1">
        <v>3</v>
      </c>
      <c r="M2026" s="13">
        <v>23851.040000000001</v>
      </c>
      <c r="N2026" s="15">
        <v>0.2</v>
      </c>
      <c r="O2026" s="13">
        <v>59295.25</v>
      </c>
      <c r="P2026" s="13">
        <v>20111.349999999999</v>
      </c>
      <c r="Q2026" s="13">
        <v>64.77</v>
      </c>
      <c r="R2026" s="1" t="s">
        <v>64</v>
      </c>
      <c r="S2026" s="1">
        <v>5</v>
      </c>
      <c r="T2026" s="1" t="b">
        <v>0</v>
      </c>
      <c r="U2026" s="1" t="s">
        <v>39</v>
      </c>
      <c r="V2026" s="3">
        <v>4</v>
      </c>
    </row>
    <row r="2027" spans="1:22" x14ac:dyDescent="0.3">
      <c r="A2027" s="2" t="s">
        <v>4546</v>
      </c>
      <c r="B2027" s="10">
        <v>45206</v>
      </c>
      <c r="C2027" s="22">
        <v>45206</v>
      </c>
      <c r="D2027" s="1" t="s">
        <v>4547</v>
      </c>
      <c r="E2027" s="1" t="s">
        <v>1495</v>
      </c>
      <c r="F2027" s="1">
        <v>28</v>
      </c>
      <c r="G2027" s="1" t="s">
        <v>24</v>
      </c>
      <c r="H2027" s="1" t="s">
        <v>111</v>
      </c>
      <c r="I2027" s="1" t="s">
        <v>141</v>
      </c>
      <c r="J2027" s="1" t="s">
        <v>37</v>
      </c>
      <c r="K2027" s="1" t="s">
        <v>182</v>
      </c>
      <c r="L2027" s="1">
        <v>8</v>
      </c>
      <c r="M2027" s="13">
        <v>1575.79</v>
      </c>
      <c r="N2027" s="15">
        <v>0.24</v>
      </c>
      <c r="O2027" s="13">
        <v>9914.18</v>
      </c>
      <c r="P2027" s="13">
        <v>4246.21</v>
      </c>
      <c r="Q2027" s="13">
        <v>73.87</v>
      </c>
      <c r="R2027" s="1" t="s">
        <v>64</v>
      </c>
      <c r="S2027" s="1">
        <v>4</v>
      </c>
      <c r="T2027" s="1" t="b">
        <v>0</v>
      </c>
      <c r="U2027" s="1" t="s">
        <v>39</v>
      </c>
      <c r="V2027" s="3">
        <v>4</v>
      </c>
    </row>
    <row r="2028" spans="1:22" x14ac:dyDescent="0.3">
      <c r="A2028" s="2" t="s">
        <v>4548</v>
      </c>
      <c r="B2028" s="10">
        <v>43999</v>
      </c>
      <c r="C2028" s="22">
        <v>43999</v>
      </c>
      <c r="D2028" s="1" t="s">
        <v>4549</v>
      </c>
      <c r="E2028" s="1" t="s">
        <v>324</v>
      </c>
      <c r="F2028" s="1">
        <v>27</v>
      </c>
      <c r="G2028" s="1" t="s">
        <v>68</v>
      </c>
      <c r="H2028" s="1" t="s">
        <v>35</v>
      </c>
      <c r="I2028" s="1" t="s">
        <v>43</v>
      </c>
      <c r="J2028" s="1" t="s">
        <v>76</v>
      </c>
      <c r="K2028" s="1" t="s">
        <v>77</v>
      </c>
      <c r="L2028" s="1">
        <v>1</v>
      </c>
      <c r="M2028" s="13">
        <v>1409.39</v>
      </c>
      <c r="N2028" s="15">
        <v>0.1</v>
      </c>
      <c r="O2028" s="13">
        <v>1762.59</v>
      </c>
      <c r="P2028" s="13">
        <v>761.88</v>
      </c>
      <c r="Q2028" s="13">
        <v>58.09</v>
      </c>
      <c r="R2028" s="1" t="s">
        <v>78</v>
      </c>
      <c r="S2028" s="1">
        <v>3</v>
      </c>
      <c r="T2028" s="1" t="b">
        <v>0</v>
      </c>
      <c r="U2028" s="1" t="s">
        <v>39</v>
      </c>
      <c r="V2028" s="3">
        <v>3</v>
      </c>
    </row>
    <row r="2029" spans="1:22" x14ac:dyDescent="0.3">
      <c r="A2029" s="2" t="s">
        <v>4550</v>
      </c>
      <c r="B2029" s="10">
        <v>44589</v>
      </c>
      <c r="C2029" s="22">
        <v>44589</v>
      </c>
      <c r="D2029" s="1" t="s">
        <v>4551</v>
      </c>
      <c r="E2029" s="1" t="s">
        <v>1044</v>
      </c>
      <c r="F2029" s="1">
        <v>41</v>
      </c>
      <c r="G2029" s="1" t="s">
        <v>34</v>
      </c>
      <c r="H2029" s="1" t="s">
        <v>74</v>
      </c>
      <c r="I2029" s="1" t="s">
        <v>192</v>
      </c>
      <c r="J2029" s="1" t="s">
        <v>62</v>
      </c>
      <c r="K2029" s="1" t="s">
        <v>151</v>
      </c>
      <c r="L2029" s="1">
        <v>2</v>
      </c>
      <c r="M2029" s="13">
        <v>921.77</v>
      </c>
      <c r="N2029" s="15">
        <v>0.34</v>
      </c>
      <c r="O2029" s="13">
        <v>1063.82</v>
      </c>
      <c r="P2029" s="13">
        <v>488.6</v>
      </c>
      <c r="Q2029" s="13">
        <v>72.61</v>
      </c>
      <c r="R2029" s="1" t="s">
        <v>70</v>
      </c>
      <c r="S2029" s="1">
        <v>4</v>
      </c>
      <c r="T2029" s="1" t="b">
        <v>0</v>
      </c>
      <c r="U2029" s="1" t="s">
        <v>39</v>
      </c>
      <c r="V2029" s="3">
        <v>1</v>
      </c>
    </row>
    <row r="2030" spans="1:22" x14ac:dyDescent="0.3">
      <c r="A2030" s="2" t="s">
        <v>4552</v>
      </c>
      <c r="B2030" s="10">
        <v>44415</v>
      </c>
      <c r="C2030" s="22">
        <v>44415</v>
      </c>
      <c r="D2030" s="1" t="s">
        <v>4553</v>
      </c>
      <c r="E2030" s="1" t="s">
        <v>2250</v>
      </c>
      <c r="F2030" s="1">
        <v>27</v>
      </c>
      <c r="G2030" s="1" t="s">
        <v>68</v>
      </c>
      <c r="H2030" s="1" t="s">
        <v>35</v>
      </c>
      <c r="I2030" s="1" t="s">
        <v>43</v>
      </c>
      <c r="J2030" s="1" t="s">
        <v>127</v>
      </c>
      <c r="K2030" s="1" t="s">
        <v>171</v>
      </c>
      <c r="L2030" s="1">
        <v>3</v>
      </c>
      <c r="M2030" s="13">
        <v>54652.78</v>
      </c>
      <c r="N2030" s="15">
        <v>0.01</v>
      </c>
      <c r="O2030" s="13">
        <v>192332.91</v>
      </c>
      <c r="P2030" s="13">
        <v>11105.11</v>
      </c>
      <c r="Q2030" s="13">
        <v>56.52</v>
      </c>
      <c r="R2030" s="1" t="s">
        <v>29</v>
      </c>
      <c r="S2030" s="1">
        <v>1</v>
      </c>
      <c r="T2030" s="1" t="b">
        <v>0</v>
      </c>
      <c r="U2030" s="1" t="s">
        <v>39</v>
      </c>
      <c r="V2030" s="3">
        <v>9</v>
      </c>
    </row>
    <row r="2031" spans="1:22" x14ac:dyDescent="0.3">
      <c r="A2031" s="2" t="s">
        <v>4554</v>
      </c>
      <c r="B2031" s="10">
        <v>44216</v>
      </c>
      <c r="C2031" s="22">
        <v>44216</v>
      </c>
      <c r="D2031" s="1" t="s">
        <v>4555</v>
      </c>
      <c r="E2031" s="1" t="s">
        <v>150</v>
      </c>
      <c r="F2031" s="1">
        <v>48</v>
      </c>
      <c r="G2031" s="1" t="s">
        <v>24</v>
      </c>
      <c r="H2031" s="1" t="s">
        <v>111</v>
      </c>
      <c r="I2031" s="1" t="s">
        <v>330</v>
      </c>
      <c r="J2031" s="1" t="s">
        <v>76</v>
      </c>
      <c r="K2031" s="1" t="s">
        <v>77</v>
      </c>
      <c r="L2031" s="1">
        <v>2</v>
      </c>
      <c r="M2031" s="13">
        <v>2685.53</v>
      </c>
      <c r="N2031" s="15">
        <v>0.16</v>
      </c>
      <c r="O2031" s="13">
        <v>3463.77</v>
      </c>
      <c r="P2031" s="13">
        <v>1147.8599999999999</v>
      </c>
      <c r="Q2031" s="13">
        <v>69.17</v>
      </c>
      <c r="R2031" s="1" t="s">
        <v>64</v>
      </c>
      <c r="S2031" s="1">
        <v>2</v>
      </c>
      <c r="T2031" s="1" t="b">
        <v>1</v>
      </c>
      <c r="U2031" s="1" t="s">
        <v>30</v>
      </c>
      <c r="V2031" s="3">
        <v>6</v>
      </c>
    </row>
    <row r="2032" spans="1:22" x14ac:dyDescent="0.3">
      <c r="A2032" s="2" t="s">
        <v>4556</v>
      </c>
      <c r="B2032" s="10">
        <v>44475</v>
      </c>
      <c r="C2032" s="22">
        <v>44475</v>
      </c>
      <c r="D2032" s="1" t="s">
        <v>4557</v>
      </c>
      <c r="E2032" s="1" t="s">
        <v>1266</v>
      </c>
      <c r="F2032" s="1">
        <v>35</v>
      </c>
      <c r="G2032" s="1" t="s">
        <v>68</v>
      </c>
      <c r="H2032" s="1" t="s">
        <v>35</v>
      </c>
      <c r="I2032" s="1" t="s">
        <v>43</v>
      </c>
      <c r="J2032" s="1" t="s">
        <v>62</v>
      </c>
      <c r="K2032" s="1" t="s">
        <v>266</v>
      </c>
      <c r="L2032" s="1">
        <v>10</v>
      </c>
      <c r="M2032" s="13">
        <v>268.47000000000003</v>
      </c>
      <c r="N2032" s="15">
        <v>0.24</v>
      </c>
      <c r="O2032" s="13">
        <v>1754.08</v>
      </c>
      <c r="P2032" s="13">
        <v>598.80999999999995</v>
      </c>
      <c r="Q2032" s="13">
        <v>69.44</v>
      </c>
      <c r="R2032" s="1" t="s">
        <v>70</v>
      </c>
      <c r="S2032" s="1">
        <v>5</v>
      </c>
      <c r="T2032" s="1" t="b">
        <v>0</v>
      </c>
      <c r="U2032" s="1" t="s">
        <v>39</v>
      </c>
      <c r="V2032" s="3">
        <v>6</v>
      </c>
    </row>
    <row r="2033" spans="1:22" x14ac:dyDescent="0.3">
      <c r="A2033" s="2" t="s">
        <v>4558</v>
      </c>
      <c r="B2033" s="10">
        <v>44540</v>
      </c>
      <c r="C2033" s="22">
        <v>44540</v>
      </c>
      <c r="D2033" s="1" t="s">
        <v>4559</v>
      </c>
      <c r="E2033" s="1" t="s">
        <v>135</v>
      </c>
      <c r="F2033" s="1">
        <v>32</v>
      </c>
      <c r="G2033" s="1" t="s">
        <v>34</v>
      </c>
      <c r="H2033" s="1" t="s">
        <v>35</v>
      </c>
      <c r="I2033" s="1" t="s">
        <v>36</v>
      </c>
      <c r="J2033" s="1" t="s">
        <v>37</v>
      </c>
      <c r="K2033" s="1" t="s">
        <v>231</v>
      </c>
      <c r="L2033" s="1">
        <v>7</v>
      </c>
      <c r="M2033" s="13">
        <v>1768.37</v>
      </c>
      <c r="N2033" s="15">
        <v>0.03</v>
      </c>
      <c r="O2033" s="13">
        <v>7423.51</v>
      </c>
      <c r="P2033" s="13">
        <v>3260.02</v>
      </c>
      <c r="Q2033" s="13">
        <v>49.67</v>
      </c>
      <c r="R2033" s="1" t="s">
        <v>51</v>
      </c>
      <c r="S2033" s="1">
        <v>2</v>
      </c>
      <c r="T2033" s="1" t="b">
        <v>1</v>
      </c>
      <c r="U2033" s="1" t="s">
        <v>30</v>
      </c>
      <c r="V2033" s="3">
        <v>2</v>
      </c>
    </row>
    <row r="2034" spans="1:22" x14ac:dyDescent="0.3">
      <c r="A2034" s="2" t="s">
        <v>4560</v>
      </c>
      <c r="B2034" s="10">
        <v>45337</v>
      </c>
      <c r="C2034" s="22">
        <v>45337</v>
      </c>
      <c r="D2034" s="1" t="s">
        <v>4561</v>
      </c>
      <c r="E2034" s="1" t="s">
        <v>237</v>
      </c>
      <c r="F2034" s="1">
        <v>14</v>
      </c>
      <c r="G2034" s="1" t="s">
        <v>68</v>
      </c>
      <c r="H2034" s="1" t="s">
        <v>111</v>
      </c>
      <c r="I2034" s="1" t="s">
        <v>112</v>
      </c>
      <c r="J2034" s="1" t="s">
        <v>37</v>
      </c>
      <c r="K2034" s="1" t="s">
        <v>38</v>
      </c>
      <c r="L2034" s="1">
        <v>6</v>
      </c>
      <c r="M2034" s="13">
        <v>2380.9499999999998</v>
      </c>
      <c r="N2034" s="15">
        <v>0.37</v>
      </c>
      <c r="O2034" s="13">
        <v>9957.1200000000008</v>
      </c>
      <c r="P2034" s="13">
        <v>3205.02</v>
      </c>
      <c r="Q2034" s="13">
        <v>104.41</v>
      </c>
      <c r="R2034" s="1" t="s">
        <v>78</v>
      </c>
      <c r="S2034" s="1">
        <v>5</v>
      </c>
      <c r="T2034" s="1" t="b">
        <v>0</v>
      </c>
      <c r="U2034" s="1" t="s">
        <v>84</v>
      </c>
      <c r="V2034" s="3">
        <v>8</v>
      </c>
    </row>
    <row r="2035" spans="1:22" x14ac:dyDescent="0.3">
      <c r="A2035" s="2" t="s">
        <v>4562</v>
      </c>
      <c r="B2035" s="10">
        <v>43910</v>
      </c>
      <c r="C2035" s="22">
        <v>43910</v>
      </c>
      <c r="D2035" s="1" t="s">
        <v>4563</v>
      </c>
      <c r="E2035" s="1" t="s">
        <v>690</v>
      </c>
      <c r="F2035" s="1">
        <v>47</v>
      </c>
      <c r="G2035" s="1" t="s">
        <v>24</v>
      </c>
      <c r="H2035" s="1" t="s">
        <v>25</v>
      </c>
      <c r="I2035" s="1" t="s">
        <v>55</v>
      </c>
      <c r="J2035" s="1" t="s">
        <v>37</v>
      </c>
      <c r="K2035" s="1" t="s">
        <v>38</v>
      </c>
      <c r="L2035" s="1">
        <v>10</v>
      </c>
      <c r="M2035" s="13">
        <v>1799.76</v>
      </c>
      <c r="N2035" s="15">
        <v>0.15</v>
      </c>
      <c r="O2035" s="13">
        <v>15785.6</v>
      </c>
      <c r="P2035" s="13">
        <v>5681.65</v>
      </c>
      <c r="Q2035" s="13">
        <v>56.65</v>
      </c>
      <c r="R2035" s="1" t="s">
        <v>70</v>
      </c>
      <c r="S2035" s="1">
        <v>4</v>
      </c>
      <c r="T2035" s="1" t="b">
        <v>0</v>
      </c>
      <c r="U2035" s="1" t="s">
        <v>39</v>
      </c>
      <c r="V2035" s="3">
        <v>1</v>
      </c>
    </row>
    <row r="2036" spans="1:22" x14ac:dyDescent="0.3">
      <c r="A2036" s="2" t="s">
        <v>4564</v>
      </c>
      <c r="B2036" s="10">
        <v>44558</v>
      </c>
      <c r="C2036" s="22">
        <v>44558</v>
      </c>
      <c r="D2036" s="1" t="s">
        <v>4565</v>
      </c>
      <c r="E2036" s="1" t="s">
        <v>3248</v>
      </c>
      <c r="F2036" s="1">
        <v>41</v>
      </c>
      <c r="G2036" s="1" t="s">
        <v>68</v>
      </c>
      <c r="H2036" s="1" t="s">
        <v>82</v>
      </c>
      <c r="I2036" s="1" t="s">
        <v>244</v>
      </c>
      <c r="J2036" s="1" t="s">
        <v>146</v>
      </c>
      <c r="K2036" s="1" t="s">
        <v>161</v>
      </c>
      <c r="L2036" s="1">
        <v>8</v>
      </c>
      <c r="M2036" s="13">
        <v>6352.95</v>
      </c>
      <c r="N2036" s="15">
        <v>0.12</v>
      </c>
      <c r="O2036" s="13">
        <v>31396.560000000001</v>
      </c>
      <c r="P2036" s="13">
        <v>5551.7</v>
      </c>
      <c r="Q2036" s="13">
        <v>90.42</v>
      </c>
      <c r="R2036" s="1" t="s">
        <v>57</v>
      </c>
      <c r="S2036" s="1">
        <v>1</v>
      </c>
      <c r="T2036" s="1" t="b">
        <v>1</v>
      </c>
      <c r="U2036" s="1" t="s">
        <v>30</v>
      </c>
      <c r="V2036" s="3">
        <v>9</v>
      </c>
    </row>
    <row r="2037" spans="1:22" x14ac:dyDescent="0.3">
      <c r="A2037" s="2" t="s">
        <v>4566</v>
      </c>
      <c r="B2037" s="10">
        <v>44414</v>
      </c>
      <c r="C2037" s="22">
        <v>44414</v>
      </c>
      <c r="D2037" s="1" t="s">
        <v>4567</v>
      </c>
      <c r="E2037" s="1" t="s">
        <v>1263</v>
      </c>
      <c r="F2037" s="1">
        <v>39</v>
      </c>
      <c r="G2037" s="1" t="s">
        <v>24</v>
      </c>
      <c r="H2037" s="1" t="s">
        <v>74</v>
      </c>
      <c r="I2037" s="1" t="s">
        <v>192</v>
      </c>
      <c r="J2037" s="1" t="s">
        <v>37</v>
      </c>
      <c r="K2037" s="1" t="s">
        <v>231</v>
      </c>
      <c r="L2037" s="1">
        <v>2</v>
      </c>
      <c r="M2037" s="13">
        <v>853.19</v>
      </c>
      <c r="N2037" s="15">
        <v>0.28999999999999998</v>
      </c>
      <c r="O2037" s="13">
        <v>1266.22</v>
      </c>
      <c r="P2037" s="13">
        <v>518.13</v>
      </c>
      <c r="Q2037" s="13">
        <v>54.57</v>
      </c>
      <c r="R2037" s="1" t="s">
        <v>57</v>
      </c>
      <c r="S2037" s="1">
        <v>3</v>
      </c>
      <c r="T2037" s="1" t="b">
        <v>0</v>
      </c>
      <c r="U2037" s="1" t="s">
        <v>39</v>
      </c>
      <c r="V2037" s="3">
        <v>3</v>
      </c>
    </row>
    <row r="2038" spans="1:22" x14ac:dyDescent="0.3">
      <c r="A2038" s="2" t="s">
        <v>4568</v>
      </c>
      <c r="B2038" s="10">
        <v>44818</v>
      </c>
      <c r="C2038" s="22">
        <v>44818</v>
      </c>
      <c r="D2038" s="1" t="s">
        <v>4569</v>
      </c>
      <c r="E2038" s="1" t="s">
        <v>2110</v>
      </c>
      <c r="F2038" s="1">
        <v>37</v>
      </c>
      <c r="G2038" s="1" t="s">
        <v>24</v>
      </c>
      <c r="H2038" s="1" t="s">
        <v>82</v>
      </c>
      <c r="I2038" s="1" t="s">
        <v>293</v>
      </c>
      <c r="J2038" s="1" t="s">
        <v>127</v>
      </c>
      <c r="K2038" s="1" t="s">
        <v>142</v>
      </c>
      <c r="L2038" s="1">
        <v>7</v>
      </c>
      <c r="M2038" s="13">
        <v>44012.800000000003</v>
      </c>
      <c r="N2038" s="15">
        <v>0.02</v>
      </c>
      <c r="O2038" s="13">
        <v>388387</v>
      </c>
      <c r="P2038" s="13">
        <v>49485.75</v>
      </c>
      <c r="Q2038" s="13">
        <v>89.27</v>
      </c>
      <c r="R2038" s="1" t="s">
        <v>64</v>
      </c>
      <c r="S2038" s="1">
        <v>1</v>
      </c>
      <c r="T2038" s="1" t="b">
        <v>0</v>
      </c>
      <c r="U2038" s="1" t="s">
        <v>197</v>
      </c>
      <c r="V2038" s="3">
        <v>7</v>
      </c>
    </row>
    <row r="2039" spans="1:22" x14ac:dyDescent="0.3">
      <c r="A2039" s="2" t="s">
        <v>4570</v>
      </c>
      <c r="B2039" s="10">
        <v>45362</v>
      </c>
      <c r="C2039" s="22">
        <v>45362</v>
      </c>
      <c r="D2039" s="1" t="s">
        <v>4571</v>
      </c>
      <c r="E2039" s="1" t="s">
        <v>1335</v>
      </c>
      <c r="F2039" s="1">
        <v>42</v>
      </c>
      <c r="G2039" s="1" t="s">
        <v>24</v>
      </c>
      <c r="H2039" s="1" t="s">
        <v>111</v>
      </c>
      <c r="I2039" s="1" t="s">
        <v>330</v>
      </c>
      <c r="J2039" s="1" t="s">
        <v>27</v>
      </c>
      <c r="K2039" s="1" t="s">
        <v>450</v>
      </c>
      <c r="L2039" s="1">
        <v>2</v>
      </c>
      <c r="M2039" s="13">
        <v>389.26</v>
      </c>
      <c r="N2039" s="15">
        <v>0.24</v>
      </c>
      <c r="O2039" s="13">
        <v>771.78</v>
      </c>
      <c r="P2039" s="13">
        <v>80.459999999999994</v>
      </c>
      <c r="Q2039" s="13">
        <v>71.53</v>
      </c>
      <c r="R2039" s="1" t="s">
        <v>29</v>
      </c>
      <c r="S2039" s="1">
        <v>4</v>
      </c>
      <c r="T2039" s="1" t="b">
        <v>0</v>
      </c>
      <c r="U2039" s="1" t="s">
        <v>197</v>
      </c>
      <c r="V2039" s="3">
        <v>3</v>
      </c>
    </row>
    <row r="2040" spans="1:22" x14ac:dyDescent="0.3">
      <c r="A2040" s="2" t="s">
        <v>4572</v>
      </c>
      <c r="B2040" s="10">
        <v>45430</v>
      </c>
      <c r="C2040" s="22">
        <v>45430</v>
      </c>
      <c r="D2040" s="1" t="s">
        <v>4573</v>
      </c>
      <c r="E2040" s="1" t="s">
        <v>1591</v>
      </c>
      <c r="F2040" s="1">
        <v>42</v>
      </c>
      <c r="G2040" s="1" t="s">
        <v>68</v>
      </c>
      <c r="H2040" s="1" t="s">
        <v>74</v>
      </c>
      <c r="I2040" s="1" t="s">
        <v>136</v>
      </c>
      <c r="J2040" s="1" t="s">
        <v>146</v>
      </c>
      <c r="K2040" s="1" t="s">
        <v>147</v>
      </c>
      <c r="L2040" s="1">
        <v>1</v>
      </c>
      <c r="M2040" s="13">
        <v>9307.0300000000007</v>
      </c>
      <c r="N2040" s="15">
        <v>0.19</v>
      </c>
      <c r="O2040" s="13">
        <v>13905.79</v>
      </c>
      <c r="P2040" s="13">
        <v>3331.01</v>
      </c>
      <c r="Q2040" s="13">
        <v>47.05</v>
      </c>
      <c r="R2040" s="1" t="s">
        <v>51</v>
      </c>
      <c r="S2040" s="1">
        <v>2</v>
      </c>
      <c r="T2040" s="1" t="b">
        <v>0</v>
      </c>
      <c r="U2040" s="1" t="s">
        <v>39</v>
      </c>
      <c r="V2040" s="3">
        <v>1</v>
      </c>
    </row>
    <row r="2041" spans="1:22" x14ac:dyDescent="0.3">
      <c r="A2041" s="2" t="s">
        <v>4574</v>
      </c>
      <c r="B2041" s="10">
        <v>44077</v>
      </c>
      <c r="C2041" s="22">
        <v>44077</v>
      </c>
      <c r="D2041" s="1" t="s">
        <v>4575</v>
      </c>
      <c r="E2041" s="1" t="s">
        <v>311</v>
      </c>
      <c r="F2041" s="1">
        <v>27</v>
      </c>
      <c r="G2041" s="1" t="s">
        <v>24</v>
      </c>
      <c r="H2041" s="1" t="s">
        <v>35</v>
      </c>
      <c r="I2041" s="1" t="s">
        <v>43</v>
      </c>
      <c r="J2041" s="1" t="s">
        <v>127</v>
      </c>
      <c r="K2041" s="1" t="s">
        <v>196</v>
      </c>
      <c r="L2041" s="1">
        <v>5</v>
      </c>
      <c r="M2041" s="13">
        <v>56264.15</v>
      </c>
      <c r="N2041" s="15">
        <v>0.28000000000000003</v>
      </c>
      <c r="O2041" s="13">
        <v>197944.28</v>
      </c>
      <c r="P2041" s="13">
        <v>23405.15</v>
      </c>
      <c r="Q2041" s="13">
        <v>58.56</v>
      </c>
      <c r="R2041" s="1" t="s">
        <v>70</v>
      </c>
      <c r="S2041" s="1">
        <v>4</v>
      </c>
      <c r="T2041" s="1" t="b">
        <v>0</v>
      </c>
      <c r="U2041" s="1" t="s">
        <v>39</v>
      </c>
      <c r="V2041" s="3">
        <v>8</v>
      </c>
    </row>
    <row r="2042" spans="1:22" x14ac:dyDescent="0.3">
      <c r="A2042" s="2" t="s">
        <v>4576</v>
      </c>
      <c r="B2042" s="10">
        <v>45137</v>
      </c>
      <c r="C2042" s="22">
        <v>45137</v>
      </c>
      <c r="D2042" s="1" t="s">
        <v>4577</v>
      </c>
      <c r="E2042" s="1" t="s">
        <v>1033</v>
      </c>
      <c r="F2042" s="1">
        <v>25</v>
      </c>
      <c r="G2042" s="1" t="s">
        <v>34</v>
      </c>
      <c r="H2042" s="1" t="s">
        <v>111</v>
      </c>
      <c r="I2042" s="1" t="s">
        <v>330</v>
      </c>
      <c r="J2042" s="1" t="s">
        <v>62</v>
      </c>
      <c r="K2042" s="1" t="s">
        <v>283</v>
      </c>
      <c r="L2042" s="1">
        <v>7</v>
      </c>
      <c r="M2042" s="13">
        <v>654.28</v>
      </c>
      <c r="N2042" s="15">
        <v>0.3</v>
      </c>
      <c r="O2042" s="13">
        <v>4385.24</v>
      </c>
      <c r="P2042" s="13">
        <v>1478.39</v>
      </c>
      <c r="Q2042" s="13">
        <v>57.8</v>
      </c>
      <c r="R2042" s="1" t="s">
        <v>51</v>
      </c>
      <c r="S2042" s="1">
        <v>3</v>
      </c>
      <c r="T2042" s="1" t="b">
        <v>0</v>
      </c>
      <c r="U2042" s="1" t="s">
        <v>39</v>
      </c>
      <c r="V2042" s="3">
        <v>6</v>
      </c>
    </row>
    <row r="2043" spans="1:22" x14ac:dyDescent="0.3">
      <c r="A2043" s="2" t="s">
        <v>4578</v>
      </c>
      <c r="B2043" s="10">
        <v>44823</v>
      </c>
      <c r="C2043" s="22">
        <v>44823</v>
      </c>
      <c r="D2043" s="1" t="s">
        <v>4579</v>
      </c>
      <c r="E2043" s="1" t="s">
        <v>387</v>
      </c>
      <c r="F2043" s="1">
        <v>30</v>
      </c>
      <c r="G2043" s="1" t="s">
        <v>34</v>
      </c>
      <c r="H2043" s="1" t="s">
        <v>82</v>
      </c>
      <c r="I2043" s="1" t="s">
        <v>83</v>
      </c>
      <c r="J2043" s="1" t="s">
        <v>127</v>
      </c>
      <c r="K2043" s="1" t="s">
        <v>196</v>
      </c>
      <c r="L2043" s="1">
        <v>8</v>
      </c>
      <c r="M2043" s="13">
        <v>32204.55</v>
      </c>
      <c r="N2043" s="15">
        <v>0.02</v>
      </c>
      <c r="O2043" s="13">
        <v>332387.03999999998</v>
      </c>
      <c r="P2043" s="13">
        <v>37369.29</v>
      </c>
      <c r="Q2043" s="13">
        <v>86.45</v>
      </c>
      <c r="R2043" s="1" t="s">
        <v>78</v>
      </c>
      <c r="S2043" s="1">
        <v>3</v>
      </c>
      <c r="T2043" s="1" t="b">
        <v>0</v>
      </c>
      <c r="U2043" s="1" t="s">
        <v>39</v>
      </c>
      <c r="V2043" s="3">
        <v>6</v>
      </c>
    </row>
    <row r="2044" spans="1:22" x14ac:dyDescent="0.3">
      <c r="A2044" s="2" t="s">
        <v>4580</v>
      </c>
      <c r="B2044" s="10">
        <v>45198</v>
      </c>
      <c r="C2044" s="22">
        <v>45198</v>
      </c>
      <c r="D2044" s="1" t="s">
        <v>4581</v>
      </c>
      <c r="E2044" s="1" t="s">
        <v>1489</v>
      </c>
      <c r="F2044" s="1">
        <v>24</v>
      </c>
      <c r="G2044" s="1" t="s">
        <v>391</v>
      </c>
      <c r="H2044" s="1" t="s">
        <v>74</v>
      </c>
      <c r="I2044" s="1" t="s">
        <v>101</v>
      </c>
      <c r="J2044" s="1" t="s">
        <v>146</v>
      </c>
      <c r="K2044" s="1" t="s">
        <v>217</v>
      </c>
      <c r="L2044" s="1">
        <v>1</v>
      </c>
      <c r="M2044" s="13">
        <v>13020.42</v>
      </c>
      <c r="N2044" s="15">
        <v>0.2</v>
      </c>
      <c r="O2044" s="13">
        <v>14018.12</v>
      </c>
      <c r="P2044" s="13">
        <v>3020.91</v>
      </c>
      <c r="Q2044" s="13">
        <v>61.72</v>
      </c>
      <c r="R2044" s="1" t="s">
        <v>51</v>
      </c>
      <c r="S2044" s="1">
        <v>2</v>
      </c>
      <c r="T2044" s="1" t="b">
        <v>0</v>
      </c>
      <c r="U2044" s="1" t="s">
        <v>39</v>
      </c>
      <c r="V2044" s="3">
        <v>1</v>
      </c>
    </row>
    <row r="2045" spans="1:22" x14ac:dyDescent="0.3">
      <c r="A2045" s="2" t="s">
        <v>4582</v>
      </c>
      <c r="B2045" s="10">
        <v>45297</v>
      </c>
      <c r="C2045" s="22">
        <v>45297</v>
      </c>
      <c r="D2045" s="1" t="s">
        <v>4583</v>
      </c>
      <c r="E2045" s="1" t="s">
        <v>220</v>
      </c>
      <c r="F2045" s="1">
        <v>43</v>
      </c>
      <c r="G2045" s="1" t="s">
        <v>34</v>
      </c>
      <c r="H2045" s="1" t="s">
        <v>82</v>
      </c>
      <c r="I2045" s="1" t="s">
        <v>83</v>
      </c>
      <c r="J2045" s="1" t="s">
        <v>127</v>
      </c>
      <c r="K2045" s="1" t="s">
        <v>308</v>
      </c>
      <c r="L2045" s="1">
        <v>10</v>
      </c>
      <c r="M2045" s="13">
        <v>61190.11</v>
      </c>
      <c r="N2045" s="15">
        <v>0.19</v>
      </c>
      <c r="O2045" s="13">
        <v>507797.13</v>
      </c>
      <c r="P2045" s="13">
        <v>61885.87</v>
      </c>
      <c r="Q2045" s="13">
        <v>74.94</v>
      </c>
      <c r="R2045" s="1" t="s">
        <v>29</v>
      </c>
      <c r="S2045" s="1">
        <v>1</v>
      </c>
      <c r="T2045" s="1" t="b">
        <v>1</v>
      </c>
      <c r="U2045" s="1" t="s">
        <v>30</v>
      </c>
      <c r="V2045" s="3">
        <v>1</v>
      </c>
    </row>
    <row r="2046" spans="1:22" x14ac:dyDescent="0.3">
      <c r="A2046" s="2" t="s">
        <v>4584</v>
      </c>
      <c r="B2046" s="10">
        <v>45049</v>
      </c>
      <c r="C2046" s="22">
        <v>45049</v>
      </c>
      <c r="D2046" s="1" t="s">
        <v>4585</v>
      </c>
      <c r="E2046" s="1" t="s">
        <v>375</v>
      </c>
      <c r="F2046" s="1">
        <v>27</v>
      </c>
      <c r="G2046" s="1" t="s">
        <v>24</v>
      </c>
      <c r="H2046" s="1" t="s">
        <v>111</v>
      </c>
      <c r="I2046" s="1" t="s">
        <v>112</v>
      </c>
      <c r="J2046" s="1" t="s">
        <v>76</v>
      </c>
      <c r="K2046" s="1" t="s">
        <v>113</v>
      </c>
      <c r="L2046" s="1">
        <v>2</v>
      </c>
      <c r="M2046" s="13">
        <v>1416.76</v>
      </c>
      <c r="N2046" s="15">
        <v>0.08</v>
      </c>
      <c r="O2046" s="13">
        <v>3388.3</v>
      </c>
      <c r="P2046" s="13">
        <v>1544.37</v>
      </c>
      <c r="Q2046" s="13">
        <v>52.35</v>
      </c>
      <c r="R2046" s="1" t="s">
        <v>57</v>
      </c>
      <c r="S2046" s="1">
        <v>4</v>
      </c>
      <c r="T2046" s="1" t="b">
        <v>0</v>
      </c>
      <c r="U2046" s="1" t="s">
        <v>39</v>
      </c>
      <c r="V2046" s="3">
        <v>6</v>
      </c>
    </row>
    <row r="2047" spans="1:22" x14ac:dyDescent="0.3">
      <c r="A2047" s="2" t="s">
        <v>4586</v>
      </c>
      <c r="B2047" s="10">
        <v>44283</v>
      </c>
      <c r="C2047" s="22">
        <v>44283</v>
      </c>
      <c r="D2047" s="1" t="s">
        <v>4587</v>
      </c>
      <c r="E2047" s="1" t="s">
        <v>174</v>
      </c>
      <c r="F2047" s="1">
        <v>47</v>
      </c>
      <c r="G2047" s="1" t="s">
        <v>24</v>
      </c>
      <c r="H2047" s="1" t="s">
        <v>35</v>
      </c>
      <c r="I2047" s="1" t="s">
        <v>43</v>
      </c>
      <c r="J2047" s="1" t="s">
        <v>62</v>
      </c>
      <c r="K2047" s="1" t="s">
        <v>63</v>
      </c>
      <c r="L2047" s="1">
        <v>1</v>
      </c>
      <c r="M2047" s="13">
        <v>246.87</v>
      </c>
      <c r="N2047" s="15">
        <v>0.39</v>
      </c>
      <c r="O2047" s="13">
        <v>147.13</v>
      </c>
      <c r="P2047" s="13">
        <v>63.7</v>
      </c>
      <c r="Q2047" s="13">
        <v>81.45</v>
      </c>
      <c r="R2047" s="1" t="s">
        <v>29</v>
      </c>
      <c r="S2047" s="1">
        <v>1</v>
      </c>
      <c r="T2047" s="1" t="b">
        <v>0</v>
      </c>
      <c r="U2047" s="1" t="s">
        <v>39</v>
      </c>
      <c r="V2047" s="3">
        <v>3</v>
      </c>
    </row>
    <row r="2048" spans="1:22" x14ac:dyDescent="0.3">
      <c r="A2048" s="2" t="s">
        <v>4588</v>
      </c>
      <c r="B2048" s="10">
        <v>45284</v>
      </c>
      <c r="C2048" s="22">
        <v>45284</v>
      </c>
      <c r="D2048" s="1" t="s">
        <v>4589</v>
      </c>
      <c r="E2048" s="1" t="s">
        <v>4129</v>
      </c>
      <c r="F2048" s="1">
        <v>49</v>
      </c>
      <c r="G2048" s="1" t="s">
        <v>34</v>
      </c>
      <c r="H2048" s="1" t="s">
        <v>82</v>
      </c>
      <c r="I2048" s="1" t="s">
        <v>126</v>
      </c>
      <c r="J2048" s="1" t="s">
        <v>37</v>
      </c>
      <c r="K2048" s="1" t="s">
        <v>231</v>
      </c>
      <c r="L2048" s="1">
        <v>10</v>
      </c>
      <c r="M2048" s="13">
        <v>1236.98</v>
      </c>
      <c r="N2048" s="15">
        <v>0.08</v>
      </c>
      <c r="O2048" s="13">
        <v>8816.24</v>
      </c>
      <c r="P2048" s="13">
        <v>3251.41</v>
      </c>
      <c r="Q2048" s="13">
        <v>62.69</v>
      </c>
      <c r="R2048" s="1" t="s">
        <v>78</v>
      </c>
      <c r="S2048" s="1">
        <v>2</v>
      </c>
      <c r="T2048" s="1" t="b">
        <v>0</v>
      </c>
      <c r="U2048" s="1" t="s">
        <v>84</v>
      </c>
      <c r="V2048" s="3">
        <v>9</v>
      </c>
    </row>
    <row r="2049" spans="1:22" x14ac:dyDescent="0.3">
      <c r="A2049" s="2" t="s">
        <v>4590</v>
      </c>
      <c r="B2049" s="10">
        <v>44961</v>
      </c>
      <c r="C2049" s="22">
        <v>44961</v>
      </c>
      <c r="D2049" s="1" t="s">
        <v>4591</v>
      </c>
      <c r="E2049" s="1" t="s">
        <v>3253</v>
      </c>
      <c r="F2049" s="1">
        <v>30</v>
      </c>
      <c r="G2049" s="1" t="s">
        <v>34</v>
      </c>
      <c r="H2049" s="1" t="s">
        <v>111</v>
      </c>
      <c r="I2049" s="1" t="s">
        <v>141</v>
      </c>
      <c r="J2049" s="1" t="s">
        <v>146</v>
      </c>
      <c r="K2049" s="1" t="s">
        <v>276</v>
      </c>
      <c r="L2049" s="1">
        <v>8</v>
      </c>
      <c r="M2049" s="13">
        <v>11980.53</v>
      </c>
      <c r="N2049" s="15">
        <v>0.03</v>
      </c>
      <c r="O2049" s="13">
        <v>84384.27</v>
      </c>
      <c r="P2049" s="13">
        <v>25026.93</v>
      </c>
      <c r="Q2049" s="13">
        <v>61.24</v>
      </c>
      <c r="R2049" s="1" t="s">
        <v>70</v>
      </c>
      <c r="S2049" s="1">
        <v>2</v>
      </c>
      <c r="T2049" s="1" t="b">
        <v>0</v>
      </c>
      <c r="U2049" s="1" t="s">
        <v>39</v>
      </c>
      <c r="V2049" s="3">
        <v>3</v>
      </c>
    </row>
    <row r="2050" spans="1:22" x14ac:dyDescent="0.3">
      <c r="A2050" s="2" t="s">
        <v>4592</v>
      </c>
      <c r="B2050" s="10">
        <v>43905</v>
      </c>
      <c r="C2050" s="22">
        <v>43905</v>
      </c>
      <c r="D2050" s="1" t="s">
        <v>4593</v>
      </c>
      <c r="E2050" s="1" t="s">
        <v>360</v>
      </c>
      <c r="F2050" s="1">
        <v>42</v>
      </c>
      <c r="G2050" s="1" t="s">
        <v>68</v>
      </c>
      <c r="H2050" s="1" t="s">
        <v>25</v>
      </c>
      <c r="I2050" s="1" t="s">
        <v>170</v>
      </c>
      <c r="J2050" s="1" t="s">
        <v>146</v>
      </c>
      <c r="K2050" s="1" t="s">
        <v>217</v>
      </c>
      <c r="L2050" s="1">
        <v>7</v>
      </c>
      <c r="M2050" s="13">
        <v>3287.47</v>
      </c>
      <c r="N2050" s="15">
        <v>0.13</v>
      </c>
      <c r="O2050" s="13">
        <v>20381.48</v>
      </c>
      <c r="P2050" s="13">
        <v>5046.53</v>
      </c>
      <c r="Q2050" s="13">
        <v>38.67</v>
      </c>
      <c r="R2050" s="1" t="s">
        <v>51</v>
      </c>
      <c r="S2050" s="1">
        <v>3</v>
      </c>
      <c r="T2050" s="1" t="b">
        <v>0</v>
      </c>
      <c r="U2050" s="1" t="s">
        <v>39</v>
      </c>
      <c r="V2050" s="3">
        <v>7</v>
      </c>
    </row>
    <row r="2051" spans="1:22" x14ac:dyDescent="0.3">
      <c r="A2051" s="2" t="s">
        <v>4594</v>
      </c>
      <c r="B2051" s="10">
        <v>44142</v>
      </c>
      <c r="C2051" s="22">
        <v>44142</v>
      </c>
      <c r="D2051" s="1" t="s">
        <v>4595</v>
      </c>
      <c r="E2051" s="1" t="s">
        <v>1345</v>
      </c>
      <c r="F2051" s="1">
        <v>41</v>
      </c>
      <c r="G2051" s="1" t="s">
        <v>68</v>
      </c>
      <c r="H2051" s="1" t="s">
        <v>74</v>
      </c>
      <c r="I2051" s="1" t="s">
        <v>136</v>
      </c>
      <c r="J2051" s="1" t="s">
        <v>127</v>
      </c>
      <c r="K2051" s="1" t="s">
        <v>142</v>
      </c>
      <c r="L2051" s="1">
        <v>2</v>
      </c>
      <c r="M2051" s="13">
        <v>33488.83</v>
      </c>
      <c r="N2051" s="15">
        <v>0.15</v>
      </c>
      <c r="O2051" s="13">
        <v>43647.67</v>
      </c>
      <c r="P2051" s="13">
        <v>5482.23</v>
      </c>
      <c r="Q2051" s="13">
        <v>46.65</v>
      </c>
      <c r="R2051" s="1" t="s">
        <v>51</v>
      </c>
      <c r="S2051" s="1">
        <v>2</v>
      </c>
      <c r="T2051" s="1" t="b">
        <v>0</v>
      </c>
      <c r="U2051" s="1" t="s">
        <v>39</v>
      </c>
      <c r="V2051" s="3">
        <v>6</v>
      </c>
    </row>
    <row r="2052" spans="1:22" x14ac:dyDescent="0.3">
      <c r="A2052" s="2" t="s">
        <v>4596</v>
      </c>
      <c r="B2052" s="10">
        <v>44826</v>
      </c>
      <c r="C2052" s="22">
        <v>44826</v>
      </c>
      <c r="D2052" s="1" t="s">
        <v>4597</v>
      </c>
      <c r="E2052" s="1" t="s">
        <v>2030</v>
      </c>
      <c r="F2052" s="1">
        <v>33</v>
      </c>
      <c r="G2052" s="1" t="s">
        <v>34</v>
      </c>
      <c r="H2052" s="1" t="s">
        <v>74</v>
      </c>
      <c r="I2052" s="1" t="s">
        <v>75</v>
      </c>
      <c r="J2052" s="1" t="s">
        <v>37</v>
      </c>
      <c r="K2052" s="1" t="s">
        <v>182</v>
      </c>
      <c r="L2052" s="1">
        <v>7</v>
      </c>
      <c r="M2052" s="13">
        <v>437.18</v>
      </c>
      <c r="N2052" s="15">
        <v>0.02</v>
      </c>
      <c r="O2052" s="13">
        <v>3874.82</v>
      </c>
      <c r="P2052" s="13">
        <v>1697.95</v>
      </c>
      <c r="Q2052" s="13">
        <v>54.03</v>
      </c>
      <c r="R2052" s="1" t="s">
        <v>64</v>
      </c>
      <c r="S2052" s="1">
        <v>2</v>
      </c>
      <c r="T2052" s="1" t="b">
        <v>0</v>
      </c>
      <c r="U2052" s="1" t="s">
        <v>39</v>
      </c>
      <c r="V2052" s="3">
        <v>8</v>
      </c>
    </row>
    <row r="2053" spans="1:22" x14ac:dyDescent="0.3">
      <c r="A2053" s="2" t="s">
        <v>4598</v>
      </c>
      <c r="B2053" s="10">
        <v>44850</v>
      </c>
      <c r="C2053" s="22">
        <v>44850</v>
      </c>
      <c r="D2053" s="1" t="s">
        <v>4599</v>
      </c>
      <c r="E2053" s="1" t="s">
        <v>824</v>
      </c>
      <c r="F2053" s="1">
        <v>34</v>
      </c>
      <c r="G2053" s="1" t="s">
        <v>24</v>
      </c>
      <c r="H2053" s="1" t="s">
        <v>111</v>
      </c>
      <c r="I2053" s="1" t="s">
        <v>121</v>
      </c>
      <c r="J2053" s="1" t="s">
        <v>62</v>
      </c>
      <c r="K2053" s="1" t="s">
        <v>63</v>
      </c>
      <c r="L2053" s="1">
        <v>7</v>
      </c>
      <c r="M2053" s="13">
        <v>1297.73</v>
      </c>
      <c r="N2053" s="15">
        <v>0.09</v>
      </c>
      <c r="O2053" s="13">
        <v>8533.6299999999992</v>
      </c>
      <c r="P2053" s="13">
        <v>3189.67</v>
      </c>
      <c r="Q2053" s="13">
        <v>93.17</v>
      </c>
      <c r="R2053" s="1" t="s">
        <v>78</v>
      </c>
      <c r="S2053" s="1">
        <v>3</v>
      </c>
      <c r="T2053" s="1" t="b">
        <v>0</v>
      </c>
      <c r="U2053" s="1" t="s">
        <v>39</v>
      </c>
      <c r="V2053" s="3">
        <v>5</v>
      </c>
    </row>
    <row r="2054" spans="1:22" x14ac:dyDescent="0.3">
      <c r="A2054" s="2" t="s">
        <v>4600</v>
      </c>
      <c r="B2054" s="10">
        <v>45470</v>
      </c>
      <c r="C2054" s="22">
        <v>45470</v>
      </c>
      <c r="D2054" s="1" t="s">
        <v>4601</v>
      </c>
      <c r="E2054" s="1" t="s">
        <v>1833</v>
      </c>
      <c r="F2054" s="1">
        <v>8</v>
      </c>
      <c r="G2054" s="1" t="s">
        <v>68</v>
      </c>
      <c r="H2054" s="1" t="s">
        <v>111</v>
      </c>
      <c r="I2054" s="1" t="s">
        <v>330</v>
      </c>
      <c r="J2054" s="1" t="s">
        <v>127</v>
      </c>
      <c r="K2054" s="1" t="s">
        <v>308</v>
      </c>
      <c r="L2054" s="1">
        <v>7</v>
      </c>
      <c r="M2054" s="13">
        <v>76987.289999999994</v>
      </c>
      <c r="N2054" s="15">
        <v>0.37</v>
      </c>
      <c r="O2054" s="13">
        <v>593268.71</v>
      </c>
      <c r="P2054" s="13">
        <v>84490.85</v>
      </c>
      <c r="Q2054" s="13">
        <v>41.74</v>
      </c>
      <c r="R2054" s="1" t="s">
        <v>57</v>
      </c>
      <c r="S2054" s="1">
        <v>1</v>
      </c>
      <c r="T2054" s="1" t="b">
        <v>0</v>
      </c>
      <c r="U2054" s="1" t="s">
        <v>39</v>
      </c>
      <c r="V2054" s="3">
        <v>1</v>
      </c>
    </row>
    <row r="2055" spans="1:22" x14ac:dyDescent="0.3">
      <c r="A2055" s="2" t="s">
        <v>4602</v>
      </c>
      <c r="B2055" s="10">
        <v>45453</v>
      </c>
      <c r="C2055" s="22">
        <v>45453</v>
      </c>
      <c r="D2055" s="1" t="s">
        <v>4603</v>
      </c>
      <c r="E2055" s="1" t="s">
        <v>931</v>
      </c>
      <c r="F2055" s="1">
        <v>33</v>
      </c>
      <c r="G2055" s="1" t="s">
        <v>34</v>
      </c>
      <c r="H2055" s="1" t="s">
        <v>111</v>
      </c>
      <c r="I2055" s="1" t="s">
        <v>121</v>
      </c>
      <c r="J2055" s="1" t="s">
        <v>37</v>
      </c>
      <c r="K2055" s="1" t="s">
        <v>671</v>
      </c>
      <c r="L2055" s="1">
        <v>8</v>
      </c>
      <c r="M2055" s="13">
        <v>548.41999999999996</v>
      </c>
      <c r="N2055" s="15">
        <v>0.06</v>
      </c>
      <c r="O2055" s="13">
        <v>7473.19</v>
      </c>
      <c r="P2055" s="13">
        <v>4783.7</v>
      </c>
      <c r="Q2055" s="13">
        <v>67.67</v>
      </c>
      <c r="R2055" s="1" t="s">
        <v>29</v>
      </c>
      <c r="S2055" s="1">
        <v>3</v>
      </c>
      <c r="T2055" s="1" t="b">
        <v>0</v>
      </c>
      <c r="U2055" s="1" t="s">
        <v>84</v>
      </c>
      <c r="V2055" s="3">
        <v>4</v>
      </c>
    </row>
    <row r="2056" spans="1:22" x14ac:dyDescent="0.3">
      <c r="A2056" s="2" t="s">
        <v>4604</v>
      </c>
      <c r="B2056" s="10">
        <v>45131</v>
      </c>
      <c r="C2056" s="22">
        <v>45131</v>
      </c>
      <c r="D2056" s="1" t="s">
        <v>4605</v>
      </c>
      <c r="E2056" s="1" t="s">
        <v>1099</v>
      </c>
      <c r="F2056" s="1">
        <v>30</v>
      </c>
      <c r="G2056" s="1" t="s">
        <v>24</v>
      </c>
      <c r="H2056" s="1" t="s">
        <v>82</v>
      </c>
      <c r="I2056" s="1" t="s">
        <v>244</v>
      </c>
      <c r="J2056" s="1" t="s">
        <v>62</v>
      </c>
      <c r="K2056" s="1" t="s">
        <v>266</v>
      </c>
      <c r="L2056" s="1">
        <v>7</v>
      </c>
      <c r="M2056" s="13">
        <v>748.66</v>
      </c>
      <c r="N2056" s="15">
        <v>0.03</v>
      </c>
      <c r="O2056" s="13">
        <v>7011.74</v>
      </c>
      <c r="P2056" s="13">
        <v>2220.64</v>
      </c>
      <c r="Q2056" s="13">
        <v>86.38</v>
      </c>
      <c r="R2056" s="1" t="s">
        <v>78</v>
      </c>
      <c r="S2056" s="1">
        <v>4</v>
      </c>
      <c r="T2056" s="1" t="b">
        <v>0</v>
      </c>
      <c r="U2056" s="1" t="s">
        <v>39</v>
      </c>
      <c r="V2056" s="3">
        <v>7</v>
      </c>
    </row>
    <row r="2057" spans="1:22" x14ac:dyDescent="0.3">
      <c r="A2057" s="2" t="s">
        <v>4606</v>
      </c>
      <c r="B2057" s="10">
        <v>45436</v>
      </c>
      <c r="C2057" s="22">
        <v>45436</v>
      </c>
      <c r="D2057" s="1" t="s">
        <v>4607</v>
      </c>
      <c r="E2057" s="1" t="s">
        <v>1454</v>
      </c>
      <c r="F2057" s="1">
        <v>22</v>
      </c>
      <c r="G2057" s="1" t="s">
        <v>24</v>
      </c>
      <c r="H2057" s="1" t="s">
        <v>74</v>
      </c>
      <c r="I2057" s="1" t="s">
        <v>75</v>
      </c>
      <c r="J2057" s="1" t="s">
        <v>44</v>
      </c>
      <c r="K2057" s="1" t="s">
        <v>221</v>
      </c>
      <c r="L2057" s="1">
        <v>1</v>
      </c>
      <c r="M2057" s="13">
        <v>24499.78</v>
      </c>
      <c r="N2057" s="15">
        <v>0.05</v>
      </c>
      <c r="O2057" s="13">
        <v>38719.410000000003</v>
      </c>
      <c r="P2057" s="13">
        <v>9078.7900000000009</v>
      </c>
      <c r="Q2057" s="13">
        <v>41.62</v>
      </c>
      <c r="R2057" s="1" t="s">
        <v>64</v>
      </c>
      <c r="S2057" s="1">
        <v>3</v>
      </c>
      <c r="T2057" s="1" t="b">
        <v>0</v>
      </c>
      <c r="U2057" s="1" t="s">
        <v>197</v>
      </c>
      <c r="V2057" s="3">
        <v>8</v>
      </c>
    </row>
    <row r="2058" spans="1:22" x14ac:dyDescent="0.3">
      <c r="A2058" s="2" t="s">
        <v>4608</v>
      </c>
      <c r="B2058" s="10">
        <v>44160</v>
      </c>
      <c r="C2058" s="22">
        <v>44160</v>
      </c>
      <c r="D2058" s="1" t="s">
        <v>4609</v>
      </c>
      <c r="E2058" s="1" t="s">
        <v>286</v>
      </c>
      <c r="F2058" s="1">
        <v>61</v>
      </c>
      <c r="G2058" s="1" t="s">
        <v>34</v>
      </c>
      <c r="H2058" s="1" t="s">
        <v>74</v>
      </c>
      <c r="I2058" s="1" t="s">
        <v>136</v>
      </c>
      <c r="J2058" s="1" t="s">
        <v>27</v>
      </c>
      <c r="K2058" s="1" t="s">
        <v>430</v>
      </c>
      <c r="L2058" s="1">
        <v>8</v>
      </c>
      <c r="M2058" s="13">
        <v>463.67</v>
      </c>
      <c r="N2058" s="15">
        <v>0.39</v>
      </c>
      <c r="O2058" s="13">
        <v>1629.41</v>
      </c>
      <c r="P2058" s="13">
        <v>107.01</v>
      </c>
      <c r="Q2058" s="13">
        <v>45.72</v>
      </c>
      <c r="R2058" s="1" t="s">
        <v>57</v>
      </c>
      <c r="S2058" s="1">
        <v>3</v>
      </c>
      <c r="T2058" s="1" t="b">
        <v>0</v>
      </c>
      <c r="U2058" s="1" t="s">
        <v>39</v>
      </c>
      <c r="V2058" s="3">
        <v>10</v>
      </c>
    </row>
    <row r="2059" spans="1:22" x14ac:dyDescent="0.3">
      <c r="A2059" s="2" t="s">
        <v>4610</v>
      </c>
      <c r="B2059" s="10">
        <v>44924</v>
      </c>
      <c r="C2059" s="22">
        <v>44924</v>
      </c>
      <c r="D2059" s="1" t="s">
        <v>4611</v>
      </c>
      <c r="E2059" s="1" t="s">
        <v>453</v>
      </c>
      <c r="F2059" s="1">
        <v>21</v>
      </c>
      <c r="G2059" s="1" t="s">
        <v>24</v>
      </c>
      <c r="H2059" s="1" t="s">
        <v>111</v>
      </c>
      <c r="I2059" s="1" t="s">
        <v>112</v>
      </c>
      <c r="J2059" s="1" t="s">
        <v>62</v>
      </c>
      <c r="K2059" s="1" t="s">
        <v>570</v>
      </c>
      <c r="L2059" s="1">
        <v>4</v>
      </c>
      <c r="M2059" s="13">
        <v>1305.05</v>
      </c>
      <c r="N2059" s="15">
        <v>7.0000000000000007E-2</v>
      </c>
      <c r="O2059" s="13">
        <v>4009.71</v>
      </c>
      <c r="P2059" s="13">
        <v>758.37</v>
      </c>
      <c r="Q2059" s="13">
        <v>39.85</v>
      </c>
      <c r="R2059" s="1" t="s">
        <v>78</v>
      </c>
      <c r="S2059" s="1">
        <v>2</v>
      </c>
      <c r="T2059" s="1" t="b">
        <v>0</v>
      </c>
      <c r="U2059" s="1" t="s">
        <v>58</v>
      </c>
      <c r="V2059" s="3">
        <v>3</v>
      </c>
    </row>
    <row r="2060" spans="1:22" x14ac:dyDescent="0.3">
      <c r="A2060" s="2" t="s">
        <v>4612</v>
      </c>
      <c r="B2060" s="10">
        <v>44063</v>
      </c>
      <c r="C2060" s="22">
        <v>44063</v>
      </c>
      <c r="D2060" s="1" t="s">
        <v>4613</v>
      </c>
      <c r="E2060" s="1" t="s">
        <v>73</v>
      </c>
      <c r="F2060" s="1">
        <v>26</v>
      </c>
      <c r="G2060" s="1" t="s">
        <v>24</v>
      </c>
      <c r="H2060" s="1" t="s">
        <v>25</v>
      </c>
      <c r="I2060" s="1" t="s">
        <v>170</v>
      </c>
      <c r="J2060" s="1" t="s">
        <v>62</v>
      </c>
      <c r="K2060" s="1" t="s">
        <v>107</v>
      </c>
      <c r="L2060" s="1">
        <v>3</v>
      </c>
      <c r="M2060" s="13">
        <v>1190.8499999999999</v>
      </c>
      <c r="N2060" s="15">
        <v>0.12</v>
      </c>
      <c r="O2060" s="13">
        <v>3828.22</v>
      </c>
      <c r="P2060" s="13">
        <v>1665.32</v>
      </c>
      <c r="Q2060" s="13">
        <v>77.790000000000006</v>
      </c>
      <c r="R2060" s="1" t="s">
        <v>70</v>
      </c>
      <c r="S2060" s="1">
        <v>3</v>
      </c>
      <c r="T2060" s="1" t="b">
        <v>0</v>
      </c>
      <c r="U2060" s="1" t="s">
        <v>39</v>
      </c>
      <c r="V2060" s="3">
        <v>3</v>
      </c>
    </row>
    <row r="2061" spans="1:22" x14ac:dyDescent="0.3">
      <c r="A2061" s="2" t="s">
        <v>4614</v>
      </c>
      <c r="B2061" s="10">
        <v>44134</v>
      </c>
      <c r="C2061" s="22">
        <v>44134</v>
      </c>
      <c r="D2061" s="1" t="s">
        <v>4615</v>
      </c>
      <c r="E2061" s="1" t="s">
        <v>1899</v>
      </c>
      <c r="F2061" s="1">
        <v>18</v>
      </c>
      <c r="G2061" s="1" t="s">
        <v>68</v>
      </c>
      <c r="H2061" s="1" t="s">
        <v>25</v>
      </c>
      <c r="I2061" s="1" t="s">
        <v>55</v>
      </c>
      <c r="J2061" s="1" t="s">
        <v>44</v>
      </c>
      <c r="K2061" s="1" t="s">
        <v>186</v>
      </c>
      <c r="L2061" s="1">
        <v>9</v>
      </c>
      <c r="M2061" s="13">
        <v>33383.42</v>
      </c>
      <c r="N2061" s="15">
        <v>0.18</v>
      </c>
      <c r="O2061" s="13">
        <v>235297.53</v>
      </c>
      <c r="P2061" s="13">
        <v>79526.38</v>
      </c>
      <c r="Q2061" s="13">
        <v>58.3</v>
      </c>
      <c r="R2061" s="1" t="s">
        <v>78</v>
      </c>
      <c r="S2061" s="1">
        <v>2</v>
      </c>
      <c r="T2061" s="1" t="b">
        <v>0</v>
      </c>
      <c r="U2061" s="1" t="s">
        <v>39</v>
      </c>
      <c r="V2061" s="3">
        <v>3</v>
      </c>
    </row>
    <row r="2062" spans="1:22" x14ac:dyDescent="0.3">
      <c r="A2062" s="2" t="s">
        <v>4616</v>
      </c>
      <c r="B2062" s="10">
        <v>45271</v>
      </c>
      <c r="C2062" s="22">
        <v>45271</v>
      </c>
      <c r="D2062" s="1" t="s">
        <v>539</v>
      </c>
      <c r="E2062" s="1" t="s">
        <v>2250</v>
      </c>
      <c r="F2062" s="1">
        <v>19</v>
      </c>
      <c r="G2062" s="1" t="s">
        <v>24</v>
      </c>
      <c r="H2062" s="1" t="s">
        <v>74</v>
      </c>
      <c r="I2062" s="1" t="s">
        <v>101</v>
      </c>
      <c r="J2062" s="1" t="s">
        <v>76</v>
      </c>
      <c r="K2062" s="1" t="s">
        <v>132</v>
      </c>
      <c r="L2062" s="1">
        <v>2</v>
      </c>
      <c r="M2062" s="13">
        <v>350.76</v>
      </c>
      <c r="N2062" s="15">
        <v>0.26</v>
      </c>
      <c r="O2062" s="13">
        <v>437.15</v>
      </c>
      <c r="P2062" s="13">
        <v>113.04</v>
      </c>
      <c r="Q2062" s="13">
        <v>72.77</v>
      </c>
      <c r="R2062" s="1" t="s">
        <v>70</v>
      </c>
      <c r="S2062" s="1">
        <v>2</v>
      </c>
      <c r="T2062" s="1" t="b">
        <v>0</v>
      </c>
      <c r="U2062" s="1" t="s">
        <v>84</v>
      </c>
      <c r="V2062" s="3">
        <v>9</v>
      </c>
    </row>
    <row r="2063" spans="1:22" x14ac:dyDescent="0.3">
      <c r="A2063" s="2" t="s">
        <v>4617</v>
      </c>
      <c r="B2063" s="10">
        <v>44960</v>
      </c>
      <c r="C2063" s="22">
        <v>44960</v>
      </c>
      <c r="D2063" s="1" t="s">
        <v>4618</v>
      </c>
      <c r="E2063" s="1" t="s">
        <v>1862</v>
      </c>
      <c r="F2063" s="1">
        <v>34</v>
      </c>
      <c r="G2063" s="1" t="s">
        <v>24</v>
      </c>
      <c r="H2063" s="1" t="s">
        <v>25</v>
      </c>
      <c r="I2063" s="1" t="s">
        <v>55</v>
      </c>
      <c r="J2063" s="1" t="s">
        <v>76</v>
      </c>
      <c r="K2063" s="1" t="s">
        <v>122</v>
      </c>
      <c r="L2063" s="1">
        <v>5</v>
      </c>
      <c r="M2063" s="13">
        <v>3467.44</v>
      </c>
      <c r="N2063" s="15">
        <v>0.22</v>
      </c>
      <c r="O2063" s="13">
        <v>15431.87</v>
      </c>
      <c r="P2063" s="13">
        <v>4362.76</v>
      </c>
      <c r="Q2063" s="13">
        <v>70.28</v>
      </c>
      <c r="R2063" s="1" t="s">
        <v>70</v>
      </c>
      <c r="S2063" s="1">
        <v>1</v>
      </c>
      <c r="T2063" s="1" t="b">
        <v>0</v>
      </c>
      <c r="U2063" s="1" t="s">
        <v>39</v>
      </c>
      <c r="V2063" s="3">
        <v>1</v>
      </c>
    </row>
    <row r="2064" spans="1:22" x14ac:dyDescent="0.3">
      <c r="A2064" s="2" t="s">
        <v>4619</v>
      </c>
      <c r="B2064" s="10">
        <v>44285</v>
      </c>
      <c r="C2064" s="22">
        <v>44285</v>
      </c>
      <c r="D2064" s="1" t="s">
        <v>4620</v>
      </c>
      <c r="E2064" s="1" t="s">
        <v>1541</v>
      </c>
      <c r="F2064" s="1">
        <v>39</v>
      </c>
      <c r="G2064" s="1" t="s">
        <v>34</v>
      </c>
      <c r="H2064" s="1" t="s">
        <v>111</v>
      </c>
      <c r="I2064" s="1" t="s">
        <v>112</v>
      </c>
      <c r="J2064" s="1" t="s">
        <v>27</v>
      </c>
      <c r="K2064" s="1" t="s">
        <v>28</v>
      </c>
      <c r="L2064" s="1">
        <v>3</v>
      </c>
      <c r="M2064" s="13">
        <v>105.18</v>
      </c>
      <c r="N2064" s="15">
        <v>0.02</v>
      </c>
      <c r="O2064" s="13">
        <v>322.97000000000003</v>
      </c>
      <c r="P2064" s="13">
        <v>31.12</v>
      </c>
      <c r="Q2064" s="13">
        <v>57.45</v>
      </c>
      <c r="R2064" s="1" t="s">
        <v>57</v>
      </c>
      <c r="S2064" s="1">
        <v>5</v>
      </c>
      <c r="T2064" s="1" t="b">
        <v>0</v>
      </c>
      <c r="U2064" s="1" t="s">
        <v>39</v>
      </c>
      <c r="V2064" s="3">
        <v>8</v>
      </c>
    </row>
    <row r="2065" spans="1:22" x14ac:dyDescent="0.3">
      <c r="A2065" s="2" t="s">
        <v>4621</v>
      </c>
      <c r="B2065" s="10">
        <v>45495</v>
      </c>
      <c r="C2065" s="22">
        <v>45495</v>
      </c>
      <c r="D2065" s="1" t="s">
        <v>4622</v>
      </c>
      <c r="E2065" s="1" t="s">
        <v>1159</v>
      </c>
      <c r="F2065" s="1">
        <v>44</v>
      </c>
      <c r="G2065" s="1" t="s">
        <v>34</v>
      </c>
      <c r="H2065" s="1" t="s">
        <v>74</v>
      </c>
      <c r="I2065" s="1" t="s">
        <v>75</v>
      </c>
      <c r="J2065" s="1" t="s">
        <v>37</v>
      </c>
      <c r="K2065" s="1" t="s">
        <v>671</v>
      </c>
      <c r="L2065" s="1">
        <v>4</v>
      </c>
      <c r="M2065" s="13">
        <v>467.13</v>
      </c>
      <c r="N2065" s="15">
        <v>0.35</v>
      </c>
      <c r="O2065" s="13">
        <v>2125.39</v>
      </c>
      <c r="P2065" s="13">
        <v>857.43</v>
      </c>
      <c r="Q2065" s="13">
        <v>18.28</v>
      </c>
      <c r="R2065" s="1" t="s">
        <v>78</v>
      </c>
      <c r="S2065" s="1">
        <v>4</v>
      </c>
      <c r="T2065" s="1" t="b">
        <v>0</v>
      </c>
      <c r="U2065" s="1" t="s">
        <v>137</v>
      </c>
      <c r="V2065" s="3">
        <v>3</v>
      </c>
    </row>
    <row r="2066" spans="1:22" x14ac:dyDescent="0.3">
      <c r="A2066" s="2" t="s">
        <v>4623</v>
      </c>
      <c r="B2066" s="10">
        <v>45339</v>
      </c>
      <c r="C2066" s="22">
        <v>45339</v>
      </c>
      <c r="D2066" s="1" t="s">
        <v>4624</v>
      </c>
      <c r="E2066" s="1" t="s">
        <v>110</v>
      </c>
      <c r="F2066" s="1">
        <v>36</v>
      </c>
      <c r="G2066" s="1" t="s">
        <v>34</v>
      </c>
      <c r="H2066" s="1" t="s">
        <v>111</v>
      </c>
      <c r="I2066" s="1" t="s">
        <v>141</v>
      </c>
      <c r="J2066" s="1" t="s">
        <v>146</v>
      </c>
      <c r="K2066" s="1" t="s">
        <v>178</v>
      </c>
      <c r="L2066" s="1">
        <v>8</v>
      </c>
      <c r="M2066" s="13">
        <v>10455.969999999999</v>
      </c>
      <c r="N2066" s="15">
        <v>0.38</v>
      </c>
      <c r="O2066" s="13">
        <v>58029.61</v>
      </c>
      <c r="P2066" s="13">
        <v>11501.7</v>
      </c>
      <c r="Q2066" s="13">
        <v>55.15</v>
      </c>
      <c r="R2066" s="1" t="s">
        <v>70</v>
      </c>
      <c r="S2066" s="1">
        <v>2</v>
      </c>
      <c r="T2066" s="1" t="b">
        <v>0</v>
      </c>
      <c r="U2066" s="1" t="s">
        <v>39</v>
      </c>
      <c r="V2066" s="3">
        <v>10</v>
      </c>
    </row>
    <row r="2067" spans="1:22" x14ac:dyDescent="0.3">
      <c r="A2067" s="2" t="s">
        <v>4625</v>
      </c>
      <c r="B2067" s="10">
        <v>44877</v>
      </c>
      <c r="C2067" s="22">
        <v>44877</v>
      </c>
      <c r="D2067" s="1" t="s">
        <v>4626</v>
      </c>
      <c r="E2067" s="1" t="s">
        <v>847</v>
      </c>
      <c r="F2067" s="1">
        <v>42</v>
      </c>
      <c r="G2067" s="1" t="s">
        <v>34</v>
      </c>
      <c r="H2067" s="1" t="s">
        <v>111</v>
      </c>
      <c r="I2067" s="1" t="s">
        <v>330</v>
      </c>
      <c r="J2067" s="1" t="s">
        <v>127</v>
      </c>
      <c r="K2067" s="1" t="s">
        <v>517</v>
      </c>
      <c r="L2067" s="1">
        <v>4</v>
      </c>
      <c r="M2067" s="13">
        <v>76493.84</v>
      </c>
      <c r="N2067" s="15">
        <v>0.09</v>
      </c>
      <c r="O2067" s="13">
        <v>272766.46000000002</v>
      </c>
      <c r="P2067" s="13">
        <v>29631.74</v>
      </c>
      <c r="Q2067" s="13">
        <v>60.2</v>
      </c>
      <c r="R2067" s="1" t="s">
        <v>64</v>
      </c>
      <c r="S2067" s="1">
        <v>4</v>
      </c>
      <c r="T2067" s="1" t="b">
        <v>0</v>
      </c>
      <c r="U2067" s="1" t="s">
        <v>39</v>
      </c>
      <c r="V2067" s="3">
        <v>3</v>
      </c>
    </row>
    <row r="2068" spans="1:22" x14ac:dyDescent="0.3">
      <c r="A2068" s="2" t="s">
        <v>4627</v>
      </c>
      <c r="B2068" s="10">
        <v>43851</v>
      </c>
      <c r="C2068" s="22">
        <v>43851</v>
      </c>
      <c r="D2068" s="1" t="s">
        <v>4628</v>
      </c>
      <c r="E2068" s="1" t="s">
        <v>702</v>
      </c>
      <c r="F2068" s="1">
        <v>37</v>
      </c>
      <c r="G2068" s="1" t="s">
        <v>24</v>
      </c>
      <c r="H2068" s="1" t="s">
        <v>82</v>
      </c>
      <c r="I2068" s="1" t="s">
        <v>126</v>
      </c>
      <c r="J2068" s="1" t="s">
        <v>44</v>
      </c>
      <c r="K2068" s="1" t="s">
        <v>117</v>
      </c>
      <c r="L2068" s="1">
        <v>5</v>
      </c>
      <c r="M2068" s="13">
        <v>27804.49</v>
      </c>
      <c r="N2068" s="15">
        <v>0.3</v>
      </c>
      <c r="O2068" s="13">
        <v>77191.05</v>
      </c>
      <c r="P2068" s="13">
        <v>24198.91</v>
      </c>
      <c r="Q2068" s="13">
        <v>77.819999999999993</v>
      </c>
      <c r="R2068" s="1" t="s">
        <v>78</v>
      </c>
      <c r="S2068" s="1">
        <v>3</v>
      </c>
      <c r="T2068" s="1" t="b">
        <v>0</v>
      </c>
      <c r="U2068" s="1" t="s">
        <v>39</v>
      </c>
      <c r="V2068" s="3">
        <v>4</v>
      </c>
    </row>
    <row r="2069" spans="1:22" x14ac:dyDescent="0.3">
      <c r="A2069" s="2" t="s">
        <v>4629</v>
      </c>
      <c r="B2069" s="10">
        <v>45019</v>
      </c>
      <c r="C2069" s="22">
        <v>45019</v>
      </c>
      <c r="D2069" s="1" t="s">
        <v>4630</v>
      </c>
      <c r="E2069" s="1" t="s">
        <v>145</v>
      </c>
      <c r="F2069" s="1">
        <v>51</v>
      </c>
      <c r="G2069" s="1" t="s">
        <v>34</v>
      </c>
      <c r="H2069" s="1" t="s">
        <v>35</v>
      </c>
      <c r="I2069" s="1" t="s">
        <v>49</v>
      </c>
      <c r="J2069" s="1" t="s">
        <v>44</v>
      </c>
      <c r="K2069" s="1" t="s">
        <v>93</v>
      </c>
      <c r="L2069" s="1">
        <v>7</v>
      </c>
      <c r="M2069" s="13">
        <v>9306.42</v>
      </c>
      <c r="N2069" s="15">
        <v>0.37</v>
      </c>
      <c r="O2069" s="13">
        <v>66850.759999999995</v>
      </c>
      <c r="P2069" s="13">
        <v>15497.67</v>
      </c>
      <c r="Q2069" s="13">
        <v>63.06</v>
      </c>
      <c r="R2069" s="1" t="s">
        <v>29</v>
      </c>
      <c r="S2069" s="1">
        <v>4</v>
      </c>
      <c r="T2069" s="1" t="b">
        <v>1</v>
      </c>
      <c r="U2069" s="1" t="s">
        <v>30</v>
      </c>
      <c r="V2069" s="3">
        <v>4</v>
      </c>
    </row>
    <row r="2070" spans="1:22" x14ac:dyDescent="0.3">
      <c r="A2070" s="2" t="s">
        <v>4631</v>
      </c>
      <c r="B2070" s="10">
        <v>45484</v>
      </c>
      <c r="C2070" s="22">
        <v>45484</v>
      </c>
      <c r="D2070" s="1" t="s">
        <v>4632</v>
      </c>
      <c r="E2070" s="1" t="s">
        <v>1538</v>
      </c>
      <c r="F2070" s="1">
        <v>40</v>
      </c>
      <c r="G2070" s="1" t="s">
        <v>24</v>
      </c>
      <c r="H2070" s="1" t="s">
        <v>111</v>
      </c>
      <c r="I2070" s="1" t="s">
        <v>112</v>
      </c>
      <c r="J2070" s="1" t="s">
        <v>127</v>
      </c>
      <c r="K2070" s="1" t="s">
        <v>308</v>
      </c>
      <c r="L2070" s="1">
        <v>5</v>
      </c>
      <c r="M2070" s="13">
        <v>14932.93</v>
      </c>
      <c r="N2070" s="15">
        <v>0.35</v>
      </c>
      <c r="O2070" s="13">
        <v>77317.66</v>
      </c>
      <c r="P2070" s="13">
        <v>5613.46</v>
      </c>
      <c r="Q2070" s="13">
        <v>85.87</v>
      </c>
      <c r="R2070" s="1" t="s">
        <v>78</v>
      </c>
      <c r="S2070" s="1">
        <v>2</v>
      </c>
      <c r="T2070" s="1" t="b">
        <v>0</v>
      </c>
      <c r="U2070" s="1" t="s">
        <v>39</v>
      </c>
      <c r="V2070" s="3">
        <v>9</v>
      </c>
    </row>
    <row r="2071" spans="1:22" x14ac:dyDescent="0.3">
      <c r="A2071" s="2" t="s">
        <v>4633</v>
      </c>
      <c r="B2071" s="10">
        <v>44637</v>
      </c>
      <c r="C2071" s="22">
        <v>44637</v>
      </c>
      <c r="D2071" s="1" t="s">
        <v>4634</v>
      </c>
      <c r="E2071" s="1" t="s">
        <v>23</v>
      </c>
      <c r="F2071" s="1">
        <v>17</v>
      </c>
      <c r="G2071" s="1" t="s">
        <v>24</v>
      </c>
      <c r="H2071" s="1" t="s">
        <v>111</v>
      </c>
      <c r="I2071" s="1" t="s">
        <v>121</v>
      </c>
      <c r="J2071" s="1" t="s">
        <v>27</v>
      </c>
      <c r="K2071" s="1" t="s">
        <v>97</v>
      </c>
      <c r="L2071" s="1">
        <v>2</v>
      </c>
      <c r="M2071" s="13">
        <v>57.7</v>
      </c>
      <c r="N2071" s="15">
        <v>0.13</v>
      </c>
      <c r="O2071" s="13">
        <v>117.1</v>
      </c>
      <c r="P2071" s="13">
        <v>5.26</v>
      </c>
      <c r="Q2071" s="13">
        <v>69.540000000000006</v>
      </c>
      <c r="R2071" s="1" t="s">
        <v>64</v>
      </c>
      <c r="S2071" s="1">
        <v>4</v>
      </c>
      <c r="T2071" s="1" t="b">
        <v>0</v>
      </c>
      <c r="U2071" s="1" t="s">
        <v>58</v>
      </c>
      <c r="V2071" s="3">
        <v>4</v>
      </c>
    </row>
    <row r="2072" spans="1:22" x14ac:dyDescent="0.3">
      <c r="A2072" s="2" t="s">
        <v>4635</v>
      </c>
      <c r="B2072" s="10">
        <v>45132</v>
      </c>
      <c r="C2072" s="22">
        <v>45132</v>
      </c>
      <c r="D2072" s="1" t="s">
        <v>4636</v>
      </c>
      <c r="E2072" s="1" t="s">
        <v>1142</v>
      </c>
      <c r="F2072" s="1">
        <v>51</v>
      </c>
      <c r="G2072" s="1" t="s">
        <v>463</v>
      </c>
      <c r="H2072" s="1" t="s">
        <v>35</v>
      </c>
      <c r="I2072" s="1" t="s">
        <v>43</v>
      </c>
      <c r="J2072" s="1" t="s">
        <v>146</v>
      </c>
      <c r="K2072" s="1" t="s">
        <v>161</v>
      </c>
      <c r="L2072" s="1">
        <v>5</v>
      </c>
      <c r="M2072" s="13">
        <v>590.97</v>
      </c>
      <c r="N2072" s="15">
        <v>0.32</v>
      </c>
      <c r="O2072" s="13">
        <v>599.04999999999995</v>
      </c>
      <c r="P2072" s="13">
        <v>132.99</v>
      </c>
      <c r="Q2072" s="13">
        <v>70.58</v>
      </c>
      <c r="R2072" s="1" t="s">
        <v>70</v>
      </c>
      <c r="S2072" s="1">
        <v>3</v>
      </c>
      <c r="T2072" s="1" t="b">
        <v>0</v>
      </c>
      <c r="U2072" s="1" t="s">
        <v>39</v>
      </c>
      <c r="V2072" s="3">
        <v>4</v>
      </c>
    </row>
    <row r="2073" spans="1:22" x14ac:dyDescent="0.3">
      <c r="A2073" s="2" t="s">
        <v>4637</v>
      </c>
      <c r="B2073" s="10">
        <v>44956</v>
      </c>
      <c r="C2073" s="22">
        <v>44956</v>
      </c>
      <c r="D2073" s="1" t="s">
        <v>4638</v>
      </c>
      <c r="E2073" s="1" t="s">
        <v>415</v>
      </c>
      <c r="F2073" s="1">
        <v>39</v>
      </c>
      <c r="G2073" s="1" t="s">
        <v>24</v>
      </c>
      <c r="H2073" s="1" t="s">
        <v>82</v>
      </c>
      <c r="I2073" s="1" t="s">
        <v>126</v>
      </c>
      <c r="J2073" s="1" t="s">
        <v>27</v>
      </c>
      <c r="K2073" s="1" t="s">
        <v>28</v>
      </c>
      <c r="L2073" s="1">
        <v>6</v>
      </c>
      <c r="M2073" s="13">
        <v>253.83</v>
      </c>
      <c r="N2073" s="15">
        <v>0.19</v>
      </c>
      <c r="O2073" s="13">
        <v>1077.3399999999999</v>
      </c>
      <c r="P2073" s="13">
        <v>92.56</v>
      </c>
      <c r="Q2073" s="13">
        <v>70.48</v>
      </c>
      <c r="R2073" s="1" t="s">
        <v>78</v>
      </c>
      <c r="S2073" s="1">
        <v>2</v>
      </c>
      <c r="T2073" s="1" t="b">
        <v>0</v>
      </c>
      <c r="U2073" s="1" t="s">
        <v>137</v>
      </c>
      <c r="V2073" s="3">
        <v>1</v>
      </c>
    </row>
    <row r="2074" spans="1:22" x14ac:dyDescent="0.3">
      <c r="A2074" s="2" t="s">
        <v>4639</v>
      </c>
      <c r="B2074" s="10">
        <v>45404</v>
      </c>
      <c r="C2074" s="22">
        <v>45404</v>
      </c>
      <c r="D2074" s="1" t="s">
        <v>4640</v>
      </c>
      <c r="E2074" s="1" t="s">
        <v>1865</v>
      </c>
      <c r="F2074" s="1">
        <v>38</v>
      </c>
      <c r="G2074" s="1" t="s">
        <v>434</v>
      </c>
      <c r="H2074" s="1" t="s">
        <v>111</v>
      </c>
      <c r="I2074" s="1" t="s">
        <v>141</v>
      </c>
      <c r="J2074" s="1" t="s">
        <v>76</v>
      </c>
      <c r="K2074" s="1" t="s">
        <v>113</v>
      </c>
      <c r="L2074" s="1">
        <v>3</v>
      </c>
      <c r="M2074" s="13">
        <v>1489.86</v>
      </c>
      <c r="N2074" s="15">
        <v>0.2</v>
      </c>
      <c r="O2074" s="13">
        <v>4679.3100000000004</v>
      </c>
      <c r="P2074" s="13">
        <v>2296.34</v>
      </c>
      <c r="Q2074" s="13">
        <v>74.38</v>
      </c>
      <c r="R2074" s="1" t="s">
        <v>64</v>
      </c>
      <c r="S2074" s="1">
        <v>1</v>
      </c>
      <c r="T2074" s="1" t="b">
        <v>0</v>
      </c>
      <c r="U2074" s="1" t="s">
        <v>84</v>
      </c>
      <c r="V2074" s="3">
        <v>10</v>
      </c>
    </row>
    <row r="2075" spans="1:22" x14ac:dyDescent="0.3">
      <c r="A2075" s="2" t="s">
        <v>4641</v>
      </c>
      <c r="B2075" s="10">
        <v>45349</v>
      </c>
      <c r="C2075" s="22">
        <v>45349</v>
      </c>
      <c r="D2075" s="1" t="s">
        <v>4642</v>
      </c>
      <c r="E2075" s="1" t="s">
        <v>1348</v>
      </c>
      <c r="F2075" s="1">
        <v>41</v>
      </c>
      <c r="G2075" s="1" t="s">
        <v>24</v>
      </c>
      <c r="H2075" s="1" t="s">
        <v>111</v>
      </c>
      <c r="I2075" s="1" t="s">
        <v>112</v>
      </c>
      <c r="J2075" s="1" t="s">
        <v>62</v>
      </c>
      <c r="K2075" s="1" t="s">
        <v>266</v>
      </c>
      <c r="L2075" s="1">
        <v>6</v>
      </c>
      <c r="M2075" s="13">
        <v>1461.81</v>
      </c>
      <c r="N2075" s="15">
        <v>0.04</v>
      </c>
      <c r="O2075" s="13">
        <v>9112.7099999999991</v>
      </c>
      <c r="P2075" s="13">
        <v>3389.16</v>
      </c>
      <c r="Q2075" s="13">
        <v>67.03</v>
      </c>
      <c r="R2075" s="1" t="s">
        <v>29</v>
      </c>
      <c r="S2075" s="1">
        <v>3</v>
      </c>
      <c r="T2075" s="1" t="b">
        <v>0</v>
      </c>
      <c r="U2075" s="1" t="s">
        <v>39</v>
      </c>
      <c r="V2075" s="3">
        <v>4</v>
      </c>
    </row>
    <row r="2076" spans="1:22" x14ac:dyDescent="0.3">
      <c r="A2076" s="2" t="s">
        <v>4643</v>
      </c>
      <c r="B2076" s="10">
        <v>45547</v>
      </c>
      <c r="C2076" s="22">
        <v>45547</v>
      </c>
      <c r="D2076" s="1" t="s">
        <v>4644</v>
      </c>
      <c r="E2076" s="1" t="s">
        <v>1324</v>
      </c>
      <c r="F2076" s="1">
        <v>10</v>
      </c>
      <c r="G2076" s="1" t="s">
        <v>24</v>
      </c>
      <c r="H2076" s="1" t="s">
        <v>82</v>
      </c>
      <c r="I2076" s="1" t="s">
        <v>83</v>
      </c>
      <c r="J2076" s="1" t="s">
        <v>146</v>
      </c>
      <c r="K2076" s="1" t="s">
        <v>161</v>
      </c>
      <c r="L2076" s="1">
        <v>9</v>
      </c>
      <c r="M2076" s="13">
        <v>2515.48</v>
      </c>
      <c r="N2076" s="15">
        <v>0.28000000000000003</v>
      </c>
      <c r="O2076" s="13">
        <v>22131.200000000001</v>
      </c>
      <c r="P2076" s="13">
        <v>4682.26</v>
      </c>
      <c r="Q2076" s="13">
        <v>80.27</v>
      </c>
      <c r="R2076" s="1" t="s">
        <v>51</v>
      </c>
      <c r="S2076" s="1">
        <v>5</v>
      </c>
      <c r="T2076" s="1" t="b">
        <v>0</v>
      </c>
      <c r="U2076" s="1" t="s">
        <v>137</v>
      </c>
      <c r="V2076" s="3">
        <v>1</v>
      </c>
    </row>
    <row r="2077" spans="1:22" x14ac:dyDescent="0.3">
      <c r="A2077" s="2" t="s">
        <v>4645</v>
      </c>
      <c r="B2077" s="10">
        <v>44644</v>
      </c>
      <c r="C2077" s="22">
        <v>44644</v>
      </c>
      <c r="D2077" s="1" t="s">
        <v>4646</v>
      </c>
      <c r="E2077" s="1" t="s">
        <v>773</v>
      </c>
      <c r="F2077" s="1">
        <v>25</v>
      </c>
      <c r="G2077" s="1" t="s">
        <v>68</v>
      </c>
      <c r="H2077" s="1" t="s">
        <v>25</v>
      </c>
      <c r="I2077" s="1" t="s">
        <v>170</v>
      </c>
      <c r="J2077" s="1" t="s">
        <v>146</v>
      </c>
      <c r="K2077" s="1" t="s">
        <v>484</v>
      </c>
      <c r="L2077" s="1">
        <v>5</v>
      </c>
      <c r="M2077" s="13">
        <v>2358.9499999999998</v>
      </c>
      <c r="N2077" s="15">
        <v>0.27</v>
      </c>
      <c r="O2077" s="13">
        <v>9997.67</v>
      </c>
      <c r="P2077" s="13">
        <v>1971.24</v>
      </c>
      <c r="Q2077" s="13">
        <v>32.520000000000003</v>
      </c>
      <c r="R2077" s="1" t="s">
        <v>64</v>
      </c>
      <c r="S2077" s="1">
        <v>3</v>
      </c>
      <c r="T2077" s="1" t="b">
        <v>0</v>
      </c>
      <c r="U2077" s="1" t="s">
        <v>58</v>
      </c>
      <c r="V2077" s="3">
        <v>9</v>
      </c>
    </row>
    <row r="2078" spans="1:22" x14ac:dyDescent="0.3">
      <c r="A2078" s="2" t="s">
        <v>4647</v>
      </c>
      <c r="B2078" s="10">
        <v>45199</v>
      </c>
      <c r="C2078" s="22">
        <v>45199</v>
      </c>
      <c r="D2078" s="1" t="s">
        <v>4648</v>
      </c>
      <c r="E2078" s="1" t="s">
        <v>1601</v>
      </c>
      <c r="F2078" s="1">
        <v>36</v>
      </c>
      <c r="G2078" s="1" t="s">
        <v>24</v>
      </c>
      <c r="H2078" s="1" t="s">
        <v>111</v>
      </c>
      <c r="I2078" s="1" t="s">
        <v>112</v>
      </c>
      <c r="J2078" s="1" t="s">
        <v>27</v>
      </c>
      <c r="K2078" s="1" t="s">
        <v>28</v>
      </c>
      <c r="L2078" s="1">
        <v>2</v>
      </c>
      <c r="M2078" s="13">
        <v>384.04</v>
      </c>
      <c r="N2078" s="15">
        <v>0.03</v>
      </c>
      <c r="O2078" s="13">
        <v>819.11</v>
      </c>
      <c r="P2078" s="13">
        <v>70.23</v>
      </c>
      <c r="Q2078" s="13">
        <v>67.84</v>
      </c>
      <c r="R2078" s="1" t="s">
        <v>78</v>
      </c>
      <c r="S2078" s="1">
        <v>2</v>
      </c>
      <c r="T2078" s="1" t="b">
        <v>0</v>
      </c>
      <c r="U2078" s="1" t="s">
        <v>39</v>
      </c>
      <c r="V2078" s="3">
        <v>5</v>
      </c>
    </row>
    <row r="2079" spans="1:22" x14ac:dyDescent="0.3">
      <c r="A2079" s="2" t="s">
        <v>4649</v>
      </c>
      <c r="B2079" s="10">
        <v>44367</v>
      </c>
      <c r="C2079" s="22">
        <v>44367</v>
      </c>
      <c r="D2079" s="1" t="s">
        <v>4650</v>
      </c>
      <c r="E2079" s="1" t="s">
        <v>341</v>
      </c>
      <c r="F2079" s="1">
        <v>28</v>
      </c>
      <c r="G2079" s="1" t="s">
        <v>68</v>
      </c>
      <c r="H2079" s="1" t="s">
        <v>82</v>
      </c>
      <c r="I2079" s="1" t="s">
        <v>126</v>
      </c>
      <c r="J2079" s="1" t="s">
        <v>44</v>
      </c>
      <c r="K2079" s="1" t="s">
        <v>50</v>
      </c>
      <c r="L2079" s="1">
        <v>10</v>
      </c>
      <c r="M2079" s="13">
        <v>8582.4</v>
      </c>
      <c r="N2079" s="15">
        <v>0.22</v>
      </c>
      <c r="O2079" s="13">
        <v>82620.44</v>
      </c>
      <c r="P2079" s="13">
        <v>29287.56</v>
      </c>
      <c r="Q2079" s="13">
        <v>68.430000000000007</v>
      </c>
      <c r="R2079" s="1" t="s">
        <v>51</v>
      </c>
      <c r="S2079" s="1">
        <v>4</v>
      </c>
      <c r="T2079" s="1" t="b">
        <v>0</v>
      </c>
      <c r="U2079" s="1" t="s">
        <v>39</v>
      </c>
      <c r="V2079" s="3">
        <v>8</v>
      </c>
    </row>
    <row r="2080" spans="1:22" x14ac:dyDescent="0.3">
      <c r="A2080" s="2" t="s">
        <v>4651</v>
      </c>
      <c r="B2080" s="10">
        <v>45614</v>
      </c>
      <c r="C2080" s="22">
        <v>45614</v>
      </c>
      <c r="D2080" s="1" t="s">
        <v>4652</v>
      </c>
      <c r="E2080" s="1" t="s">
        <v>1099</v>
      </c>
      <c r="F2080" s="1">
        <v>42</v>
      </c>
      <c r="G2080" s="1" t="s">
        <v>34</v>
      </c>
      <c r="H2080" s="1" t="s">
        <v>111</v>
      </c>
      <c r="I2080" s="1" t="s">
        <v>141</v>
      </c>
      <c r="J2080" s="1" t="s">
        <v>76</v>
      </c>
      <c r="K2080" s="1" t="s">
        <v>132</v>
      </c>
      <c r="L2080" s="1">
        <v>5</v>
      </c>
      <c r="M2080" s="13">
        <v>3079.53</v>
      </c>
      <c r="N2080" s="15">
        <v>0.11</v>
      </c>
      <c r="O2080" s="13">
        <v>2711.38</v>
      </c>
      <c r="P2080" s="13">
        <v>987.61</v>
      </c>
      <c r="Q2080" s="13">
        <v>68.17</v>
      </c>
      <c r="R2080" s="1" t="s">
        <v>70</v>
      </c>
      <c r="S2080" s="1">
        <v>5</v>
      </c>
      <c r="T2080" s="1" t="b">
        <v>0</v>
      </c>
      <c r="U2080" s="1" t="s">
        <v>84</v>
      </c>
      <c r="V2080" s="3">
        <v>1</v>
      </c>
    </row>
    <row r="2081" spans="1:22" x14ac:dyDescent="0.3">
      <c r="A2081" s="2" t="s">
        <v>4653</v>
      </c>
      <c r="B2081" s="10">
        <v>45078</v>
      </c>
      <c r="C2081" s="22">
        <v>45078</v>
      </c>
      <c r="D2081" s="1" t="s">
        <v>4654</v>
      </c>
      <c r="E2081" s="1" t="s">
        <v>1476</v>
      </c>
      <c r="F2081" s="1">
        <v>50</v>
      </c>
      <c r="G2081" s="1" t="s">
        <v>24</v>
      </c>
      <c r="H2081" s="1" t="s">
        <v>111</v>
      </c>
      <c r="I2081" s="1" t="s">
        <v>121</v>
      </c>
      <c r="J2081" s="1" t="s">
        <v>62</v>
      </c>
      <c r="K2081" s="1" t="s">
        <v>283</v>
      </c>
      <c r="L2081" s="1">
        <v>1</v>
      </c>
      <c r="M2081" s="13">
        <v>430.84</v>
      </c>
      <c r="N2081" s="15">
        <v>0.37</v>
      </c>
      <c r="O2081" s="13">
        <v>479.27</v>
      </c>
      <c r="P2081" s="13">
        <v>212.94</v>
      </c>
      <c r="Q2081" s="13">
        <v>47.32</v>
      </c>
      <c r="R2081" s="1" t="s">
        <v>78</v>
      </c>
      <c r="S2081" s="1">
        <v>2</v>
      </c>
      <c r="T2081" s="1" t="b">
        <v>0</v>
      </c>
      <c r="U2081" s="1" t="s">
        <v>39</v>
      </c>
      <c r="V2081" s="3">
        <v>7</v>
      </c>
    </row>
    <row r="2082" spans="1:22" x14ac:dyDescent="0.3">
      <c r="A2082" s="2" t="s">
        <v>4655</v>
      </c>
      <c r="B2082" s="10">
        <v>44666</v>
      </c>
      <c r="C2082" s="22">
        <v>44666</v>
      </c>
      <c r="D2082" s="1" t="s">
        <v>4656</v>
      </c>
      <c r="E2082" s="1" t="s">
        <v>994</v>
      </c>
      <c r="F2082" s="1">
        <v>40</v>
      </c>
      <c r="G2082" s="1" t="s">
        <v>34</v>
      </c>
      <c r="H2082" s="1" t="s">
        <v>74</v>
      </c>
      <c r="I2082" s="1" t="s">
        <v>75</v>
      </c>
      <c r="J2082" s="1" t="s">
        <v>146</v>
      </c>
      <c r="K2082" s="1" t="s">
        <v>484</v>
      </c>
      <c r="L2082" s="1">
        <v>5</v>
      </c>
      <c r="M2082" s="13">
        <v>7694.53</v>
      </c>
      <c r="N2082" s="15">
        <v>0.2</v>
      </c>
      <c r="O2082" s="13">
        <v>39253.99</v>
      </c>
      <c r="P2082" s="13">
        <v>7429.11</v>
      </c>
      <c r="Q2082" s="13">
        <v>45.05</v>
      </c>
      <c r="R2082" s="1" t="s">
        <v>57</v>
      </c>
      <c r="S2082" s="1">
        <v>2</v>
      </c>
      <c r="T2082" s="1" t="b">
        <v>1</v>
      </c>
      <c r="U2082" s="1" t="s">
        <v>30</v>
      </c>
      <c r="V2082" s="3">
        <v>2</v>
      </c>
    </row>
    <row r="2083" spans="1:22" x14ac:dyDescent="0.3">
      <c r="A2083" s="2" t="s">
        <v>4657</v>
      </c>
      <c r="B2083" s="10">
        <v>45491</v>
      </c>
      <c r="C2083" s="22">
        <v>45491</v>
      </c>
      <c r="D2083" s="1" t="s">
        <v>4658</v>
      </c>
      <c r="E2083" s="1" t="s">
        <v>1345</v>
      </c>
      <c r="F2083" s="1">
        <v>60</v>
      </c>
      <c r="G2083" s="1" t="s">
        <v>24</v>
      </c>
      <c r="H2083" s="1" t="s">
        <v>111</v>
      </c>
      <c r="I2083" s="1" t="s">
        <v>112</v>
      </c>
      <c r="J2083" s="1" t="s">
        <v>62</v>
      </c>
      <c r="K2083" s="1" t="s">
        <v>570</v>
      </c>
      <c r="L2083" s="1">
        <v>9</v>
      </c>
      <c r="M2083" s="13">
        <v>1373</v>
      </c>
      <c r="N2083" s="15">
        <v>0.06</v>
      </c>
      <c r="O2083" s="13">
        <v>17944.78</v>
      </c>
      <c r="P2083" s="13">
        <v>4726.75</v>
      </c>
      <c r="Q2083" s="13">
        <v>32.78</v>
      </c>
      <c r="R2083" s="1" t="s">
        <v>64</v>
      </c>
      <c r="S2083" s="1">
        <v>5</v>
      </c>
      <c r="T2083" s="1" t="b">
        <v>0</v>
      </c>
      <c r="U2083" s="1" t="s">
        <v>39</v>
      </c>
      <c r="V2083" s="3">
        <v>8</v>
      </c>
    </row>
    <row r="2084" spans="1:22" x14ac:dyDescent="0.3">
      <c r="A2084" s="2" t="s">
        <v>4659</v>
      </c>
      <c r="B2084" s="10">
        <v>45518</v>
      </c>
      <c r="C2084" s="22">
        <v>45518</v>
      </c>
      <c r="D2084" s="1" t="s">
        <v>4660</v>
      </c>
      <c r="E2084" s="1" t="s">
        <v>2875</v>
      </c>
      <c r="F2084" s="1">
        <v>42</v>
      </c>
      <c r="G2084" s="1" t="s">
        <v>24</v>
      </c>
      <c r="H2084" s="1" t="s">
        <v>82</v>
      </c>
      <c r="I2084" s="1" t="s">
        <v>126</v>
      </c>
      <c r="J2084" s="1" t="s">
        <v>44</v>
      </c>
      <c r="K2084" s="1" t="s">
        <v>221</v>
      </c>
      <c r="L2084" s="1">
        <v>8</v>
      </c>
      <c r="M2084" s="13">
        <v>32976.81</v>
      </c>
      <c r="N2084" s="15">
        <v>0.11</v>
      </c>
      <c r="O2084" s="13">
        <v>345009.69</v>
      </c>
      <c r="P2084" s="13">
        <v>104290.26</v>
      </c>
      <c r="Q2084" s="13">
        <v>89.17</v>
      </c>
      <c r="R2084" s="1" t="s">
        <v>29</v>
      </c>
      <c r="S2084" s="1">
        <v>4</v>
      </c>
      <c r="T2084" s="1" t="b">
        <v>1</v>
      </c>
      <c r="U2084" s="1" t="s">
        <v>30</v>
      </c>
      <c r="V2084" s="3">
        <v>2</v>
      </c>
    </row>
    <row r="2085" spans="1:22" x14ac:dyDescent="0.3">
      <c r="A2085" s="2" t="s">
        <v>4661</v>
      </c>
      <c r="B2085" s="10">
        <v>45593</v>
      </c>
      <c r="C2085" s="22">
        <v>45593</v>
      </c>
      <c r="D2085" s="1" t="s">
        <v>4662</v>
      </c>
      <c r="E2085" s="1" t="s">
        <v>354</v>
      </c>
      <c r="F2085" s="1">
        <v>8</v>
      </c>
      <c r="G2085" s="1" t="s">
        <v>68</v>
      </c>
      <c r="H2085" s="1" t="s">
        <v>111</v>
      </c>
      <c r="I2085" s="1" t="s">
        <v>141</v>
      </c>
      <c r="J2085" s="1" t="s">
        <v>44</v>
      </c>
      <c r="K2085" s="1" t="s">
        <v>50</v>
      </c>
      <c r="L2085" s="1">
        <v>8</v>
      </c>
      <c r="M2085" s="13">
        <v>24455.4</v>
      </c>
      <c r="N2085" s="15">
        <v>0.02</v>
      </c>
      <c r="O2085" s="13">
        <v>218854.99</v>
      </c>
      <c r="P2085" s="13">
        <v>70450.23</v>
      </c>
      <c r="Q2085" s="13">
        <v>72.02</v>
      </c>
      <c r="R2085" s="1" t="s">
        <v>51</v>
      </c>
      <c r="S2085" s="1">
        <v>2</v>
      </c>
      <c r="T2085" s="1" t="b">
        <v>0</v>
      </c>
      <c r="U2085" s="1" t="s">
        <v>39</v>
      </c>
      <c r="V2085" s="3">
        <v>5</v>
      </c>
    </row>
    <row r="2086" spans="1:22" x14ac:dyDescent="0.3">
      <c r="A2086" s="2" t="s">
        <v>4663</v>
      </c>
      <c r="B2086" s="10">
        <v>45074</v>
      </c>
      <c r="C2086" s="22">
        <v>45074</v>
      </c>
      <c r="D2086" s="1" t="s">
        <v>4664</v>
      </c>
      <c r="E2086" s="1" t="s">
        <v>719</v>
      </c>
      <c r="F2086" s="1">
        <v>30</v>
      </c>
      <c r="G2086" s="1" t="s">
        <v>68</v>
      </c>
      <c r="H2086" s="1" t="s">
        <v>25</v>
      </c>
      <c r="I2086" s="1" t="s">
        <v>55</v>
      </c>
      <c r="J2086" s="1" t="s">
        <v>146</v>
      </c>
      <c r="K2086" s="1" t="s">
        <v>276</v>
      </c>
      <c r="L2086" s="1">
        <v>7</v>
      </c>
      <c r="M2086" s="13">
        <v>5477.01</v>
      </c>
      <c r="N2086" s="15">
        <v>0.23</v>
      </c>
      <c r="O2086" s="13">
        <v>47648.68</v>
      </c>
      <c r="P2086" s="13">
        <v>10592.45</v>
      </c>
      <c r="Q2086" s="13">
        <v>58.19</v>
      </c>
      <c r="R2086" s="1" t="s">
        <v>51</v>
      </c>
      <c r="S2086" s="1">
        <v>1</v>
      </c>
      <c r="T2086" s="1" t="b">
        <v>0</v>
      </c>
      <c r="U2086" s="1" t="s">
        <v>197</v>
      </c>
      <c r="V2086" s="3">
        <v>1</v>
      </c>
    </row>
    <row r="2087" spans="1:22" x14ac:dyDescent="0.3">
      <c r="A2087" s="2" t="s">
        <v>4665</v>
      </c>
      <c r="B2087" s="10">
        <v>45236</v>
      </c>
      <c r="C2087" s="22">
        <v>45236</v>
      </c>
      <c r="D2087" s="1" t="s">
        <v>4666</v>
      </c>
      <c r="E2087" s="1" t="s">
        <v>1627</v>
      </c>
      <c r="F2087" s="1">
        <v>35</v>
      </c>
      <c r="G2087" s="1" t="s">
        <v>24</v>
      </c>
      <c r="H2087" s="1" t="s">
        <v>74</v>
      </c>
      <c r="I2087" s="1" t="s">
        <v>192</v>
      </c>
      <c r="J2087" s="1" t="s">
        <v>44</v>
      </c>
      <c r="K2087" s="1" t="s">
        <v>221</v>
      </c>
      <c r="L2087" s="1">
        <v>2</v>
      </c>
      <c r="M2087" s="13">
        <v>19200.919999999998</v>
      </c>
      <c r="N2087" s="15">
        <v>0.3</v>
      </c>
      <c r="O2087" s="13">
        <v>29270.92</v>
      </c>
      <c r="P2087" s="13">
        <v>9828.67</v>
      </c>
      <c r="Q2087" s="13">
        <v>57.73</v>
      </c>
      <c r="R2087" s="1" t="s">
        <v>64</v>
      </c>
      <c r="S2087" s="1">
        <v>1</v>
      </c>
      <c r="T2087" s="1" t="b">
        <v>0</v>
      </c>
      <c r="U2087" s="1" t="s">
        <v>39</v>
      </c>
      <c r="V2087" s="3">
        <v>4</v>
      </c>
    </row>
    <row r="2088" spans="1:22" x14ac:dyDescent="0.3">
      <c r="A2088" s="2" t="s">
        <v>4667</v>
      </c>
      <c r="B2088" s="10">
        <v>45530</v>
      </c>
      <c r="C2088" s="22">
        <v>45530</v>
      </c>
      <c r="D2088" s="1" t="s">
        <v>4668</v>
      </c>
      <c r="E2088" s="1" t="s">
        <v>120</v>
      </c>
      <c r="F2088" s="1">
        <v>42</v>
      </c>
      <c r="G2088" s="1" t="s">
        <v>68</v>
      </c>
      <c r="H2088" s="1" t="s">
        <v>25</v>
      </c>
      <c r="I2088" s="1" t="s">
        <v>55</v>
      </c>
      <c r="J2088" s="1" t="s">
        <v>44</v>
      </c>
      <c r="K2088" s="1" t="s">
        <v>93</v>
      </c>
      <c r="L2088" s="1">
        <v>4</v>
      </c>
      <c r="M2088" s="13">
        <v>16102.25</v>
      </c>
      <c r="N2088" s="15">
        <v>0.05</v>
      </c>
      <c r="O2088" s="13">
        <v>99545.13</v>
      </c>
      <c r="P2088" s="13">
        <v>31612.91</v>
      </c>
      <c r="Q2088" s="13">
        <v>51.44</v>
      </c>
      <c r="R2088" s="1" t="s">
        <v>57</v>
      </c>
      <c r="S2088" s="1">
        <v>3</v>
      </c>
      <c r="T2088" s="1" t="b">
        <v>0</v>
      </c>
      <c r="U2088" s="1" t="s">
        <v>39</v>
      </c>
      <c r="V2088" s="3">
        <v>3</v>
      </c>
    </row>
    <row r="2089" spans="1:22" x14ac:dyDescent="0.3">
      <c r="A2089" s="2" t="s">
        <v>4669</v>
      </c>
      <c r="B2089" s="10">
        <v>44406</v>
      </c>
      <c r="C2089" s="22">
        <v>44406</v>
      </c>
      <c r="D2089" s="1" t="s">
        <v>4670</v>
      </c>
      <c r="E2089" s="1" t="s">
        <v>412</v>
      </c>
      <c r="F2089" s="1">
        <v>30</v>
      </c>
      <c r="G2089" s="1" t="s">
        <v>68</v>
      </c>
      <c r="H2089" s="1" t="s">
        <v>82</v>
      </c>
      <c r="I2089" s="1" t="s">
        <v>244</v>
      </c>
      <c r="J2089" s="1" t="s">
        <v>62</v>
      </c>
      <c r="K2089" s="1" t="s">
        <v>266</v>
      </c>
      <c r="L2089" s="1">
        <v>5</v>
      </c>
      <c r="M2089" s="13">
        <v>1321.61</v>
      </c>
      <c r="N2089" s="15">
        <v>0.39</v>
      </c>
      <c r="O2089" s="13">
        <v>6316.69</v>
      </c>
      <c r="P2089" s="13">
        <v>1989.53</v>
      </c>
      <c r="Q2089" s="13">
        <v>80.34</v>
      </c>
      <c r="R2089" s="1" t="s">
        <v>78</v>
      </c>
      <c r="S2089" s="1">
        <v>2</v>
      </c>
      <c r="T2089" s="1" t="b">
        <v>0</v>
      </c>
      <c r="U2089" s="1" t="s">
        <v>84</v>
      </c>
      <c r="V2089" s="3">
        <v>1</v>
      </c>
    </row>
    <row r="2090" spans="1:22" x14ac:dyDescent="0.3">
      <c r="A2090" s="2" t="s">
        <v>4671</v>
      </c>
      <c r="B2090" s="10">
        <v>44168</v>
      </c>
      <c r="C2090" s="22">
        <v>44168</v>
      </c>
      <c r="D2090" s="1" t="s">
        <v>4672</v>
      </c>
      <c r="E2090" s="1" t="s">
        <v>1340</v>
      </c>
      <c r="F2090" s="1">
        <v>49</v>
      </c>
      <c r="G2090" s="1" t="s">
        <v>34</v>
      </c>
      <c r="H2090" s="1" t="s">
        <v>74</v>
      </c>
      <c r="I2090" s="1" t="s">
        <v>101</v>
      </c>
      <c r="J2090" s="1" t="s">
        <v>76</v>
      </c>
      <c r="K2090" s="1" t="s">
        <v>77</v>
      </c>
      <c r="L2090" s="1">
        <v>5</v>
      </c>
      <c r="M2090" s="13">
        <v>836.99</v>
      </c>
      <c r="N2090" s="15">
        <v>0.39</v>
      </c>
      <c r="O2090" s="13">
        <v>1880.14</v>
      </c>
      <c r="P2090" s="13">
        <v>686.79</v>
      </c>
      <c r="Q2090" s="13">
        <v>30.4</v>
      </c>
      <c r="R2090" s="1" t="s">
        <v>51</v>
      </c>
      <c r="S2090" s="1">
        <v>2</v>
      </c>
      <c r="T2090" s="1" t="b">
        <v>0</v>
      </c>
      <c r="U2090" s="1" t="s">
        <v>39</v>
      </c>
      <c r="V2090" s="3">
        <v>8</v>
      </c>
    </row>
    <row r="2091" spans="1:22" x14ac:dyDescent="0.3">
      <c r="A2091" s="2" t="s">
        <v>4673</v>
      </c>
      <c r="B2091" s="10">
        <v>45502</v>
      </c>
      <c r="C2091" s="22">
        <v>45502</v>
      </c>
      <c r="D2091" s="1" t="s">
        <v>4674</v>
      </c>
      <c r="E2091" s="1" t="s">
        <v>594</v>
      </c>
      <c r="F2091" s="1">
        <v>21</v>
      </c>
      <c r="G2091" s="1" t="s">
        <v>34</v>
      </c>
      <c r="H2091" s="1" t="s">
        <v>25</v>
      </c>
      <c r="I2091" s="1" t="s">
        <v>26</v>
      </c>
      <c r="J2091" s="1" t="s">
        <v>146</v>
      </c>
      <c r="K2091" s="1" t="s">
        <v>161</v>
      </c>
      <c r="L2091" s="1">
        <v>5</v>
      </c>
      <c r="M2091" s="13">
        <v>12528.36</v>
      </c>
      <c r="N2091" s="15">
        <v>0.21</v>
      </c>
      <c r="O2091" s="13">
        <v>80527.42</v>
      </c>
      <c r="P2091" s="13">
        <v>9443.81</v>
      </c>
      <c r="Q2091" s="13">
        <v>90.11</v>
      </c>
      <c r="R2091" s="1" t="s">
        <v>51</v>
      </c>
      <c r="S2091" s="1">
        <v>2</v>
      </c>
      <c r="T2091" s="1" t="b">
        <v>0</v>
      </c>
      <c r="U2091" s="1" t="s">
        <v>39</v>
      </c>
      <c r="V2091" s="3">
        <v>7</v>
      </c>
    </row>
    <row r="2092" spans="1:22" x14ac:dyDescent="0.3">
      <c r="A2092" s="2" t="s">
        <v>4675</v>
      </c>
      <c r="B2092" s="10">
        <v>44283</v>
      </c>
      <c r="C2092" s="22">
        <v>44283</v>
      </c>
      <c r="D2092" s="1" t="s">
        <v>4676</v>
      </c>
      <c r="E2092" s="1" t="s">
        <v>2140</v>
      </c>
      <c r="F2092" s="1">
        <v>29</v>
      </c>
      <c r="G2092" s="1" t="s">
        <v>68</v>
      </c>
      <c r="H2092" s="1" t="s">
        <v>25</v>
      </c>
      <c r="I2092" s="1" t="s">
        <v>170</v>
      </c>
      <c r="J2092" s="1" t="s">
        <v>76</v>
      </c>
      <c r="K2092" s="1" t="s">
        <v>207</v>
      </c>
      <c r="L2092" s="1">
        <v>10</v>
      </c>
      <c r="M2092" s="13">
        <v>2005.76</v>
      </c>
      <c r="N2092" s="15">
        <v>0.22</v>
      </c>
      <c r="O2092" s="13">
        <v>15986.56</v>
      </c>
      <c r="P2092" s="13">
        <v>5111.22</v>
      </c>
      <c r="Q2092" s="13">
        <v>51.92</v>
      </c>
      <c r="R2092" s="1" t="s">
        <v>29</v>
      </c>
      <c r="S2092" s="1">
        <v>3</v>
      </c>
      <c r="T2092" s="1" t="b">
        <v>0</v>
      </c>
      <c r="U2092" s="1" t="s">
        <v>39</v>
      </c>
      <c r="V2092" s="3">
        <v>10</v>
      </c>
    </row>
    <row r="2093" spans="1:22" x14ac:dyDescent="0.3">
      <c r="A2093" s="2" t="s">
        <v>4677</v>
      </c>
      <c r="B2093" s="10">
        <v>44733</v>
      </c>
      <c r="C2093" s="22">
        <v>44733</v>
      </c>
      <c r="D2093" s="1" t="s">
        <v>4678</v>
      </c>
      <c r="E2093" s="1" t="s">
        <v>1510</v>
      </c>
      <c r="F2093" s="1">
        <v>51</v>
      </c>
      <c r="G2093" s="1" t="s">
        <v>391</v>
      </c>
      <c r="H2093" s="1" t="s">
        <v>111</v>
      </c>
      <c r="I2093" s="1" t="s">
        <v>141</v>
      </c>
      <c r="J2093" s="1" t="s">
        <v>27</v>
      </c>
      <c r="K2093" s="1" t="s">
        <v>450</v>
      </c>
      <c r="L2093" s="1">
        <v>1</v>
      </c>
      <c r="M2093" s="13">
        <v>341.43</v>
      </c>
      <c r="N2093" s="15">
        <v>0.34</v>
      </c>
      <c r="O2093" s="13">
        <v>376.21</v>
      </c>
      <c r="P2093" s="13">
        <v>32.950000000000003</v>
      </c>
      <c r="Q2093" s="13">
        <v>85.56</v>
      </c>
      <c r="R2093" s="1" t="s">
        <v>70</v>
      </c>
      <c r="S2093" s="1">
        <v>4</v>
      </c>
      <c r="T2093" s="1" t="b">
        <v>0</v>
      </c>
      <c r="U2093" s="1" t="s">
        <v>84</v>
      </c>
      <c r="V2093" s="3">
        <v>7</v>
      </c>
    </row>
    <row r="2094" spans="1:22" x14ac:dyDescent="0.3">
      <c r="A2094" s="2" t="s">
        <v>4679</v>
      </c>
      <c r="B2094" s="10">
        <v>45556</v>
      </c>
      <c r="C2094" s="22">
        <v>45556</v>
      </c>
      <c r="D2094" s="1" t="s">
        <v>4680</v>
      </c>
      <c r="E2094" s="1" t="s">
        <v>210</v>
      </c>
      <c r="F2094" s="1">
        <v>33</v>
      </c>
      <c r="G2094" s="1" t="s">
        <v>24</v>
      </c>
      <c r="H2094" s="1" t="s">
        <v>35</v>
      </c>
      <c r="I2094" s="1" t="s">
        <v>106</v>
      </c>
      <c r="J2094" s="1" t="s">
        <v>127</v>
      </c>
      <c r="K2094" s="1" t="s">
        <v>196</v>
      </c>
      <c r="L2094" s="1">
        <v>2</v>
      </c>
      <c r="M2094" s="13">
        <v>79639.72</v>
      </c>
      <c r="N2094" s="15">
        <v>0.34</v>
      </c>
      <c r="O2094" s="13">
        <v>134225.29</v>
      </c>
      <c r="P2094" s="13">
        <v>11600.84</v>
      </c>
      <c r="Q2094" s="13">
        <v>87.92</v>
      </c>
      <c r="R2094" s="1" t="s">
        <v>57</v>
      </c>
      <c r="S2094" s="1">
        <v>3</v>
      </c>
      <c r="T2094" s="1" t="b">
        <v>0</v>
      </c>
      <c r="U2094" s="1" t="s">
        <v>39</v>
      </c>
      <c r="V2094" s="3">
        <v>4</v>
      </c>
    </row>
    <row r="2095" spans="1:22" x14ac:dyDescent="0.3">
      <c r="A2095" s="2" t="s">
        <v>4681</v>
      </c>
      <c r="B2095" s="10">
        <v>44357</v>
      </c>
      <c r="C2095" s="22">
        <v>44357</v>
      </c>
      <c r="D2095" s="1" t="s">
        <v>4682</v>
      </c>
      <c r="E2095" s="1" t="s">
        <v>1345</v>
      </c>
      <c r="F2095" s="1">
        <v>18</v>
      </c>
      <c r="G2095" s="1" t="s">
        <v>34</v>
      </c>
      <c r="H2095" s="1" t="s">
        <v>111</v>
      </c>
      <c r="I2095" s="1" t="s">
        <v>141</v>
      </c>
      <c r="J2095" s="1" t="s">
        <v>76</v>
      </c>
      <c r="K2095" s="1" t="s">
        <v>113</v>
      </c>
      <c r="L2095" s="1">
        <v>1</v>
      </c>
      <c r="M2095" s="13">
        <v>1289.4000000000001</v>
      </c>
      <c r="N2095" s="15">
        <v>0.33</v>
      </c>
      <c r="O2095" s="13">
        <v>1062.19</v>
      </c>
      <c r="P2095" s="13">
        <v>406.18</v>
      </c>
      <c r="Q2095" s="13">
        <v>102.55</v>
      </c>
      <c r="R2095" s="1" t="s">
        <v>78</v>
      </c>
      <c r="S2095" s="1">
        <v>3</v>
      </c>
      <c r="T2095" s="1" t="b">
        <v>0</v>
      </c>
      <c r="U2095" s="1" t="s">
        <v>39</v>
      </c>
      <c r="V2095" s="3">
        <v>3</v>
      </c>
    </row>
    <row r="2096" spans="1:22" x14ac:dyDescent="0.3">
      <c r="A2096" s="2" t="s">
        <v>4683</v>
      </c>
      <c r="B2096" s="10">
        <v>43849</v>
      </c>
      <c r="C2096" s="22">
        <v>43849</v>
      </c>
      <c r="D2096" s="1" t="s">
        <v>4684</v>
      </c>
      <c r="E2096" s="1" t="s">
        <v>1782</v>
      </c>
      <c r="F2096" s="1">
        <v>39</v>
      </c>
      <c r="G2096" s="1" t="s">
        <v>68</v>
      </c>
      <c r="H2096" s="1" t="s">
        <v>35</v>
      </c>
      <c r="I2096" s="1" t="s">
        <v>43</v>
      </c>
      <c r="J2096" s="1" t="s">
        <v>44</v>
      </c>
      <c r="K2096" s="1" t="s">
        <v>93</v>
      </c>
      <c r="L2096" s="1">
        <v>2</v>
      </c>
      <c r="M2096" s="13">
        <v>27360.86</v>
      </c>
      <c r="N2096" s="15">
        <v>0.37</v>
      </c>
      <c r="O2096" s="13">
        <v>23527.01</v>
      </c>
      <c r="P2096" s="13">
        <v>6855.56</v>
      </c>
      <c r="Q2096" s="13">
        <v>58.81</v>
      </c>
      <c r="R2096" s="1" t="s">
        <v>78</v>
      </c>
      <c r="S2096" s="1">
        <v>4</v>
      </c>
      <c r="T2096" s="1" t="b">
        <v>0</v>
      </c>
      <c r="U2096" s="1" t="s">
        <v>84</v>
      </c>
      <c r="V2096" s="3">
        <v>4</v>
      </c>
    </row>
    <row r="2097" spans="1:22" x14ac:dyDescent="0.3">
      <c r="A2097" s="2" t="s">
        <v>4685</v>
      </c>
      <c r="B2097" s="10">
        <v>44100</v>
      </c>
      <c r="C2097" s="22">
        <v>44100</v>
      </c>
      <c r="D2097" s="1" t="s">
        <v>4686</v>
      </c>
      <c r="E2097" s="1" t="s">
        <v>1079</v>
      </c>
      <c r="F2097" s="1">
        <v>41</v>
      </c>
      <c r="G2097" s="1" t="s">
        <v>68</v>
      </c>
      <c r="H2097" s="1" t="s">
        <v>111</v>
      </c>
      <c r="I2097" s="1" t="s">
        <v>121</v>
      </c>
      <c r="J2097" s="1" t="s">
        <v>62</v>
      </c>
      <c r="K2097" s="1" t="s">
        <v>107</v>
      </c>
      <c r="L2097" s="1">
        <v>7</v>
      </c>
      <c r="M2097" s="13">
        <v>1438.1</v>
      </c>
      <c r="N2097" s="15">
        <v>0.3</v>
      </c>
      <c r="O2097" s="13">
        <v>6674.12</v>
      </c>
      <c r="P2097" s="13">
        <v>3006.9</v>
      </c>
      <c r="Q2097" s="13">
        <v>76.06</v>
      </c>
      <c r="R2097" s="1" t="s">
        <v>70</v>
      </c>
      <c r="S2097" s="1">
        <v>3</v>
      </c>
      <c r="T2097" s="1" t="b">
        <v>0</v>
      </c>
      <c r="U2097" s="1" t="s">
        <v>39</v>
      </c>
      <c r="V2097" s="3">
        <v>3</v>
      </c>
    </row>
    <row r="2098" spans="1:22" x14ac:dyDescent="0.3">
      <c r="A2098" s="2" t="s">
        <v>4687</v>
      </c>
      <c r="B2098" s="10">
        <v>45530</v>
      </c>
      <c r="C2098" s="22">
        <v>45530</v>
      </c>
      <c r="D2098" s="1" t="s">
        <v>4688</v>
      </c>
      <c r="E2098" s="1" t="s">
        <v>1294</v>
      </c>
      <c r="F2098" s="1">
        <v>15</v>
      </c>
      <c r="G2098" s="1" t="s">
        <v>34</v>
      </c>
      <c r="H2098" s="1" t="s">
        <v>111</v>
      </c>
      <c r="I2098" s="1" t="s">
        <v>112</v>
      </c>
      <c r="J2098" s="1" t="s">
        <v>44</v>
      </c>
      <c r="K2098" s="1" t="s">
        <v>186</v>
      </c>
      <c r="L2098" s="1">
        <v>2</v>
      </c>
      <c r="M2098" s="13">
        <v>29932.19</v>
      </c>
      <c r="N2098" s="15">
        <v>0.21</v>
      </c>
      <c r="O2098" s="13">
        <v>83916.22</v>
      </c>
      <c r="P2098" s="13">
        <v>32124.06</v>
      </c>
      <c r="Q2098" s="13">
        <v>76.91</v>
      </c>
      <c r="R2098" s="1" t="s">
        <v>57</v>
      </c>
      <c r="S2098" s="1">
        <v>2</v>
      </c>
      <c r="T2098" s="1" t="b">
        <v>1</v>
      </c>
      <c r="U2098" s="1" t="s">
        <v>30</v>
      </c>
      <c r="V2098" s="3">
        <v>10</v>
      </c>
    </row>
    <row r="2099" spans="1:22" x14ac:dyDescent="0.3">
      <c r="A2099" s="2" t="s">
        <v>4689</v>
      </c>
      <c r="B2099" s="10">
        <v>45555</v>
      </c>
      <c r="C2099" s="22">
        <v>45555</v>
      </c>
      <c r="D2099" s="1" t="s">
        <v>4690</v>
      </c>
      <c r="E2099" s="1" t="s">
        <v>406</v>
      </c>
      <c r="F2099" s="1">
        <v>36</v>
      </c>
      <c r="G2099" s="1" t="s">
        <v>24</v>
      </c>
      <c r="H2099" s="1" t="s">
        <v>82</v>
      </c>
      <c r="I2099" s="1" t="s">
        <v>83</v>
      </c>
      <c r="J2099" s="1" t="s">
        <v>37</v>
      </c>
      <c r="K2099" s="1" t="s">
        <v>38</v>
      </c>
      <c r="L2099" s="1">
        <v>3</v>
      </c>
      <c r="M2099" s="13">
        <v>1494.83</v>
      </c>
      <c r="N2099" s="15">
        <v>0.26</v>
      </c>
      <c r="O2099" s="13">
        <v>3664.34</v>
      </c>
      <c r="P2099" s="13">
        <v>2210.9299999999998</v>
      </c>
      <c r="Q2099" s="13">
        <v>96.38</v>
      </c>
      <c r="R2099" s="1" t="s">
        <v>57</v>
      </c>
      <c r="S2099" s="1">
        <v>1</v>
      </c>
      <c r="T2099" s="1" t="b">
        <v>0</v>
      </c>
      <c r="U2099" s="1" t="s">
        <v>39</v>
      </c>
      <c r="V2099" s="3">
        <v>8</v>
      </c>
    </row>
    <row r="2100" spans="1:22" x14ac:dyDescent="0.3">
      <c r="A2100" s="2" t="s">
        <v>4691</v>
      </c>
      <c r="B2100" s="10">
        <v>44135</v>
      </c>
      <c r="C2100" s="22">
        <v>44135</v>
      </c>
      <c r="D2100" s="1" t="s">
        <v>4692</v>
      </c>
      <c r="E2100" s="1" t="s">
        <v>1761</v>
      </c>
      <c r="F2100" s="1">
        <v>47</v>
      </c>
      <c r="G2100" s="1" t="s">
        <v>68</v>
      </c>
      <c r="H2100" s="1" t="s">
        <v>111</v>
      </c>
      <c r="I2100" s="1" t="s">
        <v>112</v>
      </c>
      <c r="J2100" s="1" t="s">
        <v>44</v>
      </c>
      <c r="K2100" s="1" t="s">
        <v>186</v>
      </c>
      <c r="L2100" s="1">
        <v>6</v>
      </c>
      <c r="M2100" s="13">
        <v>14372.23</v>
      </c>
      <c r="N2100" s="15">
        <v>0.35</v>
      </c>
      <c r="O2100" s="13">
        <v>39890.370000000003</v>
      </c>
      <c r="P2100" s="13">
        <v>9362.8700000000008</v>
      </c>
      <c r="Q2100" s="13">
        <v>62.14</v>
      </c>
      <c r="R2100" s="1" t="s">
        <v>64</v>
      </c>
      <c r="S2100" s="1">
        <v>1</v>
      </c>
      <c r="T2100" s="1" t="b">
        <v>0</v>
      </c>
      <c r="U2100" s="1" t="s">
        <v>84</v>
      </c>
      <c r="V2100" s="3">
        <v>1</v>
      </c>
    </row>
    <row r="2101" spans="1:22" x14ac:dyDescent="0.3">
      <c r="A2101" s="2" t="s">
        <v>4693</v>
      </c>
      <c r="B2101" s="10">
        <v>44046</v>
      </c>
      <c r="C2101" s="22">
        <v>44046</v>
      </c>
      <c r="D2101" s="1" t="s">
        <v>4694</v>
      </c>
      <c r="E2101" s="1" t="s">
        <v>61</v>
      </c>
      <c r="F2101" s="1">
        <v>6</v>
      </c>
      <c r="G2101" s="1" t="s">
        <v>68</v>
      </c>
      <c r="H2101" s="1" t="s">
        <v>35</v>
      </c>
      <c r="I2101" s="1" t="s">
        <v>106</v>
      </c>
      <c r="J2101" s="1" t="s">
        <v>27</v>
      </c>
      <c r="K2101" s="1" t="s">
        <v>97</v>
      </c>
      <c r="L2101" s="1">
        <v>5</v>
      </c>
      <c r="M2101" s="13">
        <v>237.36</v>
      </c>
      <c r="N2101" s="15">
        <v>0.18</v>
      </c>
      <c r="O2101" s="13">
        <v>1026.71</v>
      </c>
      <c r="P2101" s="13">
        <v>69.95</v>
      </c>
      <c r="Q2101" s="13">
        <v>52.18</v>
      </c>
      <c r="R2101" s="1" t="s">
        <v>51</v>
      </c>
      <c r="S2101" s="1">
        <v>3</v>
      </c>
      <c r="T2101" s="1" t="b">
        <v>0</v>
      </c>
      <c r="U2101" s="1" t="s">
        <v>39</v>
      </c>
      <c r="V2101" s="3">
        <v>9</v>
      </c>
    </row>
    <row r="2102" spans="1:22" x14ac:dyDescent="0.3">
      <c r="A2102" s="2" t="s">
        <v>4695</v>
      </c>
      <c r="B2102" s="10">
        <v>43961</v>
      </c>
      <c r="C2102" s="22">
        <v>43961</v>
      </c>
      <c r="D2102" s="1" t="s">
        <v>4696</v>
      </c>
      <c r="E2102" s="1" t="s">
        <v>1459</v>
      </c>
      <c r="F2102" s="1">
        <v>33</v>
      </c>
      <c r="G2102" s="1" t="s">
        <v>34</v>
      </c>
      <c r="H2102" s="1" t="s">
        <v>111</v>
      </c>
      <c r="I2102" s="1" t="s">
        <v>330</v>
      </c>
      <c r="J2102" s="1" t="s">
        <v>27</v>
      </c>
      <c r="K2102" s="1" t="s">
        <v>97</v>
      </c>
      <c r="L2102" s="1">
        <v>10</v>
      </c>
      <c r="M2102" s="13">
        <v>107.2</v>
      </c>
      <c r="N2102" s="15">
        <v>0.33</v>
      </c>
      <c r="O2102" s="13">
        <v>906.06</v>
      </c>
      <c r="P2102" s="13">
        <v>68.75</v>
      </c>
      <c r="Q2102" s="13">
        <v>76.37</v>
      </c>
      <c r="R2102" s="1" t="s">
        <v>78</v>
      </c>
      <c r="S2102" s="1">
        <v>3</v>
      </c>
      <c r="T2102" s="1" t="b">
        <v>1</v>
      </c>
      <c r="U2102" s="1" t="s">
        <v>30</v>
      </c>
      <c r="V2102" s="3">
        <v>5</v>
      </c>
    </row>
    <row r="2103" spans="1:22" x14ac:dyDescent="0.3">
      <c r="A2103" s="2" t="s">
        <v>4697</v>
      </c>
      <c r="B2103" s="10">
        <v>45067</v>
      </c>
      <c r="C2103" s="22">
        <v>45067</v>
      </c>
      <c r="D2103" s="1" t="s">
        <v>4698</v>
      </c>
      <c r="E2103" s="1" t="s">
        <v>1476</v>
      </c>
      <c r="F2103" s="1">
        <v>56</v>
      </c>
      <c r="G2103" s="1" t="s">
        <v>68</v>
      </c>
      <c r="H2103" s="1" t="s">
        <v>74</v>
      </c>
      <c r="I2103" s="1" t="s">
        <v>101</v>
      </c>
      <c r="J2103" s="1" t="s">
        <v>37</v>
      </c>
      <c r="K2103" s="1" t="s">
        <v>38</v>
      </c>
      <c r="L2103" s="1">
        <v>3</v>
      </c>
      <c r="M2103" s="13">
        <v>2042.61</v>
      </c>
      <c r="N2103" s="15">
        <v>0.3</v>
      </c>
      <c r="O2103" s="13">
        <v>6276.07</v>
      </c>
      <c r="P2103" s="13">
        <v>1964</v>
      </c>
      <c r="Q2103" s="13">
        <v>43.44</v>
      </c>
      <c r="R2103" s="1" t="s">
        <v>70</v>
      </c>
      <c r="S2103" s="1">
        <v>4</v>
      </c>
      <c r="T2103" s="1" t="b">
        <v>1</v>
      </c>
      <c r="U2103" s="1" t="s">
        <v>30</v>
      </c>
      <c r="V2103" s="3">
        <v>7</v>
      </c>
    </row>
    <row r="2104" spans="1:22" x14ac:dyDescent="0.3">
      <c r="A2104" s="2" t="s">
        <v>4699</v>
      </c>
      <c r="B2104" s="10">
        <v>45367</v>
      </c>
      <c r="C2104" s="22">
        <v>45367</v>
      </c>
      <c r="D2104" s="1" t="s">
        <v>4700</v>
      </c>
      <c r="E2104" s="1" t="s">
        <v>540</v>
      </c>
      <c r="F2104" s="1">
        <v>27</v>
      </c>
      <c r="G2104" s="1" t="s">
        <v>34</v>
      </c>
      <c r="H2104" s="1" t="s">
        <v>74</v>
      </c>
      <c r="I2104" s="1" t="s">
        <v>101</v>
      </c>
      <c r="J2104" s="1" t="s">
        <v>146</v>
      </c>
      <c r="K2104" s="1" t="s">
        <v>161</v>
      </c>
      <c r="L2104" s="1">
        <v>3</v>
      </c>
      <c r="M2104" s="13">
        <v>7222.19</v>
      </c>
      <c r="N2104" s="15">
        <v>0.14000000000000001</v>
      </c>
      <c r="O2104" s="13">
        <v>26770.77</v>
      </c>
      <c r="P2104" s="13">
        <v>4462.6899999999996</v>
      </c>
      <c r="Q2104" s="13">
        <v>53.66</v>
      </c>
      <c r="R2104" s="1" t="s">
        <v>78</v>
      </c>
      <c r="S2104" s="1">
        <v>4</v>
      </c>
      <c r="T2104" s="1" t="b">
        <v>1</v>
      </c>
      <c r="U2104" s="1" t="s">
        <v>30</v>
      </c>
      <c r="V2104" s="3">
        <v>10</v>
      </c>
    </row>
    <row r="2105" spans="1:22" x14ac:dyDescent="0.3">
      <c r="A2105" s="2" t="s">
        <v>4701</v>
      </c>
      <c r="B2105" s="10">
        <v>44862</v>
      </c>
      <c r="C2105" s="22">
        <v>44862</v>
      </c>
      <c r="D2105" s="1" t="s">
        <v>4702</v>
      </c>
      <c r="E2105" s="1" t="s">
        <v>1950</v>
      </c>
      <c r="F2105" s="1">
        <v>33</v>
      </c>
      <c r="G2105" s="1" t="s">
        <v>68</v>
      </c>
      <c r="H2105" s="1" t="s">
        <v>74</v>
      </c>
      <c r="I2105" s="1" t="s">
        <v>192</v>
      </c>
      <c r="J2105" s="1" t="s">
        <v>37</v>
      </c>
      <c r="K2105" s="1" t="s">
        <v>38</v>
      </c>
      <c r="L2105" s="1">
        <v>5</v>
      </c>
      <c r="M2105" s="13">
        <v>240.15</v>
      </c>
      <c r="N2105" s="15">
        <v>0.22</v>
      </c>
      <c r="O2105" s="13">
        <v>946.09</v>
      </c>
      <c r="P2105" s="13">
        <v>433.08</v>
      </c>
      <c r="Q2105" s="13">
        <v>72.989999999999995</v>
      </c>
      <c r="R2105" s="1" t="s">
        <v>64</v>
      </c>
      <c r="S2105" s="1">
        <v>3</v>
      </c>
      <c r="T2105" s="1" t="b">
        <v>0</v>
      </c>
      <c r="U2105" s="1" t="s">
        <v>39</v>
      </c>
      <c r="V2105" s="3">
        <v>2</v>
      </c>
    </row>
    <row r="2106" spans="1:22" x14ac:dyDescent="0.3">
      <c r="A2106" s="2" t="s">
        <v>4703</v>
      </c>
      <c r="B2106" s="10">
        <v>44684</v>
      </c>
      <c r="C2106" s="22">
        <v>44684</v>
      </c>
      <c r="D2106" s="1" t="s">
        <v>3245</v>
      </c>
      <c r="E2106" s="1" t="s">
        <v>1312</v>
      </c>
      <c r="F2106" s="1">
        <v>31</v>
      </c>
      <c r="G2106" s="1" t="s">
        <v>34</v>
      </c>
      <c r="H2106" s="1" t="s">
        <v>35</v>
      </c>
      <c r="I2106" s="1" t="s">
        <v>106</v>
      </c>
      <c r="J2106" s="1" t="s">
        <v>127</v>
      </c>
      <c r="K2106" s="1" t="s">
        <v>308</v>
      </c>
      <c r="L2106" s="1">
        <v>6</v>
      </c>
      <c r="M2106" s="13">
        <v>38455.1</v>
      </c>
      <c r="N2106" s="15">
        <v>0.3</v>
      </c>
      <c r="O2106" s="13">
        <v>229987.15</v>
      </c>
      <c r="P2106" s="13">
        <v>31419.38</v>
      </c>
      <c r="Q2106" s="13">
        <v>73.75</v>
      </c>
      <c r="R2106" s="1" t="s">
        <v>70</v>
      </c>
      <c r="S2106" s="1">
        <v>3</v>
      </c>
      <c r="T2106" s="1" t="b">
        <v>0</v>
      </c>
      <c r="U2106" s="1" t="s">
        <v>39</v>
      </c>
      <c r="V2106" s="3">
        <v>10</v>
      </c>
    </row>
    <row r="2107" spans="1:22" x14ac:dyDescent="0.3">
      <c r="A2107" s="2" t="s">
        <v>4704</v>
      </c>
      <c r="B2107" s="10">
        <v>45207</v>
      </c>
      <c r="C2107" s="22">
        <v>45207</v>
      </c>
      <c r="D2107" s="1" t="s">
        <v>4705</v>
      </c>
      <c r="E2107" s="1" t="s">
        <v>360</v>
      </c>
      <c r="F2107" s="1">
        <v>32</v>
      </c>
      <c r="G2107" s="1" t="s">
        <v>24</v>
      </c>
      <c r="H2107" s="1" t="s">
        <v>111</v>
      </c>
      <c r="I2107" s="1" t="s">
        <v>121</v>
      </c>
      <c r="J2107" s="1" t="s">
        <v>44</v>
      </c>
      <c r="K2107" s="1" t="s">
        <v>186</v>
      </c>
      <c r="L2107" s="1">
        <v>5</v>
      </c>
      <c r="M2107" s="13">
        <v>12843.58</v>
      </c>
      <c r="N2107" s="15">
        <v>0.22</v>
      </c>
      <c r="O2107" s="13">
        <v>54184.88</v>
      </c>
      <c r="P2107" s="13">
        <v>11377.39</v>
      </c>
      <c r="Q2107" s="13">
        <v>67.77</v>
      </c>
      <c r="R2107" s="1" t="s">
        <v>29</v>
      </c>
      <c r="S2107" s="1">
        <v>5</v>
      </c>
      <c r="T2107" s="1" t="b">
        <v>1</v>
      </c>
      <c r="U2107" s="1" t="s">
        <v>30</v>
      </c>
      <c r="V2107" s="3">
        <v>4</v>
      </c>
    </row>
    <row r="2108" spans="1:22" x14ac:dyDescent="0.3">
      <c r="A2108" s="2" t="s">
        <v>4706</v>
      </c>
      <c r="B2108" s="10">
        <v>45074</v>
      </c>
      <c r="C2108" s="22">
        <v>45074</v>
      </c>
      <c r="D2108" s="1" t="s">
        <v>4707</v>
      </c>
      <c r="E2108" s="1" t="s">
        <v>632</v>
      </c>
      <c r="F2108" s="1">
        <v>35</v>
      </c>
      <c r="G2108" s="1" t="s">
        <v>34</v>
      </c>
      <c r="H2108" s="1" t="s">
        <v>111</v>
      </c>
      <c r="I2108" s="1" t="s">
        <v>330</v>
      </c>
      <c r="J2108" s="1" t="s">
        <v>62</v>
      </c>
      <c r="K2108" s="1" t="s">
        <v>151</v>
      </c>
      <c r="L2108" s="1">
        <v>7</v>
      </c>
      <c r="M2108" s="13">
        <v>1017.23</v>
      </c>
      <c r="N2108" s="15">
        <v>0.04</v>
      </c>
      <c r="O2108" s="13">
        <v>11341.51</v>
      </c>
      <c r="P2108" s="13">
        <v>5245.65</v>
      </c>
      <c r="Q2108" s="13">
        <v>86.02</v>
      </c>
      <c r="R2108" s="1" t="s">
        <v>29</v>
      </c>
      <c r="S2108" s="1">
        <v>5</v>
      </c>
      <c r="T2108" s="1" t="b">
        <v>0</v>
      </c>
      <c r="U2108" s="1" t="s">
        <v>39</v>
      </c>
      <c r="V2108" s="3">
        <v>3</v>
      </c>
    </row>
    <row r="2109" spans="1:22" x14ac:dyDescent="0.3">
      <c r="A2109" s="2" t="s">
        <v>4708</v>
      </c>
      <c r="B2109" s="10">
        <v>45236</v>
      </c>
      <c r="C2109" s="22">
        <v>45236</v>
      </c>
      <c r="D2109" s="1" t="s">
        <v>4709</v>
      </c>
      <c r="E2109" s="1" t="s">
        <v>915</v>
      </c>
      <c r="F2109" s="1">
        <v>56</v>
      </c>
      <c r="G2109" s="1" t="s">
        <v>24</v>
      </c>
      <c r="H2109" s="1" t="s">
        <v>82</v>
      </c>
      <c r="I2109" s="1" t="s">
        <v>244</v>
      </c>
      <c r="J2109" s="1" t="s">
        <v>27</v>
      </c>
      <c r="K2109" s="1" t="s">
        <v>450</v>
      </c>
      <c r="L2109" s="1">
        <v>10</v>
      </c>
      <c r="M2109" s="13">
        <v>220.19</v>
      </c>
      <c r="N2109" s="15">
        <v>0.34</v>
      </c>
      <c r="O2109" s="13">
        <v>1171.24</v>
      </c>
      <c r="P2109" s="13">
        <v>111.88</v>
      </c>
      <c r="Q2109" s="13">
        <v>89.4</v>
      </c>
      <c r="R2109" s="1" t="s">
        <v>51</v>
      </c>
      <c r="S2109" s="1">
        <v>5</v>
      </c>
      <c r="T2109" s="1" t="b">
        <v>0</v>
      </c>
      <c r="U2109" s="1" t="s">
        <v>39</v>
      </c>
      <c r="V2109" s="3">
        <v>9</v>
      </c>
    </row>
    <row r="2110" spans="1:22" x14ac:dyDescent="0.3">
      <c r="A2110" s="2" t="s">
        <v>4710</v>
      </c>
      <c r="B2110" s="10">
        <v>43871</v>
      </c>
      <c r="C2110" s="22">
        <v>43871</v>
      </c>
      <c r="D2110" s="1" t="s">
        <v>4711</v>
      </c>
      <c r="E2110" s="1" t="s">
        <v>2494</v>
      </c>
      <c r="F2110" s="1">
        <v>42</v>
      </c>
      <c r="G2110" s="1" t="s">
        <v>34</v>
      </c>
      <c r="H2110" s="1" t="s">
        <v>74</v>
      </c>
      <c r="I2110" s="1" t="s">
        <v>192</v>
      </c>
      <c r="J2110" s="1" t="s">
        <v>62</v>
      </c>
      <c r="K2110" s="1" t="s">
        <v>266</v>
      </c>
      <c r="L2110" s="1">
        <v>6</v>
      </c>
      <c r="M2110" s="13">
        <v>1324.58</v>
      </c>
      <c r="N2110" s="15">
        <v>0.04</v>
      </c>
      <c r="O2110" s="13">
        <v>5636.59</v>
      </c>
      <c r="P2110" s="13">
        <v>2151.6799999999998</v>
      </c>
      <c r="Q2110" s="13">
        <v>32.81</v>
      </c>
      <c r="R2110" s="1" t="s">
        <v>57</v>
      </c>
      <c r="S2110" s="1">
        <v>1</v>
      </c>
      <c r="T2110" s="1" t="b">
        <v>0</v>
      </c>
      <c r="U2110" s="1" t="s">
        <v>39</v>
      </c>
      <c r="V2110" s="3">
        <v>5</v>
      </c>
    </row>
    <row r="2111" spans="1:22" x14ac:dyDescent="0.3">
      <c r="A2111" s="2" t="s">
        <v>4712</v>
      </c>
      <c r="B2111" s="10">
        <v>44102</v>
      </c>
      <c r="C2111" s="22">
        <v>44102</v>
      </c>
      <c r="D2111" s="1" t="s">
        <v>4713</v>
      </c>
      <c r="E2111" s="1" t="s">
        <v>167</v>
      </c>
      <c r="F2111" s="1">
        <v>26</v>
      </c>
      <c r="G2111" s="1" t="s">
        <v>24</v>
      </c>
      <c r="H2111" s="1" t="s">
        <v>74</v>
      </c>
      <c r="I2111" s="1" t="s">
        <v>136</v>
      </c>
      <c r="J2111" s="1" t="s">
        <v>37</v>
      </c>
      <c r="K2111" s="1" t="s">
        <v>231</v>
      </c>
      <c r="L2111" s="1">
        <v>8</v>
      </c>
      <c r="M2111" s="13">
        <v>2212.58</v>
      </c>
      <c r="N2111" s="15">
        <v>0.27</v>
      </c>
      <c r="O2111" s="13">
        <v>13305.74</v>
      </c>
      <c r="P2111" s="13">
        <v>8573.91</v>
      </c>
      <c r="Q2111" s="13">
        <v>56.29</v>
      </c>
      <c r="R2111" s="1" t="s">
        <v>78</v>
      </c>
      <c r="S2111" s="1">
        <v>3</v>
      </c>
      <c r="T2111" s="1" t="b">
        <v>0</v>
      </c>
      <c r="U2111" s="1" t="s">
        <v>39</v>
      </c>
      <c r="V2111" s="3">
        <v>1</v>
      </c>
    </row>
    <row r="2112" spans="1:22" x14ac:dyDescent="0.3">
      <c r="A2112" s="2" t="s">
        <v>4714</v>
      </c>
      <c r="B2112" s="10">
        <v>44930</v>
      </c>
      <c r="C2112" s="22">
        <v>44930</v>
      </c>
      <c r="D2112" s="1" t="s">
        <v>4715</v>
      </c>
      <c r="E2112" s="1" t="s">
        <v>1865</v>
      </c>
      <c r="F2112" s="1">
        <v>35</v>
      </c>
      <c r="G2112" s="1" t="s">
        <v>68</v>
      </c>
      <c r="H2112" s="1" t="s">
        <v>35</v>
      </c>
      <c r="I2112" s="1" t="s">
        <v>36</v>
      </c>
      <c r="J2112" s="1" t="s">
        <v>37</v>
      </c>
      <c r="K2112" s="1" t="s">
        <v>102</v>
      </c>
      <c r="L2112" s="1">
        <v>6</v>
      </c>
      <c r="M2112" s="13">
        <v>2135.86</v>
      </c>
      <c r="N2112" s="15">
        <v>0.17</v>
      </c>
      <c r="O2112" s="13">
        <v>10370.780000000001</v>
      </c>
      <c r="P2112" s="13">
        <v>5319.35</v>
      </c>
      <c r="Q2112" s="13">
        <v>62.28</v>
      </c>
      <c r="R2112" s="1" t="s">
        <v>78</v>
      </c>
      <c r="S2112" s="1">
        <v>2</v>
      </c>
      <c r="T2112" s="1" t="b">
        <v>0</v>
      </c>
      <c r="U2112" s="1" t="s">
        <v>39</v>
      </c>
      <c r="V2112" s="3">
        <v>8</v>
      </c>
    </row>
    <row r="2113" spans="1:22" x14ac:dyDescent="0.3">
      <c r="A2113" s="2" t="s">
        <v>4716</v>
      </c>
      <c r="B2113" s="10">
        <v>44383</v>
      </c>
      <c r="C2113" s="22">
        <v>44383</v>
      </c>
      <c r="D2113" s="1" t="s">
        <v>4717</v>
      </c>
      <c r="E2113" s="1" t="s">
        <v>333</v>
      </c>
      <c r="F2113" s="1">
        <v>48</v>
      </c>
      <c r="G2113" s="1" t="s">
        <v>434</v>
      </c>
      <c r="H2113" s="1" t="s">
        <v>35</v>
      </c>
      <c r="I2113" s="1" t="s">
        <v>106</v>
      </c>
      <c r="J2113" s="1" t="s">
        <v>27</v>
      </c>
      <c r="K2113" s="1" t="s">
        <v>450</v>
      </c>
      <c r="L2113" s="1">
        <v>5</v>
      </c>
      <c r="M2113" s="13">
        <v>207.03</v>
      </c>
      <c r="N2113" s="15">
        <v>0.1</v>
      </c>
      <c r="O2113" s="13">
        <v>234.91</v>
      </c>
      <c r="P2113" s="13">
        <v>17.95</v>
      </c>
      <c r="Q2113" s="13">
        <v>59.41</v>
      </c>
      <c r="R2113" s="1" t="s">
        <v>57</v>
      </c>
      <c r="S2113" s="1">
        <v>3</v>
      </c>
      <c r="T2113" s="1" t="b">
        <v>0</v>
      </c>
      <c r="U2113" s="1" t="s">
        <v>39</v>
      </c>
      <c r="V2113" s="3">
        <v>3</v>
      </c>
    </row>
    <row r="2114" spans="1:22" x14ac:dyDescent="0.3">
      <c r="A2114" s="2" t="s">
        <v>4718</v>
      </c>
      <c r="B2114" s="10">
        <v>45545</v>
      </c>
      <c r="C2114" s="22">
        <v>45545</v>
      </c>
      <c r="D2114" s="1" t="s">
        <v>4719</v>
      </c>
      <c r="E2114" s="1" t="s">
        <v>1538</v>
      </c>
      <c r="F2114" s="1">
        <v>38</v>
      </c>
      <c r="G2114" s="1" t="s">
        <v>68</v>
      </c>
      <c r="H2114" s="1" t="s">
        <v>111</v>
      </c>
      <c r="I2114" s="1" t="s">
        <v>330</v>
      </c>
      <c r="J2114" s="1" t="s">
        <v>76</v>
      </c>
      <c r="K2114" s="1" t="s">
        <v>77</v>
      </c>
      <c r="L2114" s="1">
        <v>2</v>
      </c>
      <c r="M2114" s="13">
        <v>3110.73</v>
      </c>
      <c r="N2114" s="15">
        <v>0.31</v>
      </c>
      <c r="O2114" s="13">
        <v>5626.31</v>
      </c>
      <c r="P2114" s="13">
        <v>2678.85</v>
      </c>
      <c r="Q2114" s="13">
        <v>48.57</v>
      </c>
      <c r="R2114" s="1" t="s">
        <v>64</v>
      </c>
      <c r="S2114" s="1">
        <v>2</v>
      </c>
      <c r="T2114" s="1" t="b">
        <v>0</v>
      </c>
      <c r="U2114" s="1" t="s">
        <v>39</v>
      </c>
      <c r="V2114" s="3">
        <v>3</v>
      </c>
    </row>
    <row r="2115" spans="1:22" x14ac:dyDescent="0.3">
      <c r="A2115" s="2" t="s">
        <v>4720</v>
      </c>
      <c r="B2115" s="10">
        <v>45200</v>
      </c>
      <c r="C2115" s="22">
        <v>45200</v>
      </c>
      <c r="D2115" s="1" t="s">
        <v>4721</v>
      </c>
      <c r="E2115" s="1" t="s">
        <v>566</v>
      </c>
      <c r="F2115" s="1">
        <v>40</v>
      </c>
      <c r="G2115" s="1" t="s">
        <v>34</v>
      </c>
      <c r="H2115" s="1" t="s">
        <v>82</v>
      </c>
      <c r="I2115" s="1" t="s">
        <v>126</v>
      </c>
      <c r="J2115" s="1" t="s">
        <v>76</v>
      </c>
      <c r="K2115" s="1" t="s">
        <v>77</v>
      </c>
      <c r="L2115" s="1">
        <v>9</v>
      </c>
      <c r="M2115" s="13">
        <v>2536.02</v>
      </c>
      <c r="N2115" s="15">
        <v>0.14000000000000001</v>
      </c>
      <c r="O2115" s="13">
        <v>21413.39</v>
      </c>
      <c r="P2115" s="13">
        <v>5628.93</v>
      </c>
      <c r="Q2115" s="13">
        <v>110.12</v>
      </c>
      <c r="R2115" s="1" t="s">
        <v>57</v>
      </c>
      <c r="S2115" s="1">
        <v>3</v>
      </c>
      <c r="T2115" s="1" t="b">
        <v>0</v>
      </c>
      <c r="U2115" s="1" t="s">
        <v>39</v>
      </c>
      <c r="V2115" s="3">
        <v>8</v>
      </c>
    </row>
    <row r="2116" spans="1:22" x14ac:dyDescent="0.3">
      <c r="A2116" s="2" t="s">
        <v>4722</v>
      </c>
      <c r="B2116" s="10">
        <v>43859</v>
      </c>
      <c r="C2116" s="22">
        <v>43859</v>
      </c>
      <c r="D2116" s="1" t="s">
        <v>4723</v>
      </c>
      <c r="E2116" s="1" t="s">
        <v>1803</v>
      </c>
      <c r="F2116" s="1">
        <v>32</v>
      </c>
      <c r="G2116" s="1" t="s">
        <v>24</v>
      </c>
      <c r="H2116" s="1" t="s">
        <v>25</v>
      </c>
      <c r="I2116" s="1" t="s">
        <v>26</v>
      </c>
      <c r="J2116" s="1" t="s">
        <v>62</v>
      </c>
      <c r="K2116" s="1" t="s">
        <v>570</v>
      </c>
      <c r="L2116" s="1">
        <v>10</v>
      </c>
      <c r="M2116" s="13">
        <v>1068.22</v>
      </c>
      <c r="N2116" s="15">
        <v>0.28000000000000003</v>
      </c>
      <c r="O2116" s="13">
        <v>6120.48</v>
      </c>
      <c r="P2116" s="13">
        <v>1959.21</v>
      </c>
      <c r="Q2116" s="13">
        <v>71.19</v>
      </c>
      <c r="R2116" s="1" t="s">
        <v>57</v>
      </c>
      <c r="S2116" s="1">
        <v>5</v>
      </c>
      <c r="T2116" s="1" t="b">
        <v>0</v>
      </c>
      <c r="U2116" s="1" t="s">
        <v>39</v>
      </c>
      <c r="V2116" s="3">
        <v>10</v>
      </c>
    </row>
    <row r="2117" spans="1:22" x14ac:dyDescent="0.3">
      <c r="A2117" s="2" t="s">
        <v>4724</v>
      </c>
      <c r="B2117" s="10">
        <v>43842</v>
      </c>
      <c r="C2117" s="22">
        <v>43842</v>
      </c>
      <c r="D2117" s="1" t="s">
        <v>4725</v>
      </c>
      <c r="E2117" s="1" t="s">
        <v>387</v>
      </c>
      <c r="F2117" s="1">
        <v>33</v>
      </c>
      <c r="G2117" s="1" t="s">
        <v>68</v>
      </c>
      <c r="H2117" s="1" t="s">
        <v>111</v>
      </c>
      <c r="I2117" s="1" t="s">
        <v>141</v>
      </c>
      <c r="J2117" s="1" t="s">
        <v>76</v>
      </c>
      <c r="K2117" s="1" t="s">
        <v>132</v>
      </c>
      <c r="L2117" s="1">
        <v>5</v>
      </c>
      <c r="M2117" s="13">
        <v>982.12</v>
      </c>
      <c r="N2117" s="15">
        <v>0.14000000000000001</v>
      </c>
      <c r="O2117" s="13">
        <v>3024.95</v>
      </c>
      <c r="P2117" s="13">
        <v>1479.25</v>
      </c>
      <c r="Q2117" s="13">
        <v>87.03</v>
      </c>
      <c r="R2117" s="1" t="s">
        <v>29</v>
      </c>
      <c r="S2117" s="1">
        <v>1</v>
      </c>
      <c r="T2117" s="1" t="b">
        <v>0</v>
      </c>
      <c r="U2117" s="1" t="s">
        <v>84</v>
      </c>
      <c r="V2117" s="3">
        <v>6</v>
      </c>
    </row>
    <row r="2118" spans="1:22" x14ac:dyDescent="0.3">
      <c r="A2118" s="2" t="s">
        <v>4726</v>
      </c>
      <c r="B2118" s="10">
        <v>45013</v>
      </c>
      <c r="C2118" s="22">
        <v>45013</v>
      </c>
      <c r="D2118" s="1" t="s">
        <v>4727</v>
      </c>
      <c r="E2118" s="1" t="s">
        <v>767</v>
      </c>
      <c r="F2118" s="1">
        <v>34</v>
      </c>
      <c r="G2118" s="1" t="s">
        <v>24</v>
      </c>
      <c r="H2118" s="1" t="s">
        <v>35</v>
      </c>
      <c r="I2118" s="1" t="s">
        <v>36</v>
      </c>
      <c r="J2118" s="1" t="s">
        <v>27</v>
      </c>
      <c r="K2118" s="1" t="s">
        <v>97</v>
      </c>
      <c r="L2118" s="1">
        <v>6</v>
      </c>
      <c r="M2118" s="13">
        <v>66.94</v>
      </c>
      <c r="N2118" s="15">
        <v>0.24</v>
      </c>
      <c r="O2118" s="13">
        <v>432.75</v>
      </c>
      <c r="P2118" s="13">
        <v>44.13</v>
      </c>
      <c r="Q2118" s="13">
        <v>58.7</v>
      </c>
      <c r="R2118" s="1" t="s">
        <v>64</v>
      </c>
      <c r="S2118" s="1">
        <v>2</v>
      </c>
      <c r="T2118" s="1" t="b">
        <v>1</v>
      </c>
      <c r="U2118" s="1" t="s">
        <v>30</v>
      </c>
      <c r="V2118" s="3">
        <v>8</v>
      </c>
    </row>
    <row r="2119" spans="1:22" x14ac:dyDescent="0.3">
      <c r="A2119" s="2" t="s">
        <v>4728</v>
      </c>
      <c r="B2119" s="10">
        <v>45532</v>
      </c>
      <c r="C2119" s="22">
        <v>45532</v>
      </c>
      <c r="D2119" s="1" t="s">
        <v>4729</v>
      </c>
      <c r="E2119" s="1" t="s">
        <v>344</v>
      </c>
      <c r="F2119" s="1">
        <v>43</v>
      </c>
      <c r="G2119" s="1" t="s">
        <v>34</v>
      </c>
      <c r="H2119" s="1" t="s">
        <v>35</v>
      </c>
      <c r="I2119" s="1" t="s">
        <v>106</v>
      </c>
      <c r="J2119" s="1" t="s">
        <v>44</v>
      </c>
      <c r="K2119" s="1" t="s">
        <v>186</v>
      </c>
      <c r="L2119" s="1">
        <v>5</v>
      </c>
      <c r="M2119" s="13">
        <v>10461.44</v>
      </c>
      <c r="N2119" s="15">
        <v>0.36</v>
      </c>
      <c r="O2119" s="13">
        <v>47377.21</v>
      </c>
      <c r="P2119" s="13">
        <v>9996.02</v>
      </c>
      <c r="Q2119" s="13">
        <v>42.47</v>
      </c>
      <c r="R2119" s="1" t="s">
        <v>29</v>
      </c>
      <c r="S2119" s="1">
        <v>3</v>
      </c>
      <c r="T2119" s="1" t="b">
        <v>0</v>
      </c>
      <c r="U2119" s="1" t="s">
        <v>39</v>
      </c>
      <c r="V2119" s="3">
        <v>8</v>
      </c>
    </row>
    <row r="2120" spans="1:22" x14ac:dyDescent="0.3">
      <c r="A2120" s="2" t="s">
        <v>4730</v>
      </c>
      <c r="B2120" s="10">
        <v>45008</v>
      </c>
      <c r="C2120" s="22">
        <v>45008</v>
      </c>
      <c r="D2120" s="1" t="s">
        <v>4731</v>
      </c>
      <c r="E2120" s="1" t="s">
        <v>3183</v>
      </c>
      <c r="F2120" s="1">
        <v>43</v>
      </c>
      <c r="G2120" s="1" t="s">
        <v>24</v>
      </c>
      <c r="H2120" s="1" t="s">
        <v>74</v>
      </c>
      <c r="I2120" s="1" t="s">
        <v>136</v>
      </c>
      <c r="J2120" s="1" t="s">
        <v>44</v>
      </c>
      <c r="K2120" s="1" t="s">
        <v>45</v>
      </c>
      <c r="L2120" s="1">
        <v>10</v>
      </c>
      <c r="M2120" s="13">
        <v>19976.93</v>
      </c>
      <c r="N2120" s="15">
        <v>0.21</v>
      </c>
      <c r="O2120" s="13">
        <v>225188.99</v>
      </c>
      <c r="P2120" s="13">
        <v>74873.399999999994</v>
      </c>
      <c r="Q2120" s="13">
        <v>56.52</v>
      </c>
      <c r="R2120" s="1" t="s">
        <v>78</v>
      </c>
      <c r="S2120" s="1">
        <v>4</v>
      </c>
      <c r="T2120" s="1" t="b">
        <v>0</v>
      </c>
      <c r="U2120" s="1" t="s">
        <v>39</v>
      </c>
      <c r="V2120" s="3">
        <v>3</v>
      </c>
    </row>
    <row r="2121" spans="1:22" x14ac:dyDescent="0.3">
      <c r="A2121" s="2" t="s">
        <v>4732</v>
      </c>
      <c r="B2121" s="10">
        <v>44601</v>
      </c>
      <c r="C2121" s="22">
        <v>44601</v>
      </c>
      <c r="D2121" s="1" t="s">
        <v>4733</v>
      </c>
      <c r="E2121" s="1" t="s">
        <v>160</v>
      </c>
      <c r="F2121" s="1">
        <v>49</v>
      </c>
      <c r="G2121" s="1" t="s">
        <v>34</v>
      </c>
      <c r="H2121" s="1" t="s">
        <v>74</v>
      </c>
      <c r="I2121" s="1" t="s">
        <v>101</v>
      </c>
      <c r="J2121" s="1" t="s">
        <v>127</v>
      </c>
      <c r="K2121" s="1" t="s">
        <v>142</v>
      </c>
      <c r="L2121" s="1">
        <v>6</v>
      </c>
      <c r="M2121" s="13">
        <v>56561.21</v>
      </c>
      <c r="N2121" s="15">
        <v>0.28000000000000003</v>
      </c>
      <c r="O2121" s="13">
        <v>224338.28</v>
      </c>
      <c r="P2121" s="13">
        <v>29151.1</v>
      </c>
      <c r="Q2121" s="13">
        <v>44.91</v>
      </c>
      <c r="R2121" s="1" t="s">
        <v>51</v>
      </c>
      <c r="S2121" s="1">
        <v>3</v>
      </c>
      <c r="T2121" s="1" t="b">
        <v>0</v>
      </c>
      <c r="U2121" s="1" t="s">
        <v>58</v>
      </c>
      <c r="V2121" s="3">
        <v>6</v>
      </c>
    </row>
    <row r="2122" spans="1:22" x14ac:dyDescent="0.3">
      <c r="A2122" s="2" t="s">
        <v>4734</v>
      </c>
      <c r="B2122" s="10">
        <v>43997</v>
      </c>
      <c r="C2122" s="22">
        <v>43997</v>
      </c>
      <c r="D2122" s="1" t="s">
        <v>4735</v>
      </c>
      <c r="E2122" s="1" t="s">
        <v>1681</v>
      </c>
      <c r="F2122" s="1">
        <v>36</v>
      </c>
      <c r="G2122" s="1" t="s">
        <v>34</v>
      </c>
      <c r="H2122" s="1" t="s">
        <v>35</v>
      </c>
      <c r="I2122" s="1" t="s">
        <v>49</v>
      </c>
      <c r="J2122" s="1" t="s">
        <v>127</v>
      </c>
      <c r="K2122" s="1" t="s">
        <v>142</v>
      </c>
      <c r="L2122" s="1">
        <v>5</v>
      </c>
      <c r="M2122" s="13">
        <v>75995.31</v>
      </c>
      <c r="N2122" s="15">
        <v>7.0000000000000007E-2</v>
      </c>
      <c r="O2122" s="13">
        <v>97596.74</v>
      </c>
      <c r="P2122" s="13">
        <v>12634.7</v>
      </c>
      <c r="Q2122" s="13">
        <v>57.66</v>
      </c>
      <c r="R2122" s="1" t="s">
        <v>57</v>
      </c>
      <c r="S2122" s="1">
        <v>2</v>
      </c>
      <c r="T2122" s="1" t="b">
        <v>0</v>
      </c>
      <c r="U2122" s="1" t="s">
        <v>39</v>
      </c>
      <c r="V2122" s="3">
        <v>6</v>
      </c>
    </row>
    <row r="2123" spans="1:22" x14ac:dyDescent="0.3">
      <c r="A2123" s="2" t="s">
        <v>4736</v>
      </c>
      <c r="B2123" s="10">
        <v>44769</v>
      </c>
      <c r="C2123" s="22">
        <v>44769</v>
      </c>
      <c r="D2123" s="1" t="s">
        <v>4737</v>
      </c>
      <c r="E2123" s="1" t="s">
        <v>888</v>
      </c>
      <c r="F2123" s="1">
        <v>20</v>
      </c>
      <c r="G2123" s="1" t="s">
        <v>68</v>
      </c>
      <c r="H2123" s="1" t="s">
        <v>82</v>
      </c>
      <c r="I2123" s="1" t="s">
        <v>293</v>
      </c>
      <c r="J2123" s="1" t="s">
        <v>44</v>
      </c>
      <c r="K2123" s="1" t="s">
        <v>50</v>
      </c>
      <c r="L2123" s="1">
        <v>2</v>
      </c>
      <c r="M2123" s="13">
        <v>31495.21</v>
      </c>
      <c r="N2123" s="15">
        <v>0.33</v>
      </c>
      <c r="O2123" s="13">
        <v>64795.12</v>
      </c>
      <c r="P2123" s="13">
        <v>24291.07</v>
      </c>
      <c r="Q2123" s="13">
        <v>75.12</v>
      </c>
      <c r="R2123" s="1" t="s">
        <v>64</v>
      </c>
      <c r="S2123" s="1">
        <v>2</v>
      </c>
      <c r="T2123" s="1" t="b">
        <v>0</v>
      </c>
      <c r="U2123" s="1" t="s">
        <v>39</v>
      </c>
      <c r="V2123" s="3">
        <v>2</v>
      </c>
    </row>
    <row r="2124" spans="1:22" x14ac:dyDescent="0.3">
      <c r="A2124" s="2" t="s">
        <v>4738</v>
      </c>
      <c r="B2124" s="10">
        <v>43848</v>
      </c>
      <c r="C2124" s="22">
        <v>43848</v>
      </c>
      <c r="D2124" s="1" t="s">
        <v>4739</v>
      </c>
      <c r="E2124" s="1" t="s">
        <v>1128</v>
      </c>
      <c r="F2124" s="1">
        <v>35</v>
      </c>
      <c r="G2124" s="1" t="s">
        <v>34</v>
      </c>
      <c r="H2124" s="1" t="s">
        <v>35</v>
      </c>
      <c r="I2124" s="1" t="s">
        <v>49</v>
      </c>
      <c r="J2124" s="1" t="s">
        <v>37</v>
      </c>
      <c r="K2124" s="1" t="s">
        <v>38</v>
      </c>
      <c r="L2124" s="1">
        <v>4</v>
      </c>
      <c r="M2124" s="13">
        <v>1072.98</v>
      </c>
      <c r="N2124" s="15">
        <v>0.33</v>
      </c>
      <c r="O2124" s="13">
        <v>2172.2399999999998</v>
      </c>
      <c r="P2124" s="13">
        <v>728.67</v>
      </c>
      <c r="Q2124" s="13">
        <v>54.1</v>
      </c>
      <c r="R2124" s="1" t="s">
        <v>57</v>
      </c>
      <c r="S2124" s="1">
        <v>2</v>
      </c>
      <c r="T2124" s="1" t="b">
        <v>0</v>
      </c>
      <c r="U2124" s="1" t="s">
        <v>197</v>
      </c>
      <c r="V2124" s="3">
        <v>8</v>
      </c>
    </row>
    <row r="2125" spans="1:22" x14ac:dyDescent="0.3">
      <c r="A2125" s="2" t="s">
        <v>4740</v>
      </c>
      <c r="B2125" s="10">
        <v>44709</v>
      </c>
      <c r="C2125" s="22">
        <v>44709</v>
      </c>
      <c r="D2125" s="1" t="s">
        <v>4741</v>
      </c>
      <c r="E2125" s="1" t="s">
        <v>1096</v>
      </c>
      <c r="F2125" s="1">
        <v>29</v>
      </c>
      <c r="G2125" s="1" t="s">
        <v>24</v>
      </c>
      <c r="H2125" s="1" t="s">
        <v>25</v>
      </c>
      <c r="I2125" s="1" t="s">
        <v>69</v>
      </c>
      <c r="J2125" s="1" t="s">
        <v>146</v>
      </c>
      <c r="K2125" s="1" t="s">
        <v>484</v>
      </c>
      <c r="L2125" s="1">
        <v>3</v>
      </c>
      <c r="M2125" s="13">
        <v>1982.04</v>
      </c>
      <c r="N2125" s="15">
        <v>0.26</v>
      </c>
      <c r="O2125" s="13">
        <v>6584.46</v>
      </c>
      <c r="P2125" s="13">
        <v>1776.74</v>
      </c>
      <c r="Q2125" s="13">
        <v>74.510000000000005</v>
      </c>
      <c r="R2125" s="1" t="s">
        <v>57</v>
      </c>
      <c r="S2125" s="1">
        <v>1</v>
      </c>
      <c r="T2125" s="1" t="b">
        <v>1</v>
      </c>
      <c r="U2125" s="1" t="s">
        <v>30</v>
      </c>
      <c r="V2125" s="3">
        <v>2</v>
      </c>
    </row>
    <row r="2126" spans="1:22" x14ac:dyDescent="0.3">
      <c r="A2126" s="2" t="s">
        <v>4742</v>
      </c>
      <c r="B2126" s="10">
        <v>44697</v>
      </c>
      <c r="C2126" s="22">
        <v>44697</v>
      </c>
      <c r="D2126" s="1" t="s">
        <v>4743</v>
      </c>
      <c r="E2126" s="1" t="s">
        <v>786</v>
      </c>
      <c r="F2126" s="1">
        <v>35</v>
      </c>
      <c r="G2126" s="1" t="s">
        <v>68</v>
      </c>
      <c r="H2126" s="1" t="s">
        <v>111</v>
      </c>
      <c r="I2126" s="1" t="s">
        <v>141</v>
      </c>
      <c r="J2126" s="1" t="s">
        <v>27</v>
      </c>
      <c r="K2126" s="1" t="s">
        <v>430</v>
      </c>
      <c r="L2126" s="1">
        <v>4</v>
      </c>
      <c r="M2126" s="13">
        <v>88.31</v>
      </c>
      <c r="N2126" s="15">
        <v>0.38</v>
      </c>
      <c r="O2126" s="13">
        <v>308.14999999999998</v>
      </c>
      <c r="P2126" s="13">
        <v>28.01</v>
      </c>
      <c r="Q2126" s="13">
        <v>51.4</v>
      </c>
      <c r="R2126" s="1" t="s">
        <v>51</v>
      </c>
      <c r="S2126" s="1">
        <v>3</v>
      </c>
      <c r="T2126" s="1" t="b">
        <v>1</v>
      </c>
      <c r="U2126" s="1" t="s">
        <v>30</v>
      </c>
      <c r="V2126" s="3">
        <v>5</v>
      </c>
    </row>
    <row r="2127" spans="1:22" x14ac:dyDescent="0.3">
      <c r="A2127" s="2" t="s">
        <v>4744</v>
      </c>
      <c r="B2127" s="10">
        <v>44841</v>
      </c>
      <c r="C2127" s="22">
        <v>44841</v>
      </c>
      <c r="D2127" s="1" t="s">
        <v>4745</v>
      </c>
      <c r="E2127" s="1" t="s">
        <v>1586</v>
      </c>
      <c r="F2127" s="1">
        <v>23</v>
      </c>
      <c r="G2127" s="1" t="s">
        <v>24</v>
      </c>
      <c r="H2127" s="1" t="s">
        <v>25</v>
      </c>
      <c r="I2127" s="1" t="s">
        <v>26</v>
      </c>
      <c r="J2127" s="1" t="s">
        <v>44</v>
      </c>
      <c r="K2127" s="1" t="s">
        <v>117</v>
      </c>
      <c r="L2127" s="1">
        <v>8</v>
      </c>
      <c r="M2127" s="13">
        <v>14019.33</v>
      </c>
      <c r="N2127" s="15">
        <v>0.14000000000000001</v>
      </c>
      <c r="O2127" s="13">
        <v>89382.21</v>
      </c>
      <c r="P2127" s="13">
        <v>25883.45</v>
      </c>
      <c r="Q2127" s="13">
        <v>54.76</v>
      </c>
      <c r="R2127" s="1" t="s">
        <v>64</v>
      </c>
      <c r="S2127" s="1">
        <v>5</v>
      </c>
      <c r="T2127" s="1" t="b">
        <v>0</v>
      </c>
      <c r="U2127" s="1" t="s">
        <v>84</v>
      </c>
      <c r="V2127" s="3">
        <v>4</v>
      </c>
    </row>
    <row r="2128" spans="1:22" x14ac:dyDescent="0.3">
      <c r="A2128" s="2" t="s">
        <v>4746</v>
      </c>
      <c r="B2128" s="10">
        <v>45142</v>
      </c>
      <c r="C2128" s="22">
        <v>45142</v>
      </c>
      <c r="D2128" s="1" t="s">
        <v>4747</v>
      </c>
      <c r="E2128" s="1" t="s">
        <v>547</v>
      </c>
      <c r="F2128" s="1">
        <v>28</v>
      </c>
      <c r="G2128" s="1" t="s">
        <v>34</v>
      </c>
      <c r="H2128" s="1" t="s">
        <v>25</v>
      </c>
      <c r="I2128" s="1" t="s">
        <v>170</v>
      </c>
      <c r="J2128" s="1" t="s">
        <v>76</v>
      </c>
      <c r="K2128" s="1" t="s">
        <v>77</v>
      </c>
      <c r="L2128" s="1">
        <v>9</v>
      </c>
      <c r="M2128" s="13">
        <v>3487.12</v>
      </c>
      <c r="N2128" s="15">
        <v>0.33</v>
      </c>
      <c r="O2128" s="13">
        <v>31127.41</v>
      </c>
      <c r="P2128" s="13">
        <v>10643.66</v>
      </c>
      <c r="Q2128" s="13">
        <v>62.57</v>
      </c>
      <c r="R2128" s="1" t="s">
        <v>64</v>
      </c>
      <c r="S2128" s="1">
        <v>4</v>
      </c>
      <c r="T2128" s="1" t="b">
        <v>0</v>
      </c>
      <c r="U2128" s="1" t="s">
        <v>39</v>
      </c>
      <c r="V2128" s="3">
        <v>7</v>
      </c>
    </row>
    <row r="2129" spans="1:22" x14ac:dyDescent="0.3">
      <c r="A2129" s="2" t="s">
        <v>4748</v>
      </c>
      <c r="B2129" s="10">
        <v>45365</v>
      </c>
      <c r="C2129" s="22">
        <v>45365</v>
      </c>
      <c r="D2129" s="1" t="s">
        <v>4749</v>
      </c>
      <c r="E2129" s="1" t="s">
        <v>555</v>
      </c>
      <c r="F2129" s="1">
        <v>25</v>
      </c>
      <c r="G2129" s="1" t="s">
        <v>24</v>
      </c>
      <c r="H2129" s="1" t="s">
        <v>25</v>
      </c>
      <c r="I2129" s="1" t="s">
        <v>26</v>
      </c>
      <c r="J2129" s="1" t="s">
        <v>37</v>
      </c>
      <c r="K2129" s="1" t="s">
        <v>671</v>
      </c>
      <c r="L2129" s="1">
        <v>7</v>
      </c>
      <c r="M2129" s="13">
        <v>140.28</v>
      </c>
      <c r="N2129" s="15">
        <v>0.09</v>
      </c>
      <c r="O2129" s="13">
        <v>1117.68</v>
      </c>
      <c r="P2129" s="13">
        <v>498.94</v>
      </c>
      <c r="Q2129" s="13">
        <v>53.41</v>
      </c>
      <c r="R2129" s="1" t="s">
        <v>29</v>
      </c>
      <c r="S2129" s="1">
        <v>1</v>
      </c>
      <c r="T2129" s="1" t="b">
        <v>0</v>
      </c>
      <c r="U2129" s="1" t="s">
        <v>137</v>
      </c>
      <c r="V2129" s="3">
        <v>3</v>
      </c>
    </row>
    <row r="2130" spans="1:22" x14ac:dyDescent="0.3">
      <c r="A2130" s="2" t="s">
        <v>4750</v>
      </c>
      <c r="B2130" s="10">
        <v>44154</v>
      </c>
      <c r="C2130" s="22">
        <v>44154</v>
      </c>
      <c r="D2130" s="1" t="s">
        <v>4751</v>
      </c>
      <c r="E2130" s="1" t="s">
        <v>814</v>
      </c>
      <c r="F2130" s="1">
        <v>40</v>
      </c>
      <c r="G2130" s="1" t="s">
        <v>24</v>
      </c>
      <c r="H2130" s="1" t="s">
        <v>35</v>
      </c>
      <c r="I2130" s="1" t="s">
        <v>49</v>
      </c>
      <c r="J2130" s="1" t="s">
        <v>62</v>
      </c>
      <c r="K2130" s="1" t="s">
        <v>570</v>
      </c>
      <c r="L2130" s="1">
        <v>2</v>
      </c>
      <c r="M2130" s="13">
        <v>1299.05</v>
      </c>
      <c r="N2130" s="15">
        <v>0.27</v>
      </c>
      <c r="O2130" s="13">
        <v>1164.72</v>
      </c>
      <c r="P2130" s="13">
        <v>514.4</v>
      </c>
      <c r="Q2130" s="13">
        <v>72.209999999999994</v>
      </c>
      <c r="R2130" s="1" t="s">
        <v>57</v>
      </c>
      <c r="S2130" s="1">
        <v>4</v>
      </c>
      <c r="T2130" s="1" t="b">
        <v>0</v>
      </c>
      <c r="U2130" s="1" t="s">
        <v>39</v>
      </c>
      <c r="V2130" s="3">
        <v>10</v>
      </c>
    </row>
    <row r="2131" spans="1:22" x14ac:dyDescent="0.3">
      <c r="A2131" s="2" t="s">
        <v>4752</v>
      </c>
      <c r="B2131" s="10">
        <v>44203</v>
      </c>
      <c r="C2131" s="22">
        <v>44203</v>
      </c>
      <c r="D2131" s="1" t="s">
        <v>4753</v>
      </c>
      <c r="E2131" s="1" t="s">
        <v>3402</v>
      </c>
      <c r="F2131" s="1">
        <v>35</v>
      </c>
      <c r="G2131" s="1" t="s">
        <v>68</v>
      </c>
      <c r="H2131" s="1" t="s">
        <v>35</v>
      </c>
      <c r="I2131" s="1" t="s">
        <v>106</v>
      </c>
      <c r="J2131" s="1" t="s">
        <v>146</v>
      </c>
      <c r="K2131" s="1" t="s">
        <v>178</v>
      </c>
      <c r="L2131" s="1">
        <v>9</v>
      </c>
      <c r="M2131" s="13">
        <v>14339.86</v>
      </c>
      <c r="N2131" s="15">
        <v>0.04</v>
      </c>
      <c r="O2131" s="13">
        <v>107237.51</v>
      </c>
      <c r="P2131" s="13">
        <v>27378.18</v>
      </c>
      <c r="Q2131" s="13">
        <v>59.88</v>
      </c>
      <c r="R2131" s="1" t="s">
        <v>64</v>
      </c>
      <c r="S2131" s="1">
        <v>5</v>
      </c>
      <c r="T2131" s="1" t="b">
        <v>0</v>
      </c>
      <c r="U2131" s="1" t="s">
        <v>39</v>
      </c>
      <c r="V2131" s="3">
        <v>7</v>
      </c>
    </row>
    <row r="2132" spans="1:22" x14ac:dyDescent="0.3">
      <c r="A2132" s="2" t="s">
        <v>4754</v>
      </c>
      <c r="B2132" s="10">
        <v>44972</v>
      </c>
      <c r="C2132" s="22">
        <v>44972</v>
      </c>
      <c r="D2132" s="1" t="s">
        <v>4755</v>
      </c>
      <c r="E2132" s="1" t="s">
        <v>496</v>
      </c>
      <c r="F2132" s="1">
        <v>44</v>
      </c>
      <c r="G2132" s="1" t="s">
        <v>34</v>
      </c>
      <c r="H2132" s="1" t="s">
        <v>25</v>
      </c>
      <c r="I2132" s="1" t="s">
        <v>170</v>
      </c>
      <c r="J2132" s="1" t="s">
        <v>62</v>
      </c>
      <c r="K2132" s="1" t="s">
        <v>570</v>
      </c>
      <c r="L2132" s="1">
        <v>5</v>
      </c>
      <c r="M2132" s="13">
        <v>488.16</v>
      </c>
      <c r="N2132" s="15">
        <v>0.06</v>
      </c>
      <c r="O2132" s="13">
        <v>418.25</v>
      </c>
      <c r="P2132" s="13">
        <v>197.75</v>
      </c>
      <c r="Q2132" s="13">
        <v>62.93</v>
      </c>
      <c r="R2132" s="1" t="s">
        <v>51</v>
      </c>
      <c r="S2132" s="1">
        <v>2</v>
      </c>
      <c r="T2132" s="1" t="b">
        <v>0</v>
      </c>
      <c r="U2132" s="1" t="s">
        <v>39</v>
      </c>
      <c r="V2132" s="3">
        <v>7</v>
      </c>
    </row>
    <row r="2133" spans="1:22" x14ac:dyDescent="0.3">
      <c r="A2133" s="2" t="s">
        <v>4756</v>
      </c>
      <c r="B2133" s="10">
        <v>45425</v>
      </c>
      <c r="C2133" s="22">
        <v>45425</v>
      </c>
      <c r="D2133" s="1" t="s">
        <v>498</v>
      </c>
      <c r="E2133" s="1" t="s">
        <v>73</v>
      </c>
      <c r="F2133" s="1">
        <v>19</v>
      </c>
      <c r="G2133" s="1" t="s">
        <v>88</v>
      </c>
      <c r="H2133" s="1" t="s">
        <v>74</v>
      </c>
      <c r="I2133" s="1" t="s">
        <v>75</v>
      </c>
      <c r="J2133" s="1" t="s">
        <v>76</v>
      </c>
      <c r="K2133" s="1" t="s">
        <v>122</v>
      </c>
      <c r="L2133" s="1">
        <v>1</v>
      </c>
      <c r="M2133" s="13">
        <v>1396.08</v>
      </c>
      <c r="N2133" s="15">
        <v>0.02</v>
      </c>
      <c r="O2133" s="13">
        <v>2286.71</v>
      </c>
      <c r="P2133" s="13">
        <v>826.31</v>
      </c>
      <c r="Q2133" s="13">
        <v>32.4</v>
      </c>
      <c r="R2133" s="1" t="s">
        <v>70</v>
      </c>
      <c r="S2133" s="1">
        <v>2</v>
      </c>
      <c r="T2133" s="1" t="b">
        <v>0</v>
      </c>
      <c r="U2133" s="1" t="s">
        <v>39</v>
      </c>
      <c r="V2133" s="3">
        <v>4</v>
      </c>
    </row>
    <row r="2134" spans="1:22" x14ac:dyDescent="0.3">
      <c r="A2134" s="2" t="s">
        <v>4757</v>
      </c>
      <c r="B2134" s="10">
        <v>45221</v>
      </c>
      <c r="C2134" s="22">
        <v>45221</v>
      </c>
      <c r="D2134" s="1" t="s">
        <v>4758</v>
      </c>
      <c r="E2134" s="1" t="s">
        <v>632</v>
      </c>
      <c r="F2134" s="1">
        <v>21</v>
      </c>
      <c r="G2134" s="1" t="s">
        <v>34</v>
      </c>
      <c r="H2134" s="1" t="s">
        <v>74</v>
      </c>
      <c r="I2134" s="1" t="s">
        <v>136</v>
      </c>
      <c r="J2134" s="1" t="s">
        <v>146</v>
      </c>
      <c r="K2134" s="1" t="s">
        <v>161</v>
      </c>
      <c r="L2134" s="1">
        <v>7</v>
      </c>
      <c r="M2134" s="13">
        <v>3704.66</v>
      </c>
      <c r="N2134" s="15">
        <v>0.33</v>
      </c>
      <c r="O2134" s="13">
        <v>18963.560000000001</v>
      </c>
      <c r="P2134" s="13">
        <v>3880.05</v>
      </c>
      <c r="Q2134" s="13">
        <v>61.03</v>
      </c>
      <c r="R2134" s="1" t="s">
        <v>51</v>
      </c>
      <c r="S2134" s="1">
        <v>3</v>
      </c>
      <c r="T2134" s="1" t="b">
        <v>0</v>
      </c>
      <c r="U2134" s="1" t="s">
        <v>39</v>
      </c>
      <c r="V2134" s="3">
        <v>10</v>
      </c>
    </row>
    <row r="2135" spans="1:22" x14ac:dyDescent="0.3">
      <c r="A2135" s="2" t="s">
        <v>4759</v>
      </c>
      <c r="B2135" s="10">
        <v>45184</v>
      </c>
      <c r="C2135" s="22">
        <v>45184</v>
      </c>
      <c r="D2135" s="1" t="s">
        <v>4760</v>
      </c>
      <c r="E2135" s="1" t="s">
        <v>2505</v>
      </c>
      <c r="F2135" s="1">
        <v>40</v>
      </c>
      <c r="G2135" s="1" t="s">
        <v>24</v>
      </c>
      <c r="H2135" s="1" t="s">
        <v>25</v>
      </c>
      <c r="I2135" s="1" t="s">
        <v>69</v>
      </c>
      <c r="J2135" s="1" t="s">
        <v>62</v>
      </c>
      <c r="K2135" s="1" t="s">
        <v>63</v>
      </c>
      <c r="L2135" s="1">
        <v>3</v>
      </c>
      <c r="M2135" s="13">
        <v>662.97</v>
      </c>
      <c r="N2135" s="15">
        <v>0.22</v>
      </c>
      <c r="O2135" s="13">
        <v>1602.1</v>
      </c>
      <c r="P2135" s="13">
        <v>682.08</v>
      </c>
      <c r="Q2135" s="13">
        <v>60.4</v>
      </c>
      <c r="R2135" s="1" t="s">
        <v>78</v>
      </c>
      <c r="S2135" s="1">
        <v>3</v>
      </c>
      <c r="T2135" s="1" t="b">
        <v>0</v>
      </c>
      <c r="U2135" s="1" t="s">
        <v>39</v>
      </c>
      <c r="V2135" s="3">
        <v>8</v>
      </c>
    </row>
    <row r="2136" spans="1:22" x14ac:dyDescent="0.3">
      <c r="A2136" s="2" t="s">
        <v>4761</v>
      </c>
      <c r="B2136" s="10">
        <v>44955</v>
      </c>
      <c r="C2136" s="22">
        <v>44955</v>
      </c>
      <c r="D2136" s="1" t="s">
        <v>4762</v>
      </c>
      <c r="E2136" s="1" t="s">
        <v>181</v>
      </c>
      <c r="F2136" s="1">
        <v>25</v>
      </c>
      <c r="G2136" s="1" t="s">
        <v>68</v>
      </c>
      <c r="H2136" s="1" t="s">
        <v>35</v>
      </c>
      <c r="I2136" s="1" t="s">
        <v>49</v>
      </c>
      <c r="J2136" s="1" t="s">
        <v>37</v>
      </c>
      <c r="K2136" s="1" t="s">
        <v>671</v>
      </c>
      <c r="L2136" s="1">
        <v>0</v>
      </c>
      <c r="M2136" s="13">
        <v>633.38</v>
      </c>
      <c r="N2136" s="15">
        <v>0.04</v>
      </c>
      <c r="O2136" s="13">
        <v>637.16</v>
      </c>
      <c r="P2136" s="13">
        <v>306.98</v>
      </c>
      <c r="Q2136" s="13">
        <v>63.48</v>
      </c>
      <c r="R2136" s="1" t="s">
        <v>51</v>
      </c>
      <c r="S2136" s="1">
        <v>4</v>
      </c>
      <c r="T2136" s="1" t="b">
        <v>0</v>
      </c>
      <c r="U2136" s="1" t="s">
        <v>39</v>
      </c>
      <c r="V2136" s="3">
        <v>7</v>
      </c>
    </row>
    <row r="2137" spans="1:22" x14ac:dyDescent="0.3">
      <c r="A2137" s="2" t="s">
        <v>4763</v>
      </c>
      <c r="B2137" s="10">
        <v>45612</v>
      </c>
      <c r="C2137" s="22">
        <v>45612</v>
      </c>
      <c r="D2137" s="1" t="s">
        <v>4764</v>
      </c>
      <c r="E2137" s="1" t="s">
        <v>468</v>
      </c>
      <c r="F2137" s="1">
        <v>53</v>
      </c>
      <c r="G2137" s="1" t="s">
        <v>434</v>
      </c>
      <c r="H2137" s="1" t="s">
        <v>74</v>
      </c>
      <c r="I2137" s="1" t="s">
        <v>136</v>
      </c>
      <c r="J2137" s="1" t="s">
        <v>146</v>
      </c>
      <c r="K2137" s="1" t="s">
        <v>217</v>
      </c>
      <c r="L2137" s="1">
        <v>6</v>
      </c>
      <c r="M2137" s="13">
        <v>6418.63</v>
      </c>
      <c r="N2137" s="15">
        <v>0.12</v>
      </c>
      <c r="O2137" s="13">
        <v>31683.87</v>
      </c>
      <c r="P2137" s="13">
        <v>6743.34</v>
      </c>
      <c r="Q2137" s="13">
        <v>60.52</v>
      </c>
      <c r="R2137" s="1" t="s">
        <v>70</v>
      </c>
      <c r="S2137" s="1">
        <v>3</v>
      </c>
      <c r="T2137" s="1" t="b">
        <v>0</v>
      </c>
      <c r="U2137" s="1" t="s">
        <v>39</v>
      </c>
      <c r="V2137" s="3">
        <v>5</v>
      </c>
    </row>
    <row r="2138" spans="1:22" x14ac:dyDescent="0.3">
      <c r="A2138" s="2" t="s">
        <v>4765</v>
      </c>
      <c r="B2138" s="10">
        <v>45177</v>
      </c>
      <c r="C2138" s="22">
        <v>45177</v>
      </c>
      <c r="D2138" s="1" t="s">
        <v>4766</v>
      </c>
      <c r="E2138" s="1" t="s">
        <v>154</v>
      </c>
      <c r="F2138" s="1">
        <v>14</v>
      </c>
      <c r="G2138" s="1" t="s">
        <v>34</v>
      </c>
      <c r="H2138" s="1" t="s">
        <v>25</v>
      </c>
      <c r="I2138" s="1" t="s">
        <v>26</v>
      </c>
      <c r="J2138" s="1" t="s">
        <v>27</v>
      </c>
      <c r="K2138" s="1" t="s">
        <v>28</v>
      </c>
      <c r="L2138" s="1">
        <v>2</v>
      </c>
      <c r="M2138" s="13">
        <v>120.67</v>
      </c>
      <c r="N2138" s="15">
        <v>0.21</v>
      </c>
      <c r="O2138" s="13">
        <v>311.52999999999997</v>
      </c>
      <c r="P2138" s="13">
        <v>18.16</v>
      </c>
      <c r="Q2138" s="13">
        <v>59.48</v>
      </c>
      <c r="R2138" s="1" t="s">
        <v>64</v>
      </c>
      <c r="S2138" s="1">
        <v>5</v>
      </c>
      <c r="T2138" s="1" t="b">
        <v>0</v>
      </c>
      <c r="U2138" s="1" t="s">
        <v>39</v>
      </c>
      <c r="V2138" s="3">
        <v>10</v>
      </c>
    </row>
    <row r="2139" spans="1:22" x14ac:dyDescent="0.3">
      <c r="A2139" s="2" t="s">
        <v>4767</v>
      </c>
      <c r="B2139" s="10">
        <v>44219</v>
      </c>
      <c r="C2139" s="22">
        <v>44219</v>
      </c>
      <c r="D2139" s="1" t="s">
        <v>4768</v>
      </c>
      <c r="E2139" s="1" t="s">
        <v>1039</v>
      </c>
      <c r="F2139" s="1">
        <v>48</v>
      </c>
      <c r="G2139" s="1" t="s">
        <v>68</v>
      </c>
      <c r="H2139" s="1" t="s">
        <v>111</v>
      </c>
      <c r="I2139" s="1" t="s">
        <v>112</v>
      </c>
      <c r="J2139" s="1" t="s">
        <v>44</v>
      </c>
      <c r="K2139" s="1" t="s">
        <v>186</v>
      </c>
      <c r="L2139" s="1">
        <v>1</v>
      </c>
      <c r="M2139" s="13">
        <v>6917.97</v>
      </c>
      <c r="N2139" s="15">
        <v>0.23</v>
      </c>
      <c r="O2139" s="13">
        <v>4191.1499999999996</v>
      </c>
      <c r="P2139" s="13">
        <v>1571.77</v>
      </c>
      <c r="Q2139" s="13">
        <v>96.28</v>
      </c>
      <c r="R2139" s="1" t="s">
        <v>51</v>
      </c>
      <c r="S2139" s="1">
        <v>5</v>
      </c>
      <c r="T2139" s="1" t="b">
        <v>0</v>
      </c>
      <c r="U2139" s="1" t="s">
        <v>39</v>
      </c>
      <c r="V2139" s="3">
        <v>5</v>
      </c>
    </row>
    <row r="2140" spans="1:22" x14ac:dyDescent="0.3">
      <c r="A2140" s="2" t="s">
        <v>4769</v>
      </c>
      <c r="B2140" s="10">
        <v>44416</v>
      </c>
      <c r="C2140" s="22">
        <v>44416</v>
      </c>
      <c r="D2140" s="1" t="s">
        <v>4770</v>
      </c>
      <c r="E2140" s="1" t="s">
        <v>4771</v>
      </c>
      <c r="F2140" s="1">
        <v>33</v>
      </c>
      <c r="G2140" s="1" t="s">
        <v>34</v>
      </c>
      <c r="H2140" s="1" t="s">
        <v>111</v>
      </c>
      <c r="I2140" s="1" t="s">
        <v>112</v>
      </c>
      <c r="J2140" s="1" t="s">
        <v>76</v>
      </c>
      <c r="K2140" s="1" t="s">
        <v>122</v>
      </c>
      <c r="L2140" s="1">
        <v>9</v>
      </c>
      <c r="M2140" s="13">
        <v>1576.8</v>
      </c>
      <c r="N2140" s="15">
        <v>0.31</v>
      </c>
      <c r="O2140" s="13">
        <v>14192.8</v>
      </c>
      <c r="P2140" s="13">
        <v>7027.01</v>
      </c>
      <c r="Q2140" s="13">
        <v>63.25</v>
      </c>
      <c r="R2140" s="1" t="s">
        <v>78</v>
      </c>
      <c r="S2140" s="1">
        <v>2</v>
      </c>
      <c r="T2140" s="1" t="b">
        <v>0</v>
      </c>
      <c r="U2140" s="1" t="s">
        <v>39</v>
      </c>
      <c r="V2140" s="3">
        <v>6</v>
      </c>
    </row>
    <row r="2141" spans="1:22" x14ac:dyDescent="0.3">
      <c r="A2141" s="2" t="s">
        <v>4772</v>
      </c>
      <c r="B2141" s="10">
        <v>45593</v>
      </c>
      <c r="C2141" s="22">
        <v>45593</v>
      </c>
      <c r="D2141" s="1" t="s">
        <v>4773</v>
      </c>
      <c r="E2141" s="1" t="s">
        <v>4771</v>
      </c>
      <c r="F2141" s="1">
        <v>45</v>
      </c>
      <c r="G2141" s="1" t="s">
        <v>68</v>
      </c>
      <c r="H2141" s="1" t="s">
        <v>82</v>
      </c>
      <c r="I2141" s="1" t="s">
        <v>83</v>
      </c>
      <c r="J2141" s="1" t="s">
        <v>127</v>
      </c>
      <c r="K2141" s="1" t="s">
        <v>196</v>
      </c>
      <c r="L2141" s="1">
        <v>1</v>
      </c>
      <c r="M2141" s="13">
        <v>60978.400000000001</v>
      </c>
      <c r="N2141" s="15">
        <v>0.18</v>
      </c>
      <c r="O2141" s="13">
        <v>58454.57</v>
      </c>
      <c r="P2141" s="13">
        <v>4430.2700000000004</v>
      </c>
      <c r="Q2141" s="13">
        <v>89.37</v>
      </c>
      <c r="R2141" s="1" t="s">
        <v>64</v>
      </c>
      <c r="S2141" s="1">
        <v>3</v>
      </c>
      <c r="T2141" s="1" t="b">
        <v>0</v>
      </c>
      <c r="U2141" s="1" t="s">
        <v>39</v>
      </c>
      <c r="V2141" s="3">
        <v>3</v>
      </c>
    </row>
    <row r="2142" spans="1:22" x14ac:dyDescent="0.3">
      <c r="A2142" s="2" t="s">
        <v>4774</v>
      </c>
      <c r="B2142" s="10">
        <v>44600</v>
      </c>
      <c r="C2142" s="22">
        <v>44600</v>
      </c>
      <c r="D2142" s="1" t="s">
        <v>4775</v>
      </c>
      <c r="E2142" s="1" t="s">
        <v>552</v>
      </c>
      <c r="F2142" s="1">
        <v>18</v>
      </c>
      <c r="G2142" s="1" t="s">
        <v>463</v>
      </c>
      <c r="H2142" s="1" t="s">
        <v>111</v>
      </c>
      <c r="I2142" s="1" t="s">
        <v>121</v>
      </c>
      <c r="J2142" s="1" t="s">
        <v>62</v>
      </c>
      <c r="K2142" s="1" t="s">
        <v>266</v>
      </c>
      <c r="L2142" s="1">
        <v>999</v>
      </c>
      <c r="M2142" s="13">
        <v>709.64</v>
      </c>
      <c r="N2142" s="15">
        <v>0.16</v>
      </c>
      <c r="O2142" s="13">
        <v>533420.31000000006</v>
      </c>
      <c r="P2142" s="13">
        <v>141347.64000000001</v>
      </c>
      <c r="Q2142" s="13">
        <v>82.77</v>
      </c>
      <c r="R2142" s="1" t="s">
        <v>29</v>
      </c>
      <c r="S2142" s="1">
        <v>2</v>
      </c>
      <c r="T2142" s="1" t="b">
        <v>1</v>
      </c>
      <c r="U2142" s="1" t="s">
        <v>30</v>
      </c>
      <c r="V2142" s="3">
        <v>2</v>
      </c>
    </row>
    <row r="2143" spans="1:22" x14ac:dyDescent="0.3">
      <c r="A2143" s="2" t="s">
        <v>4776</v>
      </c>
      <c r="B2143" s="10">
        <v>43944</v>
      </c>
      <c r="C2143" s="22">
        <v>43944</v>
      </c>
      <c r="D2143" s="1" t="s">
        <v>4777</v>
      </c>
      <c r="E2143" s="1" t="s">
        <v>1300</v>
      </c>
      <c r="F2143" s="1">
        <v>25</v>
      </c>
      <c r="G2143" s="1" t="s">
        <v>34</v>
      </c>
      <c r="H2143" s="1" t="s">
        <v>82</v>
      </c>
      <c r="I2143" s="1" t="s">
        <v>293</v>
      </c>
      <c r="J2143" s="1" t="s">
        <v>62</v>
      </c>
      <c r="K2143" s="1" t="s">
        <v>266</v>
      </c>
      <c r="L2143" s="1">
        <v>8</v>
      </c>
      <c r="M2143" s="13">
        <v>885.34</v>
      </c>
      <c r="N2143" s="15">
        <v>0.21</v>
      </c>
      <c r="O2143" s="13">
        <v>7887.35</v>
      </c>
      <c r="P2143" s="13">
        <v>4410.62</v>
      </c>
      <c r="Q2143" s="13">
        <v>92.67</v>
      </c>
      <c r="R2143" s="1" t="s">
        <v>51</v>
      </c>
      <c r="S2143" s="1">
        <v>3</v>
      </c>
      <c r="T2143" s="1" t="b">
        <v>0</v>
      </c>
      <c r="U2143" s="1" t="s">
        <v>39</v>
      </c>
      <c r="V2143" s="3">
        <v>10</v>
      </c>
    </row>
    <row r="2144" spans="1:22" x14ac:dyDescent="0.3">
      <c r="A2144" s="2" t="s">
        <v>4778</v>
      </c>
      <c r="B2144" s="10">
        <v>45460</v>
      </c>
      <c r="C2144" s="22">
        <v>45460</v>
      </c>
      <c r="D2144" s="1" t="s">
        <v>4779</v>
      </c>
      <c r="E2144" s="1" t="s">
        <v>338</v>
      </c>
      <c r="F2144" s="1">
        <v>39</v>
      </c>
      <c r="G2144" s="1" t="s">
        <v>24</v>
      </c>
      <c r="H2144" s="1" t="s">
        <v>35</v>
      </c>
      <c r="I2144" s="1" t="s">
        <v>106</v>
      </c>
      <c r="J2144" s="1" t="s">
        <v>37</v>
      </c>
      <c r="K2144" s="1" t="s">
        <v>454</v>
      </c>
      <c r="L2144" s="1">
        <v>1</v>
      </c>
      <c r="M2144" s="13">
        <v>1139.19</v>
      </c>
      <c r="N2144" s="15">
        <v>0.02</v>
      </c>
      <c r="O2144" s="13">
        <v>2138.54</v>
      </c>
      <c r="P2144" s="13">
        <v>958.64</v>
      </c>
      <c r="Q2144" s="13">
        <v>47.9</v>
      </c>
      <c r="R2144" s="1" t="s">
        <v>51</v>
      </c>
      <c r="S2144" s="1">
        <v>2</v>
      </c>
      <c r="T2144" s="1" t="b">
        <v>0</v>
      </c>
      <c r="U2144" s="1" t="s">
        <v>39</v>
      </c>
      <c r="V2144" s="3">
        <v>6</v>
      </c>
    </row>
    <row r="2145" spans="1:22" x14ac:dyDescent="0.3">
      <c r="A2145" s="2" t="s">
        <v>4780</v>
      </c>
      <c r="B2145" s="10">
        <v>45173</v>
      </c>
      <c r="C2145" s="22">
        <v>45173</v>
      </c>
      <c r="D2145" s="1" t="s">
        <v>4781</v>
      </c>
      <c r="E2145" s="1" t="s">
        <v>531</v>
      </c>
      <c r="F2145" s="1">
        <v>4</v>
      </c>
      <c r="G2145" s="1" t="s">
        <v>68</v>
      </c>
      <c r="H2145" s="1" t="s">
        <v>35</v>
      </c>
      <c r="I2145" s="1" t="s">
        <v>43</v>
      </c>
      <c r="J2145" s="1" t="s">
        <v>76</v>
      </c>
      <c r="K2145" s="1" t="s">
        <v>113</v>
      </c>
      <c r="L2145" s="1">
        <v>10</v>
      </c>
      <c r="M2145" s="13">
        <v>3436.98</v>
      </c>
      <c r="N2145" s="15">
        <v>0.13</v>
      </c>
      <c r="O2145" s="13">
        <v>36428.870000000003</v>
      </c>
      <c r="P2145" s="13">
        <v>12821.7</v>
      </c>
      <c r="Q2145" s="13">
        <v>64.09</v>
      </c>
      <c r="R2145" s="1" t="s">
        <v>57</v>
      </c>
      <c r="S2145" s="1">
        <v>4</v>
      </c>
      <c r="T2145" s="1" t="b">
        <v>0</v>
      </c>
      <c r="U2145" s="1" t="s">
        <v>39</v>
      </c>
      <c r="V2145" s="3">
        <v>8</v>
      </c>
    </row>
    <row r="2146" spans="1:22" x14ac:dyDescent="0.3">
      <c r="A2146" s="2" t="s">
        <v>4782</v>
      </c>
      <c r="B2146" s="10">
        <v>45054</v>
      </c>
      <c r="C2146" s="22">
        <v>45054</v>
      </c>
      <c r="D2146" s="1" t="s">
        <v>4783</v>
      </c>
      <c r="E2146" s="1" t="s">
        <v>2494</v>
      </c>
      <c r="F2146" s="1">
        <v>32</v>
      </c>
      <c r="G2146" s="1" t="s">
        <v>68</v>
      </c>
      <c r="H2146" s="1" t="s">
        <v>74</v>
      </c>
      <c r="I2146" s="1" t="s">
        <v>192</v>
      </c>
      <c r="J2146" s="1" t="s">
        <v>44</v>
      </c>
      <c r="K2146" s="1" t="s">
        <v>221</v>
      </c>
      <c r="L2146" s="1">
        <v>9</v>
      </c>
      <c r="M2146" s="13">
        <v>16799.04</v>
      </c>
      <c r="N2146" s="15">
        <v>0.32</v>
      </c>
      <c r="O2146" s="13">
        <v>158612.18</v>
      </c>
      <c r="P2146" s="13">
        <v>38942.269999999997</v>
      </c>
      <c r="Q2146" s="13">
        <v>38.06</v>
      </c>
      <c r="R2146" s="1" t="s">
        <v>57</v>
      </c>
      <c r="S2146" s="1">
        <v>1</v>
      </c>
      <c r="T2146" s="1" t="b">
        <v>1</v>
      </c>
      <c r="U2146" s="1" t="s">
        <v>30</v>
      </c>
      <c r="V2146" s="3">
        <v>3</v>
      </c>
    </row>
    <row r="2147" spans="1:22" x14ac:dyDescent="0.3">
      <c r="A2147" s="2" t="s">
        <v>4784</v>
      </c>
      <c r="B2147" s="10">
        <v>44313</v>
      </c>
      <c r="C2147" s="22">
        <v>44313</v>
      </c>
      <c r="D2147" s="1" t="s">
        <v>4785</v>
      </c>
      <c r="E2147" s="1" t="s">
        <v>743</v>
      </c>
      <c r="F2147" s="1">
        <v>28</v>
      </c>
      <c r="G2147" s="1" t="s">
        <v>68</v>
      </c>
      <c r="H2147" s="1" t="s">
        <v>25</v>
      </c>
      <c r="I2147" s="1" t="s">
        <v>55</v>
      </c>
      <c r="J2147" s="1" t="s">
        <v>127</v>
      </c>
      <c r="K2147" s="1" t="s">
        <v>142</v>
      </c>
      <c r="L2147" s="1">
        <v>8</v>
      </c>
      <c r="M2147" s="13">
        <v>55099.88</v>
      </c>
      <c r="N2147" s="15">
        <v>0.08</v>
      </c>
      <c r="O2147" s="13">
        <v>534701.88</v>
      </c>
      <c r="P2147" s="13">
        <v>62826.35</v>
      </c>
      <c r="Q2147" s="13">
        <v>64.28</v>
      </c>
      <c r="R2147" s="1" t="s">
        <v>78</v>
      </c>
      <c r="S2147" s="1">
        <v>5</v>
      </c>
      <c r="T2147" s="1" t="b">
        <v>0</v>
      </c>
      <c r="U2147" s="1" t="s">
        <v>84</v>
      </c>
      <c r="V2147" s="3">
        <v>2</v>
      </c>
    </row>
    <row r="2148" spans="1:22" x14ac:dyDescent="0.3">
      <c r="A2148" s="2" t="s">
        <v>4786</v>
      </c>
      <c r="B2148" s="10">
        <v>44591</v>
      </c>
      <c r="C2148" s="22">
        <v>44591</v>
      </c>
      <c r="D2148" s="1" t="s">
        <v>4787</v>
      </c>
      <c r="E2148" s="1" t="s">
        <v>237</v>
      </c>
      <c r="F2148" s="1">
        <v>49</v>
      </c>
      <c r="G2148" s="1" t="s">
        <v>34</v>
      </c>
      <c r="H2148" s="1" t="s">
        <v>82</v>
      </c>
      <c r="I2148" s="1" t="s">
        <v>126</v>
      </c>
      <c r="J2148" s="1" t="s">
        <v>62</v>
      </c>
      <c r="K2148" s="1" t="s">
        <v>266</v>
      </c>
      <c r="L2148" s="1">
        <v>7</v>
      </c>
      <c r="M2148" s="13">
        <v>367.79</v>
      </c>
      <c r="N2148" s="15">
        <v>0.06</v>
      </c>
      <c r="O2148" s="13">
        <v>2017.48</v>
      </c>
      <c r="P2148" s="13">
        <v>811.84</v>
      </c>
      <c r="Q2148" s="13">
        <v>81.31</v>
      </c>
      <c r="R2148" s="1" t="s">
        <v>64</v>
      </c>
      <c r="S2148" s="1">
        <v>3</v>
      </c>
      <c r="T2148" s="1" t="b">
        <v>0</v>
      </c>
      <c r="U2148" s="1" t="s">
        <v>137</v>
      </c>
      <c r="V2148" s="3">
        <v>8</v>
      </c>
    </row>
    <row r="2149" spans="1:22" x14ac:dyDescent="0.3">
      <c r="A2149" s="2" t="s">
        <v>4788</v>
      </c>
      <c r="B2149" s="10">
        <v>44876</v>
      </c>
      <c r="C2149" s="22">
        <v>44876</v>
      </c>
      <c r="D2149" s="1" t="s">
        <v>4789</v>
      </c>
      <c r="E2149" s="1" t="s">
        <v>2791</v>
      </c>
      <c r="F2149" s="1">
        <v>30</v>
      </c>
      <c r="G2149" s="1" t="s">
        <v>34</v>
      </c>
      <c r="H2149" s="1" t="s">
        <v>25</v>
      </c>
      <c r="I2149" s="1" t="s">
        <v>55</v>
      </c>
      <c r="J2149" s="1" t="s">
        <v>146</v>
      </c>
      <c r="K2149" s="1" t="s">
        <v>276</v>
      </c>
      <c r="L2149" s="1">
        <v>2</v>
      </c>
      <c r="M2149" s="13">
        <v>9107.15</v>
      </c>
      <c r="N2149" s="15">
        <v>0.1</v>
      </c>
      <c r="O2149" s="13">
        <v>14915.74</v>
      </c>
      <c r="P2149" s="13">
        <v>3305.13</v>
      </c>
      <c r="Q2149" s="13">
        <v>61.84</v>
      </c>
      <c r="R2149" s="1" t="s">
        <v>64</v>
      </c>
      <c r="S2149" s="1">
        <v>1</v>
      </c>
      <c r="T2149" s="1" t="b">
        <v>0</v>
      </c>
      <c r="U2149" s="1" t="s">
        <v>39</v>
      </c>
      <c r="V2149" s="3">
        <v>1</v>
      </c>
    </row>
    <row r="2150" spans="1:22" x14ac:dyDescent="0.3">
      <c r="A2150" s="2" t="s">
        <v>4790</v>
      </c>
      <c r="B2150" s="10">
        <v>44565</v>
      </c>
      <c r="C2150" s="22">
        <v>44565</v>
      </c>
      <c r="D2150" s="1" t="s">
        <v>4791</v>
      </c>
      <c r="E2150" s="1" t="s">
        <v>719</v>
      </c>
      <c r="F2150" s="1">
        <v>37</v>
      </c>
      <c r="G2150" s="1" t="s">
        <v>34</v>
      </c>
      <c r="H2150" s="1" t="s">
        <v>25</v>
      </c>
      <c r="I2150" s="1" t="s">
        <v>55</v>
      </c>
      <c r="J2150" s="1" t="s">
        <v>37</v>
      </c>
      <c r="K2150" s="1" t="s">
        <v>231</v>
      </c>
      <c r="L2150" s="1">
        <v>8</v>
      </c>
      <c r="M2150" s="13">
        <v>2293.23</v>
      </c>
      <c r="N2150" s="15">
        <v>0.01</v>
      </c>
      <c r="O2150" s="13">
        <v>15979.96</v>
      </c>
      <c r="P2150" s="13">
        <v>7902.58</v>
      </c>
      <c r="Q2150" s="13">
        <v>42.27</v>
      </c>
      <c r="R2150" s="1" t="s">
        <v>51</v>
      </c>
      <c r="S2150" s="1">
        <v>3</v>
      </c>
      <c r="T2150" s="1" t="b">
        <v>0</v>
      </c>
      <c r="U2150" s="1" t="s">
        <v>39</v>
      </c>
      <c r="V2150" s="3">
        <v>2</v>
      </c>
    </row>
    <row r="2151" spans="1:22" x14ac:dyDescent="0.3">
      <c r="A2151" s="2" t="s">
        <v>4792</v>
      </c>
      <c r="B2151" s="10">
        <v>45097</v>
      </c>
      <c r="C2151" s="22">
        <v>45097</v>
      </c>
      <c r="D2151" s="1" t="s">
        <v>4793</v>
      </c>
      <c r="E2151" s="1" t="s">
        <v>329</v>
      </c>
      <c r="F2151" s="1">
        <v>38</v>
      </c>
      <c r="G2151" s="1" t="s">
        <v>68</v>
      </c>
      <c r="H2151" s="1" t="s">
        <v>35</v>
      </c>
      <c r="I2151" s="1" t="s">
        <v>36</v>
      </c>
      <c r="J2151" s="1" t="s">
        <v>146</v>
      </c>
      <c r="K2151" s="1" t="s">
        <v>217</v>
      </c>
      <c r="L2151" s="1">
        <v>10</v>
      </c>
      <c r="M2151" s="13">
        <v>12849.18</v>
      </c>
      <c r="N2151" s="15">
        <v>0.17</v>
      </c>
      <c r="O2151" s="13">
        <v>162026.23999999999</v>
      </c>
      <c r="P2151" s="13">
        <v>55613.66</v>
      </c>
      <c r="Q2151" s="13">
        <v>50.59</v>
      </c>
      <c r="R2151" s="1" t="s">
        <v>78</v>
      </c>
      <c r="S2151" s="1">
        <v>1</v>
      </c>
      <c r="T2151" s="1" t="b">
        <v>1</v>
      </c>
      <c r="U2151" s="1" t="s">
        <v>30</v>
      </c>
      <c r="V2151" s="3">
        <v>6</v>
      </c>
    </row>
    <row r="2152" spans="1:22" x14ac:dyDescent="0.3">
      <c r="A2152" s="2" t="s">
        <v>4794</v>
      </c>
      <c r="B2152" s="10">
        <v>44150</v>
      </c>
      <c r="C2152" s="22">
        <v>44150</v>
      </c>
      <c r="D2152" s="1" t="s">
        <v>4795</v>
      </c>
      <c r="E2152" s="1" t="s">
        <v>624</v>
      </c>
      <c r="F2152" s="1">
        <v>27</v>
      </c>
      <c r="G2152" s="1" t="s">
        <v>68</v>
      </c>
      <c r="H2152" s="1" t="s">
        <v>35</v>
      </c>
      <c r="I2152" s="1" t="s">
        <v>49</v>
      </c>
      <c r="J2152" s="1" t="s">
        <v>37</v>
      </c>
      <c r="K2152" s="1" t="s">
        <v>231</v>
      </c>
      <c r="L2152" s="1">
        <v>8</v>
      </c>
      <c r="M2152" s="13">
        <v>577.09</v>
      </c>
      <c r="N2152" s="15">
        <v>0.31</v>
      </c>
      <c r="O2152" s="13">
        <v>1937.2</v>
      </c>
      <c r="P2152" s="13">
        <v>752.28</v>
      </c>
      <c r="Q2152" s="13">
        <v>44.38</v>
      </c>
      <c r="R2152" s="1" t="s">
        <v>51</v>
      </c>
      <c r="S2152" s="1">
        <v>3</v>
      </c>
      <c r="T2152" s="1" t="b">
        <v>0</v>
      </c>
      <c r="U2152" s="1" t="s">
        <v>39</v>
      </c>
      <c r="V2152" s="3">
        <v>3</v>
      </c>
    </row>
    <row r="2153" spans="1:22" x14ac:dyDescent="0.3">
      <c r="A2153" s="2" t="s">
        <v>4796</v>
      </c>
      <c r="B2153" s="10">
        <v>44159</v>
      </c>
      <c r="C2153" s="22">
        <v>44159</v>
      </c>
      <c r="D2153" s="1" t="s">
        <v>4797</v>
      </c>
      <c r="E2153" s="1" t="s">
        <v>1495</v>
      </c>
      <c r="F2153" s="1">
        <v>41</v>
      </c>
      <c r="G2153" s="1" t="s">
        <v>68</v>
      </c>
      <c r="H2153" s="1" t="s">
        <v>74</v>
      </c>
      <c r="I2153" s="1" t="s">
        <v>136</v>
      </c>
      <c r="J2153" s="1" t="s">
        <v>44</v>
      </c>
      <c r="K2153" s="1" t="s">
        <v>93</v>
      </c>
      <c r="L2153" s="1">
        <v>5</v>
      </c>
      <c r="M2153" s="13">
        <v>13802.21</v>
      </c>
      <c r="N2153" s="15">
        <v>0.01</v>
      </c>
      <c r="O2153" s="13">
        <v>49453.99</v>
      </c>
      <c r="P2153" s="13">
        <v>11156.02</v>
      </c>
      <c r="Q2153" s="13">
        <v>53.42</v>
      </c>
      <c r="R2153" s="1" t="s">
        <v>57</v>
      </c>
      <c r="S2153" s="1">
        <v>4</v>
      </c>
      <c r="T2153" s="1" t="b">
        <v>0</v>
      </c>
      <c r="U2153" s="1" t="s">
        <v>39</v>
      </c>
      <c r="V2153" s="3">
        <v>2</v>
      </c>
    </row>
    <row r="2154" spans="1:22" x14ac:dyDescent="0.3">
      <c r="A2154" s="2" t="s">
        <v>4798</v>
      </c>
      <c r="B2154" s="10">
        <v>44998</v>
      </c>
      <c r="C2154" s="22">
        <v>44998</v>
      </c>
      <c r="D2154" s="1" t="s">
        <v>4799</v>
      </c>
      <c r="E2154" s="1" t="s">
        <v>629</v>
      </c>
      <c r="F2154" s="1">
        <v>39</v>
      </c>
      <c r="G2154" s="1" t="s">
        <v>68</v>
      </c>
      <c r="H2154" s="1" t="s">
        <v>35</v>
      </c>
      <c r="I2154" s="1" t="s">
        <v>49</v>
      </c>
      <c r="J2154" s="1" t="s">
        <v>146</v>
      </c>
      <c r="K2154" s="1" t="s">
        <v>147</v>
      </c>
      <c r="L2154" s="1">
        <v>5</v>
      </c>
      <c r="M2154" s="13">
        <v>7209.98</v>
      </c>
      <c r="N2154" s="15">
        <v>0.1</v>
      </c>
      <c r="O2154" s="13">
        <v>44585.53</v>
      </c>
      <c r="P2154" s="13">
        <v>6266.72</v>
      </c>
      <c r="Q2154" s="13">
        <v>101.5</v>
      </c>
      <c r="R2154" s="1" t="s">
        <v>57</v>
      </c>
      <c r="S2154" s="1">
        <v>3</v>
      </c>
      <c r="T2154" s="1" t="b">
        <v>0</v>
      </c>
      <c r="U2154" s="1" t="s">
        <v>39</v>
      </c>
      <c r="V2154" s="3">
        <v>8</v>
      </c>
    </row>
    <row r="2155" spans="1:22" x14ac:dyDescent="0.3">
      <c r="A2155" s="2" t="s">
        <v>4800</v>
      </c>
      <c r="B2155" s="10">
        <v>45412</v>
      </c>
      <c r="C2155" s="22">
        <v>45412</v>
      </c>
      <c r="D2155" s="1" t="s">
        <v>297</v>
      </c>
      <c r="E2155" s="1" t="s">
        <v>1004</v>
      </c>
      <c r="F2155" s="1">
        <v>5</v>
      </c>
      <c r="G2155" s="1" t="s">
        <v>34</v>
      </c>
      <c r="H2155" s="1" t="s">
        <v>111</v>
      </c>
      <c r="I2155" s="1" t="s">
        <v>141</v>
      </c>
      <c r="J2155" s="1" t="s">
        <v>127</v>
      </c>
      <c r="K2155" s="1" t="s">
        <v>171</v>
      </c>
      <c r="L2155" s="1">
        <v>8</v>
      </c>
      <c r="M2155" s="13">
        <v>29438.87</v>
      </c>
      <c r="N2155" s="15">
        <v>0.27</v>
      </c>
      <c r="O2155" s="13">
        <v>265801.33</v>
      </c>
      <c r="P2155" s="13">
        <v>17629.48</v>
      </c>
      <c r="Q2155" s="13">
        <v>66.34</v>
      </c>
      <c r="R2155" s="1" t="s">
        <v>51</v>
      </c>
      <c r="S2155" s="1">
        <v>2</v>
      </c>
      <c r="T2155" s="1" t="b">
        <v>0</v>
      </c>
      <c r="U2155" s="1" t="s">
        <v>39</v>
      </c>
      <c r="V2155" s="3">
        <v>10</v>
      </c>
    </row>
    <row r="2156" spans="1:22" x14ac:dyDescent="0.3">
      <c r="A2156" s="2" t="s">
        <v>4801</v>
      </c>
      <c r="B2156" s="10">
        <v>45645</v>
      </c>
      <c r="C2156" s="22">
        <v>45645</v>
      </c>
      <c r="D2156" s="1" t="s">
        <v>4802</v>
      </c>
      <c r="E2156" s="1" t="s">
        <v>189</v>
      </c>
      <c r="F2156" s="1">
        <v>17</v>
      </c>
      <c r="G2156" s="1" t="s">
        <v>24</v>
      </c>
      <c r="H2156" s="1" t="s">
        <v>111</v>
      </c>
      <c r="I2156" s="1" t="s">
        <v>112</v>
      </c>
      <c r="J2156" s="1" t="s">
        <v>44</v>
      </c>
      <c r="K2156" s="1" t="s">
        <v>50</v>
      </c>
      <c r="L2156" s="1">
        <v>5</v>
      </c>
      <c r="M2156" s="13">
        <v>22094.81</v>
      </c>
      <c r="N2156" s="15">
        <v>0.05</v>
      </c>
      <c r="O2156" s="13">
        <v>95653.07</v>
      </c>
      <c r="P2156" s="13">
        <v>32975.78</v>
      </c>
      <c r="Q2156" s="13">
        <v>89.18</v>
      </c>
      <c r="R2156" s="1" t="s">
        <v>57</v>
      </c>
      <c r="S2156" s="1">
        <v>3</v>
      </c>
      <c r="T2156" s="1" t="b">
        <v>0</v>
      </c>
      <c r="U2156" s="1" t="s">
        <v>39</v>
      </c>
      <c r="V2156" s="3">
        <v>3</v>
      </c>
    </row>
    <row r="2157" spans="1:22" x14ac:dyDescent="0.3">
      <c r="A2157" s="2" t="s">
        <v>4803</v>
      </c>
      <c r="B2157" s="10">
        <v>45189</v>
      </c>
      <c r="C2157" s="22">
        <v>45189</v>
      </c>
      <c r="D2157" s="1" t="s">
        <v>4804</v>
      </c>
      <c r="E2157" s="1" t="s">
        <v>781</v>
      </c>
      <c r="F2157" s="1">
        <v>27</v>
      </c>
      <c r="G2157" s="1" t="s">
        <v>24</v>
      </c>
      <c r="H2157" s="1" t="s">
        <v>25</v>
      </c>
      <c r="I2157" s="1" t="s">
        <v>26</v>
      </c>
      <c r="J2157" s="1" t="s">
        <v>127</v>
      </c>
      <c r="K2157" s="1" t="s">
        <v>308</v>
      </c>
      <c r="L2157" s="1">
        <v>5</v>
      </c>
      <c r="M2157" s="13">
        <v>21332.99</v>
      </c>
      <c r="N2157" s="15">
        <v>0.06</v>
      </c>
      <c r="O2157" s="13">
        <v>21555.19</v>
      </c>
      <c r="P2157" s="13">
        <v>2209.4899999999998</v>
      </c>
      <c r="Q2157" s="13">
        <v>64.819999999999993</v>
      </c>
      <c r="R2157" s="1" t="s">
        <v>57</v>
      </c>
      <c r="S2157" s="1">
        <v>4</v>
      </c>
      <c r="T2157" s="1" t="b">
        <v>0</v>
      </c>
      <c r="U2157" s="1" t="s">
        <v>39</v>
      </c>
      <c r="V2157" s="3">
        <v>5</v>
      </c>
    </row>
    <row r="2158" spans="1:22" x14ac:dyDescent="0.3">
      <c r="A2158" s="2" t="s">
        <v>4805</v>
      </c>
      <c r="B2158" s="10">
        <v>45159</v>
      </c>
      <c r="C2158" s="22">
        <v>45159</v>
      </c>
      <c r="D2158" s="1" t="s">
        <v>4806</v>
      </c>
      <c r="E2158" s="1" t="s">
        <v>1601</v>
      </c>
      <c r="F2158" s="1">
        <v>37</v>
      </c>
      <c r="G2158" s="1" t="s">
        <v>24</v>
      </c>
      <c r="H2158" s="1" t="s">
        <v>35</v>
      </c>
      <c r="I2158" s="1" t="s">
        <v>49</v>
      </c>
      <c r="J2158" s="1" t="s">
        <v>146</v>
      </c>
      <c r="K2158" s="1" t="s">
        <v>484</v>
      </c>
      <c r="L2158" s="1">
        <v>8</v>
      </c>
      <c r="M2158" s="13">
        <v>11625.18</v>
      </c>
      <c r="N2158" s="15">
        <v>0.01</v>
      </c>
      <c r="O2158" s="13">
        <v>129797.26</v>
      </c>
      <c r="P2158" s="13">
        <v>30345.040000000001</v>
      </c>
      <c r="Q2158" s="13">
        <v>35.4</v>
      </c>
      <c r="R2158" s="1" t="s">
        <v>64</v>
      </c>
      <c r="S2158" s="1">
        <v>1</v>
      </c>
      <c r="T2158" s="1" t="b">
        <v>1</v>
      </c>
      <c r="U2158" s="1" t="s">
        <v>30</v>
      </c>
      <c r="V2158" s="3">
        <v>10</v>
      </c>
    </row>
    <row r="2159" spans="1:22" x14ac:dyDescent="0.3">
      <c r="A2159" s="2" t="s">
        <v>4807</v>
      </c>
      <c r="B2159" s="10">
        <v>45080</v>
      </c>
      <c r="C2159" s="22">
        <v>45080</v>
      </c>
      <c r="D2159" s="1" t="s">
        <v>4808</v>
      </c>
      <c r="E2159" s="1" t="s">
        <v>110</v>
      </c>
      <c r="F2159" s="1">
        <v>32</v>
      </c>
      <c r="G2159" s="1" t="s">
        <v>34</v>
      </c>
      <c r="H2159" s="1" t="s">
        <v>25</v>
      </c>
      <c r="I2159" s="1" t="s">
        <v>170</v>
      </c>
      <c r="J2159" s="1" t="s">
        <v>37</v>
      </c>
      <c r="K2159" s="1" t="s">
        <v>102</v>
      </c>
      <c r="L2159" s="1">
        <v>6</v>
      </c>
      <c r="M2159" s="13">
        <v>458.32</v>
      </c>
      <c r="N2159" s="15">
        <v>0.39</v>
      </c>
      <c r="O2159" s="13">
        <v>2879.46</v>
      </c>
      <c r="P2159" s="13">
        <v>1655.48</v>
      </c>
      <c r="Q2159" s="13">
        <v>66.8</v>
      </c>
      <c r="R2159" s="1" t="s">
        <v>78</v>
      </c>
      <c r="S2159" s="1">
        <v>5</v>
      </c>
      <c r="T2159" s="1" t="b">
        <v>0</v>
      </c>
      <c r="U2159" s="1" t="s">
        <v>39</v>
      </c>
      <c r="V2159" s="3">
        <v>4</v>
      </c>
    </row>
    <row r="2160" spans="1:22" x14ac:dyDescent="0.3">
      <c r="A2160" s="2" t="s">
        <v>4809</v>
      </c>
      <c r="B2160" s="10">
        <v>45576</v>
      </c>
      <c r="C2160" s="22">
        <v>45576</v>
      </c>
      <c r="D2160" s="1" t="s">
        <v>4810</v>
      </c>
      <c r="E2160" s="1" t="s">
        <v>1300</v>
      </c>
      <c r="F2160" s="1">
        <v>30</v>
      </c>
      <c r="G2160" s="1" t="s">
        <v>24</v>
      </c>
      <c r="H2160" s="1" t="s">
        <v>111</v>
      </c>
      <c r="I2160" s="1" t="s">
        <v>141</v>
      </c>
      <c r="J2160" s="1" t="s">
        <v>127</v>
      </c>
      <c r="K2160" s="1" t="s">
        <v>142</v>
      </c>
      <c r="L2160" s="1">
        <v>9</v>
      </c>
      <c r="M2160" s="13">
        <v>59350.94</v>
      </c>
      <c r="N2160" s="15">
        <v>0.39</v>
      </c>
      <c r="O2160" s="13">
        <v>398128.01</v>
      </c>
      <c r="P2160" s="13">
        <v>49023.97</v>
      </c>
      <c r="Q2160" s="13">
        <v>67.319999999999993</v>
      </c>
      <c r="R2160" s="1" t="s">
        <v>70</v>
      </c>
      <c r="S2160" s="1">
        <v>2</v>
      </c>
      <c r="T2160" s="1" t="b">
        <v>0</v>
      </c>
      <c r="U2160" s="1" t="s">
        <v>58</v>
      </c>
      <c r="V2160" s="3">
        <v>3</v>
      </c>
    </row>
    <row r="2161" spans="1:22" x14ac:dyDescent="0.3">
      <c r="A2161" s="2" t="s">
        <v>4811</v>
      </c>
      <c r="B2161" s="10">
        <v>45538</v>
      </c>
      <c r="C2161" s="22">
        <v>45538</v>
      </c>
      <c r="D2161" s="1" t="s">
        <v>4812</v>
      </c>
      <c r="E2161" s="1" t="s">
        <v>1057</v>
      </c>
      <c r="F2161" s="1">
        <v>33</v>
      </c>
      <c r="G2161" s="1" t="s">
        <v>24</v>
      </c>
      <c r="H2161" s="1" t="s">
        <v>25</v>
      </c>
      <c r="I2161" s="1" t="s">
        <v>69</v>
      </c>
      <c r="J2161" s="1" t="s">
        <v>27</v>
      </c>
      <c r="K2161" s="1" t="s">
        <v>450</v>
      </c>
      <c r="L2161" s="1">
        <v>3</v>
      </c>
      <c r="M2161" s="13">
        <v>428.57</v>
      </c>
      <c r="N2161" s="15">
        <v>0.38</v>
      </c>
      <c r="O2161" s="13">
        <v>1124.8</v>
      </c>
      <c r="P2161" s="13">
        <v>97.77</v>
      </c>
      <c r="Q2161" s="13">
        <v>52.97</v>
      </c>
      <c r="R2161" s="1" t="s">
        <v>51</v>
      </c>
      <c r="S2161" s="1">
        <v>4</v>
      </c>
      <c r="T2161" s="1" t="b">
        <v>0</v>
      </c>
      <c r="U2161" s="1" t="s">
        <v>84</v>
      </c>
      <c r="V2161" s="3">
        <v>6</v>
      </c>
    </row>
    <row r="2162" spans="1:22" x14ac:dyDescent="0.3">
      <c r="A2162" s="2" t="s">
        <v>4813</v>
      </c>
      <c r="B2162" s="10">
        <v>45344</v>
      </c>
      <c r="C2162" s="22">
        <v>45344</v>
      </c>
      <c r="D2162" s="1" t="s">
        <v>4814</v>
      </c>
      <c r="E2162" s="1" t="s">
        <v>157</v>
      </c>
      <c r="F2162" s="1">
        <v>24</v>
      </c>
      <c r="G2162" s="1" t="s">
        <v>24</v>
      </c>
      <c r="H2162" s="1" t="s">
        <v>25</v>
      </c>
      <c r="I2162" s="1" t="s">
        <v>55</v>
      </c>
      <c r="J2162" s="1" t="s">
        <v>76</v>
      </c>
      <c r="K2162" s="1" t="s">
        <v>77</v>
      </c>
      <c r="L2162" s="1">
        <v>8</v>
      </c>
      <c r="M2162" s="13">
        <v>1195.52</v>
      </c>
      <c r="N2162" s="15">
        <v>0.21</v>
      </c>
      <c r="O2162" s="13">
        <v>11174.44</v>
      </c>
      <c r="P2162" s="13">
        <v>4209.57</v>
      </c>
      <c r="Q2162" s="13">
        <v>36.909999999999997</v>
      </c>
      <c r="R2162" s="1" t="s">
        <v>78</v>
      </c>
      <c r="S2162" s="1">
        <v>3</v>
      </c>
      <c r="T2162" s="1" t="b">
        <v>0</v>
      </c>
      <c r="U2162" s="1" t="s">
        <v>39</v>
      </c>
      <c r="V2162" s="3">
        <v>9</v>
      </c>
    </row>
    <row r="2163" spans="1:22" x14ac:dyDescent="0.3">
      <c r="A2163" s="2" t="s">
        <v>4815</v>
      </c>
      <c r="B2163" s="10">
        <v>44275</v>
      </c>
      <c r="C2163" s="22">
        <v>44275</v>
      </c>
      <c r="D2163" s="1" t="s">
        <v>4816</v>
      </c>
      <c r="E2163" s="1" t="s">
        <v>87</v>
      </c>
      <c r="F2163" s="1">
        <v>34</v>
      </c>
      <c r="G2163" s="1" t="s">
        <v>34</v>
      </c>
      <c r="H2163" s="1" t="s">
        <v>82</v>
      </c>
      <c r="I2163" s="1" t="s">
        <v>83</v>
      </c>
      <c r="J2163" s="1" t="s">
        <v>37</v>
      </c>
      <c r="K2163" s="1" t="s">
        <v>102</v>
      </c>
      <c r="L2163" s="1">
        <v>3</v>
      </c>
      <c r="M2163" s="13">
        <v>1728.65</v>
      </c>
      <c r="N2163" s="15">
        <v>0.09</v>
      </c>
      <c r="O2163" s="13">
        <v>5386.67</v>
      </c>
      <c r="P2163" s="13">
        <v>2960.24</v>
      </c>
      <c r="Q2163" s="13">
        <v>87</v>
      </c>
      <c r="R2163" s="1" t="s">
        <v>29</v>
      </c>
      <c r="S2163" s="1">
        <v>3</v>
      </c>
      <c r="T2163" s="1" t="b">
        <v>0</v>
      </c>
      <c r="U2163" s="1" t="s">
        <v>39</v>
      </c>
      <c r="V2163" s="3">
        <v>1</v>
      </c>
    </row>
    <row r="2164" spans="1:22" x14ac:dyDescent="0.3">
      <c r="A2164" s="2" t="s">
        <v>4817</v>
      </c>
      <c r="B2164" s="10">
        <v>45331</v>
      </c>
      <c r="C2164" s="22">
        <v>45331</v>
      </c>
      <c r="D2164" s="1" t="s">
        <v>4818</v>
      </c>
      <c r="E2164" s="1" t="s">
        <v>2229</v>
      </c>
      <c r="F2164" s="1">
        <v>32</v>
      </c>
      <c r="G2164" s="1" t="s">
        <v>24</v>
      </c>
      <c r="H2164" s="1" t="s">
        <v>25</v>
      </c>
      <c r="I2164" s="1" t="s">
        <v>170</v>
      </c>
      <c r="J2164" s="1" t="s">
        <v>76</v>
      </c>
      <c r="K2164" s="1" t="s">
        <v>89</v>
      </c>
      <c r="L2164" s="1">
        <v>7</v>
      </c>
      <c r="M2164" s="13">
        <v>1122.22</v>
      </c>
      <c r="N2164" s="15">
        <v>0.17</v>
      </c>
      <c r="O2164" s="13">
        <v>7195.72</v>
      </c>
      <c r="P2164" s="13">
        <v>2557.08</v>
      </c>
      <c r="Q2164" s="13">
        <v>47.28</v>
      </c>
      <c r="R2164" s="1" t="s">
        <v>64</v>
      </c>
      <c r="S2164" s="1">
        <v>5</v>
      </c>
      <c r="T2164" s="1" t="b">
        <v>0</v>
      </c>
      <c r="U2164" s="1" t="s">
        <v>39</v>
      </c>
      <c r="V2164" s="3">
        <v>8</v>
      </c>
    </row>
    <row r="2165" spans="1:22" x14ac:dyDescent="0.3">
      <c r="A2165" s="2" t="s">
        <v>4819</v>
      </c>
      <c r="B2165" s="10">
        <v>44787</v>
      </c>
      <c r="C2165" s="22">
        <v>44787</v>
      </c>
      <c r="D2165" s="1" t="s">
        <v>4820</v>
      </c>
      <c r="E2165" s="1" t="s">
        <v>1550</v>
      </c>
      <c r="F2165" s="1">
        <v>39</v>
      </c>
      <c r="G2165" s="1" t="s">
        <v>34</v>
      </c>
      <c r="H2165" s="1" t="s">
        <v>82</v>
      </c>
      <c r="I2165" s="1" t="s">
        <v>126</v>
      </c>
      <c r="J2165" s="1" t="s">
        <v>37</v>
      </c>
      <c r="K2165" s="1" t="s">
        <v>102</v>
      </c>
      <c r="L2165" s="1">
        <v>6</v>
      </c>
      <c r="M2165" s="13">
        <v>553.63</v>
      </c>
      <c r="N2165" s="15">
        <v>0.36</v>
      </c>
      <c r="O2165" s="13">
        <v>2469.37</v>
      </c>
      <c r="P2165" s="13">
        <v>684.81</v>
      </c>
      <c r="Q2165" s="13">
        <v>53.3</v>
      </c>
      <c r="R2165" s="1" t="s">
        <v>29</v>
      </c>
      <c r="S2165" s="1">
        <v>5</v>
      </c>
      <c r="T2165" s="1" t="b">
        <v>0</v>
      </c>
      <c r="U2165" s="1" t="s">
        <v>1411</v>
      </c>
      <c r="V2165" s="3">
        <v>4</v>
      </c>
    </row>
    <row r="2166" spans="1:22" x14ac:dyDescent="0.3">
      <c r="A2166" s="2" t="s">
        <v>4821</v>
      </c>
      <c r="B2166" s="10">
        <v>43932</v>
      </c>
      <c r="C2166" s="22">
        <v>43932</v>
      </c>
      <c r="D2166" s="1" t="s">
        <v>4822</v>
      </c>
      <c r="E2166" s="1" t="s">
        <v>831</v>
      </c>
      <c r="F2166" s="1">
        <v>29</v>
      </c>
      <c r="G2166" s="1" t="s">
        <v>68</v>
      </c>
      <c r="H2166" s="1" t="s">
        <v>82</v>
      </c>
      <c r="I2166" s="1" t="s">
        <v>293</v>
      </c>
      <c r="J2166" s="1" t="s">
        <v>62</v>
      </c>
      <c r="K2166" s="1" t="s">
        <v>63</v>
      </c>
      <c r="L2166" s="1">
        <v>3</v>
      </c>
      <c r="M2166" s="13">
        <v>859.03</v>
      </c>
      <c r="N2166" s="15">
        <v>7.0000000000000007E-2</v>
      </c>
      <c r="O2166" s="13">
        <v>3048.93</v>
      </c>
      <c r="P2166" s="13">
        <v>1479.26</v>
      </c>
      <c r="Q2166" s="13">
        <v>81.27</v>
      </c>
      <c r="R2166" s="1" t="s">
        <v>78</v>
      </c>
      <c r="S2166" s="1">
        <v>4</v>
      </c>
      <c r="T2166" s="1" t="b">
        <v>0</v>
      </c>
      <c r="U2166" s="1" t="s">
        <v>39</v>
      </c>
      <c r="V2166" s="3">
        <v>7</v>
      </c>
    </row>
    <row r="2167" spans="1:22" x14ac:dyDescent="0.3">
      <c r="A2167" s="2" t="s">
        <v>4823</v>
      </c>
      <c r="B2167" s="10">
        <v>45392</v>
      </c>
      <c r="C2167" s="22">
        <v>45392</v>
      </c>
      <c r="D2167" s="1" t="s">
        <v>4824</v>
      </c>
      <c r="E2167" s="1" t="s">
        <v>100</v>
      </c>
      <c r="F2167" s="1">
        <v>48</v>
      </c>
      <c r="G2167" s="1" t="s">
        <v>24</v>
      </c>
      <c r="H2167" s="1" t="s">
        <v>74</v>
      </c>
      <c r="I2167" s="1" t="s">
        <v>101</v>
      </c>
      <c r="J2167" s="1" t="s">
        <v>27</v>
      </c>
      <c r="K2167" s="1" t="s">
        <v>56</v>
      </c>
      <c r="L2167" s="1">
        <v>4</v>
      </c>
      <c r="M2167" s="13">
        <v>266.5</v>
      </c>
      <c r="N2167" s="15">
        <v>0.2</v>
      </c>
      <c r="O2167" s="13">
        <v>1241.25</v>
      </c>
      <c r="P2167" s="13">
        <v>67.67</v>
      </c>
      <c r="Q2167" s="13">
        <v>73.91</v>
      </c>
      <c r="R2167" s="1" t="s">
        <v>57</v>
      </c>
      <c r="S2167" s="1">
        <v>4</v>
      </c>
      <c r="T2167" s="1" t="b">
        <v>1</v>
      </c>
      <c r="U2167" s="1" t="s">
        <v>30</v>
      </c>
      <c r="V2167" s="3">
        <v>8</v>
      </c>
    </row>
    <row r="2168" spans="1:22" x14ac:dyDescent="0.3">
      <c r="A2168" s="2" t="s">
        <v>4825</v>
      </c>
      <c r="B2168" s="10">
        <v>44265</v>
      </c>
      <c r="C2168" s="22">
        <v>44265</v>
      </c>
      <c r="D2168" s="1" t="s">
        <v>4826</v>
      </c>
      <c r="E2168" s="1" t="s">
        <v>991</v>
      </c>
      <c r="F2168" s="1">
        <v>21</v>
      </c>
      <c r="G2168" s="1" t="s">
        <v>34</v>
      </c>
      <c r="H2168" s="1" t="s">
        <v>111</v>
      </c>
      <c r="I2168" s="1" t="s">
        <v>141</v>
      </c>
      <c r="J2168" s="1" t="s">
        <v>44</v>
      </c>
      <c r="K2168" s="1" t="s">
        <v>117</v>
      </c>
      <c r="L2168" s="1">
        <v>5</v>
      </c>
      <c r="M2168" s="13">
        <v>10002.31</v>
      </c>
      <c r="N2168" s="15">
        <v>0.4</v>
      </c>
      <c r="O2168" s="13">
        <v>30147.32</v>
      </c>
      <c r="P2168" s="13">
        <v>7265.89</v>
      </c>
      <c r="Q2168" s="13">
        <v>45.96</v>
      </c>
      <c r="R2168" s="1" t="s">
        <v>64</v>
      </c>
      <c r="S2168" s="1">
        <v>1</v>
      </c>
      <c r="T2168" s="1" t="b">
        <v>0</v>
      </c>
      <c r="U2168" s="1" t="s">
        <v>58</v>
      </c>
      <c r="V2168" s="3">
        <v>6</v>
      </c>
    </row>
    <row r="2169" spans="1:22" x14ac:dyDescent="0.3">
      <c r="A2169" s="2" t="s">
        <v>4827</v>
      </c>
      <c r="B2169" s="10">
        <v>44808</v>
      </c>
      <c r="C2169" s="22">
        <v>44808</v>
      </c>
      <c r="D2169" s="1" t="s">
        <v>4828</v>
      </c>
      <c r="E2169" s="1" t="s">
        <v>1803</v>
      </c>
      <c r="F2169" s="1">
        <v>20</v>
      </c>
      <c r="G2169" s="1" t="s">
        <v>68</v>
      </c>
      <c r="H2169" s="1" t="s">
        <v>74</v>
      </c>
      <c r="I2169" s="1" t="s">
        <v>136</v>
      </c>
      <c r="J2169" s="1" t="s">
        <v>44</v>
      </c>
      <c r="K2169" s="1" t="s">
        <v>45</v>
      </c>
      <c r="L2169" s="1">
        <v>3</v>
      </c>
      <c r="M2169" s="13">
        <v>18846.39</v>
      </c>
      <c r="N2169" s="15">
        <v>0.36</v>
      </c>
      <c r="O2169" s="13">
        <v>38600</v>
      </c>
      <c r="P2169" s="13">
        <v>11313.95</v>
      </c>
      <c r="Q2169" s="13">
        <v>56.75</v>
      </c>
      <c r="R2169" s="1" t="s">
        <v>64</v>
      </c>
      <c r="S2169" s="1">
        <v>5</v>
      </c>
      <c r="T2169" s="1" t="b">
        <v>0</v>
      </c>
      <c r="U2169" s="1" t="s">
        <v>39</v>
      </c>
      <c r="V2169" s="3">
        <v>4</v>
      </c>
    </row>
    <row r="2170" spans="1:22" x14ac:dyDescent="0.3">
      <c r="A2170" s="2" t="s">
        <v>4829</v>
      </c>
      <c r="B2170" s="10">
        <v>45514</v>
      </c>
      <c r="C2170" s="22">
        <v>45514</v>
      </c>
      <c r="D2170" s="1" t="s">
        <v>4830</v>
      </c>
      <c r="E2170" s="1" t="s">
        <v>1319</v>
      </c>
      <c r="F2170" s="1">
        <v>25</v>
      </c>
      <c r="G2170" s="1" t="s">
        <v>34</v>
      </c>
      <c r="H2170" s="1" t="s">
        <v>35</v>
      </c>
      <c r="I2170" s="1" t="s">
        <v>106</v>
      </c>
      <c r="J2170" s="1" t="s">
        <v>76</v>
      </c>
      <c r="K2170" s="1" t="s">
        <v>89</v>
      </c>
      <c r="L2170" s="1">
        <v>3</v>
      </c>
      <c r="M2170" s="13">
        <v>2244.17</v>
      </c>
      <c r="N2170" s="15">
        <v>0.28000000000000003</v>
      </c>
      <c r="O2170" s="13">
        <v>8279.0400000000009</v>
      </c>
      <c r="P2170" s="13">
        <v>2388.36</v>
      </c>
      <c r="Q2170" s="13">
        <v>62.4</v>
      </c>
      <c r="R2170" s="1" t="s">
        <v>70</v>
      </c>
      <c r="S2170" s="1">
        <v>2</v>
      </c>
      <c r="T2170" s="1" t="b">
        <v>0</v>
      </c>
      <c r="U2170" s="1" t="s">
        <v>39</v>
      </c>
      <c r="V2170" s="3">
        <v>3</v>
      </c>
    </row>
    <row r="2171" spans="1:22" x14ac:dyDescent="0.3">
      <c r="A2171" s="2" t="s">
        <v>4831</v>
      </c>
      <c r="B2171" s="10">
        <v>44522</v>
      </c>
      <c r="C2171" s="22">
        <v>44522</v>
      </c>
      <c r="D2171" s="1" t="s">
        <v>4832</v>
      </c>
      <c r="E2171" s="1" t="s">
        <v>908</v>
      </c>
      <c r="F2171" s="1">
        <v>37</v>
      </c>
      <c r="G2171" s="1" t="s">
        <v>434</v>
      </c>
      <c r="H2171" s="1" t="s">
        <v>25</v>
      </c>
      <c r="I2171" s="1" t="s">
        <v>170</v>
      </c>
      <c r="J2171" s="1" t="s">
        <v>76</v>
      </c>
      <c r="K2171" s="1" t="s">
        <v>113</v>
      </c>
      <c r="L2171" s="1">
        <v>2</v>
      </c>
      <c r="M2171" s="13">
        <v>2623.58</v>
      </c>
      <c r="N2171" s="15">
        <v>0.37</v>
      </c>
      <c r="O2171" s="13">
        <v>2762.31</v>
      </c>
      <c r="P2171" s="13">
        <v>713.47</v>
      </c>
      <c r="Q2171" s="13">
        <v>62.67</v>
      </c>
      <c r="R2171" s="1" t="s">
        <v>70</v>
      </c>
      <c r="S2171" s="1">
        <v>1</v>
      </c>
      <c r="T2171" s="1" t="b">
        <v>1</v>
      </c>
      <c r="U2171" s="1" t="s">
        <v>30</v>
      </c>
      <c r="V2171" s="3">
        <v>3</v>
      </c>
    </row>
    <row r="2172" spans="1:22" x14ac:dyDescent="0.3">
      <c r="A2172" s="2" t="s">
        <v>4833</v>
      </c>
      <c r="B2172" s="10">
        <v>44380</v>
      </c>
      <c r="C2172" s="22">
        <v>44380</v>
      </c>
      <c r="D2172" s="1" t="s">
        <v>4834</v>
      </c>
      <c r="E2172" s="1" t="s">
        <v>1404</v>
      </c>
      <c r="F2172" s="1">
        <v>24</v>
      </c>
      <c r="G2172" s="1" t="s">
        <v>24</v>
      </c>
      <c r="H2172" s="1" t="s">
        <v>74</v>
      </c>
      <c r="I2172" s="1" t="s">
        <v>101</v>
      </c>
      <c r="J2172" s="1" t="s">
        <v>62</v>
      </c>
      <c r="K2172" s="1" t="s">
        <v>283</v>
      </c>
      <c r="L2172" s="1">
        <v>7</v>
      </c>
      <c r="M2172" s="13">
        <v>902.94</v>
      </c>
      <c r="N2172" s="15">
        <v>7.0000000000000007E-2</v>
      </c>
      <c r="O2172" s="13">
        <v>8693.5300000000007</v>
      </c>
      <c r="P2172" s="13">
        <v>4021.37</v>
      </c>
      <c r="Q2172" s="13">
        <v>58.45</v>
      </c>
      <c r="R2172" s="1" t="s">
        <v>29</v>
      </c>
      <c r="S2172" s="1">
        <v>4</v>
      </c>
      <c r="T2172" s="1" t="b">
        <v>0</v>
      </c>
      <c r="U2172" s="1" t="s">
        <v>39</v>
      </c>
      <c r="V2172" s="3">
        <v>4</v>
      </c>
    </row>
    <row r="2173" spans="1:22" x14ac:dyDescent="0.3">
      <c r="A2173" s="2" t="s">
        <v>4835</v>
      </c>
      <c r="B2173" s="10">
        <v>44772</v>
      </c>
      <c r="C2173" s="22">
        <v>44772</v>
      </c>
      <c r="D2173" s="1" t="s">
        <v>4836</v>
      </c>
      <c r="E2173" s="1" t="s">
        <v>684</v>
      </c>
      <c r="F2173" s="1">
        <v>12</v>
      </c>
      <c r="G2173" s="1" t="s">
        <v>34</v>
      </c>
      <c r="H2173" s="1" t="s">
        <v>25</v>
      </c>
      <c r="I2173" s="1" t="s">
        <v>69</v>
      </c>
      <c r="J2173" s="1" t="s">
        <v>127</v>
      </c>
      <c r="K2173" s="1" t="s">
        <v>142</v>
      </c>
      <c r="L2173" s="1">
        <v>10</v>
      </c>
      <c r="M2173" s="13">
        <v>30900.53</v>
      </c>
      <c r="N2173" s="15">
        <v>0.18</v>
      </c>
      <c r="O2173" s="13">
        <v>388463.02</v>
      </c>
      <c r="P2173" s="13">
        <v>37366.199999999997</v>
      </c>
      <c r="Q2173" s="13">
        <v>64.67</v>
      </c>
      <c r="R2173" s="1" t="s">
        <v>51</v>
      </c>
      <c r="S2173" s="1">
        <v>1</v>
      </c>
      <c r="T2173" s="1" t="b">
        <v>1</v>
      </c>
      <c r="U2173" s="1" t="s">
        <v>30</v>
      </c>
      <c r="V2173" s="3">
        <v>6</v>
      </c>
    </row>
    <row r="2174" spans="1:22" x14ac:dyDescent="0.3">
      <c r="A2174" s="2" t="s">
        <v>4837</v>
      </c>
      <c r="B2174" s="10">
        <v>44556</v>
      </c>
      <c r="C2174" s="22">
        <v>44556</v>
      </c>
      <c r="D2174" s="1" t="s">
        <v>4838</v>
      </c>
      <c r="E2174" s="1" t="s">
        <v>786</v>
      </c>
      <c r="F2174" s="1">
        <v>32</v>
      </c>
      <c r="G2174" s="1" t="s">
        <v>68</v>
      </c>
      <c r="H2174" s="1" t="s">
        <v>111</v>
      </c>
      <c r="I2174" s="1" t="s">
        <v>121</v>
      </c>
      <c r="J2174" s="1" t="s">
        <v>62</v>
      </c>
      <c r="K2174" s="1" t="s">
        <v>63</v>
      </c>
      <c r="L2174" s="1">
        <v>8</v>
      </c>
      <c r="M2174" s="13">
        <v>1023.77</v>
      </c>
      <c r="N2174" s="15">
        <v>0.35</v>
      </c>
      <c r="O2174" s="13">
        <v>4221.3599999999997</v>
      </c>
      <c r="P2174" s="13">
        <v>1605.93</v>
      </c>
      <c r="Q2174" s="13">
        <v>33.93</v>
      </c>
      <c r="R2174" s="1" t="s">
        <v>70</v>
      </c>
      <c r="S2174" s="1">
        <v>2</v>
      </c>
      <c r="T2174" s="1" t="b">
        <v>0</v>
      </c>
      <c r="U2174" s="1" t="s">
        <v>84</v>
      </c>
      <c r="V2174" s="3">
        <v>4</v>
      </c>
    </row>
    <row r="2175" spans="1:22" x14ac:dyDescent="0.3">
      <c r="A2175" s="2" t="s">
        <v>4839</v>
      </c>
      <c r="B2175" s="10">
        <v>45650</v>
      </c>
      <c r="C2175" s="22">
        <v>45650</v>
      </c>
      <c r="D2175" s="1" t="s">
        <v>4840</v>
      </c>
      <c r="E2175" s="1" t="s">
        <v>311</v>
      </c>
      <c r="F2175" s="1">
        <v>38</v>
      </c>
      <c r="G2175" s="1" t="s">
        <v>24</v>
      </c>
      <c r="H2175" s="1" t="s">
        <v>74</v>
      </c>
      <c r="I2175" s="1" t="s">
        <v>101</v>
      </c>
      <c r="J2175" s="1" t="s">
        <v>27</v>
      </c>
      <c r="K2175" s="1" t="s">
        <v>450</v>
      </c>
      <c r="L2175" s="1">
        <v>9</v>
      </c>
      <c r="M2175" s="13">
        <v>65.349999999999994</v>
      </c>
      <c r="N2175" s="15">
        <v>0</v>
      </c>
      <c r="O2175" s="13">
        <v>550.66999999999996</v>
      </c>
      <c r="P2175" s="13">
        <v>52.12</v>
      </c>
      <c r="Q2175" s="13">
        <v>35.68</v>
      </c>
      <c r="R2175" s="1" t="s">
        <v>57</v>
      </c>
      <c r="S2175" s="1">
        <v>5</v>
      </c>
      <c r="T2175" s="1" t="b">
        <v>0</v>
      </c>
      <c r="U2175" s="1" t="s">
        <v>39</v>
      </c>
      <c r="V2175" s="3">
        <v>3</v>
      </c>
    </row>
    <row r="2176" spans="1:22" x14ac:dyDescent="0.3">
      <c r="A2176" s="2" t="s">
        <v>4841</v>
      </c>
      <c r="B2176" s="10">
        <v>44022</v>
      </c>
      <c r="C2176" s="22">
        <v>44022</v>
      </c>
      <c r="D2176" s="1" t="s">
        <v>4842</v>
      </c>
      <c r="E2176" s="1" t="s">
        <v>1583</v>
      </c>
      <c r="F2176" s="1">
        <v>4</v>
      </c>
      <c r="G2176" s="1" t="s">
        <v>34</v>
      </c>
      <c r="H2176" s="1" t="s">
        <v>111</v>
      </c>
      <c r="I2176" s="1" t="s">
        <v>330</v>
      </c>
      <c r="J2176" s="1" t="s">
        <v>37</v>
      </c>
      <c r="K2176" s="1" t="s">
        <v>671</v>
      </c>
      <c r="L2176" s="1">
        <v>5</v>
      </c>
      <c r="M2176" s="13">
        <v>1799.48</v>
      </c>
      <c r="N2176" s="15">
        <v>0.27</v>
      </c>
      <c r="O2176" s="13">
        <v>7877.59</v>
      </c>
      <c r="P2176" s="13">
        <v>3429.6</v>
      </c>
      <c r="Q2176" s="13">
        <v>68.34</v>
      </c>
      <c r="R2176" s="1" t="s">
        <v>78</v>
      </c>
      <c r="S2176" s="1">
        <v>3</v>
      </c>
      <c r="T2176" s="1" t="b">
        <v>0</v>
      </c>
      <c r="U2176" s="1" t="s">
        <v>39</v>
      </c>
      <c r="V2176" s="3">
        <v>2</v>
      </c>
    </row>
    <row r="2177" spans="1:22" x14ac:dyDescent="0.3">
      <c r="A2177" s="2" t="s">
        <v>4843</v>
      </c>
      <c r="B2177" s="10">
        <v>44546</v>
      </c>
      <c r="C2177" s="22">
        <v>44546</v>
      </c>
      <c r="D2177" s="1" t="s">
        <v>4844</v>
      </c>
      <c r="E2177" s="1" t="s">
        <v>814</v>
      </c>
      <c r="F2177" s="1">
        <v>33</v>
      </c>
      <c r="G2177" s="1" t="s">
        <v>24</v>
      </c>
      <c r="H2177" s="1" t="s">
        <v>111</v>
      </c>
      <c r="I2177" s="1" t="s">
        <v>112</v>
      </c>
      <c r="J2177" s="1" t="s">
        <v>76</v>
      </c>
      <c r="K2177" s="1" t="s">
        <v>132</v>
      </c>
      <c r="L2177" s="1">
        <v>6</v>
      </c>
      <c r="M2177" s="13">
        <v>2208.63</v>
      </c>
      <c r="N2177" s="15">
        <v>0.22</v>
      </c>
      <c r="O2177" s="13">
        <v>8220.7099999999991</v>
      </c>
      <c r="P2177" s="13">
        <v>2656.63</v>
      </c>
      <c r="Q2177" s="13">
        <v>50.49</v>
      </c>
      <c r="R2177" s="1" t="s">
        <v>70</v>
      </c>
      <c r="S2177" s="1">
        <v>3</v>
      </c>
      <c r="T2177" s="1" t="b">
        <v>0</v>
      </c>
      <c r="U2177" s="1" t="s">
        <v>39</v>
      </c>
      <c r="V2177" s="3">
        <v>1</v>
      </c>
    </row>
    <row r="2178" spans="1:22" x14ac:dyDescent="0.3">
      <c r="A2178" s="2" t="s">
        <v>4845</v>
      </c>
      <c r="B2178" s="10">
        <v>44207</v>
      </c>
      <c r="C2178" s="22">
        <v>44207</v>
      </c>
      <c r="D2178" s="1" t="s">
        <v>4846</v>
      </c>
      <c r="E2178" s="1" t="s">
        <v>292</v>
      </c>
      <c r="F2178" s="1">
        <v>34</v>
      </c>
      <c r="G2178" s="1" t="s">
        <v>24</v>
      </c>
      <c r="H2178" s="1" t="s">
        <v>74</v>
      </c>
      <c r="I2178" s="1" t="s">
        <v>192</v>
      </c>
      <c r="J2178" s="1" t="s">
        <v>27</v>
      </c>
      <c r="K2178" s="1" t="s">
        <v>450</v>
      </c>
      <c r="L2178" s="1">
        <v>4</v>
      </c>
      <c r="M2178" s="13">
        <v>249.86</v>
      </c>
      <c r="N2178" s="15">
        <v>0.17</v>
      </c>
      <c r="O2178" s="13">
        <v>572.04</v>
      </c>
      <c r="P2178" s="13">
        <v>50.92</v>
      </c>
      <c r="Q2178" s="13">
        <v>67.97</v>
      </c>
      <c r="R2178" s="1" t="s">
        <v>70</v>
      </c>
      <c r="S2178" s="1">
        <v>5</v>
      </c>
      <c r="T2178" s="1" t="b">
        <v>0</v>
      </c>
      <c r="U2178" s="1" t="s">
        <v>39</v>
      </c>
      <c r="V2178" s="3">
        <v>3</v>
      </c>
    </row>
    <row r="2179" spans="1:22" x14ac:dyDescent="0.3">
      <c r="A2179" s="2" t="s">
        <v>4847</v>
      </c>
      <c r="B2179" s="10">
        <v>45480</v>
      </c>
      <c r="C2179" s="22">
        <v>45480</v>
      </c>
      <c r="D2179" s="1" t="s">
        <v>4848</v>
      </c>
      <c r="E2179" s="1" t="s">
        <v>481</v>
      </c>
      <c r="F2179" s="1">
        <v>45</v>
      </c>
      <c r="G2179" s="1" t="s">
        <v>24</v>
      </c>
      <c r="H2179" s="1" t="s">
        <v>82</v>
      </c>
      <c r="I2179" s="1" t="s">
        <v>83</v>
      </c>
      <c r="J2179" s="1" t="s">
        <v>37</v>
      </c>
      <c r="K2179" s="1" t="s">
        <v>38</v>
      </c>
      <c r="L2179" s="1">
        <v>5</v>
      </c>
      <c r="M2179" s="13">
        <v>1542.35</v>
      </c>
      <c r="N2179" s="15">
        <v>0.39</v>
      </c>
      <c r="O2179" s="13">
        <v>8050.97</v>
      </c>
      <c r="P2179" s="13">
        <v>2791.48</v>
      </c>
      <c r="Q2179" s="13">
        <v>68</v>
      </c>
      <c r="R2179" s="1" t="s">
        <v>78</v>
      </c>
      <c r="S2179" s="1">
        <v>3</v>
      </c>
      <c r="T2179" s="1" t="b">
        <v>0</v>
      </c>
      <c r="U2179" s="1" t="s">
        <v>39</v>
      </c>
      <c r="V2179" s="3">
        <v>3</v>
      </c>
    </row>
    <row r="2180" spans="1:22" x14ac:dyDescent="0.3">
      <c r="A2180" s="2" t="s">
        <v>4849</v>
      </c>
      <c r="B2180" s="10">
        <v>43956</v>
      </c>
      <c r="C2180" s="22">
        <v>43956</v>
      </c>
      <c r="D2180" s="1" t="s">
        <v>4850</v>
      </c>
      <c r="E2180" s="1" t="s">
        <v>333</v>
      </c>
      <c r="F2180" s="1">
        <v>53</v>
      </c>
      <c r="G2180" s="1" t="s">
        <v>24</v>
      </c>
      <c r="H2180" s="1" t="s">
        <v>82</v>
      </c>
      <c r="I2180" s="1" t="s">
        <v>244</v>
      </c>
      <c r="J2180" s="1" t="s">
        <v>37</v>
      </c>
      <c r="K2180" s="1" t="s">
        <v>182</v>
      </c>
      <c r="L2180" s="1">
        <v>3</v>
      </c>
      <c r="M2180" s="13">
        <v>842.68</v>
      </c>
      <c r="N2180" s="15">
        <v>0.35</v>
      </c>
      <c r="O2180" s="13">
        <v>2239.4899999999998</v>
      </c>
      <c r="P2180" s="13">
        <v>716.54</v>
      </c>
      <c r="Q2180" s="13">
        <v>89.81</v>
      </c>
      <c r="R2180" s="1" t="s">
        <v>78</v>
      </c>
      <c r="S2180" s="1">
        <v>4</v>
      </c>
      <c r="T2180" s="1" t="b">
        <v>0</v>
      </c>
      <c r="U2180" s="1" t="s">
        <v>39</v>
      </c>
      <c r="V2180" s="3">
        <v>10</v>
      </c>
    </row>
    <row r="2181" spans="1:22" x14ac:dyDescent="0.3">
      <c r="A2181" s="2" t="s">
        <v>4851</v>
      </c>
      <c r="B2181" s="10">
        <v>44707</v>
      </c>
      <c r="C2181" s="22">
        <v>44707</v>
      </c>
      <c r="D2181" s="1" t="s">
        <v>4852</v>
      </c>
      <c r="E2181" s="1" t="s">
        <v>125</v>
      </c>
      <c r="F2181" s="1">
        <v>45</v>
      </c>
      <c r="G2181" s="1" t="s">
        <v>24</v>
      </c>
      <c r="H2181" s="1" t="s">
        <v>111</v>
      </c>
      <c r="I2181" s="1" t="s">
        <v>141</v>
      </c>
      <c r="J2181" s="1" t="s">
        <v>62</v>
      </c>
      <c r="K2181" s="1" t="s">
        <v>107</v>
      </c>
      <c r="L2181" s="1">
        <v>2</v>
      </c>
      <c r="M2181" s="13">
        <v>567.24</v>
      </c>
      <c r="N2181" s="15">
        <v>0.14000000000000001</v>
      </c>
      <c r="O2181" s="13">
        <v>1366.97</v>
      </c>
      <c r="P2181" s="13">
        <v>547.22</v>
      </c>
      <c r="Q2181" s="13">
        <v>86.26</v>
      </c>
      <c r="R2181" s="1" t="s">
        <v>57</v>
      </c>
      <c r="S2181" s="1">
        <v>4</v>
      </c>
      <c r="T2181" s="1" t="b">
        <v>0</v>
      </c>
      <c r="U2181" s="1" t="s">
        <v>39</v>
      </c>
      <c r="V2181" s="3">
        <v>3</v>
      </c>
    </row>
    <row r="2182" spans="1:22" x14ac:dyDescent="0.3">
      <c r="A2182" s="2" t="s">
        <v>4853</v>
      </c>
      <c r="B2182" s="10">
        <v>44394</v>
      </c>
      <c r="C2182" s="22">
        <v>44394</v>
      </c>
      <c r="D2182" s="1" t="s">
        <v>4854</v>
      </c>
      <c r="E2182" s="1" t="s">
        <v>591</v>
      </c>
      <c r="F2182" s="1">
        <v>58</v>
      </c>
      <c r="G2182" s="1" t="s">
        <v>68</v>
      </c>
      <c r="H2182" s="1" t="s">
        <v>74</v>
      </c>
      <c r="I2182" s="1" t="s">
        <v>101</v>
      </c>
      <c r="J2182" s="1" t="s">
        <v>146</v>
      </c>
      <c r="K2182" s="1" t="s">
        <v>147</v>
      </c>
      <c r="L2182" s="1">
        <v>10</v>
      </c>
      <c r="M2182" s="13">
        <v>4548.04</v>
      </c>
      <c r="N2182" s="15">
        <v>0.13</v>
      </c>
      <c r="O2182" s="13">
        <v>54271.82</v>
      </c>
      <c r="P2182" s="13">
        <v>14354.18</v>
      </c>
      <c r="Q2182" s="13">
        <v>56.47</v>
      </c>
      <c r="R2182" s="1" t="s">
        <v>78</v>
      </c>
      <c r="S2182" s="1">
        <v>2</v>
      </c>
      <c r="T2182" s="1" t="b">
        <v>0</v>
      </c>
      <c r="U2182" s="1" t="s">
        <v>39</v>
      </c>
      <c r="V2182" s="3">
        <v>10</v>
      </c>
    </row>
    <row r="2183" spans="1:22" x14ac:dyDescent="0.3">
      <c r="A2183" s="2" t="s">
        <v>4855</v>
      </c>
      <c r="B2183" s="10">
        <v>44502</v>
      </c>
      <c r="C2183" s="22">
        <v>44502</v>
      </c>
      <c r="D2183" s="1" t="s">
        <v>4856</v>
      </c>
      <c r="E2183" s="1" t="s">
        <v>789</v>
      </c>
      <c r="F2183" s="1">
        <v>34</v>
      </c>
      <c r="G2183" s="1" t="s">
        <v>24</v>
      </c>
      <c r="H2183" s="1" t="s">
        <v>74</v>
      </c>
      <c r="I2183" s="1" t="s">
        <v>75</v>
      </c>
      <c r="J2183" s="1" t="s">
        <v>146</v>
      </c>
      <c r="K2183" s="1" t="s">
        <v>276</v>
      </c>
      <c r="L2183" s="1">
        <v>6</v>
      </c>
      <c r="M2183" s="13">
        <v>4549.08</v>
      </c>
      <c r="N2183" s="15">
        <v>0.16</v>
      </c>
      <c r="O2183" s="13">
        <v>21213.25</v>
      </c>
      <c r="P2183" s="13">
        <v>2811.21</v>
      </c>
      <c r="Q2183" s="13">
        <v>61.26</v>
      </c>
      <c r="R2183" s="1" t="s">
        <v>64</v>
      </c>
      <c r="S2183" s="1">
        <v>2</v>
      </c>
      <c r="T2183" s="1" t="b">
        <v>0</v>
      </c>
      <c r="U2183" s="1" t="s">
        <v>137</v>
      </c>
      <c r="V2183" s="3">
        <v>9</v>
      </c>
    </row>
    <row r="2184" spans="1:22" x14ac:dyDescent="0.3">
      <c r="A2184" s="2" t="s">
        <v>4857</v>
      </c>
      <c r="B2184" s="10">
        <v>45236</v>
      </c>
      <c r="C2184" s="22">
        <v>45236</v>
      </c>
      <c r="D2184" s="1" t="s">
        <v>4858</v>
      </c>
      <c r="E2184" s="1" t="s">
        <v>1955</v>
      </c>
      <c r="F2184" s="1">
        <v>38</v>
      </c>
      <c r="G2184" s="1" t="s">
        <v>24</v>
      </c>
      <c r="H2184" s="1" t="s">
        <v>74</v>
      </c>
      <c r="I2184" s="1" t="s">
        <v>75</v>
      </c>
      <c r="J2184" s="1" t="s">
        <v>127</v>
      </c>
      <c r="K2184" s="1" t="s">
        <v>517</v>
      </c>
      <c r="L2184" s="1">
        <v>7</v>
      </c>
      <c r="M2184" s="13">
        <v>45852.67</v>
      </c>
      <c r="N2184" s="15">
        <v>0.17</v>
      </c>
      <c r="O2184" s="13">
        <v>273026.12</v>
      </c>
      <c r="P2184" s="13">
        <v>30112.39</v>
      </c>
      <c r="Q2184" s="13">
        <v>26.23</v>
      </c>
      <c r="R2184" s="1" t="s">
        <v>51</v>
      </c>
      <c r="S2184" s="1">
        <v>3</v>
      </c>
      <c r="T2184" s="1" t="b">
        <v>0</v>
      </c>
      <c r="U2184" s="1" t="s">
        <v>39</v>
      </c>
      <c r="V2184" s="3">
        <v>6</v>
      </c>
    </row>
    <row r="2185" spans="1:22" x14ac:dyDescent="0.3">
      <c r="A2185" s="2" t="s">
        <v>4859</v>
      </c>
      <c r="B2185" s="10">
        <v>45249</v>
      </c>
      <c r="C2185" s="22">
        <v>45249</v>
      </c>
      <c r="D2185" s="1" t="s">
        <v>4860</v>
      </c>
      <c r="E2185" s="1" t="s">
        <v>1159</v>
      </c>
      <c r="F2185" s="1">
        <v>5</v>
      </c>
      <c r="G2185" s="1" t="s">
        <v>34</v>
      </c>
      <c r="H2185" s="1" t="s">
        <v>74</v>
      </c>
      <c r="I2185" s="1" t="s">
        <v>75</v>
      </c>
      <c r="J2185" s="1" t="s">
        <v>27</v>
      </c>
      <c r="K2185" s="1" t="s">
        <v>97</v>
      </c>
      <c r="L2185" s="1">
        <v>1</v>
      </c>
      <c r="M2185" s="13">
        <v>430.64</v>
      </c>
      <c r="N2185" s="15">
        <v>0.35</v>
      </c>
      <c r="O2185" s="13">
        <v>270.60000000000002</v>
      </c>
      <c r="P2185" s="13">
        <v>25.24</v>
      </c>
      <c r="Q2185" s="13">
        <v>54.23</v>
      </c>
      <c r="R2185" s="1" t="s">
        <v>70</v>
      </c>
      <c r="S2185" s="1">
        <v>2</v>
      </c>
      <c r="T2185" s="1" t="b">
        <v>0</v>
      </c>
      <c r="U2185" s="1" t="s">
        <v>39</v>
      </c>
      <c r="V2185" s="3">
        <v>4</v>
      </c>
    </row>
    <row r="2186" spans="1:22" x14ac:dyDescent="0.3">
      <c r="A2186" s="2" t="s">
        <v>4861</v>
      </c>
      <c r="B2186" s="10">
        <v>44296</v>
      </c>
      <c r="C2186" s="22">
        <v>44296</v>
      </c>
      <c r="D2186" s="1" t="s">
        <v>4862</v>
      </c>
      <c r="E2186" s="1" t="s">
        <v>2286</v>
      </c>
      <c r="F2186" s="1">
        <v>39</v>
      </c>
      <c r="G2186" s="1" t="s">
        <v>34</v>
      </c>
      <c r="H2186" s="1" t="s">
        <v>111</v>
      </c>
      <c r="I2186" s="1" t="s">
        <v>330</v>
      </c>
      <c r="J2186" s="1" t="s">
        <v>62</v>
      </c>
      <c r="K2186" s="1" t="s">
        <v>266</v>
      </c>
      <c r="L2186" s="1">
        <v>7</v>
      </c>
      <c r="M2186" s="13">
        <v>790.89</v>
      </c>
      <c r="N2186" s="15">
        <v>0.23</v>
      </c>
      <c r="O2186" s="13">
        <v>5121.1000000000004</v>
      </c>
      <c r="P2186" s="13">
        <v>2369.15</v>
      </c>
      <c r="Q2186" s="13">
        <v>74.08</v>
      </c>
      <c r="R2186" s="1" t="s">
        <v>29</v>
      </c>
      <c r="S2186" s="1">
        <v>3</v>
      </c>
      <c r="T2186" s="1" t="b">
        <v>0</v>
      </c>
      <c r="U2186" s="1" t="s">
        <v>84</v>
      </c>
      <c r="V2186" s="3">
        <v>2</v>
      </c>
    </row>
    <row r="2187" spans="1:22" x14ac:dyDescent="0.3">
      <c r="A2187" s="2" t="s">
        <v>4863</v>
      </c>
      <c r="B2187" s="10">
        <v>44856</v>
      </c>
      <c r="C2187" s="22">
        <v>44856</v>
      </c>
      <c r="D2187" s="1" t="s">
        <v>4864</v>
      </c>
      <c r="E2187" s="1" t="s">
        <v>764</v>
      </c>
      <c r="F2187" s="1">
        <v>34</v>
      </c>
      <c r="G2187" s="1" t="s">
        <v>68</v>
      </c>
      <c r="H2187" s="1" t="s">
        <v>25</v>
      </c>
      <c r="I2187" s="1" t="s">
        <v>69</v>
      </c>
      <c r="J2187" s="1" t="s">
        <v>146</v>
      </c>
      <c r="K2187" s="1" t="s">
        <v>484</v>
      </c>
      <c r="L2187" s="1">
        <v>6</v>
      </c>
      <c r="M2187" s="13">
        <v>9589.48</v>
      </c>
      <c r="N2187" s="15">
        <v>0.15</v>
      </c>
      <c r="O2187" s="13">
        <v>48651.38</v>
      </c>
      <c r="P2187" s="13">
        <v>11292.58</v>
      </c>
      <c r="Q2187" s="13">
        <v>25.65</v>
      </c>
      <c r="R2187" s="1" t="s">
        <v>51</v>
      </c>
      <c r="S2187" s="1">
        <v>3</v>
      </c>
      <c r="T2187" s="1" t="b">
        <v>1</v>
      </c>
      <c r="U2187" s="1" t="s">
        <v>30</v>
      </c>
      <c r="V2187" s="3">
        <v>2</v>
      </c>
    </row>
    <row r="2188" spans="1:22" x14ac:dyDescent="0.3">
      <c r="A2188" s="2" t="s">
        <v>4865</v>
      </c>
      <c r="B2188" s="10">
        <v>44377</v>
      </c>
      <c r="C2188" s="22">
        <v>44377</v>
      </c>
      <c r="D2188" s="1" t="s">
        <v>4866</v>
      </c>
      <c r="E2188" s="1" t="s">
        <v>2281</v>
      </c>
      <c r="F2188" s="1">
        <v>35</v>
      </c>
      <c r="G2188" s="1" t="s">
        <v>88</v>
      </c>
      <c r="H2188" s="1" t="s">
        <v>25</v>
      </c>
      <c r="I2188" s="1" t="s">
        <v>26</v>
      </c>
      <c r="J2188" s="1" t="s">
        <v>44</v>
      </c>
      <c r="K2188" s="1" t="s">
        <v>93</v>
      </c>
      <c r="L2188" s="1">
        <v>3</v>
      </c>
      <c r="M2188" s="13">
        <v>21424.67</v>
      </c>
      <c r="N2188" s="15">
        <v>0.06</v>
      </c>
      <c r="O2188" s="13">
        <v>89031.360000000001</v>
      </c>
      <c r="P2188" s="13">
        <v>26411.55</v>
      </c>
      <c r="Q2188" s="13">
        <v>50.15</v>
      </c>
      <c r="R2188" s="1" t="s">
        <v>29</v>
      </c>
      <c r="S2188" s="1">
        <v>4</v>
      </c>
      <c r="T2188" s="1" t="b">
        <v>0</v>
      </c>
      <c r="U2188" s="1" t="s">
        <v>39</v>
      </c>
      <c r="V2188" s="3">
        <v>100</v>
      </c>
    </row>
    <row r="2189" spans="1:22" x14ac:dyDescent="0.3">
      <c r="A2189" s="2" t="s">
        <v>4867</v>
      </c>
      <c r="B2189" s="10">
        <v>45538</v>
      </c>
      <c r="C2189" s="22">
        <v>45538</v>
      </c>
      <c r="D2189" s="1" t="s">
        <v>4868</v>
      </c>
      <c r="E2189" s="1" t="s">
        <v>2328</v>
      </c>
      <c r="F2189" s="1">
        <v>36</v>
      </c>
      <c r="G2189" s="1" t="s">
        <v>68</v>
      </c>
      <c r="H2189" s="1" t="s">
        <v>35</v>
      </c>
      <c r="I2189" s="1" t="s">
        <v>49</v>
      </c>
      <c r="J2189" s="1" t="s">
        <v>44</v>
      </c>
      <c r="K2189" s="1" t="s">
        <v>45</v>
      </c>
      <c r="L2189" s="1">
        <v>10</v>
      </c>
      <c r="M2189" s="13">
        <v>3353.32</v>
      </c>
      <c r="N2189" s="15">
        <v>0.24</v>
      </c>
      <c r="O2189" s="13">
        <v>34535.760000000002</v>
      </c>
      <c r="P2189" s="13">
        <v>8625.6200000000008</v>
      </c>
      <c r="Q2189" s="13">
        <v>64.38</v>
      </c>
      <c r="R2189" s="1" t="s">
        <v>70</v>
      </c>
      <c r="S2189" s="1">
        <v>4</v>
      </c>
      <c r="T2189" s="1" t="b">
        <v>0</v>
      </c>
      <c r="U2189" s="1" t="s">
        <v>39</v>
      </c>
      <c r="V2189" s="3">
        <v>1</v>
      </c>
    </row>
    <row r="2190" spans="1:22" x14ac:dyDescent="0.3">
      <c r="A2190" s="2" t="s">
        <v>4869</v>
      </c>
      <c r="B2190" s="10">
        <v>44343</v>
      </c>
      <c r="C2190" s="22">
        <v>44343</v>
      </c>
      <c r="D2190" s="1" t="s">
        <v>4870</v>
      </c>
      <c r="E2190" s="1" t="s">
        <v>732</v>
      </c>
      <c r="F2190" s="1">
        <v>29</v>
      </c>
      <c r="G2190" s="1" t="s">
        <v>68</v>
      </c>
      <c r="H2190" s="1" t="s">
        <v>35</v>
      </c>
      <c r="I2190" s="1" t="s">
        <v>36</v>
      </c>
      <c r="J2190" s="1" t="s">
        <v>37</v>
      </c>
      <c r="K2190" s="1" t="s">
        <v>38</v>
      </c>
      <c r="L2190" s="1">
        <v>4</v>
      </c>
      <c r="M2190" s="13">
        <v>801.79</v>
      </c>
      <c r="N2190" s="15">
        <v>0.15</v>
      </c>
      <c r="O2190" s="13">
        <v>3581.26</v>
      </c>
      <c r="P2190" s="13">
        <v>1505.99</v>
      </c>
      <c r="Q2190" s="13">
        <v>60.89</v>
      </c>
      <c r="R2190" s="1" t="s">
        <v>29</v>
      </c>
      <c r="S2190" s="1">
        <v>5</v>
      </c>
      <c r="T2190" s="1" t="b">
        <v>0</v>
      </c>
      <c r="U2190" s="1" t="s">
        <v>39</v>
      </c>
      <c r="V2190" s="3">
        <v>5</v>
      </c>
    </row>
    <row r="2191" spans="1:22" x14ac:dyDescent="0.3">
      <c r="A2191" s="2" t="s">
        <v>4871</v>
      </c>
      <c r="B2191" s="10">
        <v>45359</v>
      </c>
      <c r="C2191" s="22">
        <v>45359</v>
      </c>
      <c r="D2191" s="1" t="s">
        <v>4872</v>
      </c>
      <c r="E2191" s="1" t="s">
        <v>842</v>
      </c>
      <c r="F2191" s="1">
        <v>38</v>
      </c>
      <c r="G2191" s="1" t="s">
        <v>68</v>
      </c>
      <c r="H2191" s="1" t="s">
        <v>25</v>
      </c>
      <c r="I2191" s="1" t="s">
        <v>55</v>
      </c>
      <c r="J2191" s="1" t="s">
        <v>37</v>
      </c>
      <c r="K2191" s="1" t="s">
        <v>102</v>
      </c>
      <c r="L2191" s="1">
        <v>9</v>
      </c>
      <c r="M2191" s="13">
        <v>1996.05</v>
      </c>
      <c r="N2191" s="15">
        <v>0.21</v>
      </c>
      <c r="O2191" s="13">
        <v>24431.83</v>
      </c>
      <c r="P2191" s="13">
        <v>12158.15</v>
      </c>
      <c r="Q2191" s="13">
        <v>78.33</v>
      </c>
      <c r="R2191" s="1" t="s">
        <v>29</v>
      </c>
      <c r="S2191" s="1">
        <v>4</v>
      </c>
      <c r="T2191" s="1" t="b">
        <v>0</v>
      </c>
      <c r="U2191" s="1" t="s">
        <v>39</v>
      </c>
      <c r="V2191" s="3">
        <v>9</v>
      </c>
    </row>
    <row r="2192" spans="1:22" x14ac:dyDescent="0.3">
      <c r="A2192" s="2" t="s">
        <v>4873</v>
      </c>
      <c r="B2192" s="10">
        <v>43962</v>
      </c>
      <c r="C2192" s="22">
        <v>43962</v>
      </c>
      <c r="D2192" s="1" t="s">
        <v>4874</v>
      </c>
      <c r="E2192" s="1" t="s">
        <v>2328</v>
      </c>
      <c r="F2192" s="1">
        <v>34</v>
      </c>
      <c r="G2192" s="1" t="s">
        <v>68</v>
      </c>
      <c r="H2192" s="1" t="s">
        <v>25</v>
      </c>
      <c r="I2192" s="1" t="s">
        <v>55</v>
      </c>
      <c r="J2192" s="1" t="s">
        <v>127</v>
      </c>
      <c r="K2192" s="1" t="s">
        <v>517</v>
      </c>
      <c r="L2192" s="1">
        <v>3</v>
      </c>
      <c r="M2192" s="13">
        <v>7852.34</v>
      </c>
      <c r="N2192" s="15">
        <v>0.26</v>
      </c>
      <c r="O2192" s="13">
        <v>16893.75</v>
      </c>
      <c r="P2192" s="13">
        <v>1987.72</v>
      </c>
      <c r="Q2192" s="13">
        <v>55.88</v>
      </c>
      <c r="R2192" s="1" t="s">
        <v>51</v>
      </c>
      <c r="S2192" s="1">
        <v>3</v>
      </c>
      <c r="T2192" s="1" t="b">
        <v>0</v>
      </c>
      <c r="U2192" s="1" t="s">
        <v>39</v>
      </c>
      <c r="V2192" s="3">
        <v>3</v>
      </c>
    </row>
    <row r="2193" spans="1:22" x14ac:dyDescent="0.3">
      <c r="A2193" s="2" t="s">
        <v>4875</v>
      </c>
      <c r="B2193" s="10">
        <v>45180</v>
      </c>
      <c r="C2193" s="22">
        <v>45180</v>
      </c>
      <c r="D2193" s="1" t="s">
        <v>4876</v>
      </c>
      <c r="E2193" s="1" t="s">
        <v>403</v>
      </c>
      <c r="F2193" s="1">
        <v>37</v>
      </c>
      <c r="G2193" s="1" t="s">
        <v>24</v>
      </c>
      <c r="H2193" s="1" t="s">
        <v>111</v>
      </c>
      <c r="I2193" s="1" t="s">
        <v>330</v>
      </c>
      <c r="J2193" s="1" t="s">
        <v>127</v>
      </c>
      <c r="K2193" s="1" t="s">
        <v>128</v>
      </c>
      <c r="L2193" s="1">
        <v>2</v>
      </c>
      <c r="M2193" s="13">
        <v>73717.77</v>
      </c>
      <c r="N2193" s="15">
        <v>0.14000000000000001</v>
      </c>
      <c r="O2193" s="13">
        <v>145540.46</v>
      </c>
      <c r="P2193" s="13">
        <v>16844.099999999999</v>
      </c>
      <c r="Q2193" s="13">
        <v>84.06</v>
      </c>
      <c r="R2193" s="1" t="s">
        <v>70</v>
      </c>
      <c r="S2193" s="1">
        <v>4</v>
      </c>
      <c r="T2193" s="1" t="b">
        <v>0</v>
      </c>
      <c r="U2193" s="1" t="s">
        <v>39</v>
      </c>
      <c r="V2193" s="3">
        <v>7</v>
      </c>
    </row>
    <row r="2194" spans="1:22" x14ac:dyDescent="0.3">
      <c r="A2194" s="2" t="s">
        <v>4877</v>
      </c>
      <c r="B2194" s="10">
        <v>45232</v>
      </c>
      <c r="C2194" s="22">
        <v>45232</v>
      </c>
      <c r="D2194" s="1" t="s">
        <v>4878</v>
      </c>
      <c r="E2194" s="1" t="s">
        <v>116</v>
      </c>
      <c r="F2194" s="1">
        <v>57</v>
      </c>
      <c r="G2194" s="1" t="s">
        <v>34</v>
      </c>
      <c r="H2194" s="1" t="s">
        <v>35</v>
      </c>
      <c r="I2194" s="1" t="s">
        <v>49</v>
      </c>
      <c r="J2194" s="1" t="s">
        <v>62</v>
      </c>
      <c r="K2194" s="1" t="s">
        <v>283</v>
      </c>
      <c r="L2194" s="1">
        <v>8</v>
      </c>
      <c r="M2194" s="13">
        <v>784.92</v>
      </c>
      <c r="N2194" s="15">
        <v>0.2</v>
      </c>
      <c r="O2194" s="13">
        <v>4517.75</v>
      </c>
      <c r="P2194" s="13">
        <v>1812.28</v>
      </c>
      <c r="Q2194" s="13">
        <v>66.510000000000005</v>
      </c>
      <c r="R2194" s="1" t="s">
        <v>57</v>
      </c>
      <c r="S2194" s="1">
        <v>2</v>
      </c>
      <c r="T2194" s="1" t="b">
        <v>0</v>
      </c>
      <c r="U2194" s="1" t="s">
        <v>137</v>
      </c>
      <c r="V2194" s="3">
        <v>5</v>
      </c>
    </row>
    <row r="2195" spans="1:22" x14ac:dyDescent="0.3">
      <c r="A2195" s="2" t="s">
        <v>4879</v>
      </c>
      <c r="B2195" s="10">
        <v>44815</v>
      </c>
      <c r="C2195" s="22">
        <v>44815</v>
      </c>
      <c r="D2195" s="1" t="s">
        <v>4880</v>
      </c>
      <c r="E2195" s="1" t="s">
        <v>2161</v>
      </c>
      <c r="F2195" s="1">
        <v>37</v>
      </c>
      <c r="G2195" s="1" t="s">
        <v>34</v>
      </c>
      <c r="H2195" s="1" t="s">
        <v>74</v>
      </c>
      <c r="I2195" s="1" t="s">
        <v>75</v>
      </c>
      <c r="J2195" s="1" t="s">
        <v>27</v>
      </c>
      <c r="K2195" s="1" t="s">
        <v>97</v>
      </c>
      <c r="L2195" s="1">
        <v>3</v>
      </c>
      <c r="M2195" s="13">
        <v>466.4</v>
      </c>
      <c r="N2195" s="15">
        <v>0.19</v>
      </c>
      <c r="O2195" s="13">
        <v>1143.9000000000001</v>
      </c>
      <c r="P2195" s="13">
        <v>83.86</v>
      </c>
      <c r="Q2195" s="13">
        <v>52.43</v>
      </c>
      <c r="R2195" s="1" t="s">
        <v>51</v>
      </c>
      <c r="S2195" s="1">
        <v>5</v>
      </c>
      <c r="T2195" s="1" t="b">
        <v>0</v>
      </c>
      <c r="U2195" s="1" t="s">
        <v>39</v>
      </c>
      <c r="V2195" s="3">
        <v>10</v>
      </c>
    </row>
    <row r="2196" spans="1:22" x14ac:dyDescent="0.3">
      <c r="A2196" s="2" t="s">
        <v>4881</v>
      </c>
      <c r="B2196" s="10">
        <v>44219</v>
      </c>
      <c r="C2196" s="22">
        <v>44219</v>
      </c>
      <c r="D2196" s="1" t="s">
        <v>4882</v>
      </c>
      <c r="E2196" s="1" t="s">
        <v>324</v>
      </c>
      <c r="F2196" s="1">
        <v>25</v>
      </c>
      <c r="G2196" s="1" t="s">
        <v>24</v>
      </c>
      <c r="H2196" s="1" t="s">
        <v>35</v>
      </c>
      <c r="I2196" s="1" t="s">
        <v>49</v>
      </c>
      <c r="J2196" s="1" t="s">
        <v>76</v>
      </c>
      <c r="K2196" s="1" t="s">
        <v>122</v>
      </c>
      <c r="L2196" s="1">
        <v>2</v>
      </c>
      <c r="M2196" s="13">
        <v>1329.5</v>
      </c>
      <c r="N2196" s="15">
        <v>0.28000000000000003</v>
      </c>
      <c r="O2196" s="13">
        <v>1346.05</v>
      </c>
      <c r="P2196" s="13">
        <v>364.15</v>
      </c>
      <c r="Q2196" s="13">
        <v>72.34</v>
      </c>
      <c r="R2196" s="1" t="s">
        <v>64</v>
      </c>
      <c r="S2196" s="1">
        <v>4</v>
      </c>
      <c r="T2196" s="1" t="b">
        <v>0</v>
      </c>
      <c r="U2196" s="1" t="s">
        <v>58</v>
      </c>
      <c r="V2196" s="3">
        <v>9</v>
      </c>
    </row>
    <row r="2197" spans="1:22" x14ac:dyDescent="0.3">
      <c r="A2197" s="2" t="s">
        <v>4883</v>
      </c>
      <c r="B2197" s="10">
        <v>45012</v>
      </c>
      <c r="C2197" s="22">
        <v>45012</v>
      </c>
      <c r="D2197" s="1" t="s">
        <v>4884</v>
      </c>
      <c r="E2197" s="1" t="s">
        <v>387</v>
      </c>
      <c r="F2197" s="1">
        <v>37</v>
      </c>
      <c r="G2197" s="1" t="s">
        <v>34</v>
      </c>
      <c r="H2197" s="1" t="s">
        <v>111</v>
      </c>
      <c r="I2197" s="1" t="s">
        <v>112</v>
      </c>
      <c r="J2197" s="1" t="s">
        <v>127</v>
      </c>
      <c r="K2197" s="1" t="s">
        <v>171</v>
      </c>
      <c r="L2197" s="1">
        <v>2</v>
      </c>
      <c r="M2197" s="13">
        <v>35502.949999999997</v>
      </c>
      <c r="N2197" s="15">
        <v>0.33</v>
      </c>
      <c r="O2197" s="13">
        <v>63960.07</v>
      </c>
      <c r="P2197" s="13">
        <v>8566.02</v>
      </c>
      <c r="Q2197" s="13">
        <v>90.85</v>
      </c>
      <c r="R2197" s="1" t="s">
        <v>70</v>
      </c>
      <c r="S2197" s="1">
        <v>3</v>
      </c>
      <c r="T2197" s="1" t="b">
        <v>0</v>
      </c>
      <c r="U2197" s="1" t="s">
        <v>39</v>
      </c>
      <c r="V2197" s="3">
        <v>9</v>
      </c>
    </row>
    <row r="2198" spans="1:22" x14ac:dyDescent="0.3">
      <c r="A2198" s="2" t="s">
        <v>4885</v>
      </c>
      <c r="B2198" s="10">
        <v>45579</v>
      </c>
      <c r="C2198" s="22">
        <v>45579</v>
      </c>
      <c r="D2198" s="1" t="s">
        <v>4886</v>
      </c>
      <c r="E2198" s="1" t="s">
        <v>575</v>
      </c>
      <c r="F2198" s="1">
        <v>41</v>
      </c>
      <c r="G2198" s="1" t="s">
        <v>68</v>
      </c>
      <c r="H2198" s="1" t="s">
        <v>74</v>
      </c>
      <c r="I2198" s="1" t="s">
        <v>192</v>
      </c>
      <c r="J2198" s="1" t="s">
        <v>76</v>
      </c>
      <c r="K2198" s="1" t="s">
        <v>89</v>
      </c>
      <c r="L2198" s="1">
        <v>5</v>
      </c>
      <c r="M2198" s="13">
        <v>720.42</v>
      </c>
      <c r="N2198" s="15">
        <v>0.21</v>
      </c>
      <c r="O2198" s="13">
        <v>3357.38</v>
      </c>
      <c r="P2198" s="13">
        <v>988.15</v>
      </c>
      <c r="Q2198" s="13">
        <v>51.08</v>
      </c>
      <c r="R2198" s="1" t="s">
        <v>78</v>
      </c>
      <c r="S2198" s="1">
        <v>1</v>
      </c>
      <c r="T2198" s="1" t="b">
        <v>1</v>
      </c>
      <c r="U2198" s="1" t="s">
        <v>30</v>
      </c>
      <c r="V2198" s="3">
        <v>8</v>
      </c>
    </row>
    <row r="2199" spans="1:22" x14ac:dyDescent="0.3">
      <c r="A2199" s="2" t="s">
        <v>4887</v>
      </c>
      <c r="B2199" s="10">
        <v>43859</v>
      </c>
      <c r="C2199" s="22">
        <v>43859</v>
      </c>
      <c r="D2199" s="1" t="s">
        <v>4888</v>
      </c>
      <c r="E2199" s="1" t="s">
        <v>1495</v>
      </c>
      <c r="F2199" s="1">
        <v>34</v>
      </c>
      <c r="G2199" s="1" t="s">
        <v>463</v>
      </c>
      <c r="H2199" s="1" t="s">
        <v>25</v>
      </c>
      <c r="I2199" s="1" t="s">
        <v>170</v>
      </c>
      <c r="J2199" s="1" t="s">
        <v>127</v>
      </c>
      <c r="K2199" s="1" t="s">
        <v>171</v>
      </c>
      <c r="L2199" s="1">
        <v>9</v>
      </c>
      <c r="M2199" s="13">
        <v>61637.72</v>
      </c>
      <c r="N2199" s="15">
        <v>0.28999999999999998</v>
      </c>
      <c r="O2199" s="13">
        <v>298694.87</v>
      </c>
      <c r="P2199" s="13">
        <v>29985.13</v>
      </c>
      <c r="Q2199" s="13">
        <v>20.79</v>
      </c>
      <c r="R2199" s="1" t="s">
        <v>51</v>
      </c>
      <c r="S2199" s="1">
        <v>4</v>
      </c>
      <c r="T2199" s="1" t="b">
        <v>0</v>
      </c>
      <c r="U2199" s="1" t="s">
        <v>84</v>
      </c>
      <c r="V2199" s="3">
        <v>5</v>
      </c>
    </row>
    <row r="2200" spans="1:22" x14ac:dyDescent="0.3">
      <c r="A2200" s="2" t="s">
        <v>4889</v>
      </c>
      <c r="B2200" s="10">
        <v>44230</v>
      </c>
      <c r="C2200" s="22">
        <v>44230</v>
      </c>
      <c r="D2200" s="1" t="s">
        <v>4890</v>
      </c>
      <c r="E2200" s="1" t="s">
        <v>1204</v>
      </c>
      <c r="F2200" s="1">
        <v>54</v>
      </c>
      <c r="G2200" s="1" t="s">
        <v>24</v>
      </c>
      <c r="H2200" s="1" t="s">
        <v>74</v>
      </c>
      <c r="I2200" s="1" t="s">
        <v>136</v>
      </c>
      <c r="J2200" s="1" t="s">
        <v>44</v>
      </c>
      <c r="K2200" s="1" t="s">
        <v>50</v>
      </c>
      <c r="L2200" s="1">
        <v>6</v>
      </c>
      <c r="M2200" s="13">
        <v>32916.71</v>
      </c>
      <c r="N2200" s="15">
        <v>0.08</v>
      </c>
      <c r="O2200" s="13">
        <v>176331.64</v>
      </c>
      <c r="P2200" s="13">
        <v>48719.54</v>
      </c>
      <c r="Q2200" s="13">
        <v>48.18</v>
      </c>
      <c r="R2200" s="1" t="s">
        <v>29</v>
      </c>
      <c r="S2200" s="1">
        <v>5</v>
      </c>
      <c r="T2200" s="1" t="b">
        <v>0</v>
      </c>
      <c r="U2200" s="1" t="s">
        <v>39</v>
      </c>
      <c r="V2200" s="3">
        <v>3</v>
      </c>
    </row>
    <row r="2201" spans="1:22" x14ac:dyDescent="0.3">
      <c r="A2201" s="2" t="s">
        <v>4891</v>
      </c>
      <c r="B2201" s="10">
        <v>44697</v>
      </c>
      <c r="C2201" s="22">
        <v>44697</v>
      </c>
      <c r="D2201" s="1" t="s">
        <v>4892</v>
      </c>
      <c r="E2201" s="1" t="s">
        <v>1650</v>
      </c>
      <c r="F2201" s="1">
        <v>53</v>
      </c>
      <c r="G2201" s="1" t="s">
        <v>68</v>
      </c>
      <c r="H2201" s="1" t="s">
        <v>74</v>
      </c>
      <c r="I2201" s="1" t="s">
        <v>101</v>
      </c>
      <c r="J2201" s="1" t="s">
        <v>62</v>
      </c>
      <c r="K2201" s="1" t="s">
        <v>107</v>
      </c>
      <c r="L2201" s="1">
        <v>6</v>
      </c>
      <c r="M2201" s="13">
        <v>308.33</v>
      </c>
      <c r="N2201" s="15">
        <v>0.17</v>
      </c>
      <c r="O2201" s="13">
        <v>2120.2800000000002</v>
      </c>
      <c r="P2201" s="13">
        <v>875.63</v>
      </c>
      <c r="Q2201" s="13">
        <v>48.94</v>
      </c>
      <c r="R2201" s="1" t="s">
        <v>70</v>
      </c>
      <c r="S2201" s="1">
        <v>4</v>
      </c>
      <c r="T2201" s="1" t="b">
        <v>0</v>
      </c>
      <c r="U2201" s="1" t="s">
        <v>197</v>
      </c>
      <c r="V2201" s="3">
        <v>5</v>
      </c>
    </row>
    <row r="2202" spans="1:22" x14ac:dyDescent="0.3">
      <c r="A2202" s="2" t="s">
        <v>4893</v>
      </c>
      <c r="B2202" s="10">
        <v>45261</v>
      </c>
      <c r="C2202" s="22">
        <v>45261</v>
      </c>
      <c r="D2202" s="1" t="s">
        <v>4894</v>
      </c>
      <c r="E2202" s="1" t="s">
        <v>135</v>
      </c>
      <c r="F2202" s="1">
        <v>24</v>
      </c>
      <c r="G2202" s="1" t="s">
        <v>24</v>
      </c>
      <c r="H2202" s="1" t="s">
        <v>25</v>
      </c>
      <c r="I2202" s="1" t="s">
        <v>26</v>
      </c>
      <c r="J2202" s="1" t="s">
        <v>44</v>
      </c>
      <c r="K2202" s="1" t="s">
        <v>117</v>
      </c>
      <c r="L2202" s="1">
        <v>10</v>
      </c>
      <c r="M2202" s="13">
        <v>23621.89</v>
      </c>
      <c r="N2202" s="15">
        <v>0.03</v>
      </c>
      <c r="O2202" s="13">
        <v>192313.69</v>
      </c>
      <c r="P2202" s="13">
        <v>56375.97</v>
      </c>
      <c r="Q2202" s="13">
        <v>73.91</v>
      </c>
      <c r="R2202" s="1" t="s">
        <v>78</v>
      </c>
      <c r="S2202" s="1">
        <v>2</v>
      </c>
      <c r="T2202" s="1" t="b">
        <v>0</v>
      </c>
      <c r="U2202" s="1" t="s">
        <v>39</v>
      </c>
      <c r="V2202" s="3">
        <v>2</v>
      </c>
    </row>
    <row r="2203" spans="1:22" x14ac:dyDescent="0.3">
      <c r="A2203" s="2" t="s">
        <v>4895</v>
      </c>
      <c r="B2203" s="10">
        <v>45370</v>
      </c>
      <c r="C2203" s="22">
        <v>45370</v>
      </c>
      <c r="D2203" s="1" t="s">
        <v>4896</v>
      </c>
      <c r="E2203" s="1" t="s">
        <v>1076</v>
      </c>
      <c r="F2203" s="1">
        <v>15</v>
      </c>
      <c r="G2203" s="1" t="s">
        <v>24</v>
      </c>
      <c r="H2203" s="1" t="s">
        <v>74</v>
      </c>
      <c r="I2203" s="1" t="s">
        <v>136</v>
      </c>
      <c r="J2203" s="1" t="s">
        <v>62</v>
      </c>
      <c r="K2203" s="1" t="s">
        <v>266</v>
      </c>
      <c r="L2203" s="1">
        <v>1</v>
      </c>
      <c r="M2203" s="13">
        <v>886.23</v>
      </c>
      <c r="N2203" s="15">
        <v>0.09</v>
      </c>
      <c r="O2203" s="13">
        <v>1242.55</v>
      </c>
      <c r="P2203" s="13">
        <v>479.18</v>
      </c>
      <c r="Q2203" s="13">
        <v>71.069999999999993</v>
      </c>
      <c r="R2203" s="1" t="s">
        <v>70</v>
      </c>
      <c r="S2203" s="1">
        <v>2</v>
      </c>
      <c r="T2203" s="1" t="b">
        <v>0</v>
      </c>
      <c r="U2203" s="1" t="s">
        <v>39</v>
      </c>
      <c r="V2203" s="3">
        <v>2</v>
      </c>
    </row>
    <row r="2204" spans="1:22" x14ac:dyDescent="0.3">
      <c r="A2204" s="2" t="s">
        <v>4897</v>
      </c>
      <c r="B2204" s="10">
        <v>44277</v>
      </c>
      <c r="C2204" s="22">
        <v>44277</v>
      </c>
      <c r="D2204" s="1" t="s">
        <v>4898</v>
      </c>
      <c r="E2204" s="1" t="s">
        <v>1108</v>
      </c>
      <c r="F2204" s="1">
        <v>43</v>
      </c>
      <c r="G2204" s="1" t="s">
        <v>68</v>
      </c>
      <c r="H2204" s="1" t="s">
        <v>82</v>
      </c>
      <c r="I2204" s="1" t="s">
        <v>126</v>
      </c>
      <c r="J2204" s="1" t="s">
        <v>146</v>
      </c>
      <c r="K2204" s="1" t="s">
        <v>484</v>
      </c>
      <c r="L2204" s="1">
        <v>4</v>
      </c>
      <c r="M2204" s="13">
        <v>9423.81</v>
      </c>
      <c r="N2204" s="15">
        <v>0.4</v>
      </c>
      <c r="O2204" s="13">
        <v>23341.98</v>
      </c>
      <c r="P2204" s="13">
        <v>3961.16</v>
      </c>
      <c r="Q2204" s="13">
        <v>92.67</v>
      </c>
      <c r="R2204" s="1" t="s">
        <v>51</v>
      </c>
      <c r="S2204" s="1">
        <v>5</v>
      </c>
      <c r="T2204" s="1" t="b">
        <v>0</v>
      </c>
      <c r="U2204" s="1" t="s">
        <v>39</v>
      </c>
      <c r="V2204" s="3">
        <v>1</v>
      </c>
    </row>
    <row r="2205" spans="1:22" x14ac:dyDescent="0.3">
      <c r="A2205" s="2" t="s">
        <v>4899</v>
      </c>
      <c r="B2205" s="10">
        <v>44971</v>
      </c>
      <c r="C2205" s="22">
        <v>44971</v>
      </c>
      <c r="D2205" s="1" t="s">
        <v>4900</v>
      </c>
      <c r="E2205" s="1" t="s">
        <v>1645</v>
      </c>
      <c r="F2205" s="1">
        <v>29</v>
      </c>
      <c r="G2205" s="1" t="s">
        <v>34</v>
      </c>
      <c r="H2205" s="1" t="s">
        <v>74</v>
      </c>
      <c r="I2205" s="1" t="s">
        <v>136</v>
      </c>
      <c r="J2205" s="1" t="s">
        <v>146</v>
      </c>
      <c r="K2205" s="1" t="s">
        <v>147</v>
      </c>
      <c r="L2205" s="1">
        <v>5</v>
      </c>
      <c r="M2205" s="13">
        <v>11924.73</v>
      </c>
      <c r="N2205" s="15">
        <v>0.28999999999999998</v>
      </c>
      <c r="O2205" s="13">
        <v>39073.019999999997</v>
      </c>
      <c r="P2205" s="13">
        <v>7762.52</v>
      </c>
      <c r="Q2205" s="13">
        <v>63.8</v>
      </c>
      <c r="R2205" s="1" t="s">
        <v>78</v>
      </c>
      <c r="S2205" s="1">
        <v>2</v>
      </c>
      <c r="T2205" s="1" t="b">
        <v>0</v>
      </c>
      <c r="U2205" s="1" t="s">
        <v>197</v>
      </c>
      <c r="V2205" s="3">
        <v>9</v>
      </c>
    </row>
    <row r="2206" spans="1:22" x14ac:dyDescent="0.3">
      <c r="A2206" s="2" t="s">
        <v>4901</v>
      </c>
      <c r="B2206" s="10">
        <v>44938</v>
      </c>
      <c r="C2206" s="22">
        <v>44938</v>
      </c>
      <c r="D2206" s="1" t="s">
        <v>4902</v>
      </c>
      <c r="E2206" s="1" t="s">
        <v>1216</v>
      </c>
      <c r="F2206" s="1">
        <v>53</v>
      </c>
      <c r="G2206" s="1" t="s">
        <v>68</v>
      </c>
      <c r="H2206" s="1" t="s">
        <v>74</v>
      </c>
      <c r="I2206" s="1" t="s">
        <v>75</v>
      </c>
      <c r="J2206" s="1" t="s">
        <v>27</v>
      </c>
      <c r="K2206" s="1" t="s">
        <v>430</v>
      </c>
      <c r="L2206" s="1">
        <v>1</v>
      </c>
      <c r="M2206" s="13">
        <v>114.17</v>
      </c>
      <c r="N2206" s="15">
        <v>0.1</v>
      </c>
      <c r="O2206" s="13">
        <v>90.79</v>
      </c>
      <c r="P2206" s="13">
        <v>8.1</v>
      </c>
      <c r="Q2206" s="13">
        <v>44.85</v>
      </c>
      <c r="R2206" s="1" t="s">
        <v>51</v>
      </c>
      <c r="S2206" s="1">
        <v>4</v>
      </c>
      <c r="T2206" s="1" t="b">
        <v>0</v>
      </c>
      <c r="U2206" s="1" t="s">
        <v>39</v>
      </c>
      <c r="V2206" s="3">
        <v>9</v>
      </c>
    </row>
    <row r="2207" spans="1:22" x14ac:dyDescent="0.3">
      <c r="A2207" s="2" t="s">
        <v>4903</v>
      </c>
      <c r="B2207" s="10">
        <v>43925</v>
      </c>
      <c r="C2207" s="22">
        <v>43925</v>
      </c>
      <c r="D2207" s="1" t="s">
        <v>4904</v>
      </c>
      <c r="E2207" s="1" t="s">
        <v>781</v>
      </c>
      <c r="F2207" s="1">
        <v>44</v>
      </c>
      <c r="G2207" s="1" t="s">
        <v>34</v>
      </c>
      <c r="H2207" s="1" t="s">
        <v>35</v>
      </c>
      <c r="I2207" s="1" t="s">
        <v>43</v>
      </c>
      <c r="J2207" s="1" t="s">
        <v>76</v>
      </c>
      <c r="K2207" s="1" t="s">
        <v>132</v>
      </c>
      <c r="L2207" s="1">
        <v>1</v>
      </c>
      <c r="M2207" s="13">
        <v>1784.28</v>
      </c>
      <c r="N2207" s="15">
        <v>7.0000000000000007E-2</v>
      </c>
      <c r="O2207" s="13">
        <v>2034.49</v>
      </c>
      <c r="P2207" s="13">
        <v>543.72</v>
      </c>
      <c r="Q2207" s="13">
        <v>26.17</v>
      </c>
      <c r="R2207" s="1" t="s">
        <v>29</v>
      </c>
      <c r="S2207" s="1">
        <v>3</v>
      </c>
      <c r="T2207" s="1" t="b">
        <v>0</v>
      </c>
      <c r="U2207" s="1" t="s">
        <v>39</v>
      </c>
      <c r="V2207" s="3">
        <v>10</v>
      </c>
    </row>
    <row r="2208" spans="1:22" x14ac:dyDescent="0.3">
      <c r="A2208" s="2" t="s">
        <v>4905</v>
      </c>
      <c r="B2208" s="10">
        <v>45234</v>
      </c>
      <c r="C2208" s="22">
        <v>45234</v>
      </c>
      <c r="D2208" s="1" t="s">
        <v>4906</v>
      </c>
      <c r="E2208" s="1" t="s">
        <v>429</v>
      </c>
      <c r="F2208" s="1">
        <v>36</v>
      </c>
      <c r="G2208" s="1" t="s">
        <v>24</v>
      </c>
      <c r="H2208" s="1" t="s">
        <v>74</v>
      </c>
      <c r="I2208" s="1" t="s">
        <v>136</v>
      </c>
      <c r="J2208" s="1" t="s">
        <v>37</v>
      </c>
      <c r="K2208" s="1" t="s">
        <v>454</v>
      </c>
      <c r="L2208" s="1">
        <v>7</v>
      </c>
      <c r="M2208" s="13">
        <v>2068.81</v>
      </c>
      <c r="N2208" s="15">
        <v>0.28000000000000003</v>
      </c>
      <c r="O2208" s="13">
        <v>7932.49</v>
      </c>
      <c r="P2208" s="13">
        <v>3524.81</v>
      </c>
      <c r="Q2208" s="13">
        <v>40.22</v>
      </c>
      <c r="R2208" s="1" t="s">
        <v>70</v>
      </c>
      <c r="S2208" s="1">
        <v>2</v>
      </c>
      <c r="T2208" s="1" t="b">
        <v>0</v>
      </c>
      <c r="U2208" s="1" t="s">
        <v>137</v>
      </c>
      <c r="V2208" s="3">
        <v>5</v>
      </c>
    </row>
    <row r="2209" spans="1:22" x14ac:dyDescent="0.3">
      <c r="A2209" s="2" t="s">
        <v>4907</v>
      </c>
      <c r="B2209" s="10">
        <v>44215</v>
      </c>
      <c r="C2209" s="22">
        <v>44215</v>
      </c>
      <c r="D2209" s="1" t="s">
        <v>3705</v>
      </c>
      <c r="E2209" s="1" t="s">
        <v>1761</v>
      </c>
      <c r="F2209" s="1">
        <v>31</v>
      </c>
      <c r="G2209" s="1" t="s">
        <v>391</v>
      </c>
      <c r="H2209" s="1" t="s">
        <v>111</v>
      </c>
      <c r="I2209" s="1" t="s">
        <v>141</v>
      </c>
      <c r="J2209" s="1" t="s">
        <v>44</v>
      </c>
      <c r="K2209" s="1" t="s">
        <v>186</v>
      </c>
      <c r="L2209" s="1">
        <v>6</v>
      </c>
      <c r="M2209" s="13">
        <v>2676.31</v>
      </c>
      <c r="N2209" s="15">
        <v>0.08</v>
      </c>
      <c r="O2209" s="13">
        <v>10381.040000000001</v>
      </c>
      <c r="P2209" s="13">
        <v>3229.7</v>
      </c>
      <c r="Q2209" s="13">
        <v>70.150000000000006</v>
      </c>
      <c r="R2209" s="1" t="s">
        <v>57</v>
      </c>
      <c r="S2209" s="1">
        <v>1</v>
      </c>
      <c r="T2209" s="1" t="b">
        <v>0</v>
      </c>
      <c r="U2209" s="1" t="s">
        <v>1411</v>
      </c>
      <c r="V2209" s="3">
        <v>10</v>
      </c>
    </row>
    <row r="2210" spans="1:22" x14ac:dyDescent="0.3">
      <c r="A2210" s="2" t="s">
        <v>4908</v>
      </c>
      <c r="B2210" s="10">
        <v>45155</v>
      </c>
      <c r="C2210" s="22">
        <v>45155</v>
      </c>
      <c r="D2210" s="1" t="s">
        <v>4909</v>
      </c>
      <c r="E2210" s="1" t="s">
        <v>3016</v>
      </c>
      <c r="F2210" s="1">
        <v>14</v>
      </c>
      <c r="G2210" s="1" t="s">
        <v>68</v>
      </c>
      <c r="H2210" s="1" t="s">
        <v>82</v>
      </c>
      <c r="I2210" s="1" t="s">
        <v>293</v>
      </c>
      <c r="J2210" s="1" t="s">
        <v>44</v>
      </c>
      <c r="K2210" s="1" t="s">
        <v>186</v>
      </c>
      <c r="L2210" s="1">
        <v>2</v>
      </c>
      <c r="M2210" s="13">
        <v>12069</v>
      </c>
      <c r="N2210" s="15">
        <v>0.33</v>
      </c>
      <c r="O2210" s="13">
        <v>20925.93</v>
      </c>
      <c r="P2210" s="13">
        <v>6044.5</v>
      </c>
      <c r="Q2210" s="13">
        <v>67</v>
      </c>
      <c r="R2210" s="1" t="s">
        <v>29</v>
      </c>
      <c r="S2210" s="1">
        <v>5</v>
      </c>
      <c r="T2210" s="1" t="b">
        <v>0</v>
      </c>
      <c r="U2210" s="1" t="s">
        <v>58</v>
      </c>
      <c r="V2210" s="3">
        <v>6</v>
      </c>
    </row>
    <row r="2211" spans="1:22" x14ac:dyDescent="0.3">
      <c r="A2211" s="2" t="s">
        <v>4910</v>
      </c>
      <c r="B2211" s="10">
        <v>45549</v>
      </c>
      <c r="C2211" s="22">
        <v>45549</v>
      </c>
      <c r="D2211" s="1" t="s">
        <v>4911</v>
      </c>
      <c r="E2211" s="1" t="s">
        <v>732</v>
      </c>
      <c r="F2211" s="1">
        <v>41</v>
      </c>
      <c r="G2211" s="1" t="s">
        <v>24</v>
      </c>
      <c r="H2211" s="1" t="s">
        <v>111</v>
      </c>
      <c r="I2211" s="1" t="s">
        <v>330</v>
      </c>
      <c r="J2211" s="1" t="s">
        <v>127</v>
      </c>
      <c r="K2211" s="1" t="s">
        <v>196</v>
      </c>
      <c r="L2211" s="1">
        <v>1</v>
      </c>
      <c r="M2211" s="13">
        <v>39155.85</v>
      </c>
      <c r="N2211" s="15">
        <v>0.34</v>
      </c>
      <c r="O2211" s="13">
        <v>30626</v>
      </c>
      <c r="P2211" s="13">
        <v>4110.3500000000004</v>
      </c>
      <c r="Q2211" s="13">
        <v>83.36</v>
      </c>
      <c r="R2211" s="1" t="s">
        <v>70</v>
      </c>
      <c r="S2211" s="1">
        <v>4</v>
      </c>
      <c r="T2211" s="1" t="b">
        <v>1</v>
      </c>
      <c r="U2211" s="1" t="s">
        <v>30</v>
      </c>
      <c r="V2211" s="3">
        <v>9</v>
      </c>
    </row>
    <row r="2212" spans="1:22" x14ac:dyDescent="0.3">
      <c r="A2212" s="2" t="s">
        <v>4912</v>
      </c>
      <c r="B2212" s="10">
        <v>44678</v>
      </c>
      <c r="C2212" s="22">
        <v>44678</v>
      </c>
      <c r="D2212" s="1" t="s">
        <v>4913</v>
      </c>
      <c r="E2212" s="1" t="s">
        <v>174</v>
      </c>
      <c r="F2212" s="1">
        <v>35</v>
      </c>
      <c r="G2212" s="1" t="s">
        <v>34</v>
      </c>
      <c r="H2212" s="1" t="s">
        <v>74</v>
      </c>
      <c r="I2212" s="1" t="s">
        <v>192</v>
      </c>
      <c r="J2212" s="1" t="s">
        <v>146</v>
      </c>
      <c r="K2212" s="1" t="s">
        <v>147</v>
      </c>
      <c r="L2212" s="1">
        <v>8</v>
      </c>
      <c r="M2212" s="13">
        <v>13974.28</v>
      </c>
      <c r="N2212" s="15">
        <v>0.21</v>
      </c>
      <c r="O2212" s="13">
        <v>125535.27</v>
      </c>
      <c r="P2212" s="13">
        <v>26988.18</v>
      </c>
      <c r="Q2212" s="13">
        <v>63.87</v>
      </c>
      <c r="R2212" s="1" t="s">
        <v>78</v>
      </c>
      <c r="S2212" s="1">
        <v>4</v>
      </c>
      <c r="T2212" s="1" t="b">
        <v>0</v>
      </c>
      <c r="U2212" s="1" t="s">
        <v>58</v>
      </c>
      <c r="V2212" s="3">
        <v>3</v>
      </c>
    </row>
    <row r="2213" spans="1:22" x14ac:dyDescent="0.3">
      <c r="A2213" s="2" t="s">
        <v>4914</v>
      </c>
      <c r="B2213" s="10">
        <v>45002</v>
      </c>
      <c r="C2213" s="22">
        <v>45002</v>
      </c>
      <c r="D2213" s="1" t="s">
        <v>4915</v>
      </c>
      <c r="E2213" s="1" t="s">
        <v>888</v>
      </c>
      <c r="F2213" s="1">
        <v>25</v>
      </c>
      <c r="G2213" s="1" t="s">
        <v>24</v>
      </c>
      <c r="H2213" s="1" t="s">
        <v>82</v>
      </c>
      <c r="I2213" s="1" t="s">
        <v>293</v>
      </c>
      <c r="J2213" s="1" t="s">
        <v>76</v>
      </c>
      <c r="K2213" s="1" t="s">
        <v>113</v>
      </c>
      <c r="L2213" s="1">
        <v>3</v>
      </c>
      <c r="M2213" s="13">
        <v>3828.11</v>
      </c>
      <c r="N2213" s="15">
        <v>0.2</v>
      </c>
      <c r="O2213" s="13">
        <v>10968.02</v>
      </c>
      <c r="P2213" s="13">
        <v>3716.33</v>
      </c>
      <c r="Q2213" s="13">
        <v>90.35</v>
      </c>
      <c r="R2213" s="1" t="s">
        <v>64</v>
      </c>
      <c r="S2213" s="1">
        <v>4</v>
      </c>
      <c r="T2213" s="1" t="b">
        <v>0</v>
      </c>
      <c r="U2213" s="1" t="s">
        <v>39</v>
      </c>
      <c r="V2213" s="3">
        <v>7</v>
      </c>
    </row>
    <row r="2214" spans="1:22" x14ac:dyDescent="0.3">
      <c r="A2214" s="2" t="s">
        <v>4916</v>
      </c>
      <c r="B2214" s="10">
        <v>44583</v>
      </c>
      <c r="C2214" s="22">
        <v>44583</v>
      </c>
      <c r="D2214" s="1" t="s">
        <v>4917</v>
      </c>
      <c r="E2214" s="1" t="s">
        <v>1004</v>
      </c>
      <c r="F2214" s="1">
        <v>48</v>
      </c>
      <c r="G2214" s="1" t="s">
        <v>34</v>
      </c>
      <c r="H2214" s="1" t="s">
        <v>35</v>
      </c>
      <c r="I2214" s="1" t="s">
        <v>36</v>
      </c>
      <c r="J2214" s="1" t="s">
        <v>37</v>
      </c>
      <c r="K2214" s="1" t="s">
        <v>231</v>
      </c>
      <c r="L2214" s="1">
        <v>9</v>
      </c>
      <c r="M2214" s="13">
        <v>2217.86</v>
      </c>
      <c r="N2214" s="15">
        <v>0.24</v>
      </c>
      <c r="O2214" s="13">
        <v>11510.54</v>
      </c>
      <c r="P2214" s="13">
        <v>6314.77</v>
      </c>
      <c r="Q2214" s="13">
        <v>50.57</v>
      </c>
      <c r="R2214" s="1" t="s">
        <v>57</v>
      </c>
      <c r="S2214" s="1">
        <v>3</v>
      </c>
      <c r="T2214" s="1" t="b">
        <v>0</v>
      </c>
      <c r="U2214" s="1" t="s">
        <v>39</v>
      </c>
      <c r="V2214" s="3">
        <v>3</v>
      </c>
    </row>
    <row r="2215" spans="1:22" x14ac:dyDescent="0.3">
      <c r="A2215" s="2" t="s">
        <v>4918</v>
      </c>
      <c r="B2215" s="10">
        <v>44518</v>
      </c>
      <c r="C2215" s="22">
        <v>44518</v>
      </c>
      <c r="D2215" s="1" t="s">
        <v>4919</v>
      </c>
      <c r="E2215" s="1" t="s">
        <v>1044</v>
      </c>
      <c r="F2215" s="1">
        <v>10</v>
      </c>
      <c r="G2215" s="1" t="s">
        <v>68</v>
      </c>
      <c r="H2215" s="1" t="s">
        <v>25</v>
      </c>
      <c r="I2215" s="1" t="s">
        <v>170</v>
      </c>
      <c r="J2215" s="1" t="s">
        <v>62</v>
      </c>
      <c r="K2215" s="1" t="s">
        <v>570</v>
      </c>
      <c r="L2215" s="1">
        <v>10</v>
      </c>
      <c r="M2215" s="13">
        <v>585.04</v>
      </c>
      <c r="N2215" s="15">
        <v>0.23</v>
      </c>
      <c r="O2215" s="13">
        <v>3609.86</v>
      </c>
      <c r="P2215" s="13">
        <v>1772.37</v>
      </c>
      <c r="Q2215" s="13">
        <v>44.39</v>
      </c>
      <c r="R2215" s="1" t="s">
        <v>70</v>
      </c>
      <c r="S2215" s="1">
        <v>2</v>
      </c>
      <c r="T2215" s="1" t="b">
        <v>0</v>
      </c>
      <c r="U2215" s="1" t="s">
        <v>39</v>
      </c>
      <c r="V2215" s="3">
        <v>10</v>
      </c>
    </row>
    <row r="2216" spans="1:22" x14ac:dyDescent="0.3">
      <c r="A2216" s="2" t="s">
        <v>4920</v>
      </c>
      <c r="B2216" s="10">
        <v>44115</v>
      </c>
      <c r="C2216" s="22">
        <v>44115</v>
      </c>
      <c r="D2216" s="1" t="s">
        <v>4921</v>
      </c>
      <c r="E2216" s="1" t="s">
        <v>381</v>
      </c>
      <c r="F2216" s="1">
        <v>15</v>
      </c>
      <c r="G2216" s="1" t="s">
        <v>34</v>
      </c>
      <c r="H2216" s="1" t="s">
        <v>25</v>
      </c>
      <c r="I2216" s="1" t="s">
        <v>26</v>
      </c>
      <c r="J2216" s="1" t="s">
        <v>37</v>
      </c>
      <c r="K2216" s="1" t="s">
        <v>102</v>
      </c>
      <c r="L2216" s="1">
        <v>5</v>
      </c>
      <c r="M2216" s="13">
        <v>453.47</v>
      </c>
      <c r="N2216" s="15">
        <v>0.26</v>
      </c>
      <c r="O2216" s="13">
        <v>1615.85</v>
      </c>
      <c r="P2216" s="13">
        <v>704.58</v>
      </c>
      <c r="Q2216" s="13">
        <v>30.43</v>
      </c>
      <c r="R2216" s="1" t="s">
        <v>57</v>
      </c>
      <c r="S2216" s="1">
        <v>1</v>
      </c>
      <c r="T2216" s="1" t="b">
        <v>0</v>
      </c>
      <c r="U2216" s="1" t="s">
        <v>39</v>
      </c>
      <c r="V2216" s="3">
        <v>6</v>
      </c>
    </row>
    <row r="2217" spans="1:22" x14ac:dyDescent="0.3">
      <c r="A2217" s="2" t="s">
        <v>4922</v>
      </c>
      <c r="B2217" s="10">
        <v>45135</v>
      </c>
      <c r="C2217" s="22">
        <v>45135</v>
      </c>
      <c r="D2217" s="1" t="s">
        <v>4923</v>
      </c>
      <c r="E2217" s="1" t="s">
        <v>105</v>
      </c>
      <c r="F2217" s="1">
        <v>47</v>
      </c>
      <c r="G2217" s="1" t="s">
        <v>34</v>
      </c>
      <c r="H2217" s="1" t="s">
        <v>74</v>
      </c>
      <c r="I2217" s="1" t="s">
        <v>136</v>
      </c>
      <c r="J2217" s="1" t="s">
        <v>62</v>
      </c>
      <c r="K2217" s="1" t="s">
        <v>266</v>
      </c>
      <c r="L2217" s="1">
        <v>1</v>
      </c>
      <c r="M2217" s="13">
        <v>657.4</v>
      </c>
      <c r="N2217" s="15">
        <v>0.21</v>
      </c>
      <c r="O2217" s="13">
        <v>1050.25</v>
      </c>
      <c r="P2217" s="13">
        <v>432.13</v>
      </c>
      <c r="Q2217" s="13">
        <v>66.819999999999993</v>
      </c>
      <c r="R2217" s="1" t="s">
        <v>78</v>
      </c>
      <c r="S2217" s="1">
        <v>5</v>
      </c>
      <c r="T2217" s="1" t="b">
        <v>0</v>
      </c>
      <c r="U2217" s="1" t="s">
        <v>39</v>
      </c>
      <c r="V2217" s="3">
        <v>8</v>
      </c>
    </row>
    <row r="2218" spans="1:22" x14ac:dyDescent="0.3">
      <c r="A2218" s="2" t="s">
        <v>4924</v>
      </c>
      <c r="B2218" s="10">
        <v>45378</v>
      </c>
      <c r="C2218" s="22">
        <v>45378</v>
      </c>
      <c r="D2218" s="1" t="s">
        <v>4925</v>
      </c>
      <c r="E2218" s="1" t="s">
        <v>289</v>
      </c>
      <c r="F2218" s="1">
        <v>26</v>
      </c>
      <c r="G2218" s="1" t="s">
        <v>88</v>
      </c>
      <c r="H2218" s="1" t="s">
        <v>35</v>
      </c>
      <c r="I2218" s="1" t="s">
        <v>106</v>
      </c>
      <c r="J2218" s="1" t="s">
        <v>146</v>
      </c>
      <c r="K2218" s="1" t="s">
        <v>217</v>
      </c>
      <c r="L2218" s="1">
        <v>1</v>
      </c>
      <c r="M2218" s="13">
        <v>13730.08</v>
      </c>
      <c r="N2218" s="15">
        <v>0.33</v>
      </c>
      <c r="O2218" s="13">
        <v>11658.53</v>
      </c>
      <c r="P2218" s="13">
        <v>2595.3000000000002</v>
      </c>
      <c r="Q2218" s="13">
        <v>49.66</v>
      </c>
      <c r="R2218" s="1" t="s">
        <v>78</v>
      </c>
      <c r="S2218" s="1">
        <v>2</v>
      </c>
      <c r="T2218" s="1" t="b">
        <v>1</v>
      </c>
      <c r="U2218" s="1" t="s">
        <v>30</v>
      </c>
      <c r="V2218" s="3">
        <v>5</v>
      </c>
    </row>
    <row r="2219" spans="1:22" x14ac:dyDescent="0.3">
      <c r="A2219" s="2" t="s">
        <v>4926</v>
      </c>
      <c r="B2219" s="10">
        <v>45339</v>
      </c>
      <c r="C2219" s="22">
        <v>45339</v>
      </c>
      <c r="D2219" s="1" t="s">
        <v>4927</v>
      </c>
      <c r="E2219" s="1" t="s">
        <v>154</v>
      </c>
      <c r="F2219" s="1">
        <v>51</v>
      </c>
      <c r="G2219" s="1" t="s">
        <v>24</v>
      </c>
      <c r="H2219" s="1" t="s">
        <v>25</v>
      </c>
      <c r="I2219" s="1" t="s">
        <v>55</v>
      </c>
      <c r="J2219" s="1" t="s">
        <v>127</v>
      </c>
      <c r="K2219" s="1" t="s">
        <v>196</v>
      </c>
      <c r="L2219" s="1">
        <v>3</v>
      </c>
      <c r="M2219" s="13">
        <v>18251.7</v>
      </c>
      <c r="N2219" s="15">
        <v>0.04</v>
      </c>
      <c r="O2219" s="13">
        <v>57280.67</v>
      </c>
      <c r="P2219" s="13">
        <v>7183.26</v>
      </c>
      <c r="Q2219" s="13">
        <v>47.7</v>
      </c>
      <c r="R2219" s="1" t="s">
        <v>51</v>
      </c>
      <c r="S2219" s="1">
        <v>3</v>
      </c>
      <c r="T2219" s="1" t="b">
        <v>0</v>
      </c>
      <c r="U2219" s="1" t="s">
        <v>197</v>
      </c>
      <c r="V2219" s="3">
        <v>10</v>
      </c>
    </row>
    <row r="2220" spans="1:22" x14ac:dyDescent="0.3">
      <c r="A2220" s="2" t="s">
        <v>4928</v>
      </c>
      <c r="B2220" s="10">
        <v>45412</v>
      </c>
      <c r="C2220" s="22">
        <v>45412</v>
      </c>
      <c r="D2220" s="1" t="s">
        <v>4929</v>
      </c>
      <c r="E2220" s="1" t="s">
        <v>1201</v>
      </c>
      <c r="F2220" s="1">
        <v>44</v>
      </c>
      <c r="G2220" s="1" t="s">
        <v>34</v>
      </c>
      <c r="H2220" s="1" t="s">
        <v>35</v>
      </c>
      <c r="I2220" s="1" t="s">
        <v>36</v>
      </c>
      <c r="J2220" s="1" t="s">
        <v>37</v>
      </c>
      <c r="K2220" s="1" t="s">
        <v>671</v>
      </c>
      <c r="L2220" s="1">
        <v>1</v>
      </c>
      <c r="M2220" s="13">
        <v>1276.8900000000001</v>
      </c>
      <c r="N2220" s="15">
        <v>0.14000000000000001</v>
      </c>
      <c r="O2220" s="13">
        <v>1679.21</v>
      </c>
      <c r="P2220" s="13">
        <v>753.07</v>
      </c>
      <c r="Q2220" s="13">
        <v>91.51</v>
      </c>
      <c r="R2220" s="1" t="s">
        <v>78</v>
      </c>
      <c r="S2220" s="1">
        <v>2</v>
      </c>
      <c r="T2220" s="1" t="b">
        <v>0</v>
      </c>
      <c r="U2220" s="1" t="s">
        <v>39</v>
      </c>
      <c r="V2220" s="3">
        <v>1</v>
      </c>
    </row>
    <row r="2221" spans="1:22" x14ac:dyDescent="0.3">
      <c r="A2221" s="2" t="s">
        <v>4930</v>
      </c>
      <c r="B2221" s="10">
        <v>45594</v>
      </c>
      <c r="C2221" s="22">
        <v>45594</v>
      </c>
      <c r="D2221" s="1" t="s">
        <v>4931</v>
      </c>
      <c r="E2221" s="1" t="s">
        <v>1996</v>
      </c>
      <c r="F2221" s="1">
        <v>43</v>
      </c>
      <c r="G2221" s="1" t="s">
        <v>68</v>
      </c>
      <c r="H2221" s="1" t="s">
        <v>74</v>
      </c>
      <c r="I2221" s="1" t="s">
        <v>75</v>
      </c>
      <c r="J2221" s="1" t="s">
        <v>76</v>
      </c>
      <c r="K2221" s="1" t="s">
        <v>132</v>
      </c>
      <c r="L2221" s="1">
        <v>2</v>
      </c>
      <c r="M2221" s="13">
        <v>899.53</v>
      </c>
      <c r="N2221" s="15">
        <v>0.23</v>
      </c>
      <c r="O2221" s="13">
        <v>1788.88</v>
      </c>
      <c r="P2221" s="13">
        <v>523.65</v>
      </c>
      <c r="Q2221" s="13">
        <v>68.44</v>
      </c>
      <c r="R2221" s="1" t="s">
        <v>64</v>
      </c>
      <c r="S2221" s="1">
        <v>5</v>
      </c>
      <c r="T2221" s="1" t="b">
        <v>0</v>
      </c>
      <c r="U2221" s="1" t="s">
        <v>137</v>
      </c>
      <c r="V2221" s="3">
        <v>10</v>
      </c>
    </row>
    <row r="2222" spans="1:22" x14ac:dyDescent="0.3">
      <c r="A2222" s="2" t="s">
        <v>4932</v>
      </c>
      <c r="B2222" s="10">
        <v>44520</v>
      </c>
      <c r="C2222" s="22">
        <v>44520</v>
      </c>
      <c r="D2222" s="1" t="s">
        <v>4933</v>
      </c>
      <c r="E2222" s="1" t="s">
        <v>635</v>
      </c>
      <c r="F2222" s="1">
        <v>52</v>
      </c>
      <c r="G2222" s="1" t="s">
        <v>34</v>
      </c>
      <c r="H2222" s="1" t="s">
        <v>111</v>
      </c>
      <c r="I2222" s="1" t="s">
        <v>330</v>
      </c>
      <c r="J2222" s="1" t="s">
        <v>62</v>
      </c>
      <c r="K2222" s="1" t="s">
        <v>151</v>
      </c>
      <c r="L2222" s="1">
        <v>2</v>
      </c>
      <c r="M2222" s="13">
        <v>1067.1300000000001</v>
      </c>
      <c r="N2222" s="15">
        <v>0.35</v>
      </c>
      <c r="O2222" s="13">
        <v>1180.6099999999999</v>
      </c>
      <c r="P2222" s="13">
        <v>481.98</v>
      </c>
      <c r="Q2222" s="13">
        <v>91.57</v>
      </c>
      <c r="R2222" s="1" t="s">
        <v>29</v>
      </c>
      <c r="S2222" s="1">
        <v>2</v>
      </c>
      <c r="T2222" s="1" t="b">
        <v>0</v>
      </c>
      <c r="U2222" s="1" t="s">
        <v>39</v>
      </c>
      <c r="V2222" s="3">
        <v>10</v>
      </c>
    </row>
    <row r="2223" spans="1:22" x14ac:dyDescent="0.3">
      <c r="A2223" s="2" t="s">
        <v>4934</v>
      </c>
      <c r="B2223" s="10">
        <v>44396</v>
      </c>
      <c r="C2223" s="22">
        <v>44396</v>
      </c>
      <c r="D2223" s="1" t="s">
        <v>4935</v>
      </c>
      <c r="E2223" s="1" t="s">
        <v>2582</v>
      </c>
      <c r="F2223" s="1">
        <v>38</v>
      </c>
      <c r="G2223" s="1" t="s">
        <v>68</v>
      </c>
      <c r="H2223" s="1" t="s">
        <v>82</v>
      </c>
      <c r="I2223" s="1" t="s">
        <v>126</v>
      </c>
      <c r="J2223" s="1" t="s">
        <v>127</v>
      </c>
      <c r="K2223" s="1" t="s">
        <v>196</v>
      </c>
      <c r="L2223" s="1">
        <v>10</v>
      </c>
      <c r="M2223" s="13">
        <v>14508.42</v>
      </c>
      <c r="N2223" s="15">
        <v>0.2</v>
      </c>
      <c r="O2223" s="13">
        <v>157988.20000000001</v>
      </c>
      <c r="P2223" s="13">
        <v>19642.09</v>
      </c>
      <c r="Q2223" s="13">
        <v>83.47</v>
      </c>
      <c r="R2223" s="1" t="s">
        <v>64</v>
      </c>
      <c r="S2223" s="1">
        <v>1</v>
      </c>
      <c r="T2223" s="1" t="b">
        <v>0</v>
      </c>
      <c r="U2223" s="1" t="s">
        <v>39</v>
      </c>
      <c r="V2223" s="3">
        <v>8</v>
      </c>
    </row>
    <row r="2224" spans="1:22" x14ac:dyDescent="0.3">
      <c r="A2224" s="2" t="s">
        <v>4936</v>
      </c>
      <c r="B2224" s="10">
        <v>44020</v>
      </c>
      <c r="C2224" s="22">
        <v>44020</v>
      </c>
      <c r="D2224" s="1" t="s">
        <v>4937</v>
      </c>
      <c r="E2224" s="1" t="s">
        <v>764</v>
      </c>
      <c r="F2224" s="1">
        <v>29</v>
      </c>
      <c r="G2224" s="1" t="s">
        <v>34</v>
      </c>
      <c r="H2224" s="1" t="s">
        <v>25</v>
      </c>
      <c r="I2224" s="1" t="s">
        <v>69</v>
      </c>
      <c r="J2224" s="1" t="s">
        <v>37</v>
      </c>
      <c r="K2224" s="1" t="s">
        <v>38</v>
      </c>
      <c r="L2224" s="1">
        <v>9</v>
      </c>
      <c r="M2224" s="13">
        <v>267.99</v>
      </c>
      <c r="N2224" s="15">
        <v>0.08</v>
      </c>
      <c r="O2224" s="13">
        <v>2666.59</v>
      </c>
      <c r="P2224" s="13">
        <v>1181.3699999999999</v>
      </c>
      <c r="Q2224" s="13">
        <v>39.67</v>
      </c>
      <c r="R2224" s="1" t="s">
        <v>57</v>
      </c>
      <c r="S2224" s="1">
        <v>1</v>
      </c>
      <c r="T2224" s="1" t="b">
        <v>0</v>
      </c>
      <c r="U2224" s="1" t="s">
        <v>84</v>
      </c>
      <c r="V2224" s="3">
        <v>4</v>
      </c>
    </row>
    <row r="2225" spans="1:22" x14ac:dyDescent="0.3">
      <c r="A2225" s="2" t="s">
        <v>4938</v>
      </c>
      <c r="B2225" s="10">
        <v>45130</v>
      </c>
      <c r="C2225" s="22">
        <v>45130</v>
      </c>
      <c r="D2225" s="1" t="s">
        <v>4939</v>
      </c>
      <c r="E2225" s="1" t="s">
        <v>1820</v>
      </c>
      <c r="F2225" s="1">
        <v>32</v>
      </c>
      <c r="G2225" s="1" t="s">
        <v>24</v>
      </c>
      <c r="H2225" s="1" t="s">
        <v>111</v>
      </c>
      <c r="I2225" s="1" t="s">
        <v>141</v>
      </c>
      <c r="J2225" s="1" t="s">
        <v>146</v>
      </c>
      <c r="K2225" s="1" t="s">
        <v>276</v>
      </c>
      <c r="L2225" s="1">
        <v>7</v>
      </c>
      <c r="M2225" s="13">
        <v>12914.01</v>
      </c>
      <c r="N2225" s="15">
        <v>0.22</v>
      </c>
      <c r="O2225" s="13">
        <v>122070.77</v>
      </c>
      <c r="P2225" s="13">
        <v>24152.84</v>
      </c>
      <c r="Q2225" s="13">
        <v>53.5</v>
      </c>
      <c r="R2225" s="1" t="s">
        <v>51</v>
      </c>
      <c r="S2225" s="1">
        <v>4</v>
      </c>
      <c r="T2225" s="1" t="b">
        <v>0</v>
      </c>
      <c r="U2225" s="1" t="s">
        <v>39</v>
      </c>
      <c r="V2225" s="3">
        <v>7</v>
      </c>
    </row>
    <row r="2226" spans="1:22" x14ac:dyDescent="0.3">
      <c r="A2226" s="2" t="s">
        <v>4940</v>
      </c>
      <c r="B2226" s="10">
        <v>45562</v>
      </c>
      <c r="C2226" s="22">
        <v>45562</v>
      </c>
      <c r="D2226" s="1" t="s">
        <v>4941</v>
      </c>
      <c r="E2226" s="1" t="s">
        <v>3077</v>
      </c>
      <c r="F2226" s="1">
        <v>150</v>
      </c>
      <c r="G2226" s="1" t="s">
        <v>34</v>
      </c>
      <c r="H2226" s="1" t="s">
        <v>111</v>
      </c>
      <c r="I2226" s="1" t="s">
        <v>330</v>
      </c>
      <c r="J2226" s="1" t="s">
        <v>62</v>
      </c>
      <c r="K2226" s="1" t="s">
        <v>63</v>
      </c>
      <c r="L2226" s="1">
        <v>4</v>
      </c>
      <c r="M2226" s="13">
        <v>1464.19</v>
      </c>
      <c r="N2226" s="15">
        <v>0.04</v>
      </c>
      <c r="O2226" s="13">
        <v>7046.17</v>
      </c>
      <c r="P2226" s="13">
        <v>3076.89</v>
      </c>
      <c r="Q2226" s="13">
        <v>76.930000000000007</v>
      </c>
      <c r="R2226" s="1" t="s">
        <v>51</v>
      </c>
      <c r="S2226" s="1">
        <v>4</v>
      </c>
      <c r="T2226" s="1" t="b">
        <v>0</v>
      </c>
      <c r="U2226" s="1" t="s">
        <v>39</v>
      </c>
      <c r="V2226" s="3">
        <v>8</v>
      </c>
    </row>
    <row r="2227" spans="1:22" x14ac:dyDescent="0.3">
      <c r="A2227" s="2" t="s">
        <v>4942</v>
      </c>
      <c r="B2227" s="10">
        <v>43931</v>
      </c>
      <c r="C2227" s="22">
        <v>43931</v>
      </c>
      <c r="D2227" s="1" t="s">
        <v>4943</v>
      </c>
      <c r="E2227" s="1" t="s">
        <v>237</v>
      </c>
      <c r="F2227" s="1">
        <v>31</v>
      </c>
      <c r="G2227" s="1" t="s">
        <v>68</v>
      </c>
      <c r="H2227" s="1" t="s">
        <v>74</v>
      </c>
      <c r="I2227" s="1" t="s">
        <v>136</v>
      </c>
      <c r="J2227" s="1" t="s">
        <v>146</v>
      </c>
      <c r="K2227" s="1" t="s">
        <v>161</v>
      </c>
      <c r="L2227" s="1">
        <v>6</v>
      </c>
      <c r="M2227" s="13">
        <v>13425.83</v>
      </c>
      <c r="N2227" s="15">
        <v>0.09</v>
      </c>
      <c r="O2227" s="13">
        <v>83316.58</v>
      </c>
      <c r="P2227" s="13">
        <v>14180.23</v>
      </c>
      <c r="Q2227" s="13">
        <v>54.3</v>
      </c>
      <c r="R2227" s="1" t="s">
        <v>57</v>
      </c>
      <c r="S2227" s="1">
        <v>5</v>
      </c>
      <c r="T2227" s="1" t="b">
        <v>0</v>
      </c>
      <c r="U2227" s="1" t="s">
        <v>39</v>
      </c>
      <c r="V2227" s="3">
        <v>8</v>
      </c>
    </row>
    <row r="2228" spans="1:22" x14ac:dyDescent="0.3">
      <c r="A2228" s="2" t="s">
        <v>4944</v>
      </c>
      <c r="B2228" s="10">
        <v>44838</v>
      </c>
      <c r="C2228" s="22">
        <v>44838</v>
      </c>
      <c r="D2228" s="1" t="s">
        <v>4945</v>
      </c>
      <c r="E2228" s="1" t="s">
        <v>100</v>
      </c>
      <c r="F2228" s="1">
        <v>32</v>
      </c>
      <c r="G2228" s="1" t="s">
        <v>34</v>
      </c>
      <c r="H2228" s="1" t="s">
        <v>111</v>
      </c>
      <c r="I2228" s="1" t="s">
        <v>330</v>
      </c>
      <c r="J2228" s="1" t="s">
        <v>44</v>
      </c>
      <c r="K2228" s="1" t="s">
        <v>50</v>
      </c>
      <c r="L2228" s="1">
        <v>3</v>
      </c>
      <c r="M2228" s="13">
        <v>18611.53</v>
      </c>
      <c r="N2228" s="15">
        <v>0.04</v>
      </c>
      <c r="O2228" s="13">
        <v>52590.42</v>
      </c>
      <c r="P2228" s="13">
        <v>13887.81</v>
      </c>
      <c r="Q2228" s="13">
        <v>99.49</v>
      </c>
      <c r="R2228" s="1" t="s">
        <v>29</v>
      </c>
      <c r="S2228" s="1">
        <v>3</v>
      </c>
      <c r="T2228" s="1" t="b">
        <v>0</v>
      </c>
      <c r="U2228" s="1" t="s">
        <v>39</v>
      </c>
      <c r="V2228" s="3">
        <v>4</v>
      </c>
    </row>
    <row r="2229" spans="1:22" x14ac:dyDescent="0.3">
      <c r="A2229" s="2" t="s">
        <v>4946</v>
      </c>
      <c r="B2229" s="10">
        <v>45590</v>
      </c>
      <c r="C2229" s="22">
        <v>45590</v>
      </c>
      <c r="D2229" s="1" t="s">
        <v>4947</v>
      </c>
      <c r="E2229" s="1" t="s">
        <v>160</v>
      </c>
      <c r="F2229" s="1">
        <v>30</v>
      </c>
      <c r="G2229" s="1" t="s">
        <v>68</v>
      </c>
      <c r="H2229" s="1" t="s">
        <v>111</v>
      </c>
      <c r="I2229" s="1" t="s">
        <v>112</v>
      </c>
      <c r="J2229" s="1" t="s">
        <v>127</v>
      </c>
      <c r="K2229" s="1" t="s">
        <v>308</v>
      </c>
      <c r="L2229" s="1">
        <v>9</v>
      </c>
      <c r="M2229" s="13">
        <v>7482.02</v>
      </c>
      <c r="N2229" s="15">
        <v>0.01</v>
      </c>
      <c r="O2229" s="13">
        <v>79475.61</v>
      </c>
      <c r="P2229" s="13">
        <v>9278.4500000000007</v>
      </c>
      <c r="Q2229" s="13">
        <v>68.05</v>
      </c>
      <c r="R2229" s="1" t="s">
        <v>29</v>
      </c>
      <c r="S2229" s="1">
        <v>3</v>
      </c>
      <c r="T2229" s="1" t="b">
        <v>1</v>
      </c>
      <c r="U2229" s="1" t="s">
        <v>30</v>
      </c>
      <c r="V2229" s="3">
        <v>10</v>
      </c>
    </row>
    <row r="2230" spans="1:22" x14ac:dyDescent="0.3">
      <c r="A2230" s="2" t="s">
        <v>4948</v>
      </c>
      <c r="B2230" s="10">
        <v>45166</v>
      </c>
      <c r="C2230" s="22">
        <v>45166</v>
      </c>
      <c r="D2230" s="1" t="s">
        <v>4949</v>
      </c>
      <c r="E2230" s="1" t="s">
        <v>516</v>
      </c>
      <c r="F2230" s="1">
        <v>63</v>
      </c>
      <c r="G2230" s="1" t="s">
        <v>34</v>
      </c>
      <c r="H2230" s="1" t="s">
        <v>25</v>
      </c>
      <c r="I2230" s="1" t="s">
        <v>170</v>
      </c>
      <c r="J2230" s="1" t="s">
        <v>146</v>
      </c>
      <c r="K2230" s="1" t="s">
        <v>147</v>
      </c>
      <c r="L2230" s="1">
        <v>8</v>
      </c>
      <c r="M2230" s="13">
        <v>12368.25</v>
      </c>
      <c r="N2230" s="15">
        <v>0.22</v>
      </c>
      <c r="O2230" s="13">
        <v>109073.66</v>
      </c>
      <c r="P2230" s="13">
        <v>19645.66</v>
      </c>
      <c r="Q2230" s="13">
        <v>21.52</v>
      </c>
      <c r="R2230" s="1" t="s">
        <v>64</v>
      </c>
      <c r="S2230" s="1">
        <v>3</v>
      </c>
      <c r="T2230" s="1" t="b">
        <v>0</v>
      </c>
      <c r="U2230" s="1" t="s">
        <v>39</v>
      </c>
      <c r="V2230" s="3">
        <v>1</v>
      </c>
    </row>
    <row r="2231" spans="1:22" x14ac:dyDescent="0.3">
      <c r="A2231" s="2" t="s">
        <v>4950</v>
      </c>
      <c r="B2231" s="10">
        <v>44775</v>
      </c>
      <c r="C2231" s="22">
        <v>44775</v>
      </c>
      <c r="D2231" s="1" t="s">
        <v>4951</v>
      </c>
      <c r="E2231" s="1" t="s">
        <v>1433</v>
      </c>
      <c r="F2231" s="1">
        <v>33</v>
      </c>
      <c r="G2231" s="1" t="s">
        <v>68</v>
      </c>
      <c r="H2231" s="1" t="s">
        <v>82</v>
      </c>
      <c r="I2231" s="1" t="s">
        <v>83</v>
      </c>
      <c r="J2231" s="1" t="s">
        <v>37</v>
      </c>
      <c r="K2231" s="1" t="s">
        <v>182</v>
      </c>
      <c r="L2231" s="1">
        <v>8</v>
      </c>
      <c r="M2231" s="13">
        <v>1706.51</v>
      </c>
      <c r="N2231" s="15">
        <v>0.21</v>
      </c>
      <c r="O2231" s="13">
        <v>20065.84</v>
      </c>
      <c r="P2231" s="13">
        <v>6411.9</v>
      </c>
      <c r="Q2231" s="13">
        <v>85.58</v>
      </c>
      <c r="R2231" s="1" t="s">
        <v>64</v>
      </c>
      <c r="S2231" s="1">
        <v>3</v>
      </c>
      <c r="T2231" s="1" t="b">
        <v>0</v>
      </c>
      <c r="U2231" s="1" t="s">
        <v>39</v>
      </c>
      <c r="V2231" s="3">
        <v>2</v>
      </c>
    </row>
    <row r="2232" spans="1:22" x14ac:dyDescent="0.3">
      <c r="A2232" s="2" t="s">
        <v>4952</v>
      </c>
      <c r="B2232" s="10">
        <v>44426</v>
      </c>
      <c r="C2232" s="22">
        <v>44426</v>
      </c>
      <c r="D2232" s="1" t="s">
        <v>4953</v>
      </c>
      <c r="E2232" s="1" t="s">
        <v>1510</v>
      </c>
      <c r="F2232" s="1">
        <v>25</v>
      </c>
      <c r="G2232" s="1" t="s">
        <v>68</v>
      </c>
      <c r="H2232" s="1" t="s">
        <v>82</v>
      </c>
      <c r="I2232" s="1" t="s">
        <v>126</v>
      </c>
      <c r="J2232" s="1" t="s">
        <v>62</v>
      </c>
      <c r="K2232" s="1" t="s">
        <v>283</v>
      </c>
      <c r="L2232" s="1">
        <v>6</v>
      </c>
      <c r="M2232" s="13">
        <v>729.34</v>
      </c>
      <c r="N2232" s="15">
        <v>0.04</v>
      </c>
      <c r="O2232" s="13">
        <v>5901.9</v>
      </c>
      <c r="P2232" s="13">
        <v>2786.64</v>
      </c>
      <c r="Q2232" s="13">
        <v>104.25</v>
      </c>
      <c r="R2232" s="1" t="s">
        <v>57</v>
      </c>
      <c r="S2232" s="1">
        <v>5</v>
      </c>
      <c r="T2232" s="1" t="b">
        <v>0</v>
      </c>
      <c r="U2232" s="1" t="s">
        <v>39</v>
      </c>
      <c r="V2232" s="3">
        <v>3</v>
      </c>
    </row>
    <row r="2233" spans="1:22" x14ac:dyDescent="0.3">
      <c r="A2233" s="2" t="s">
        <v>4954</v>
      </c>
      <c r="B2233" s="10">
        <v>44376</v>
      </c>
      <c r="C2233" s="22">
        <v>44376</v>
      </c>
      <c r="D2233" s="1" t="s">
        <v>4955</v>
      </c>
      <c r="E2233" s="1" t="s">
        <v>429</v>
      </c>
      <c r="F2233" s="1">
        <v>34</v>
      </c>
      <c r="G2233" s="1" t="s">
        <v>68</v>
      </c>
      <c r="H2233" s="1" t="s">
        <v>74</v>
      </c>
      <c r="I2233" s="1" t="s">
        <v>192</v>
      </c>
      <c r="J2233" s="1" t="s">
        <v>146</v>
      </c>
      <c r="K2233" s="1" t="s">
        <v>147</v>
      </c>
      <c r="L2233" s="1">
        <v>7</v>
      </c>
      <c r="M2233" s="13">
        <v>10917.25</v>
      </c>
      <c r="N2233" s="15">
        <v>0.27</v>
      </c>
      <c r="O2233" s="13">
        <v>71889.86</v>
      </c>
      <c r="P2233" s="13">
        <v>15066.86</v>
      </c>
      <c r="Q2233" s="13">
        <v>40.78</v>
      </c>
      <c r="R2233" s="1" t="s">
        <v>64</v>
      </c>
      <c r="S2233" s="1">
        <v>3</v>
      </c>
      <c r="T2233" s="1" t="b">
        <v>0</v>
      </c>
      <c r="U2233" s="1" t="s">
        <v>39</v>
      </c>
      <c r="V2233" s="3">
        <v>3</v>
      </c>
    </row>
    <row r="2234" spans="1:22" x14ac:dyDescent="0.3">
      <c r="A2234" s="2" t="s">
        <v>4956</v>
      </c>
      <c r="B2234" s="10">
        <v>45380</v>
      </c>
      <c r="C2234" s="22">
        <v>45380</v>
      </c>
      <c r="D2234" s="1" t="s">
        <v>4957</v>
      </c>
      <c r="E2234" s="1" t="s">
        <v>732</v>
      </c>
      <c r="F2234" s="1">
        <v>38</v>
      </c>
      <c r="G2234" s="1" t="s">
        <v>34</v>
      </c>
      <c r="H2234" s="1" t="s">
        <v>111</v>
      </c>
      <c r="I2234" s="1" t="s">
        <v>112</v>
      </c>
      <c r="J2234" s="1" t="s">
        <v>127</v>
      </c>
      <c r="K2234" s="1" t="s">
        <v>196</v>
      </c>
      <c r="L2234" s="1">
        <v>3</v>
      </c>
      <c r="M2234" s="13">
        <v>12872.17</v>
      </c>
      <c r="N2234" s="15">
        <v>7.0000000000000007E-2</v>
      </c>
      <c r="O2234" s="13">
        <v>43511.94</v>
      </c>
      <c r="P2234" s="13">
        <v>5535.12</v>
      </c>
      <c r="Q2234" s="13">
        <v>64.47</v>
      </c>
      <c r="R2234" s="1" t="s">
        <v>29</v>
      </c>
      <c r="S2234" s="1">
        <v>2</v>
      </c>
      <c r="T2234" s="1" t="b">
        <v>1</v>
      </c>
      <c r="U2234" s="1" t="s">
        <v>30</v>
      </c>
      <c r="V2234" s="3">
        <v>1</v>
      </c>
    </row>
    <row r="2235" spans="1:22" x14ac:dyDescent="0.3">
      <c r="A2235" s="2" t="s">
        <v>4958</v>
      </c>
      <c r="B2235" s="10">
        <v>44228</v>
      </c>
      <c r="C2235" s="22">
        <v>44228</v>
      </c>
      <c r="D2235" s="1" t="s">
        <v>4959</v>
      </c>
      <c r="E2235" s="1" t="s">
        <v>3664</v>
      </c>
      <c r="F2235" s="1">
        <v>32</v>
      </c>
      <c r="G2235" s="1" t="s">
        <v>34</v>
      </c>
      <c r="H2235" s="1" t="s">
        <v>35</v>
      </c>
      <c r="I2235" s="1" t="s">
        <v>36</v>
      </c>
      <c r="J2235" s="1" t="s">
        <v>27</v>
      </c>
      <c r="K2235" s="1" t="s">
        <v>97</v>
      </c>
      <c r="L2235" s="1">
        <v>1</v>
      </c>
      <c r="M2235" s="13">
        <v>50.26</v>
      </c>
      <c r="N2235" s="15">
        <v>0.13</v>
      </c>
      <c r="O2235" s="13">
        <v>39.450000000000003</v>
      </c>
      <c r="P2235" s="13">
        <v>1.56</v>
      </c>
      <c r="Q2235" s="13">
        <v>76.23</v>
      </c>
      <c r="R2235" s="1" t="s">
        <v>29</v>
      </c>
      <c r="S2235" s="1">
        <v>1</v>
      </c>
      <c r="T2235" s="1" t="b">
        <v>0</v>
      </c>
      <c r="U2235" s="1" t="s">
        <v>39</v>
      </c>
      <c r="V2235" s="3">
        <v>7</v>
      </c>
    </row>
    <row r="2236" spans="1:22" x14ac:dyDescent="0.3">
      <c r="A2236" s="2" t="s">
        <v>4960</v>
      </c>
      <c r="B2236" s="10">
        <v>44040</v>
      </c>
      <c r="C2236" s="22">
        <v>44040</v>
      </c>
      <c r="D2236" s="1" t="s">
        <v>4961</v>
      </c>
      <c r="E2236" s="1" t="s">
        <v>855</v>
      </c>
      <c r="F2236" s="1">
        <v>48</v>
      </c>
      <c r="G2236" s="1" t="s">
        <v>24</v>
      </c>
      <c r="H2236" s="1" t="s">
        <v>82</v>
      </c>
      <c r="I2236" s="1" t="s">
        <v>83</v>
      </c>
      <c r="J2236" s="1" t="s">
        <v>76</v>
      </c>
      <c r="K2236" s="1" t="s">
        <v>77</v>
      </c>
      <c r="L2236" s="1">
        <v>6</v>
      </c>
      <c r="M2236" s="13">
        <v>3799.36</v>
      </c>
      <c r="N2236" s="15">
        <v>0.28000000000000003</v>
      </c>
      <c r="O2236" s="13">
        <v>19572.07</v>
      </c>
      <c r="P2236" s="13">
        <v>5911.72</v>
      </c>
      <c r="Q2236" s="13">
        <v>88.51</v>
      </c>
      <c r="R2236" s="1" t="s">
        <v>57</v>
      </c>
      <c r="S2236" s="1">
        <v>3</v>
      </c>
      <c r="T2236" s="1" t="b">
        <v>0</v>
      </c>
      <c r="U2236" s="1" t="s">
        <v>137</v>
      </c>
      <c r="V2236" s="3">
        <v>5</v>
      </c>
    </row>
    <row r="2237" spans="1:22" x14ac:dyDescent="0.3">
      <c r="A2237" s="2" t="s">
        <v>4962</v>
      </c>
      <c r="B2237" s="10">
        <v>44495</v>
      </c>
      <c r="C2237" s="22">
        <v>44495</v>
      </c>
      <c r="D2237" s="1" t="s">
        <v>4963</v>
      </c>
      <c r="E2237" s="1" t="s">
        <v>1201</v>
      </c>
      <c r="F2237" s="1">
        <v>47</v>
      </c>
      <c r="G2237" s="1" t="s">
        <v>34</v>
      </c>
      <c r="H2237" s="1" t="s">
        <v>74</v>
      </c>
      <c r="I2237" s="1" t="s">
        <v>101</v>
      </c>
      <c r="J2237" s="1" t="s">
        <v>76</v>
      </c>
      <c r="K2237" s="1" t="s">
        <v>132</v>
      </c>
      <c r="L2237" s="1">
        <v>7</v>
      </c>
      <c r="M2237" s="13">
        <v>1774.08</v>
      </c>
      <c r="N2237" s="15">
        <v>0.21</v>
      </c>
      <c r="O2237" s="13">
        <v>8124.61</v>
      </c>
      <c r="P2237" s="13">
        <v>3210.86</v>
      </c>
      <c r="Q2237" s="13">
        <v>46.79</v>
      </c>
      <c r="R2237" s="1" t="s">
        <v>57</v>
      </c>
      <c r="S2237" s="1">
        <v>1</v>
      </c>
      <c r="T2237" s="1" t="b">
        <v>0</v>
      </c>
      <c r="U2237" s="1" t="s">
        <v>39</v>
      </c>
      <c r="V2237" s="3">
        <v>3</v>
      </c>
    </row>
    <row r="2238" spans="1:22" x14ac:dyDescent="0.3">
      <c r="A2238" s="2" t="s">
        <v>4964</v>
      </c>
      <c r="B2238" s="10">
        <v>44307</v>
      </c>
      <c r="C2238" s="22">
        <v>44307</v>
      </c>
      <c r="D2238" s="1" t="s">
        <v>4965</v>
      </c>
      <c r="E2238" s="1" t="s">
        <v>177</v>
      </c>
      <c r="F2238" s="1">
        <v>58</v>
      </c>
      <c r="G2238" s="1" t="s">
        <v>24</v>
      </c>
      <c r="H2238" s="1" t="s">
        <v>35</v>
      </c>
      <c r="I2238" s="1" t="s">
        <v>36</v>
      </c>
      <c r="J2238" s="1" t="s">
        <v>44</v>
      </c>
      <c r="K2238" s="1" t="s">
        <v>93</v>
      </c>
      <c r="L2238" s="1">
        <v>3</v>
      </c>
      <c r="M2238" s="13">
        <v>10104.68</v>
      </c>
      <c r="N2238" s="15">
        <v>0.39</v>
      </c>
      <c r="O2238" s="13">
        <v>21793.75</v>
      </c>
      <c r="P2238" s="13">
        <v>6667.44</v>
      </c>
      <c r="Q2238" s="13">
        <v>61.07</v>
      </c>
      <c r="R2238" s="1" t="s">
        <v>57</v>
      </c>
      <c r="S2238" s="1">
        <v>5</v>
      </c>
      <c r="T2238" s="1" t="b">
        <v>1</v>
      </c>
      <c r="U2238" s="1" t="s">
        <v>30</v>
      </c>
      <c r="V2238" s="3">
        <v>10</v>
      </c>
    </row>
    <row r="2239" spans="1:22" x14ac:dyDescent="0.3">
      <c r="A2239" s="2" t="s">
        <v>4966</v>
      </c>
      <c r="B2239" s="10">
        <v>44084</v>
      </c>
      <c r="C2239" s="22">
        <v>44084</v>
      </c>
      <c r="D2239" s="1" t="s">
        <v>4967</v>
      </c>
      <c r="E2239" s="1" t="s">
        <v>858</v>
      </c>
      <c r="F2239" s="1">
        <v>47</v>
      </c>
      <c r="G2239" s="1" t="s">
        <v>24</v>
      </c>
      <c r="H2239" s="1" t="s">
        <v>111</v>
      </c>
      <c r="I2239" s="1" t="s">
        <v>141</v>
      </c>
      <c r="J2239" s="1" t="s">
        <v>146</v>
      </c>
      <c r="K2239" s="1" t="s">
        <v>178</v>
      </c>
      <c r="L2239" s="1">
        <v>1</v>
      </c>
      <c r="M2239" s="13">
        <v>13770.41</v>
      </c>
      <c r="N2239" s="15">
        <v>7.0000000000000007E-2</v>
      </c>
      <c r="O2239" s="13">
        <v>14059.26</v>
      </c>
      <c r="P2239" s="13">
        <v>2621.88</v>
      </c>
      <c r="Q2239" s="13">
        <v>56.12</v>
      </c>
      <c r="R2239" s="1" t="s">
        <v>78</v>
      </c>
      <c r="S2239" s="1">
        <v>1</v>
      </c>
      <c r="T2239" s="1" t="b">
        <v>0</v>
      </c>
      <c r="U2239" s="1" t="s">
        <v>84</v>
      </c>
      <c r="V2239" s="3">
        <v>7</v>
      </c>
    </row>
    <row r="2240" spans="1:22" x14ac:dyDescent="0.3">
      <c r="A2240" s="2" t="s">
        <v>4968</v>
      </c>
      <c r="B2240" s="10">
        <v>43871</v>
      </c>
      <c r="C2240" s="22">
        <v>43871</v>
      </c>
      <c r="D2240" s="1" t="s">
        <v>4969</v>
      </c>
      <c r="E2240" s="1" t="s">
        <v>3253</v>
      </c>
      <c r="F2240" s="1">
        <v>24</v>
      </c>
      <c r="G2240" s="1" t="s">
        <v>24</v>
      </c>
      <c r="H2240" s="1" t="s">
        <v>35</v>
      </c>
      <c r="I2240" s="1" t="s">
        <v>106</v>
      </c>
      <c r="J2240" s="1" t="s">
        <v>62</v>
      </c>
      <c r="K2240" s="1" t="s">
        <v>151</v>
      </c>
      <c r="L2240" s="1">
        <v>1</v>
      </c>
      <c r="M2240" s="13">
        <v>747.6</v>
      </c>
      <c r="N2240" s="15">
        <v>0.35</v>
      </c>
      <c r="O2240" s="13">
        <v>467.87</v>
      </c>
      <c r="P2240" s="13">
        <v>188.11</v>
      </c>
      <c r="Q2240" s="13">
        <v>49.6</v>
      </c>
      <c r="R2240" s="1" t="s">
        <v>29</v>
      </c>
      <c r="S2240" s="1">
        <v>1</v>
      </c>
      <c r="T2240" s="1" t="b">
        <v>0</v>
      </c>
      <c r="U2240" s="1" t="s">
        <v>39</v>
      </c>
      <c r="V2240" s="3">
        <v>9</v>
      </c>
    </row>
    <row r="2241" spans="1:22" x14ac:dyDescent="0.3">
      <c r="A2241" s="2" t="s">
        <v>4970</v>
      </c>
      <c r="B2241" s="10">
        <v>44790</v>
      </c>
      <c r="C2241" s="22">
        <v>44790</v>
      </c>
      <c r="D2241" s="1" t="s">
        <v>4971</v>
      </c>
      <c r="E2241" s="1" t="s">
        <v>2161</v>
      </c>
      <c r="F2241" s="1">
        <v>25</v>
      </c>
      <c r="G2241" s="1" t="s">
        <v>34</v>
      </c>
      <c r="H2241" s="1" t="s">
        <v>82</v>
      </c>
      <c r="I2241" s="1" t="s">
        <v>83</v>
      </c>
      <c r="J2241" s="1" t="s">
        <v>27</v>
      </c>
      <c r="K2241" s="1" t="s">
        <v>97</v>
      </c>
      <c r="L2241" s="1">
        <v>5</v>
      </c>
      <c r="M2241" s="13">
        <v>51.58</v>
      </c>
      <c r="N2241" s="15">
        <v>0.3</v>
      </c>
      <c r="O2241" s="13">
        <v>237.06</v>
      </c>
      <c r="P2241" s="13">
        <v>24.71</v>
      </c>
      <c r="Q2241" s="13">
        <v>82.67</v>
      </c>
      <c r="R2241" s="1" t="s">
        <v>70</v>
      </c>
      <c r="S2241" s="1">
        <v>2</v>
      </c>
      <c r="T2241" s="1" t="b">
        <v>1</v>
      </c>
      <c r="U2241" s="1" t="s">
        <v>30</v>
      </c>
      <c r="V2241" s="3">
        <v>6</v>
      </c>
    </row>
    <row r="2242" spans="1:22" x14ac:dyDescent="0.3">
      <c r="A2242" s="2" t="s">
        <v>4972</v>
      </c>
      <c r="B2242" s="10">
        <v>45320</v>
      </c>
      <c r="C2242" s="22">
        <v>45320</v>
      </c>
      <c r="D2242" s="1" t="s">
        <v>4973</v>
      </c>
      <c r="E2242" s="1" t="s">
        <v>220</v>
      </c>
      <c r="F2242" s="1">
        <v>42</v>
      </c>
      <c r="G2242" s="1" t="s">
        <v>24</v>
      </c>
      <c r="H2242" s="1" t="s">
        <v>74</v>
      </c>
      <c r="I2242" s="1" t="s">
        <v>75</v>
      </c>
      <c r="J2242" s="1" t="s">
        <v>127</v>
      </c>
      <c r="K2242" s="1" t="s">
        <v>171</v>
      </c>
      <c r="L2242" s="1">
        <v>1</v>
      </c>
      <c r="M2242" s="13">
        <v>74101.95</v>
      </c>
      <c r="N2242" s="15">
        <v>0.38</v>
      </c>
      <c r="O2242" s="13">
        <v>43145.98</v>
      </c>
      <c r="P2242" s="13">
        <v>5536.43</v>
      </c>
      <c r="Q2242" s="13">
        <v>47.69</v>
      </c>
      <c r="R2242" s="1" t="s">
        <v>51</v>
      </c>
      <c r="S2242" s="1">
        <v>3</v>
      </c>
      <c r="T2242" s="1" t="b">
        <v>0</v>
      </c>
      <c r="U2242" s="1" t="s">
        <v>58</v>
      </c>
      <c r="V2242" s="3">
        <v>7</v>
      </c>
    </row>
    <row r="2243" spans="1:22" x14ac:dyDescent="0.3">
      <c r="A2243" s="2" t="s">
        <v>4974</v>
      </c>
      <c r="B2243" s="10">
        <v>43943</v>
      </c>
      <c r="C2243" s="22">
        <v>43943</v>
      </c>
      <c r="D2243" s="1" t="s">
        <v>4975</v>
      </c>
      <c r="E2243" s="1" t="s">
        <v>160</v>
      </c>
      <c r="F2243" s="1">
        <v>44</v>
      </c>
      <c r="G2243" s="1" t="s">
        <v>24</v>
      </c>
      <c r="H2243" s="1" t="s">
        <v>35</v>
      </c>
      <c r="I2243" s="1" t="s">
        <v>43</v>
      </c>
      <c r="J2243" s="1" t="s">
        <v>27</v>
      </c>
      <c r="K2243" s="1" t="s">
        <v>400</v>
      </c>
      <c r="L2243" s="1">
        <v>4</v>
      </c>
      <c r="M2243" s="13">
        <v>270.70999999999998</v>
      </c>
      <c r="N2243" s="15">
        <v>7.0000000000000007E-2</v>
      </c>
      <c r="O2243" s="13">
        <v>1316.63</v>
      </c>
      <c r="P2243" s="13">
        <v>117.56</v>
      </c>
      <c r="Q2243" s="13">
        <v>77.760000000000005</v>
      </c>
      <c r="R2243" s="1" t="s">
        <v>57</v>
      </c>
      <c r="S2243" s="1">
        <v>2</v>
      </c>
      <c r="T2243" s="1" t="b">
        <v>0</v>
      </c>
      <c r="U2243" s="1" t="s">
        <v>137</v>
      </c>
      <c r="V2243" s="3">
        <v>3</v>
      </c>
    </row>
    <row r="2244" spans="1:22" x14ac:dyDescent="0.3">
      <c r="A2244" s="2" t="s">
        <v>4976</v>
      </c>
      <c r="B2244" s="10">
        <v>44702</v>
      </c>
      <c r="C2244" s="22">
        <v>44702</v>
      </c>
      <c r="D2244" s="1" t="s">
        <v>4977</v>
      </c>
      <c r="E2244" s="1" t="s">
        <v>457</v>
      </c>
      <c r="F2244" s="1">
        <v>47</v>
      </c>
      <c r="G2244" s="1" t="s">
        <v>68</v>
      </c>
      <c r="H2244" s="1" t="s">
        <v>35</v>
      </c>
      <c r="I2244" s="1" t="s">
        <v>106</v>
      </c>
      <c r="J2244" s="1" t="s">
        <v>27</v>
      </c>
      <c r="K2244" s="1" t="s">
        <v>400</v>
      </c>
      <c r="L2244" s="1">
        <v>2</v>
      </c>
      <c r="M2244" s="13">
        <v>209.57</v>
      </c>
      <c r="N2244" s="15">
        <v>0.4</v>
      </c>
      <c r="O2244" s="13">
        <v>406.36</v>
      </c>
      <c r="P2244" s="13">
        <v>24.52</v>
      </c>
      <c r="Q2244" s="13">
        <v>47.01</v>
      </c>
      <c r="R2244" s="1" t="s">
        <v>51</v>
      </c>
      <c r="S2244" s="1">
        <v>3</v>
      </c>
      <c r="T2244" s="1" t="b">
        <v>0</v>
      </c>
      <c r="U2244" s="1" t="s">
        <v>39</v>
      </c>
      <c r="V2244" s="3">
        <v>8</v>
      </c>
    </row>
    <row r="2245" spans="1:22" x14ac:dyDescent="0.3">
      <c r="A2245" s="2" t="s">
        <v>4978</v>
      </c>
      <c r="B2245" s="10">
        <v>44472</v>
      </c>
      <c r="C2245" s="22">
        <v>44472</v>
      </c>
      <c r="D2245" s="1" t="s">
        <v>4979</v>
      </c>
      <c r="E2245" s="1" t="s">
        <v>4771</v>
      </c>
      <c r="F2245" s="1">
        <v>35</v>
      </c>
      <c r="G2245" s="1" t="s">
        <v>34</v>
      </c>
      <c r="H2245" s="1" t="s">
        <v>74</v>
      </c>
      <c r="I2245" s="1" t="s">
        <v>101</v>
      </c>
      <c r="J2245" s="1" t="s">
        <v>27</v>
      </c>
      <c r="K2245" s="1" t="s">
        <v>97</v>
      </c>
      <c r="L2245" s="1">
        <v>6</v>
      </c>
      <c r="M2245" s="13">
        <v>204.17</v>
      </c>
      <c r="N2245" s="15">
        <v>0.32</v>
      </c>
      <c r="O2245" s="13">
        <v>703.05</v>
      </c>
      <c r="P2245" s="13">
        <v>59.99</v>
      </c>
      <c r="Q2245" s="13">
        <v>27.12</v>
      </c>
      <c r="R2245" s="1" t="s">
        <v>29</v>
      </c>
      <c r="S2245" s="1">
        <v>4</v>
      </c>
      <c r="T2245" s="1" t="b">
        <v>0</v>
      </c>
      <c r="U2245" s="1" t="s">
        <v>39</v>
      </c>
      <c r="V2245" s="3">
        <v>1</v>
      </c>
    </row>
    <row r="2246" spans="1:22" x14ac:dyDescent="0.3">
      <c r="A2246" s="2" t="s">
        <v>4980</v>
      </c>
      <c r="B2246" s="10">
        <v>44411</v>
      </c>
      <c r="C2246" s="22">
        <v>44411</v>
      </c>
      <c r="D2246" s="1" t="s">
        <v>4981</v>
      </c>
      <c r="E2246" s="1" t="s">
        <v>96</v>
      </c>
      <c r="F2246" s="1">
        <v>52</v>
      </c>
      <c r="G2246" s="1" t="s">
        <v>34</v>
      </c>
      <c r="H2246" s="1" t="s">
        <v>25</v>
      </c>
      <c r="I2246" s="1" t="s">
        <v>170</v>
      </c>
      <c r="J2246" s="1" t="s">
        <v>37</v>
      </c>
      <c r="K2246" s="1" t="s">
        <v>102</v>
      </c>
      <c r="L2246" s="1">
        <v>2</v>
      </c>
      <c r="M2246" s="13">
        <v>725.19</v>
      </c>
      <c r="N2246" s="15">
        <v>0.38</v>
      </c>
      <c r="O2246" s="13">
        <v>1066.1600000000001</v>
      </c>
      <c r="P2246" s="13">
        <v>607.29999999999995</v>
      </c>
      <c r="Q2246" s="13">
        <v>27.53</v>
      </c>
      <c r="R2246" s="1" t="s">
        <v>78</v>
      </c>
      <c r="S2246" s="1">
        <v>2</v>
      </c>
      <c r="T2246" s="1" t="b">
        <v>0</v>
      </c>
      <c r="U2246" s="1" t="s">
        <v>1411</v>
      </c>
      <c r="V2246" s="3">
        <v>10</v>
      </c>
    </row>
    <row r="2247" spans="1:22" x14ac:dyDescent="0.3">
      <c r="A2247" s="2" t="s">
        <v>4982</v>
      </c>
      <c r="B2247" s="10">
        <v>44788</v>
      </c>
      <c r="C2247" s="22">
        <v>44788</v>
      </c>
      <c r="D2247" s="1" t="s">
        <v>4983</v>
      </c>
      <c r="E2247" s="1" t="s">
        <v>1181</v>
      </c>
      <c r="F2247" s="1">
        <v>18</v>
      </c>
      <c r="G2247" s="1" t="s">
        <v>24</v>
      </c>
      <c r="H2247" s="1" t="s">
        <v>74</v>
      </c>
      <c r="I2247" s="1" t="s">
        <v>75</v>
      </c>
      <c r="J2247" s="1" t="s">
        <v>37</v>
      </c>
      <c r="K2247" s="1" t="s">
        <v>38</v>
      </c>
      <c r="L2247" s="1">
        <v>1</v>
      </c>
      <c r="M2247" s="13">
        <v>1639.28</v>
      </c>
      <c r="N2247" s="15">
        <v>0.06</v>
      </c>
      <c r="O2247" s="13">
        <v>1994.57</v>
      </c>
      <c r="P2247" s="13">
        <v>1129.1600000000001</v>
      </c>
      <c r="Q2247" s="13">
        <v>33.72</v>
      </c>
      <c r="R2247" s="1" t="s">
        <v>70</v>
      </c>
      <c r="S2247" s="1">
        <v>5</v>
      </c>
      <c r="T2247" s="1" t="b">
        <v>0</v>
      </c>
      <c r="U2247" s="1" t="s">
        <v>39</v>
      </c>
      <c r="V2247" s="3">
        <v>7</v>
      </c>
    </row>
    <row r="2248" spans="1:22" x14ac:dyDescent="0.3">
      <c r="A2248" s="2" t="s">
        <v>4984</v>
      </c>
      <c r="B2248" s="10">
        <v>45331</v>
      </c>
      <c r="C2248" s="22">
        <v>45331</v>
      </c>
      <c r="D2248" s="1" t="s">
        <v>4985</v>
      </c>
      <c r="E2248" s="1" t="s">
        <v>275</v>
      </c>
      <c r="F2248" s="1">
        <v>24</v>
      </c>
      <c r="G2248" s="1" t="s">
        <v>24</v>
      </c>
      <c r="H2248" s="1" t="s">
        <v>25</v>
      </c>
      <c r="I2248" s="1" t="s">
        <v>69</v>
      </c>
      <c r="J2248" s="1" t="s">
        <v>44</v>
      </c>
      <c r="K2248" s="1" t="s">
        <v>117</v>
      </c>
      <c r="L2248" s="1">
        <v>8</v>
      </c>
      <c r="M2248" s="13">
        <v>6926.63</v>
      </c>
      <c r="N2248" s="15">
        <v>0.2</v>
      </c>
      <c r="O2248" s="13">
        <v>48142.68</v>
      </c>
      <c r="P2248" s="13">
        <v>9087.93</v>
      </c>
      <c r="Q2248" s="13">
        <v>44.2</v>
      </c>
      <c r="R2248" s="1" t="s">
        <v>57</v>
      </c>
      <c r="S2248" s="1">
        <v>5</v>
      </c>
      <c r="T2248" s="1" t="b">
        <v>0</v>
      </c>
      <c r="U2248" s="1" t="s">
        <v>39</v>
      </c>
      <c r="V2248" s="3">
        <v>6</v>
      </c>
    </row>
    <row r="2249" spans="1:22" x14ac:dyDescent="0.3">
      <c r="A2249" s="2" t="s">
        <v>4986</v>
      </c>
      <c r="B2249" s="10">
        <v>45196</v>
      </c>
      <c r="C2249" s="22">
        <v>45196</v>
      </c>
      <c r="D2249" s="1" t="s">
        <v>4987</v>
      </c>
      <c r="E2249" s="1" t="s">
        <v>1665</v>
      </c>
      <c r="F2249" s="1">
        <v>39</v>
      </c>
      <c r="G2249" s="1" t="s">
        <v>68</v>
      </c>
      <c r="H2249" s="1" t="s">
        <v>35</v>
      </c>
      <c r="I2249" s="1" t="s">
        <v>43</v>
      </c>
      <c r="J2249" s="1" t="s">
        <v>146</v>
      </c>
      <c r="K2249" s="1" t="s">
        <v>178</v>
      </c>
      <c r="L2249" s="1">
        <v>5</v>
      </c>
      <c r="M2249" s="13">
        <v>5613.08</v>
      </c>
      <c r="N2249" s="15">
        <v>0.01</v>
      </c>
      <c r="O2249" s="13">
        <v>6520.08</v>
      </c>
      <c r="P2249" s="13">
        <v>1789.36</v>
      </c>
      <c r="Q2249" s="13">
        <v>81.58</v>
      </c>
      <c r="R2249" s="1" t="s">
        <v>78</v>
      </c>
      <c r="S2249" s="1">
        <v>2</v>
      </c>
      <c r="T2249" s="1" t="b">
        <v>0</v>
      </c>
      <c r="U2249" s="1" t="s">
        <v>84</v>
      </c>
      <c r="V2249" s="3">
        <v>3</v>
      </c>
    </row>
    <row r="2250" spans="1:22" x14ac:dyDescent="0.3">
      <c r="A2250" s="2" t="s">
        <v>4988</v>
      </c>
      <c r="B2250" s="10">
        <v>44611</v>
      </c>
      <c r="C2250" s="22">
        <v>44611</v>
      </c>
      <c r="D2250" s="1" t="s">
        <v>4989</v>
      </c>
      <c r="E2250" s="1" t="s">
        <v>668</v>
      </c>
      <c r="F2250" s="1">
        <v>34</v>
      </c>
      <c r="G2250" s="1" t="s">
        <v>34</v>
      </c>
      <c r="H2250" s="1" t="s">
        <v>74</v>
      </c>
      <c r="I2250" s="1" t="s">
        <v>136</v>
      </c>
      <c r="J2250" s="1" t="s">
        <v>27</v>
      </c>
      <c r="K2250" s="1" t="s">
        <v>430</v>
      </c>
      <c r="L2250" s="1">
        <v>10</v>
      </c>
      <c r="M2250" s="13">
        <v>459.8</v>
      </c>
      <c r="N2250" s="15">
        <v>0.32</v>
      </c>
      <c r="O2250" s="13">
        <v>3495.22</v>
      </c>
      <c r="P2250" s="13">
        <v>314</v>
      </c>
      <c r="Q2250" s="13">
        <v>45.01</v>
      </c>
      <c r="R2250" s="1" t="s">
        <v>78</v>
      </c>
      <c r="S2250" s="1">
        <v>1</v>
      </c>
      <c r="T2250" s="1" t="b">
        <v>0</v>
      </c>
      <c r="U2250" s="1" t="s">
        <v>39</v>
      </c>
      <c r="V2250" s="3">
        <v>6</v>
      </c>
    </row>
    <row r="2251" spans="1:22" x14ac:dyDescent="0.3">
      <c r="A2251" s="2" t="s">
        <v>4990</v>
      </c>
      <c r="B2251" s="10">
        <v>44887</v>
      </c>
      <c r="C2251" s="22">
        <v>44887</v>
      </c>
      <c r="D2251" s="1" t="s">
        <v>4991</v>
      </c>
      <c r="E2251" s="1" t="s">
        <v>690</v>
      </c>
      <c r="F2251" s="1">
        <v>31</v>
      </c>
      <c r="G2251" s="1" t="s">
        <v>24</v>
      </c>
      <c r="H2251" s="1" t="s">
        <v>111</v>
      </c>
      <c r="I2251" s="1" t="s">
        <v>121</v>
      </c>
      <c r="J2251" s="1" t="s">
        <v>27</v>
      </c>
      <c r="K2251" s="1" t="s">
        <v>450</v>
      </c>
      <c r="L2251" s="1">
        <v>9</v>
      </c>
      <c r="M2251" s="13">
        <v>51.92</v>
      </c>
      <c r="N2251" s="15">
        <v>0.31</v>
      </c>
      <c r="O2251" s="13">
        <v>278.98</v>
      </c>
      <c r="P2251" s="13">
        <v>26.11</v>
      </c>
      <c r="Q2251" s="13">
        <v>58.05</v>
      </c>
      <c r="R2251" s="1" t="s">
        <v>29</v>
      </c>
      <c r="S2251" s="1">
        <v>2</v>
      </c>
      <c r="T2251" s="1" t="b">
        <v>0</v>
      </c>
      <c r="U2251" s="1" t="s">
        <v>39</v>
      </c>
      <c r="V2251" s="3">
        <v>8</v>
      </c>
    </row>
    <row r="2252" spans="1:22" x14ac:dyDescent="0.3">
      <c r="A2252" s="2" t="s">
        <v>4992</v>
      </c>
      <c r="B2252" s="10">
        <v>44421</v>
      </c>
      <c r="C2252" s="22">
        <v>44421</v>
      </c>
      <c r="D2252" s="1" t="s">
        <v>4993</v>
      </c>
      <c r="E2252" s="1" t="s">
        <v>1535</v>
      </c>
      <c r="F2252" s="1">
        <v>46</v>
      </c>
      <c r="G2252" s="1" t="s">
        <v>34</v>
      </c>
      <c r="H2252" s="1" t="s">
        <v>25</v>
      </c>
      <c r="I2252" s="1" t="s">
        <v>69</v>
      </c>
      <c r="J2252" s="1" t="s">
        <v>127</v>
      </c>
      <c r="K2252" s="1" t="s">
        <v>171</v>
      </c>
      <c r="L2252" s="1">
        <v>10</v>
      </c>
      <c r="M2252" s="13">
        <v>25085.8</v>
      </c>
      <c r="N2252" s="15">
        <v>0.25</v>
      </c>
      <c r="O2252" s="13">
        <v>207921.9</v>
      </c>
      <c r="P2252" s="13">
        <v>24463.52</v>
      </c>
      <c r="Q2252" s="13">
        <v>67.239999999999995</v>
      </c>
      <c r="R2252" s="1" t="s">
        <v>78</v>
      </c>
      <c r="S2252" s="1">
        <v>3</v>
      </c>
      <c r="T2252" s="1" t="b">
        <v>0</v>
      </c>
      <c r="U2252" s="1" t="s">
        <v>58</v>
      </c>
      <c r="V2252" s="3">
        <v>4</v>
      </c>
    </row>
    <row r="2253" spans="1:22" x14ac:dyDescent="0.3">
      <c r="A2253" s="2" t="s">
        <v>4994</v>
      </c>
      <c r="B2253" s="10">
        <v>45429</v>
      </c>
      <c r="C2253" s="22">
        <v>45429</v>
      </c>
      <c r="D2253" s="1" t="s">
        <v>4995</v>
      </c>
      <c r="E2253" s="1" t="s">
        <v>1211</v>
      </c>
      <c r="F2253" s="1">
        <v>35</v>
      </c>
      <c r="G2253" s="1" t="s">
        <v>24</v>
      </c>
      <c r="H2253" s="1" t="s">
        <v>111</v>
      </c>
      <c r="I2253" s="1" t="s">
        <v>121</v>
      </c>
      <c r="J2253" s="1" t="s">
        <v>76</v>
      </c>
      <c r="K2253" s="1" t="s">
        <v>132</v>
      </c>
      <c r="L2253" s="1">
        <v>2</v>
      </c>
      <c r="M2253" s="13">
        <v>2532.85</v>
      </c>
      <c r="N2253" s="15">
        <v>0.05</v>
      </c>
      <c r="O2253" s="13">
        <v>6919.55</v>
      </c>
      <c r="P2253" s="13">
        <v>2112.7800000000002</v>
      </c>
      <c r="Q2253" s="13">
        <v>67.930000000000007</v>
      </c>
      <c r="R2253" s="1" t="s">
        <v>78</v>
      </c>
      <c r="S2253" s="1">
        <v>5</v>
      </c>
      <c r="T2253" s="1" t="b">
        <v>0</v>
      </c>
      <c r="U2253" s="1" t="s">
        <v>39</v>
      </c>
      <c r="V2253" s="3">
        <v>2</v>
      </c>
    </row>
    <row r="2254" spans="1:22" x14ac:dyDescent="0.3">
      <c r="A2254" s="2" t="s">
        <v>4996</v>
      </c>
      <c r="B2254" s="10">
        <v>45426</v>
      </c>
      <c r="C2254" s="22">
        <v>45426</v>
      </c>
      <c r="D2254" s="1" t="s">
        <v>4997</v>
      </c>
      <c r="E2254" s="1" t="s">
        <v>681</v>
      </c>
      <c r="F2254" s="1">
        <v>40</v>
      </c>
      <c r="G2254" s="1" t="s">
        <v>24</v>
      </c>
      <c r="H2254" s="1" t="s">
        <v>74</v>
      </c>
      <c r="I2254" s="1" t="s">
        <v>75</v>
      </c>
      <c r="J2254" s="1" t="s">
        <v>37</v>
      </c>
      <c r="K2254" s="1" t="s">
        <v>454</v>
      </c>
      <c r="L2254" s="1">
        <v>9</v>
      </c>
      <c r="M2254" s="13">
        <v>1744.29</v>
      </c>
      <c r="N2254" s="15">
        <v>0.18</v>
      </c>
      <c r="O2254" s="13">
        <v>21619.82</v>
      </c>
      <c r="P2254" s="13">
        <v>8141.08</v>
      </c>
      <c r="Q2254" s="13">
        <v>64.2</v>
      </c>
      <c r="R2254" s="1" t="s">
        <v>29</v>
      </c>
      <c r="S2254" s="1">
        <v>5</v>
      </c>
      <c r="T2254" s="1" t="b">
        <v>0</v>
      </c>
      <c r="U2254" s="1" t="s">
        <v>84</v>
      </c>
      <c r="V2254" s="3">
        <v>4</v>
      </c>
    </row>
    <row r="2255" spans="1:22" x14ac:dyDescent="0.3">
      <c r="A2255" s="2" t="s">
        <v>4998</v>
      </c>
      <c r="B2255" s="10">
        <v>44987</v>
      </c>
      <c r="C2255" s="22">
        <v>44987</v>
      </c>
      <c r="D2255" s="1" t="s">
        <v>4999</v>
      </c>
      <c r="E2255" s="1" t="s">
        <v>1266</v>
      </c>
      <c r="F2255" s="1">
        <v>36</v>
      </c>
      <c r="G2255" s="1" t="s">
        <v>88</v>
      </c>
      <c r="H2255" s="1" t="s">
        <v>111</v>
      </c>
      <c r="I2255" s="1" t="s">
        <v>112</v>
      </c>
      <c r="J2255" s="1" t="s">
        <v>44</v>
      </c>
      <c r="K2255" s="1" t="s">
        <v>117</v>
      </c>
      <c r="L2255" s="1">
        <v>7</v>
      </c>
      <c r="M2255" s="13">
        <v>4557.2700000000004</v>
      </c>
      <c r="N2255" s="15">
        <v>0.2</v>
      </c>
      <c r="O2255" s="13">
        <v>31187.49</v>
      </c>
      <c r="P2255" s="13">
        <v>9092.43</v>
      </c>
      <c r="Q2255" s="13">
        <v>65.62</v>
      </c>
      <c r="R2255" s="1" t="s">
        <v>78</v>
      </c>
      <c r="S2255" s="1">
        <v>3</v>
      </c>
      <c r="T2255" s="1" t="b">
        <v>0</v>
      </c>
      <c r="U2255" s="1" t="s">
        <v>39</v>
      </c>
      <c r="V2255" s="3">
        <v>10</v>
      </c>
    </row>
    <row r="2256" spans="1:22" x14ac:dyDescent="0.3">
      <c r="A2256" s="2" t="s">
        <v>5000</v>
      </c>
      <c r="B2256" s="10">
        <v>44942</v>
      </c>
      <c r="C2256" s="22">
        <v>44942</v>
      </c>
      <c r="D2256" s="1" t="s">
        <v>5001</v>
      </c>
      <c r="E2256" s="1" t="s">
        <v>381</v>
      </c>
      <c r="F2256" s="1">
        <v>34</v>
      </c>
      <c r="G2256" s="1" t="s">
        <v>24</v>
      </c>
      <c r="H2256" s="1" t="s">
        <v>82</v>
      </c>
      <c r="I2256" s="1" t="s">
        <v>83</v>
      </c>
      <c r="J2256" s="1" t="s">
        <v>76</v>
      </c>
      <c r="K2256" s="1" t="s">
        <v>122</v>
      </c>
      <c r="L2256" s="1">
        <v>1</v>
      </c>
      <c r="M2256" s="13">
        <v>3320.34</v>
      </c>
      <c r="N2256" s="15">
        <v>0.13</v>
      </c>
      <c r="O2256" s="13">
        <v>2592.3000000000002</v>
      </c>
      <c r="P2256" s="13">
        <v>1110.93</v>
      </c>
      <c r="Q2256" s="13">
        <v>91.86</v>
      </c>
      <c r="R2256" s="1" t="s">
        <v>70</v>
      </c>
      <c r="S2256" s="1">
        <v>4</v>
      </c>
      <c r="T2256" s="1" t="b">
        <v>0</v>
      </c>
      <c r="U2256" s="1" t="s">
        <v>39</v>
      </c>
      <c r="V2256" s="3">
        <v>6</v>
      </c>
    </row>
    <row r="2257" spans="1:22" x14ac:dyDescent="0.3">
      <c r="A2257" s="2" t="s">
        <v>5002</v>
      </c>
      <c r="B2257" s="10">
        <v>44870</v>
      </c>
      <c r="C2257" s="22">
        <v>44870</v>
      </c>
      <c r="D2257" s="1" t="s">
        <v>5003</v>
      </c>
      <c r="E2257" s="1" t="s">
        <v>496</v>
      </c>
      <c r="F2257" s="1">
        <v>46</v>
      </c>
      <c r="G2257" s="1" t="s">
        <v>68</v>
      </c>
      <c r="H2257" s="1" t="s">
        <v>25</v>
      </c>
      <c r="I2257" s="1" t="s">
        <v>26</v>
      </c>
      <c r="J2257" s="1" t="s">
        <v>37</v>
      </c>
      <c r="K2257" s="1" t="s">
        <v>231</v>
      </c>
      <c r="L2257" s="1">
        <v>10</v>
      </c>
      <c r="M2257" s="13">
        <v>1470.73</v>
      </c>
      <c r="N2257" s="15">
        <v>0.21</v>
      </c>
      <c r="O2257" s="13">
        <v>9648.06</v>
      </c>
      <c r="P2257" s="13">
        <v>5328.61</v>
      </c>
      <c r="Q2257" s="13">
        <v>34.42</v>
      </c>
      <c r="R2257" s="1" t="s">
        <v>78</v>
      </c>
      <c r="S2257" s="1">
        <v>5</v>
      </c>
      <c r="T2257" s="1" t="b">
        <v>0</v>
      </c>
      <c r="U2257" s="1" t="s">
        <v>39</v>
      </c>
      <c r="V2257" s="3">
        <v>8</v>
      </c>
    </row>
    <row r="2258" spans="1:22" x14ac:dyDescent="0.3">
      <c r="A2258" s="2" t="s">
        <v>5004</v>
      </c>
      <c r="B2258" s="10">
        <v>43997</v>
      </c>
      <c r="C2258" s="22">
        <v>43997</v>
      </c>
      <c r="D2258" s="1" t="s">
        <v>5005</v>
      </c>
      <c r="E2258" s="1" t="s">
        <v>174</v>
      </c>
      <c r="F2258" s="1">
        <v>42</v>
      </c>
      <c r="G2258" s="1" t="s">
        <v>68</v>
      </c>
      <c r="H2258" s="1" t="s">
        <v>25</v>
      </c>
      <c r="I2258" s="1" t="s">
        <v>69</v>
      </c>
      <c r="J2258" s="1" t="s">
        <v>146</v>
      </c>
      <c r="K2258" s="1" t="s">
        <v>484</v>
      </c>
      <c r="L2258" s="1">
        <v>3</v>
      </c>
      <c r="M2258" s="13">
        <v>13341.26</v>
      </c>
      <c r="N2258" s="15">
        <v>0.15</v>
      </c>
      <c r="O2258" s="13">
        <v>48831.45</v>
      </c>
      <c r="P2258" s="13">
        <v>11505.37</v>
      </c>
      <c r="Q2258" s="13">
        <v>59.51</v>
      </c>
      <c r="R2258" s="1" t="s">
        <v>57</v>
      </c>
      <c r="S2258" s="1">
        <v>5</v>
      </c>
      <c r="T2258" s="1" t="b">
        <v>0</v>
      </c>
      <c r="U2258" s="1" t="s">
        <v>39</v>
      </c>
      <c r="V2258" s="3">
        <v>1</v>
      </c>
    </row>
    <row r="2259" spans="1:22" x14ac:dyDescent="0.3">
      <c r="A2259" s="2" t="s">
        <v>5006</v>
      </c>
      <c r="B2259" s="10">
        <v>44893</v>
      </c>
      <c r="C2259" s="22">
        <v>44893</v>
      </c>
      <c r="D2259" s="1" t="s">
        <v>5007</v>
      </c>
      <c r="E2259" s="1" t="s">
        <v>2462</v>
      </c>
      <c r="F2259" s="1">
        <v>16</v>
      </c>
      <c r="G2259" s="1" t="s">
        <v>34</v>
      </c>
      <c r="H2259" s="1" t="s">
        <v>35</v>
      </c>
      <c r="I2259" s="1" t="s">
        <v>49</v>
      </c>
      <c r="J2259" s="1" t="s">
        <v>127</v>
      </c>
      <c r="K2259" s="1" t="s">
        <v>308</v>
      </c>
      <c r="L2259" s="1">
        <v>4</v>
      </c>
      <c r="M2259" s="13">
        <v>78431.710000000006</v>
      </c>
      <c r="N2259" s="15">
        <v>0.06</v>
      </c>
      <c r="O2259" s="13">
        <v>265701.03000000003</v>
      </c>
      <c r="P2259" s="13">
        <v>29588.2</v>
      </c>
      <c r="Q2259" s="13">
        <v>70.58</v>
      </c>
      <c r="R2259" s="1" t="s">
        <v>78</v>
      </c>
      <c r="S2259" s="1">
        <v>1</v>
      </c>
      <c r="T2259" s="1" t="b">
        <v>0</v>
      </c>
      <c r="U2259" s="1" t="s">
        <v>137</v>
      </c>
      <c r="V2259" s="3">
        <v>10</v>
      </c>
    </row>
    <row r="2260" spans="1:22" x14ac:dyDescent="0.3">
      <c r="A2260" s="2" t="s">
        <v>5008</v>
      </c>
      <c r="B2260" s="10">
        <v>45490</v>
      </c>
      <c r="C2260" s="22">
        <v>45490</v>
      </c>
      <c r="D2260" s="1" t="s">
        <v>5009</v>
      </c>
      <c r="E2260" s="1" t="s">
        <v>2505</v>
      </c>
      <c r="F2260" s="1">
        <v>18</v>
      </c>
      <c r="G2260" s="1" t="s">
        <v>24</v>
      </c>
      <c r="H2260" s="1" t="s">
        <v>111</v>
      </c>
      <c r="I2260" s="1" t="s">
        <v>330</v>
      </c>
      <c r="J2260" s="1" t="s">
        <v>146</v>
      </c>
      <c r="K2260" s="1" t="s">
        <v>217</v>
      </c>
      <c r="L2260" s="1">
        <v>5</v>
      </c>
      <c r="M2260" s="13">
        <v>2795.92</v>
      </c>
      <c r="N2260" s="15">
        <v>0.32</v>
      </c>
      <c r="O2260" s="13">
        <v>2822.44</v>
      </c>
      <c r="P2260" s="13">
        <v>697.8</v>
      </c>
      <c r="Q2260" s="13">
        <v>71.72</v>
      </c>
      <c r="R2260" s="1" t="s">
        <v>64</v>
      </c>
      <c r="S2260" s="1">
        <v>2</v>
      </c>
      <c r="T2260" s="1" t="b">
        <v>0</v>
      </c>
      <c r="U2260" s="1" t="s">
        <v>39</v>
      </c>
      <c r="V2260" s="3">
        <v>7</v>
      </c>
    </row>
    <row r="2261" spans="1:22" x14ac:dyDescent="0.3">
      <c r="A2261" s="2" t="s">
        <v>5010</v>
      </c>
      <c r="B2261" s="10">
        <v>45498</v>
      </c>
      <c r="C2261" s="22">
        <v>45498</v>
      </c>
      <c r="D2261" s="1" t="s">
        <v>5011</v>
      </c>
      <c r="E2261" s="1" t="s">
        <v>240</v>
      </c>
      <c r="F2261" s="1">
        <v>59</v>
      </c>
      <c r="G2261" s="1" t="s">
        <v>24</v>
      </c>
      <c r="H2261" s="1" t="s">
        <v>25</v>
      </c>
      <c r="I2261" s="1" t="s">
        <v>170</v>
      </c>
      <c r="J2261" s="1" t="s">
        <v>37</v>
      </c>
      <c r="K2261" s="1" t="s">
        <v>38</v>
      </c>
      <c r="L2261" s="1">
        <v>4</v>
      </c>
      <c r="M2261" s="13">
        <v>575.05999999999995</v>
      </c>
      <c r="N2261" s="15">
        <v>0.02</v>
      </c>
      <c r="O2261" s="13">
        <v>3788.19</v>
      </c>
      <c r="P2261" s="13">
        <v>1608.33</v>
      </c>
      <c r="Q2261" s="13">
        <v>74.42</v>
      </c>
      <c r="R2261" s="1" t="s">
        <v>29</v>
      </c>
      <c r="S2261" s="1">
        <v>2</v>
      </c>
      <c r="T2261" s="1" t="b">
        <v>0</v>
      </c>
      <c r="U2261" s="1" t="s">
        <v>699</v>
      </c>
      <c r="V2261" s="3">
        <v>7</v>
      </c>
    </row>
    <row r="2262" spans="1:22" x14ac:dyDescent="0.3">
      <c r="A2262" s="2" t="s">
        <v>5012</v>
      </c>
      <c r="B2262" s="10">
        <v>43832</v>
      </c>
      <c r="C2262" s="22">
        <v>43832</v>
      </c>
      <c r="D2262" s="1" t="s">
        <v>5013</v>
      </c>
      <c r="E2262" s="1" t="s">
        <v>1955</v>
      </c>
      <c r="F2262" s="1">
        <v>40</v>
      </c>
      <c r="G2262" s="1" t="s">
        <v>34</v>
      </c>
      <c r="H2262" s="1" t="s">
        <v>35</v>
      </c>
      <c r="I2262" s="1" t="s">
        <v>36</v>
      </c>
      <c r="J2262" s="1" t="s">
        <v>76</v>
      </c>
      <c r="K2262" s="1" t="s">
        <v>77</v>
      </c>
      <c r="L2262" s="1">
        <v>8</v>
      </c>
      <c r="M2262" s="13">
        <v>3870.61</v>
      </c>
      <c r="N2262" s="15">
        <v>0.06</v>
      </c>
      <c r="O2262" s="13">
        <v>21825.83</v>
      </c>
      <c r="P2262" s="13">
        <v>9142</v>
      </c>
      <c r="Q2262" s="13">
        <v>72.61</v>
      </c>
      <c r="R2262" s="1" t="s">
        <v>57</v>
      </c>
      <c r="S2262" s="1">
        <v>1</v>
      </c>
      <c r="T2262" s="1" t="b">
        <v>1</v>
      </c>
      <c r="U2262" s="1" t="s">
        <v>30</v>
      </c>
      <c r="V2262" s="3">
        <v>2</v>
      </c>
    </row>
    <row r="2263" spans="1:22" x14ac:dyDescent="0.3">
      <c r="A2263" s="2" t="s">
        <v>5014</v>
      </c>
      <c r="B2263" s="10">
        <v>44828</v>
      </c>
      <c r="C2263" s="22">
        <v>44828</v>
      </c>
      <c r="D2263" s="1" t="s">
        <v>5015</v>
      </c>
      <c r="E2263" s="1" t="s">
        <v>259</v>
      </c>
      <c r="F2263" s="1">
        <v>31</v>
      </c>
      <c r="G2263" s="1" t="s">
        <v>24</v>
      </c>
      <c r="H2263" s="1" t="s">
        <v>82</v>
      </c>
      <c r="I2263" s="1" t="s">
        <v>126</v>
      </c>
      <c r="J2263" s="1" t="s">
        <v>146</v>
      </c>
      <c r="K2263" s="1" t="s">
        <v>484</v>
      </c>
      <c r="L2263" s="1">
        <v>10</v>
      </c>
      <c r="M2263" s="13">
        <v>4545.91</v>
      </c>
      <c r="N2263" s="15">
        <v>0.01</v>
      </c>
      <c r="O2263" s="13">
        <v>55303.33</v>
      </c>
      <c r="P2263" s="13">
        <v>13195.84</v>
      </c>
      <c r="Q2263" s="13">
        <v>71.77</v>
      </c>
      <c r="R2263" s="1" t="s">
        <v>51</v>
      </c>
      <c r="S2263" s="1">
        <v>3</v>
      </c>
      <c r="T2263" s="1" t="b">
        <v>0</v>
      </c>
      <c r="U2263" s="1" t="s">
        <v>39</v>
      </c>
      <c r="V2263" s="3">
        <v>9</v>
      </c>
    </row>
    <row r="2264" spans="1:22" x14ac:dyDescent="0.3">
      <c r="A2264" s="2" t="s">
        <v>5016</v>
      </c>
      <c r="B2264" s="10">
        <v>45374</v>
      </c>
      <c r="C2264" s="22">
        <v>45374</v>
      </c>
      <c r="D2264" s="1" t="s">
        <v>5017</v>
      </c>
      <c r="E2264" s="1" t="s">
        <v>555</v>
      </c>
      <c r="F2264" s="1">
        <v>38</v>
      </c>
      <c r="G2264" s="1" t="s">
        <v>68</v>
      </c>
      <c r="H2264" s="1" t="s">
        <v>35</v>
      </c>
      <c r="I2264" s="1" t="s">
        <v>36</v>
      </c>
      <c r="J2264" s="1" t="s">
        <v>127</v>
      </c>
      <c r="K2264" s="1" t="s">
        <v>128</v>
      </c>
      <c r="L2264" s="1">
        <v>2</v>
      </c>
      <c r="M2264" s="13">
        <v>50847.56</v>
      </c>
      <c r="N2264" s="15">
        <v>0.28999999999999998</v>
      </c>
      <c r="O2264" s="13">
        <v>99290.01</v>
      </c>
      <c r="P2264" s="13">
        <v>11766.04</v>
      </c>
      <c r="Q2264" s="13">
        <v>62.35</v>
      </c>
      <c r="R2264" s="1" t="s">
        <v>29</v>
      </c>
      <c r="S2264" s="1">
        <v>5</v>
      </c>
      <c r="T2264" s="1" t="b">
        <v>0</v>
      </c>
      <c r="U2264" s="1" t="s">
        <v>39</v>
      </c>
      <c r="V2264" s="3">
        <v>3</v>
      </c>
    </row>
    <row r="2265" spans="1:22" x14ac:dyDescent="0.3">
      <c r="A2265" s="2" t="s">
        <v>5018</v>
      </c>
      <c r="B2265" s="10">
        <v>44131</v>
      </c>
      <c r="C2265" s="22">
        <v>44131</v>
      </c>
      <c r="D2265" s="1" t="s">
        <v>5019</v>
      </c>
      <c r="E2265" s="1" t="s">
        <v>591</v>
      </c>
      <c r="F2265" s="1">
        <v>15</v>
      </c>
      <c r="G2265" s="1" t="s">
        <v>34</v>
      </c>
      <c r="H2265" s="1" t="s">
        <v>35</v>
      </c>
      <c r="I2265" s="1" t="s">
        <v>43</v>
      </c>
      <c r="J2265" s="1" t="s">
        <v>37</v>
      </c>
      <c r="K2265" s="1" t="s">
        <v>671</v>
      </c>
      <c r="L2265" s="1">
        <v>3</v>
      </c>
      <c r="M2265" s="13">
        <v>1818.6</v>
      </c>
      <c r="N2265" s="15">
        <v>0.34</v>
      </c>
      <c r="O2265" s="13">
        <v>2901.08</v>
      </c>
      <c r="P2265" s="13">
        <v>1203.53</v>
      </c>
      <c r="Q2265" s="13">
        <v>54.2</v>
      </c>
      <c r="R2265" s="1" t="s">
        <v>57</v>
      </c>
      <c r="S2265" s="1">
        <v>5</v>
      </c>
      <c r="T2265" s="1" t="b">
        <v>0</v>
      </c>
      <c r="U2265" s="1" t="s">
        <v>39</v>
      </c>
      <c r="V2265" s="3">
        <v>8</v>
      </c>
    </row>
    <row r="2266" spans="1:22" x14ac:dyDescent="0.3">
      <c r="A2266" s="2" t="s">
        <v>5020</v>
      </c>
      <c r="B2266" s="10">
        <v>45535</v>
      </c>
      <c r="C2266" s="22">
        <v>45535</v>
      </c>
      <c r="D2266" s="1" t="s">
        <v>5021</v>
      </c>
      <c r="E2266" s="1" t="s">
        <v>1023</v>
      </c>
      <c r="F2266" s="1">
        <v>59</v>
      </c>
      <c r="G2266" s="1" t="s">
        <v>68</v>
      </c>
      <c r="H2266" s="1" t="s">
        <v>25</v>
      </c>
      <c r="I2266" s="1" t="s">
        <v>170</v>
      </c>
      <c r="J2266" s="1" t="s">
        <v>44</v>
      </c>
      <c r="K2266" s="1" t="s">
        <v>93</v>
      </c>
      <c r="L2266" s="1">
        <v>10</v>
      </c>
      <c r="M2266" s="13">
        <v>4875.22</v>
      </c>
      <c r="N2266" s="15">
        <v>0.39</v>
      </c>
      <c r="O2266" s="13">
        <v>49256.25</v>
      </c>
      <c r="P2266" s="13">
        <v>15655.19</v>
      </c>
      <c r="Q2266" s="13">
        <v>54.49</v>
      </c>
      <c r="R2266" s="1" t="s">
        <v>78</v>
      </c>
      <c r="S2266" s="1">
        <v>1</v>
      </c>
      <c r="T2266" s="1" t="b">
        <v>0</v>
      </c>
      <c r="U2266" s="1" t="s">
        <v>39</v>
      </c>
      <c r="V2266" s="3">
        <v>10</v>
      </c>
    </row>
    <row r="2267" spans="1:22" x14ac:dyDescent="0.3">
      <c r="A2267" s="2" t="s">
        <v>5022</v>
      </c>
      <c r="B2267" s="10">
        <v>44847</v>
      </c>
      <c r="C2267" s="22">
        <v>44847</v>
      </c>
      <c r="D2267" s="1" t="s">
        <v>5023</v>
      </c>
      <c r="E2267" s="1" t="s">
        <v>905</v>
      </c>
      <c r="F2267" s="1">
        <v>36</v>
      </c>
      <c r="G2267" s="1" t="s">
        <v>68</v>
      </c>
      <c r="H2267" s="1" t="s">
        <v>25</v>
      </c>
      <c r="I2267" s="1" t="s">
        <v>55</v>
      </c>
      <c r="J2267" s="1" t="s">
        <v>44</v>
      </c>
      <c r="K2267" s="1" t="s">
        <v>93</v>
      </c>
      <c r="L2267" s="1">
        <v>2</v>
      </c>
      <c r="M2267" s="13">
        <v>24650.720000000001</v>
      </c>
      <c r="N2267" s="15">
        <v>0.23</v>
      </c>
      <c r="O2267" s="13">
        <v>33579.519999999997</v>
      </c>
      <c r="P2267" s="13">
        <v>8642.75</v>
      </c>
      <c r="Q2267" s="13">
        <v>35.1</v>
      </c>
      <c r="R2267" s="1" t="s">
        <v>29</v>
      </c>
      <c r="S2267" s="1">
        <v>5</v>
      </c>
      <c r="T2267" s="1" t="b">
        <v>0</v>
      </c>
      <c r="U2267" s="1" t="s">
        <v>39</v>
      </c>
      <c r="V2267" s="3">
        <v>2</v>
      </c>
    </row>
    <row r="2268" spans="1:22" x14ac:dyDescent="0.3">
      <c r="A2268" s="2" t="s">
        <v>5024</v>
      </c>
      <c r="B2268" s="10">
        <v>43913</v>
      </c>
      <c r="C2268" s="22">
        <v>43913</v>
      </c>
      <c r="D2268" s="1" t="s">
        <v>5025</v>
      </c>
      <c r="E2268" s="1" t="s">
        <v>160</v>
      </c>
      <c r="F2268" s="1">
        <v>37</v>
      </c>
      <c r="G2268" s="1" t="s">
        <v>68</v>
      </c>
      <c r="H2268" s="1" t="s">
        <v>25</v>
      </c>
      <c r="I2268" s="1" t="s">
        <v>55</v>
      </c>
      <c r="J2268" s="1" t="s">
        <v>146</v>
      </c>
      <c r="K2268" s="1" t="s">
        <v>161</v>
      </c>
      <c r="L2268" s="1">
        <v>8</v>
      </c>
      <c r="M2268" s="13">
        <v>7246.65</v>
      </c>
      <c r="N2268" s="15">
        <v>0.34</v>
      </c>
      <c r="O2268" s="13">
        <v>43301.82</v>
      </c>
      <c r="P2268" s="13">
        <v>7525.66</v>
      </c>
      <c r="Q2268" s="13">
        <v>68.12</v>
      </c>
      <c r="R2268" s="1" t="s">
        <v>57</v>
      </c>
      <c r="S2268" s="1">
        <v>2</v>
      </c>
      <c r="T2268" s="1" t="b">
        <v>1</v>
      </c>
      <c r="U2268" s="1" t="s">
        <v>30</v>
      </c>
      <c r="V2268" s="3">
        <v>1</v>
      </c>
    </row>
    <row r="2269" spans="1:22" x14ac:dyDescent="0.3">
      <c r="A2269" s="2" t="s">
        <v>5026</v>
      </c>
      <c r="B2269" s="10">
        <v>44938</v>
      </c>
      <c r="C2269" s="22">
        <v>44938</v>
      </c>
      <c r="D2269" s="1" t="s">
        <v>5027</v>
      </c>
      <c r="E2269" s="1" t="s">
        <v>311</v>
      </c>
      <c r="F2269" s="1">
        <v>48</v>
      </c>
      <c r="G2269" s="1" t="s">
        <v>88</v>
      </c>
      <c r="H2269" s="1" t="s">
        <v>111</v>
      </c>
      <c r="I2269" s="1" t="s">
        <v>121</v>
      </c>
      <c r="J2269" s="1" t="s">
        <v>146</v>
      </c>
      <c r="K2269" s="1" t="s">
        <v>276</v>
      </c>
      <c r="L2269" s="1">
        <v>4</v>
      </c>
      <c r="M2269" s="13">
        <v>13669.75</v>
      </c>
      <c r="N2269" s="15">
        <v>0.17</v>
      </c>
      <c r="O2269" s="13">
        <v>43819.54</v>
      </c>
      <c r="P2269" s="13">
        <v>8792.51</v>
      </c>
      <c r="Q2269" s="13">
        <v>72.709999999999994</v>
      </c>
      <c r="R2269" s="1" t="s">
        <v>57</v>
      </c>
      <c r="S2269" s="1">
        <v>3</v>
      </c>
      <c r="T2269" s="1" t="b">
        <v>1</v>
      </c>
      <c r="U2269" s="1" t="s">
        <v>30</v>
      </c>
      <c r="V2269" s="3">
        <v>10</v>
      </c>
    </row>
    <row r="2270" spans="1:22" x14ac:dyDescent="0.3">
      <c r="A2270" s="2" t="s">
        <v>5028</v>
      </c>
      <c r="B2270" s="10">
        <v>44847</v>
      </c>
      <c r="C2270" s="22">
        <v>44847</v>
      </c>
      <c r="D2270" s="1" t="s">
        <v>5029</v>
      </c>
      <c r="E2270" s="1" t="s">
        <v>1154</v>
      </c>
      <c r="F2270" s="1">
        <v>55</v>
      </c>
      <c r="G2270" s="1" t="s">
        <v>24</v>
      </c>
      <c r="H2270" s="1" t="s">
        <v>25</v>
      </c>
      <c r="I2270" s="1" t="s">
        <v>69</v>
      </c>
      <c r="J2270" s="1" t="s">
        <v>127</v>
      </c>
      <c r="K2270" s="1" t="s">
        <v>128</v>
      </c>
      <c r="L2270" s="1">
        <v>10</v>
      </c>
      <c r="M2270" s="13">
        <v>13324.53</v>
      </c>
      <c r="N2270" s="15">
        <v>0.06</v>
      </c>
      <c r="O2270" s="13">
        <v>123315.72</v>
      </c>
      <c r="P2270" s="13">
        <v>14023.48</v>
      </c>
      <c r="Q2270" s="13">
        <v>55.67</v>
      </c>
      <c r="R2270" s="1" t="s">
        <v>78</v>
      </c>
      <c r="S2270" s="1">
        <v>5</v>
      </c>
      <c r="T2270" s="1" t="b">
        <v>0</v>
      </c>
      <c r="U2270" s="1" t="s">
        <v>39</v>
      </c>
      <c r="V2270" s="3">
        <v>4</v>
      </c>
    </row>
    <row r="2271" spans="1:22" x14ac:dyDescent="0.3">
      <c r="A2271" s="2" t="s">
        <v>5030</v>
      </c>
      <c r="B2271" s="10">
        <v>44373</v>
      </c>
      <c r="C2271" s="22">
        <v>44373</v>
      </c>
      <c r="D2271" s="1" t="s">
        <v>5031</v>
      </c>
      <c r="E2271" s="1" t="s">
        <v>528</v>
      </c>
      <c r="F2271" s="1">
        <v>39</v>
      </c>
      <c r="G2271" s="1" t="s">
        <v>68</v>
      </c>
      <c r="H2271" s="1" t="s">
        <v>82</v>
      </c>
      <c r="I2271" s="1" t="s">
        <v>83</v>
      </c>
      <c r="J2271" s="1" t="s">
        <v>127</v>
      </c>
      <c r="K2271" s="1" t="s">
        <v>308</v>
      </c>
      <c r="L2271" s="1">
        <v>9</v>
      </c>
      <c r="M2271" s="13">
        <v>72194.399999999994</v>
      </c>
      <c r="N2271" s="15">
        <v>0.15</v>
      </c>
      <c r="O2271" s="13">
        <v>787787.19</v>
      </c>
      <c r="P2271" s="13">
        <v>113907.22</v>
      </c>
      <c r="Q2271" s="13">
        <v>83.94</v>
      </c>
      <c r="R2271" s="1" t="s">
        <v>70</v>
      </c>
      <c r="S2271" s="1">
        <v>3</v>
      </c>
      <c r="T2271" s="1" t="b">
        <v>0</v>
      </c>
      <c r="U2271" s="1" t="s">
        <v>39</v>
      </c>
      <c r="V2271" s="3">
        <v>5</v>
      </c>
    </row>
    <row r="2272" spans="1:22" x14ac:dyDescent="0.3">
      <c r="A2272" s="2" t="s">
        <v>5032</v>
      </c>
      <c r="B2272" s="10">
        <v>45293</v>
      </c>
      <c r="C2272" s="22">
        <v>45293</v>
      </c>
      <c r="D2272" s="1" t="s">
        <v>5033</v>
      </c>
      <c r="E2272" s="1" t="s">
        <v>135</v>
      </c>
      <c r="F2272" s="1">
        <v>35</v>
      </c>
      <c r="G2272" s="1" t="s">
        <v>24</v>
      </c>
      <c r="H2272" s="1" t="s">
        <v>82</v>
      </c>
      <c r="I2272" s="1" t="s">
        <v>293</v>
      </c>
      <c r="J2272" s="1" t="s">
        <v>127</v>
      </c>
      <c r="K2272" s="1" t="s">
        <v>517</v>
      </c>
      <c r="L2272" s="1">
        <v>2</v>
      </c>
      <c r="M2272" s="13">
        <v>12932.65</v>
      </c>
      <c r="N2272" s="15">
        <v>0.1</v>
      </c>
      <c r="O2272" s="13">
        <v>23560.5</v>
      </c>
      <c r="P2272" s="13">
        <v>2257.37</v>
      </c>
      <c r="Q2272" s="13">
        <v>92.17</v>
      </c>
      <c r="R2272" s="1" t="s">
        <v>51</v>
      </c>
      <c r="S2272" s="1">
        <v>3</v>
      </c>
      <c r="T2272" s="1" t="b">
        <v>1</v>
      </c>
      <c r="U2272" s="1" t="s">
        <v>30</v>
      </c>
      <c r="V2272" s="3">
        <v>2</v>
      </c>
    </row>
    <row r="2273" spans="1:22" x14ac:dyDescent="0.3">
      <c r="A2273" s="2" t="s">
        <v>5034</v>
      </c>
      <c r="B2273" s="10">
        <v>43952</v>
      </c>
      <c r="C2273" s="22">
        <v>43952</v>
      </c>
      <c r="D2273" s="1" t="s">
        <v>5035</v>
      </c>
      <c r="E2273" s="1" t="s">
        <v>224</v>
      </c>
      <c r="F2273" s="1">
        <v>35</v>
      </c>
      <c r="G2273" s="1" t="s">
        <v>34</v>
      </c>
      <c r="H2273" s="1" t="s">
        <v>35</v>
      </c>
      <c r="I2273" s="1" t="s">
        <v>43</v>
      </c>
      <c r="J2273" s="1" t="s">
        <v>76</v>
      </c>
      <c r="K2273" s="1" t="s">
        <v>89</v>
      </c>
      <c r="L2273" s="1">
        <v>4</v>
      </c>
      <c r="M2273" s="13">
        <v>729.42</v>
      </c>
      <c r="N2273" s="15">
        <v>7.0000000000000007E-2</v>
      </c>
      <c r="O2273" s="13">
        <v>3601.48</v>
      </c>
      <c r="P2273" s="13">
        <v>1162.92</v>
      </c>
      <c r="Q2273" s="13">
        <v>76.61</v>
      </c>
      <c r="R2273" s="1" t="s">
        <v>51</v>
      </c>
      <c r="S2273" s="1">
        <v>4</v>
      </c>
      <c r="T2273" s="1" t="b">
        <v>0</v>
      </c>
      <c r="U2273" s="1" t="s">
        <v>39</v>
      </c>
      <c r="V2273" s="3">
        <v>3</v>
      </c>
    </row>
    <row r="2274" spans="1:22" x14ac:dyDescent="0.3">
      <c r="A2274" s="2" t="s">
        <v>5036</v>
      </c>
      <c r="B2274" s="10">
        <v>44584</v>
      </c>
      <c r="C2274" s="22">
        <v>44584</v>
      </c>
      <c r="D2274" s="1" t="s">
        <v>5037</v>
      </c>
      <c r="E2274" s="1" t="s">
        <v>230</v>
      </c>
      <c r="F2274" s="1">
        <v>28</v>
      </c>
      <c r="G2274" s="1" t="s">
        <v>68</v>
      </c>
      <c r="H2274" s="1" t="s">
        <v>35</v>
      </c>
      <c r="I2274" s="1" t="s">
        <v>36</v>
      </c>
      <c r="J2274" s="1" t="s">
        <v>44</v>
      </c>
      <c r="K2274" s="1" t="s">
        <v>93</v>
      </c>
      <c r="L2274" s="1">
        <v>4</v>
      </c>
      <c r="M2274" s="13">
        <v>9575.92</v>
      </c>
      <c r="N2274" s="15">
        <v>0.13</v>
      </c>
      <c r="O2274" s="13">
        <v>30650.77</v>
      </c>
      <c r="P2274" s="13">
        <v>8465.15</v>
      </c>
      <c r="Q2274" s="13">
        <v>71.900000000000006</v>
      </c>
      <c r="R2274" s="1" t="s">
        <v>78</v>
      </c>
      <c r="S2274" s="1">
        <v>1</v>
      </c>
      <c r="T2274" s="1" t="b">
        <v>0</v>
      </c>
      <c r="U2274" s="1" t="s">
        <v>39</v>
      </c>
      <c r="V2274" s="3">
        <v>5</v>
      </c>
    </row>
    <row r="2275" spans="1:22" x14ac:dyDescent="0.3">
      <c r="A2275" s="2" t="s">
        <v>5038</v>
      </c>
      <c r="B2275" s="10">
        <v>44472</v>
      </c>
      <c r="C2275" s="22">
        <v>44472</v>
      </c>
      <c r="D2275" s="1" t="s">
        <v>5039</v>
      </c>
      <c r="E2275" s="1" t="s">
        <v>2140</v>
      </c>
      <c r="F2275" s="1">
        <v>54</v>
      </c>
      <c r="G2275" s="1" t="s">
        <v>24</v>
      </c>
      <c r="H2275" s="1" t="s">
        <v>25</v>
      </c>
      <c r="I2275" s="1" t="s">
        <v>69</v>
      </c>
      <c r="J2275" s="1" t="s">
        <v>76</v>
      </c>
      <c r="K2275" s="1" t="s">
        <v>122</v>
      </c>
      <c r="L2275" s="1">
        <v>2</v>
      </c>
      <c r="M2275" s="13">
        <v>3491.48</v>
      </c>
      <c r="N2275" s="15">
        <v>0.16</v>
      </c>
      <c r="O2275" s="13">
        <v>4903.58</v>
      </c>
      <c r="P2275" s="13">
        <v>1061.0899999999999</v>
      </c>
      <c r="Q2275" s="13">
        <v>82.05</v>
      </c>
      <c r="R2275" s="1" t="s">
        <v>29</v>
      </c>
      <c r="S2275" s="1">
        <v>2</v>
      </c>
      <c r="T2275" s="1" t="b">
        <v>0</v>
      </c>
      <c r="U2275" s="1" t="s">
        <v>39</v>
      </c>
      <c r="V2275" s="3">
        <v>9</v>
      </c>
    </row>
    <row r="2276" spans="1:22" x14ac:dyDescent="0.3">
      <c r="A2276" s="2" t="s">
        <v>5040</v>
      </c>
      <c r="B2276" s="10">
        <v>45022</v>
      </c>
      <c r="C2276" s="22">
        <v>45022</v>
      </c>
      <c r="D2276" s="1" t="s">
        <v>5041</v>
      </c>
      <c r="E2276" s="1" t="s">
        <v>61</v>
      </c>
      <c r="F2276" s="1">
        <v>47</v>
      </c>
      <c r="G2276" s="1" t="s">
        <v>24</v>
      </c>
      <c r="H2276" s="1" t="s">
        <v>74</v>
      </c>
      <c r="I2276" s="1" t="s">
        <v>192</v>
      </c>
      <c r="J2276" s="1" t="s">
        <v>44</v>
      </c>
      <c r="K2276" s="1" t="s">
        <v>186</v>
      </c>
      <c r="L2276" s="1">
        <v>7</v>
      </c>
      <c r="M2276" s="13">
        <v>10705.21</v>
      </c>
      <c r="N2276" s="15">
        <v>0.35</v>
      </c>
      <c r="O2276" s="13">
        <v>75316.070000000007</v>
      </c>
      <c r="P2276" s="13">
        <v>14354.3</v>
      </c>
      <c r="Q2276" s="13">
        <v>39.520000000000003</v>
      </c>
      <c r="R2276" s="1" t="s">
        <v>78</v>
      </c>
      <c r="S2276" s="1">
        <v>3</v>
      </c>
      <c r="T2276" s="1" t="b">
        <v>0</v>
      </c>
      <c r="U2276" s="1" t="s">
        <v>39</v>
      </c>
      <c r="V2276" s="3">
        <v>6</v>
      </c>
    </row>
    <row r="2277" spans="1:22" x14ac:dyDescent="0.3">
      <c r="A2277" s="2" t="s">
        <v>5042</v>
      </c>
      <c r="B2277" s="10">
        <v>44779</v>
      </c>
      <c r="C2277" s="22">
        <v>44779</v>
      </c>
      <c r="D2277" s="1" t="s">
        <v>5043</v>
      </c>
      <c r="E2277" s="1" t="s">
        <v>237</v>
      </c>
      <c r="F2277" s="1">
        <v>41</v>
      </c>
      <c r="G2277" s="1" t="s">
        <v>24</v>
      </c>
      <c r="H2277" s="1" t="s">
        <v>111</v>
      </c>
      <c r="I2277" s="1" t="s">
        <v>112</v>
      </c>
      <c r="J2277" s="1" t="s">
        <v>76</v>
      </c>
      <c r="K2277" s="1" t="s">
        <v>113</v>
      </c>
      <c r="L2277" s="1">
        <v>3</v>
      </c>
      <c r="M2277" s="13">
        <v>3296.83</v>
      </c>
      <c r="N2277" s="15">
        <v>0.21</v>
      </c>
      <c r="O2277" s="13">
        <v>11607.78</v>
      </c>
      <c r="P2277" s="13">
        <v>3249.52</v>
      </c>
      <c r="Q2277" s="13">
        <v>63.52</v>
      </c>
      <c r="R2277" s="1" t="s">
        <v>64</v>
      </c>
      <c r="S2277" s="1">
        <v>3</v>
      </c>
      <c r="T2277" s="1" t="b">
        <v>0</v>
      </c>
      <c r="U2277" s="1" t="s">
        <v>58</v>
      </c>
      <c r="V2277" s="3">
        <v>8</v>
      </c>
    </row>
    <row r="2278" spans="1:22" x14ac:dyDescent="0.3">
      <c r="A2278" s="2" t="s">
        <v>5044</v>
      </c>
      <c r="B2278" s="10">
        <v>44409</v>
      </c>
      <c r="C2278" s="22">
        <v>44409</v>
      </c>
      <c r="D2278" s="1" t="s">
        <v>5045</v>
      </c>
      <c r="E2278" s="1" t="s">
        <v>1348</v>
      </c>
      <c r="F2278" s="1">
        <v>50</v>
      </c>
      <c r="G2278" s="1" t="s">
        <v>24</v>
      </c>
      <c r="H2278" s="1" t="s">
        <v>111</v>
      </c>
      <c r="I2278" s="1" t="s">
        <v>330</v>
      </c>
      <c r="J2278" s="1" t="s">
        <v>146</v>
      </c>
      <c r="K2278" s="1" t="s">
        <v>178</v>
      </c>
      <c r="L2278" s="1">
        <v>9</v>
      </c>
      <c r="M2278" s="13">
        <v>10928.77</v>
      </c>
      <c r="N2278" s="15">
        <v>0.26</v>
      </c>
      <c r="O2278" s="13">
        <v>93398.29</v>
      </c>
      <c r="P2278" s="13">
        <v>13807.62</v>
      </c>
      <c r="Q2278" s="13">
        <v>73.25</v>
      </c>
      <c r="R2278" s="1" t="s">
        <v>51</v>
      </c>
      <c r="S2278" s="1">
        <v>3</v>
      </c>
      <c r="T2278" s="1" t="b">
        <v>0</v>
      </c>
      <c r="U2278" s="1" t="s">
        <v>197</v>
      </c>
      <c r="V2278" s="3">
        <v>2</v>
      </c>
    </row>
    <row r="2279" spans="1:22" x14ac:dyDescent="0.3">
      <c r="A2279" s="2" t="s">
        <v>5046</v>
      </c>
      <c r="B2279" s="10">
        <v>44874</v>
      </c>
      <c r="C2279" s="22">
        <v>44874</v>
      </c>
      <c r="D2279" s="1" t="s">
        <v>5047</v>
      </c>
      <c r="E2279" s="1" t="s">
        <v>213</v>
      </c>
      <c r="F2279" s="1">
        <v>35</v>
      </c>
      <c r="G2279" s="1" t="s">
        <v>34</v>
      </c>
      <c r="H2279" s="1" t="s">
        <v>82</v>
      </c>
      <c r="I2279" s="1" t="s">
        <v>83</v>
      </c>
      <c r="J2279" s="1" t="s">
        <v>146</v>
      </c>
      <c r="K2279" s="1" t="s">
        <v>217</v>
      </c>
      <c r="L2279" s="1">
        <v>1</v>
      </c>
      <c r="M2279" s="13">
        <v>11954.34</v>
      </c>
      <c r="N2279" s="15">
        <v>0.15</v>
      </c>
      <c r="O2279" s="13">
        <v>9288.4</v>
      </c>
      <c r="P2279" s="13">
        <v>2396.12</v>
      </c>
      <c r="Q2279" s="13">
        <v>82.67</v>
      </c>
      <c r="R2279" s="1" t="s">
        <v>57</v>
      </c>
      <c r="S2279" s="1">
        <v>5</v>
      </c>
      <c r="T2279" s="1" t="b">
        <v>0</v>
      </c>
      <c r="U2279" s="1" t="s">
        <v>39</v>
      </c>
      <c r="V2279" s="3">
        <v>3</v>
      </c>
    </row>
    <row r="2280" spans="1:22" x14ac:dyDescent="0.3">
      <c r="A2280" s="2" t="s">
        <v>5048</v>
      </c>
      <c r="B2280" s="10">
        <v>44614</v>
      </c>
      <c r="C2280" s="22">
        <v>44614</v>
      </c>
      <c r="D2280" s="1" t="s">
        <v>5049</v>
      </c>
      <c r="E2280" s="1" t="s">
        <v>994</v>
      </c>
      <c r="F2280" s="1">
        <v>50</v>
      </c>
      <c r="G2280" s="1" t="s">
        <v>34</v>
      </c>
      <c r="H2280" s="1" t="s">
        <v>25</v>
      </c>
      <c r="I2280" s="1" t="s">
        <v>170</v>
      </c>
      <c r="J2280" s="1" t="s">
        <v>76</v>
      </c>
      <c r="K2280" s="1" t="s">
        <v>113</v>
      </c>
      <c r="L2280" s="1">
        <v>7</v>
      </c>
      <c r="M2280" s="13">
        <v>3304.59</v>
      </c>
      <c r="N2280" s="15">
        <v>0.12</v>
      </c>
      <c r="O2280" s="13">
        <v>18587.240000000002</v>
      </c>
      <c r="P2280" s="13">
        <v>8409.65</v>
      </c>
      <c r="Q2280" s="13">
        <v>54.71</v>
      </c>
      <c r="R2280" s="1" t="s">
        <v>29</v>
      </c>
      <c r="S2280" s="1">
        <v>2</v>
      </c>
      <c r="T2280" s="1" t="b">
        <v>0</v>
      </c>
      <c r="U2280" s="1" t="s">
        <v>39</v>
      </c>
      <c r="V2280" s="3">
        <v>9</v>
      </c>
    </row>
    <row r="2281" spans="1:22" x14ac:dyDescent="0.3">
      <c r="A2281" s="2" t="s">
        <v>5050</v>
      </c>
      <c r="B2281" s="10">
        <v>45105</v>
      </c>
      <c r="C2281" s="22">
        <v>45105</v>
      </c>
      <c r="D2281" s="1" t="s">
        <v>5051</v>
      </c>
      <c r="E2281" s="1" t="s">
        <v>1229</v>
      </c>
      <c r="F2281" s="1">
        <v>30</v>
      </c>
      <c r="G2281" s="1" t="s">
        <v>68</v>
      </c>
      <c r="H2281" s="1" t="s">
        <v>111</v>
      </c>
      <c r="I2281" s="1" t="s">
        <v>141</v>
      </c>
      <c r="J2281" s="1" t="s">
        <v>27</v>
      </c>
      <c r="K2281" s="1" t="s">
        <v>56</v>
      </c>
      <c r="L2281" s="1">
        <v>9</v>
      </c>
      <c r="M2281" s="13">
        <v>452.13</v>
      </c>
      <c r="N2281" s="15">
        <v>0.25</v>
      </c>
      <c r="O2281" s="13">
        <v>4808.83</v>
      </c>
      <c r="P2281" s="13">
        <v>248.08</v>
      </c>
      <c r="Q2281" s="13">
        <v>97.53</v>
      </c>
      <c r="R2281" s="1" t="s">
        <v>29</v>
      </c>
      <c r="S2281" s="1">
        <v>1</v>
      </c>
      <c r="T2281" s="1" t="b">
        <v>1</v>
      </c>
      <c r="U2281" s="1" t="s">
        <v>30</v>
      </c>
      <c r="V2281" s="3">
        <v>9</v>
      </c>
    </row>
    <row r="2282" spans="1:22" x14ac:dyDescent="0.3">
      <c r="A2282" s="2" t="s">
        <v>5052</v>
      </c>
      <c r="B2282" s="10">
        <v>45492</v>
      </c>
      <c r="C2282" s="22">
        <v>45492</v>
      </c>
      <c r="D2282" s="1" t="s">
        <v>5053</v>
      </c>
      <c r="E2282" s="1" t="s">
        <v>502</v>
      </c>
      <c r="F2282" s="1">
        <v>55</v>
      </c>
      <c r="G2282" s="1" t="s">
        <v>391</v>
      </c>
      <c r="H2282" s="1" t="s">
        <v>35</v>
      </c>
      <c r="I2282" s="1" t="s">
        <v>36</v>
      </c>
      <c r="J2282" s="1" t="s">
        <v>127</v>
      </c>
      <c r="K2282" s="1" t="s">
        <v>128</v>
      </c>
      <c r="L2282" s="1">
        <v>3</v>
      </c>
      <c r="M2282" s="13">
        <v>56831.24</v>
      </c>
      <c r="N2282" s="15">
        <v>0.19</v>
      </c>
      <c r="O2282" s="13">
        <v>238477.33</v>
      </c>
      <c r="P2282" s="13">
        <v>35537.620000000003</v>
      </c>
      <c r="Q2282" s="13">
        <v>65.069999999999993</v>
      </c>
      <c r="R2282" s="1" t="s">
        <v>57</v>
      </c>
      <c r="S2282" s="1">
        <v>1</v>
      </c>
      <c r="T2282" s="1" t="b">
        <v>0</v>
      </c>
      <c r="U2282" s="1" t="s">
        <v>39</v>
      </c>
      <c r="V2282" s="3">
        <v>6</v>
      </c>
    </row>
    <row r="2283" spans="1:22" x14ac:dyDescent="0.3">
      <c r="A2283" s="2" t="s">
        <v>5054</v>
      </c>
      <c r="B2283" s="10">
        <v>44210</v>
      </c>
      <c r="C2283" s="22">
        <v>44210</v>
      </c>
      <c r="D2283" s="1" t="s">
        <v>5055</v>
      </c>
      <c r="E2283" s="1" t="s">
        <v>210</v>
      </c>
      <c r="F2283" s="1">
        <v>16</v>
      </c>
      <c r="G2283" s="1" t="s">
        <v>34</v>
      </c>
      <c r="H2283" s="1" t="s">
        <v>111</v>
      </c>
      <c r="I2283" s="1" t="s">
        <v>112</v>
      </c>
      <c r="J2283" s="1" t="s">
        <v>27</v>
      </c>
      <c r="K2283" s="1" t="s">
        <v>28</v>
      </c>
      <c r="L2283" s="1">
        <v>6</v>
      </c>
      <c r="M2283" s="13">
        <v>322.95</v>
      </c>
      <c r="N2283" s="15">
        <v>0.32</v>
      </c>
      <c r="O2283" s="13">
        <v>1085.3499999999999</v>
      </c>
      <c r="P2283" s="13">
        <v>97.61</v>
      </c>
      <c r="Q2283" s="13">
        <v>72.44</v>
      </c>
      <c r="R2283" s="1" t="s">
        <v>70</v>
      </c>
      <c r="S2283" s="1">
        <v>2</v>
      </c>
      <c r="T2283" s="1" t="b">
        <v>0</v>
      </c>
      <c r="U2283" s="1" t="s">
        <v>39</v>
      </c>
      <c r="V2283" s="3">
        <v>6</v>
      </c>
    </row>
    <row r="2284" spans="1:22" x14ac:dyDescent="0.3">
      <c r="A2284" s="2" t="s">
        <v>5056</v>
      </c>
      <c r="B2284" s="10">
        <v>44782</v>
      </c>
      <c r="C2284" s="22">
        <v>44782</v>
      </c>
      <c r="D2284" s="1" t="s">
        <v>5057</v>
      </c>
      <c r="E2284" s="1" t="s">
        <v>755</v>
      </c>
      <c r="F2284" s="1">
        <v>45</v>
      </c>
      <c r="G2284" s="1" t="s">
        <v>34</v>
      </c>
      <c r="H2284" s="1" t="s">
        <v>35</v>
      </c>
      <c r="I2284" s="1" t="s">
        <v>49</v>
      </c>
      <c r="J2284" s="1" t="s">
        <v>76</v>
      </c>
      <c r="K2284" s="1" t="s">
        <v>207</v>
      </c>
      <c r="L2284" s="1">
        <v>3</v>
      </c>
      <c r="M2284" s="13">
        <v>3376.07</v>
      </c>
      <c r="N2284" s="15">
        <v>7.0000000000000007E-2</v>
      </c>
      <c r="O2284" s="13">
        <v>13544.47</v>
      </c>
      <c r="P2284" s="13">
        <v>5495.51</v>
      </c>
      <c r="Q2284" s="13">
        <v>69.599999999999994</v>
      </c>
      <c r="R2284" s="1" t="s">
        <v>51</v>
      </c>
      <c r="S2284" s="1">
        <v>5</v>
      </c>
      <c r="T2284" s="1" t="b">
        <v>0</v>
      </c>
      <c r="U2284" s="1" t="s">
        <v>39</v>
      </c>
      <c r="V2284" s="3">
        <v>3</v>
      </c>
    </row>
    <row r="2285" spans="1:22" x14ac:dyDescent="0.3">
      <c r="A2285" s="2" t="s">
        <v>5058</v>
      </c>
      <c r="B2285" s="10">
        <v>44834</v>
      </c>
      <c r="C2285" s="22">
        <v>44834</v>
      </c>
      <c r="D2285" s="1" t="s">
        <v>5059</v>
      </c>
      <c r="E2285" s="1" t="s">
        <v>594</v>
      </c>
      <c r="F2285" s="1">
        <v>24</v>
      </c>
      <c r="G2285" s="1" t="s">
        <v>24</v>
      </c>
      <c r="H2285" s="1" t="s">
        <v>25</v>
      </c>
      <c r="I2285" s="1" t="s">
        <v>26</v>
      </c>
      <c r="J2285" s="1" t="s">
        <v>44</v>
      </c>
      <c r="K2285" s="1" t="s">
        <v>221</v>
      </c>
      <c r="L2285" s="1">
        <v>3</v>
      </c>
      <c r="M2285" s="13">
        <v>34037.07</v>
      </c>
      <c r="N2285" s="15">
        <v>0.1</v>
      </c>
      <c r="O2285" s="13">
        <v>115980.74</v>
      </c>
      <c r="P2285" s="13">
        <v>26885.75</v>
      </c>
      <c r="Q2285" s="13">
        <v>49.16</v>
      </c>
      <c r="R2285" s="1" t="s">
        <v>78</v>
      </c>
      <c r="S2285" s="1">
        <v>2</v>
      </c>
      <c r="T2285" s="1" t="b">
        <v>0</v>
      </c>
      <c r="U2285" s="1" t="s">
        <v>39</v>
      </c>
      <c r="V2285" s="3">
        <v>8</v>
      </c>
    </row>
    <row r="2286" spans="1:22" x14ac:dyDescent="0.3">
      <c r="A2286" s="2" t="s">
        <v>5060</v>
      </c>
      <c r="B2286" s="10">
        <v>44308</v>
      </c>
      <c r="C2286" s="22">
        <v>44308</v>
      </c>
      <c r="D2286" s="1" t="s">
        <v>5061</v>
      </c>
      <c r="E2286" s="1" t="s">
        <v>440</v>
      </c>
      <c r="F2286" s="1">
        <v>30</v>
      </c>
      <c r="G2286" s="1" t="s">
        <v>24</v>
      </c>
      <c r="H2286" s="1" t="s">
        <v>74</v>
      </c>
      <c r="I2286" s="1" t="s">
        <v>136</v>
      </c>
      <c r="J2286" s="1" t="s">
        <v>62</v>
      </c>
      <c r="K2286" s="1" t="s">
        <v>283</v>
      </c>
      <c r="L2286" s="1">
        <v>6</v>
      </c>
      <c r="M2286" s="13">
        <v>1073.03</v>
      </c>
      <c r="N2286" s="15">
        <v>0.26</v>
      </c>
      <c r="O2286" s="13">
        <v>5286.85</v>
      </c>
      <c r="P2286" s="13">
        <v>1947.67</v>
      </c>
      <c r="Q2286" s="13">
        <v>45.82</v>
      </c>
      <c r="R2286" s="1" t="s">
        <v>70</v>
      </c>
      <c r="S2286" s="1">
        <v>3</v>
      </c>
      <c r="T2286" s="1" t="b">
        <v>1</v>
      </c>
      <c r="U2286" s="1" t="s">
        <v>30</v>
      </c>
      <c r="V2286" s="3">
        <v>3</v>
      </c>
    </row>
    <row r="2287" spans="1:22" x14ac:dyDescent="0.3">
      <c r="A2287" s="2" t="s">
        <v>5062</v>
      </c>
      <c r="B2287" s="10">
        <v>44277</v>
      </c>
      <c r="C2287" s="22">
        <v>44277</v>
      </c>
      <c r="D2287" s="1" t="s">
        <v>5063</v>
      </c>
      <c r="E2287" s="1" t="s">
        <v>748</v>
      </c>
      <c r="F2287" s="1">
        <v>30</v>
      </c>
      <c r="G2287" s="1" t="s">
        <v>34</v>
      </c>
      <c r="H2287" s="1" t="s">
        <v>25</v>
      </c>
      <c r="I2287" s="1" t="s">
        <v>170</v>
      </c>
      <c r="J2287" s="1" t="s">
        <v>146</v>
      </c>
      <c r="K2287" s="1" t="s">
        <v>178</v>
      </c>
      <c r="L2287" s="1">
        <v>1</v>
      </c>
      <c r="M2287" s="13">
        <v>12561.13</v>
      </c>
      <c r="N2287" s="15">
        <v>0.13</v>
      </c>
      <c r="O2287" s="13">
        <v>10989.14</v>
      </c>
      <c r="P2287" s="13">
        <v>2498.7800000000002</v>
      </c>
      <c r="Q2287" s="13">
        <v>68.19</v>
      </c>
      <c r="R2287" s="1" t="s">
        <v>29</v>
      </c>
      <c r="S2287" s="1">
        <v>3</v>
      </c>
      <c r="T2287" s="1" t="b">
        <v>0</v>
      </c>
      <c r="U2287" s="1" t="s">
        <v>39</v>
      </c>
      <c r="V2287" s="3">
        <v>7</v>
      </c>
    </row>
    <row r="2288" spans="1:22" x14ac:dyDescent="0.3">
      <c r="A2288" s="2" t="s">
        <v>5064</v>
      </c>
      <c r="B2288" s="10">
        <v>45475</v>
      </c>
      <c r="C2288" s="22">
        <v>45475</v>
      </c>
      <c r="D2288" s="1" t="s">
        <v>5065</v>
      </c>
      <c r="E2288" s="1" t="s">
        <v>1091</v>
      </c>
      <c r="F2288" s="1">
        <v>25</v>
      </c>
      <c r="G2288" s="1" t="s">
        <v>24</v>
      </c>
      <c r="H2288" s="1" t="s">
        <v>111</v>
      </c>
      <c r="I2288" s="1" t="s">
        <v>330</v>
      </c>
      <c r="J2288" s="1" t="s">
        <v>44</v>
      </c>
      <c r="K2288" s="1" t="s">
        <v>45</v>
      </c>
      <c r="L2288" s="1">
        <v>4</v>
      </c>
      <c r="M2288" s="13">
        <v>28275.08</v>
      </c>
      <c r="N2288" s="15">
        <v>0.24</v>
      </c>
      <c r="O2288" s="13">
        <v>147352.35</v>
      </c>
      <c r="P2288" s="13">
        <v>53042.720000000001</v>
      </c>
      <c r="Q2288" s="13">
        <v>97.32</v>
      </c>
      <c r="R2288" s="1" t="s">
        <v>64</v>
      </c>
      <c r="S2288" s="1">
        <v>2</v>
      </c>
      <c r="T2288" s="1" t="b">
        <v>0</v>
      </c>
      <c r="U2288" s="1" t="s">
        <v>39</v>
      </c>
      <c r="V2288" s="3">
        <v>2</v>
      </c>
    </row>
    <row r="2289" spans="1:22" x14ac:dyDescent="0.3">
      <c r="A2289" s="2" t="s">
        <v>5066</v>
      </c>
      <c r="B2289" s="10">
        <v>45651</v>
      </c>
      <c r="C2289" s="22">
        <v>45651</v>
      </c>
      <c r="D2289" s="1" t="s">
        <v>5067</v>
      </c>
      <c r="E2289" s="1" t="s">
        <v>891</v>
      </c>
      <c r="F2289" s="1">
        <v>26</v>
      </c>
      <c r="G2289" s="1" t="s">
        <v>24</v>
      </c>
      <c r="H2289" s="1" t="s">
        <v>74</v>
      </c>
      <c r="I2289" s="1" t="s">
        <v>75</v>
      </c>
      <c r="J2289" s="1" t="s">
        <v>146</v>
      </c>
      <c r="K2289" s="1" t="s">
        <v>217</v>
      </c>
      <c r="L2289" s="1">
        <v>1</v>
      </c>
      <c r="M2289" s="13">
        <v>5533.14</v>
      </c>
      <c r="N2289" s="15">
        <v>0.17</v>
      </c>
      <c r="O2289" s="13">
        <v>4162.6899999999996</v>
      </c>
      <c r="P2289" s="13">
        <v>628.33000000000004</v>
      </c>
      <c r="Q2289" s="13">
        <v>62.44</v>
      </c>
      <c r="R2289" s="1" t="s">
        <v>51</v>
      </c>
      <c r="S2289" s="1">
        <v>4</v>
      </c>
      <c r="T2289" s="1" t="b">
        <v>0</v>
      </c>
      <c r="U2289" s="1" t="s">
        <v>84</v>
      </c>
      <c r="V2289" s="3">
        <v>6</v>
      </c>
    </row>
    <row r="2290" spans="1:22" x14ac:dyDescent="0.3">
      <c r="A2290" s="2" t="s">
        <v>5068</v>
      </c>
      <c r="B2290" s="10">
        <v>45115</v>
      </c>
      <c r="C2290" s="22">
        <v>45115</v>
      </c>
      <c r="D2290" s="1" t="s">
        <v>5069</v>
      </c>
      <c r="E2290" s="1" t="s">
        <v>1526</v>
      </c>
      <c r="F2290" s="1">
        <v>33</v>
      </c>
      <c r="G2290" s="1" t="s">
        <v>34</v>
      </c>
      <c r="H2290" s="1" t="s">
        <v>111</v>
      </c>
      <c r="I2290" s="1" t="s">
        <v>330</v>
      </c>
      <c r="J2290" s="1" t="s">
        <v>127</v>
      </c>
      <c r="K2290" s="1" t="s">
        <v>196</v>
      </c>
      <c r="L2290" s="1">
        <v>2</v>
      </c>
      <c r="M2290" s="13">
        <v>56614.17</v>
      </c>
      <c r="N2290" s="15">
        <v>0.28000000000000003</v>
      </c>
      <c r="O2290" s="13">
        <v>144440.74</v>
      </c>
      <c r="P2290" s="13">
        <v>23219.18</v>
      </c>
      <c r="Q2290" s="13">
        <v>57.08</v>
      </c>
      <c r="R2290" s="1" t="s">
        <v>70</v>
      </c>
      <c r="S2290" s="1">
        <v>1</v>
      </c>
      <c r="T2290" s="1" t="b">
        <v>0</v>
      </c>
      <c r="U2290" s="1" t="s">
        <v>84</v>
      </c>
      <c r="V2290" s="3">
        <v>10</v>
      </c>
    </row>
    <row r="2291" spans="1:22" x14ac:dyDescent="0.3">
      <c r="A2291" s="2" t="s">
        <v>5070</v>
      </c>
      <c r="B2291" s="10">
        <v>45038</v>
      </c>
      <c r="C2291" s="22">
        <v>45038</v>
      </c>
      <c r="D2291" s="1" t="s">
        <v>5071</v>
      </c>
      <c r="E2291" s="1" t="s">
        <v>324</v>
      </c>
      <c r="F2291" s="1">
        <v>54</v>
      </c>
      <c r="G2291" s="1" t="s">
        <v>68</v>
      </c>
      <c r="H2291" s="1" t="s">
        <v>35</v>
      </c>
      <c r="I2291" s="1" t="s">
        <v>36</v>
      </c>
      <c r="J2291" s="1" t="s">
        <v>76</v>
      </c>
      <c r="K2291" s="1" t="s">
        <v>113</v>
      </c>
      <c r="L2291" s="1">
        <v>8</v>
      </c>
      <c r="M2291" s="13">
        <v>567.16999999999996</v>
      </c>
      <c r="N2291" s="15">
        <v>0.08</v>
      </c>
      <c r="O2291" s="13">
        <v>6261.36</v>
      </c>
      <c r="P2291" s="13">
        <v>1397.16</v>
      </c>
      <c r="Q2291" s="13">
        <v>86.75</v>
      </c>
      <c r="R2291" s="1" t="s">
        <v>78</v>
      </c>
      <c r="S2291" s="1">
        <v>4</v>
      </c>
      <c r="T2291" s="1" t="b">
        <v>0</v>
      </c>
      <c r="U2291" s="1" t="s">
        <v>137</v>
      </c>
      <c r="V2291" s="3">
        <v>9</v>
      </c>
    </row>
    <row r="2292" spans="1:22" x14ac:dyDescent="0.3">
      <c r="A2292" s="2" t="s">
        <v>5072</v>
      </c>
      <c r="B2292" s="10">
        <v>44160</v>
      </c>
      <c r="C2292" s="22">
        <v>44160</v>
      </c>
      <c r="D2292" s="1" t="s">
        <v>5073</v>
      </c>
      <c r="E2292" s="1" t="s">
        <v>2130</v>
      </c>
      <c r="F2292" s="1">
        <v>38</v>
      </c>
      <c r="G2292" s="1" t="s">
        <v>68</v>
      </c>
      <c r="H2292" s="1" t="s">
        <v>25</v>
      </c>
      <c r="I2292" s="1" t="s">
        <v>170</v>
      </c>
      <c r="J2292" s="1" t="s">
        <v>76</v>
      </c>
      <c r="K2292" s="1" t="s">
        <v>113</v>
      </c>
      <c r="L2292" s="1">
        <v>3</v>
      </c>
      <c r="M2292" s="13">
        <v>388.2</v>
      </c>
      <c r="N2292" s="15">
        <v>0.11</v>
      </c>
      <c r="O2292" s="13">
        <v>726</v>
      </c>
      <c r="P2292" s="13">
        <v>291.01</v>
      </c>
      <c r="Q2292" s="13">
        <v>45.27</v>
      </c>
      <c r="R2292" s="1" t="s">
        <v>78</v>
      </c>
      <c r="S2292" s="1">
        <v>4</v>
      </c>
      <c r="T2292" s="1" t="b">
        <v>0</v>
      </c>
      <c r="U2292" s="1" t="s">
        <v>39</v>
      </c>
      <c r="V2292" s="3">
        <v>10</v>
      </c>
    </row>
    <row r="2293" spans="1:22" x14ac:dyDescent="0.3">
      <c r="A2293" s="2" t="s">
        <v>5074</v>
      </c>
      <c r="B2293" s="10">
        <v>44038</v>
      </c>
      <c r="C2293" s="22">
        <v>44038</v>
      </c>
      <c r="D2293" s="1" t="s">
        <v>5075</v>
      </c>
      <c r="E2293" s="1" t="s">
        <v>1645</v>
      </c>
      <c r="F2293" s="1">
        <v>36</v>
      </c>
      <c r="G2293" s="1" t="s">
        <v>391</v>
      </c>
      <c r="H2293" s="1" t="s">
        <v>74</v>
      </c>
      <c r="I2293" s="1" t="s">
        <v>75</v>
      </c>
      <c r="J2293" s="1" t="s">
        <v>27</v>
      </c>
      <c r="K2293" s="1" t="s">
        <v>28</v>
      </c>
      <c r="L2293" s="1">
        <v>7</v>
      </c>
      <c r="M2293" s="13">
        <v>118.71</v>
      </c>
      <c r="N2293" s="15">
        <v>0.24</v>
      </c>
      <c r="O2293" s="13">
        <v>795.47</v>
      </c>
      <c r="P2293" s="13">
        <v>48.6</v>
      </c>
      <c r="Q2293" s="13">
        <v>62.14</v>
      </c>
      <c r="R2293" s="1" t="s">
        <v>78</v>
      </c>
      <c r="S2293" s="1">
        <v>5</v>
      </c>
      <c r="T2293" s="1" t="b">
        <v>0</v>
      </c>
      <c r="U2293" s="1" t="s">
        <v>39</v>
      </c>
      <c r="V2293" s="3">
        <v>1</v>
      </c>
    </row>
    <row r="2294" spans="1:22" x14ac:dyDescent="0.3">
      <c r="A2294" s="2" t="s">
        <v>5076</v>
      </c>
      <c r="B2294" s="10">
        <v>44652</v>
      </c>
      <c r="C2294" s="22">
        <v>44652</v>
      </c>
      <c r="D2294" s="1" t="s">
        <v>5077</v>
      </c>
      <c r="E2294" s="1" t="s">
        <v>611</v>
      </c>
      <c r="F2294" s="1">
        <v>46</v>
      </c>
      <c r="G2294" s="1" t="s">
        <v>68</v>
      </c>
      <c r="H2294" s="1" t="s">
        <v>35</v>
      </c>
      <c r="I2294" s="1" t="s">
        <v>49</v>
      </c>
      <c r="J2294" s="1" t="s">
        <v>27</v>
      </c>
      <c r="K2294" s="1" t="s">
        <v>56</v>
      </c>
      <c r="L2294" s="1">
        <v>4</v>
      </c>
      <c r="M2294" s="13">
        <v>330.31</v>
      </c>
      <c r="N2294" s="15">
        <v>0.23</v>
      </c>
      <c r="O2294" s="13">
        <v>1343.96</v>
      </c>
      <c r="P2294" s="13">
        <v>143.62</v>
      </c>
      <c r="Q2294" s="13">
        <v>54.53</v>
      </c>
      <c r="R2294" s="1" t="s">
        <v>78</v>
      </c>
      <c r="S2294" s="1">
        <v>2</v>
      </c>
      <c r="T2294" s="1" t="b">
        <v>0</v>
      </c>
      <c r="U2294" s="1" t="s">
        <v>39</v>
      </c>
      <c r="V2294" s="3">
        <v>9</v>
      </c>
    </row>
    <row r="2295" spans="1:22" x14ac:dyDescent="0.3">
      <c r="A2295" s="2" t="s">
        <v>5078</v>
      </c>
      <c r="B2295" s="10">
        <v>44751</v>
      </c>
      <c r="C2295" s="22">
        <v>44751</v>
      </c>
      <c r="D2295" s="1" t="s">
        <v>5079</v>
      </c>
      <c r="E2295" s="1" t="s">
        <v>3077</v>
      </c>
      <c r="F2295" s="1">
        <v>33</v>
      </c>
      <c r="G2295" s="1" t="s">
        <v>34</v>
      </c>
      <c r="H2295" s="1" t="s">
        <v>25</v>
      </c>
      <c r="I2295" s="1" t="s">
        <v>26</v>
      </c>
      <c r="J2295" s="1" t="s">
        <v>27</v>
      </c>
      <c r="K2295" s="1" t="s">
        <v>28</v>
      </c>
      <c r="L2295" s="1">
        <v>8</v>
      </c>
      <c r="M2295" s="13">
        <v>369.94</v>
      </c>
      <c r="N2295" s="15">
        <v>0.26</v>
      </c>
      <c r="O2295" s="13">
        <v>3428.74</v>
      </c>
      <c r="P2295" s="13">
        <v>224.86</v>
      </c>
      <c r="Q2295" s="13">
        <v>71.66</v>
      </c>
      <c r="R2295" s="1" t="s">
        <v>51</v>
      </c>
      <c r="S2295" s="1">
        <v>2</v>
      </c>
      <c r="T2295" s="1" t="b">
        <v>0</v>
      </c>
      <c r="U2295" s="1" t="s">
        <v>39</v>
      </c>
      <c r="V2295" s="3">
        <v>5</v>
      </c>
    </row>
    <row r="2296" spans="1:22" x14ac:dyDescent="0.3">
      <c r="A2296" s="2" t="s">
        <v>5080</v>
      </c>
      <c r="B2296" s="10">
        <v>44620</v>
      </c>
      <c r="C2296" s="22">
        <v>44620</v>
      </c>
      <c r="D2296" s="1" t="s">
        <v>5081</v>
      </c>
      <c r="E2296" s="1" t="s">
        <v>523</v>
      </c>
      <c r="F2296" s="1">
        <v>41</v>
      </c>
      <c r="G2296" s="1" t="s">
        <v>24</v>
      </c>
      <c r="H2296" s="1" t="s">
        <v>82</v>
      </c>
      <c r="I2296" s="1" t="s">
        <v>83</v>
      </c>
      <c r="J2296" s="1" t="s">
        <v>62</v>
      </c>
      <c r="K2296" s="1" t="s">
        <v>283</v>
      </c>
      <c r="L2296" s="1">
        <v>8</v>
      </c>
      <c r="M2296" s="13">
        <v>1067.22</v>
      </c>
      <c r="N2296" s="15">
        <v>0.26</v>
      </c>
      <c r="O2296" s="13">
        <v>5458.98</v>
      </c>
      <c r="P2296" s="13">
        <v>2138.94</v>
      </c>
      <c r="Q2296" s="13">
        <v>104.44</v>
      </c>
      <c r="R2296" s="1" t="s">
        <v>29</v>
      </c>
      <c r="S2296" s="1">
        <v>4</v>
      </c>
      <c r="T2296" s="1" t="b">
        <v>0</v>
      </c>
      <c r="U2296" s="1" t="s">
        <v>84</v>
      </c>
      <c r="V2296" s="3">
        <v>4</v>
      </c>
    </row>
    <row r="2297" spans="1:22" x14ac:dyDescent="0.3">
      <c r="A2297" s="2" t="s">
        <v>5082</v>
      </c>
      <c r="B2297" s="10">
        <v>45148</v>
      </c>
      <c r="C2297" s="22">
        <v>45148</v>
      </c>
      <c r="D2297" s="1" t="s">
        <v>5083</v>
      </c>
      <c r="E2297" s="1" t="s">
        <v>468</v>
      </c>
      <c r="F2297" s="1">
        <v>23</v>
      </c>
      <c r="G2297" s="1" t="s">
        <v>34</v>
      </c>
      <c r="H2297" s="1" t="s">
        <v>82</v>
      </c>
      <c r="I2297" s="1" t="s">
        <v>126</v>
      </c>
      <c r="J2297" s="1" t="s">
        <v>44</v>
      </c>
      <c r="K2297" s="1" t="s">
        <v>221</v>
      </c>
      <c r="L2297" s="1">
        <v>7</v>
      </c>
      <c r="M2297" s="13">
        <v>15156.04</v>
      </c>
      <c r="N2297" s="15">
        <v>0.15</v>
      </c>
      <c r="O2297" s="13">
        <v>114775.93</v>
      </c>
      <c r="P2297" s="13">
        <v>33669.82</v>
      </c>
      <c r="Q2297" s="13">
        <v>85.32</v>
      </c>
      <c r="R2297" s="1" t="s">
        <v>29</v>
      </c>
      <c r="S2297" s="1">
        <v>5</v>
      </c>
      <c r="T2297" s="1" t="b">
        <v>0</v>
      </c>
      <c r="U2297" s="1" t="s">
        <v>39</v>
      </c>
      <c r="V2297" s="3">
        <v>5</v>
      </c>
    </row>
    <row r="2298" spans="1:22" x14ac:dyDescent="0.3">
      <c r="A2298" s="2" t="s">
        <v>5084</v>
      </c>
      <c r="B2298" s="10">
        <v>43879</v>
      </c>
      <c r="C2298" s="22">
        <v>43879</v>
      </c>
      <c r="D2298" s="1" t="s">
        <v>5085</v>
      </c>
      <c r="E2298" s="1" t="s">
        <v>638</v>
      </c>
      <c r="F2298" s="1">
        <v>30</v>
      </c>
      <c r="G2298" s="1" t="s">
        <v>24</v>
      </c>
      <c r="H2298" s="1" t="s">
        <v>82</v>
      </c>
      <c r="I2298" s="1" t="s">
        <v>126</v>
      </c>
      <c r="J2298" s="1" t="s">
        <v>37</v>
      </c>
      <c r="K2298" s="1" t="s">
        <v>182</v>
      </c>
      <c r="L2298" s="1">
        <v>3</v>
      </c>
      <c r="M2298" s="13">
        <v>1886.27</v>
      </c>
      <c r="N2298" s="15">
        <v>0.33</v>
      </c>
      <c r="O2298" s="13">
        <v>3436.09</v>
      </c>
      <c r="P2298" s="13">
        <v>1565.04</v>
      </c>
      <c r="Q2298" s="13">
        <v>95.79</v>
      </c>
      <c r="R2298" s="1" t="s">
        <v>57</v>
      </c>
      <c r="S2298" s="1">
        <v>2</v>
      </c>
      <c r="T2298" s="1" t="b">
        <v>0</v>
      </c>
      <c r="U2298" s="1" t="s">
        <v>39</v>
      </c>
      <c r="V2298" s="3">
        <v>3</v>
      </c>
    </row>
    <row r="2299" spans="1:22" x14ac:dyDescent="0.3">
      <c r="A2299" s="2" t="s">
        <v>5086</v>
      </c>
      <c r="B2299" s="10">
        <v>45440</v>
      </c>
      <c r="C2299" s="22">
        <v>45440</v>
      </c>
      <c r="D2299" s="1" t="s">
        <v>5087</v>
      </c>
      <c r="E2299" s="1" t="s">
        <v>558</v>
      </c>
      <c r="F2299" s="1">
        <v>17</v>
      </c>
      <c r="G2299" s="1" t="s">
        <v>34</v>
      </c>
      <c r="H2299" s="1" t="s">
        <v>74</v>
      </c>
      <c r="I2299" s="1" t="s">
        <v>136</v>
      </c>
      <c r="J2299" s="1" t="s">
        <v>37</v>
      </c>
      <c r="K2299" s="1" t="s">
        <v>454</v>
      </c>
      <c r="L2299" s="1">
        <v>6</v>
      </c>
      <c r="M2299" s="13">
        <v>1898.74</v>
      </c>
      <c r="N2299" s="15">
        <v>0.34</v>
      </c>
      <c r="O2299" s="13">
        <v>10406.290000000001</v>
      </c>
      <c r="P2299" s="13">
        <v>5251.12</v>
      </c>
      <c r="Q2299" s="13">
        <v>29.46</v>
      </c>
      <c r="R2299" s="1" t="s">
        <v>70</v>
      </c>
      <c r="S2299" s="1">
        <v>3</v>
      </c>
      <c r="T2299" s="1" t="b">
        <v>0</v>
      </c>
      <c r="U2299" s="1" t="s">
        <v>39</v>
      </c>
      <c r="V2299" s="3">
        <v>10</v>
      </c>
    </row>
    <row r="2300" spans="1:22" x14ac:dyDescent="0.3">
      <c r="A2300" s="2" t="s">
        <v>5088</v>
      </c>
      <c r="B2300" s="10">
        <v>44709</v>
      </c>
      <c r="C2300" s="22">
        <v>44709</v>
      </c>
      <c r="D2300" s="1" t="s">
        <v>5089</v>
      </c>
      <c r="E2300" s="1" t="s">
        <v>440</v>
      </c>
      <c r="F2300" s="1">
        <v>23</v>
      </c>
      <c r="G2300" s="1" t="s">
        <v>34</v>
      </c>
      <c r="H2300" s="1" t="s">
        <v>35</v>
      </c>
      <c r="I2300" s="1" t="s">
        <v>36</v>
      </c>
      <c r="J2300" s="1" t="s">
        <v>127</v>
      </c>
      <c r="K2300" s="1" t="s">
        <v>142</v>
      </c>
      <c r="L2300" s="1">
        <v>6</v>
      </c>
      <c r="M2300" s="13">
        <v>5871.14</v>
      </c>
      <c r="N2300" s="15">
        <v>0.18</v>
      </c>
      <c r="O2300" s="13">
        <v>43719.56</v>
      </c>
      <c r="P2300" s="13">
        <v>4755.5</v>
      </c>
      <c r="Q2300" s="13">
        <v>68.010000000000005</v>
      </c>
      <c r="R2300" s="1" t="s">
        <v>29</v>
      </c>
      <c r="S2300" s="1">
        <v>2</v>
      </c>
      <c r="T2300" s="1" t="b">
        <v>0</v>
      </c>
      <c r="U2300" s="1" t="s">
        <v>39</v>
      </c>
      <c r="V2300" s="3">
        <v>5</v>
      </c>
    </row>
    <row r="2301" spans="1:22" x14ac:dyDescent="0.3">
      <c r="A2301" s="2" t="s">
        <v>5090</v>
      </c>
      <c r="B2301" s="10">
        <v>44123</v>
      </c>
      <c r="C2301" s="22">
        <v>44123</v>
      </c>
      <c r="D2301" s="1" t="s">
        <v>5091</v>
      </c>
      <c r="E2301" s="1" t="s">
        <v>953</v>
      </c>
      <c r="F2301" s="1">
        <v>41</v>
      </c>
      <c r="G2301" s="1" t="s">
        <v>34</v>
      </c>
      <c r="H2301" s="1" t="s">
        <v>74</v>
      </c>
      <c r="I2301" s="1" t="s">
        <v>136</v>
      </c>
      <c r="J2301" s="1" t="s">
        <v>76</v>
      </c>
      <c r="K2301" s="1" t="s">
        <v>89</v>
      </c>
      <c r="L2301" s="1">
        <v>8</v>
      </c>
      <c r="M2301" s="13">
        <v>1138.0899999999999</v>
      </c>
      <c r="N2301" s="15">
        <v>0.36</v>
      </c>
      <c r="O2301" s="13">
        <v>5187.76</v>
      </c>
      <c r="P2301" s="13">
        <v>1423.15</v>
      </c>
      <c r="Q2301" s="13">
        <v>52.7</v>
      </c>
      <c r="R2301" s="1" t="s">
        <v>57</v>
      </c>
      <c r="S2301" s="1">
        <v>4</v>
      </c>
      <c r="T2301" s="1" t="b">
        <v>0</v>
      </c>
      <c r="U2301" s="1" t="s">
        <v>39</v>
      </c>
      <c r="V2301" s="3">
        <v>9</v>
      </c>
    </row>
    <row r="2302" spans="1:22" x14ac:dyDescent="0.3">
      <c r="A2302" s="2" t="s">
        <v>5092</v>
      </c>
      <c r="B2302" s="10">
        <v>43933</v>
      </c>
      <c r="C2302" s="22">
        <v>43933</v>
      </c>
      <c r="D2302" s="1" t="s">
        <v>5093</v>
      </c>
      <c r="E2302" s="1" t="s">
        <v>583</v>
      </c>
      <c r="F2302" s="1">
        <v>1</v>
      </c>
      <c r="G2302" s="1" t="s">
        <v>68</v>
      </c>
      <c r="H2302" s="1" t="s">
        <v>111</v>
      </c>
      <c r="I2302" s="1" t="s">
        <v>330</v>
      </c>
      <c r="J2302" s="1" t="s">
        <v>44</v>
      </c>
      <c r="K2302" s="1" t="s">
        <v>45</v>
      </c>
      <c r="L2302" s="1">
        <v>9</v>
      </c>
      <c r="M2302" s="13">
        <v>5556.57</v>
      </c>
      <c r="N2302" s="15">
        <v>0.21</v>
      </c>
      <c r="O2302" s="13">
        <v>63448.11</v>
      </c>
      <c r="P2302" s="13">
        <v>17305.03</v>
      </c>
      <c r="Q2302" s="13">
        <v>66.44</v>
      </c>
      <c r="R2302" s="1" t="s">
        <v>70</v>
      </c>
      <c r="S2302" s="1">
        <v>4</v>
      </c>
      <c r="T2302" s="1" t="b">
        <v>0</v>
      </c>
      <c r="U2302" s="1" t="s">
        <v>39</v>
      </c>
      <c r="V2302" s="3">
        <v>10</v>
      </c>
    </row>
    <row r="2303" spans="1:22" x14ac:dyDescent="0.3">
      <c r="A2303" s="2" t="s">
        <v>5094</v>
      </c>
      <c r="B2303" s="10">
        <v>44464</v>
      </c>
      <c r="C2303" s="22">
        <v>44464</v>
      </c>
      <c r="D2303" s="1" t="s">
        <v>5095</v>
      </c>
      <c r="E2303" s="1" t="s">
        <v>983</v>
      </c>
      <c r="F2303" s="1">
        <v>43</v>
      </c>
      <c r="G2303" s="1" t="s">
        <v>24</v>
      </c>
      <c r="H2303" s="1" t="s">
        <v>25</v>
      </c>
      <c r="I2303" s="1" t="s">
        <v>69</v>
      </c>
      <c r="J2303" s="1" t="s">
        <v>76</v>
      </c>
      <c r="K2303" s="1" t="s">
        <v>122</v>
      </c>
      <c r="L2303" s="1">
        <v>10</v>
      </c>
      <c r="M2303" s="13">
        <v>3186.14</v>
      </c>
      <c r="N2303" s="15">
        <v>0.28000000000000003</v>
      </c>
      <c r="O2303" s="13">
        <v>22148.240000000002</v>
      </c>
      <c r="P2303" s="13">
        <v>6072.78</v>
      </c>
      <c r="Q2303" s="13">
        <v>50.45</v>
      </c>
      <c r="R2303" s="1" t="s">
        <v>78</v>
      </c>
      <c r="S2303" s="1">
        <v>1</v>
      </c>
      <c r="T2303" s="1" t="b">
        <v>0</v>
      </c>
      <c r="U2303" s="1" t="s">
        <v>84</v>
      </c>
      <c r="V2303" s="3">
        <v>9</v>
      </c>
    </row>
    <row r="2304" spans="1:22" x14ac:dyDescent="0.3">
      <c r="A2304" s="2" t="s">
        <v>5096</v>
      </c>
      <c r="B2304" s="10">
        <v>45307</v>
      </c>
      <c r="C2304" s="22">
        <v>45307</v>
      </c>
      <c r="D2304" s="1" t="s">
        <v>5097</v>
      </c>
      <c r="E2304" s="1" t="s">
        <v>307</v>
      </c>
      <c r="F2304" s="1">
        <v>40</v>
      </c>
      <c r="G2304" s="1" t="s">
        <v>68</v>
      </c>
      <c r="H2304" s="1" t="s">
        <v>35</v>
      </c>
      <c r="I2304" s="1" t="s">
        <v>49</v>
      </c>
      <c r="J2304" s="1" t="s">
        <v>27</v>
      </c>
      <c r="K2304" s="1" t="s">
        <v>56</v>
      </c>
      <c r="L2304" s="1">
        <v>7</v>
      </c>
      <c r="M2304" s="13">
        <v>173.44</v>
      </c>
      <c r="N2304" s="15">
        <v>0.05</v>
      </c>
      <c r="O2304" s="13">
        <v>1132.82</v>
      </c>
      <c r="P2304" s="13">
        <v>55.67</v>
      </c>
      <c r="Q2304" s="13">
        <v>58.19</v>
      </c>
      <c r="R2304" s="1" t="s">
        <v>51</v>
      </c>
      <c r="S2304" s="1">
        <v>3</v>
      </c>
      <c r="T2304" s="1" t="b">
        <v>0</v>
      </c>
      <c r="U2304" s="1" t="s">
        <v>39</v>
      </c>
      <c r="V2304" s="3">
        <v>9</v>
      </c>
    </row>
    <row r="2305" spans="1:22" x14ac:dyDescent="0.3">
      <c r="A2305" s="2" t="s">
        <v>5098</v>
      </c>
      <c r="B2305" s="10">
        <v>45502</v>
      </c>
      <c r="C2305" s="22">
        <v>45502</v>
      </c>
      <c r="D2305" s="1" t="s">
        <v>5099</v>
      </c>
      <c r="E2305" s="1" t="s">
        <v>87</v>
      </c>
      <c r="F2305" s="1">
        <v>38</v>
      </c>
      <c r="G2305" s="1" t="s">
        <v>68</v>
      </c>
      <c r="H2305" s="1" t="s">
        <v>82</v>
      </c>
      <c r="I2305" s="1" t="s">
        <v>83</v>
      </c>
      <c r="J2305" s="1" t="s">
        <v>146</v>
      </c>
      <c r="K2305" s="1" t="s">
        <v>484</v>
      </c>
      <c r="L2305" s="1">
        <v>3</v>
      </c>
      <c r="M2305" s="13">
        <v>6269.53</v>
      </c>
      <c r="N2305" s="15">
        <v>0.24</v>
      </c>
      <c r="O2305" s="13">
        <v>23681.14</v>
      </c>
      <c r="P2305" s="13">
        <v>4768.1099999999997</v>
      </c>
      <c r="Q2305" s="13">
        <v>85.33</v>
      </c>
      <c r="R2305" s="1" t="s">
        <v>57</v>
      </c>
      <c r="S2305" s="1">
        <v>4</v>
      </c>
      <c r="T2305" s="1" t="b">
        <v>0</v>
      </c>
      <c r="U2305" s="1" t="s">
        <v>39</v>
      </c>
      <c r="V2305" s="3">
        <v>9</v>
      </c>
    </row>
    <row r="2306" spans="1:22" x14ac:dyDescent="0.3">
      <c r="A2306" s="2" t="s">
        <v>5100</v>
      </c>
      <c r="B2306" s="10">
        <v>43919</v>
      </c>
      <c r="C2306" s="22">
        <v>43919</v>
      </c>
      <c r="D2306" s="1" t="s">
        <v>5101</v>
      </c>
      <c r="E2306" s="1" t="s">
        <v>3664</v>
      </c>
      <c r="F2306" s="1">
        <v>39</v>
      </c>
      <c r="G2306" s="1" t="s">
        <v>68</v>
      </c>
      <c r="H2306" s="1" t="s">
        <v>74</v>
      </c>
      <c r="I2306" s="1" t="s">
        <v>192</v>
      </c>
      <c r="J2306" s="1" t="s">
        <v>146</v>
      </c>
      <c r="K2306" s="1" t="s">
        <v>147</v>
      </c>
      <c r="L2306" s="1">
        <v>2</v>
      </c>
      <c r="M2306" s="13">
        <v>2591.38</v>
      </c>
      <c r="N2306" s="15">
        <v>0.13</v>
      </c>
      <c r="O2306" s="13">
        <v>4195.59</v>
      </c>
      <c r="P2306" s="13">
        <v>758.43</v>
      </c>
      <c r="Q2306" s="13">
        <v>65.22</v>
      </c>
      <c r="R2306" s="1" t="s">
        <v>29</v>
      </c>
      <c r="S2306" s="1">
        <v>3</v>
      </c>
      <c r="T2306" s="1" t="b">
        <v>0</v>
      </c>
      <c r="U2306" s="1" t="s">
        <v>39</v>
      </c>
      <c r="V2306" s="3">
        <v>3</v>
      </c>
    </row>
    <row r="2307" spans="1:22" x14ac:dyDescent="0.3">
      <c r="A2307" s="2" t="s">
        <v>5102</v>
      </c>
      <c r="B2307" s="10">
        <v>45509</v>
      </c>
      <c r="C2307" s="22">
        <v>45509</v>
      </c>
      <c r="D2307" s="1" t="s">
        <v>5103</v>
      </c>
      <c r="E2307" s="1" t="s">
        <v>1181</v>
      </c>
      <c r="F2307" s="1">
        <v>30</v>
      </c>
      <c r="G2307" s="1" t="s">
        <v>34</v>
      </c>
      <c r="H2307" s="1" t="s">
        <v>74</v>
      </c>
      <c r="I2307" s="1" t="s">
        <v>75</v>
      </c>
      <c r="J2307" s="1" t="s">
        <v>76</v>
      </c>
      <c r="K2307" s="1" t="s">
        <v>132</v>
      </c>
      <c r="L2307" s="1">
        <v>8</v>
      </c>
      <c r="M2307" s="13">
        <v>621.6</v>
      </c>
      <c r="N2307" s="15">
        <v>0.38</v>
      </c>
      <c r="O2307" s="13">
        <v>4928.83</v>
      </c>
      <c r="P2307" s="13">
        <v>1949.33</v>
      </c>
      <c r="Q2307" s="13">
        <v>65.22</v>
      </c>
      <c r="R2307" s="1" t="s">
        <v>29</v>
      </c>
      <c r="S2307" s="1">
        <v>5</v>
      </c>
      <c r="T2307" s="1" t="b">
        <v>0</v>
      </c>
      <c r="U2307" s="1" t="s">
        <v>39</v>
      </c>
      <c r="V2307" s="3">
        <v>3</v>
      </c>
    </row>
    <row r="2308" spans="1:22" x14ac:dyDescent="0.3">
      <c r="A2308" s="2" t="s">
        <v>5104</v>
      </c>
      <c r="B2308" s="10">
        <v>44752</v>
      </c>
      <c r="C2308" s="22">
        <v>44752</v>
      </c>
      <c r="D2308" s="1" t="s">
        <v>5105</v>
      </c>
      <c r="E2308" s="1" t="s">
        <v>403</v>
      </c>
      <c r="F2308" s="1">
        <v>0</v>
      </c>
      <c r="G2308" s="1" t="s">
        <v>24</v>
      </c>
      <c r="H2308" s="1" t="s">
        <v>35</v>
      </c>
      <c r="I2308" s="1" t="s">
        <v>43</v>
      </c>
      <c r="J2308" s="1" t="s">
        <v>127</v>
      </c>
      <c r="K2308" s="1" t="s">
        <v>517</v>
      </c>
      <c r="L2308" s="1">
        <v>1</v>
      </c>
      <c r="M2308" s="13">
        <v>48337.97</v>
      </c>
      <c r="N2308" s="15">
        <v>0.32</v>
      </c>
      <c r="O2308" s="13">
        <v>44955.59</v>
      </c>
      <c r="P2308" s="13">
        <v>5471.73</v>
      </c>
      <c r="Q2308" s="13">
        <v>70.75</v>
      </c>
      <c r="R2308" s="1" t="s">
        <v>64</v>
      </c>
      <c r="S2308" s="1">
        <v>3</v>
      </c>
      <c r="T2308" s="1" t="b">
        <v>0</v>
      </c>
      <c r="U2308" s="1" t="s">
        <v>84</v>
      </c>
      <c r="V2308" s="3">
        <v>2</v>
      </c>
    </row>
    <row r="2309" spans="1:22" x14ac:dyDescent="0.3">
      <c r="A2309" s="2" t="s">
        <v>5106</v>
      </c>
      <c r="B2309" s="10">
        <v>44562</v>
      </c>
      <c r="C2309" s="22">
        <v>44562</v>
      </c>
      <c r="D2309" s="1" t="s">
        <v>5107</v>
      </c>
      <c r="E2309" s="1" t="s">
        <v>61</v>
      </c>
      <c r="F2309" s="1">
        <v>16</v>
      </c>
      <c r="G2309" s="1" t="s">
        <v>24</v>
      </c>
      <c r="H2309" s="1" t="s">
        <v>82</v>
      </c>
      <c r="I2309" s="1" t="s">
        <v>126</v>
      </c>
      <c r="J2309" s="1" t="s">
        <v>76</v>
      </c>
      <c r="K2309" s="1" t="s">
        <v>132</v>
      </c>
      <c r="L2309" s="1">
        <v>2</v>
      </c>
      <c r="M2309" s="13">
        <v>2623.07</v>
      </c>
      <c r="N2309" s="15">
        <v>0.38</v>
      </c>
      <c r="O2309" s="13">
        <v>3223.71</v>
      </c>
      <c r="P2309" s="13">
        <v>1450.69</v>
      </c>
      <c r="Q2309" s="13">
        <v>53.01</v>
      </c>
      <c r="R2309" s="1" t="s">
        <v>51</v>
      </c>
      <c r="S2309" s="1">
        <v>2</v>
      </c>
      <c r="T2309" s="1" t="b">
        <v>0</v>
      </c>
      <c r="U2309" s="1" t="s">
        <v>197</v>
      </c>
      <c r="V2309" s="3">
        <v>5</v>
      </c>
    </row>
    <row r="2310" spans="1:22" x14ac:dyDescent="0.3">
      <c r="A2310" s="2" t="s">
        <v>5108</v>
      </c>
      <c r="B2310" s="10">
        <v>45487</v>
      </c>
      <c r="C2310" s="22">
        <v>45487</v>
      </c>
      <c r="D2310" s="1" t="s">
        <v>5109</v>
      </c>
      <c r="E2310" s="1" t="s">
        <v>608</v>
      </c>
      <c r="F2310" s="1">
        <v>23</v>
      </c>
      <c r="G2310" s="1" t="s">
        <v>68</v>
      </c>
      <c r="H2310" s="1" t="s">
        <v>35</v>
      </c>
      <c r="I2310" s="1" t="s">
        <v>36</v>
      </c>
      <c r="J2310" s="1" t="s">
        <v>127</v>
      </c>
      <c r="K2310" s="1" t="s">
        <v>517</v>
      </c>
      <c r="L2310" s="1">
        <v>10</v>
      </c>
      <c r="M2310" s="13">
        <v>57591.46</v>
      </c>
      <c r="N2310" s="15">
        <v>0.13</v>
      </c>
      <c r="O2310" s="13">
        <v>797146.87</v>
      </c>
      <c r="P2310" s="13">
        <v>88464.11</v>
      </c>
      <c r="Q2310" s="13">
        <v>76.680000000000007</v>
      </c>
      <c r="R2310" s="1" t="s">
        <v>51</v>
      </c>
      <c r="S2310" s="1">
        <v>2</v>
      </c>
      <c r="T2310" s="1" t="b">
        <v>1</v>
      </c>
      <c r="U2310" s="1" t="s">
        <v>30</v>
      </c>
      <c r="V2310" s="3">
        <v>6</v>
      </c>
    </row>
    <row r="2311" spans="1:22" x14ac:dyDescent="0.3">
      <c r="A2311" s="2" t="s">
        <v>5110</v>
      </c>
      <c r="B2311" s="10">
        <v>44183</v>
      </c>
      <c r="C2311" s="22">
        <v>44183</v>
      </c>
      <c r="D2311" s="1" t="s">
        <v>5111</v>
      </c>
      <c r="E2311" s="1" t="s">
        <v>437</v>
      </c>
      <c r="F2311" s="1">
        <v>34</v>
      </c>
      <c r="G2311" s="1" t="s">
        <v>24</v>
      </c>
      <c r="H2311" s="1" t="s">
        <v>74</v>
      </c>
      <c r="I2311" s="1" t="s">
        <v>192</v>
      </c>
      <c r="J2311" s="1" t="s">
        <v>62</v>
      </c>
      <c r="K2311" s="1" t="s">
        <v>283</v>
      </c>
      <c r="L2311" s="1">
        <v>3</v>
      </c>
      <c r="M2311" s="13">
        <v>446.15</v>
      </c>
      <c r="N2311" s="15">
        <v>0.33</v>
      </c>
      <c r="O2311" s="13">
        <v>591.1</v>
      </c>
      <c r="P2311" s="13">
        <v>239.69</v>
      </c>
      <c r="Q2311" s="13">
        <v>53.12</v>
      </c>
      <c r="R2311" s="1" t="s">
        <v>29</v>
      </c>
      <c r="S2311" s="1">
        <v>3</v>
      </c>
      <c r="T2311" s="1" t="b">
        <v>0</v>
      </c>
      <c r="U2311" s="1" t="s">
        <v>137</v>
      </c>
      <c r="V2311" s="3">
        <v>3</v>
      </c>
    </row>
    <row r="2312" spans="1:22" x14ac:dyDescent="0.3">
      <c r="A2312" s="2" t="s">
        <v>5112</v>
      </c>
      <c r="B2312" s="10">
        <v>44327</v>
      </c>
      <c r="C2312" s="22">
        <v>44327</v>
      </c>
      <c r="D2312" s="1" t="s">
        <v>5113</v>
      </c>
      <c r="E2312" s="1" t="s">
        <v>732</v>
      </c>
      <c r="F2312" s="1">
        <v>38</v>
      </c>
      <c r="G2312" s="1" t="s">
        <v>24</v>
      </c>
      <c r="H2312" s="1" t="s">
        <v>25</v>
      </c>
      <c r="I2312" s="1" t="s">
        <v>69</v>
      </c>
      <c r="J2312" s="1" t="s">
        <v>127</v>
      </c>
      <c r="K2312" s="1" t="s">
        <v>128</v>
      </c>
      <c r="L2312" s="1">
        <v>3</v>
      </c>
      <c r="M2312" s="13">
        <v>54861.77</v>
      </c>
      <c r="N2312" s="15">
        <v>0.25</v>
      </c>
      <c r="O2312" s="13">
        <v>147965.94</v>
      </c>
      <c r="P2312" s="13">
        <v>19461.73</v>
      </c>
      <c r="Q2312" s="13">
        <v>30.94</v>
      </c>
      <c r="R2312" s="1" t="s">
        <v>64</v>
      </c>
      <c r="S2312" s="1">
        <v>5</v>
      </c>
      <c r="T2312" s="1" t="b">
        <v>0</v>
      </c>
      <c r="U2312" s="1" t="s">
        <v>84</v>
      </c>
      <c r="V2312" s="3">
        <v>2</v>
      </c>
    </row>
    <row r="2313" spans="1:22" x14ac:dyDescent="0.3">
      <c r="A2313" s="2" t="s">
        <v>5114</v>
      </c>
      <c r="B2313" s="10">
        <v>44787</v>
      </c>
      <c r="C2313" s="22">
        <v>44787</v>
      </c>
      <c r="D2313" s="1" t="s">
        <v>5115</v>
      </c>
      <c r="E2313" s="1" t="s">
        <v>1538</v>
      </c>
      <c r="F2313" s="1">
        <v>35</v>
      </c>
      <c r="G2313" s="1" t="s">
        <v>24</v>
      </c>
      <c r="H2313" s="1" t="s">
        <v>25</v>
      </c>
      <c r="I2313" s="1" t="s">
        <v>26</v>
      </c>
      <c r="J2313" s="1" t="s">
        <v>37</v>
      </c>
      <c r="K2313" s="1" t="s">
        <v>38</v>
      </c>
      <c r="L2313" s="1">
        <v>1</v>
      </c>
      <c r="M2313" s="13">
        <v>2306.84</v>
      </c>
      <c r="N2313" s="15">
        <v>7.0000000000000007E-2</v>
      </c>
      <c r="O2313" s="13">
        <v>3142.24</v>
      </c>
      <c r="P2313" s="13">
        <v>1403.38</v>
      </c>
      <c r="Q2313" s="13">
        <v>57.67</v>
      </c>
      <c r="R2313" s="1" t="s">
        <v>70</v>
      </c>
      <c r="S2313" s="1">
        <v>5</v>
      </c>
      <c r="T2313" s="1" t="b">
        <v>0</v>
      </c>
      <c r="U2313" s="1" t="s">
        <v>39</v>
      </c>
      <c r="V2313" s="3">
        <v>10</v>
      </c>
    </row>
    <row r="2314" spans="1:22" x14ac:dyDescent="0.3">
      <c r="A2314" s="2" t="s">
        <v>5116</v>
      </c>
      <c r="B2314" s="10">
        <v>44895</v>
      </c>
      <c r="C2314" s="22">
        <v>44895</v>
      </c>
      <c r="D2314" s="1" t="s">
        <v>5117</v>
      </c>
      <c r="E2314" s="1" t="s">
        <v>338</v>
      </c>
      <c r="F2314" s="1">
        <v>30</v>
      </c>
      <c r="G2314" s="1" t="s">
        <v>34</v>
      </c>
      <c r="H2314" s="1" t="s">
        <v>74</v>
      </c>
      <c r="I2314" s="1" t="s">
        <v>136</v>
      </c>
      <c r="J2314" s="1" t="s">
        <v>37</v>
      </c>
      <c r="K2314" s="1" t="s">
        <v>454</v>
      </c>
      <c r="L2314" s="1">
        <v>9</v>
      </c>
      <c r="M2314" s="13">
        <v>489.2</v>
      </c>
      <c r="N2314" s="15">
        <v>0.11</v>
      </c>
      <c r="O2314" s="13">
        <v>3465.11</v>
      </c>
      <c r="P2314" s="13">
        <v>1799.02</v>
      </c>
      <c r="Q2314" s="13">
        <v>53.71</v>
      </c>
      <c r="R2314" s="1" t="s">
        <v>51</v>
      </c>
      <c r="S2314" s="1">
        <v>5</v>
      </c>
      <c r="T2314" s="1" t="b">
        <v>0</v>
      </c>
      <c r="U2314" s="1" t="s">
        <v>39</v>
      </c>
      <c r="V2314" s="3">
        <v>1</v>
      </c>
    </row>
    <row r="2315" spans="1:22" x14ac:dyDescent="0.3">
      <c r="A2315" s="2" t="s">
        <v>5118</v>
      </c>
      <c r="B2315" s="10">
        <v>44444</v>
      </c>
      <c r="C2315" s="22">
        <v>44444</v>
      </c>
      <c r="D2315" s="1" t="s">
        <v>5119</v>
      </c>
      <c r="E2315" s="1" t="s">
        <v>1001</v>
      </c>
      <c r="F2315" s="1">
        <v>26</v>
      </c>
      <c r="G2315" s="1" t="s">
        <v>68</v>
      </c>
      <c r="H2315" s="1" t="s">
        <v>74</v>
      </c>
      <c r="I2315" s="1" t="s">
        <v>136</v>
      </c>
      <c r="J2315" s="1" t="s">
        <v>27</v>
      </c>
      <c r="K2315" s="1" t="s">
        <v>97</v>
      </c>
      <c r="L2315" s="1">
        <v>1</v>
      </c>
      <c r="M2315" s="13">
        <v>110.62</v>
      </c>
      <c r="N2315" s="15">
        <v>0.3</v>
      </c>
      <c r="O2315" s="13">
        <v>75.53</v>
      </c>
      <c r="P2315" s="13">
        <v>6.99</v>
      </c>
      <c r="Q2315" s="13">
        <v>52.75</v>
      </c>
      <c r="R2315" s="1" t="s">
        <v>51</v>
      </c>
      <c r="S2315" s="1">
        <v>3</v>
      </c>
      <c r="T2315" s="1" t="b">
        <v>1</v>
      </c>
      <c r="U2315" s="1" t="s">
        <v>30</v>
      </c>
      <c r="V2315" s="3">
        <v>9</v>
      </c>
    </row>
    <row r="2316" spans="1:22" x14ac:dyDescent="0.3">
      <c r="A2316" s="2" t="s">
        <v>5120</v>
      </c>
      <c r="B2316" s="10">
        <v>44145</v>
      </c>
      <c r="C2316" s="22">
        <v>44145</v>
      </c>
      <c r="D2316" s="1" t="s">
        <v>5121</v>
      </c>
      <c r="E2316" s="1" t="s">
        <v>2648</v>
      </c>
      <c r="F2316" s="1">
        <v>40</v>
      </c>
      <c r="G2316" s="1" t="s">
        <v>24</v>
      </c>
      <c r="H2316" s="1" t="s">
        <v>25</v>
      </c>
      <c r="I2316" s="1" t="s">
        <v>69</v>
      </c>
      <c r="J2316" s="1" t="s">
        <v>146</v>
      </c>
      <c r="K2316" s="1" t="s">
        <v>147</v>
      </c>
      <c r="L2316" s="1">
        <v>3</v>
      </c>
      <c r="M2316" s="13">
        <v>1501.94</v>
      </c>
      <c r="N2316" s="15">
        <v>0.1</v>
      </c>
      <c r="O2316" s="13">
        <v>3166.64</v>
      </c>
      <c r="P2316" s="13">
        <v>579.91999999999996</v>
      </c>
      <c r="Q2316" s="13">
        <v>43.07</v>
      </c>
      <c r="R2316" s="1" t="s">
        <v>57</v>
      </c>
      <c r="S2316" s="1">
        <v>4</v>
      </c>
      <c r="T2316" s="1" t="b">
        <v>0</v>
      </c>
      <c r="U2316" s="1" t="s">
        <v>39</v>
      </c>
      <c r="V2316" s="3">
        <v>5</v>
      </c>
    </row>
    <row r="2317" spans="1:22" x14ac:dyDescent="0.3">
      <c r="A2317" s="2" t="s">
        <v>5122</v>
      </c>
      <c r="B2317" s="10">
        <v>45152</v>
      </c>
      <c r="C2317" s="22">
        <v>45152</v>
      </c>
      <c r="D2317" s="1" t="s">
        <v>5123</v>
      </c>
      <c r="E2317" s="1" t="s">
        <v>3322</v>
      </c>
      <c r="F2317" s="1">
        <v>30</v>
      </c>
      <c r="G2317" s="1" t="s">
        <v>34</v>
      </c>
      <c r="H2317" s="1" t="s">
        <v>82</v>
      </c>
      <c r="I2317" s="1" t="s">
        <v>126</v>
      </c>
      <c r="J2317" s="1" t="s">
        <v>27</v>
      </c>
      <c r="K2317" s="1" t="s">
        <v>400</v>
      </c>
      <c r="L2317" s="1">
        <v>1</v>
      </c>
      <c r="M2317" s="13">
        <v>228.52</v>
      </c>
      <c r="N2317" s="15">
        <v>0.09</v>
      </c>
      <c r="O2317" s="13">
        <v>307.76</v>
      </c>
      <c r="P2317" s="13">
        <v>24.8</v>
      </c>
      <c r="Q2317" s="13">
        <v>61.3</v>
      </c>
      <c r="R2317" s="1" t="s">
        <v>64</v>
      </c>
      <c r="S2317" s="1">
        <v>1</v>
      </c>
      <c r="T2317" s="1" t="b">
        <v>0</v>
      </c>
      <c r="U2317" s="1" t="s">
        <v>39</v>
      </c>
      <c r="V2317" s="3">
        <v>6</v>
      </c>
    </row>
    <row r="2318" spans="1:22" x14ac:dyDescent="0.3">
      <c r="A2318" s="2" t="s">
        <v>5124</v>
      </c>
      <c r="B2318" s="10">
        <v>43847</v>
      </c>
      <c r="C2318" s="22">
        <v>43847</v>
      </c>
      <c r="D2318" s="1" t="s">
        <v>5125</v>
      </c>
      <c r="E2318" s="1" t="s">
        <v>1023</v>
      </c>
      <c r="F2318" s="1">
        <v>34</v>
      </c>
      <c r="G2318" s="1" t="s">
        <v>24</v>
      </c>
      <c r="H2318" s="1" t="s">
        <v>82</v>
      </c>
      <c r="I2318" s="1" t="s">
        <v>126</v>
      </c>
      <c r="J2318" s="1" t="s">
        <v>44</v>
      </c>
      <c r="K2318" s="1" t="s">
        <v>117</v>
      </c>
      <c r="L2318" s="1">
        <v>9</v>
      </c>
      <c r="M2318" s="13">
        <v>20878.86</v>
      </c>
      <c r="N2318" s="15">
        <v>0</v>
      </c>
      <c r="O2318" s="13">
        <v>146912.47</v>
      </c>
      <c r="P2318" s="13">
        <v>46428.4</v>
      </c>
      <c r="Q2318" s="13">
        <v>74.599999999999994</v>
      </c>
      <c r="R2318" s="1" t="s">
        <v>70</v>
      </c>
      <c r="S2318" s="1">
        <v>2</v>
      </c>
      <c r="T2318" s="1" t="b">
        <v>0</v>
      </c>
      <c r="U2318" s="1" t="s">
        <v>84</v>
      </c>
      <c r="V2318" s="3">
        <v>4</v>
      </c>
    </row>
    <row r="2319" spans="1:22" x14ac:dyDescent="0.3">
      <c r="A2319" s="2" t="s">
        <v>5126</v>
      </c>
      <c r="B2319" s="10">
        <v>45150</v>
      </c>
      <c r="C2319" s="22">
        <v>45150</v>
      </c>
      <c r="D2319" s="1" t="s">
        <v>5127</v>
      </c>
      <c r="E2319" s="1" t="s">
        <v>578</v>
      </c>
      <c r="F2319" s="1">
        <v>18</v>
      </c>
      <c r="G2319" s="1" t="s">
        <v>68</v>
      </c>
      <c r="H2319" s="1" t="s">
        <v>35</v>
      </c>
      <c r="I2319" s="1" t="s">
        <v>36</v>
      </c>
      <c r="J2319" s="1" t="s">
        <v>146</v>
      </c>
      <c r="K2319" s="1" t="s">
        <v>161</v>
      </c>
      <c r="L2319" s="1">
        <v>9</v>
      </c>
      <c r="M2319" s="13">
        <v>10111.780000000001</v>
      </c>
      <c r="N2319" s="15">
        <v>0.32</v>
      </c>
      <c r="O2319" s="13">
        <v>83964.06</v>
      </c>
      <c r="P2319" s="13">
        <v>20724.63</v>
      </c>
      <c r="Q2319" s="13">
        <v>28.35</v>
      </c>
      <c r="R2319" s="1" t="s">
        <v>70</v>
      </c>
      <c r="S2319" s="1">
        <v>4</v>
      </c>
      <c r="T2319" s="1" t="b">
        <v>1</v>
      </c>
      <c r="U2319" s="1" t="s">
        <v>30</v>
      </c>
      <c r="V2319" s="3">
        <v>1</v>
      </c>
    </row>
    <row r="2320" spans="1:22" x14ac:dyDescent="0.3">
      <c r="A2320" s="2" t="s">
        <v>5128</v>
      </c>
      <c r="B2320" s="10">
        <v>44324</v>
      </c>
      <c r="C2320" s="22">
        <v>44324</v>
      </c>
      <c r="D2320" s="1" t="s">
        <v>5129</v>
      </c>
      <c r="E2320" s="1" t="s">
        <v>409</v>
      </c>
      <c r="F2320" s="1">
        <v>17</v>
      </c>
      <c r="G2320" s="1" t="s">
        <v>24</v>
      </c>
      <c r="H2320" s="1" t="s">
        <v>25</v>
      </c>
      <c r="I2320" s="1" t="s">
        <v>69</v>
      </c>
      <c r="J2320" s="1" t="s">
        <v>37</v>
      </c>
      <c r="K2320" s="1" t="s">
        <v>182</v>
      </c>
      <c r="L2320" s="1">
        <v>1</v>
      </c>
      <c r="M2320" s="13">
        <v>860.28</v>
      </c>
      <c r="N2320" s="15">
        <v>0.25</v>
      </c>
      <c r="O2320" s="13">
        <v>905.35</v>
      </c>
      <c r="P2320" s="13">
        <v>407.45</v>
      </c>
      <c r="Q2320" s="13">
        <v>84.23</v>
      </c>
      <c r="R2320" s="1" t="s">
        <v>29</v>
      </c>
      <c r="S2320" s="1">
        <v>2</v>
      </c>
      <c r="T2320" s="1" t="b">
        <v>0</v>
      </c>
      <c r="U2320" s="1" t="s">
        <v>39</v>
      </c>
      <c r="V2320" s="3">
        <v>9</v>
      </c>
    </row>
    <row r="2321" spans="1:22" x14ac:dyDescent="0.3">
      <c r="A2321" s="2" t="s">
        <v>5130</v>
      </c>
      <c r="B2321" s="10">
        <v>44486</v>
      </c>
      <c r="C2321" s="22">
        <v>44486</v>
      </c>
      <c r="D2321" s="1" t="s">
        <v>5131</v>
      </c>
      <c r="E2321" s="1" t="s">
        <v>2328</v>
      </c>
      <c r="F2321" s="1">
        <v>21</v>
      </c>
      <c r="G2321" s="1" t="s">
        <v>34</v>
      </c>
      <c r="H2321" s="1" t="s">
        <v>111</v>
      </c>
      <c r="I2321" s="1" t="s">
        <v>330</v>
      </c>
      <c r="J2321" s="1" t="s">
        <v>127</v>
      </c>
      <c r="K2321" s="1" t="s">
        <v>308</v>
      </c>
      <c r="L2321" s="1">
        <v>7</v>
      </c>
      <c r="M2321" s="13">
        <v>71550.38</v>
      </c>
      <c r="N2321" s="15">
        <v>0.26</v>
      </c>
      <c r="O2321" s="13">
        <v>327610.96999999997</v>
      </c>
      <c r="P2321" s="13">
        <v>28214.57</v>
      </c>
      <c r="Q2321" s="13">
        <v>95.86</v>
      </c>
      <c r="R2321" s="1" t="s">
        <v>29</v>
      </c>
      <c r="S2321" s="1">
        <v>3</v>
      </c>
      <c r="T2321" s="1" t="b">
        <v>0</v>
      </c>
      <c r="U2321" s="1" t="s">
        <v>137</v>
      </c>
      <c r="V2321" s="3">
        <v>8</v>
      </c>
    </row>
    <row r="2322" spans="1:22" x14ac:dyDescent="0.3">
      <c r="A2322" s="2" t="s">
        <v>5132</v>
      </c>
      <c r="B2322" s="10">
        <v>45178</v>
      </c>
      <c r="C2322" s="22">
        <v>45178</v>
      </c>
      <c r="D2322" s="1" t="s">
        <v>5133</v>
      </c>
      <c r="E2322" s="1" t="s">
        <v>988</v>
      </c>
      <c r="F2322" s="1">
        <v>42</v>
      </c>
      <c r="G2322" s="1" t="s">
        <v>68</v>
      </c>
      <c r="H2322" s="1" t="s">
        <v>25</v>
      </c>
      <c r="I2322" s="1" t="s">
        <v>69</v>
      </c>
      <c r="J2322" s="1" t="s">
        <v>62</v>
      </c>
      <c r="K2322" s="1" t="s">
        <v>283</v>
      </c>
      <c r="L2322" s="1">
        <v>8</v>
      </c>
      <c r="M2322" s="13">
        <v>919.94</v>
      </c>
      <c r="N2322" s="15">
        <v>0.39</v>
      </c>
      <c r="O2322" s="13">
        <v>5037.13</v>
      </c>
      <c r="P2322" s="13">
        <v>2359.89</v>
      </c>
      <c r="Q2322" s="13">
        <v>74.61</v>
      </c>
      <c r="R2322" s="1" t="s">
        <v>70</v>
      </c>
      <c r="S2322" s="1">
        <v>3</v>
      </c>
      <c r="T2322" s="1" t="b">
        <v>0</v>
      </c>
      <c r="U2322" s="1" t="s">
        <v>137</v>
      </c>
      <c r="V2322" s="3">
        <v>9</v>
      </c>
    </row>
    <row r="2323" spans="1:22" x14ac:dyDescent="0.3">
      <c r="A2323" s="2" t="s">
        <v>5134</v>
      </c>
      <c r="B2323" s="10">
        <v>43941</v>
      </c>
      <c r="C2323" s="22">
        <v>43941</v>
      </c>
      <c r="D2323" s="1" t="s">
        <v>5135</v>
      </c>
      <c r="E2323" s="1" t="s">
        <v>3183</v>
      </c>
      <c r="F2323" s="1">
        <v>46</v>
      </c>
      <c r="G2323" s="1" t="s">
        <v>68</v>
      </c>
      <c r="H2323" s="1" t="s">
        <v>35</v>
      </c>
      <c r="I2323" s="1" t="s">
        <v>36</v>
      </c>
      <c r="J2323" s="1" t="s">
        <v>62</v>
      </c>
      <c r="K2323" s="1" t="s">
        <v>570</v>
      </c>
      <c r="L2323" s="1">
        <v>6</v>
      </c>
      <c r="M2323" s="13">
        <v>877.7</v>
      </c>
      <c r="N2323" s="15">
        <v>0.34</v>
      </c>
      <c r="O2323" s="13">
        <v>3376.89</v>
      </c>
      <c r="P2323" s="13">
        <v>1107.53</v>
      </c>
      <c r="Q2323" s="13">
        <v>53.93</v>
      </c>
      <c r="R2323" s="1" t="s">
        <v>70</v>
      </c>
      <c r="S2323" s="1">
        <v>4</v>
      </c>
      <c r="T2323" s="1" t="b">
        <v>0</v>
      </c>
      <c r="U2323" s="1" t="s">
        <v>84</v>
      </c>
      <c r="V2323" s="3">
        <v>1</v>
      </c>
    </row>
    <row r="2324" spans="1:22" x14ac:dyDescent="0.3">
      <c r="A2324" s="2" t="s">
        <v>5136</v>
      </c>
      <c r="B2324" s="10">
        <v>44154</v>
      </c>
      <c r="C2324" s="22">
        <v>44154</v>
      </c>
      <c r="D2324" s="1" t="s">
        <v>5137</v>
      </c>
      <c r="E2324" s="1" t="s">
        <v>1300</v>
      </c>
      <c r="F2324" s="1">
        <v>9</v>
      </c>
      <c r="G2324" s="1" t="s">
        <v>68</v>
      </c>
      <c r="H2324" s="1" t="s">
        <v>74</v>
      </c>
      <c r="I2324" s="1" t="s">
        <v>75</v>
      </c>
      <c r="J2324" s="1" t="s">
        <v>76</v>
      </c>
      <c r="K2324" s="1" t="s">
        <v>89</v>
      </c>
      <c r="L2324" s="1">
        <v>7</v>
      </c>
      <c r="M2324" s="13">
        <v>1944.27</v>
      </c>
      <c r="N2324" s="15">
        <v>0.09</v>
      </c>
      <c r="O2324" s="13">
        <v>8367.7199999999993</v>
      </c>
      <c r="P2324" s="13">
        <v>3099.18</v>
      </c>
      <c r="Q2324" s="13">
        <v>41.07</v>
      </c>
      <c r="R2324" s="1" t="s">
        <v>51</v>
      </c>
      <c r="S2324" s="1">
        <v>4</v>
      </c>
      <c r="T2324" s="1" t="b">
        <v>1</v>
      </c>
      <c r="U2324" s="1" t="s">
        <v>30</v>
      </c>
      <c r="V2324" s="3">
        <v>9</v>
      </c>
    </row>
    <row r="2325" spans="1:22" x14ac:dyDescent="0.3">
      <c r="A2325" s="2" t="s">
        <v>5138</v>
      </c>
      <c r="B2325" s="10">
        <v>44361</v>
      </c>
      <c r="C2325" s="22">
        <v>44361</v>
      </c>
      <c r="D2325" s="1" t="s">
        <v>1446</v>
      </c>
      <c r="E2325" s="1" t="s">
        <v>1039</v>
      </c>
      <c r="F2325" s="1">
        <v>47</v>
      </c>
      <c r="G2325" s="1" t="s">
        <v>34</v>
      </c>
      <c r="H2325" s="1" t="s">
        <v>82</v>
      </c>
      <c r="I2325" s="1" t="s">
        <v>293</v>
      </c>
      <c r="J2325" s="1" t="s">
        <v>146</v>
      </c>
      <c r="K2325" s="1" t="s">
        <v>484</v>
      </c>
      <c r="L2325" s="1">
        <v>10</v>
      </c>
      <c r="M2325" s="13">
        <v>11322.84</v>
      </c>
      <c r="N2325" s="15">
        <v>0.32</v>
      </c>
      <c r="O2325" s="13">
        <v>101284.81</v>
      </c>
      <c r="P2325" s="13">
        <v>16342.96</v>
      </c>
      <c r="Q2325" s="13">
        <v>65.25</v>
      </c>
      <c r="R2325" s="1" t="s">
        <v>57</v>
      </c>
      <c r="S2325" s="1">
        <v>5</v>
      </c>
      <c r="T2325" s="1" t="b">
        <v>0</v>
      </c>
      <c r="U2325" s="1" t="s">
        <v>39</v>
      </c>
      <c r="V2325" s="3">
        <v>8</v>
      </c>
    </row>
    <row r="2326" spans="1:22" x14ac:dyDescent="0.3">
      <c r="A2326" s="2" t="s">
        <v>5139</v>
      </c>
      <c r="B2326" s="10">
        <v>45327</v>
      </c>
      <c r="C2326" s="22">
        <v>45327</v>
      </c>
      <c r="D2326" s="1" t="s">
        <v>5140</v>
      </c>
      <c r="E2326" s="1" t="s">
        <v>926</v>
      </c>
      <c r="F2326" s="1">
        <v>25</v>
      </c>
      <c r="G2326" s="1" t="s">
        <v>24</v>
      </c>
      <c r="H2326" s="1" t="s">
        <v>35</v>
      </c>
      <c r="I2326" s="1" t="s">
        <v>49</v>
      </c>
      <c r="J2326" s="1" t="s">
        <v>127</v>
      </c>
      <c r="K2326" s="1" t="s">
        <v>142</v>
      </c>
      <c r="L2326" s="1">
        <v>6</v>
      </c>
      <c r="M2326" s="13">
        <v>29123.87</v>
      </c>
      <c r="N2326" s="15">
        <v>0.27</v>
      </c>
      <c r="O2326" s="13">
        <v>151990.82999999999</v>
      </c>
      <c r="P2326" s="13">
        <v>18816.93</v>
      </c>
      <c r="Q2326" s="13">
        <v>65.28</v>
      </c>
      <c r="R2326" s="1" t="s">
        <v>70</v>
      </c>
      <c r="S2326" s="1">
        <v>1</v>
      </c>
      <c r="T2326" s="1" t="b">
        <v>1</v>
      </c>
      <c r="U2326" s="1" t="s">
        <v>30</v>
      </c>
      <c r="V2326" s="3">
        <v>3</v>
      </c>
    </row>
    <row r="2327" spans="1:22" x14ac:dyDescent="0.3">
      <c r="A2327" s="2" t="s">
        <v>5141</v>
      </c>
      <c r="B2327" s="10">
        <v>44766</v>
      </c>
      <c r="C2327" s="22">
        <v>44766</v>
      </c>
      <c r="D2327" s="1" t="s">
        <v>5142</v>
      </c>
      <c r="E2327" s="1" t="s">
        <v>341</v>
      </c>
      <c r="F2327" s="1">
        <v>24</v>
      </c>
      <c r="G2327" s="1" t="s">
        <v>68</v>
      </c>
      <c r="H2327" s="1" t="s">
        <v>111</v>
      </c>
      <c r="I2327" s="1" t="s">
        <v>121</v>
      </c>
      <c r="J2327" s="1" t="s">
        <v>62</v>
      </c>
      <c r="K2327" s="1" t="s">
        <v>63</v>
      </c>
      <c r="L2327" s="1">
        <v>5</v>
      </c>
      <c r="M2327" s="13">
        <v>1265.3599999999999</v>
      </c>
      <c r="N2327" s="15">
        <v>0.03</v>
      </c>
      <c r="O2327" s="13">
        <v>8924.6299999999992</v>
      </c>
      <c r="P2327" s="13">
        <v>3374.31</v>
      </c>
      <c r="Q2327" s="13">
        <v>72.97</v>
      </c>
      <c r="R2327" s="1" t="s">
        <v>64</v>
      </c>
      <c r="S2327" s="1">
        <v>2</v>
      </c>
      <c r="T2327" s="1" t="b">
        <v>0</v>
      </c>
      <c r="U2327" s="1" t="s">
        <v>39</v>
      </c>
      <c r="V2327" s="3">
        <v>5</v>
      </c>
    </row>
    <row r="2328" spans="1:22" x14ac:dyDescent="0.3">
      <c r="A2328" s="2" t="s">
        <v>5143</v>
      </c>
      <c r="B2328" s="10">
        <v>44487</v>
      </c>
      <c r="C2328" s="22">
        <v>44487</v>
      </c>
      <c r="D2328" s="1" t="s">
        <v>5144</v>
      </c>
      <c r="E2328" s="1" t="s">
        <v>1550</v>
      </c>
      <c r="F2328" s="1">
        <v>55</v>
      </c>
      <c r="G2328" s="1" t="s">
        <v>24</v>
      </c>
      <c r="H2328" s="1" t="s">
        <v>74</v>
      </c>
      <c r="I2328" s="1" t="s">
        <v>75</v>
      </c>
      <c r="J2328" s="1" t="s">
        <v>37</v>
      </c>
      <c r="K2328" s="1" t="s">
        <v>671</v>
      </c>
      <c r="L2328" s="1">
        <v>8</v>
      </c>
      <c r="M2328" s="13">
        <v>2387.85</v>
      </c>
      <c r="N2328" s="15">
        <v>0.03</v>
      </c>
      <c r="O2328" s="13">
        <v>16986.77</v>
      </c>
      <c r="P2328" s="13">
        <v>9892.56</v>
      </c>
      <c r="Q2328" s="13">
        <v>51.89</v>
      </c>
      <c r="R2328" s="1" t="s">
        <v>64</v>
      </c>
      <c r="S2328" s="1">
        <v>4</v>
      </c>
      <c r="T2328" s="1" t="b">
        <v>0</v>
      </c>
      <c r="U2328" s="1" t="s">
        <v>84</v>
      </c>
      <c r="V2328" s="3">
        <v>1</v>
      </c>
    </row>
    <row r="2329" spans="1:22" x14ac:dyDescent="0.3">
      <c r="A2329" s="2" t="s">
        <v>5145</v>
      </c>
      <c r="B2329" s="10">
        <v>45408</v>
      </c>
      <c r="C2329" s="22">
        <v>45408</v>
      </c>
      <c r="D2329" s="1" t="s">
        <v>5146</v>
      </c>
      <c r="E2329" s="1" t="s">
        <v>23</v>
      </c>
      <c r="F2329" s="1">
        <v>30</v>
      </c>
      <c r="G2329" s="1" t="s">
        <v>463</v>
      </c>
      <c r="H2329" s="1" t="s">
        <v>74</v>
      </c>
      <c r="I2329" s="1" t="s">
        <v>192</v>
      </c>
      <c r="J2329" s="1" t="s">
        <v>44</v>
      </c>
      <c r="K2329" s="1" t="s">
        <v>221</v>
      </c>
      <c r="L2329" s="1">
        <v>7</v>
      </c>
      <c r="M2329" s="13">
        <v>3546.07</v>
      </c>
      <c r="N2329" s="15">
        <v>0.36</v>
      </c>
      <c r="O2329" s="13">
        <v>24765.72</v>
      </c>
      <c r="P2329" s="13">
        <v>7503.38</v>
      </c>
      <c r="Q2329" s="13">
        <v>51.04</v>
      </c>
      <c r="R2329" s="1" t="s">
        <v>29</v>
      </c>
      <c r="S2329" s="1">
        <v>4</v>
      </c>
      <c r="T2329" s="1" t="b">
        <v>0</v>
      </c>
      <c r="U2329" s="1" t="s">
        <v>197</v>
      </c>
      <c r="V2329" s="3">
        <v>9</v>
      </c>
    </row>
    <row r="2330" spans="1:22" x14ac:dyDescent="0.3">
      <c r="A2330" s="2" t="s">
        <v>5147</v>
      </c>
      <c r="B2330" s="10">
        <v>44893</v>
      </c>
      <c r="C2330" s="22">
        <v>44893</v>
      </c>
      <c r="D2330" s="1" t="s">
        <v>5148</v>
      </c>
      <c r="E2330" s="1" t="s">
        <v>872</v>
      </c>
      <c r="F2330" s="1">
        <v>37</v>
      </c>
      <c r="G2330" s="1" t="s">
        <v>24</v>
      </c>
      <c r="H2330" s="1" t="s">
        <v>111</v>
      </c>
      <c r="I2330" s="1" t="s">
        <v>330</v>
      </c>
      <c r="J2330" s="1" t="s">
        <v>62</v>
      </c>
      <c r="K2330" s="1" t="s">
        <v>570</v>
      </c>
      <c r="L2330" s="1">
        <v>1</v>
      </c>
      <c r="M2330" s="13">
        <v>1315.36</v>
      </c>
      <c r="N2330" s="15">
        <v>0.14000000000000001</v>
      </c>
      <c r="O2330" s="13">
        <v>962.09</v>
      </c>
      <c r="P2330" s="13">
        <v>365.81</v>
      </c>
      <c r="Q2330" s="13">
        <v>67.33</v>
      </c>
      <c r="R2330" s="1" t="s">
        <v>64</v>
      </c>
      <c r="S2330" s="1">
        <v>4</v>
      </c>
      <c r="T2330" s="1" t="b">
        <v>1</v>
      </c>
      <c r="U2330" s="1" t="s">
        <v>30</v>
      </c>
      <c r="V2330" s="3">
        <v>2</v>
      </c>
    </row>
    <row r="2331" spans="1:22" x14ac:dyDescent="0.3">
      <c r="A2331" s="2" t="s">
        <v>5149</v>
      </c>
      <c r="B2331" s="10">
        <v>43928</v>
      </c>
      <c r="C2331" s="22">
        <v>43928</v>
      </c>
      <c r="D2331" s="1" t="s">
        <v>452</v>
      </c>
      <c r="E2331" s="1" t="s">
        <v>1404</v>
      </c>
      <c r="F2331" s="1">
        <v>25</v>
      </c>
      <c r="G2331" s="1" t="s">
        <v>68</v>
      </c>
      <c r="H2331" s="1" t="s">
        <v>35</v>
      </c>
      <c r="I2331" s="1" t="s">
        <v>49</v>
      </c>
      <c r="J2331" s="1" t="s">
        <v>27</v>
      </c>
      <c r="K2331" s="1" t="s">
        <v>56</v>
      </c>
      <c r="L2331" s="1">
        <v>2</v>
      </c>
      <c r="M2331" s="13">
        <v>62.44</v>
      </c>
      <c r="N2331" s="15">
        <v>0.3</v>
      </c>
      <c r="O2331" s="13">
        <v>90.55</v>
      </c>
      <c r="P2331" s="13">
        <v>8.3699999999999992</v>
      </c>
      <c r="Q2331" s="13">
        <v>56.9</v>
      </c>
      <c r="R2331" s="1" t="s">
        <v>70</v>
      </c>
      <c r="S2331" s="1">
        <v>5</v>
      </c>
      <c r="T2331" s="1" t="b">
        <v>1</v>
      </c>
      <c r="U2331" s="1" t="s">
        <v>30</v>
      </c>
      <c r="V2331" s="3">
        <v>7</v>
      </c>
    </row>
    <row r="2332" spans="1:22" x14ac:dyDescent="0.3">
      <c r="A2332" s="2" t="s">
        <v>5150</v>
      </c>
      <c r="B2332" s="10">
        <v>45213</v>
      </c>
      <c r="C2332" s="22">
        <v>45213</v>
      </c>
      <c r="D2332" s="1" t="s">
        <v>5151</v>
      </c>
      <c r="E2332" s="1" t="s">
        <v>2875</v>
      </c>
      <c r="F2332" s="1">
        <v>34</v>
      </c>
      <c r="G2332" s="1" t="s">
        <v>24</v>
      </c>
      <c r="H2332" s="1" t="s">
        <v>35</v>
      </c>
      <c r="I2332" s="1" t="s">
        <v>106</v>
      </c>
      <c r="J2332" s="1" t="s">
        <v>37</v>
      </c>
      <c r="K2332" s="1" t="s">
        <v>454</v>
      </c>
      <c r="L2332" s="1">
        <v>7</v>
      </c>
      <c r="M2332" s="13">
        <v>2256.81</v>
      </c>
      <c r="N2332" s="15">
        <v>0.2</v>
      </c>
      <c r="O2332" s="13">
        <v>13177.14</v>
      </c>
      <c r="P2332" s="13">
        <v>8944.51</v>
      </c>
      <c r="Q2332" s="13">
        <v>59.68</v>
      </c>
      <c r="R2332" s="1" t="s">
        <v>78</v>
      </c>
      <c r="S2332" s="1">
        <v>4</v>
      </c>
      <c r="T2332" s="1" t="b">
        <v>0</v>
      </c>
      <c r="U2332" s="1" t="s">
        <v>39</v>
      </c>
      <c r="V2332" s="3">
        <v>10</v>
      </c>
    </row>
    <row r="2333" spans="1:22" x14ac:dyDescent="0.3">
      <c r="A2333" s="2" t="s">
        <v>5152</v>
      </c>
      <c r="B2333" s="10">
        <v>44143</v>
      </c>
      <c r="C2333" s="22">
        <v>44143</v>
      </c>
      <c r="D2333" s="1" t="s">
        <v>5153</v>
      </c>
      <c r="E2333" s="1" t="s">
        <v>594</v>
      </c>
      <c r="F2333" s="1">
        <v>34</v>
      </c>
      <c r="G2333" s="1" t="s">
        <v>24</v>
      </c>
      <c r="H2333" s="1" t="s">
        <v>35</v>
      </c>
      <c r="I2333" s="1" t="s">
        <v>49</v>
      </c>
      <c r="J2333" s="1" t="s">
        <v>146</v>
      </c>
      <c r="K2333" s="1" t="s">
        <v>276</v>
      </c>
      <c r="L2333" s="1">
        <v>4</v>
      </c>
      <c r="M2333" s="13">
        <v>12892.31</v>
      </c>
      <c r="N2333" s="15">
        <v>0.01</v>
      </c>
      <c r="O2333" s="13">
        <v>32649.55</v>
      </c>
      <c r="P2333" s="13">
        <v>7568.86</v>
      </c>
      <c r="Q2333" s="13">
        <v>62.34</v>
      </c>
      <c r="R2333" s="1" t="s">
        <v>78</v>
      </c>
      <c r="S2333" s="1">
        <v>3</v>
      </c>
      <c r="T2333" s="1" t="b">
        <v>0</v>
      </c>
      <c r="U2333" s="1" t="s">
        <v>39</v>
      </c>
      <c r="V2333" s="3">
        <v>3</v>
      </c>
    </row>
    <row r="2334" spans="1:22" x14ac:dyDescent="0.3">
      <c r="A2334" s="2" t="s">
        <v>5154</v>
      </c>
      <c r="B2334" s="10">
        <v>44132</v>
      </c>
      <c r="C2334" s="22">
        <v>44132</v>
      </c>
      <c r="D2334" s="1" t="s">
        <v>5155</v>
      </c>
      <c r="E2334" s="1" t="s">
        <v>2582</v>
      </c>
      <c r="F2334" s="1">
        <v>29</v>
      </c>
      <c r="G2334" s="1" t="s">
        <v>68</v>
      </c>
      <c r="H2334" s="1" t="s">
        <v>74</v>
      </c>
      <c r="I2334" s="1" t="s">
        <v>75</v>
      </c>
      <c r="J2334" s="1" t="s">
        <v>27</v>
      </c>
      <c r="K2334" s="1" t="s">
        <v>56</v>
      </c>
      <c r="L2334" s="1">
        <v>8</v>
      </c>
      <c r="M2334" s="13">
        <v>421.35</v>
      </c>
      <c r="N2334" s="15">
        <v>0.33</v>
      </c>
      <c r="O2334" s="13">
        <v>1863.59</v>
      </c>
      <c r="P2334" s="13">
        <v>143.5</v>
      </c>
      <c r="Q2334" s="13">
        <v>62.73</v>
      </c>
      <c r="R2334" s="1" t="s">
        <v>78</v>
      </c>
      <c r="S2334" s="1">
        <v>1</v>
      </c>
      <c r="T2334" s="1" t="b">
        <v>1</v>
      </c>
      <c r="U2334" s="1" t="s">
        <v>30</v>
      </c>
      <c r="V2334" s="3">
        <v>7</v>
      </c>
    </row>
    <row r="2335" spans="1:22" x14ac:dyDescent="0.3">
      <c r="A2335" s="2" t="s">
        <v>5156</v>
      </c>
      <c r="B2335" s="10">
        <v>45508</v>
      </c>
      <c r="C2335" s="22">
        <v>45508</v>
      </c>
      <c r="D2335" s="1" t="s">
        <v>5157</v>
      </c>
      <c r="E2335" s="1" t="s">
        <v>1359</v>
      </c>
      <c r="F2335" s="1">
        <v>16</v>
      </c>
      <c r="G2335" s="1" t="s">
        <v>34</v>
      </c>
      <c r="H2335" s="1" t="s">
        <v>74</v>
      </c>
      <c r="I2335" s="1" t="s">
        <v>192</v>
      </c>
      <c r="J2335" s="1" t="s">
        <v>27</v>
      </c>
      <c r="K2335" s="1" t="s">
        <v>97</v>
      </c>
      <c r="L2335" s="1">
        <v>5</v>
      </c>
      <c r="M2335" s="13">
        <v>390.62</v>
      </c>
      <c r="N2335" s="15">
        <v>0.13</v>
      </c>
      <c r="O2335" s="13">
        <v>2661.75</v>
      </c>
      <c r="P2335" s="13">
        <v>149.41</v>
      </c>
      <c r="Q2335" s="13">
        <v>72.2</v>
      </c>
      <c r="R2335" s="1" t="s">
        <v>78</v>
      </c>
      <c r="S2335" s="1">
        <v>5</v>
      </c>
      <c r="T2335" s="1" t="b">
        <v>0</v>
      </c>
      <c r="U2335" s="1" t="s">
        <v>39</v>
      </c>
      <c r="V2335" s="3">
        <v>5</v>
      </c>
    </row>
    <row r="2336" spans="1:22" x14ac:dyDescent="0.3">
      <c r="A2336" s="2" t="s">
        <v>5158</v>
      </c>
      <c r="B2336" s="10">
        <v>44658</v>
      </c>
      <c r="C2336" s="22">
        <v>44658</v>
      </c>
      <c r="D2336" s="1" t="s">
        <v>5159</v>
      </c>
      <c r="E2336" s="1" t="s">
        <v>54</v>
      </c>
      <c r="F2336" s="1">
        <v>39</v>
      </c>
      <c r="G2336" s="1" t="s">
        <v>34</v>
      </c>
      <c r="H2336" s="1" t="s">
        <v>111</v>
      </c>
      <c r="I2336" s="1" t="s">
        <v>121</v>
      </c>
      <c r="J2336" s="1" t="s">
        <v>62</v>
      </c>
      <c r="K2336" s="1" t="s">
        <v>266</v>
      </c>
      <c r="L2336" s="1">
        <v>1</v>
      </c>
      <c r="M2336" s="13">
        <v>801.96</v>
      </c>
      <c r="N2336" s="15">
        <v>0.04</v>
      </c>
      <c r="O2336" s="13">
        <v>1115.18</v>
      </c>
      <c r="P2336" s="13">
        <v>461.7</v>
      </c>
      <c r="Q2336" s="13">
        <v>65.930000000000007</v>
      </c>
      <c r="R2336" s="1" t="s">
        <v>64</v>
      </c>
      <c r="S2336" s="1">
        <v>5</v>
      </c>
      <c r="T2336" s="1" t="b">
        <v>0</v>
      </c>
      <c r="U2336" s="1" t="s">
        <v>39</v>
      </c>
      <c r="V2336" s="3">
        <v>2</v>
      </c>
    </row>
    <row r="2337" spans="1:22" x14ac:dyDescent="0.3">
      <c r="A2337" s="2" t="s">
        <v>5160</v>
      </c>
      <c r="B2337" s="10">
        <v>45210</v>
      </c>
      <c r="C2337" s="22">
        <v>45210</v>
      </c>
      <c r="D2337" s="1" t="s">
        <v>5161</v>
      </c>
      <c r="E2337" s="1" t="s">
        <v>1820</v>
      </c>
      <c r="F2337" s="1">
        <v>31</v>
      </c>
      <c r="G2337" s="1" t="s">
        <v>34</v>
      </c>
      <c r="H2337" s="1" t="s">
        <v>74</v>
      </c>
      <c r="I2337" s="1" t="s">
        <v>101</v>
      </c>
      <c r="J2337" s="1" t="s">
        <v>62</v>
      </c>
      <c r="K2337" s="1" t="s">
        <v>570</v>
      </c>
      <c r="L2337" s="1">
        <v>9</v>
      </c>
      <c r="M2337" s="13">
        <v>991.57</v>
      </c>
      <c r="N2337" s="15">
        <v>0.36</v>
      </c>
      <c r="O2337" s="13">
        <v>6481.41</v>
      </c>
      <c r="P2337" s="13">
        <v>2354.0500000000002</v>
      </c>
      <c r="Q2337" s="13">
        <v>85.05</v>
      </c>
      <c r="R2337" s="1" t="s">
        <v>29</v>
      </c>
      <c r="S2337" s="1">
        <v>1</v>
      </c>
      <c r="T2337" s="1" t="b">
        <v>0</v>
      </c>
      <c r="U2337" s="1" t="s">
        <v>39</v>
      </c>
      <c r="V2337" s="3">
        <v>4</v>
      </c>
    </row>
    <row r="2338" spans="1:22" x14ac:dyDescent="0.3">
      <c r="A2338" s="2" t="s">
        <v>5162</v>
      </c>
      <c r="B2338" s="10">
        <v>44478</v>
      </c>
      <c r="C2338" s="22">
        <v>44478</v>
      </c>
      <c r="D2338" s="1" t="s">
        <v>5163</v>
      </c>
      <c r="E2338" s="1" t="s">
        <v>1340</v>
      </c>
      <c r="F2338" s="1">
        <v>34</v>
      </c>
      <c r="G2338" s="1" t="s">
        <v>24</v>
      </c>
      <c r="H2338" s="1" t="s">
        <v>35</v>
      </c>
      <c r="I2338" s="1" t="s">
        <v>106</v>
      </c>
      <c r="J2338" s="1" t="s">
        <v>62</v>
      </c>
      <c r="K2338" s="1" t="s">
        <v>570</v>
      </c>
      <c r="L2338" s="1">
        <v>10</v>
      </c>
      <c r="M2338" s="13">
        <v>1010.53</v>
      </c>
      <c r="N2338" s="15">
        <v>0.01</v>
      </c>
      <c r="O2338" s="13">
        <v>9699.8700000000008</v>
      </c>
      <c r="P2338" s="13">
        <v>4504.03</v>
      </c>
      <c r="Q2338" s="13">
        <v>38.090000000000003</v>
      </c>
      <c r="R2338" s="1" t="s">
        <v>70</v>
      </c>
      <c r="S2338" s="1">
        <v>3</v>
      </c>
      <c r="T2338" s="1" t="b">
        <v>0</v>
      </c>
      <c r="U2338" s="1" t="s">
        <v>58</v>
      </c>
      <c r="V2338" s="3">
        <v>1</v>
      </c>
    </row>
    <row r="2339" spans="1:22" x14ac:dyDescent="0.3">
      <c r="A2339" s="2" t="s">
        <v>5164</v>
      </c>
      <c r="B2339" s="10">
        <v>45131</v>
      </c>
      <c r="C2339" s="22">
        <v>45131</v>
      </c>
      <c r="D2339" s="1" t="s">
        <v>5165</v>
      </c>
      <c r="E2339" s="1" t="s">
        <v>1340</v>
      </c>
      <c r="F2339" s="1">
        <v>34</v>
      </c>
      <c r="G2339" s="1" t="s">
        <v>24</v>
      </c>
      <c r="H2339" s="1" t="s">
        <v>111</v>
      </c>
      <c r="I2339" s="1" t="s">
        <v>141</v>
      </c>
      <c r="J2339" s="1" t="s">
        <v>127</v>
      </c>
      <c r="K2339" s="1" t="s">
        <v>142</v>
      </c>
      <c r="L2339" s="1">
        <v>10</v>
      </c>
      <c r="M2339" s="13">
        <v>76450.070000000007</v>
      </c>
      <c r="N2339" s="15">
        <v>0.02</v>
      </c>
      <c r="O2339" s="13">
        <v>1182709.24</v>
      </c>
      <c r="P2339" s="13">
        <v>198109.98</v>
      </c>
      <c r="Q2339" s="13">
        <v>72.05</v>
      </c>
      <c r="R2339" s="1" t="s">
        <v>57</v>
      </c>
      <c r="S2339" s="1">
        <v>2</v>
      </c>
      <c r="T2339" s="1" t="b">
        <v>0</v>
      </c>
      <c r="U2339" s="1" t="s">
        <v>39</v>
      </c>
      <c r="V2339" s="3">
        <v>3</v>
      </c>
    </row>
    <row r="2340" spans="1:22" x14ac:dyDescent="0.3">
      <c r="A2340" s="2" t="s">
        <v>5166</v>
      </c>
      <c r="B2340" s="10">
        <v>45278</v>
      </c>
      <c r="C2340" s="22">
        <v>45278</v>
      </c>
      <c r="D2340" s="1" t="s">
        <v>5167</v>
      </c>
      <c r="E2340" s="1" t="s">
        <v>1399</v>
      </c>
      <c r="F2340" s="1">
        <v>53</v>
      </c>
      <c r="G2340" s="1" t="s">
        <v>68</v>
      </c>
      <c r="H2340" s="1" t="s">
        <v>74</v>
      </c>
      <c r="I2340" s="1" t="s">
        <v>75</v>
      </c>
      <c r="J2340" s="1" t="s">
        <v>127</v>
      </c>
      <c r="K2340" s="1" t="s">
        <v>142</v>
      </c>
      <c r="L2340" s="1">
        <v>1</v>
      </c>
      <c r="M2340" s="13">
        <v>23254.63</v>
      </c>
      <c r="N2340" s="15">
        <v>0.01</v>
      </c>
      <c r="O2340" s="13">
        <v>20122.419999999998</v>
      </c>
      <c r="P2340" s="13">
        <v>2165.17</v>
      </c>
      <c r="Q2340" s="13">
        <v>35.380000000000003</v>
      </c>
      <c r="R2340" s="1" t="s">
        <v>29</v>
      </c>
      <c r="S2340" s="1">
        <v>5</v>
      </c>
      <c r="T2340" s="1" t="b">
        <v>0</v>
      </c>
      <c r="U2340" s="1" t="s">
        <v>39</v>
      </c>
      <c r="V2340" s="3">
        <v>7</v>
      </c>
    </row>
    <row r="2341" spans="1:22" x14ac:dyDescent="0.3">
      <c r="A2341" s="2" t="s">
        <v>5168</v>
      </c>
      <c r="B2341" s="10">
        <v>45626</v>
      </c>
      <c r="C2341" s="22">
        <v>45626</v>
      </c>
      <c r="D2341" s="1" t="s">
        <v>5169</v>
      </c>
      <c r="E2341" s="1" t="s">
        <v>1422</v>
      </c>
      <c r="F2341" s="1">
        <v>12</v>
      </c>
      <c r="G2341" s="1" t="s">
        <v>34</v>
      </c>
      <c r="H2341" s="1" t="s">
        <v>74</v>
      </c>
      <c r="I2341" s="1" t="s">
        <v>136</v>
      </c>
      <c r="J2341" s="1" t="s">
        <v>127</v>
      </c>
      <c r="K2341" s="1" t="s">
        <v>171</v>
      </c>
      <c r="L2341" s="1">
        <v>2</v>
      </c>
      <c r="M2341" s="13">
        <v>20309.39</v>
      </c>
      <c r="N2341" s="15">
        <v>0.15</v>
      </c>
      <c r="O2341" s="13">
        <v>30407.42</v>
      </c>
      <c r="P2341" s="13">
        <v>3438.98</v>
      </c>
      <c r="Q2341" s="13">
        <v>38.43</v>
      </c>
      <c r="R2341" s="1" t="s">
        <v>29</v>
      </c>
      <c r="S2341" s="1">
        <v>2</v>
      </c>
      <c r="T2341" s="1" t="b">
        <v>0</v>
      </c>
      <c r="U2341" s="1" t="s">
        <v>39</v>
      </c>
      <c r="V2341" s="3">
        <v>4</v>
      </c>
    </row>
    <row r="2342" spans="1:22" x14ac:dyDescent="0.3">
      <c r="A2342" s="2" t="s">
        <v>5170</v>
      </c>
      <c r="B2342" s="10">
        <v>45203</v>
      </c>
      <c r="C2342" s="22">
        <v>45203</v>
      </c>
      <c r="D2342" s="1" t="s">
        <v>5171</v>
      </c>
      <c r="E2342" s="1" t="s">
        <v>638</v>
      </c>
      <c r="F2342" s="1">
        <v>44</v>
      </c>
      <c r="G2342" s="1" t="s">
        <v>68</v>
      </c>
      <c r="H2342" s="1" t="s">
        <v>35</v>
      </c>
      <c r="I2342" s="1" t="s">
        <v>106</v>
      </c>
      <c r="J2342" s="1" t="s">
        <v>146</v>
      </c>
      <c r="K2342" s="1" t="s">
        <v>161</v>
      </c>
      <c r="L2342" s="1">
        <v>4</v>
      </c>
      <c r="M2342" s="13">
        <v>12573.57</v>
      </c>
      <c r="N2342" s="15">
        <v>0.38</v>
      </c>
      <c r="O2342" s="13">
        <v>32140.85</v>
      </c>
      <c r="P2342" s="13">
        <v>8492.7199999999993</v>
      </c>
      <c r="Q2342" s="13">
        <v>47</v>
      </c>
      <c r="R2342" s="1" t="s">
        <v>70</v>
      </c>
      <c r="S2342" s="1">
        <v>3</v>
      </c>
      <c r="T2342" s="1" t="b">
        <v>0</v>
      </c>
      <c r="U2342" s="1" t="s">
        <v>39</v>
      </c>
      <c r="V2342" s="3">
        <v>4</v>
      </c>
    </row>
    <row r="2343" spans="1:22" x14ac:dyDescent="0.3">
      <c r="A2343" s="2" t="s">
        <v>5172</v>
      </c>
      <c r="B2343" s="10">
        <v>44020</v>
      </c>
      <c r="C2343" s="22">
        <v>44020</v>
      </c>
      <c r="D2343" s="1" t="s">
        <v>5173</v>
      </c>
      <c r="E2343" s="1" t="s">
        <v>1996</v>
      </c>
      <c r="F2343" s="1">
        <v>43</v>
      </c>
      <c r="G2343" s="1" t="s">
        <v>24</v>
      </c>
      <c r="H2343" s="1" t="s">
        <v>74</v>
      </c>
      <c r="I2343" s="1" t="s">
        <v>192</v>
      </c>
      <c r="J2343" s="1" t="s">
        <v>37</v>
      </c>
      <c r="K2343" s="1" t="s">
        <v>182</v>
      </c>
      <c r="L2343" s="1">
        <v>10</v>
      </c>
      <c r="M2343" s="13">
        <v>353.1</v>
      </c>
      <c r="N2343" s="15">
        <v>0.21</v>
      </c>
      <c r="O2343" s="13">
        <v>3859.71</v>
      </c>
      <c r="P2343" s="13">
        <v>2002.38</v>
      </c>
      <c r="Q2343" s="13">
        <v>60.45</v>
      </c>
      <c r="R2343" s="1" t="s">
        <v>29</v>
      </c>
      <c r="S2343" s="1">
        <v>2</v>
      </c>
      <c r="T2343" s="1" t="b">
        <v>0</v>
      </c>
      <c r="U2343" s="1" t="s">
        <v>39</v>
      </c>
      <c r="V2343" s="3">
        <v>8</v>
      </c>
    </row>
    <row r="2344" spans="1:22" x14ac:dyDescent="0.3">
      <c r="A2344" s="2" t="s">
        <v>5174</v>
      </c>
      <c r="B2344" s="10">
        <v>45272</v>
      </c>
      <c r="C2344" s="22">
        <v>45272</v>
      </c>
      <c r="D2344" s="1" t="s">
        <v>5175</v>
      </c>
      <c r="E2344" s="1" t="s">
        <v>81</v>
      </c>
      <c r="F2344" s="1">
        <v>20</v>
      </c>
      <c r="G2344" s="1" t="s">
        <v>68</v>
      </c>
      <c r="H2344" s="1" t="s">
        <v>25</v>
      </c>
      <c r="I2344" s="1" t="s">
        <v>69</v>
      </c>
      <c r="J2344" s="1" t="s">
        <v>127</v>
      </c>
      <c r="K2344" s="1" t="s">
        <v>171</v>
      </c>
      <c r="L2344" s="1">
        <v>9</v>
      </c>
      <c r="M2344" s="13">
        <v>19431.419999999998</v>
      </c>
      <c r="N2344" s="15">
        <v>0.21</v>
      </c>
      <c r="O2344" s="13">
        <v>144718.35999999999</v>
      </c>
      <c r="P2344" s="13">
        <v>17340.490000000002</v>
      </c>
      <c r="Q2344" s="13">
        <v>58.66</v>
      </c>
      <c r="R2344" s="1" t="s">
        <v>78</v>
      </c>
      <c r="S2344" s="1">
        <v>2</v>
      </c>
      <c r="T2344" s="1" t="b">
        <v>0</v>
      </c>
      <c r="U2344" s="1" t="s">
        <v>137</v>
      </c>
      <c r="V2344" s="3">
        <v>9</v>
      </c>
    </row>
    <row r="2345" spans="1:22" x14ac:dyDescent="0.3">
      <c r="A2345" s="2" t="s">
        <v>5176</v>
      </c>
      <c r="B2345" s="10">
        <v>44746</v>
      </c>
      <c r="C2345" s="22">
        <v>44746</v>
      </c>
      <c r="D2345" s="1" t="s">
        <v>5177</v>
      </c>
      <c r="E2345" s="1" t="s">
        <v>3402</v>
      </c>
      <c r="F2345" s="1">
        <v>53</v>
      </c>
      <c r="G2345" s="1" t="s">
        <v>24</v>
      </c>
      <c r="H2345" s="1" t="s">
        <v>82</v>
      </c>
      <c r="I2345" s="1" t="s">
        <v>126</v>
      </c>
      <c r="J2345" s="1" t="s">
        <v>27</v>
      </c>
      <c r="K2345" s="1" t="s">
        <v>56</v>
      </c>
      <c r="L2345" s="1">
        <v>1</v>
      </c>
      <c r="M2345" s="13">
        <v>365.27</v>
      </c>
      <c r="N2345" s="15">
        <v>0.16</v>
      </c>
      <c r="O2345" s="13">
        <v>496.1</v>
      </c>
      <c r="P2345" s="13">
        <v>27.14</v>
      </c>
      <c r="Q2345" s="13">
        <v>70.650000000000006</v>
      </c>
      <c r="R2345" s="1" t="s">
        <v>57</v>
      </c>
      <c r="S2345" s="1">
        <v>4</v>
      </c>
      <c r="T2345" s="1" t="b">
        <v>0</v>
      </c>
      <c r="U2345" s="1" t="s">
        <v>84</v>
      </c>
      <c r="V2345" s="3">
        <v>2</v>
      </c>
    </row>
    <row r="2346" spans="1:22" x14ac:dyDescent="0.3">
      <c r="A2346" s="2" t="s">
        <v>5178</v>
      </c>
      <c r="B2346" s="10">
        <v>45037</v>
      </c>
      <c r="C2346" s="22">
        <v>45037</v>
      </c>
      <c r="D2346" s="1" t="s">
        <v>5179</v>
      </c>
      <c r="E2346" s="1" t="s">
        <v>1128</v>
      </c>
      <c r="F2346" s="1">
        <v>31</v>
      </c>
      <c r="G2346" s="1" t="s">
        <v>68</v>
      </c>
      <c r="H2346" s="1" t="s">
        <v>25</v>
      </c>
      <c r="I2346" s="1" t="s">
        <v>26</v>
      </c>
      <c r="J2346" s="1" t="s">
        <v>127</v>
      </c>
      <c r="K2346" s="1" t="s">
        <v>128</v>
      </c>
      <c r="L2346" s="1">
        <v>3</v>
      </c>
      <c r="M2346" s="13">
        <v>57936.22</v>
      </c>
      <c r="N2346" s="15">
        <v>0.01</v>
      </c>
      <c r="O2346" s="13">
        <v>270335.19</v>
      </c>
      <c r="P2346" s="13">
        <v>40002.800000000003</v>
      </c>
      <c r="Q2346" s="13">
        <v>70.989999999999995</v>
      </c>
      <c r="R2346" s="1" t="s">
        <v>57</v>
      </c>
      <c r="S2346" s="1">
        <v>1</v>
      </c>
      <c r="T2346" s="1" t="b">
        <v>1</v>
      </c>
      <c r="U2346" s="1" t="s">
        <v>30</v>
      </c>
      <c r="V2346" s="3">
        <v>3</v>
      </c>
    </row>
    <row r="2347" spans="1:22" x14ac:dyDescent="0.3">
      <c r="A2347" s="2" t="s">
        <v>5180</v>
      </c>
      <c r="B2347" s="10">
        <v>44969</v>
      </c>
      <c r="C2347" s="22">
        <v>44969</v>
      </c>
      <c r="D2347" s="1" t="s">
        <v>5181</v>
      </c>
      <c r="E2347" s="1" t="s">
        <v>861</v>
      </c>
      <c r="F2347" s="1">
        <v>24</v>
      </c>
      <c r="G2347" s="1" t="s">
        <v>68</v>
      </c>
      <c r="H2347" s="1" t="s">
        <v>35</v>
      </c>
      <c r="I2347" s="1" t="s">
        <v>43</v>
      </c>
      <c r="J2347" s="1" t="s">
        <v>27</v>
      </c>
      <c r="K2347" s="1" t="s">
        <v>400</v>
      </c>
      <c r="L2347" s="1">
        <v>9</v>
      </c>
      <c r="M2347" s="13">
        <v>278.27</v>
      </c>
      <c r="N2347" s="15">
        <v>0.36</v>
      </c>
      <c r="O2347" s="13">
        <v>1742.13</v>
      </c>
      <c r="P2347" s="13">
        <v>147.02000000000001</v>
      </c>
      <c r="Q2347" s="13">
        <v>66.790000000000006</v>
      </c>
      <c r="R2347" s="1" t="s">
        <v>78</v>
      </c>
      <c r="S2347" s="1">
        <v>4</v>
      </c>
      <c r="T2347" s="1" t="b">
        <v>1</v>
      </c>
      <c r="U2347" s="1" t="s">
        <v>30</v>
      </c>
      <c r="V2347" s="3">
        <v>3</v>
      </c>
    </row>
    <row r="2348" spans="1:22" x14ac:dyDescent="0.3">
      <c r="A2348" s="2" t="s">
        <v>5182</v>
      </c>
      <c r="B2348" s="10">
        <v>44697</v>
      </c>
      <c r="C2348" s="22">
        <v>44697</v>
      </c>
      <c r="D2348" s="1" t="s">
        <v>5183</v>
      </c>
      <c r="E2348" s="1" t="s">
        <v>487</v>
      </c>
      <c r="F2348" s="1">
        <v>34</v>
      </c>
      <c r="G2348" s="1" t="s">
        <v>68</v>
      </c>
      <c r="H2348" s="1" t="s">
        <v>35</v>
      </c>
      <c r="I2348" s="1" t="s">
        <v>49</v>
      </c>
      <c r="J2348" s="1" t="s">
        <v>76</v>
      </c>
      <c r="K2348" s="1" t="s">
        <v>77</v>
      </c>
      <c r="L2348" s="1">
        <v>6</v>
      </c>
      <c r="M2348" s="13">
        <v>3595.66</v>
      </c>
      <c r="N2348" s="15">
        <v>0.08</v>
      </c>
      <c r="O2348" s="13">
        <v>28857.83</v>
      </c>
      <c r="P2348" s="13">
        <v>14157.85</v>
      </c>
      <c r="Q2348" s="13">
        <v>33.61</v>
      </c>
      <c r="R2348" s="1" t="s">
        <v>57</v>
      </c>
      <c r="S2348" s="1">
        <v>3</v>
      </c>
      <c r="T2348" s="1" t="b">
        <v>0</v>
      </c>
      <c r="U2348" s="1" t="s">
        <v>39</v>
      </c>
      <c r="V2348" s="3">
        <v>5</v>
      </c>
    </row>
    <row r="2349" spans="1:22" x14ac:dyDescent="0.3">
      <c r="A2349" s="2" t="s">
        <v>5184</v>
      </c>
      <c r="B2349" s="10">
        <v>44770</v>
      </c>
      <c r="C2349" s="22">
        <v>44770</v>
      </c>
      <c r="D2349" s="1" t="s">
        <v>5185</v>
      </c>
      <c r="E2349" s="1" t="s">
        <v>1047</v>
      </c>
      <c r="F2349" s="1">
        <v>26</v>
      </c>
      <c r="G2349" s="1" t="s">
        <v>68</v>
      </c>
      <c r="H2349" s="1" t="s">
        <v>74</v>
      </c>
      <c r="I2349" s="1" t="s">
        <v>75</v>
      </c>
      <c r="J2349" s="1" t="s">
        <v>62</v>
      </c>
      <c r="K2349" s="1" t="s">
        <v>266</v>
      </c>
      <c r="L2349" s="1">
        <v>6</v>
      </c>
      <c r="M2349" s="13">
        <v>868.63</v>
      </c>
      <c r="N2349" s="15">
        <v>0.18</v>
      </c>
      <c r="O2349" s="13">
        <v>5798</v>
      </c>
      <c r="P2349" s="13">
        <v>3070</v>
      </c>
      <c r="Q2349" s="13">
        <v>44.25</v>
      </c>
      <c r="R2349" s="1" t="s">
        <v>57</v>
      </c>
      <c r="S2349" s="1">
        <v>4</v>
      </c>
      <c r="T2349" s="1" t="b">
        <v>0</v>
      </c>
      <c r="U2349" s="1" t="s">
        <v>137</v>
      </c>
      <c r="V2349" s="3">
        <v>7</v>
      </c>
    </row>
    <row r="2350" spans="1:22" x14ac:dyDescent="0.3">
      <c r="A2350" s="2" t="s">
        <v>5186</v>
      </c>
      <c r="B2350" s="10">
        <v>44290</v>
      </c>
      <c r="C2350" s="22">
        <v>44290</v>
      </c>
      <c r="D2350" s="1" t="s">
        <v>5187</v>
      </c>
      <c r="E2350" s="1" t="s">
        <v>92</v>
      </c>
      <c r="F2350" s="1">
        <v>39</v>
      </c>
      <c r="G2350" s="1" t="s">
        <v>68</v>
      </c>
      <c r="H2350" s="1" t="s">
        <v>82</v>
      </c>
      <c r="I2350" s="1" t="s">
        <v>83</v>
      </c>
      <c r="J2350" s="1" t="s">
        <v>62</v>
      </c>
      <c r="K2350" s="1" t="s">
        <v>63</v>
      </c>
      <c r="L2350" s="1">
        <v>2</v>
      </c>
      <c r="M2350" s="13">
        <v>742.65</v>
      </c>
      <c r="N2350" s="15">
        <v>0.39</v>
      </c>
      <c r="O2350" s="13">
        <v>1191.31</v>
      </c>
      <c r="P2350" s="13">
        <v>548.78</v>
      </c>
      <c r="Q2350" s="13">
        <v>71.69</v>
      </c>
      <c r="R2350" s="1" t="s">
        <v>78</v>
      </c>
      <c r="S2350" s="1">
        <v>4</v>
      </c>
      <c r="T2350" s="1" t="b">
        <v>0</v>
      </c>
      <c r="U2350" s="1" t="s">
        <v>39</v>
      </c>
      <c r="V2350" s="3">
        <v>7</v>
      </c>
    </row>
    <row r="2351" spans="1:22" x14ac:dyDescent="0.3">
      <c r="A2351" s="2" t="s">
        <v>5188</v>
      </c>
      <c r="B2351" s="10">
        <v>44600</v>
      </c>
      <c r="C2351" s="22">
        <v>44600</v>
      </c>
      <c r="D2351" s="1" t="s">
        <v>5189</v>
      </c>
      <c r="E2351" s="1" t="s">
        <v>177</v>
      </c>
      <c r="F2351" s="1">
        <v>14</v>
      </c>
      <c r="G2351" s="1" t="s">
        <v>68</v>
      </c>
      <c r="H2351" s="1" t="s">
        <v>82</v>
      </c>
      <c r="I2351" s="1" t="s">
        <v>293</v>
      </c>
      <c r="J2351" s="1" t="s">
        <v>37</v>
      </c>
      <c r="K2351" s="1" t="s">
        <v>38</v>
      </c>
      <c r="L2351" s="1">
        <v>5</v>
      </c>
      <c r="M2351" s="13">
        <v>2361.0700000000002</v>
      </c>
      <c r="N2351" s="15">
        <v>0.36</v>
      </c>
      <c r="O2351" s="13">
        <v>6532.57</v>
      </c>
      <c r="P2351" s="13">
        <v>2671.52</v>
      </c>
      <c r="Q2351" s="13">
        <v>102.42</v>
      </c>
      <c r="R2351" s="1" t="s">
        <v>70</v>
      </c>
      <c r="S2351" s="1">
        <v>4</v>
      </c>
      <c r="T2351" s="1" t="b">
        <v>0</v>
      </c>
      <c r="U2351" s="1" t="s">
        <v>39</v>
      </c>
      <c r="V2351" s="3">
        <v>1</v>
      </c>
    </row>
    <row r="2352" spans="1:22" x14ac:dyDescent="0.3">
      <c r="A2352" s="2" t="s">
        <v>5190</v>
      </c>
      <c r="B2352" s="10">
        <v>44820</v>
      </c>
      <c r="C2352" s="22">
        <v>44820</v>
      </c>
      <c r="D2352" s="1" t="s">
        <v>5191</v>
      </c>
      <c r="E2352" s="1" t="s">
        <v>708</v>
      </c>
      <c r="F2352" s="1">
        <v>22</v>
      </c>
      <c r="G2352" s="1" t="s">
        <v>68</v>
      </c>
      <c r="H2352" s="1" t="s">
        <v>74</v>
      </c>
      <c r="I2352" s="1" t="s">
        <v>75</v>
      </c>
      <c r="J2352" s="1" t="s">
        <v>127</v>
      </c>
      <c r="K2352" s="1" t="s">
        <v>171</v>
      </c>
      <c r="L2352" s="1">
        <v>4</v>
      </c>
      <c r="M2352" s="13">
        <v>63972.59</v>
      </c>
      <c r="N2352" s="15">
        <v>0.28000000000000003</v>
      </c>
      <c r="O2352" s="13">
        <v>208355.63</v>
      </c>
      <c r="P2352" s="13">
        <v>16914.36</v>
      </c>
      <c r="Q2352" s="13">
        <v>37.35</v>
      </c>
      <c r="R2352" s="1" t="s">
        <v>78</v>
      </c>
      <c r="S2352" s="1">
        <v>1</v>
      </c>
      <c r="T2352" s="1" t="b">
        <v>0</v>
      </c>
      <c r="U2352" s="1" t="s">
        <v>84</v>
      </c>
      <c r="V2352" s="3">
        <v>7</v>
      </c>
    </row>
    <row r="2353" spans="1:22" x14ac:dyDescent="0.3">
      <c r="A2353" s="2" t="s">
        <v>5192</v>
      </c>
      <c r="B2353" s="10">
        <v>45373</v>
      </c>
      <c r="C2353" s="22">
        <v>45373</v>
      </c>
      <c r="D2353" s="1" t="s">
        <v>5193</v>
      </c>
      <c r="E2353" s="1" t="s">
        <v>3402</v>
      </c>
      <c r="F2353" s="1">
        <v>10</v>
      </c>
      <c r="G2353" s="1" t="s">
        <v>24</v>
      </c>
      <c r="H2353" s="1" t="s">
        <v>74</v>
      </c>
      <c r="I2353" s="1" t="s">
        <v>75</v>
      </c>
      <c r="J2353" s="1" t="s">
        <v>62</v>
      </c>
      <c r="K2353" s="1" t="s">
        <v>283</v>
      </c>
      <c r="L2353" s="1">
        <v>4</v>
      </c>
      <c r="M2353" s="13">
        <v>306.02</v>
      </c>
      <c r="N2353" s="15">
        <v>0.39</v>
      </c>
      <c r="O2353" s="13">
        <v>1006.23</v>
      </c>
      <c r="P2353" s="13">
        <v>419.1</v>
      </c>
      <c r="Q2353" s="13">
        <v>74.930000000000007</v>
      </c>
      <c r="R2353" s="1" t="s">
        <v>29</v>
      </c>
      <c r="S2353" s="1">
        <v>3</v>
      </c>
      <c r="T2353" s="1" t="b">
        <v>0</v>
      </c>
      <c r="U2353" s="1" t="s">
        <v>39</v>
      </c>
      <c r="V2353" s="3">
        <v>9</v>
      </c>
    </row>
    <row r="2354" spans="1:22" x14ac:dyDescent="0.3">
      <c r="A2354" s="2" t="s">
        <v>5194</v>
      </c>
      <c r="B2354" s="10">
        <v>44987</v>
      </c>
      <c r="C2354" s="22">
        <v>44987</v>
      </c>
      <c r="D2354" s="1" t="s">
        <v>5195</v>
      </c>
      <c r="E2354" s="1" t="s">
        <v>2752</v>
      </c>
      <c r="F2354" s="1">
        <v>36</v>
      </c>
      <c r="G2354" s="1" t="s">
        <v>24</v>
      </c>
      <c r="H2354" s="1" t="s">
        <v>111</v>
      </c>
      <c r="I2354" s="1" t="s">
        <v>121</v>
      </c>
      <c r="J2354" s="1" t="s">
        <v>27</v>
      </c>
      <c r="K2354" s="1" t="s">
        <v>56</v>
      </c>
      <c r="L2354" s="1">
        <v>9</v>
      </c>
      <c r="M2354" s="13">
        <v>57.61</v>
      </c>
      <c r="N2354" s="15">
        <v>0.28999999999999998</v>
      </c>
      <c r="O2354" s="13">
        <v>449.35</v>
      </c>
      <c r="P2354" s="13">
        <v>35.51</v>
      </c>
      <c r="Q2354" s="13">
        <v>88.76</v>
      </c>
      <c r="R2354" s="1" t="s">
        <v>51</v>
      </c>
      <c r="S2354" s="1">
        <v>1</v>
      </c>
      <c r="T2354" s="1" t="b">
        <v>0</v>
      </c>
      <c r="U2354" s="1" t="s">
        <v>39</v>
      </c>
      <c r="V2354" s="3">
        <v>4</v>
      </c>
    </row>
    <row r="2355" spans="1:22" x14ac:dyDescent="0.3">
      <c r="A2355" s="2" t="s">
        <v>5196</v>
      </c>
      <c r="B2355" s="10">
        <v>44339</v>
      </c>
      <c r="C2355" s="22">
        <v>44339</v>
      </c>
      <c r="D2355" s="1" t="s">
        <v>5197</v>
      </c>
      <c r="E2355" s="1" t="s">
        <v>1865</v>
      </c>
      <c r="F2355" s="1">
        <v>34</v>
      </c>
      <c r="G2355" s="1" t="s">
        <v>24</v>
      </c>
      <c r="H2355" s="1" t="s">
        <v>25</v>
      </c>
      <c r="I2355" s="1" t="s">
        <v>170</v>
      </c>
      <c r="J2355" s="1" t="s">
        <v>44</v>
      </c>
      <c r="K2355" s="1" t="s">
        <v>221</v>
      </c>
      <c r="L2355" s="1">
        <v>1</v>
      </c>
      <c r="M2355" s="13">
        <v>21498.18</v>
      </c>
      <c r="N2355" s="15">
        <v>0.38</v>
      </c>
      <c r="O2355" s="13">
        <v>20079.84</v>
      </c>
      <c r="P2355" s="13">
        <v>4432.74</v>
      </c>
      <c r="Q2355" s="13">
        <v>52.5</v>
      </c>
      <c r="R2355" s="1" t="s">
        <v>29</v>
      </c>
      <c r="S2355" s="1">
        <v>1</v>
      </c>
      <c r="T2355" s="1" t="b">
        <v>0</v>
      </c>
      <c r="U2355" s="1" t="s">
        <v>699</v>
      </c>
      <c r="V2355" s="3">
        <v>1</v>
      </c>
    </row>
    <row r="2356" spans="1:22" x14ac:dyDescent="0.3">
      <c r="A2356" s="2" t="s">
        <v>5198</v>
      </c>
      <c r="B2356" s="10">
        <v>45093</v>
      </c>
      <c r="C2356" s="22">
        <v>45093</v>
      </c>
      <c r="D2356" s="1" t="s">
        <v>5199</v>
      </c>
      <c r="E2356" s="1" t="s">
        <v>292</v>
      </c>
      <c r="F2356" s="1">
        <v>26</v>
      </c>
      <c r="G2356" s="1" t="s">
        <v>24</v>
      </c>
      <c r="H2356" s="1" t="s">
        <v>111</v>
      </c>
      <c r="I2356" s="1" t="s">
        <v>112</v>
      </c>
      <c r="J2356" s="1" t="s">
        <v>62</v>
      </c>
      <c r="K2356" s="1" t="s">
        <v>63</v>
      </c>
      <c r="L2356" s="1">
        <v>6</v>
      </c>
      <c r="M2356" s="13">
        <v>254.61</v>
      </c>
      <c r="N2356" s="15">
        <v>0.35</v>
      </c>
      <c r="O2356" s="13">
        <v>1558.67</v>
      </c>
      <c r="P2356" s="13">
        <v>563.70000000000005</v>
      </c>
      <c r="Q2356" s="13">
        <v>74.55</v>
      </c>
      <c r="R2356" s="1" t="s">
        <v>78</v>
      </c>
      <c r="S2356" s="1">
        <v>4</v>
      </c>
      <c r="T2356" s="1" t="b">
        <v>0</v>
      </c>
      <c r="U2356" s="1" t="s">
        <v>84</v>
      </c>
      <c r="V2356" s="3">
        <v>7</v>
      </c>
    </row>
    <row r="2357" spans="1:22" x14ac:dyDescent="0.3">
      <c r="A2357" s="2" t="s">
        <v>5200</v>
      </c>
      <c r="B2357" s="10">
        <v>45154</v>
      </c>
      <c r="C2357" s="22">
        <v>45154</v>
      </c>
      <c r="D2357" s="1" t="s">
        <v>5201</v>
      </c>
      <c r="E2357" s="1" t="s">
        <v>240</v>
      </c>
      <c r="F2357" s="1">
        <v>23</v>
      </c>
      <c r="G2357" s="1" t="s">
        <v>24</v>
      </c>
      <c r="H2357" s="1" t="s">
        <v>82</v>
      </c>
      <c r="I2357" s="1" t="s">
        <v>83</v>
      </c>
      <c r="J2357" s="1" t="s">
        <v>127</v>
      </c>
      <c r="K2357" s="1" t="s">
        <v>171</v>
      </c>
      <c r="L2357" s="1">
        <v>10</v>
      </c>
      <c r="M2357" s="13">
        <v>67990.05</v>
      </c>
      <c r="N2357" s="15">
        <v>0.1</v>
      </c>
      <c r="O2357" s="13">
        <v>962865.37</v>
      </c>
      <c r="P2357" s="13">
        <v>103582.22</v>
      </c>
      <c r="Q2357" s="13">
        <v>91.72</v>
      </c>
      <c r="R2357" s="1" t="s">
        <v>78</v>
      </c>
      <c r="S2357" s="1">
        <v>3</v>
      </c>
      <c r="T2357" s="1" t="b">
        <v>0</v>
      </c>
      <c r="U2357" s="1" t="s">
        <v>39</v>
      </c>
      <c r="V2357" s="3">
        <v>8</v>
      </c>
    </row>
    <row r="2358" spans="1:22" x14ac:dyDescent="0.3">
      <c r="A2358" s="2" t="s">
        <v>5202</v>
      </c>
      <c r="B2358" s="10">
        <v>44098</v>
      </c>
      <c r="C2358" s="22">
        <v>44098</v>
      </c>
      <c r="D2358" s="1" t="s">
        <v>5203</v>
      </c>
      <c r="E2358" s="1" t="s">
        <v>676</v>
      </c>
      <c r="F2358" s="1">
        <v>29</v>
      </c>
      <c r="G2358" s="1" t="s">
        <v>68</v>
      </c>
      <c r="H2358" s="1" t="s">
        <v>82</v>
      </c>
      <c r="I2358" s="1" t="s">
        <v>126</v>
      </c>
      <c r="J2358" s="1" t="s">
        <v>62</v>
      </c>
      <c r="K2358" s="1" t="s">
        <v>570</v>
      </c>
      <c r="L2358" s="1">
        <v>4</v>
      </c>
      <c r="M2358" s="13">
        <v>1449.53</v>
      </c>
      <c r="N2358" s="15">
        <v>0.39</v>
      </c>
      <c r="O2358" s="13">
        <v>3044.42</v>
      </c>
      <c r="P2358" s="13">
        <v>1101.47</v>
      </c>
      <c r="Q2358" s="13">
        <v>58.44</v>
      </c>
      <c r="R2358" s="1" t="s">
        <v>78</v>
      </c>
      <c r="S2358" s="1">
        <v>3</v>
      </c>
      <c r="T2358" s="1" t="b">
        <v>0</v>
      </c>
      <c r="U2358" s="1" t="s">
        <v>39</v>
      </c>
      <c r="V2358" s="3">
        <v>7</v>
      </c>
    </row>
    <row r="2359" spans="1:22" x14ac:dyDescent="0.3">
      <c r="A2359" s="2" t="s">
        <v>5204</v>
      </c>
      <c r="B2359" s="10">
        <v>44599</v>
      </c>
      <c r="C2359" s="22">
        <v>44599</v>
      </c>
      <c r="D2359" s="1" t="s">
        <v>5205</v>
      </c>
      <c r="E2359" s="1" t="s">
        <v>505</v>
      </c>
      <c r="F2359" s="1">
        <v>28</v>
      </c>
      <c r="G2359" s="1" t="s">
        <v>434</v>
      </c>
      <c r="H2359" s="1" t="s">
        <v>82</v>
      </c>
      <c r="I2359" s="1" t="s">
        <v>293</v>
      </c>
      <c r="J2359" s="1" t="s">
        <v>44</v>
      </c>
      <c r="K2359" s="1" t="s">
        <v>50</v>
      </c>
      <c r="L2359" s="1">
        <v>3</v>
      </c>
      <c r="M2359" s="13">
        <v>22715.24</v>
      </c>
      <c r="N2359" s="15">
        <v>0.26</v>
      </c>
      <c r="O2359" s="13">
        <v>47070.16</v>
      </c>
      <c r="P2359" s="13">
        <v>14935.41</v>
      </c>
      <c r="Q2359" s="13">
        <v>83.56</v>
      </c>
      <c r="R2359" s="1" t="s">
        <v>78</v>
      </c>
      <c r="S2359" s="1">
        <v>4</v>
      </c>
      <c r="T2359" s="1" t="b">
        <v>0</v>
      </c>
      <c r="U2359" s="1" t="s">
        <v>39</v>
      </c>
      <c r="V2359" s="3">
        <v>8</v>
      </c>
    </row>
    <row r="2360" spans="1:22" x14ac:dyDescent="0.3">
      <c r="A2360" s="2" t="s">
        <v>5206</v>
      </c>
      <c r="B2360" s="10">
        <v>45351</v>
      </c>
      <c r="C2360" s="22">
        <v>45351</v>
      </c>
      <c r="D2360" s="1" t="s">
        <v>5207</v>
      </c>
      <c r="E2360" s="1" t="s">
        <v>375</v>
      </c>
      <c r="F2360" s="1">
        <v>55</v>
      </c>
      <c r="G2360" s="1" t="s">
        <v>34</v>
      </c>
      <c r="H2360" s="1" t="s">
        <v>35</v>
      </c>
      <c r="I2360" s="1" t="s">
        <v>106</v>
      </c>
      <c r="J2360" s="1" t="s">
        <v>37</v>
      </c>
      <c r="K2360" s="1" t="s">
        <v>231</v>
      </c>
      <c r="L2360" s="1">
        <v>1</v>
      </c>
      <c r="M2360" s="13">
        <v>356.08</v>
      </c>
      <c r="N2360" s="15">
        <v>0.16</v>
      </c>
      <c r="O2360" s="13">
        <v>293.48</v>
      </c>
      <c r="P2360" s="13">
        <v>113.23</v>
      </c>
      <c r="Q2360" s="13">
        <v>49.34</v>
      </c>
      <c r="R2360" s="1" t="s">
        <v>78</v>
      </c>
      <c r="S2360" s="1">
        <v>3</v>
      </c>
      <c r="T2360" s="1" t="b">
        <v>0</v>
      </c>
      <c r="U2360" s="1" t="s">
        <v>39</v>
      </c>
      <c r="V2360" s="3">
        <v>8</v>
      </c>
    </row>
    <row r="2361" spans="1:22" x14ac:dyDescent="0.3">
      <c r="A2361" s="2" t="s">
        <v>5208</v>
      </c>
      <c r="B2361" s="10">
        <v>44093</v>
      </c>
      <c r="C2361" s="22">
        <v>44093</v>
      </c>
      <c r="D2361" s="1" t="s">
        <v>5209</v>
      </c>
      <c r="E2361" s="1" t="s">
        <v>1057</v>
      </c>
      <c r="F2361" s="1">
        <v>40</v>
      </c>
      <c r="G2361" s="1" t="s">
        <v>34</v>
      </c>
      <c r="H2361" s="1" t="s">
        <v>35</v>
      </c>
      <c r="I2361" s="1" t="s">
        <v>49</v>
      </c>
      <c r="J2361" s="1" t="s">
        <v>37</v>
      </c>
      <c r="K2361" s="1" t="s">
        <v>671</v>
      </c>
      <c r="L2361" s="1">
        <v>3</v>
      </c>
      <c r="M2361" s="13">
        <v>2164.7199999999998</v>
      </c>
      <c r="N2361" s="15">
        <v>0.31</v>
      </c>
      <c r="O2361" s="13">
        <v>3914.75</v>
      </c>
      <c r="P2361" s="13">
        <v>2019.53</v>
      </c>
      <c r="Q2361" s="13">
        <v>42.56</v>
      </c>
      <c r="R2361" s="1" t="s">
        <v>64</v>
      </c>
      <c r="S2361" s="1">
        <v>1</v>
      </c>
      <c r="T2361" s="1" t="b">
        <v>0</v>
      </c>
      <c r="U2361" s="1" t="s">
        <v>137</v>
      </c>
      <c r="V2361" s="3">
        <v>7</v>
      </c>
    </row>
    <row r="2362" spans="1:22" x14ac:dyDescent="0.3">
      <c r="A2362" s="2" t="s">
        <v>5210</v>
      </c>
      <c r="B2362" s="10">
        <v>44133</v>
      </c>
      <c r="C2362" s="22">
        <v>44133</v>
      </c>
      <c r="D2362" s="1" t="s">
        <v>5211</v>
      </c>
      <c r="E2362" s="1" t="s">
        <v>1128</v>
      </c>
      <c r="F2362" s="1">
        <v>47</v>
      </c>
      <c r="G2362" s="1" t="s">
        <v>68</v>
      </c>
      <c r="H2362" s="1" t="s">
        <v>111</v>
      </c>
      <c r="I2362" s="1" t="s">
        <v>112</v>
      </c>
      <c r="J2362" s="1" t="s">
        <v>37</v>
      </c>
      <c r="K2362" s="1" t="s">
        <v>671</v>
      </c>
      <c r="L2362" s="1">
        <v>8</v>
      </c>
      <c r="M2362" s="13">
        <v>155.44</v>
      </c>
      <c r="N2362" s="15">
        <v>0.23</v>
      </c>
      <c r="O2362" s="13">
        <v>882.09</v>
      </c>
      <c r="P2362" s="13">
        <v>419.32</v>
      </c>
      <c r="Q2362" s="13">
        <v>56.84</v>
      </c>
      <c r="R2362" s="1" t="s">
        <v>29</v>
      </c>
      <c r="S2362" s="1">
        <v>4</v>
      </c>
      <c r="T2362" s="1" t="b">
        <v>0</v>
      </c>
      <c r="U2362" s="1" t="s">
        <v>39</v>
      </c>
      <c r="V2362" s="3">
        <v>7</v>
      </c>
    </row>
    <row r="2363" spans="1:22" x14ac:dyDescent="0.3">
      <c r="A2363" s="2" t="s">
        <v>5212</v>
      </c>
      <c r="B2363" s="10">
        <v>43837</v>
      </c>
      <c r="C2363" s="22">
        <v>43837</v>
      </c>
      <c r="D2363" s="1" t="s">
        <v>5213</v>
      </c>
      <c r="E2363" s="1" t="s">
        <v>547</v>
      </c>
      <c r="F2363" s="1">
        <v>13</v>
      </c>
      <c r="G2363" s="1" t="s">
        <v>24</v>
      </c>
      <c r="H2363" s="1" t="s">
        <v>35</v>
      </c>
      <c r="I2363" s="1" t="s">
        <v>106</v>
      </c>
      <c r="J2363" s="1" t="s">
        <v>127</v>
      </c>
      <c r="K2363" s="1" t="s">
        <v>171</v>
      </c>
      <c r="L2363" s="1">
        <v>9</v>
      </c>
      <c r="M2363" s="13">
        <v>77654.78</v>
      </c>
      <c r="N2363" s="15">
        <v>0.22</v>
      </c>
      <c r="O2363" s="13">
        <v>381614.84</v>
      </c>
      <c r="P2363" s="13">
        <v>51058.62</v>
      </c>
      <c r="Q2363" s="13">
        <v>52.7</v>
      </c>
      <c r="R2363" s="1" t="s">
        <v>70</v>
      </c>
      <c r="S2363" s="1">
        <v>2</v>
      </c>
      <c r="T2363" s="1" t="b">
        <v>0</v>
      </c>
      <c r="U2363" s="1" t="s">
        <v>84</v>
      </c>
      <c r="V2363" s="3">
        <v>10</v>
      </c>
    </row>
    <row r="2364" spans="1:22" x14ac:dyDescent="0.3">
      <c r="A2364" s="2" t="s">
        <v>5214</v>
      </c>
      <c r="B2364" s="10">
        <v>45005</v>
      </c>
      <c r="C2364" s="22">
        <v>45005</v>
      </c>
      <c r="D2364" s="1" t="s">
        <v>5215</v>
      </c>
      <c r="E2364" s="1" t="s">
        <v>1142</v>
      </c>
      <c r="F2364" s="1">
        <v>27</v>
      </c>
      <c r="G2364" s="1" t="s">
        <v>34</v>
      </c>
      <c r="H2364" s="1" t="s">
        <v>111</v>
      </c>
      <c r="I2364" s="1" t="s">
        <v>141</v>
      </c>
      <c r="J2364" s="1" t="s">
        <v>62</v>
      </c>
      <c r="K2364" s="1" t="s">
        <v>283</v>
      </c>
      <c r="L2364" s="1">
        <v>3</v>
      </c>
      <c r="M2364" s="13">
        <v>435.38</v>
      </c>
      <c r="N2364" s="15">
        <v>0.27</v>
      </c>
      <c r="O2364" s="13">
        <v>1015.42</v>
      </c>
      <c r="P2364" s="13">
        <v>374.01</v>
      </c>
      <c r="Q2364" s="13">
        <v>46.53</v>
      </c>
      <c r="R2364" s="1" t="s">
        <v>57</v>
      </c>
      <c r="S2364" s="1">
        <v>1</v>
      </c>
      <c r="T2364" s="1" t="b">
        <v>0</v>
      </c>
      <c r="U2364" s="1" t="s">
        <v>39</v>
      </c>
      <c r="V2364" s="3">
        <v>10</v>
      </c>
    </row>
    <row r="2365" spans="1:22" x14ac:dyDescent="0.3">
      <c r="A2365" s="2" t="s">
        <v>5216</v>
      </c>
      <c r="B2365" s="10">
        <v>44696</v>
      </c>
      <c r="C2365" s="22">
        <v>44696</v>
      </c>
      <c r="D2365" s="1" t="s">
        <v>5217</v>
      </c>
      <c r="E2365" s="1" t="s">
        <v>1526</v>
      </c>
      <c r="F2365" s="1">
        <v>48</v>
      </c>
      <c r="G2365" s="1" t="s">
        <v>24</v>
      </c>
      <c r="H2365" s="1" t="s">
        <v>82</v>
      </c>
      <c r="I2365" s="1" t="s">
        <v>293</v>
      </c>
      <c r="J2365" s="1" t="s">
        <v>37</v>
      </c>
      <c r="K2365" s="1" t="s">
        <v>231</v>
      </c>
      <c r="L2365" s="1">
        <v>2</v>
      </c>
      <c r="M2365" s="13">
        <v>722.06</v>
      </c>
      <c r="N2365" s="15">
        <v>0.2</v>
      </c>
      <c r="O2365" s="13">
        <v>2091.67</v>
      </c>
      <c r="P2365" s="13">
        <v>471.88</v>
      </c>
      <c r="Q2365" s="13">
        <v>87.98</v>
      </c>
      <c r="R2365" s="1" t="s">
        <v>57</v>
      </c>
      <c r="S2365" s="1">
        <v>5</v>
      </c>
      <c r="T2365" s="1" t="b">
        <v>0</v>
      </c>
      <c r="U2365" s="1" t="s">
        <v>137</v>
      </c>
      <c r="V2365" s="3">
        <v>3</v>
      </c>
    </row>
    <row r="2366" spans="1:22" x14ac:dyDescent="0.3">
      <c r="A2366" s="2" t="s">
        <v>5218</v>
      </c>
      <c r="B2366" s="10">
        <v>44761</v>
      </c>
      <c r="C2366" s="22">
        <v>44761</v>
      </c>
      <c r="D2366" s="1" t="s">
        <v>5219</v>
      </c>
      <c r="E2366" s="1" t="s">
        <v>4771</v>
      </c>
      <c r="F2366" s="1">
        <v>28</v>
      </c>
      <c r="G2366" s="1" t="s">
        <v>68</v>
      </c>
      <c r="H2366" s="1" t="s">
        <v>111</v>
      </c>
      <c r="I2366" s="1" t="s">
        <v>330</v>
      </c>
      <c r="J2366" s="1" t="s">
        <v>27</v>
      </c>
      <c r="K2366" s="1" t="s">
        <v>56</v>
      </c>
      <c r="L2366" s="1">
        <v>3</v>
      </c>
      <c r="M2366" s="13">
        <v>187.48</v>
      </c>
      <c r="N2366" s="15">
        <v>0.13</v>
      </c>
      <c r="O2366" s="13">
        <v>717.47</v>
      </c>
      <c r="P2366" s="13">
        <v>70.37</v>
      </c>
      <c r="Q2366" s="13">
        <v>77.819999999999993</v>
      </c>
      <c r="R2366" s="1" t="s">
        <v>51</v>
      </c>
      <c r="S2366" s="1">
        <v>1</v>
      </c>
      <c r="T2366" s="1" t="b">
        <v>0</v>
      </c>
      <c r="U2366" s="1" t="s">
        <v>39</v>
      </c>
      <c r="V2366" s="3">
        <v>10</v>
      </c>
    </row>
    <row r="2367" spans="1:22" x14ac:dyDescent="0.3">
      <c r="A2367" s="2" t="s">
        <v>5220</v>
      </c>
      <c r="B2367" s="10">
        <v>44396</v>
      </c>
      <c r="C2367" s="22">
        <v>44396</v>
      </c>
      <c r="D2367" s="1" t="s">
        <v>5221</v>
      </c>
      <c r="E2367" s="1" t="s">
        <v>181</v>
      </c>
      <c r="F2367" s="1">
        <v>36</v>
      </c>
      <c r="G2367" s="1" t="s">
        <v>34</v>
      </c>
      <c r="H2367" s="1" t="s">
        <v>74</v>
      </c>
      <c r="I2367" s="1" t="s">
        <v>75</v>
      </c>
      <c r="J2367" s="1" t="s">
        <v>127</v>
      </c>
      <c r="K2367" s="1" t="s">
        <v>517</v>
      </c>
      <c r="L2367" s="1">
        <v>1</v>
      </c>
      <c r="M2367" s="13">
        <v>60275.27</v>
      </c>
      <c r="N2367" s="15">
        <v>0.06</v>
      </c>
      <c r="O2367" s="13">
        <v>74194.61</v>
      </c>
      <c r="P2367" s="13">
        <v>8194.66</v>
      </c>
      <c r="Q2367" s="13">
        <v>64.8</v>
      </c>
      <c r="R2367" s="1" t="s">
        <v>57</v>
      </c>
      <c r="S2367" s="1">
        <v>4</v>
      </c>
      <c r="T2367" s="1" t="b">
        <v>0</v>
      </c>
      <c r="U2367" s="1" t="s">
        <v>58</v>
      </c>
      <c r="V2367" s="3">
        <v>1</v>
      </c>
    </row>
    <row r="2368" spans="1:22" x14ac:dyDescent="0.3">
      <c r="A2368" s="2" t="s">
        <v>5222</v>
      </c>
      <c r="B2368" s="10">
        <v>45384</v>
      </c>
      <c r="C2368" s="22">
        <v>45384</v>
      </c>
      <c r="D2368" s="1" t="s">
        <v>5223</v>
      </c>
      <c r="E2368" s="1" t="s">
        <v>1454</v>
      </c>
      <c r="F2368" s="1">
        <v>46</v>
      </c>
      <c r="G2368" s="1" t="s">
        <v>68</v>
      </c>
      <c r="H2368" s="1" t="s">
        <v>82</v>
      </c>
      <c r="I2368" s="1" t="s">
        <v>126</v>
      </c>
      <c r="J2368" s="1" t="s">
        <v>146</v>
      </c>
      <c r="K2368" s="1" t="s">
        <v>484</v>
      </c>
      <c r="L2368" s="1">
        <v>7</v>
      </c>
      <c r="M2368" s="13">
        <v>13076.37</v>
      </c>
      <c r="N2368" s="15">
        <v>0.06</v>
      </c>
      <c r="O2368" s="13">
        <v>136693.89000000001</v>
      </c>
      <c r="P2368" s="13">
        <v>34072.35</v>
      </c>
      <c r="Q2368" s="13">
        <v>89.88</v>
      </c>
      <c r="R2368" s="1" t="s">
        <v>70</v>
      </c>
      <c r="S2368" s="1">
        <v>5</v>
      </c>
      <c r="T2368" s="1" t="b">
        <v>0</v>
      </c>
      <c r="U2368" s="1" t="s">
        <v>39</v>
      </c>
      <c r="V2368" s="3">
        <v>8</v>
      </c>
    </row>
    <row r="2369" spans="1:22" x14ac:dyDescent="0.3">
      <c r="A2369" s="2" t="s">
        <v>5224</v>
      </c>
      <c r="B2369" s="10">
        <v>45499</v>
      </c>
      <c r="C2369" s="22">
        <v>45499</v>
      </c>
      <c r="D2369" s="1" t="s">
        <v>5225</v>
      </c>
      <c r="E2369" s="1" t="s">
        <v>487</v>
      </c>
      <c r="F2369" s="1">
        <v>29</v>
      </c>
      <c r="G2369" s="1" t="s">
        <v>68</v>
      </c>
      <c r="H2369" s="1" t="s">
        <v>82</v>
      </c>
      <c r="I2369" s="1" t="s">
        <v>83</v>
      </c>
      <c r="J2369" s="1" t="s">
        <v>146</v>
      </c>
      <c r="K2369" s="1" t="s">
        <v>217</v>
      </c>
      <c r="L2369" s="1">
        <v>1</v>
      </c>
      <c r="M2369" s="13">
        <v>14799.57</v>
      </c>
      <c r="N2369" s="15">
        <v>0.31</v>
      </c>
      <c r="O2369" s="13">
        <v>18615.04</v>
      </c>
      <c r="P2369" s="13">
        <v>2577.83</v>
      </c>
      <c r="Q2369" s="13">
        <v>93.94</v>
      </c>
      <c r="R2369" s="1" t="s">
        <v>57</v>
      </c>
      <c r="S2369" s="1">
        <v>1</v>
      </c>
      <c r="T2369" s="1" t="b">
        <v>0</v>
      </c>
      <c r="U2369" s="1" t="s">
        <v>84</v>
      </c>
      <c r="V2369" s="3">
        <v>4</v>
      </c>
    </row>
    <row r="2370" spans="1:22" x14ac:dyDescent="0.3">
      <c r="A2370" s="2" t="s">
        <v>5226</v>
      </c>
      <c r="B2370" s="10">
        <v>44792</v>
      </c>
      <c r="C2370" s="22">
        <v>44792</v>
      </c>
      <c r="D2370" s="1" t="s">
        <v>5227</v>
      </c>
      <c r="E2370" s="1" t="s">
        <v>764</v>
      </c>
      <c r="F2370" s="1">
        <v>14</v>
      </c>
      <c r="G2370" s="1" t="s">
        <v>24</v>
      </c>
      <c r="H2370" s="1" t="s">
        <v>74</v>
      </c>
      <c r="I2370" s="1" t="s">
        <v>101</v>
      </c>
      <c r="J2370" s="1" t="s">
        <v>37</v>
      </c>
      <c r="K2370" s="1" t="s">
        <v>231</v>
      </c>
      <c r="L2370" s="1">
        <v>4</v>
      </c>
      <c r="M2370" s="13">
        <v>894.71</v>
      </c>
      <c r="N2370" s="15">
        <v>0.06</v>
      </c>
      <c r="O2370" s="13">
        <v>4573.8</v>
      </c>
      <c r="P2370" s="13">
        <v>2107.23</v>
      </c>
      <c r="Q2370" s="13">
        <v>40.06</v>
      </c>
      <c r="R2370" s="1" t="s">
        <v>29</v>
      </c>
      <c r="S2370" s="1">
        <v>1</v>
      </c>
      <c r="T2370" s="1" t="b">
        <v>1</v>
      </c>
      <c r="U2370" s="1" t="s">
        <v>30</v>
      </c>
      <c r="V2370" s="3">
        <v>3</v>
      </c>
    </row>
    <row r="2371" spans="1:22" x14ac:dyDescent="0.3">
      <c r="A2371" s="2" t="s">
        <v>5228</v>
      </c>
      <c r="B2371" s="10">
        <v>44503</v>
      </c>
      <c r="C2371" s="22">
        <v>44503</v>
      </c>
      <c r="D2371" s="1" t="s">
        <v>5229</v>
      </c>
      <c r="E2371" s="1" t="s">
        <v>950</v>
      </c>
      <c r="F2371" s="1">
        <v>29</v>
      </c>
      <c r="G2371" s="1" t="s">
        <v>34</v>
      </c>
      <c r="H2371" s="1" t="s">
        <v>74</v>
      </c>
      <c r="I2371" s="1" t="s">
        <v>136</v>
      </c>
      <c r="J2371" s="1" t="s">
        <v>37</v>
      </c>
      <c r="K2371" s="1" t="s">
        <v>182</v>
      </c>
      <c r="L2371" s="1">
        <v>1</v>
      </c>
      <c r="M2371" s="13">
        <v>1351.86</v>
      </c>
      <c r="N2371" s="15">
        <v>0.02</v>
      </c>
      <c r="O2371" s="13">
        <v>984.4</v>
      </c>
      <c r="P2371" s="13">
        <v>308.39</v>
      </c>
      <c r="Q2371" s="13">
        <v>59.52</v>
      </c>
      <c r="R2371" s="1" t="s">
        <v>70</v>
      </c>
      <c r="S2371" s="1">
        <v>4</v>
      </c>
      <c r="T2371" s="1" t="b">
        <v>0</v>
      </c>
      <c r="U2371" s="1" t="s">
        <v>39</v>
      </c>
      <c r="V2371" s="3">
        <v>8</v>
      </c>
    </row>
    <row r="2372" spans="1:22" x14ac:dyDescent="0.3">
      <c r="A2372" s="2" t="s">
        <v>5230</v>
      </c>
      <c r="B2372" s="10">
        <v>44435</v>
      </c>
      <c r="C2372" s="22">
        <v>44435</v>
      </c>
      <c r="D2372" s="1" t="s">
        <v>5231</v>
      </c>
      <c r="E2372" s="1" t="s">
        <v>73</v>
      </c>
      <c r="F2372" s="1">
        <v>24</v>
      </c>
      <c r="G2372" s="1" t="s">
        <v>34</v>
      </c>
      <c r="H2372" s="1" t="s">
        <v>35</v>
      </c>
      <c r="I2372" s="1" t="s">
        <v>43</v>
      </c>
      <c r="J2372" s="1" t="s">
        <v>146</v>
      </c>
      <c r="K2372" s="1" t="s">
        <v>217</v>
      </c>
      <c r="L2372" s="1">
        <v>3</v>
      </c>
      <c r="M2372" s="13">
        <v>13785.98</v>
      </c>
      <c r="N2372" s="15">
        <v>0.06</v>
      </c>
      <c r="O2372" s="13">
        <v>45600.79</v>
      </c>
      <c r="P2372" s="13">
        <v>9994.7800000000007</v>
      </c>
      <c r="Q2372" s="13">
        <v>77.7</v>
      </c>
      <c r="R2372" s="1" t="s">
        <v>64</v>
      </c>
      <c r="S2372" s="1">
        <v>5</v>
      </c>
      <c r="T2372" s="1" t="b">
        <v>0</v>
      </c>
      <c r="U2372" s="1" t="s">
        <v>39</v>
      </c>
      <c r="V2372" s="3">
        <v>8</v>
      </c>
    </row>
    <row r="2373" spans="1:22" x14ac:dyDescent="0.3">
      <c r="A2373" s="2" t="s">
        <v>5232</v>
      </c>
      <c r="B2373" s="10">
        <v>44615</v>
      </c>
      <c r="C2373" s="22">
        <v>44615</v>
      </c>
      <c r="D2373" s="1" t="s">
        <v>5233</v>
      </c>
      <c r="E2373" s="1" t="s">
        <v>1023</v>
      </c>
      <c r="F2373" s="1">
        <v>53</v>
      </c>
      <c r="G2373" s="1" t="s">
        <v>24</v>
      </c>
      <c r="H2373" s="1" t="s">
        <v>35</v>
      </c>
      <c r="I2373" s="1" t="s">
        <v>43</v>
      </c>
      <c r="J2373" s="1" t="s">
        <v>44</v>
      </c>
      <c r="K2373" s="1" t="s">
        <v>186</v>
      </c>
      <c r="L2373" s="1">
        <v>2</v>
      </c>
      <c r="M2373" s="13">
        <v>26063.7</v>
      </c>
      <c r="N2373" s="15">
        <v>0.01</v>
      </c>
      <c r="O2373" s="13">
        <v>55430.07</v>
      </c>
      <c r="P2373" s="13">
        <v>15320.6</v>
      </c>
      <c r="Q2373" s="13">
        <v>52.28</v>
      </c>
      <c r="R2373" s="1" t="s">
        <v>64</v>
      </c>
      <c r="S2373" s="1">
        <v>3</v>
      </c>
      <c r="T2373" s="1" t="b">
        <v>0</v>
      </c>
      <c r="U2373" s="1" t="s">
        <v>39</v>
      </c>
      <c r="V2373" s="3">
        <v>2</v>
      </c>
    </row>
    <row r="2374" spans="1:22" x14ac:dyDescent="0.3">
      <c r="A2374" s="2" t="s">
        <v>5234</v>
      </c>
      <c r="B2374" s="10">
        <v>44874</v>
      </c>
      <c r="C2374" s="22">
        <v>44874</v>
      </c>
      <c r="D2374" s="1" t="s">
        <v>5235</v>
      </c>
      <c r="E2374" s="1" t="s">
        <v>1340</v>
      </c>
      <c r="F2374" s="1">
        <v>43</v>
      </c>
      <c r="G2374" s="1" t="s">
        <v>24</v>
      </c>
      <c r="H2374" s="1" t="s">
        <v>25</v>
      </c>
      <c r="I2374" s="1" t="s">
        <v>69</v>
      </c>
      <c r="J2374" s="1" t="s">
        <v>62</v>
      </c>
      <c r="K2374" s="1" t="s">
        <v>283</v>
      </c>
      <c r="L2374" s="1">
        <v>6</v>
      </c>
      <c r="M2374" s="13">
        <v>1444.95</v>
      </c>
      <c r="N2374" s="15">
        <v>0.19</v>
      </c>
      <c r="O2374" s="13">
        <v>6041.34</v>
      </c>
      <c r="P2374" s="13">
        <v>2352.1999999999998</v>
      </c>
      <c r="Q2374" s="13">
        <v>58.8</v>
      </c>
      <c r="R2374" s="1" t="s">
        <v>78</v>
      </c>
      <c r="S2374" s="1">
        <v>3</v>
      </c>
      <c r="T2374" s="1" t="b">
        <v>0</v>
      </c>
      <c r="U2374" s="1" t="s">
        <v>39</v>
      </c>
      <c r="V2374" s="3">
        <v>4</v>
      </c>
    </row>
    <row r="2375" spans="1:22" x14ac:dyDescent="0.3">
      <c r="A2375" s="2" t="s">
        <v>5236</v>
      </c>
      <c r="B2375" s="10">
        <v>44119</v>
      </c>
      <c r="C2375" s="22">
        <v>44119</v>
      </c>
      <c r="D2375" s="1" t="s">
        <v>5237</v>
      </c>
      <c r="E2375" s="1" t="s">
        <v>552</v>
      </c>
      <c r="F2375" s="1">
        <v>30</v>
      </c>
      <c r="G2375" s="1" t="s">
        <v>34</v>
      </c>
      <c r="H2375" s="1" t="s">
        <v>82</v>
      </c>
      <c r="I2375" s="1" t="s">
        <v>126</v>
      </c>
      <c r="J2375" s="1" t="s">
        <v>146</v>
      </c>
      <c r="K2375" s="1" t="s">
        <v>161</v>
      </c>
      <c r="L2375" s="1">
        <v>7</v>
      </c>
      <c r="M2375" s="13">
        <v>14669.86</v>
      </c>
      <c r="N2375" s="15">
        <v>0.03</v>
      </c>
      <c r="O2375" s="13">
        <v>88163.95</v>
      </c>
      <c r="P2375" s="13">
        <v>19639.12</v>
      </c>
      <c r="Q2375" s="13">
        <v>61</v>
      </c>
      <c r="R2375" s="1" t="s">
        <v>51</v>
      </c>
      <c r="S2375" s="1">
        <v>5</v>
      </c>
      <c r="T2375" s="1" t="b">
        <v>0</v>
      </c>
      <c r="U2375" s="1" t="s">
        <v>39</v>
      </c>
      <c r="V2375" s="3">
        <v>2</v>
      </c>
    </row>
    <row r="2376" spans="1:22" x14ac:dyDescent="0.3">
      <c r="A2376" s="2" t="s">
        <v>5238</v>
      </c>
      <c r="B2376" s="10">
        <v>44032</v>
      </c>
      <c r="C2376" s="22">
        <v>44032</v>
      </c>
      <c r="D2376" s="1" t="s">
        <v>5239</v>
      </c>
      <c r="E2376" s="1" t="s">
        <v>440</v>
      </c>
      <c r="F2376" s="1">
        <v>39</v>
      </c>
      <c r="G2376" s="1" t="s">
        <v>34</v>
      </c>
      <c r="H2376" s="1" t="s">
        <v>35</v>
      </c>
      <c r="I2376" s="1" t="s">
        <v>106</v>
      </c>
      <c r="J2376" s="1" t="s">
        <v>62</v>
      </c>
      <c r="K2376" s="1" t="s">
        <v>151</v>
      </c>
      <c r="L2376" s="1">
        <v>6</v>
      </c>
      <c r="M2376" s="13">
        <v>214.61</v>
      </c>
      <c r="N2376" s="15">
        <v>0.1</v>
      </c>
      <c r="O2376" s="13">
        <v>1705.11</v>
      </c>
      <c r="P2376" s="13">
        <v>803.75</v>
      </c>
      <c r="Q2376" s="13">
        <v>59.79</v>
      </c>
      <c r="R2376" s="1" t="s">
        <v>57</v>
      </c>
      <c r="S2376" s="1">
        <v>1</v>
      </c>
      <c r="T2376" s="1" t="b">
        <v>1</v>
      </c>
      <c r="U2376" s="1" t="s">
        <v>30</v>
      </c>
      <c r="V2376" s="3">
        <v>5</v>
      </c>
    </row>
    <row r="2377" spans="1:22" x14ac:dyDescent="0.3">
      <c r="A2377" s="2" t="s">
        <v>5240</v>
      </c>
      <c r="B2377" s="10">
        <v>44727</v>
      </c>
      <c r="C2377" s="22">
        <v>44727</v>
      </c>
      <c r="D2377" s="1" t="s">
        <v>5241</v>
      </c>
      <c r="E2377" s="1" t="s">
        <v>569</v>
      </c>
      <c r="F2377" s="1">
        <v>45</v>
      </c>
      <c r="G2377" s="1" t="s">
        <v>34</v>
      </c>
      <c r="H2377" s="1" t="s">
        <v>82</v>
      </c>
      <c r="I2377" s="1" t="s">
        <v>244</v>
      </c>
      <c r="J2377" s="1" t="s">
        <v>76</v>
      </c>
      <c r="K2377" s="1" t="s">
        <v>89</v>
      </c>
      <c r="L2377" s="1">
        <v>3</v>
      </c>
      <c r="M2377" s="13">
        <v>3907.45</v>
      </c>
      <c r="N2377" s="15">
        <v>7.0000000000000007E-2</v>
      </c>
      <c r="O2377" s="13">
        <v>16325.84</v>
      </c>
      <c r="P2377" s="13">
        <v>7720.27</v>
      </c>
      <c r="Q2377" s="13">
        <v>94.28</v>
      </c>
      <c r="R2377" s="1" t="s">
        <v>51</v>
      </c>
      <c r="S2377" s="1">
        <v>4</v>
      </c>
      <c r="T2377" s="1" t="b">
        <v>0</v>
      </c>
      <c r="U2377" s="1" t="s">
        <v>39</v>
      </c>
      <c r="V2377" s="3">
        <v>5</v>
      </c>
    </row>
    <row r="2378" spans="1:22" x14ac:dyDescent="0.3">
      <c r="A2378" s="2" t="s">
        <v>5242</v>
      </c>
      <c r="B2378" s="10">
        <v>44423</v>
      </c>
      <c r="C2378" s="22">
        <v>44423</v>
      </c>
      <c r="D2378" s="1" t="s">
        <v>5243</v>
      </c>
      <c r="E2378" s="1" t="s">
        <v>1761</v>
      </c>
      <c r="F2378" s="1">
        <v>31</v>
      </c>
      <c r="G2378" s="1" t="s">
        <v>24</v>
      </c>
      <c r="H2378" s="1" t="s">
        <v>82</v>
      </c>
      <c r="I2378" s="1" t="s">
        <v>126</v>
      </c>
      <c r="J2378" s="1" t="s">
        <v>27</v>
      </c>
      <c r="K2378" s="1" t="s">
        <v>28</v>
      </c>
      <c r="L2378" s="1">
        <v>1</v>
      </c>
      <c r="M2378" s="13">
        <v>446.2</v>
      </c>
      <c r="N2378" s="15">
        <v>0.12</v>
      </c>
      <c r="O2378" s="13">
        <v>424.33</v>
      </c>
      <c r="P2378" s="13">
        <v>36.33</v>
      </c>
      <c r="Q2378" s="13">
        <v>85.34</v>
      </c>
      <c r="R2378" s="1" t="s">
        <v>64</v>
      </c>
      <c r="S2378" s="1">
        <v>4</v>
      </c>
      <c r="T2378" s="1" t="b">
        <v>0</v>
      </c>
      <c r="U2378" s="1" t="s">
        <v>39</v>
      </c>
      <c r="V2378" s="3">
        <v>7</v>
      </c>
    </row>
    <row r="2379" spans="1:22" x14ac:dyDescent="0.3">
      <c r="A2379" s="2" t="s">
        <v>5244</v>
      </c>
      <c r="B2379" s="10">
        <v>45293</v>
      </c>
      <c r="C2379" s="22">
        <v>45293</v>
      </c>
      <c r="D2379" s="1" t="s">
        <v>5245</v>
      </c>
      <c r="E2379" s="1" t="s">
        <v>1030</v>
      </c>
      <c r="F2379" s="1">
        <v>44</v>
      </c>
      <c r="G2379" s="1" t="s">
        <v>24</v>
      </c>
      <c r="H2379" s="1" t="s">
        <v>111</v>
      </c>
      <c r="I2379" s="1" t="s">
        <v>112</v>
      </c>
      <c r="J2379" s="1" t="s">
        <v>146</v>
      </c>
      <c r="K2379" s="1" t="s">
        <v>276</v>
      </c>
      <c r="L2379" s="1">
        <v>2</v>
      </c>
      <c r="M2379" s="13">
        <v>2101.38</v>
      </c>
      <c r="N2379" s="15">
        <v>0.37</v>
      </c>
      <c r="O2379" s="13">
        <v>2358.4299999999998</v>
      </c>
      <c r="P2379" s="13">
        <v>543.20000000000005</v>
      </c>
      <c r="Q2379" s="13">
        <v>90.14</v>
      </c>
      <c r="R2379" s="1" t="s">
        <v>70</v>
      </c>
      <c r="S2379" s="1">
        <v>1</v>
      </c>
      <c r="T2379" s="1" t="b">
        <v>1</v>
      </c>
      <c r="U2379" s="1" t="s">
        <v>30</v>
      </c>
      <c r="V2379" s="3">
        <v>6</v>
      </c>
    </row>
    <row r="2380" spans="1:22" x14ac:dyDescent="0.3">
      <c r="A2380" s="2" t="s">
        <v>5246</v>
      </c>
      <c r="B2380" s="10">
        <v>44204</v>
      </c>
      <c r="C2380" s="22">
        <v>44204</v>
      </c>
      <c r="D2380" s="1" t="s">
        <v>5247</v>
      </c>
      <c r="E2380" s="1" t="s">
        <v>426</v>
      </c>
      <c r="F2380" s="1">
        <v>29</v>
      </c>
      <c r="G2380" s="1" t="s">
        <v>68</v>
      </c>
      <c r="H2380" s="1" t="s">
        <v>74</v>
      </c>
      <c r="I2380" s="1" t="s">
        <v>75</v>
      </c>
      <c r="J2380" s="1" t="s">
        <v>44</v>
      </c>
      <c r="K2380" s="1" t="s">
        <v>186</v>
      </c>
      <c r="L2380" s="1">
        <v>3</v>
      </c>
      <c r="M2380" s="13">
        <v>6110.59</v>
      </c>
      <c r="N2380" s="15">
        <v>0.37</v>
      </c>
      <c r="O2380" s="13">
        <v>8446.52</v>
      </c>
      <c r="P2380" s="13">
        <v>2197.3000000000002</v>
      </c>
      <c r="Q2380" s="13">
        <v>23.22</v>
      </c>
      <c r="R2380" s="1" t="s">
        <v>57</v>
      </c>
      <c r="S2380" s="1">
        <v>3</v>
      </c>
      <c r="T2380" s="1" t="b">
        <v>0</v>
      </c>
      <c r="U2380" s="1" t="s">
        <v>39</v>
      </c>
      <c r="V2380" s="3">
        <v>9</v>
      </c>
    </row>
    <row r="2381" spans="1:22" x14ac:dyDescent="0.3">
      <c r="A2381" s="2" t="s">
        <v>5248</v>
      </c>
      <c r="B2381" s="10">
        <v>43965</v>
      </c>
      <c r="C2381" s="22">
        <v>43965</v>
      </c>
      <c r="D2381" s="1" t="s">
        <v>5249</v>
      </c>
      <c r="E2381" s="1" t="s">
        <v>433</v>
      </c>
      <c r="F2381" s="1">
        <v>27</v>
      </c>
      <c r="G2381" s="1" t="s">
        <v>68</v>
      </c>
      <c r="H2381" s="1" t="s">
        <v>74</v>
      </c>
      <c r="I2381" s="1" t="s">
        <v>136</v>
      </c>
      <c r="J2381" s="1" t="s">
        <v>62</v>
      </c>
      <c r="K2381" s="1" t="s">
        <v>283</v>
      </c>
      <c r="L2381" s="1">
        <v>1</v>
      </c>
      <c r="M2381" s="13">
        <v>255.93</v>
      </c>
      <c r="N2381" s="15">
        <v>0.37</v>
      </c>
      <c r="O2381" s="13">
        <v>191.35</v>
      </c>
      <c r="P2381" s="13">
        <v>73.83</v>
      </c>
      <c r="Q2381" s="13">
        <v>46.7</v>
      </c>
      <c r="R2381" s="1" t="s">
        <v>64</v>
      </c>
      <c r="S2381" s="1">
        <v>5</v>
      </c>
      <c r="T2381" s="1" t="b">
        <v>0</v>
      </c>
      <c r="U2381" s="1" t="s">
        <v>84</v>
      </c>
      <c r="V2381" s="3">
        <v>10</v>
      </c>
    </row>
    <row r="2382" spans="1:22" x14ac:dyDescent="0.3">
      <c r="A2382" s="2" t="s">
        <v>5250</v>
      </c>
      <c r="B2382" s="10">
        <v>44287</v>
      </c>
      <c r="C2382" s="22">
        <v>44287</v>
      </c>
      <c r="D2382" s="1" t="s">
        <v>5251</v>
      </c>
      <c r="E2382" s="1" t="s">
        <v>1300</v>
      </c>
      <c r="F2382" s="1">
        <v>9</v>
      </c>
      <c r="G2382" s="1" t="s">
        <v>463</v>
      </c>
      <c r="H2382" s="1" t="s">
        <v>74</v>
      </c>
      <c r="I2382" s="1" t="s">
        <v>75</v>
      </c>
      <c r="J2382" s="1" t="s">
        <v>37</v>
      </c>
      <c r="K2382" s="1" t="s">
        <v>454</v>
      </c>
      <c r="L2382" s="1">
        <v>5</v>
      </c>
      <c r="M2382" s="13">
        <v>1211.8699999999999</v>
      </c>
      <c r="N2382" s="15">
        <v>0.13</v>
      </c>
      <c r="O2382" s="13">
        <v>6847.04</v>
      </c>
      <c r="P2382" s="13">
        <v>3005.89</v>
      </c>
      <c r="Q2382" s="13">
        <v>58.29</v>
      </c>
      <c r="R2382" s="1" t="s">
        <v>64</v>
      </c>
      <c r="S2382" s="1">
        <v>4</v>
      </c>
      <c r="T2382" s="1" t="b">
        <v>0</v>
      </c>
      <c r="U2382" s="1" t="s">
        <v>39</v>
      </c>
      <c r="V2382" s="3">
        <v>2</v>
      </c>
    </row>
    <row r="2383" spans="1:22" x14ac:dyDescent="0.3">
      <c r="A2383" s="2" t="s">
        <v>5252</v>
      </c>
      <c r="B2383" s="10">
        <v>45245</v>
      </c>
      <c r="C2383" s="22">
        <v>45245</v>
      </c>
      <c r="D2383" s="1" t="s">
        <v>5253</v>
      </c>
      <c r="E2383" s="1" t="s">
        <v>304</v>
      </c>
      <c r="F2383" s="1">
        <v>38</v>
      </c>
      <c r="G2383" s="1" t="s">
        <v>68</v>
      </c>
      <c r="H2383" s="1" t="s">
        <v>74</v>
      </c>
      <c r="I2383" s="1" t="s">
        <v>136</v>
      </c>
      <c r="J2383" s="1" t="s">
        <v>44</v>
      </c>
      <c r="K2383" s="1" t="s">
        <v>93</v>
      </c>
      <c r="L2383" s="1">
        <v>5</v>
      </c>
      <c r="M2383" s="13">
        <v>10929.41</v>
      </c>
      <c r="N2383" s="15">
        <v>0.11</v>
      </c>
      <c r="O2383" s="13">
        <v>46559.15</v>
      </c>
      <c r="P2383" s="13">
        <v>13560.07</v>
      </c>
      <c r="Q2383" s="13">
        <v>34.1</v>
      </c>
      <c r="R2383" s="1" t="s">
        <v>78</v>
      </c>
      <c r="S2383" s="1">
        <v>4</v>
      </c>
      <c r="T2383" s="1" t="b">
        <v>0</v>
      </c>
      <c r="U2383" s="1" t="s">
        <v>84</v>
      </c>
      <c r="V2383" s="3">
        <v>10</v>
      </c>
    </row>
    <row r="2384" spans="1:22" x14ac:dyDescent="0.3">
      <c r="A2384" s="2" t="s">
        <v>5254</v>
      </c>
      <c r="B2384" s="10">
        <v>45593</v>
      </c>
      <c r="C2384" s="22">
        <v>45593</v>
      </c>
      <c r="D2384" s="1" t="s">
        <v>5255</v>
      </c>
      <c r="E2384" s="1" t="s">
        <v>415</v>
      </c>
      <c r="F2384" s="1">
        <v>19</v>
      </c>
      <c r="G2384" s="1" t="s">
        <v>434</v>
      </c>
      <c r="H2384" s="1" t="s">
        <v>82</v>
      </c>
      <c r="I2384" s="1" t="s">
        <v>126</v>
      </c>
      <c r="J2384" s="1" t="s">
        <v>37</v>
      </c>
      <c r="K2384" s="1" t="s">
        <v>182</v>
      </c>
      <c r="L2384" s="1">
        <v>4</v>
      </c>
      <c r="M2384" s="13">
        <v>2333</v>
      </c>
      <c r="N2384" s="15">
        <v>0.37</v>
      </c>
      <c r="O2384" s="13">
        <v>6101.49</v>
      </c>
      <c r="P2384" s="13">
        <v>1874.65</v>
      </c>
      <c r="Q2384" s="13">
        <v>119.62</v>
      </c>
      <c r="R2384" s="1" t="s">
        <v>70</v>
      </c>
      <c r="S2384" s="1">
        <v>3</v>
      </c>
      <c r="T2384" s="1" t="b">
        <v>0</v>
      </c>
      <c r="U2384" s="1" t="s">
        <v>39</v>
      </c>
      <c r="V2384" s="3">
        <v>3</v>
      </c>
    </row>
    <row r="2385" spans="1:22" x14ac:dyDescent="0.3">
      <c r="A2385" s="2" t="s">
        <v>5256</v>
      </c>
      <c r="B2385" s="10">
        <v>45565</v>
      </c>
      <c r="C2385" s="22">
        <v>45565</v>
      </c>
      <c r="D2385" s="1" t="s">
        <v>5257</v>
      </c>
      <c r="E2385" s="1" t="s">
        <v>2791</v>
      </c>
      <c r="F2385" s="1">
        <v>18</v>
      </c>
      <c r="G2385" s="1" t="s">
        <v>34</v>
      </c>
      <c r="H2385" s="1" t="s">
        <v>111</v>
      </c>
      <c r="I2385" s="1" t="s">
        <v>330</v>
      </c>
      <c r="J2385" s="1" t="s">
        <v>27</v>
      </c>
      <c r="K2385" s="1" t="s">
        <v>400</v>
      </c>
      <c r="L2385" s="1">
        <v>4</v>
      </c>
      <c r="M2385" s="13">
        <v>497.25</v>
      </c>
      <c r="N2385" s="15">
        <v>0.32</v>
      </c>
      <c r="O2385" s="13">
        <v>1775.14</v>
      </c>
      <c r="P2385" s="13">
        <v>168.64</v>
      </c>
      <c r="Q2385" s="13">
        <v>81.5</v>
      </c>
      <c r="R2385" s="1" t="s">
        <v>70</v>
      </c>
      <c r="S2385" s="1">
        <v>1</v>
      </c>
      <c r="T2385" s="1" t="b">
        <v>0</v>
      </c>
      <c r="U2385" s="1" t="s">
        <v>58</v>
      </c>
      <c r="V2385" s="3">
        <v>3</v>
      </c>
    </row>
    <row r="2386" spans="1:22" x14ac:dyDescent="0.3">
      <c r="A2386" s="2" t="s">
        <v>5258</v>
      </c>
      <c r="B2386" s="10">
        <v>44381</v>
      </c>
      <c r="C2386" s="22">
        <v>44381</v>
      </c>
      <c r="D2386" s="1" t="s">
        <v>5259</v>
      </c>
      <c r="E2386" s="1" t="s">
        <v>2648</v>
      </c>
      <c r="F2386" s="1">
        <v>40</v>
      </c>
      <c r="G2386" s="1" t="s">
        <v>34</v>
      </c>
      <c r="H2386" s="1" t="s">
        <v>74</v>
      </c>
      <c r="I2386" s="1" t="s">
        <v>75</v>
      </c>
      <c r="J2386" s="1" t="s">
        <v>37</v>
      </c>
      <c r="K2386" s="1" t="s">
        <v>454</v>
      </c>
      <c r="L2386" s="1">
        <v>2</v>
      </c>
      <c r="M2386" s="13">
        <v>2060.77</v>
      </c>
      <c r="N2386" s="15">
        <v>0.24</v>
      </c>
      <c r="O2386" s="13">
        <v>3603.29</v>
      </c>
      <c r="P2386" s="13">
        <v>1268.67</v>
      </c>
      <c r="Q2386" s="13">
        <v>69.45</v>
      </c>
      <c r="R2386" s="1" t="s">
        <v>51</v>
      </c>
      <c r="S2386" s="1">
        <v>2</v>
      </c>
      <c r="T2386" s="1" t="b">
        <v>0</v>
      </c>
      <c r="U2386" s="1" t="s">
        <v>39</v>
      </c>
      <c r="V2386" s="3">
        <v>2</v>
      </c>
    </row>
    <row r="2387" spans="1:22" x14ac:dyDescent="0.3">
      <c r="A2387" s="2" t="s">
        <v>5260</v>
      </c>
      <c r="B2387" s="10">
        <v>45215</v>
      </c>
      <c r="C2387" s="22">
        <v>45215</v>
      </c>
      <c r="D2387" s="1" t="s">
        <v>5261</v>
      </c>
      <c r="E2387" s="1" t="s">
        <v>3152</v>
      </c>
      <c r="F2387" s="1">
        <v>61</v>
      </c>
      <c r="G2387" s="1" t="s">
        <v>68</v>
      </c>
      <c r="H2387" s="1" t="s">
        <v>35</v>
      </c>
      <c r="I2387" s="1" t="s">
        <v>106</v>
      </c>
      <c r="J2387" s="1" t="s">
        <v>37</v>
      </c>
      <c r="K2387" s="1" t="s">
        <v>671</v>
      </c>
      <c r="L2387" s="1">
        <v>8</v>
      </c>
      <c r="M2387" s="13">
        <v>1354.9</v>
      </c>
      <c r="N2387" s="15">
        <v>0.31</v>
      </c>
      <c r="O2387" s="13">
        <v>8717.93</v>
      </c>
      <c r="P2387" s="13">
        <v>4918.95</v>
      </c>
      <c r="Q2387" s="13">
        <v>41.01</v>
      </c>
      <c r="R2387" s="1" t="s">
        <v>78</v>
      </c>
      <c r="S2387" s="1">
        <v>3</v>
      </c>
      <c r="T2387" s="1" t="b">
        <v>0</v>
      </c>
      <c r="U2387" s="1" t="s">
        <v>39</v>
      </c>
      <c r="V2387" s="3">
        <v>1</v>
      </c>
    </row>
    <row r="2388" spans="1:22" x14ac:dyDescent="0.3">
      <c r="A2388" s="2" t="s">
        <v>5262</v>
      </c>
      <c r="B2388" s="10">
        <v>45325</v>
      </c>
      <c r="C2388" s="22">
        <v>45325</v>
      </c>
      <c r="D2388" s="1" t="s">
        <v>5263</v>
      </c>
      <c r="E2388" s="1" t="s">
        <v>253</v>
      </c>
      <c r="F2388" s="1">
        <v>48</v>
      </c>
      <c r="G2388" s="1" t="s">
        <v>34</v>
      </c>
      <c r="H2388" s="1" t="s">
        <v>74</v>
      </c>
      <c r="I2388" s="1" t="s">
        <v>101</v>
      </c>
      <c r="J2388" s="1" t="s">
        <v>44</v>
      </c>
      <c r="K2388" s="1" t="s">
        <v>221</v>
      </c>
      <c r="L2388" s="1">
        <v>7</v>
      </c>
      <c r="M2388" s="13">
        <v>34101.69</v>
      </c>
      <c r="N2388" s="15">
        <v>0.16</v>
      </c>
      <c r="O2388" s="13">
        <v>221777.76</v>
      </c>
      <c r="P2388" s="13">
        <v>50413.18</v>
      </c>
      <c r="Q2388" s="13">
        <v>63.76</v>
      </c>
      <c r="R2388" s="1" t="s">
        <v>70</v>
      </c>
      <c r="S2388" s="1">
        <v>1</v>
      </c>
      <c r="T2388" s="1" t="b">
        <v>0</v>
      </c>
      <c r="U2388" s="1" t="s">
        <v>39</v>
      </c>
      <c r="V2388" s="3">
        <v>5</v>
      </c>
    </row>
    <row r="2389" spans="1:22" x14ac:dyDescent="0.3">
      <c r="A2389" s="2" t="s">
        <v>5264</v>
      </c>
      <c r="B2389" s="10">
        <v>45637</v>
      </c>
      <c r="C2389" s="22">
        <v>45637</v>
      </c>
      <c r="D2389" s="1" t="s">
        <v>5265</v>
      </c>
      <c r="E2389" s="1" t="s">
        <v>140</v>
      </c>
      <c r="F2389" s="1">
        <v>15</v>
      </c>
      <c r="G2389" s="1" t="s">
        <v>24</v>
      </c>
      <c r="H2389" s="1" t="s">
        <v>74</v>
      </c>
      <c r="I2389" s="1" t="s">
        <v>136</v>
      </c>
      <c r="J2389" s="1" t="s">
        <v>27</v>
      </c>
      <c r="K2389" s="1" t="s">
        <v>28</v>
      </c>
      <c r="L2389" s="1">
        <v>10</v>
      </c>
      <c r="M2389" s="13">
        <v>273.14</v>
      </c>
      <c r="N2389" s="15">
        <v>0.28000000000000003</v>
      </c>
      <c r="O2389" s="13">
        <v>1532.4</v>
      </c>
      <c r="P2389" s="13">
        <v>100.08</v>
      </c>
      <c r="Q2389" s="13">
        <v>54.94</v>
      </c>
      <c r="R2389" s="1" t="s">
        <v>51</v>
      </c>
      <c r="S2389" s="1">
        <v>4</v>
      </c>
      <c r="T2389" s="1" t="b">
        <v>0</v>
      </c>
      <c r="U2389" s="1" t="s">
        <v>39</v>
      </c>
      <c r="V2389" s="3">
        <v>5</v>
      </c>
    </row>
    <row r="2390" spans="1:22" x14ac:dyDescent="0.3">
      <c r="A2390" s="2" t="s">
        <v>5266</v>
      </c>
      <c r="B2390" s="10">
        <v>44663</v>
      </c>
      <c r="C2390" s="22">
        <v>44663</v>
      </c>
      <c r="D2390" s="1" t="s">
        <v>5267</v>
      </c>
      <c r="E2390" s="1" t="s">
        <v>42</v>
      </c>
      <c r="F2390" s="1">
        <v>39</v>
      </c>
      <c r="G2390" s="1" t="s">
        <v>24</v>
      </c>
      <c r="H2390" s="1" t="s">
        <v>35</v>
      </c>
      <c r="I2390" s="1" t="s">
        <v>106</v>
      </c>
      <c r="J2390" s="1" t="s">
        <v>146</v>
      </c>
      <c r="K2390" s="1" t="s">
        <v>147</v>
      </c>
      <c r="L2390" s="1">
        <v>3</v>
      </c>
      <c r="M2390" s="13">
        <v>3135.03</v>
      </c>
      <c r="N2390" s="15">
        <v>0.09</v>
      </c>
      <c r="O2390" s="13">
        <v>11451.49</v>
      </c>
      <c r="P2390" s="13">
        <v>2694.43</v>
      </c>
      <c r="Q2390" s="13">
        <v>82.19</v>
      </c>
      <c r="R2390" s="1" t="s">
        <v>29</v>
      </c>
      <c r="S2390" s="1">
        <v>1</v>
      </c>
      <c r="T2390" s="1" t="b">
        <v>1</v>
      </c>
      <c r="U2390" s="1" t="s">
        <v>30</v>
      </c>
      <c r="V2390" s="3">
        <v>3</v>
      </c>
    </row>
    <row r="2391" spans="1:22" x14ac:dyDescent="0.3">
      <c r="A2391" s="2" t="s">
        <v>5268</v>
      </c>
      <c r="B2391" s="10">
        <v>45142</v>
      </c>
      <c r="C2391" s="22">
        <v>45142</v>
      </c>
      <c r="D2391" s="1" t="s">
        <v>5269</v>
      </c>
      <c r="E2391" s="1" t="s">
        <v>105</v>
      </c>
      <c r="F2391" s="1">
        <v>52</v>
      </c>
      <c r="G2391" s="1" t="s">
        <v>34</v>
      </c>
      <c r="H2391" s="1" t="s">
        <v>35</v>
      </c>
      <c r="I2391" s="1" t="s">
        <v>36</v>
      </c>
      <c r="J2391" s="1" t="s">
        <v>76</v>
      </c>
      <c r="K2391" s="1" t="s">
        <v>132</v>
      </c>
      <c r="L2391" s="1">
        <v>5</v>
      </c>
      <c r="M2391" s="13">
        <v>1505.76</v>
      </c>
      <c r="N2391" s="15">
        <v>0.17</v>
      </c>
      <c r="O2391" s="13">
        <v>9211.7199999999993</v>
      </c>
      <c r="P2391" s="13">
        <v>3763.52</v>
      </c>
      <c r="Q2391" s="13">
        <v>52.62</v>
      </c>
      <c r="R2391" s="1" t="s">
        <v>64</v>
      </c>
      <c r="S2391" s="1">
        <v>3</v>
      </c>
      <c r="T2391" s="1" t="b">
        <v>0</v>
      </c>
      <c r="U2391" s="1" t="s">
        <v>58</v>
      </c>
      <c r="V2391" s="3">
        <v>6</v>
      </c>
    </row>
    <row r="2392" spans="1:22" x14ac:dyDescent="0.3">
      <c r="A2392" s="2" t="s">
        <v>5270</v>
      </c>
      <c r="B2392" s="10">
        <v>45111</v>
      </c>
      <c r="C2392" s="22">
        <v>45111</v>
      </c>
      <c r="D2392" s="1" t="s">
        <v>5271</v>
      </c>
      <c r="E2392" s="1" t="s">
        <v>872</v>
      </c>
      <c r="F2392" s="1">
        <v>60</v>
      </c>
      <c r="G2392" s="1" t="s">
        <v>68</v>
      </c>
      <c r="H2392" s="1" t="s">
        <v>82</v>
      </c>
      <c r="I2392" s="1" t="s">
        <v>83</v>
      </c>
      <c r="J2392" s="1" t="s">
        <v>27</v>
      </c>
      <c r="K2392" s="1" t="s">
        <v>430</v>
      </c>
      <c r="L2392" s="1">
        <v>9</v>
      </c>
      <c r="M2392" s="13">
        <v>462.67</v>
      </c>
      <c r="N2392" s="15">
        <v>0.04</v>
      </c>
      <c r="O2392" s="13">
        <v>6520.25</v>
      </c>
      <c r="P2392" s="13">
        <v>574.64</v>
      </c>
      <c r="Q2392" s="13">
        <v>60.51</v>
      </c>
      <c r="R2392" s="1" t="s">
        <v>29</v>
      </c>
      <c r="S2392" s="1">
        <v>2</v>
      </c>
      <c r="T2392" s="1" t="b">
        <v>0</v>
      </c>
      <c r="U2392" s="1" t="s">
        <v>39</v>
      </c>
      <c r="V2392" s="3">
        <v>8</v>
      </c>
    </row>
    <row r="2393" spans="1:22" x14ac:dyDescent="0.3">
      <c r="A2393" s="2" t="s">
        <v>5272</v>
      </c>
      <c r="B2393" s="10">
        <v>45432</v>
      </c>
      <c r="C2393" s="22">
        <v>45432</v>
      </c>
      <c r="D2393" s="1" t="s">
        <v>5273</v>
      </c>
      <c r="E2393" s="1" t="s">
        <v>594</v>
      </c>
      <c r="F2393" s="1">
        <v>30</v>
      </c>
      <c r="G2393" s="1" t="s">
        <v>24</v>
      </c>
      <c r="H2393" s="1" t="s">
        <v>111</v>
      </c>
      <c r="I2393" s="1" t="s">
        <v>141</v>
      </c>
      <c r="J2393" s="1" t="s">
        <v>76</v>
      </c>
      <c r="K2393" s="1" t="s">
        <v>207</v>
      </c>
      <c r="L2393" s="1">
        <v>2</v>
      </c>
      <c r="M2393" s="13">
        <v>511.88</v>
      </c>
      <c r="N2393" s="15">
        <v>0.33</v>
      </c>
      <c r="O2393" s="13">
        <v>1034.06</v>
      </c>
      <c r="P2393" s="13">
        <v>311.79000000000002</v>
      </c>
      <c r="Q2393" s="13">
        <v>75.89</v>
      </c>
      <c r="R2393" s="1" t="s">
        <v>57</v>
      </c>
      <c r="S2393" s="1">
        <v>1</v>
      </c>
      <c r="T2393" s="1" t="b">
        <v>0</v>
      </c>
      <c r="U2393" s="1" t="s">
        <v>39</v>
      </c>
      <c r="V2393" s="3">
        <v>7</v>
      </c>
    </row>
    <row r="2394" spans="1:22" x14ac:dyDescent="0.3">
      <c r="A2394" s="2" t="s">
        <v>5274</v>
      </c>
      <c r="B2394" s="10">
        <v>44389</v>
      </c>
      <c r="C2394" s="22">
        <v>44389</v>
      </c>
      <c r="D2394" s="1" t="s">
        <v>5275</v>
      </c>
      <c r="E2394" s="1" t="s">
        <v>2637</v>
      </c>
      <c r="F2394" s="1">
        <v>31</v>
      </c>
      <c r="G2394" s="1" t="s">
        <v>24</v>
      </c>
      <c r="H2394" s="1" t="s">
        <v>25</v>
      </c>
      <c r="I2394" s="1" t="s">
        <v>26</v>
      </c>
      <c r="J2394" s="1" t="s">
        <v>146</v>
      </c>
      <c r="K2394" s="1" t="s">
        <v>161</v>
      </c>
      <c r="L2394" s="1">
        <v>4</v>
      </c>
      <c r="M2394" s="13">
        <v>10424.370000000001</v>
      </c>
      <c r="N2394" s="15">
        <v>0.04</v>
      </c>
      <c r="O2394" s="13">
        <v>54861.75</v>
      </c>
      <c r="P2394" s="13">
        <v>13787.38</v>
      </c>
      <c r="Q2394" s="13">
        <v>52.02</v>
      </c>
      <c r="R2394" s="1" t="s">
        <v>78</v>
      </c>
      <c r="S2394" s="1">
        <v>3</v>
      </c>
      <c r="T2394" s="1" t="b">
        <v>0</v>
      </c>
      <c r="U2394" s="1" t="s">
        <v>39</v>
      </c>
      <c r="V2394" s="3">
        <v>1</v>
      </c>
    </row>
    <row r="2395" spans="1:22" x14ac:dyDescent="0.3">
      <c r="A2395" s="2" t="s">
        <v>5276</v>
      </c>
      <c r="B2395" s="10">
        <v>44384</v>
      </c>
      <c r="C2395" s="22">
        <v>44384</v>
      </c>
      <c r="D2395" s="1" t="s">
        <v>5277</v>
      </c>
      <c r="E2395" s="1" t="s">
        <v>1733</v>
      </c>
      <c r="F2395" s="1">
        <v>51</v>
      </c>
      <c r="G2395" s="1" t="s">
        <v>68</v>
      </c>
      <c r="H2395" s="1" t="s">
        <v>35</v>
      </c>
      <c r="I2395" s="1" t="s">
        <v>36</v>
      </c>
      <c r="J2395" s="1" t="s">
        <v>44</v>
      </c>
      <c r="K2395" s="1" t="s">
        <v>221</v>
      </c>
      <c r="L2395" s="1">
        <v>3</v>
      </c>
      <c r="M2395" s="13">
        <v>7678.25</v>
      </c>
      <c r="N2395" s="15">
        <v>0.06</v>
      </c>
      <c r="O2395" s="13">
        <v>32400.33</v>
      </c>
      <c r="P2395" s="13">
        <v>9162.5400000000009</v>
      </c>
      <c r="Q2395" s="13">
        <v>49.32</v>
      </c>
      <c r="R2395" s="1" t="s">
        <v>70</v>
      </c>
      <c r="S2395" s="1">
        <v>3</v>
      </c>
      <c r="T2395" s="1" t="b">
        <v>0</v>
      </c>
      <c r="U2395" s="1" t="s">
        <v>58</v>
      </c>
      <c r="V2395" s="3">
        <v>4</v>
      </c>
    </row>
    <row r="2396" spans="1:22" x14ac:dyDescent="0.3">
      <c r="A2396" s="2" t="s">
        <v>5278</v>
      </c>
      <c r="B2396" s="10">
        <v>44862</v>
      </c>
      <c r="C2396" s="22">
        <v>44862</v>
      </c>
      <c r="D2396" s="1" t="s">
        <v>5279</v>
      </c>
      <c r="E2396" s="1" t="s">
        <v>167</v>
      </c>
      <c r="F2396" s="1">
        <v>27</v>
      </c>
      <c r="G2396" s="1" t="s">
        <v>24</v>
      </c>
      <c r="H2396" s="1" t="s">
        <v>35</v>
      </c>
      <c r="I2396" s="1" t="s">
        <v>36</v>
      </c>
      <c r="J2396" s="1" t="s">
        <v>27</v>
      </c>
      <c r="K2396" s="1" t="s">
        <v>56</v>
      </c>
      <c r="L2396" s="1">
        <v>5</v>
      </c>
      <c r="M2396" s="13">
        <v>69.84</v>
      </c>
      <c r="N2396" s="15">
        <v>0.3</v>
      </c>
      <c r="O2396" s="13">
        <v>256.11</v>
      </c>
      <c r="P2396" s="13">
        <v>21.93</v>
      </c>
      <c r="Q2396" s="13">
        <v>48.03</v>
      </c>
      <c r="R2396" s="1" t="s">
        <v>29</v>
      </c>
      <c r="S2396" s="1">
        <v>1</v>
      </c>
      <c r="T2396" s="1" t="b">
        <v>0</v>
      </c>
      <c r="U2396" s="1" t="s">
        <v>39</v>
      </c>
      <c r="V2396" s="3">
        <v>5</v>
      </c>
    </row>
    <row r="2397" spans="1:22" x14ac:dyDescent="0.3">
      <c r="A2397" s="2" t="s">
        <v>5280</v>
      </c>
      <c r="B2397" s="10">
        <v>44248</v>
      </c>
      <c r="C2397" s="22">
        <v>44248</v>
      </c>
      <c r="D2397" s="1" t="s">
        <v>5281</v>
      </c>
      <c r="E2397" s="1" t="s">
        <v>561</v>
      </c>
      <c r="F2397" s="1">
        <v>33</v>
      </c>
      <c r="G2397" s="1" t="s">
        <v>24</v>
      </c>
      <c r="H2397" s="1" t="s">
        <v>82</v>
      </c>
      <c r="I2397" s="1" t="s">
        <v>126</v>
      </c>
      <c r="J2397" s="1" t="s">
        <v>76</v>
      </c>
      <c r="K2397" s="1" t="s">
        <v>122</v>
      </c>
      <c r="L2397" s="1">
        <v>1</v>
      </c>
      <c r="M2397" s="13">
        <v>1520.56</v>
      </c>
      <c r="N2397" s="15">
        <v>0.38</v>
      </c>
      <c r="O2397" s="13">
        <v>857.74</v>
      </c>
      <c r="P2397" s="13">
        <v>372.68</v>
      </c>
      <c r="Q2397" s="13">
        <v>82.69</v>
      </c>
      <c r="R2397" s="1" t="s">
        <v>64</v>
      </c>
      <c r="S2397" s="1">
        <v>3</v>
      </c>
      <c r="T2397" s="1" t="b">
        <v>1</v>
      </c>
      <c r="U2397" s="1" t="s">
        <v>30</v>
      </c>
      <c r="V2397" s="3">
        <v>8</v>
      </c>
    </row>
    <row r="2398" spans="1:22" x14ac:dyDescent="0.3">
      <c r="A2398" s="2" t="s">
        <v>5282</v>
      </c>
      <c r="B2398" s="10">
        <v>44683</v>
      </c>
      <c r="C2398" s="22">
        <v>44683</v>
      </c>
      <c r="D2398" s="1" t="s">
        <v>5283</v>
      </c>
      <c r="E2398" s="1" t="s">
        <v>446</v>
      </c>
      <c r="F2398" s="1">
        <v>15</v>
      </c>
      <c r="G2398" s="1" t="s">
        <v>24</v>
      </c>
      <c r="H2398" s="1" t="s">
        <v>82</v>
      </c>
      <c r="I2398" s="1" t="s">
        <v>126</v>
      </c>
      <c r="J2398" s="1" t="s">
        <v>44</v>
      </c>
      <c r="K2398" s="1" t="s">
        <v>50</v>
      </c>
      <c r="L2398" s="1">
        <v>3</v>
      </c>
      <c r="M2398" s="13">
        <v>20759.259999999998</v>
      </c>
      <c r="N2398" s="15">
        <v>0.28000000000000003</v>
      </c>
      <c r="O2398" s="13">
        <v>64376.44</v>
      </c>
      <c r="P2398" s="13">
        <v>13716.94</v>
      </c>
      <c r="Q2398" s="13">
        <v>81.77</v>
      </c>
      <c r="R2398" s="1" t="s">
        <v>57</v>
      </c>
      <c r="S2398" s="1">
        <v>3</v>
      </c>
      <c r="T2398" s="1" t="b">
        <v>0</v>
      </c>
      <c r="U2398" s="1" t="s">
        <v>39</v>
      </c>
      <c r="V2398" s="3">
        <v>10</v>
      </c>
    </row>
    <row r="2399" spans="1:22" x14ac:dyDescent="0.3">
      <c r="A2399" s="2" t="s">
        <v>5284</v>
      </c>
      <c r="B2399" s="10">
        <v>44555</v>
      </c>
      <c r="C2399" s="22">
        <v>44555</v>
      </c>
      <c r="D2399" s="1" t="s">
        <v>5285</v>
      </c>
      <c r="E2399" s="1" t="s">
        <v>528</v>
      </c>
      <c r="F2399" s="1">
        <v>36</v>
      </c>
      <c r="G2399" s="1" t="s">
        <v>24</v>
      </c>
      <c r="H2399" s="1" t="s">
        <v>74</v>
      </c>
      <c r="I2399" s="1" t="s">
        <v>192</v>
      </c>
      <c r="J2399" s="1" t="s">
        <v>27</v>
      </c>
      <c r="K2399" s="1" t="s">
        <v>97</v>
      </c>
      <c r="L2399" s="1">
        <v>3</v>
      </c>
      <c r="M2399" s="13">
        <v>113.16</v>
      </c>
      <c r="N2399" s="15">
        <v>0.21</v>
      </c>
      <c r="O2399" s="13">
        <v>223.33</v>
      </c>
      <c r="P2399" s="13">
        <v>19.47</v>
      </c>
      <c r="Q2399" s="13">
        <v>50.52</v>
      </c>
      <c r="R2399" s="1" t="s">
        <v>64</v>
      </c>
      <c r="S2399" s="1">
        <v>3</v>
      </c>
      <c r="T2399" s="1" t="b">
        <v>0</v>
      </c>
      <c r="U2399" s="1" t="s">
        <v>39</v>
      </c>
      <c r="V2399" s="3">
        <v>3</v>
      </c>
    </row>
    <row r="2400" spans="1:22" x14ac:dyDescent="0.3">
      <c r="A2400" s="2" t="s">
        <v>5286</v>
      </c>
      <c r="B2400" s="10">
        <v>43864</v>
      </c>
      <c r="C2400" s="22">
        <v>43864</v>
      </c>
      <c r="D2400" s="1" t="s">
        <v>5287</v>
      </c>
      <c r="E2400" s="1" t="s">
        <v>1173</v>
      </c>
      <c r="F2400" s="1">
        <v>48</v>
      </c>
      <c r="G2400" s="1" t="s">
        <v>24</v>
      </c>
      <c r="H2400" s="1" t="s">
        <v>82</v>
      </c>
      <c r="I2400" s="1" t="s">
        <v>83</v>
      </c>
      <c r="J2400" s="1" t="s">
        <v>146</v>
      </c>
      <c r="K2400" s="1" t="s">
        <v>161</v>
      </c>
      <c r="L2400" s="1">
        <v>2</v>
      </c>
      <c r="M2400" s="13">
        <v>4104.3100000000004</v>
      </c>
      <c r="N2400" s="15">
        <v>0.08</v>
      </c>
      <c r="O2400" s="13">
        <v>5892.6</v>
      </c>
      <c r="P2400" s="13">
        <v>1384.77</v>
      </c>
      <c r="Q2400" s="13">
        <v>72.459999999999994</v>
      </c>
      <c r="R2400" s="1" t="s">
        <v>51</v>
      </c>
      <c r="S2400" s="1">
        <v>1</v>
      </c>
      <c r="T2400" s="1" t="b">
        <v>0</v>
      </c>
      <c r="U2400" s="1" t="s">
        <v>39</v>
      </c>
      <c r="V2400" s="3">
        <v>6</v>
      </c>
    </row>
    <row r="2401" spans="1:22" x14ac:dyDescent="0.3">
      <c r="A2401" s="2" t="s">
        <v>5288</v>
      </c>
      <c r="B2401" s="10">
        <v>45058</v>
      </c>
      <c r="C2401" s="22">
        <v>45058</v>
      </c>
      <c r="D2401" s="1" t="s">
        <v>5289</v>
      </c>
      <c r="E2401" s="1" t="s">
        <v>1229</v>
      </c>
      <c r="F2401" s="1">
        <v>41</v>
      </c>
      <c r="G2401" s="1" t="s">
        <v>24</v>
      </c>
      <c r="H2401" s="1" t="s">
        <v>74</v>
      </c>
      <c r="I2401" s="1" t="s">
        <v>136</v>
      </c>
      <c r="J2401" s="1" t="s">
        <v>76</v>
      </c>
      <c r="K2401" s="1" t="s">
        <v>132</v>
      </c>
      <c r="L2401" s="1">
        <v>6</v>
      </c>
      <c r="M2401" s="13">
        <v>1809.68</v>
      </c>
      <c r="N2401" s="15">
        <v>0.31</v>
      </c>
      <c r="O2401" s="13">
        <v>12448.65</v>
      </c>
      <c r="P2401" s="13">
        <v>4684.8500000000004</v>
      </c>
      <c r="Q2401" s="13">
        <v>37.159999999999997</v>
      </c>
      <c r="R2401" s="1" t="s">
        <v>64</v>
      </c>
      <c r="S2401" s="1">
        <v>1</v>
      </c>
      <c r="T2401" s="1" t="b">
        <v>0</v>
      </c>
      <c r="U2401" s="1" t="s">
        <v>39</v>
      </c>
      <c r="V2401" s="3">
        <v>4</v>
      </c>
    </row>
    <row r="2402" spans="1:22" x14ac:dyDescent="0.3">
      <c r="A2402" s="2" t="s">
        <v>5290</v>
      </c>
      <c r="B2402" s="10">
        <v>44135</v>
      </c>
      <c r="C2402" s="22">
        <v>44135</v>
      </c>
      <c r="D2402" s="1" t="s">
        <v>5291</v>
      </c>
      <c r="E2402" s="1" t="s">
        <v>1340</v>
      </c>
      <c r="F2402" s="1">
        <v>9</v>
      </c>
      <c r="G2402" s="1" t="s">
        <v>24</v>
      </c>
      <c r="H2402" s="1" t="s">
        <v>74</v>
      </c>
      <c r="I2402" s="1" t="s">
        <v>75</v>
      </c>
      <c r="J2402" s="1" t="s">
        <v>44</v>
      </c>
      <c r="K2402" s="1" t="s">
        <v>186</v>
      </c>
      <c r="L2402" s="1">
        <v>3</v>
      </c>
      <c r="M2402" s="13">
        <v>22435.51</v>
      </c>
      <c r="N2402" s="15">
        <v>0.11</v>
      </c>
      <c r="O2402" s="13">
        <v>45857.22</v>
      </c>
      <c r="P2402" s="13">
        <v>14691.15</v>
      </c>
      <c r="Q2402" s="13">
        <v>19.239999999999998</v>
      </c>
      <c r="R2402" s="1" t="s">
        <v>29</v>
      </c>
      <c r="S2402" s="1">
        <v>5</v>
      </c>
      <c r="T2402" s="1" t="b">
        <v>0</v>
      </c>
      <c r="U2402" s="1" t="s">
        <v>39</v>
      </c>
      <c r="V2402" s="3">
        <v>5</v>
      </c>
    </row>
    <row r="2403" spans="1:22" x14ac:dyDescent="0.3">
      <c r="A2403" s="2" t="s">
        <v>5292</v>
      </c>
      <c r="B2403" s="10">
        <v>45274</v>
      </c>
      <c r="C2403" s="22">
        <v>45274</v>
      </c>
      <c r="D2403" s="1" t="s">
        <v>5293</v>
      </c>
      <c r="E2403" s="1" t="s">
        <v>2934</v>
      </c>
      <c r="F2403" s="1">
        <v>34</v>
      </c>
      <c r="G2403" s="1" t="s">
        <v>463</v>
      </c>
      <c r="H2403" s="1" t="s">
        <v>111</v>
      </c>
      <c r="I2403" s="1" t="s">
        <v>121</v>
      </c>
      <c r="J2403" s="1" t="s">
        <v>76</v>
      </c>
      <c r="K2403" s="1" t="s">
        <v>113</v>
      </c>
      <c r="L2403" s="1">
        <v>5</v>
      </c>
      <c r="M2403" s="13">
        <v>416.65</v>
      </c>
      <c r="N2403" s="15">
        <v>0.01</v>
      </c>
      <c r="O2403" s="13">
        <v>1999.94</v>
      </c>
      <c r="P2403" s="13">
        <v>825.09</v>
      </c>
      <c r="Q2403" s="13">
        <v>59.89</v>
      </c>
      <c r="R2403" s="1" t="s">
        <v>51</v>
      </c>
      <c r="S2403" s="1">
        <v>5</v>
      </c>
      <c r="T2403" s="1" t="b">
        <v>0</v>
      </c>
      <c r="U2403" s="1" t="s">
        <v>39</v>
      </c>
      <c r="V2403" s="3">
        <v>5</v>
      </c>
    </row>
    <row r="2404" spans="1:22" x14ac:dyDescent="0.3">
      <c r="A2404" s="2" t="s">
        <v>5294</v>
      </c>
      <c r="B2404" s="10">
        <v>45603</v>
      </c>
      <c r="C2404" s="22">
        <v>45603</v>
      </c>
      <c r="D2404" s="1" t="s">
        <v>5295</v>
      </c>
      <c r="E2404" s="1" t="s">
        <v>116</v>
      </c>
      <c r="F2404" s="1">
        <v>39</v>
      </c>
      <c r="G2404" s="1" t="s">
        <v>68</v>
      </c>
      <c r="H2404" s="1" t="s">
        <v>35</v>
      </c>
      <c r="I2404" s="1" t="s">
        <v>36</v>
      </c>
      <c r="J2404" s="1" t="s">
        <v>76</v>
      </c>
      <c r="K2404" s="1" t="s">
        <v>122</v>
      </c>
      <c r="L2404" s="1">
        <v>9</v>
      </c>
      <c r="M2404" s="13">
        <v>3359.16</v>
      </c>
      <c r="N2404" s="15">
        <v>0.06</v>
      </c>
      <c r="O2404" s="13">
        <v>30905.25</v>
      </c>
      <c r="P2404" s="13">
        <v>7947.77</v>
      </c>
      <c r="Q2404" s="13">
        <v>64.84</v>
      </c>
      <c r="R2404" s="1" t="s">
        <v>78</v>
      </c>
      <c r="S2404" s="1">
        <v>5</v>
      </c>
      <c r="T2404" s="1" t="b">
        <v>0</v>
      </c>
      <c r="U2404" s="1" t="s">
        <v>39</v>
      </c>
      <c r="V2404" s="3">
        <v>6</v>
      </c>
    </row>
    <row r="2405" spans="1:22" x14ac:dyDescent="0.3">
      <c r="A2405" s="2" t="s">
        <v>5296</v>
      </c>
      <c r="B2405" s="10">
        <v>45015</v>
      </c>
      <c r="C2405" s="22">
        <v>45015</v>
      </c>
      <c r="D2405" s="1" t="s">
        <v>5297</v>
      </c>
      <c r="E2405" s="1" t="s">
        <v>357</v>
      </c>
      <c r="F2405" s="1">
        <v>40</v>
      </c>
      <c r="G2405" s="1" t="s">
        <v>68</v>
      </c>
      <c r="H2405" s="1" t="s">
        <v>35</v>
      </c>
      <c r="I2405" s="1" t="s">
        <v>43</v>
      </c>
      <c r="J2405" s="1" t="s">
        <v>62</v>
      </c>
      <c r="K2405" s="1" t="s">
        <v>283</v>
      </c>
      <c r="L2405" s="1">
        <v>5</v>
      </c>
      <c r="M2405" s="13">
        <v>971.23</v>
      </c>
      <c r="N2405" s="15">
        <v>0.35</v>
      </c>
      <c r="O2405" s="13">
        <v>3832.92</v>
      </c>
      <c r="P2405" s="13">
        <v>1442.59</v>
      </c>
      <c r="Q2405" s="13">
        <v>59.73</v>
      </c>
      <c r="R2405" s="1" t="s">
        <v>64</v>
      </c>
      <c r="S2405" s="1">
        <v>1</v>
      </c>
      <c r="T2405" s="1" t="b">
        <v>0</v>
      </c>
      <c r="U2405" s="1" t="s">
        <v>39</v>
      </c>
      <c r="V2405" s="3">
        <v>4</v>
      </c>
    </row>
    <row r="2406" spans="1:22" x14ac:dyDescent="0.3">
      <c r="A2406" s="2" t="s">
        <v>5298</v>
      </c>
      <c r="B2406" s="10">
        <v>45599</v>
      </c>
      <c r="C2406" s="22">
        <v>45599</v>
      </c>
      <c r="D2406" s="1" t="s">
        <v>5299</v>
      </c>
      <c r="E2406" s="1" t="s">
        <v>726</v>
      </c>
      <c r="F2406" s="1">
        <v>34</v>
      </c>
      <c r="G2406" s="1" t="s">
        <v>24</v>
      </c>
      <c r="H2406" s="1" t="s">
        <v>82</v>
      </c>
      <c r="I2406" s="1" t="s">
        <v>83</v>
      </c>
      <c r="J2406" s="1" t="s">
        <v>27</v>
      </c>
      <c r="K2406" s="1" t="s">
        <v>56</v>
      </c>
      <c r="L2406" s="1">
        <v>2</v>
      </c>
      <c r="M2406" s="13">
        <v>275.55</v>
      </c>
      <c r="N2406" s="15">
        <v>0.02</v>
      </c>
      <c r="O2406" s="13">
        <v>545.95000000000005</v>
      </c>
      <c r="P2406" s="13">
        <v>40.630000000000003</v>
      </c>
      <c r="Q2406" s="13">
        <v>75.84</v>
      </c>
      <c r="R2406" s="1" t="s">
        <v>29</v>
      </c>
      <c r="S2406" s="1">
        <v>4</v>
      </c>
      <c r="T2406" s="1" t="b">
        <v>0</v>
      </c>
      <c r="U2406" s="1" t="s">
        <v>39</v>
      </c>
      <c r="V2406" s="3">
        <v>3</v>
      </c>
    </row>
    <row r="2407" spans="1:22" x14ac:dyDescent="0.3">
      <c r="A2407" s="2" t="s">
        <v>5300</v>
      </c>
      <c r="B2407" s="10">
        <v>44323</v>
      </c>
      <c r="C2407" s="22">
        <v>44323</v>
      </c>
      <c r="D2407" s="1" t="s">
        <v>5301</v>
      </c>
      <c r="E2407" s="1" t="s">
        <v>1246</v>
      </c>
      <c r="F2407" s="1">
        <v>36</v>
      </c>
      <c r="G2407" s="1" t="s">
        <v>68</v>
      </c>
      <c r="H2407" s="1" t="s">
        <v>82</v>
      </c>
      <c r="I2407" s="1" t="s">
        <v>126</v>
      </c>
      <c r="J2407" s="1" t="s">
        <v>44</v>
      </c>
      <c r="K2407" s="1" t="s">
        <v>186</v>
      </c>
      <c r="L2407" s="1">
        <v>5</v>
      </c>
      <c r="M2407" s="13">
        <v>4812.43</v>
      </c>
      <c r="N2407" s="15">
        <v>0.27</v>
      </c>
      <c r="O2407" s="13">
        <v>22526.71</v>
      </c>
      <c r="P2407" s="13">
        <v>6783.1</v>
      </c>
      <c r="Q2407" s="13">
        <v>109.38</v>
      </c>
      <c r="R2407" s="1" t="s">
        <v>64</v>
      </c>
      <c r="S2407" s="1">
        <v>4</v>
      </c>
      <c r="T2407" s="1" t="b">
        <v>0</v>
      </c>
      <c r="U2407" s="1" t="s">
        <v>39</v>
      </c>
      <c r="V2407" s="3">
        <v>4</v>
      </c>
    </row>
    <row r="2408" spans="1:22" x14ac:dyDescent="0.3">
      <c r="A2408" s="2" t="s">
        <v>5302</v>
      </c>
      <c r="B2408" s="10">
        <v>44108</v>
      </c>
      <c r="C2408" s="22">
        <v>44108</v>
      </c>
      <c r="D2408" s="1" t="s">
        <v>3681</v>
      </c>
      <c r="E2408" s="1" t="s">
        <v>443</v>
      </c>
      <c r="F2408" s="1">
        <v>55</v>
      </c>
      <c r="G2408" s="1" t="s">
        <v>34</v>
      </c>
      <c r="H2408" s="1" t="s">
        <v>111</v>
      </c>
      <c r="I2408" s="1" t="s">
        <v>330</v>
      </c>
      <c r="J2408" s="1" t="s">
        <v>27</v>
      </c>
      <c r="K2408" s="1" t="s">
        <v>97</v>
      </c>
      <c r="L2408" s="1">
        <v>9</v>
      </c>
      <c r="M2408" s="13">
        <v>410.87</v>
      </c>
      <c r="N2408" s="15">
        <v>0.09</v>
      </c>
      <c r="O2408" s="13">
        <v>3133.82</v>
      </c>
      <c r="P2408" s="13">
        <v>346.09</v>
      </c>
      <c r="Q2408" s="13">
        <v>74.58</v>
      </c>
      <c r="R2408" s="1" t="s">
        <v>29</v>
      </c>
      <c r="S2408" s="1">
        <v>5</v>
      </c>
      <c r="T2408" s="1" t="b">
        <v>1</v>
      </c>
      <c r="U2408" s="1" t="s">
        <v>30</v>
      </c>
      <c r="V2408" s="3">
        <v>6</v>
      </c>
    </row>
    <row r="2409" spans="1:22" x14ac:dyDescent="0.3">
      <c r="A2409" s="2" t="s">
        <v>5303</v>
      </c>
      <c r="B2409" s="10">
        <v>45188</v>
      </c>
      <c r="C2409" s="22">
        <v>45188</v>
      </c>
      <c r="D2409" s="1" t="s">
        <v>5304</v>
      </c>
      <c r="E2409" s="1" t="s">
        <v>1510</v>
      </c>
      <c r="F2409" s="1">
        <v>14</v>
      </c>
      <c r="G2409" s="1" t="s">
        <v>24</v>
      </c>
      <c r="H2409" s="1" t="s">
        <v>111</v>
      </c>
      <c r="I2409" s="1" t="s">
        <v>121</v>
      </c>
      <c r="J2409" s="1" t="s">
        <v>44</v>
      </c>
      <c r="K2409" s="1" t="s">
        <v>221</v>
      </c>
      <c r="L2409" s="1">
        <v>9</v>
      </c>
      <c r="M2409" s="13">
        <v>18114.900000000001</v>
      </c>
      <c r="N2409" s="15">
        <v>0.35</v>
      </c>
      <c r="O2409" s="13">
        <v>131109.37</v>
      </c>
      <c r="P2409" s="13">
        <v>44210.57</v>
      </c>
      <c r="Q2409" s="13">
        <v>60.14</v>
      </c>
      <c r="R2409" s="1" t="s">
        <v>29</v>
      </c>
      <c r="S2409" s="1">
        <v>3</v>
      </c>
      <c r="T2409" s="1" t="b">
        <v>0</v>
      </c>
      <c r="U2409" s="1" t="s">
        <v>84</v>
      </c>
      <c r="V2409" s="3">
        <v>10</v>
      </c>
    </row>
    <row r="2410" spans="1:22" x14ac:dyDescent="0.3">
      <c r="A2410" s="2" t="s">
        <v>5305</v>
      </c>
      <c r="B2410" s="10">
        <v>45113</v>
      </c>
      <c r="C2410" s="22">
        <v>45113</v>
      </c>
      <c r="D2410" s="1" t="s">
        <v>5306</v>
      </c>
      <c r="E2410" s="1" t="s">
        <v>481</v>
      </c>
      <c r="F2410" s="1">
        <v>35</v>
      </c>
      <c r="G2410" s="1" t="s">
        <v>68</v>
      </c>
      <c r="H2410" s="1" t="s">
        <v>111</v>
      </c>
      <c r="I2410" s="1" t="s">
        <v>141</v>
      </c>
      <c r="J2410" s="1" t="s">
        <v>27</v>
      </c>
      <c r="K2410" s="1" t="s">
        <v>97</v>
      </c>
      <c r="L2410" s="1">
        <v>8</v>
      </c>
      <c r="M2410" s="13">
        <v>421.42</v>
      </c>
      <c r="N2410" s="15">
        <v>0.14000000000000001</v>
      </c>
      <c r="O2410" s="13">
        <v>4774.2700000000004</v>
      </c>
      <c r="P2410" s="13">
        <v>467.76</v>
      </c>
      <c r="Q2410" s="13">
        <v>84.51</v>
      </c>
      <c r="R2410" s="1" t="s">
        <v>64</v>
      </c>
      <c r="S2410" s="1">
        <v>3</v>
      </c>
      <c r="T2410" s="1" t="b">
        <v>0</v>
      </c>
      <c r="U2410" s="1" t="s">
        <v>137</v>
      </c>
      <c r="V2410" s="3">
        <v>8</v>
      </c>
    </row>
    <row r="2411" spans="1:22" x14ac:dyDescent="0.3">
      <c r="A2411" s="2" t="s">
        <v>5307</v>
      </c>
      <c r="B2411" s="10">
        <v>44380</v>
      </c>
      <c r="C2411" s="22">
        <v>44380</v>
      </c>
      <c r="D2411" s="1" t="s">
        <v>5308</v>
      </c>
      <c r="E2411" s="1" t="s">
        <v>23</v>
      </c>
      <c r="F2411" s="1">
        <v>38</v>
      </c>
      <c r="G2411" s="1" t="s">
        <v>34</v>
      </c>
      <c r="H2411" s="1" t="s">
        <v>82</v>
      </c>
      <c r="I2411" s="1" t="s">
        <v>244</v>
      </c>
      <c r="J2411" s="1" t="s">
        <v>37</v>
      </c>
      <c r="K2411" s="1" t="s">
        <v>671</v>
      </c>
      <c r="L2411" s="1">
        <v>5</v>
      </c>
      <c r="M2411" s="13">
        <v>205.05</v>
      </c>
      <c r="N2411" s="15">
        <v>0.37</v>
      </c>
      <c r="O2411" s="13">
        <v>875.73</v>
      </c>
      <c r="P2411" s="13">
        <v>336.22</v>
      </c>
      <c r="Q2411" s="13">
        <v>58.05</v>
      </c>
      <c r="R2411" s="1" t="s">
        <v>29</v>
      </c>
      <c r="S2411" s="1">
        <v>1</v>
      </c>
      <c r="T2411" s="1" t="b">
        <v>1</v>
      </c>
      <c r="U2411" s="1" t="s">
        <v>30</v>
      </c>
      <c r="V2411" s="3">
        <v>10</v>
      </c>
    </row>
    <row r="2412" spans="1:22" x14ac:dyDescent="0.3">
      <c r="A2412" s="2" t="s">
        <v>5309</v>
      </c>
      <c r="B2412" s="10">
        <v>44591</v>
      </c>
      <c r="C2412" s="22">
        <v>44591</v>
      </c>
      <c r="D2412" s="1" t="s">
        <v>5310</v>
      </c>
      <c r="E2412" s="1" t="s">
        <v>687</v>
      </c>
      <c r="F2412" s="1">
        <v>47</v>
      </c>
      <c r="G2412" s="1" t="s">
        <v>68</v>
      </c>
      <c r="H2412" s="1" t="s">
        <v>35</v>
      </c>
      <c r="I2412" s="1" t="s">
        <v>106</v>
      </c>
      <c r="J2412" s="1" t="s">
        <v>76</v>
      </c>
      <c r="K2412" s="1" t="s">
        <v>122</v>
      </c>
      <c r="L2412" s="1">
        <v>4</v>
      </c>
      <c r="M2412" s="13">
        <v>1960.32</v>
      </c>
      <c r="N2412" s="15">
        <v>0.03</v>
      </c>
      <c r="O2412" s="13">
        <v>7027.87</v>
      </c>
      <c r="P2412" s="13">
        <v>2732.62</v>
      </c>
      <c r="Q2412" s="13">
        <v>65.849999999999994</v>
      </c>
      <c r="R2412" s="1" t="s">
        <v>29</v>
      </c>
      <c r="S2412" s="1">
        <v>2</v>
      </c>
      <c r="T2412" s="1" t="b">
        <v>0</v>
      </c>
      <c r="U2412" s="1" t="s">
        <v>39</v>
      </c>
      <c r="V2412" s="3">
        <v>1</v>
      </c>
    </row>
    <row r="2413" spans="1:22" x14ac:dyDescent="0.3">
      <c r="A2413" s="2" t="s">
        <v>5311</v>
      </c>
      <c r="B2413" s="10">
        <v>44742</v>
      </c>
      <c r="C2413" s="22">
        <v>44742</v>
      </c>
      <c r="D2413" s="1" t="s">
        <v>5312</v>
      </c>
      <c r="E2413" s="1" t="s">
        <v>1761</v>
      </c>
      <c r="F2413" s="1">
        <v>22</v>
      </c>
      <c r="G2413" s="1" t="s">
        <v>34</v>
      </c>
      <c r="H2413" s="1" t="s">
        <v>35</v>
      </c>
      <c r="I2413" s="1" t="s">
        <v>106</v>
      </c>
      <c r="J2413" s="1" t="s">
        <v>27</v>
      </c>
      <c r="K2413" s="1" t="s">
        <v>56</v>
      </c>
      <c r="L2413" s="1">
        <v>4</v>
      </c>
      <c r="M2413" s="13">
        <v>291.88</v>
      </c>
      <c r="N2413" s="15">
        <v>0.37</v>
      </c>
      <c r="O2413" s="13">
        <v>1107.6199999999999</v>
      </c>
      <c r="P2413" s="13">
        <v>79.28</v>
      </c>
      <c r="Q2413" s="13">
        <v>60.21</v>
      </c>
      <c r="R2413" s="1" t="s">
        <v>51</v>
      </c>
      <c r="S2413" s="1">
        <v>2</v>
      </c>
      <c r="T2413" s="1" t="b">
        <v>1</v>
      </c>
      <c r="U2413" s="1" t="s">
        <v>30</v>
      </c>
      <c r="V2413" s="3">
        <v>1</v>
      </c>
    </row>
    <row r="2414" spans="1:22" x14ac:dyDescent="0.3">
      <c r="A2414" s="2" t="s">
        <v>5313</v>
      </c>
      <c r="B2414" s="10">
        <v>44187</v>
      </c>
      <c r="C2414" s="22">
        <v>44187</v>
      </c>
      <c r="D2414" s="1" t="s">
        <v>5314</v>
      </c>
      <c r="E2414" s="1" t="s">
        <v>940</v>
      </c>
      <c r="F2414" s="1">
        <v>21</v>
      </c>
      <c r="G2414" s="1" t="s">
        <v>24</v>
      </c>
      <c r="H2414" s="1" t="s">
        <v>25</v>
      </c>
      <c r="I2414" s="1" t="s">
        <v>69</v>
      </c>
      <c r="J2414" s="1" t="s">
        <v>62</v>
      </c>
      <c r="K2414" s="1" t="s">
        <v>283</v>
      </c>
      <c r="L2414" s="1">
        <v>3</v>
      </c>
      <c r="M2414" s="13">
        <v>1412.16</v>
      </c>
      <c r="N2414" s="15">
        <v>0.21</v>
      </c>
      <c r="O2414" s="13">
        <v>3187.62</v>
      </c>
      <c r="P2414" s="13">
        <v>1429.35</v>
      </c>
      <c r="Q2414" s="13">
        <v>53.18</v>
      </c>
      <c r="R2414" s="1" t="s">
        <v>29</v>
      </c>
      <c r="S2414" s="1">
        <v>2</v>
      </c>
      <c r="T2414" s="1" t="b">
        <v>1</v>
      </c>
      <c r="U2414" s="1" t="s">
        <v>30</v>
      </c>
      <c r="V2414" s="3">
        <v>1</v>
      </c>
    </row>
    <row r="2415" spans="1:22" x14ac:dyDescent="0.3">
      <c r="A2415" s="2" t="s">
        <v>5315</v>
      </c>
      <c r="B2415" s="10">
        <v>45247</v>
      </c>
      <c r="C2415" s="22">
        <v>45247</v>
      </c>
      <c r="D2415" s="1" t="s">
        <v>5316</v>
      </c>
      <c r="E2415" s="1" t="s">
        <v>1079</v>
      </c>
      <c r="F2415" s="1">
        <v>36</v>
      </c>
      <c r="G2415" s="1" t="s">
        <v>24</v>
      </c>
      <c r="H2415" s="1" t="s">
        <v>25</v>
      </c>
      <c r="I2415" s="1" t="s">
        <v>170</v>
      </c>
      <c r="J2415" s="1" t="s">
        <v>27</v>
      </c>
      <c r="K2415" s="1" t="s">
        <v>56</v>
      </c>
      <c r="L2415" s="1">
        <v>3</v>
      </c>
      <c r="M2415" s="13">
        <v>362.83</v>
      </c>
      <c r="N2415" s="15">
        <v>0.33</v>
      </c>
      <c r="O2415" s="13">
        <v>704.3</v>
      </c>
      <c r="P2415" s="13">
        <v>51.58</v>
      </c>
      <c r="Q2415" s="13">
        <v>40.17</v>
      </c>
      <c r="R2415" s="1" t="s">
        <v>70</v>
      </c>
      <c r="S2415" s="1">
        <v>2</v>
      </c>
      <c r="T2415" s="1" t="b">
        <v>0</v>
      </c>
      <c r="U2415" s="1" t="s">
        <v>39</v>
      </c>
      <c r="V2415" s="3">
        <v>3</v>
      </c>
    </row>
    <row r="2416" spans="1:22" x14ac:dyDescent="0.3">
      <c r="A2416" s="2" t="s">
        <v>5317</v>
      </c>
      <c r="B2416" s="10">
        <v>44999</v>
      </c>
      <c r="C2416" s="22">
        <v>44999</v>
      </c>
      <c r="D2416" s="1" t="s">
        <v>5318</v>
      </c>
      <c r="E2416" s="1" t="s">
        <v>726</v>
      </c>
      <c r="F2416" s="1">
        <v>57</v>
      </c>
      <c r="G2416" s="1" t="s">
        <v>68</v>
      </c>
      <c r="H2416" s="1" t="s">
        <v>82</v>
      </c>
      <c r="I2416" s="1" t="s">
        <v>293</v>
      </c>
      <c r="J2416" s="1" t="s">
        <v>27</v>
      </c>
      <c r="K2416" s="1" t="s">
        <v>28</v>
      </c>
      <c r="L2416" s="1">
        <v>3</v>
      </c>
      <c r="M2416" s="13">
        <v>451.94</v>
      </c>
      <c r="N2416" s="15">
        <v>7.0000000000000007E-2</v>
      </c>
      <c r="O2416" s="13">
        <v>1470.9</v>
      </c>
      <c r="P2416" s="13">
        <v>132.82</v>
      </c>
      <c r="Q2416" s="13">
        <v>72.180000000000007</v>
      </c>
      <c r="R2416" s="1" t="s">
        <v>29</v>
      </c>
      <c r="S2416" s="1">
        <v>2</v>
      </c>
      <c r="T2416" s="1" t="b">
        <v>0</v>
      </c>
      <c r="U2416" s="1" t="s">
        <v>137</v>
      </c>
      <c r="V2416" s="3">
        <v>8</v>
      </c>
    </row>
    <row r="2417" spans="1:22" x14ac:dyDescent="0.3">
      <c r="A2417" s="2" t="s">
        <v>5319</v>
      </c>
      <c r="B2417" s="10">
        <v>45128</v>
      </c>
      <c r="C2417" s="22">
        <v>45128</v>
      </c>
      <c r="D2417" s="1" t="s">
        <v>5320</v>
      </c>
      <c r="E2417" s="1" t="s">
        <v>858</v>
      </c>
      <c r="F2417" s="1">
        <v>44</v>
      </c>
      <c r="G2417" s="1" t="s">
        <v>24</v>
      </c>
      <c r="H2417" s="1" t="s">
        <v>25</v>
      </c>
      <c r="I2417" s="1" t="s">
        <v>26</v>
      </c>
      <c r="J2417" s="1" t="s">
        <v>76</v>
      </c>
      <c r="K2417" s="1" t="s">
        <v>89</v>
      </c>
      <c r="L2417" s="1">
        <v>6</v>
      </c>
      <c r="M2417" s="13">
        <v>2551.46</v>
      </c>
      <c r="N2417" s="15">
        <v>0.28000000000000003</v>
      </c>
      <c r="O2417" s="13">
        <v>16184.75</v>
      </c>
      <c r="P2417" s="13">
        <v>5763.29</v>
      </c>
      <c r="Q2417" s="13">
        <v>52.45</v>
      </c>
      <c r="R2417" s="1" t="s">
        <v>70</v>
      </c>
      <c r="S2417" s="1">
        <v>1</v>
      </c>
      <c r="T2417" s="1" t="b">
        <v>0</v>
      </c>
      <c r="U2417" s="1" t="s">
        <v>197</v>
      </c>
      <c r="V2417" s="3">
        <v>8</v>
      </c>
    </row>
    <row r="2418" spans="1:22" x14ac:dyDescent="0.3">
      <c r="A2418" s="2" t="s">
        <v>5321</v>
      </c>
      <c r="B2418" s="10">
        <v>44537</v>
      </c>
      <c r="C2418" s="22">
        <v>44537</v>
      </c>
      <c r="D2418" s="1" t="s">
        <v>5322</v>
      </c>
      <c r="E2418" s="1" t="s">
        <v>135</v>
      </c>
      <c r="F2418" s="1">
        <v>46</v>
      </c>
      <c r="G2418" s="1" t="s">
        <v>68</v>
      </c>
      <c r="H2418" s="1" t="s">
        <v>111</v>
      </c>
      <c r="I2418" s="1" t="s">
        <v>112</v>
      </c>
      <c r="J2418" s="1" t="s">
        <v>146</v>
      </c>
      <c r="K2418" s="1" t="s">
        <v>276</v>
      </c>
      <c r="L2418" s="1">
        <v>3</v>
      </c>
      <c r="M2418" s="13">
        <v>11079.73</v>
      </c>
      <c r="N2418" s="15">
        <v>0.28000000000000003</v>
      </c>
      <c r="O2418" s="13">
        <v>19386.16</v>
      </c>
      <c r="P2418" s="13">
        <v>3946.3</v>
      </c>
      <c r="Q2418" s="13">
        <v>44.65</v>
      </c>
      <c r="R2418" s="1" t="s">
        <v>29</v>
      </c>
      <c r="S2418" s="1">
        <v>1</v>
      </c>
      <c r="T2418" s="1" t="b">
        <v>0</v>
      </c>
      <c r="U2418" s="1" t="s">
        <v>39</v>
      </c>
      <c r="V2418" s="3">
        <v>5</v>
      </c>
    </row>
    <row r="2419" spans="1:22" x14ac:dyDescent="0.3">
      <c r="A2419" s="2" t="s">
        <v>5323</v>
      </c>
      <c r="B2419" s="10">
        <v>45217</v>
      </c>
      <c r="C2419" s="22">
        <v>45217</v>
      </c>
      <c r="D2419" s="1" t="s">
        <v>5324</v>
      </c>
      <c r="E2419" s="1" t="s">
        <v>684</v>
      </c>
      <c r="F2419" s="1">
        <v>30</v>
      </c>
      <c r="G2419" s="1" t="s">
        <v>34</v>
      </c>
      <c r="H2419" s="1" t="s">
        <v>35</v>
      </c>
      <c r="I2419" s="1" t="s">
        <v>36</v>
      </c>
      <c r="J2419" s="1" t="s">
        <v>127</v>
      </c>
      <c r="K2419" s="1" t="s">
        <v>171</v>
      </c>
      <c r="L2419" s="1">
        <v>1</v>
      </c>
      <c r="M2419" s="13">
        <v>48359.17</v>
      </c>
      <c r="N2419" s="15">
        <v>0.06</v>
      </c>
      <c r="O2419" s="13">
        <v>51500.800000000003</v>
      </c>
      <c r="P2419" s="13">
        <v>6586.38</v>
      </c>
      <c r="Q2419" s="13">
        <v>81.7</v>
      </c>
      <c r="R2419" s="1" t="s">
        <v>57</v>
      </c>
      <c r="S2419" s="1">
        <v>3</v>
      </c>
      <c r="T2419" s="1" t="b">
        <v>0</v>
      </c>
      <c r="U2419" s="1" t="s">
        <v>39</v>
      </c>
      <c r="V2419" s="3">
        <v>9</v>
      </c>
    </row>
    <row r="2420" spans="1:22" x14ac:dyDescent="0.3">
      <c r="A2420" s="2" t="s">
        <v>5325</v>
      </c>
      <c r="B2420" s="10">
        <v>45612</v>
      </c>
      <c r="C2420" s="22">
        <v>45612</v>
      </c>
      <c r="D2420" s="1" t="s">
        <v>5326</v>
      </c>
      <c r="E2420" s="1" t="s">
        <v>370</v>
      </c>
      <c r="F2420" s="1">
        <v>25</v>
      </c>
      <c r="G2420" s="1" t="s">
        <v>24</v>
      </c>
      <c r="H2420" s="1" t="s">
        <v>82</v>
      </c>
      <c r="I2420" s="1" t="s">
        <v>126</v>
      </c>
      <c r="J2420" s="1" t="s">
        <v>127</v>
      </c>
      <c r="K2420" s="1" t="s">
        <v>142</v>
      </c>
      <c r="L2420" s="1">
        <v>6</v>
      </c>
      <c r="M2420" s="13">
        <v>76147.08</v>
      </c>
      <c r="N2420" s="15">
        <v>0.3</v>
      </c>
      <c r="O2420" s="13">
        <v>275656.14</v>
      </c>
      <c r="P2420" s="13">
        <v>33935.620000000003</v>
      </c>
      <c r="Q2420" s="13">
        <v>79.39</v>
      </c>
      <c r="R2420" s="1" t="s">
        <v>57</v>
      </c>
      <c r="S2420" s="1">
        <v>4</v>
      </c>
      <c r="T2420" s="1" t="b">
        <v>0</v>
      </c>
      <c r="U2420" s="1" t="s">
        <v>58</v>
      </c>
      <c r="V2420" s="3">
        <v>5</v>
      </c>
    </row>
    <row r="2421" spans="1:22" x14ac:dyDescent="0.3">
      <c r="A2421" s="2" t="s">
        <v>5327</v>
      </c>
      <c r="B2421" s="10">
        <v>44929</v>
      </c>
      <c r="C2421" s="22">
        <v>44929</v>
      </c>
      <c r="D2421" s="1" t="s">
        <v>5328</v>
      </c>
      <c r="E2421" s="1" t="s">
        <v>1447</v>
      </c>
      <c r="F2421" s="1">
        <v>21</v>
      </c>
      <c r="G2421" s="1" t="s">
        <v>68</v>
      </c>
      <c r="H2421" s="1" t="s">
        <v>74</v>
      </c>
      <c r="I2421" s="1" t="s">
        <v>192</v>
      </c>
      <c r="J2421" s="1" t="s">
        <v>76</v>
      </c>
      <c r="K2421" s="1" t="s">
        <v>132</v>
      </c>
      <c r="L2421" s="1">
        <v>8</v>
      </c>
      <c r="M2421" s="13">
        <v>3811.17</v>
      </c>
      <c r="N2421" s="15">
        <v>0.21</v>
      </c>
      <c r="O2421" s="13">
        <v>25749.39</v>
      </c>
      <c r="P2421" s="13">
        <v>11463.62</v>
      </c>
      <c r="Q2421" s="13">
        <v>63.21</v>
      </c>
      <c r="R2421" s="1" t="s">
        <v>64</v>
      </c>
      <c r="S2421" s="1">
        <v>2</v>
      </c>
      <c r="T2421" s="1" t="b">
        <v>0</v>
      </c>
      <c r="U2421" s="1" t="s">
        <v>39</v>
      </c>
      <c r="V2421" s="3">
        <v>5</v>
      </c>
    </row>
    <row r="2422" spans="1:22" x14ac:dyDescent="0.3">
      <c r="A2422" s="2" t="s">
        <v>5329</v>
      </c>
      <c r="B2422" s="10">
        <v>45127</v>
      </c>
      <c r="C2422" s="22">
        <v>45127</v>
      </c>
      <c r="D2422" s="1" t="s">
        <v>5330</v>
      </c>
      <c r="E2422" s="1" t="s">
        <v>409</v>
      </c>
      <c r="F2422" s="1">
        <v>19</v>
      </c>
      <c r="G2422" s="1" t="s">
        <v>68</v>
      </c>
      <c r="H2422" s="1" t="s">
        <v>111</v>
      </c>
      <c r="I2422" s="1" t="s">
        <v>330</v>
      </c>
      <c r="J2422" s="1" t="s">
        <v>37</v>
      </c>
      <c r="K2422" s="1" t="s">
        <v>671</v>
      </c>
      <c r="L2422" s="1">
        <v>1</v>
      </c>
      <c r="M2422" s="13">
        <v>581.9</v>
      </c>
      <c r="N2422" s="15">
        <v>0.39</v>
      </c>
      <c r="O2422" s="13">
        <v>573.91</v>
      </c>
      <c r="P2422" s="13">
        <v>321.44</v>
      </c>
      <c r="Q2422" s="13">
        <v>61.08</v>
      </c>
      <c r="R2422" s="1" t="s">
        <v>64</v>
      </c>
      <c r="S2422" s="1">
        <v>5</v>
      </c>
      <c r="T2422" s="1" t="b">
        <v>0</v>
      </c>
      <c r="U2422" s="1" t="s">
        <v>39</v>
      </c>
      <c r="V2422" s="3">
        <v>2</v>
      </c>
    </row>
    <row r="2423" spans="1:22" x14ac:dyDescent="0.3">
      <c r="A2423" s="2" t="s">
        <v>5331</v>
      </c>
      <c r="B2423" s="10">
        <v>44867</v>
      </c>
      <c r="C2423" s="22">
        <v>44867</v>
      </c>
      <c r="D2423" s="1" t="s">
        <v>5332</v>
      </c>
      <c r="E2423" s="1" t="s">
        <v>696</v>
      </c>
      <c r="F2423" s="1">
        <v>33</v>
      </c>
      <c r="G2423" s="1" t="s">
        <v>24</v>
      </c>
      <c r="H2423" s="1" t="s">
        <v>82</v>
      </c>
      <c r="I2423" s="1" t="s">
        <v>244</v>
      </c>
      <c r="J2423" s="1" t="s">
        <v>44</v>
      </c>
      <c r="K2423" s="1" t="s">
        <v>117</v>
      </c>
      <c r="L2423" s="1">
        <v>3</v>
      </c>
      <c r="M2423" s="13">
        <v>4404.99</v>
      </c>
      <c r="N2423" s="15">
        <v>0.04</v>
      </c>
      <c r="O2423" s="13">
        <v>10146.469999999999</v>
      </c>
      <c r="P2423" s="13">
        <v>2903.13</v>
      </c>
      <c r="Q2423" s="13">
        <v>93.9</v>
      </c>
      <c r="R2423" s="1" t="s">
        <v>29</v>
      </c>
      <c r="S2423" s="1">
        <v>3</v>
      </c>
      <c r="T2423" s="1" t="b">
        <v>0</v>
      </c>
      <c r="U2423" s="1" t="s">
        <v>137</v>
      </c>
      <c r="V2423" s="3">
        <v>5</v>
      </c>
    </row>
    <row r="2424" spans="1:22" x14ac:dyDescent="0.3">
      <c r="A2424" s="2" t="s">
        <v>5333</v>
      </c>
      <c r="B2424" s="10">
        <v>44111</v>
      </c>
      <c r="C2424" s="22">
        <v>44111</v>
      </c>
      <c r="D2424" s="1" t="s">
        <v>5334</v>
      </c>
      <c r="E2424" s="1" t="s">
        <v>1039</v>
      </c>
      <c r="F2424" s="1">
        <v>14</v>
      </c>
      <c r="G2424" s="1" t="s">
        <v>34</v>
      </c>
      <c r="H2424" s="1" t="s">
        <v>25</v>
      </c>
      <c r="I2424" s="1" t="s">
        <v>26</v>
      </c>
      <c r="J2424" s="1" t="s">
        <v>27</v>
      </c>
      <c r="K2424" s="1" t="s">
        <v>430</v>
      </c>
      <c r="L2424" s="1">
        <v>7</v>
      </c>
      <c r="M2424" s="13">
        <v>478.47</v>
      </c>
      <c r="N2424" s="15">
        <v>0.19</v>
      </c>
      <c r="O2424" s="13">
        <v>2419.6999999999998</v>
      </c>
      <c r="P2424" s="13">
        <v>144.22</v>
      </c>
      <c r="Q2424" s="13">
        <v>78.900000000000006</v>
      </c>
      <c r="R2424" s="1" t="s">
        <v>78</v>
      </c>
      <c r="S2424" s="1">
        <v>3</v>
      </c>
      <c r="T2424" s="1" t="b">
        <v>0</v>
      </c>
      <c r="U2424" s="1" t="s">
        <v>39</v>
      </c>
      <c r="V2424" s="3">
        <v>8</v>
      </c>
    </row>
    <row r="2425" spans="1:22" x14ac:dyDescent="0.3">
      <c r="A2425" s="2" t="s">
        <v>5335</v>
      </c>
      <c r="B2425" s="10">
        <v>44446</v>
      </c>
      <c r="C2425" s="22">
        <v>44446</v>
      </c>
      <c r="D2425" s="1" t="s">
        <v>5336</v>
      </c>
      <c r="E2425" s="1" t="s">
        <v>1142</v>
      </c>
      <c r="F2425" s="1">
        <v>21</v>
      </c>
      <c r="G2425" s="1" t="s">
        <v>24</v>
      </c>
      <c r="H2425" s="1" t="s">
        <v>35</v>
      </c>
      <c r="I2425" s="1" t="s">
        <v>49</v>
      </c>
      <c r="J2425" s="1" t="s">
        <v>127</v>
      </c>
      <c r="K2425" s="1" t="s">
        <v>142</v>
      </c>
      <c r="L2425" s="1">
        <v>10</v>
      </c>
      <c r="M2425" s="13">
        <v>69111.009999999995</v>
      </c>
      <c r="N2425" s="15">
        <v>0.18</v>
      </c>
      <c r="O2425" s="13">
        <v>610027.66</v>
      </c>
      <c r="P2425" s="13">
        <v>80887.73</v>
      </c>
      <c r="Q2425" s="13">
        <v>59.74</v>
      </c>
      <c r="R2425" s="1" t="s">
        <v>78</v>
      </c>
      <c r="S2425" s="1">
        <v>1</v>
      </c>
      <c r="T2425" s="1" t="b">
        <v>0</v>
      </c>
      <c r="U2425" s="1" t="s">
        <v>39</v>
      </c>
      <c r="V2425" s="3">
        <v>2</v>
      </c>
    </row>
    <row r="2426" spans="1:22" x14ac:dyDescent="0.3">
      <c r="A2426" s="2" t="s">
        <v>5337</v>
      </c>
      <c r="B2426" s="10">
        <v>44800</v>
      </c>
      <c r="C2426" s="22">
        <v>44800</v>
      </c>
      <c r="D2426" s="1" t="s">
        <v>5338</v>
      </c>
      <c r="E2426" s="1" t="s">
        <v>690</v>
      </c>
      <c r="F2426" s="1">
        <v>39</v>
      </c>
      <c r="G2426" s="1" t="s">
        <v>34</v>
      </c>
      <c r="H2426" s="1" t="s">
        <v>111</v>
      </c>
      <c r="I2426" s="1" t="s">
        <v>141</v>
      </c>
      <c r="J2426" s="1" t="s">
        <v>76</v>
      </c>
      <c r="K2426" s="1" t="s">
        <v>122</v>
      </c>
      <c r="L2426" s="1">
        <v>2</v>
      </c>
      <c r="M2426" s="13">
        <v>2544.65</v>
      </c>
      <c r="N2426" s="15">
        <v>0.09</v>
      </c>
      <c r="O2426" s="13">
        <v>5282.35</v>
      </c>
      <c r="P2426" s="13">
        <v>1652.06</v>
      </c>
      <c r="Q2426" s="13">
        <v>68.22</v>
      </c>
      <c r="R2426" s="1" t="s">
        <v>29</v>
      </c>
      <c r="S2426" s="1">
        <v>3</v>
      </c>
      <c r="T2426" s="1" t="b">
        <v>0</v>
      </c>
      <c r="U2426" s="1" t="s">
        <v>39</v>
      </c>
      <c r="V2426" s="3">
        <v>3</v>
      </c>
    </row>
    <row r="2427" spans="1:22" x14ac:dyDescent="0.3">
      <c r="A2427" s="2" t="s">
        <v>5339</v>
      </c>
      <c r="B2427" s="10">
        <v>44786</v>
      </c>
      <c r="C2427" s="22">
        <v>44786</v>
      </c>
      <c r="D2427" s="1" t="s">
        <v>5340</v>
      </c>
      <c r="E2427" s="1" t="s">
        <v>726</v>
      </c>
      <c r="F2427" s="1">
        <v>39</v>
      </c>
      <c r="G2427" s="1" t="s">
        <v>24</v>
      </c>
      <c r="H2427" s="1" t="s">
        <v>82</v>
      </c>
      <c r="I2427" s="1" t="s">
        <v>126</v>
      </c>
      <c r="J2427" s="1" t="s">
        <v>127</v>
      </c>
      <c r="K2427" s="1" t="s">
        <v>171</v>
      </c>
      <c r="L2427" s="1">
        <v>9</v>
      </c>
      <c r="M2427" s="13">
        <v>56874.87</v>
      </c>
      <c r="N2427" s="15">
        <v>0.3</v>
      </c>
      <c r="O2427" s="13">
        <v>478142.34</v>
      </c>
      <c r="P2427" s="13">
        <v>58158.93</v>
      </c>
      <c r="Q2427" s="13">
        <v>63.71</v>
      </c>
      <c r="R2427" s="1" t="s">
        <v>57</v>
      </c>
      <c r="S2427" s="1">
        <v>4</v>
      </c>
      <c r="T2427" s="1" t="b">
        <v>1</v>
      </c>
      <c r="U2427" s="1" t="s">
        <v>30</v>
      </c>
      <c r="V2427" s="3">
        <v>2</v>
      </c>
    </row>
    <row r="2428" spans="1:22" x14ac:dyDescent="0.3">
      <c r="A2428" s="2" t="s">
        <v>5341</v>
      </c>
      <c r="B2428" s="10">
        <v>44913</v>
      </c>
      <c r="C2428" s="22">
        <v>44913</v>
      </c>
      <c r="D2428" s="1" t="s">
        <v>5342</v>
      </c>
      <c r="E2428" s="1" t="s">
        <v>3667</v>
      </c>
      <c r="F2428" s="1">
        <v>11</v>
      </c>
      <c r="G2428" s="1" t="s">
        <v>34</v>
      </c>
      <c r="H2428" s="1" t="s">
        <v>25</v>
      </c>
      <c r="I2428" s="1" t="s">
        <v>69</v>
      </c>
      <c r="J2428" s="1" t="s">
        <v>127</v>
      </c>
      <c r="K2428" s="1" t="s">
        <v>517</v>
      </c>
      <c r="L2428" s="1">
        <v>5</v>
      </c>
      <c r="M2428" s="13">
        <v>75416.45</v>
      </c>
      <c r="N2428" s="15">
        <v>0.26</v>
      </c>
      <c r="O2428" s="13">
        <v>239407.24</v>
      </c>
      <c r="P2428" s="13">
        <v>34252.660000000003</v>
      </c>
      <c r="Q2428" s="13">
        <v>50.75</v>
      </c>
      <c r="R2428" s="1" t="s">
        <v>70</v>
      </c>
      <c r="S2428" s="1">
        <v>3</v>
      </c>
      <c r="T2428" s="1" t="b">
        <v>0</v>
      </c>
      <c r="U2428" s="1" t="s">
        <v>39</v>
      </c>
      <c r="V2428" s="3">
        <v>5</v>
      </c>
    </row>
    <row r="2429" spans="1:22" x14ac:dyDescent="0.3">
      <c r="A2429" s="2" t="s">
        <v>5343</v>
      </c>
      <c r="B2429" s="10">
        <v>45430</v>
      </c>
      <c r="C2429" s="22">
        <v>45430</v>
      </c>
      <c r="D2429" s="1" t="s">
        <v>5344</v>
      </c>
      <c r="E2429" s="1" t="s">
        <v>338</v>
      </c>
      <c r="F2429" s="1">
        <v>37</v>
      </c>
      <c r="G2429" s="1" t="s">
        <v>68</v>
      </c>
      <c r="H2429" s="1" t="s">
        <v>35</v>
      </c>
      <c r="I2429" s="1" t="s">
        <v>36</v>
      </c>
      <c r="J2429" s="1" t="s">
        <v>27</v>
      </c>
      <c r="K2429" s="1" t="s">
        <v>450</v>
      </c>
      <c r="L2429" s="1">
        <v>9</v>
      </c>
      <c r="M2429" s="13">
        <v>362.34</v>
      </c>
      <c r="N2429" s="15">
        <v>0.16</v>
      </c>
      <c r="O2429" s="13">
        <v>4473.38</v>
      </c>
      <c r="P2429" s="13">
        <v>319.47000000000003</v>
      </c>
      <c r="Q2429" s="13">
        <v>62.52</v>
      </c>
      <c r="R2429" s="1" t="s">
        <v>29</v>
      </c>
      <c r="S2429" s="1">
        <v>3</v>
      </c>
      <c r="T2429" s="1" t="b">
        <v>0</v>
      </c>
      <c r="U2429" s="1" t="s">
        <v>39</v>
      </c>
      <c r="V2429" s="3">
        <v>5</v>
      </c>
    </row>
    <row r="2430" spans="1:22" x14ac:dyDescent="0.3">
      <c r="A2430" s="2" t="s">
        <v>5345</v>
      </c>
      <c r="B2430" s="10">
        <v>45083</v>
      </c>
      <c r="C2430" s="22">
        <v>45083</v>
      </c>
      <c r="D2430" s="1" t="s">
        <v>5346</v>
      </c>
      <c r="E2430" s="1" t="s">
        <v>3183</v>
      </c>
      <c r="F2430" s="1">
        <v>36</v>
      </c>
      <c r="G2430" s="1" t="s">
        <v>68</v>
      </c>
      <c r="H2430" s="1" t="s">
        <v>111</v>
      </c>
      <c r="I2430" s="1" t="s">
        <v>330</v>
      </c>
      <c r="J2430" s="1" t="s">
        <v>127</v>
      </c>
      <c r="K2430" s="1" t="s">
        <v>128</v>
      </c>
      <c r="L2430" s="1">
        <v>9</v>
      </c>
      <c r="M2430" s="13">
        <v>39846.870000000003</v>
      </c>
      <c r="N2430" s="15">
        <v>0.24</v>
      </c>
      <c r="O2430" s="13">
        <v>452014.92</v>
      </c>
      <c r="P2430" s="13">
        <v>43093.98</v>
      </c>
      <c r="Q2430" s="13">
        <v>51.7</v>
      </c>
      <c r="R2430" s="1" t="s">
        <v>78</v>
      </c>
      <c r="S2430" s="1">
        <v>4</v>
      </c>
      <c r="T2430" s="1" t="b">
        <v>0</v>
      </c>
      <c r="U2430" s="1" t="s">
        <v>39</v>
      </c>
      <c r="V2430" s="3">
        <v>3</v>
      </c>
    </row>
    <row r="2431" spans="1:22" x14ac:dyDescent="0.3">
      <c r="A2431" s="2" t="s">
        <v>5347</v>
      </c>
      <c r="B2431" s="10">
        <v>45415</v>
      </c>
      <c r="C2431" s="22">
        <v>45415</v>
      </c>
      <c r="D2431" s="1" t="s">
        <v>5348</v>
      </c>
      <c r="E2431" s="1" t="s">
        <v>265</v>
      </c>
      <c r="F2431" s="1">
        <v>47</v>
      </c>
      <c r="G2431" s="1" t="s">
        <v>68</v>
      </c>
      <c r="H2431" s="1" t="s">
        <v>35</v>
      </c>
      <c r="I2431" s="1" t="s">
        <v>43</v>
      </c>
      <c r="J2431" s="1" t="s">
        <v>62</v>
      </c>
      <c r="K2431" s="1" t="s">
        <v>266</v>
      </c>
      <c r="L2431" s="1">
        <v>7</v>
      </c>
      <c r="M2431" s="13">
        <v>377</v>
      </c>
      <c r="N2431" s="15">
        <v>0.23</v>
      </c>
      <c r="O2431" s="13">
        <v>3325.2</v>
      </c>
      <c r="P2431" s="13">
        <v>1638.79</v>
      </c>
      <c r="Q2431" s="13">
        <v>55.63</v>
      </c>
      <c r="R2431" s="1" t="s">
        <v>51</v>
      </c>
      <c r="S2431" s="1">
        <v>5</v>
      </c>
      <c r="T2431" s="1" t="b">
        <v>0</v>
      </c>
      <c r="U2431" s="1" t="s">
        <v>39</v>
      </c>
      <c r="V2431" s="3">
        <v>7</v>
      </c>
    </row>
    <row r="2432" spans="1:22" x14ac:dyDescent="0.3">
      <c r="A2432" s="2" t="s">
        <v>5349</v>
      </c>
      <c r="B2432" s="10">
        <v>43984</v>
      </c>
      <c r="C2432" s="22">
        <v>43984</v>
      </c>
      <c r="D2432" s="1" t="s">
        <v>5350</v>
      </c>
      <c r="E2432" s="1" t="s">
        <v>2655</v>
      </c>
      <c r="F2432" s="1">
        <v>28</v>
      </c>
      <c r="G2432" s="1" t="s">
        <v>24</v>
      </c>
      <c r="H2432" s="1" t="s">
        <v>111</v>
      </c>
      <c r="I2432" s="1" t="s">
        <v>141</v>
      </c>
      <c r="J2432" s="1" t="s">
        <v>27</v>
      </c>
      <c r="K2432" s="1" t="s">
        <v>56</v>
      </c>
      <c r="L2432" s="1">
        <v>6</v>
      </c>
      <c r="M2432" s="13">
        <v>457.1</v>
      </c>
      <c r="N2432" s="15">
        <v>0.17</v>
      </c>
      <c r="O2432" s="13">
        <v>3525.53</v>
      </c>
      <c r="P2432" s="13">
        <v>394.03</v>
      </c>
      <c r="Q2432" s="13">
        <v>69.69</v>
      </c>
      <c r="R2432" s="1" t="s">
        <v>78</v>
      </c>
      <c r="S2432" s="1">
        <v>2</v>
      </c>
      <c r="T2432" s="1" t="b">
        <v>0</v>
      </c>
      <c r="U2432" s="1" t="s">
        <v>39</v>
      </c>
      <c r="V2432" s="3">
        <v>8</v>
      </c>
    </row>
    <row r="2433" spans="1:22" x14ac:dyDescent="0.3">
      <c r="A2433" s="2" t="s">
        <v>5351</v>
      </c>
      <c r="B2433" s="10">
        <v>44972</v>
      </c>
      <c r="C2433" s="22">
        <v>44972</v>
      </c>
      <c r="D2433" s="1" t="s">
        <v>5352</v>
      </c>
      <c r="E2433" s="1" t="s">
        <v>4771</v>
      </c>
      <c r="F2433" s="1">
        <v>18</v>
      </c>
      <c r="G2433" s="1" t="s">
        <v>68</v>
      </c>
      <c r="H2433" s="1" t="s">
        <v>111</v>
      </c>
      <c r="I2433" s="1" t="s">
        <v>112</v>
      </c>
      <c r="J2433" s="1" t="s">
        <v>76</v>
      </c>
      <c r="K2433" s="1" t="s">
        <v>89</v>
      </c>
      <c r="L2433" s="1">
        <v>9</v>
      </c>
      <c r="M2433" s="13">
        <v>630.66999999999996</v>
      </c>
      <c r="N2433" s="15">
        <v>0.34</v>
      </c>
      <c r="O2433" s="13">
        <v>4097.13</v>
      </c>
      <c r="P2433" s="13">
        <v>1593.87</v>
      </c>
      <c r="Q2433" s="13">
        <v>69.77</v>
      </c>
      <c r="R2433" s="1" t="s">
        <v>51</v>
      </c>
      <c r="S2433" s="1">
        <v>3</v>
      </c>
      <c r="T2433" s="1" t="b">
        <v>0</v>
      </c>
      <c r="U2433" s="1" t="s">
        <v>39</v>
      </c>
      <c r="V2433" s="3">
        <v>6</v>
      </c>
    </row>
    <row r="2434" spans="1:22" x14ac:dyDescent="0.3">
      <c r="A2434" s="2" t="s">
        <v>5353</v>
      </c>
      <c r="B2434" s="10">
        <v>44403</v>
      </c>
      <c r="C2434" s="22">
        <v>44403</v>
      </c>
      <c r="D2434" s="1" t="s">
        <v>5354</v>
      </c>
      <c r="E2434" s="1" t="s">
        <v>897</v>
      </c>
      <c r="F2434" s="1">
        <v>33</v>
      </c>
      <c r="G2434" s="1" t="s">
        <v>68</v>
      </c>
      <c r="H2434" s="1" t="s">
        <v>82</v>
      </c>
      <c r="I2434" s="1" t="s">
        <v>293</v>
      </c>
      <c r="J2434" s="1" t="s">
        <v>37</v>
      </c>
      <c r="K2434" s="1" t="s">
        <v>671</v>
      </c>
      <c r="L2434" s="1">
        <v>10</v>
      </c>
      <c r="M2434" s="13">
        <v>1776.76</v>
      </c>
      <c r="N2434" s="15">
        <v>0.09</v>
      </c>
      <c r="O2434" s="13">
        <v>24043.07</v>
      </c>
      <c r="P2434" s="13">
        <v>7186.83</v>
      </c>
      <c r="Q2434" s="13">
        <v>76.78</v>
      </c>
      <c r="R2434" s="1" t="s">
        <v>51</v>
      </c>
      <c r="S2434" s="1">
        <v>5</v>
      </c>
      <c r="T2434" s="1" t="b">
        <v>0</v>
      </c>
      <c r="U2434" s="1" t="s">
        <v>84</v>
      </c>
      <c r="V2434" s="3">
        <v>8</v>
      </c>
    </row>
    <row r="2435" spans="1:22" x14ac:dyDescent="0.3">
      <c r="A2435" s="2" t="s">
        <v>5355</v>
      </c>
      <c r="B2435" s="10">
        <v>45198</v>
      </c>
      <c r="C2435" s="22">
        <v>45198</v>
      </c>
      <c r="D2435" s="1" t="s">
        <v>5356</v>
      </c>
      <c r="E2435" s="1" t="s">
        <v>611</v>
      </c>
      <c r="F2435" s="1">
        <v>42</v>
      </c>
      <c r="G2435" s="1" t="s">
        <v>68</v>
      </c>
      <c r="H2435" s="1" t="s">
        <v>35</v>
      </c>
      <c r="I2435" s="1" t="s">
        <v>43</v>
      </c>
      <c r="J2435" s="1" t="s">
        <v>27</v>
      </c>
      <c r="K2435" s="1" t="s">
        <v>56</v>
      </c>
      <c r="L2435" s="1">
        <v>8</v>
      </c>
      <c r="M2435" s="13">
        <v>424.28</v>
      </c>
      <c r="N2435" s="15">
        <v>0.38</v>
      </c>
      <c r="O2435" s="13">
        <v>2407.56</v>
      </c>
      <c r="P2435" s="13">
        <v>178.57</v>
      </c>
      <c r="Q2435" s="13">
        <v>64.599999999999994</v>
      </c>
      <c r="R2435" s="1" t="s">
        <v>78</v>
      </c>
      <c r="S2435" s="1">
        <v>3</v>
      </c>
      <c r="T2435" s="1" t="b">
        <v>0</v>
      </c>
      <c r="U2435" s="1" t="s">
        <v>39</v>
      </c>
      <c r="V2435" s="3">
        <v>4</v>
      </c>
    </row>
    <row r="2436" spans="1:22" x14ac:dyDescent="0.3">
      <c r="A2436" s="2" t="s">
        <v>5357</v>
      </c>
      <c r="B2436" s="10">
        <v>44032</v>
      </c>
      <c r="C2436" s="22">
        <v>44032</v>
      </c>
      <c r="D2436" s="1" t="s">
        <v>5358</v>
      </c>
      <c r="E2436" s="1" t="s">
        <v>729</v>
      </c>
      <c r="F2436" s="1">
        <v>28</v>
      </c>
      <c r="G2436" s="1" t="s">
        <v>34</v>
      </c>
      <c r="H2436" s="1" t="s">
        <v>82</v>
      </c>
      <c r="I2436" s="1" t="s">
        <v>244</v>
      </c>
      <c r="J2436" s="1" t="s">
        <v>146</v>
      </c>
      <c r="K2436" s="1" t="s">
        <v>484</v>
      </c>
      <c r="L2436" s="1">
        <v>7</v>
      </c>
      <c r="M2436" s="13">
        <v>10622.1</v>
      </c>
      <c r="N2436" s="15">
        <v>0.23</v>
      </c>
      <c r="O2436" s="13">
        <v>72296.800000000003</v>
      </c>
      <c r="P2436" s="13">
        <v>14967.8</v>
      </c>
      <c r="Q2436" s="13">
        <v>76.84</v>
      </c>
      <c r="R2436" s="1" t="s">
        <v>64</v>
      </c>
      <c r="S2436" s="1">
        <v>3</v>
      </c>
      <c r="T2436" s="1" t="b">
        <v>0</v>
      </c>
      <c r="U2436" s="1" t="s">
        <v>39</v>
      </c>
      <c r="V2436" s="3">
        <v>10</v>
      </c>
    </row>
    <row r="2437" spans="1:22" x14ac:dyDescent="0.3">
      <c r="A2437" s="2" t="s">
        <v>5359</v>
      </c>
      <c r="B2437" s="10">
        <v>43832</v>
      </c>
      <c r="C2437" s="22">
        <v>43832</v>
      </c>
      <c r="D2437" s="1" t="s">
        <v>5360</v>
      </c>
      <c r="E2437" s="1" t="s">
        <v>429</v>
      </c>
      <c r="F2437" s="1">
        <v>57</v>
      </c>
      <c r="G2437" s="1" t="s">
        <v>68</v>
      </c>
      <c r="H2437" s="1" t="s">
        <v>25</v>
      </c>
      <c r="I2437" s="1" t="s">
        <v>170</v>
      </c>
      <c r="J2437" s="1" t="s">
        <v>127</v>
      </c>
      <c r="K2437" s="1" t="s">
        <v>517</v>
      </c>
      <c r="L2437" s="1">
        <v>7</v>
      </c>
      <c r="M2437" s="13">
        <v>7248.51</v>
      </c>
      <c r="N2437" s="15">
        <v>0.04</v>
      </c>
      <c r="O2437" s="13">
        <v>35721.050000000003</v>
      </c>
      <c r="P2437" s="13">
        <v>2520.31</v>
      </c>
      <c r="Q2437" s="13">
        <v>54.45</v>
      </c>
      <c r="R2437" s="1" t="s">
        <v>64</v>
      </c>
      <c r="S2437" s="1">
        <v>1</v>
      </c>
      <c r="T2437" s="1" t="b">
        <v>0</v>
      </c>
      <c r="U2437" s="1" t="s">
        <v>84</v>
      </c>
      <c r="V2437" s="3">
        <v>3</v>
      </c>
    </row>
    <row r="2438" spans="1:22" x14ac:dyDescent="0.3">
      <c r="A2438" s="2" t="s">
        <v>5361</v>
      </c>
      <c r="B2438" s="10">
        <v>44781</v>
      </c>
      <c r="C2438" s="22">
        <v>44781</v>
      </c>
      <c r="D2438" s="1" t="s">
        <v>5362</v>
      </c>
      <c r="E2438" s="1" t="s">
        <v>719</v>
      </c>
      <c r="F2438" s="1">
        <v>12</v>
      </c>
      <c r="G2438" s="1" t="s">
        <v>24</v>
      </c>
      <c r="H2438" s="1" t="s">
        <v>82</v>
      </c>
      <c r="I2438" s="1" t="s">
        <v>126</v>
      </c>
      <c r="J2438" s="1" t="s">
        <v>146</v>
      </c>
      <c r="K2438" s="1" t="s">
        <v>276</v>
      </c>
      <c r="L2438" s="1">
        <v>1</v>
      </c>
      <c r="M2438" s="13">
        <v>14470.85</v>
      </c>
      <c r="N2438" s="15">
        <v>0.3</v>
      </c>
      <c r="O2438" s="13">
        <v>15068.8</v>
      </c>
      <c r="P2438" s="13">
        <v>2928.52</v>
      </c>
      <c r="Q2438" s="13">
        <v>80.56</v>
      </c>
      <c r="R2438" s="1" t="s">
        <v>64</v>
      </c>
      <c r="S2438" s="1">
        <v>1</v>
      </c>
      <c r="T2438" s="1" t="b">
        <v>0</v>
      </c>
      <c r="U2438" s="1" t="s">
        <v>39</v>
      </c>
      <c r="V2438" s="3">
        <v>10</v>
      </c>
    </row>
    <row r="2439" spans="1:22" x14ac:dyDescent="0.3">
      <c r="A2439" s="2" t="s">
        <v>5363</v>
      </c>
      <c r="B2439" s="10">
        <v>45502</v>
      </c>
      <c r="C2439" s="22">
        <v>45502</v>
      </c>
      <c r="D2439" s="1" t="s">
        <v>5364</v>
      </c>
      <c r="E2439" s="1" t="s">
        <v>635</v>
      </c>
      <c r="F2439" s="1">
        <v>35</v>
      </c>
      <c r="G2439" s="1" t="s">
        <v>34</v>
      </c>
      <c r="H2439" s="1" t="s">
        <v>111</v>
      </c>
      <c r="I2439" s="1" t="s">
        <v>121</v>
      </c>
      <c r="J2439" s="1" t="s">
        <v>37</v>
      </c>
      <c r="K2439" s="1" t="s">
        <v>454</v>
      </c>
      <c r="L2439" s="1">
        <v>2</v>
      </c>
      <c r="M2439" s="13">
        <v>423.08</v>
      </c>
      <c r="N2439" s="15">
        <v>0.25</v>
      </c>
      <c r="O2439" s="13">
        <v>1086.7</v>
      </c>
      <c r="P2439" s="13">
        <v>513.6</v>
      </c>
      <c r="Q2439" s="13">
        <v>65.64</v>
      </c>
      <c r="R2439" s="1" t="s">
        <v>64</v>
      </c>
      <c r="S2439" s="1">
        <v>5</v>
      </c>
      <c r="T2439" s="1" t="b">
        <v>0</v>
      </c>
      <c r="U2439" s="1" t="s">
        <v>39</v>
      </c>
      <c r="V2439" s="3">
        <v>6</v>
      </c>
    </row>
    <row r="2440" spans="1:22" x14ac:dyDescent="0.3">
      <c r="A2440" s="2" t="s">
        <v>5365</v>
      </c>
      <c r="B2440" s="10">
        <v>45083</v>
      </c>
      <c r="C2440" s="22">
        <v>45083</v>
      </c>
      <c r="D2440" s="1" t="s">
        <v>2835</v>
      </c>
      <c r="E2440" s="1" t="s">
        <v>3040</v>
      </c>
      <c r="F2440" s="1">
        <v>26</v>
      </c>
      <c r="G2440" s="1" t="s">
        <v>34</v>
      </c>
      <c r="H2440" s="1" t="s">
        <v>111</v>
      </c>
      <c r="I2440" s="1" t="s">
        <v>112</v>
      </c>
      <c r="J2440" s="1" t="s">
        <v>44</v>
      </c>
      <c r="K2440" s="1" t="s">
        <v>221</v>
      </c>
      <c r="L2440" s="1">
        <v>3</v>
      </c>
      <c r="M2440" s="13">
        <v>28004.75</v>
      </c>
      <c r="N2440" s="15">
        <v>0.31</v>
      </c>
      <c r="O2440" s="13">
        <v>94421.01</v>
      </c>
      <c r="P2440" s="13">
        <v>29532.44</v>
      </c>
      <c r="Q2440" s="13">
        <v>43.07</v>
      </c>
      <c r="R2440" s="1" t="s">
        <v>57</v>
      </c>
      <c r="S2440" s="1">
        <v>2</v>
      </c>
      <c r="T2440" s="1" t="b">
        <v>0</v>
      </c>
      <c r="U2440" s="1" t="s">
        <v>39</v>
      </c>
      <c r="V2440" s="3">
        <v>6</v>
      </c>
    </row>
    <row r="2441" spans="1:22" x14ac:dyDescent="0.3">
      <c r="A2441" s="2" t="s">
        <v>5366</v>
      </c>
      <c r="B2441" s="10">
        <v>45456</v>
      </c>
      <c r="C2441" s="22">
        <v>45456</v>
      </c>
      <c r="D2441" s="1" t="s">
        <v>5367</v>
      </c>
      <c r="E2441" s="1" t="s">
        <v>502</v>
      </c>
      <c r="F2441" s="1">
        <v>18</v>
      </c>
      <c r="G2441" s="1" t="s">
        <v>24</v>
      </c>
      <c r="H2441" s="1" t="s">
        <v>25</v>
      </c>
      <c r="I2441" s="1" t="s">
        <v>26</v>
      </c>
      <c r="J2441" s="1" t="s">
        <v>37</v>
      </c>
      <c r="K2441" s="1" t="s">
        <v>231</v>
      </c>
      <c r="L2441" s="1">
        <v>5</v>
      </c>
      <c r="M2441" s="13">
        <v>2311.7399999999998</v>
      </c>
      <c r="N2441" s="15">
        <v>0.4</v>
      </c>
      <c r="O2441" s="13">
        <v>2656.59</v>
      </c>
      <c r="P2441" s="13">
        <v>685.77</v>
      </c>
      <c r="Q2441" s="13">
        <v>57.12</v>
      </c>
      <c r="R2441" s="1" t="s">
        <v>29</v>
      </c>
      <c r="S2441" s="1">
        <v>2</v>
      </c>
      <c r="T2441" s="1" t="b">
        <v>0</v>
      </c>
      <c r="U2441" s="1" t="s">
        <v>39</v>
      </c>
      <c r="V2441" s="3">
        <v>8</v>
      </c>
    </row>
    <row r="2442" spans="1:22" x14ac:dyDescent="0.3">
      <c r="A2442" s="2" t="s">
        <v>5368</v>
      </c>
      <c r="B2442" s="10">
        <v>44521</v>
      </c>
      <c r="C2442" s="22">
        <v>44521</v>
      </c>
      <c r="D2442" s="1" t="s">
        <v>5369</v>
      </c>
      <c r="E2442" s="1" t="s">
        <v>1297</v>
      </c>
      <c r="F2442" s="1">
        <v>20</v>
      </c>
      <c r="G2442" s="1" t="s">
        <v>24</v>
      </c>
      <c r="H2442" s="1" t="s">
        <v>35</v>
      </c>
      <c r="I2442" s="1" t="s">
        <v>106</v>
      </c>
      <c r="J2442" s="1" t="s">
        <v>27</v>
      </c>
      <c r="K2442" s="1" t="s">
        <v>430</v>
      </c>
      <c r="L2442" s="1">
        <v>9</v>
      </c>
      <c r="M2442" s="13">
        <v>291.31</v>
      </c>
      <c r="N2442" s="15">
        <v>0.13</v>
      </c>
      <c r="O2442" s="13">
        <v>2013.93</v>
      </c>
      <c r="P2442" s="13">
        <v>153.84</v>
      </c>
      <c r="Q2442" s="13">
        <v>74.73</v>
      </c>
      <c r="R2442" s="1" t="s">
        <v>51</v>
      </c>
      <c r="S2442" s="1">
        <v>3</v>
      </c>
      <c r="T2442" s="1" t="b">
        <v>1</v>
      </c>
      <c r="U2442" s="1" t="s">
        <v>30</v>
      </c>
      <c r="V2442" s="3">
        <v>2</v>
      </c>
    </row>
    <row r="2443" spans="1:22" x14ac:dyDescent="0.3">
      <c r="A2443" s="2" t="s">
        <v>5370</v>
      </c>
      <c r="B2443" s="10">
        <v>44882</v>
      </c>
      <c r="C2443" s="22">
        <v>44882</v>
      </c>
      <c r="D2443" s="1" t="s">
        <v>5371</v>
      </c>
      <c r="E2443" s="1" t="s">
        <v>2791</v>
      </c>
      <c r="F2443" s="1">
        <v>31</v>
      </c>
      <c r="G2443" s="1" t="s">
        <v>34</v>
      </c>
      <c r="H2443" s="1" t="s">
        <v>35</v>
      </c>
      <c r="I2443" s="1" t="s">
        <v>36</v>
      </c>
      <c r="J2443" s="1" t="s">
        <v>76</v>
      </c>
      <c r="K2443" s="1" t="s">
        <v>122</v>
      </c>
      <c r="L2443" s="1">
        <v>9</v>
      </c>
      <c r="M2443" s="13">
        <v>2890.57</v>
      </c>
      <c r="N2443" s="15">
        <v>0.09</v>
      </c>
      <c r="O2443" s="13">
        <v>22605.25</v>
      </c>
      <c r="P2443" s="13">
        <v>10028.129999999999</v>
      </c>
      <c r="Q2443" s="13">
        <v>70.61</v>
      </c>
      <c r="R2443" s="1" t="s">
        <v>51</v>
      </c>
      <c r="S2443" s="1">
        <v>1</v>
      </c>
      <c r="T2443" s="1" t="b">
        <v>0</v>
      </c>
      <c r="U2443" s="1" t="s">
        <v>137</v>
      </c>
      <c r="V2443" s="3">
        <v>9</v>
      </c>
    </row>
    <row r="2444" spans="1:22" x14ac:dyDescent="0.3">
      <c r="A2444" s="2" t="s">
        <v>5372</v>
      </c>
      <c r="B2444" s="10">
        <v>44158</v>
      </c>
      <c r="C2444" s="22">
        <v>44158</v>
      </c>
      <c r="D2444" s="1" t="s">
        <v>5373</v>
      </c>
      <c r="E2444" s="1" t="s">
        <v>708</v>
      </c>
      <c r="F2444" s="1">
        <v>19</v>
      </c>
      <c r="G2444" s="1" t="s">
        <v>24</v>
      </c>
      <c r="H2444" s="1" t="s">
        <v>25</v>
      </c>
      <c r="I2444" s="1" t="s">
        <v>26</v>
      </c>
      <c r="J2444" s="1" t="s">
        <v>127</v>
      </c>
      <c r="K2444" s="1" t="s">
        <v>142</v>
      </c>
      <c r="L2444" s="1">
        <v>1</v>
      </c>
      <c r="M2444" s="13">
        <v>40524.35</v>
      </c>
      <c r="N2444" s="15">
        <v>0.12</v>
      </c>
      <c r="O2444" s="13">
        <v>24819.03</v>
      </c>
      <c r="P2444" s="13">
        <v>3365.1</v>
      </c>
      <c r="Q2444" s="13">
        <v>36.229999999999997</v>
      </c>
      <c r="R2444" s="1" t="s">
        <v>78</v>
      </c>
      <c r="S2444" s="1">
        <v>3</v>
      </c>
      <c r="T2444" s="1" t="b">
        <v>1</v>
      </c>
      <c r="U2444" s="1" t="s">
        <v>30</v>
      </c>
      <c r="V2444" s="3">
        <v>3</v>
      </c>
    </row>
    <row r="2445" spans="1:22" x14ac:dyDescent="0.3">
      <c r="A2445" s="2" t="s">
        <v>5374</v>
      </c>
      <c r="B2445" s="10">
        <v>44026</v>
      </c>
      <c r="C2445" s="22">
        <v>44026</v>
      </c>
      <c r="D2445" s="1" t="s">
        <v>5375</v>
      </c>
      <c r="E2445" s="1" t="s">
        <v>412</v>
      </c>
      <c r="F2445" s="1">
        <v>31</v>
      </c>
      <c r="G2445" s="1" t="s">
        <v>34</v>
      </c>
      <c r="H2445" s="1" t="s">
        <v>25</v>
      </c>
      <c r="I2445" s="1" t="s">
        <v>69</v>
      </c>
      <c r="J2445" s="1" t="s">
        <v>62</v>
      </c>
      <c r="K2445" s="1" t="s">
        <v>266</v>
      </c>
      <c r="L2445" s="1">
        <v>4</v>
      </c>
      <c r="M2445" s="13">
        <v>1113.43</v>
      </c>
      <c r="N2445" s="15">
        <v>0.15</v>
      </c>
      <c r="O2445" s="13">
        <v>4962.42</v>
      </c>
      <c r="P2445" s="13">
        <v>2141.31</v>
      </c>
      <c r="Q2445" s="13">
        <v>34.15</v>
      </c>
      <c r="R2445" s="1" t="s">
        <v>51</v>
      </c>
      <c r="S2445" s="1">
        <v>1</v>
      </c>
      <c r="T2445" s="1" t="b">
        <v>0</v>
      </c>
      <c r="U2445" s="1" t="s">
        <v>39</v>
      </c>
      <c r="V2445" s="3">
        <v>7</v>
      </c>
    </row>
    <row r="2446" spans="1:22" x14ac:dyDescent="0.3">
      <c r="A2446" s="2" t="s">
        <v>5376</v>
      </c>
      <c r="B2446" s="10">
        <v>45054</v>
      </c>
      <c r="C2446" s="22">
        <v>45054</v>
      </c>
      <c r="D2446" s="1" t="s">
        <v>5377</v>
      </c>
      <c r="E2446" s="1" t="s">
        <v>1574</v>
      </c>
      <c r="F2446" s="1">
        <v>30</v>
      </c>
      <c r="G2446" s="1" t="s">
        <v>24</v>
      </c>
      <c r="H2446" s="1" t="s">
        <v>35</v>
      </c>
      <c r="I2446" s="1" t="s">
        <v>106</v>
      </c>
      <c r="J2446" s="1" t="s">
        <v>146</v>
      </c>
      <c r="K2446" s="1" t="s">
        <v>484</v>
      </c>
      <c r="L2446" s="1">
        <v>3</v>
      </c>
      <c r="M2446" s="13">
        <v>6620.8</v>
      </c>
      <c r="N2446" s="15">
        <v>0.27</v>
      </c>
      <c r="O2446" s="13">
        <v>22527.03</v>
      </c>
      <c r="P2446" s="13">
        <v>3790.08</v>
      </c>
      <c r="Q2446" s="13">
        <v>89.03</v>
      </c>
      <c r="R2446" s="1" t="s">
        <v>51</v>
      </c>
      <c r="S2446" s="1">
        <v>4</v>
      </c>
      <c r="T2446" s="1" t="b">
        <v>0</v>
      </c>
      <c r="U2446" s="1" t="s">
        <v>197</v>
      </c>
      <c r="V2446" s="3">
        <v>8</v>
      </c>
    </row>
    <row r="2447" spans="1:22" x14ac:dyDescent="0.3">
      <c r="A2447" s="2" t="s">
        <v>5378</v>
      </c>
      <c r="B2447" s="10">
        <v>45594</v>
      </c>
      <c r="C2447" s="22">
        <v>45594</v>
      </c>
      <c r="D2447" s="1" t="s">
        <v>5379</v>
      </c>
      <c r="E2447" s="1" t="s">
        <v>2161</v>
      </c>
      <c r="F2447" s="1">
        <v>54</v>
      </c>
      <c r="G2447" s="1" t="s">
        <v>24</v>
      </c>
      <c r="H2447" s="1" t="s">
        <v>25</v>
      </c>
      <c r="I2447" s="1" t="s">
        <v>55</v>
      </c>
      <c r="J2447" s="1" t="s">
        <v>127</v>
      </c>
      <c r="K2447" s="1" t="s">
        <v>308</v>
      </c>
      <c r="L2447" s="1">
        <v>2</v>
      </c>
      <c r="M2447" s="13">
        <v>11751.86</v>
      </c>
      <c r="N2447" s="15">
        <v>0.26</v>
      </c>
      <c r="O2447" s="13">
        <v>19687.8</v>
      </c>
      <c r="P2447" s="13">
        <v>2001.28</v>
      </c>
      <c r="Q2447" s="13">
        <v>73.23</v>
      </c>
      <c r="R2447" s="1" t="s">
        <v>57</v>
      </c>
      <c r="S2447" s="1">
        <v>4</v>
      </c>
      <c r="T2447" s="1" t="b">
        <v>0</v>
      </c>
      <c r="U2447" s="1" t="s">
        <v>39</v>
      </c>
      <c r="V2447" s="3">
        <v>5</v>
      </c>
    </row>
    <row r="2448" spans="1:22" x14ac:dyDescent="0.3">
      <c r="A2448" s="2" t="s">
        <v>5380</v>
      </c>
      <c r="B2448" s="10">
        <v>45410</v>
      </c>
      <c r="C2448" s="22">
        <v>45410</v>
      </c>
      <c r="D2448" s="1" t="s">
        <v>5381</v>
      </c>
      <c r="E2448" s="1" t="s">
        <v>298</v>
      </c>
      <c r="F2448" s="1">
        <v>27</v>
      </c>
      <c r="G2448" s="1" t="s">
        <v>34</v>
      </c>
      <c r="H2448" s="1" t="s">
        <v>82</v>
      </c>
      <c r="I2448" s="1" t="s">
        <v>293</v>
      </c>
      <c r="J2448" s="1" t="s">
        <v>27</v>
      </c>
      <c r="K2448" s="1" t="s">
        <v>28</v>
      </c>
      <c r="L2448" s="1">
        <v>1</v>
      </c>
      <c r="M2448" s="13">
        <v>373.86</v>
      </c>
      <c r="N2448" s="15">
        <v>0.25</v>
      </c>
      <c r="O2448" s="13">
        <v>400.65</v>
      </c>
      <c r="P2448" s="13">
        <v>34.770000000000003</v>
      </c>
      <c r="Q2448" s="13">
        <v>90.23</v>
      </c>
      <c r="R2448" s="1" t="s">
        <v>57</v>
      </c>
      <c r="S2448" s="1">
        <v>4</v>
      </c>
      <c r="T2448" s="1" t="b">
        <v>0</v>
      </c>
      <c r="U2448" s="1" t="s">
        <v>137</v>
      </c>
      <c r="V2448" s="3">
        <v>1</v>
      </c>
    </row>
    <row r="2449" spans="1:22" x14ac:dyDescent="0.3">
      <c r="A2449" s="2" t="s">
        <v>5382</v>
      </c>
      <c r="B2449" s="10">
        <v>44741</v>
      </c>
      <c r="C2449" s="22">
        <v>44741</v>
      </c>
      <c r="D2449" s="1" t="s">
        <v>5383</v>
      </c>
      <c r="E2449" s="1" t="s">
        <v>423</v>
      </c>
      <c r="F2449" s="1">
        <v>18</v>
      </c>
      <c r="G2449" s="1" t="s">
        <v>34</v>
      </c>
      <c r="H2449" s="1" t="s">
        <v>111</v>
      </c>
      <c r="I2449" s="1" t="s">
        <v>330</v>
      </c>
      <c r="J2449" s="1" t="s">
        <v>27</v>
      </c>
      <c r="K2449" s="1" t="s">
        <v>56</v>
      </c>
      <c r="L2449" s="1">
        <v>4</v>
      </c>
      <c r="M2449" s="13">
        <v>122.82</v>
      </c>
      <c r="N2449" s="15">
        <v>0.04</v>
      </c>
      <c r="O2449" s="13">
        <v>681.47</v>
      </c>
      <c r="P2449" s="13">
        <v>47.66</v>
      </c>
      <c r="Q2449" s="13">
        <v>66.72</v>
      </c>
      <c r="R2449" s="1" t="s">
        <v>57</v>
      </c>
      <c r="S2449" s="1">
        <v>5</v>
      </c>
      <c r="T2449" s="1" t="b">
        <v>0</v>
      </c>
      <c r="U2449" s="1" t="s">
        <v>39</v>
      </c>
      <c r="V2449" s="3">
        <v>10</v>
      </c>
    </row>
    <row r="2450" spans="1:22" x14ac:dyDescent="0.3">
      <c r="A2450" s="2" t="s">
        <v>5384</v>
      </c>
      <c r="B2450" s="10">
        <v>43917</v>
      </c>
      <c r="C2450" s="22">
        <v>43917</v>
      </c>
      <c r="D2450" s="1" t="s">
        <v>5385</v>
      </c>
      <c r="E2450" s="1" t="s">
        <v>976</v>
      </c>
      <c r="F2450" s="1">
        <v>51</v>
      </c>
      <c r="G2450" s="1" t="s">
        <v>34</v>
      </c>
      <c r="H2450" s="1" t="s">
        <v>111</v>
      </c>
      <c r="I2450" s="1" t="s">
        <v>141</v>
      </c>
      <c r="J2450" s="1" t="s">
        <v>127</v>
      </c>
      <c r="K2450" s="1" t="s">
        <v>196</v>
      </c>
      <c r="L2450" s="1">
        <v>5</v>
      </c>
      <c r="M2450" s="13">
        <v>25706.78</v>
      </c>
      <c r="N2450" s="15">
        <v>0.21</v>
      </c>
      <c r="O2450" s="13">
        <v>121013.9</v>
      </c>
      <c r="P2450" s="13">
        <v>12672.89</v>
      </c>
      <c r="Q2450" s="13">
        <v>90.75</v>
      </c>
      <c r="R2450" s="1" t="s">
        <v>51</v>
      </c>
      <c r="S2450" s="1">
        <v>2</v>
      </c>
      <c r="T2450" s="1" t="b">
        <v>1</v>
      </c>
      <c r="U2450" s="1" t="s">
        <v>30</v>
      </c>
      <c r="V2450" s="3">
        <v>8</v>
      </c>
    </row>
    <row r="2451" spans="1:22" x14ac:dyDescent="0.3">
      <c r="A2451" s="2" t="s">
        <v>5386</v>
      </c>
      <c r="B2451" s="10">
        <v>44753</v>
      </c>
      <c r="C2451" s="22">
        <v>44753</v>
      </c>
      <c r="D2451" s="1" t="s">
        <v>5387</v>
      </c>
      <c r="E2451" s="1" t="s">
        <v>1036</v>
      </c>
      <c r="F2451" s="1">
        <v>31</v>
      </c>
      <c r="G2451" s="1" t="s">
        <v>68</v>
      </c>
      <c r="H2451" s="1" t="s">
        <v>35</v>
      </c>
      <c r="I2451" s="1" t="s">
        <v>36</v>
      </c>
      <c r="J2451" s="1" t="s">
        <v>127</v>
      </c>
      <c r="K2451" s="1" t="s">
        <v>128</v>
      </c>
      <c r="L2451" s="1">
        <v>8</v>
      </c>
      <c r="M2451" s="13">
        <v>38458.65</v>
      </c>
      <c r="N2451" s="15">
        <v>0.01</v>
      </c>
      <c r="O2451" s="13">
        <v>393796.17</v>
      </c>
      <c r="P2451" s="13">
        <v>61743.21</v>
      </c>
      <c r="Q2451" s="13">
        <v>78.22</v>
      </c>
      <c r="R2451" s="1" t="s">
        <v>78</v>
      </c>
      <c r="S2451" s="1">
        <v>3</v>
      </c>
      <c r="T2451" s="1" t="b">
        <v>1</v>
      </c>
      <c r="U2451" s="1" t="s">
        <v>30</v>
      </c>
      <c r="V2451" s="3">
        <v>6</v>
      </c>
    </row>
    <row r="2452" spans="1:22" x14ac:dyDescent="0.3">
      <c r="A2452" s="2" t="s">
        <v>5388</v>
      </c>
      <c r="B2452" s="10">
        <v>44018</v>
      </c>
      <c r="C2452" s="22">
        <v>44018</v>
      </c>
      <c r="D2452" s="1" t="s">
        <v>5389</v>
      </c>
      <c r="E2452" s="1" t="s">
        <v>42</v>
      </c>
      <c r="F2452" s="1">
        <v>30</v>
      </c>
      <c r="G2452" s="1" t="s">
        <v>68</v>
      </c>
      <c r="H2452" s="1" t="s">
        <v>35</v>
      </c>
      <c r="I2452" s="1" t="s">
        <v>36</v>
      </c>
      <c r="J2452" s="1" t="s">
        <v>127</v>
      </c>
      <c r="K2452" s="1" t="s">
        <v>196</v>
      </c>
      <c r="L2452" s="1">
        <v>6</v>
      </c>
      <c r="M2452" s="13">
        <v>65523.97</v>
      </c>
      <c r="N2452" s="15">
        <v>0.22</v>
      </c>
      <c r="O2452" s="13">
        <v>395580.05</v>
      </c>
      <c r="P2452" s="13">
        <v>39810.19</v>
      </c>
      <c r="Q2452" s="13">
        <v>79</v>
      </c>
      <c r="R2452" s="1" t="s">
        <v>64</v>
      </c>
      <c r="S2452" s="1">
        <v>1</v>
      </c>
      <c r="T2452" s="1" t="b">
        <v>0</v>
      </c>
      <c r="U2452" s="1" t="s">
        <v>39</v>
      </c>
      <c r="V2452" s="3">
        <v>7</v>
      </c>
    </row>
    <row r="2453" spans="1:22" x14ac:dyDescent="0.3">
      <c r="A2453" s="2" t="s">
        <v>5390</v>
      </c>
      <c r="B2453" s="10">
        <v>44315</v>
      </c>
      <c r="C2453" s="22">
        <v>44315</v>
      </c>
      <c r="D2453" s="1" t="s">
        <v>5391</v>
      </c>
      <c r="E2453" s="1" t="s">
        <v>272</v>
      </c>
      <c r="F2453" s="1">
        <v>24</v>
      </c>
      <c r="G2453" s="1" t="s">
        <v>24</v>
      </c>
      <c r="H2453" s="1" t="s">
        <v>35</v>
      </c>
      <c r="I2453" s="1" t="s">
        <v>36</v>
      </c>
      <c r="J2453" s="1" t="s">
        <v>76</v>
      </c>
      <c r="K2453" s="1" t="s">
        <v>207</v>
      </c>
      <c r="L2453" s="1">
        <v>5</v>
      </c>
      <c r="M2453" s="13">
        <v>1564.77</v>
      </c>
      <c r="N2453" s="15">
        <v>0.08</v>
      </c>
      <c r="O2453" s="13">
        <v>9104.3799999999992</v>
      </c>
      <c r="P2453" s="13">
        <v>2408.11</v>
      </c>
      <c r="Q2453" s="13">
        <v>46.89</v>
      </c>
      <c r="R2453" s="1" t="s">
        <v>78</v>
      </c>
      <c r="S2453" s="1">
        <v>2</v>
      </c>
      <c r="T2453" s="1" t="b">
        <v>0</v>
      </c>
      <c r="U2453" s="1" t="s">
        <v>39</v>
      </c>
      <c r="V2453" s="3">
        <v>4</v>
      </c>
    </row>
    <row r="2454" spans="1:22" x14ac:dyDescent="0.3">
      <c r="A2454" s="2" t="s">
        <v>5392</v>
      </c>
      <c r="B2454" s="10">
        <v>44563</v>
      </c>
      <c r="C2454" s="22">
        <v>44563</v>
      </c>
      <c r="D2454" s="1" t="s">
        <v>5393</v>
      </c>
      <c r="E2454" s="1" t="s">
        <v>390</v>
      </c>
      <c r="F2454" s="1">
        <v>36</v>
      </c>
      <c r="G2454" s="1" t="s">
        <v>34</v>
      </c>
      <c r="H2454" s="1" t="s">
        <v>74</v>
      </c>
      <c r="I2454" s="1" t="s">
        <v>136</v>
      </c>
      <c r="J2454" s="1" t="s">
        <v>127</v>
      </c>
      <c r="K2454" s="1" t="s">
        <v>196</v>
      </c>
      <c r="L2454" s="1">
        <v>6</v>
      </c>
      <c r="M2454" s="13">
        <v>72040.03</v>
      </c>
      <c r="N2454" s="15">
        <v>0.01</v>
      </c>
      <c r="O2454" s="13">
        <v>368787.75</v>
      </c>
      <c r="P2454" s="13">
        <v>39292.14</v>
      </c>
      <c r="Q2454" s="13">
        <v>53.76</v>
      </c>
      <c r="R2454" s="1" t="s">
        <v>64</v>
      </c>
      <c r="S2454" s="1">
        <v>5</v>
      </c>
      <c r="T2454" s="1" t="b">
        <v>0</v>
      </c>
      <c r="U2454" s="1" t="s">
        <v>137</v>
      </c>
      <c r="V2454" s="3">
        <v>9</v>
      </c>
    </row>
    <row r="2455" spans="1:22" x14ac:dyDescent="0.3">
      <c r="A2455" s="2" t="s">
        <v>5394</v>
      </c>
      <c r="B2455" s="10">
        <v>44459</v>
      </c>
      <c r="C2455" s="22">
        <v>44459</v>
      </c>
      <c r="D2455" s="1" t="s">
        <v>5395</v>
      </c>
      <c r="E2455" s="1" t="s">
        <v>96</v>
      </c>
      <c r="F2455" s="1">
        <v>45</v>
      </c>
      <c r="G2455" s="1" t="s">
        <v>24</v>
      </c>
      <c r="H2455" s="1" t="s">
        <v>74</v>
      </c>
      <c r="I2455" s="1" t="s">
        <v>101</v>
      </c>
      <c r="J2455" s="1" t="s">
        <v>127</v>
      </c>
      <c r="K2455" s="1" t="s">
        <v>308</v>
      </c>
      <c r="L2455" s="1">
        <v>6</v>
      </c>
      <c r="M2455" s="13">
        <v>15447.02</v>
      </c>
      <c r="N2455" s="15">
        <v>0.04</v>
      </c>
      <c r="O2455" s="13">
        <v>95920.86</v>
      </c>
      <c r="P2455" s="13">
        <v>5842.37</v>
      </c>
      <c r="Q2455" s="13">
        <v>80.209999999999994</v>
      </c>
      <c r="R2455" s="1" t="s">
        <v>64</v>
      </c>
      <c r="S2455" s="1">
        <v>3</v>
      </c>
      <c r="T2455" s="1" t="b">
        <v>0</v>
      </c>
      <c r="U2455" s="1" t="s">
        <v>58</v>
      </c>
      <c r="V2455" s="3">
        <v>5</v>
      </c>
    </row>
    <row r="2456" spans="1:22" x14ac:dyDescent="0.3">
      <c r="A2456" s="2" t="s">
        <v>5396</v>
      </c>
      <c r="B2456" s="10">
        <v>43911</v>
      </c>
      <c r="C2456" s="22">
        <v>43911</v>
      </c>
      <c r="D2456" s="1" t="s">
        <v>5397</v>
      </c>
      <c r="E2456" s="1" t="s">
        <v>855</v>
      </c>
      <c r="F2456" s="1">
        <v>61</v>
      </c>
      <c r="G2456" s="1" t="s">
        <v>34</v>
      </c>
      <c r="H2456" s="1" t="s">
        <v>82</v>
      </c>
      <c r="I2456" s="1" t="s">
        <v>293</v>
      </c>
      <c r="J2456" s="1" t="s">
        <v>146</v>
      </c>
      <c r="K2456" s="1" t="s">
        <v>484</v>
      </c>
      <c r="L2456" s="1">
        <v>9</v>
      </c>
      <c r="M2456" s="13">
        <v>2019.71</v>
      </c>
      <c r="N2456" s="15">
        <v>0.21</v>
      </c>
      <c r="O2456" s="13">
        <v>14642.06</v>
      </c>
      <c r="P2456" s="13">
        <v>3698.35</v>
      </c>
      <c r="Q2456" s="13">
        <v>55.65</v>
      </c>
      <c r="R2456" s="1" t="s">
        <v>78</v>
      </c>
      <c r="S2456" s="1">
        <v>2</v>
      </c>
      <c r="T2456" s="1" t="b">
        <v>0</v>
      </c>
      <c r="U2456" s="1" t="s">
        <v>39</v>
      </c>
      <c r="V2456" s="3">
        <v>3</v>
      </c>
    </row>
    <row r="2457" spans="1:22" x14ac:dyDescent="0.3">
      <c r="A2457" s="2" t="s">
        <v>5398</v>
      </c>
      <c r="B2457" s="10">
        <v>44581</v>
      </c>
      <c r="C2457" s="22">
        <v>44581</v>
      </c>
      <c r="D2457" s="1" t="s">
        <v>5399</v>
      </c>
      <c r="E2457" s="1" t="s">
        <v>1166</v>
      </c>
      <c r="F2457" s="1">
        <v>56</v>
      </c>
      <c r="G2457" s="1" t="s">
        <v>24</v>
      </c>
      <c r="H2457" s="1" t="s">
        <v>35</v>
      </c>
      <c r="I2457" s="1" t="s">
        <v>49</v>
      </c>
      <c r="J2457" s="1" t="s">
        <v>44</v>
      </c>
      <c r="K2457" s="1" t="s">
        <v>45</v>
      </c>
      <c r="L2457" s="1">
        <v>2</v>
      </c>
      <c r="M2457" s="13">
        <v>27991.06</v>
      </c>
      <c r="N2457" s="15">
        <v>0.24</v>
      </c>
      <c r="O2457" s="13">
        <v>34746.07</v>
      </c>
      <c r="P2457" s="13">
        <v>12370.47</v>
      </c>
      <c r="Q2457" s="13">
        <v>77.48</v>
      </c>
      <c r="R2457" s="1" t="s">
        <v>51</v>
      </c>
      <c r="S2457" s="1">
        <v>2</v>
      </c>
      <c r="T2457" s="1" t="b">
        <v>1</v>
      </c>
      <c r="U2457" s="1" t="s">
        <v>30</v>
      </c>
      <c r="V2457" s="3">
        <v>6</v>
      </c>
    </row>
    <row r="2458" spans="1:22" x14ac:dyDescent="0.3">
      <c r="A2458" s="2" t="s">
        <v>5400</v>
      </c>
      <c r="B2458" s="10">
        <v>44946</v>
      </c>
      <c r="C2458" s="22">
        <v>44946</v>
      </c>
      <c r="D2458" s="1" t="s">
        <v>5401</v>
      </c>
      <c r="E2458" s="1" t="s">
        <v>716</v>
      </c>
      <c r="F2458" s="1">
        <v>24</v>
      </c>
      <c r="G2458" s="1" t="s">
        <v>24</v>
      </c>
      <c r="H2458" s="1" t="s">
        <v>25</v>
      </c>
      <c r="I2458" s="1" t="s">
        <v>55</v>
      </c>
      <c r="J2458" s="1" t="s">
        <v>62</v>
      </c>
      <c r="K2458" s="1" t="s">
        <v>151</v>
      </c>
      <c r="L2458" s="1">
        <v>9</v>
      </c>
      <c r="M2458" s="13">
        <v>493.03</v>
      </c>
      <c r="N2458" s="15">
        <v>0.21</v>
      </c>
      <c r="O2458" s="13">
        <v>3326.77</v>
      </c>
      <c r="P2458" s="13">
        <v>1860.71</v>
      </c>
      <c r="Q2458" s="13">
        <v>83.24</v>
      </c>
      <c r="R2458" s="1" t="s">
        <v>29</v>
      </c>
      <c r="S2458" s="1">
        <v>3</v>
      </c>
      <c r="T2458" s="1" t="b">
        <v>0</v>
      </c>
      <c r="U2458" s="1" t="s">
        <v>39</v>
      </c>
      <c r="V2458" s="3">
        <v>8</v>
      </c>
    </row>
    <row r="2459" spans="1:22" x14ac:dyDescent="0.3">
      <c r="A2459" s="2" t="s">
        <v>5402</v>
      </c>
      <c r="B2459" s="10">
        <v>45289</v>
      </c>
      <c r="C2459" s="22">
        <v>45289</v>
      </c>
      <c r="D2459" s="1" t="s">
        <v>5403</v>
      </c>
      <c r="E2459" s="1" t="s">
        <v>1476</v>
      </c>
      <c r="F2459" s="1">
        <v>25</v>
      </c>
      <c r="G2459" s="1" t="s">
        <v>34</v>
      </c>
      <c r="H2459" s="1" t="s">
        <v>74</v>
      </c>
      <c r="I2459" s="1" t="s">
        <v>136</v>
      </c>
      <c r="J2459" s="1" t="s">
        <v>44</v>
      </c>
      <c r="K2459" s="1" t="s">
        <v>45</v>
      </c>
      <c r="L2459" s="1">
        <v>10</v>
      </c>
      <c r="M2459" s="13">
        <v>26482.959999999999</v>
      </c>
      <c r="N2459" s="15">
        <v>0.39</v>
      </c>
      <c r="O2459" s="13">
        <v>159573.04</v>
      </c>
      <c r="P2459" s="13">
        <v>39420.71</v>
      </c>
      <c r="Q2459" s="13">
        <v>31.73</v>
      </c>
      <c r="R2459" s="1" t="s">
        <v>64</v>
      </c>
      <c r="S2459" s="1">
        <v>1</v>
      </c>
      <c r="T2459" s="1" t="b">
        <v>0</v>
      </c>
      <c r="U2459" s="1" t="s">
        <v>39</v>
      </c>
      <c r="V2459" s="3">
        <v>9</v>
      </c>
    </row>
    <row r="2460" spans="1:22" x14ac:dyDescent="0.3">
      <c r="A2460" s="2" t="s">
        <v>5404</v>
      </c>
      <c r="B2460" s="10">
        <v>44190</v>
      </c>
      <c r="C2460" s="22">
        <v>44190</v>
      </c>
      <c r="D2460" s="1" t="s">
        <v>5405</v>
      </c>
      <c r="E2460" s="1" t="s">
        <v>1057</v>
      </c>
      <c r="F2460" s="1">
        <v>26</v>
      </c>
      <c r="G2460" s="1" t="s">
        <v>68</v>
      </c>
      <c r="H2460" s="1" t="s">
        <v>35</v>
      </c>
      <c r="I2460" s="1" t="s">
        <v>36</v>
      </c>
      <c r="J2460" s="1" t="s">
        <v>27</v>
      </c>
      <c r="K2460" s="1" t="s">
        <v>400</v>
      </c>
      <c r="L2460" s="1">
        <v>7</v>
      </c>
      <c r="M2460" s="13">
        <v>79.95</v>
      </c>
      <c r="N2460" s="15">
        <v>0.03</v>
      </c>
      <c r="O2460" s="13">
        <v>404.31</v>
      </c>
      <c r="P2460" s="13">
        <v>30.99</v>
      </c>
      <c r="Q2460" s="13">
        <v>45.31</v>
      </c>
      <c r="R2460" s="1" t="s">
        <v>51</v>
      </c>
      <c r="S2460" s="1">
        <v>2</v>
      </c>
      <c r="T2460" s="1" t="b">
        <v>0</v>
      </c>
      <c r="U2460" s="1" t="s">
        <v>137</v>
      </c>
      <c r="V2460" s="3">
        <v>2</v>
      </c>
    </row>
    <row r="2461" spans="1:22" x14ac:dyDescent="0.3">
      <c r="A2461" s="2" t="s">
        <v>5406</v>
      </c>
      <c r="B2461" s="10">
        <v>44439</v>
      </c>
      <c r="C2461" s="22">
        <v>44439</v>
      </c>
      <c r="D2461" s="1" t="s">
        <v>5407</v>
      </c>
      <c r="E2461" s="1" t="s">
        <v>505</v>
      </c>
      <c r="F2461" s="1">
        <v>31</v>
      </c>
      <c r="G2461" s="1" t="s">
        <v>68</v>
      </c>
      <c r="H2461" s="1" t="s">
        <v>74</v>
      </c>
      <c r="I2461" s="1" t="s">
        <v>192</v>
      </c>
      <c r="J2461" s="1" t="s">
        <v>44</v>
      </c>
      <c r="K2461" s="1" t="s">
        <v>117</v>
      </c>
      <c r="L2461" s="1">
        <v>2</v>
      </c>
      <c r="M2461" s="13">
        <v>11559.97</v>
      </c>
      <c r="N2461" s="15">
        <v>0.37</v>
      </c>
      <c r="O2461" s="13">
        <v>19813.12</v>
      </c>
      <c r="P2461" s="13">
        <v>6537.8</v>
      </c>
      <c r="Q2461" s="13">
        <v>64.47</v>
      </c>
      <c r="R2461" s="1" t="s">
        <v>70</v>
      </c>
      <c r="S2461" s="1">
        <v>5</v>
      </c>
      <c r="T2461" s="1" t="b">
        <v>0</v>
      </c>
      <c r="U2461" s="1" t="s">
        <v>39</v>
      </c>
      <c r="V2461" s="3">
        <v>6</v>
      </c>
    </row>
    <row r="2462" spans="1:22" x14ac:dyDescent="0.3">
      <c r="A2462" s="2" t="s">
        <v>5408</v>
      </c>
      <c r="B2462" s="10">
        <v>44500</v>
      </c>
      <c r="C2462" s="22">
        <v>44500</v>
      </c>
      <c r="D2462" s="1" t="s">
        <v>5409</v>
      </c>
      <c r="E2462" s="1" t="s">
        <v>1096</v>
      </c>
      <c r="F2462" s="1">
        <v>43</v>
      </c>
      <c r="G2462" s="1" t="s">
        <v>34</v>
      </c>
      <c r="H2462" s="1" t="s">
        <v>74</v>
      </c>
      <c r="I2462" s="1" t="s">
        <v>192</v>
      </c>
      <c r="J2462" s="1" t="s">
        <v>37</v>
      </c>
      <c r="K2462" s="1" t="s">
        <v>38</v>
      </c>
      <c r="L2462" s="1">
        <v>8</v>
      </c>
      <c r="M2462" s="13">
        <v>902.95</v>
      </c>
      <c r="N2462" s="15">
        <v>0.02</v>
      </c>
      <c r="O2462" s="13">
        <v>6609.67</v>
      </c>
      <c r="P2462" s="13">
        <v>3273.83</v>
      </c>
      <c r="Q2462" s="13">
        <v>49.46</v>
      </c>
      <c r="R2462" s="1" t="s">
        <v>29</v>
      </c>
      <c r="S2462" s="1">
        <v>5</v>
      </c>
      <c r="T2462" s="1" t="b">
        <v>0</v>
      </c>
      <c r="U2462" s="1" t="s">
        <v>39</v>
      </c>
      <c r="V2462" s="3">
        <v>4</v>
      </c>
    </row>
    <row r="2463" spans="1:22" x14ac:dyDescent="0.3">
      <c r="A2463" s="2" t="s">
        <v>5410</v>
      </c>
      <c r="B2463" s="10">
        <v>45416</v>
      </c>
      <c r="C2463" s="22">
        <v>45416</v>
      </c>
      <c r="D2463" s="1" t="s">
        <v>5411</v>
      </c>
      <c r="E2463" s="1" t="s">
        <v>950</v>
      </c>
      <c r="F2463" s="1">
        <v>33</v>
      </c>
      <c r="G2463" s="1" t="s">
        <v>24</v>
      </c>
      <c r="H2463" s="1" t="s">
        <v>82</v>
      </c>
      <c r="I2463" s="1" t="s">
        <v>83</v>
      </c>
      <c r="J2463" s="1" t="s">
        <v>76</v>
      </c>
      <c r="K2463" s="1" t="s">
        <v>122</v>
      </c>
      <c r="L2463" s="1">
        <v>5</v>
      </c>
      <c r="M2463" s="13">
        <v>3459.1</v>
      </c>
      <c r="N2463" s="15">
        <v>0.09</v>
      </c>
      <c r="O2463" s="13">
        <v>5625.2</v>
      </c>
      <c r="P2463" s="13">
        <v>2101.1</v>
      </c>
      <c r="Q2463" s="13">
        <v>59.55</v>
      </c>
      <c r="R2463" s="1" t="s">
        <v>29</v>
      </c>
      <c r="S2463" s="1">
        <v>4</v>
      </c>
      <c r="T2463" s="1" t="b">
        <v>0</v>
      </c>
      <c r="U2463" s="1" t="s">
        <v>39</v>
      </c>
      <c r="V2463" s="3">
        <v>7</v>
      </c>
    </row>
    <row r="2464" spans="1:22" x14ac:dyDescent="0.3">
      <c r="A2464" s="2" t="s">
        <v>5412</v>
      </c>
      <c r="B2464" s="10">
        <v>45634</v>
      </c>
      <c r="C2464" s="22">
        <v>45634</v>
      </c>
      <c r="D2464" s="1" t="s">
        <v>2011</v>
      </c>
      <c r="E2464" s="1" t="s">
        <v>256</v>
      </c>
      <c r="F2464" s="1">
        <v>24</v>
      </c>
      <c r="G2464" s="1" t="s">
        <v>34</v>
      </c>
      <c r="H2464" s="1" t="s">
        <v>35</v>
      </c>
      <c r="I2464" s="1" t="s">
        <v>106</v>
      </c>
      <c r="J2464" s="1" t="s">
        <v>27</v>
      </c>
      <c r="K2464" s="1" t="s">
        <v>97</v>
      </c>
      <c r="L2464" s="1">
        <v>10</v>
      </c>
      <c r="M2464" s="13">
        <v>390.96</v>
      </c>
      <c r="N2464" s="15">
        <v>0.37</v>
      </c>
      <c r="O2464" s="13">
        <v>2025.46</v>
      </c>
      <c r="P2464" s="13">
        <v>195.36</v>
      </c>
      <c r="Q2464" s="13">
        <v>83.81</v>
      </c>
      <c r="R2464" s="1" t="s">
        <v>70</v>
      </c>
      <c r="S2464" s="1">
        <v>2</v>
      </c>
      <c r="T2464" s="1" t="b">
        <v>0</v>
      </c>
      <c r="U2464" s="1" t="s">
        <v>39</v>
      </c>
      <c r="V2464" s="3">
        <v>1</v>
      </c>
    </row>
    <row r="2465" spans="1:22" x14ac:dyDescent="0.3">
      <c r="A2465" s="2" t="s">
        <v>5413</v>
      </c>
      <c r="B2465" s="10">
        <v>44545</v>
      </c>
      <c r="C2465" s="22">
        <v>44545</v>
      </c>
      <c r="D2465" s="1" t="s">
        <v>5414</v>
      </c>
      <c r="E2465" s="1" t="s">
        <v>237</v>
      </c>
      <c r="F2465" s="1">
        <v>45</v>
      </c>
      <c r="G2465" s="1" t="s">
        <v>68</v>
      </c>
      <c r="H2465" s="1" t="s">
        <v>25</v>
      </c>
      <c r="I2465" s="1" t="s">
        <v>26</v>
      </c>
      <c r="J2465" s="1" t="s">
        <v>37</v>
      </c>
      <c r="K2465" s="1" t="s">
        <v>38</v>
      </c>
      <c r="L2465" s="1">
        <v>8</v>
      </c>
      <c r="M2465" s="13">
        <v>1478.6</v>
      </c>
      <c r="N2465" s="15">
        <v>7.0000000000000007E-2</v>
      </c>
      <c r="O2465" s="13">
        <v>8581.43</v>
      </c>
      <c r="P2465" s="13">
        <v>3617.51</v>
      </c>
      <c r="Q2465" s="13">
        <v>72.319999999999993</v>
      </c>
      <c r="R2465" s="1" t="s">
        <v>78</v>
      </c>
      <c r="S2465" s="1">
        <v>2</v>
      </c>
      <c r="T2465" s="1" t="b">
        <v>0</v>
      </c>
      <c r="U2465" s="1" t="s">
        <v>197</v>
      </c>
      <c r="V2465" s="3">
        <v>8</v>
      </c>
    </row>
    <row r="2466" spans="1:22" x14ac:dyDescent="0.3">
      <c r="A2466" s="2" t="s">
        <v>5415</v>
      </c>
      <c r="B2466" s="10">
        <v>45641</v>
      </c>
      <c r="C2466" s="22">
        <v>45641</v>
      </c>
      <c r="D2466" s="1" t="s">
        <v>5416</v>
      </c>
      <c r="E2466" s="1" t="s">
        <v>575</v>
      </c>
      <c r="F2466" s="1">
        <v>34</v>
      </c>
      <c r="G2466" s="1" t="s">
        <v>68</v>
      </c>
      <c r="H2466" s="1" t="s">
        <v>35</v>
      </c>
      <c r="I2466" s="1" t="s">
        <v>49</v>
      </c>
      <c r="J2466" s="1" t="s">
        <v>146</v>
      </c>
      <c r="K2466" s="1" t="s">
        <v>217</v>
      </c>
      <c r="L2466" s="1">
        <v>2</v>
      </c>
      <c r="M2466" s="13">
        <v>10972.39</v>
      </c>
      <c r="N2466" s="15">
        <v>0.3</v>
      </c>
      <c r="O2466" s="13">
        <v>11894.53</v>
      </c>
      <c r="P2466" s="13">
        <v>2981.58</v>
      </c>
      <c r="Q2466" s="13">
        <v>43.93</v>
      </c>
      <c r="R2466" s="1" t="s">
        <v>51</v>
      </c>
      <c r="S2466" s="1">
        <v>2</v>
      </c>
      <c r="T2466" s="1" t="b">
        <v>0</v>
      </c>
      <c r="U2466" s="1" t="s">
        <v>39</v>
      </c>
      <c r="V2466" s="3">
        <v>10</v>
      </c>
    </row>
    <row r="2467" spans="1:22" x14ac:dyDescent="0.3">
      <c r="A2467" s="2" t="s">
        <v>5417</v>
      </c>
      <c r="B2467" s="10">
        <v>44934</v>
      </c>
      <c r="C2467" s="22">
        <v>44934</v>
      </c>
      <c r="D2467" s="1" t="s">
        <v>5418</v>
      </c>
      <c r="E2467" s="1" t="s">
        <v>635</v>
      </c>
      <c r="F2467" s="1">
        <v>14</v>
      </c>
      <c r="G2467" s="1" t="s">
        <v>68</v>
      </c>
      <c r="H2467" s="1" t="s">
        <v>74</v>
      </c>
      <c r="I2467" s="1" t="s">
        <v>75</v>
      </c>
      <c r="J2467" s="1" t="s">
        <v>62</v>
      </c>
      <c r="K2467" s="1" t="s">
        <v>283</v>
      </c>
      <c r="L2467" s="1">
        <v>5</v>
      </c>
      <c r="M2467" s="13">
        <v>1137.99</v>
      </c>
      <c r="N2467" s="15">
        <v>0.18</v>
      </c>
      <c r="O2467" s="13">
        <v>3823.42</v>
      </c>
      <c r="P2467" s="13">
        <v>1103.46</v>
      </c>
      <c r="Q2467" s="13">
        <v>47.49</v>
      </c>
      <c r="R2467" s="1" t="s">
        <v>70</v>
      </c>
      <c r="S2467" s="1">
        <v>3</v>
      </c>
      <c r="T2467" s="1" t="b">
        <v>0</v>
      </c>
      <c r="U2467" s="1" t="s">
        <v>39</v>
      </c>
      <c r="V2467" s="3">
        <v>6</v>
      </c>
    </row>
    <row r="2468" spans="1:22" x14ac:dyDescent="0.3">
      <c r="A2468" s="2" t="s">
        <v>5419</v>
      </c>
      <c r="B2468" s="10">
        <v>45654</v>
      </c>
      <c r="C2468" s="22">
        <v>45654</v>
      </c>
      <c r="D2468" s="1" t="s">
        <v>5420</v>
      </c>
      <c r="E2468" s="1" t="s">
        <v>167</v>
      </c>
      <c r="F2468" s="1">
        <v>25</v>
      </c>
      <c r="G2468" s="1" t="s">
        <v>68</v>
      </c>
      <c r="H2468" s="1" t="s">
        <v>82</v>
      </c>
      <c r="I2468" s="1" t="s">
        <v>83</v>
      </c>
      <c r="J2468" s="1" t="s">
        <v>37</v>
      </c>
      <c r="K2468" s="1" t="s">
        <v>454</v>
      </c>
      <c r="L2468" s="1">
        <v>5</v>
      </c>
      <c r="M2468" s="13">
        <v>724.63</v>
      </c>
      <c r="N2468" s="15">
        <v>0.1</v>
      </c>
      <c r="O2468" s="13">
        <v>3163.89</v>
      </c>
      <c r="P2468" s="13">
        <v>1918.69</v>
      </c>
      <c r="Q2468" s="13">
        <v>48.49</v>
      </c>
      <c r="R2468" s="1" t="s">
        <v>70</v>
      </c>
      <c r="S2468" s="1">
        <v>5</v>
      </c>
      <c r="T2468" s="1" t="b">
        <v>0</v>
      </c>
      <c r="U2468" s="1" t="s">
        <v>39</v>
      </c>
      <c r="V2468" s="3">
        <v>6</v>
      </c>
    </row>
    <row r="2469" spans="1:22" x14ac:dyDescent="0.3">
      <c r="A2469" s="2" t="s">
        <v>5421</v>
      </c>
      <c r="B2469" s="10">
        <v>44883</v>
      </c>
      <c r="C2469" s="22">
        <v>44883</v>
      </c>
      <c r="D2469" s="1" t="s">
        <v>5422</v>
      </c>
      <c r="E2469" s="1" t="s">
        <v>203</v>
      </c>
      <c r="F2469" s="1">
        <v>33</v>
      </c>
      <c r="G2469" s="1" t="s">
        <v>24</v>
      </c>
      <c r="H2469" s="1" t="s">
        <v>25</v>
      </c>
      <c r="I2469" s="1" t="s">
        <v>55</v>
      </c>
      <c r="J2469" s="1" t="s">
        <v>76</v>
      </c>
      <c r="K2469" s="1" t="s">
        <v>113</v>
      </c>
      <c r="L2469" s="1">
        <v>4</v>
      </c>
      <c r="M2469" s="13">
        <v>2693.03</v>
      </c>
      <c r="N2469" s="15">
        <v>0.24</v>
      </c>
      <c r="O2469" s="13">
        <v>8454.01</v>
      </c>
      <c r="P2469" s="13">
        <v>2808.17</v>
      </c>
      <c r="Q2469" s="13">
        <v>71.64</v>
      </c>
      <c r="R2469" s="1" t="s">
        <v>29</v>
      </c>
      <c r="S2469" s="1">
        <v>3</v>
      </c>
      <c r="T2469" s="1" t="b">
        <v>0</v>
      </c>
      <c r="U2469" s="1" t="s">
        <v>39</v>
      </c>
      <c r="V2469" s="3">
        <v>3</v>
      </c>
    </row>
    <row r="2470" spans="1:22" x14ac:dyDescent="0.3">
      <c r="A2470" s="2" t="s">
        <v>5423</v>
      </c>
      <c r="B2470" s="10">
        <v>43852</v>
      </c>
      <c r="C2470" s="22">
        <v>43852</v>
      </c>
      <c r="D2470" s="1" t="s">
        <v>5424</v>
      </c>
      <c r="E2470" s="1" t="s">
        <v>429</v>
      </c>
      <c r="F2470" s="1">
        <v>17</v>
      </c>
      <c r="G2470" s="1" t="s">
        <v>391</v>
      </c>
      <c r="H2470" s="1" t="s">
        <v>82</v>
      </c>
      <c r="I2470" s="1" t="s">
        <v>293</v>
      </c>
      <c r="J2470" s="1" t="s">
        <v>44</v>
      </c>
      <c r="K2470" s="1" t="s">
        <v>45</v>
      </c>
      <c r="L2470" s="1">
        <v>8</v>
      </c>
      <c r="M2470" s="13">
        <v>16934.64</v>
      </c>
      <c r="N2470" s="15">
        <v>0.35</v>
      </c>
      <c r="O2470" s="13">
        <v>65194.48</v>
      </c>
      <c r="P2470" s="13">
        <v>16163.86</v>
      </c>
      <c r="Q2470" s="13">
        <v>73.23</v>
      </c>
      <c r="R2470" s="1" t="s">
        <v>29</v>
      </c>
      <c r="S2470" s="1">
        <v>5</v>
      </c>
      <c r="T2470" s="1" t="b">
        <v>1</v>
      </c>
      <c r="U2470" s="1" t="s">
        <v>30</v>
      </c>
      <c r="V2470" s="3">
        <v>4</v>
      </c>
    </row>
    <row r="2471" spans="1:22" x14ac:dyDescent="0.3">
      <c r="A2471" s="2" t="s">
        <v>5425</v>
      </c>
      <c r="B2471" s="10">
        <v>44062</v>
      </c>
      <c r="C2471" s="22">
        <v>44062</v>
      </c>
      <c r="D2471" s="1" t="s">
        <v>5426</v>
      </c>
      <c r="E2471" s="1" t="s">
        <v>594</v>
      </c>
      <c r="F2471" s="1">
        <v>24</v>
      </c>
      <c r="G2471" s="1" t="s">
        <v>68</v>
      </c>
      <c r="H2471" s="1" t="s">
        <v>74</v>
      </c>
      <c r="I2471" s="1" t="s">
        <v>136</v>
      </c>
      <c r="J2471" s="1" t="s">
        <v>27</v>
      </c>
      <c r="K2471" s="1" t="s">
        <v>450</v>
      </c>
      <c r="L2471" s="1">
        <v>9</v>
      </c>
      <c r="M2471" s="13">
        <v>418.36</v>
      </c>
      <c r="N2471" s="15">
        <v>0.05</v>
      </c>
      <c r="O2471" s="13">
        <v>3968.83</v>
      </c>
      <c r="P2471" s="13">
        <v>273.7</v>
      </c>
      <c r="Q2471" s="13">
        <v>69.239999999999995</v>
      </c>
      <c r="R2471" s="1" t="s">
        <v>57</v>
      </c>
      <c r="S2471" s="1">
        <v>3</v>
      </c>
      <c r="T2471" s="1" t="b">
        <v>0</v>
      </c>
      <c r="U2471" s="1" t="s">
        <v>39</v>
      </c>
      <c r="V2471" s="3">
        <v>7</v>
      </c>
    </row>
    <row r="2472" spans="1:22" x14ac:dyDescent="0.3">
      <c r="A2472" s="2" t="s">
        <v>5427</v>
      </c>
      <c r="B2472" s="10">
        <v>44671</v>
      </c>
      <c r="C2472" s="22">
        <v>44671</v>
      </c>
      <c r="D2472" s="1" t="s">
        <v>5428</v>
      </c>
      <c r="E2472" s="1" t="s">
        <v>861</v>
      </c>
      <c r="F2472" s="1">
        <v>46</v>
      </c>
      <c r="G2472" s="1" t="s">
        <v>24</v>
      </c>
      <c r="H2472" s="1" t="s">
        <v>82</v>
      </c>
      <c r="I2472" s="1" t="s">
        <v>293</v>
      </c>
      <c r="J2472" s="1" t="s">
        <v>62</v>
      </c>
      <c r="K2472" s="1" t="s">
        <v>570</v>
      </c>
      <c r="L2472" s="1">
        <v>2</v>
      </c>
      <c r="M2472" s="13">
        <v>231.44</v>
      </c>
      <c r="N2472" s="15">
        <v>0.36</v>
      </c>
      <c r="O2472" s="13">
        <v>417.99</v>
      </c>
      <c r="P2472" s="13">
        <v>155.21</v>
      </c>
      <c r="Q2472" s="13">
        <v>103.55</v>
      </c>
      <c r="R2472" s="1" t="s">
        <v>51</v>
      </c>
      <c r="S2472" s="1">
        <v>3</v>
      </c>
      <c r="T2472" s="1" t="b">
        <v>0</v>
      </c>
      <c r="U2472" s="1" t="s">
        <v>84</v>
      </c>
      <c r="V2472" s="3">
        <v>8</v>
      </c>
    </row>
    <row r="2473" spans="1:22" x14ac:dyDescent="0.3">
      <c r="A2473" s="2" t="s">
        <v>5429</v>
      </c>
      <c r="B2473" s="10">
        <v>45648</v>
      </c>
      <c r="C2473" s="22">
        <v>45648</v>
      </c>
      <c r="D2473" s="1" t="s">
        <v>5430</v>
      </c>
      <c r="E2473" s="1" t="s">
        <v>708</v>
      </c>
      <c r="F2473" s="1">
        <v>28</v>
      </c>
      <c r="G2473" s="1" t="s">
        <v>68</v>
      </c>
      <c r="H2473" s="1" t="s">
        <v>25</v>
      </c>
      <c r="I2473" s="1" t="s">
        <v>69</v>
      </c>
      <c r="J2473" s="1" t="s">
        <v>27</v>
      </c>
      <c r="K2473" s="1" t="s">
        <v>28</v>
      </c>
      <c r="L2473" s="1">
        <v>10</v>
      </c>
      <c r="M2473" s="13">
        <v>194.61</v>
      </c>
      <c r="N2473" s="15">
        <v>0.27</v>
      </c>
      <c r="O2473" s="13">
        <v>1329.87</v>
      </c>
      <c r="P2473" s="13">
        <v>143.25</v>
      </c>
      <c r="Q2473" s="13">
        <v>23.86</v>
      </c>
      <c r="R2473" s="1" t="s">
        <v>51</v>
      </c>
      <c r="S2473" s="1">
        <v>2</v>
      </c>
      <c r="T2473" s="1" t="b">
        <v>0</v>
      </c>
      <c r="U2473" s="1" t="s">
        <v>39</v>
      </c>
      <c r="V2473" s="3">
        <v>5</v>
      </c>
    </row>
    <row r="2474" spans="1:22" x14ac:dyDescent="0.3">
      <c r="A2474" s="2" t="s">
        <v>5431</v>
      </c>
      <c r="B2474" s="10">
        <v>45060</v>
      </c>
      <c r="C2474" s="22">
        <v>45060</v>
      </c>
      <c r="D2474" s="1" t="s">
        <v>5432</v>
      </c>
      <c r="E2474" s="1" t="s">
        <v>4129</v>
      </c>
      <c r="F2474" s="1">
        <v>32</v>
      </c>
      <c r="G2474" s="1" t="s">
        <v>68</v>
      </c>
      <c r="H2474" s="1" t="s">
        <v>35</v>
      </c>
      <c r="I2474" s="1" t="s">
        <v>49</v>
      </c>
      <c r="J2474" s="1" t="s">
        <v>37</v>
      </c>
      <c r="K2474" s="1" t="s">
        <v>454</v>
      </c>
      <c r="L2474" s="1">
        <v>3</v>
      </c>
      <c r="M2474" s="13">
        <v>975.85</v>
      </c>
      <c r="N2474" s="15">
        <v>0.14000000000000001</v>
      </c>
      <c r="O2474" s="13">
        <v>3386.22</v>
      </c>
      <c r="P2474" s="13">
        <v>2179.66</v>
      </c>
      <c r="Q2474" s="13">
        <v>87.45</v>
      </c>
      <c r="R2474" s="1" t="s">
        <v>70</v>
      </c>
      <c r="S2474" s="1">
        <v>2</v>
      </c>
      <c r="T2474" s="1" t="b">
        <v>0</v>
      </c>
      <c r="U2474" s="1" t="s">
        <v>137</v>
      </c>
      <c r="V2474" s="3">
        <v>10</v>
      </c>
    </row>
    <row r="2475" spans="1:22" x14ac:dyDescent="0.3">
      <c r="A2475" s="2" t="s">
        <v>5433</v>
      </c>
      <c r="B2475" s="10">
        <v>45349</v>
      </c>
      <c r="C2475" s="22">
        <v>45349</v>
      </c>
      <c r="D2475" s="1" t="s">
        <v>5434</v>
      </c>
      <c r="E2475" s="1" t="s">
        <v>621</v>
      </c>
      <c r="F2475" s="1">
        <v>29</v>
      </c>
      <c r="G2475" s="1" t="s">
        <v>68</v>
      </c>
      <c r="H2475" s="1" t="s">
        <v>35</v>
      </c>
      <c r="I2475" s="1" t="s">
        <v>49</v>
      </c>
      <c r="J2475" s="1" t="s">
        <v>37</v>
      </c>
      <c r="K2475" s="1" t="s">
        <v>102</v>
      </c>
      <c r="L2475" s="1">
        <v>1</v>
      </c>
      <c r="M2475" s="13">
        <v>848.25</v>
      </c>
      <c r="N2475" s="15">
        <v>0.04</v>
      </c>
      <c r="O2475" s="13">
        <v>894.07</v>
      </c>
      <c r="P2475" s="13">
        <v>422.93</v>
      </c>
      <c r="Q2475" s="13">
        <v>74.23</v>
      </c>
      <c r="R2475" s="1" t="s">
        <v>64</v>
      </c>
      <c r="S2475" s="1">
        <v>5</v>
      </c>
      <c r="T2475" s="1" t="b">
        <v>0</v>
      </c>
      <c r="U2475" s="1" t="s">
        <v>39</v>
      </c>
      <c r="V2475" s="3">
        <v>9</v>
      </c>
    </row>
    <row r="2476" spans="1:22" x14ac:dyDescent="0.3">
      <c r="A2476" s="2" t="s">
        <v>5435</v>
      </c>
      <c r="B2476" s="10">
        <v>45345</v>
      </c>
      <c r="C2476" s="22">
        <v>45345</v>
      </c>
      <c r="D2476" s="1" t="s">
        <v>5436</v>
      </c>
      <c r="E2476" s="1" t="s">
        <v>953</v>
      </c>
      <c r="F2476" s="1">
        <v>35</v>
      </c>
      <c r="G2476" s="1" t="s">
        <v>68</v>
      </c>
      <c r="H2476" s="1" t="s">
        <v>25</v>
      </c>
      <c r="I2476" s="1" t="s">
        <v>55</v>
      </c>
      <c r="J2476" s="1" t="s">
        <v>127</v>
      </c>
      <c r="K2476" s="1" t="s">
        <v>196</v>
      </c>
      <c r="L2476" s="1">
        <v>9</v>
      </c>
      <c r="M2476" s="13">
        <v>70923.399999999994</v>
      </c>
      <c r="N2476" s="15">
        <v>0.34</v>
      </c>
      <c r="O2476" s="13">
        <v>506257.71</v>
      </c>
      <c r="P2476" s="13">
        <v>52952.38</v>
      </c>
      <c r="Q2476" s="13">
        <v>42.34</v>
      </c>
      <c r="R2476" s="1" t="s">
        <v>78</v>
      </c>
      <c r="S2476" s="1">
        <v>2</v>
      </c>
      <c r="T2476" s="1" t="b">
        <v>0</v>
      </c>
      <c r="U2476" s="1" t="s">
        <v>39</v>
      </c>
      <c r="V2476" s="3">
        <v>3</v>
      </c>
    </row>
    <row r="2477" spans="1:22" x14ac:dyDescent="0.3">
      <c r="A2477" s="2" t="s">
        <v>5437</v>
      </c>
      <c r="B2477" s="10">
        <v>43877</v>
      </c>
      <c r="C2477" s="22">
        <v>43877</v>
      </c>
      <c r="D2477" s="1" t="s">
        <v>5438</v>
      </c>
      <c r="E2477" s="1" t="s">
        <v>247</v>
      </c>
      <c r="F2477" s="1">
        <v>58</v>
      </c>
      <c r="G2477" s="1" t="s">
        <v>24</v>
      </c>
      <c r="H2477" s="1" t="s">
        <v>35</v>
      </c>
      <c r="I2477" s="1" t="s">
        <v>49</v>
      </c>
      <c r="J2477" s="1" t="s">
        <v>27</v>
      </c>
      <c r="K2477" s="1" t="s">
        <v>28</v>
      </c>
      <c r="L2477" s="1">
        <v>1</v>
      </c>
      <c r="M2477" s="13">
        <v>373.23</v>
      </c>
      <c r="N2477" s="15">
        <v>0.32</v>
      </c>
      <c r="O2477" s="13">
        <v>203.4</v>
      </c>
      <c r="P2477" s="13">
        <v>19.53</v>
      </c>
      <c r="Q2477" s="13">
        <v>44.95</v>
      </c>
      <c r="R2477" s="1" t="s">
        <v>51</v>
      </c>
      <c r="S2477" s="1">
        <v>3</v>
      </c>
      <c r="T2477" s="1" t="b">
        <v>0</v>
      </c>
      <c r="U2477" s="1" t="s">
        <v>39</v>
      </c>
      <c r="V2477" s="3">
        <v>6</v>
      </c>
    </row>
    <row r="2478" spans="1:22" x14ac:dyDescent="0.3">
      <c r="A2478" s="2" t="s">
        <v>5439</v>
      </c>
      <c r="B2478" s="10">
        <v>44285</v>
      </c>
      <c r="C2478" s="22">
        <v>44285</v>
      </c>
      <c r="D2478" s="1" t="s">
        <v>5440</v>
      </c>
      <c r="E2478" s="1" t="s">
        <v>206</v>
      </c>
      <c r="F2478" s="1">
        <v>19</v>
      </c>
      <c r="G2478" s="1" t="s">
        <v>68</v>
      </c>
      <c r="H2478" s="1" t="s">
        <v>35</v>
      </c>
      <c r="I2478" s="1" t="s">
        <v>36</v>
      </c>
      <c r="J2478" s="1" t="s">
        <v>62</v>
      </c>
      <c r="K2478" s="1" t="s">
        <v>63</v>
      </c>
      <c r="L2478" s="1">
        <v>6</v>
      </c>
      <c r="M2478" s="13">
        <v>1364.16</v>
      </c>
      <c r="N2478" s="15">
        <v>0.39</v>
      </c>
      <c r="O2478" s="13">
        <v>5115.87</v>
      </c>
      <c r="P2478" s="13">
        <v>1835.6</v>
      </c>
      <c r="Q2478" s="13">
        <v>62.5</v>
      </c>
      <c r="R2478" s="1" t="s">
        <v>78</v>
      </c>
      <c r="S2478" s="1">
        <v>4</v>
      </c>
      <c r="T2478" s="1" t="b">
        <v>0</v>
      </c>
      <c r="U2478" s="1" t="s">
        <v>58</v>
      </c>
      <c r="V2478" s="3">
        <v>2</v>
      </c>
    </row>
    <row r="2479" spans="1:22" x14ac:dyDescent="0.3">
      <c r="A2479" s="2" t="s">
        <v>5441</v>
      </c>
      <c r="B2479" s="10">
        <v>44450</v>
      </c>
      <c r="C2479" s="22">
        <v>44450</v>
      </c>
      <c r="D2479" s="1" t="s">
        <v>5442</v>
      </c>
      <c r="E2479" s="1" t="s">
        <v>429</v>
      </c>
      <c r="F2479" s="1">
        <v>13</v>
      </c>
      <c r="G2479" s="1" t="s">
        <v>34</v>
      </c>
      <c r="H2479" s="1" t="s">
        <v>25</v>
      </c>
      <c r="I2479" s="1" t="s">
        <v>26</v>
      </c>
      <c r="J2479" s="1" t="s">
        <v>127</v>
      </c>
      <c r="K2479" s="1" t="s">
        <v>171</v>
      </c>
      <c r="L2479" s="1">
        <v>7</v>
      </c>
      <c r="M2479" s="13">
        <v>48956.77</v>
      </c>
      <c r="N2479" s="15">
        <v>0.24</v>
      </c>
      <c r="O2479" s="13">
        <v>279788.19</v>
      </c>
      <c r="P2479" s="13">
        <v>38368.449999999997</v>
      </c>
      <c r="Q2479" s="13">
        <v>86.46</v>
      </c>
      <c r="R2479" s="1" t="s">
        <v>57</v>
      </c>
      <c r="S2479" s="1">
        <v>4</v>
      </c>
      <c r="T2479" s="1" t="b">
        <v>0</v>
      </c>
      <c r="U2479" s="1" t="s">
        <v>39</v>
      </c>
      <c r="V2479" s="3">
        <v>9</v>
      </c>
    </row>
    <row r="2480" spans="1:22" x14ac:dyDescent="0.3">
      <c r="A2480" s="2" t="s">
        <v>5443</v>
      </c>
      <c r="B2480" s="10">
        <v>44244</v>
      </c>
      <c r="C2480" s="22">
        <v>44244</v>
      </c>
      <c r="D2480" s="1" t="s">
        <v>5444</v>
      </c>
      <c r="E2480" s="1" t="s">
        <v>991</v>
      </c>
      <c r="F2480" s="1">
        <v>14</v>
      </c>
      <c r="G2480" s="1" t="s">
        <v>68</v>
      </c>
      <c r="H2480" s="1" t="s">
        <v>74</v>
      </c>
      <c r="I2480" s="1" t="s">
        <v>192</v>
      </c>
      <c r="J2480" s="1" t="s">
        <v>146</v>
      </c>
      <c r="K2480" s="1" t="s">
        <v>178</v>
      </c>
      <c r="L2480" s="1">
        <v>10</v>
      </c>
      <c r="M2480" s="13">
        <v>10161.64</v>
      </c>
      <c r="N2480" s="15">
        <v>0.01</v>
      </c>
      <c r="O2480" s="13">
        <v>88906.61</v>
      </c>
      <c r="P2480" s="13">
        <v>14067.58</v>
      </c>
      <c r="Q2480" s="13">
        <v>19.18</v>
      </c>
      <c r="R2480" s="1" t="s">
        <v>51</v>
      </c>
      <c r="S2480" s="1">
        <v>5</v>
      </c>
      <c r="T2480" s="1" t="b">
        <v>0</v>
      </c>
      <c r="U2480" s="1" t="s">
        <v>39</v>
      </c>
      <c r="V2480" s="3">
        <v>9</v>
      </c>
    </row>
    <row r="2481" spans="1:22" x14ac:dyDescent="0.3">
      <c r="A2481" s="2" t="s">
        <v>5445</v>
      </c>
      <c r="B2481" s="10">
        <v>44210</v>
      </c>
      <c r="C2481" s="22">
        <v>44210</v>
      </c>
      <c r="D2481" s="1" t="s">
        <v>5446</v>
      </c>
      <c r="E2481" s="1" t="s">
        <v>4771</v>
      </c>
      <c r="F2481" s="1">
        <v>43</v>
      </c>
      <c r="G2481" s="1" t="s">
        <v>68</v>
      </c>
      <c r="H2481" s="1" t="s">
        <v>111</v>
      </c>
      <c r="I2481" s="1" t="s">
        <v>112</v>
      </c>
      <c r="J2481" s="1" t="s">
        <v>127</v>
      </c>
      <c r="K2481" s="1" t="s">
        <v>142</v>
      </c>
      <c r="L2481" s="1">
        <v>2</v>
      </c>
      <c r="M2481" s="13">
        <v>43066.95</v>
      </c>
      <c r="N2481" s="15">
        <v>0.25</v>
      </c>
      <c r="O2481" s="13">
        <v>50066.36</v>
      </c>
      <c r="P2481" s="13">
        <v>6929.76</v>
      </c>
      <c r="Q2481" s="13">
        <v>69.88</v>
      </c>
      <c r="R2481" s="1" t="s">
        <v>57</v>
      </c>
      <c r="S2481" s="1">
        <v>2</v>
      </c>
      <c r="T2481" s="1" t="b">
        <v>0</v>
      </c>
      <c r="U2481" s="1" t="s">
        <v>197</v>
      </c>
      <c r="V2481" s="3">
        <v>7</v>
      </c>
    </row>
    <row r="2482" spans="1:22" x14ac:dyDescent="0.3">
      <c r="A2482" s="2" t="s">
        <v>5447</v>
      </c>
      <c r="B2482" s="10">
        <v>44063</v>
      </c>
      <c r="C2482" s="22">
        <v>44063</v>
      </c>
      <c r="D2482" s="1" t="s">
        <v>5448</v>
      </c>
      <c r="E2482" s="1" t="s">
        <v>2637</v>
      </c>
      <c r="F2482" s="1">
        <v>46</v>
      </c>
      <c r="G2482" s="1" t="s">
        <v>463</v>
      </c>
      <c r="H2482" s="1" t="s">
        <v>82</v>
      </c>
      <c r="I2482" s="1" t="s">
        <v>244</v>
      </c>
      <c r="J2482" s="1" t="s">
        <v>127</v>
      </c>
      <c r="K2482" s="1" t="s">
        <v>128</v>
      </c>
      <c r="L2482" s="1">
        <v>1</v>
      </c>
      <c r="M2482" s="13">
        <v>39870.46</v>
      </c>
      <c r="N2482" s="15">
        <v>0.14000000000000001</v>
      </c>
      <c r="O2482" s="13">
        <v>42279.37</v>
      </c>
      <c r="P2482" s="13">
        <v>4768.46</v>
      </c>
      <c r="Q2482" s="13">
        <v>76.58</v>
      </c>
      <c r="R2482" s="1" t="s">
        <v>29</v>
      </c>
      <c r="S2482" s="1">
        <v>4</v>
      </c>
      <c r="T2482" s="1" t="b">
        <v>0</v>
      </c>
      <c r="U2482" s="1" t="s">
        <v>39</v>
      </c>
      <c r="V2482" s="3">
        <v>1</v>
      </c>
    </row>
    <row r="2483" spans="1:22" x14ac:dyDescent="0.3">
      <c r="A2483" s="2" t="s">
        <v>5449</v>
      </c>
      <c r="B2483" s="10">
        <v>44879</v>
      </c>
      <c r="C2483" s="22">
        <v>44879</v>
      </c>
      <c r="D2483" s="1" t="s">
        <v>5450</v>
      </c>
      <c r="E2483" s="1" t="s">
        <v>426</v>
      </c>
      <c r="F2483" s="1">
        <v>16</v>
      </c>
      <c r="G2483" s="1" t="s">
        <v>68</v>
      </c>
      <c r="H2483" s="1" t="s">
        <v>111</v>
      </c>
      <c r="I2483" s="1" t="s">
        <v>112</v>
      </c>
      <c r="J2483" s="1" t="s">
        <v>76</v>
      </c>
      <c r="K2483" s="1" t="s">
        <v>113</v>
      </c>
      <c r="L2483" s="1">
        <v>6</v>
      </c>
      <c r="M2483" s="13">
        <v>3572.55</v>
      </c>
      <c r="N2483" s="15">
        <v>0.21</v>
      </c>
      <c r="O2483" s="13">
        <v>17702.509999999998</v>
      </c>
      <c r="P2483" s="13">
        <v>4881.96</v>
      </c>
      <c r="Q2483" s="13">
        <v>72.400000000000006</v>
      </c>
      <c r="R2483" s="1" t="s">
        <v>57</v>
      </c>
      <c r="S2483" s="1">
        <v>2</v>
      </c>
      <c r="T2483" s="1" t="b">
        <v>0</v>
      </c>
      <c r="U2483" s="1" t="s">
        <v>39</v>
      </c>
      <c r="V2483" s="3">
        <v>7</v>
      </c>
    </row>
    <row r="2484" spans="1:22" x14ac:dyDescent="0.3">
      <c r="A2484" s="2" t="s">
        <v>5451</v>
      </c>
      <c r="B2484" s="10">
        <v>44714</v>
      </c>
      <c r="C2484" s="22">
        <v>44714</v>
      </c>
      <c r="D2484" s="1" t="s">
        <v>5452</v>
      </c>
      <c r="E2484" s="1" t="s">
        <v>2752</v>
      </c>
      <c r="F2484" s="1">
        <v>24</v>
      </c>
      <c r="G2484" s="1" t="s">
        <v>24</v>
      </c>
      <c r="H2484" s="1" t="s">
        <v>25</v>
      </c>
      <c r="I2484" s="1" t="s">
        <v>55</v>
      </c>
      <c r="J2484" s="1" t="s">
        <v>127</v>
      </c>
      <c r="K2484" s="1" t="s">
        <v>517</v>
      </c>
      <c r="L2484" s="1">
        <v>4</v>
      </c>
      <c r="M2484" s="13">
        <v>79903.31</v>
      </c>
      <c r="N2484" s="15">
        <v>0.19</v>
      </c>
      <c r="O2484" s="13">
        <v>381040.75</v>
      </c>
      <c r="P2484" s="13">
        <v>46291.37</v>
      </c>
      <c r="Q2484" s="13">
        <v>49.66</v>
      </c>
      <c r="R2484" s="1" t="s">
        <v>70</v>
      </c>
      <c r="S2484" s="1">
        <v>2</v>
      </c>
      <c r="T2484" s="1" t="b">
        <v>0</v>
      </c>
      <c r="U2484" s="1" t="s">
        <v>39</v>
      </c>
      <c r="V2484" s="3">
        <v>9</v>
      </c>
    </row>
    <row r="2485" spans="1:22" x14ac:dyDescent="0.3">
      <c r="A2485" s="2" t="s">
        <v>5453</v>
      </c>
      <c r="B2485" s="10">
        <v>44525</v>
      </c>
      <c r="C2485" s="22">
        <v>44525</v>
      </c>
      <c r="D2485" s="1" t="s">
        <v>5454</v>
      </c>
      <c r="E2485" s="1" t="s">
        <v>3253</v>
      </c>
      <c r="F2485" s="1">
        <v>32</v>
      </c>
      <c r="G2485" s="1" t="s">
        <v>88</v>
      </c>
      <c r="H2485" s="1" t="s">
        <v>111</v>
      </c>
      <c r="I2485" s="1" t="s">
        <v>141</v>
      </c>
      <c r="J2485" s="1" t="s">
        <v>37</v>
      </c>
      <c r="K2485" s="1" t="s">
        <v>182</v>
      </c>
      <c r="L2485" s="1">
        <v>8</v>
      </c>
      <c r="M2485" s="13">
        <v>1747.96</v>
      </c>
      <c r="N2485" s="15">
        <v>0.04</v>
      </c>
      <c r="O2485" s="13">
        <v>10534.51</v>
      </c>
      <c r="P2485" s="13">
        <v>5549.08</v>
      </c>
      <c r="Q2485" s="13">
        <v>70.95</v>
      </c>
      <c r="R2485" s="1" t="s">
        <v>78</v>
      </c>
      <c r="S2485" s="1">
        <v>5</v>
      </c>
      <c r="T2485" s="1" t="b">
        <v>0</v>
      </c>
      <c r="U2485" s="1" t="s">
        <v>39</v>
      </c>
      <c r="V2485" s="3">
        <v>9</v>
      </c>
    </row>
    <row r="2486" spans="1:22" x14ac:dyDescent="0.3">
      <c r="A2486" s="2" t="s">
        <v>5455</v>
      </c>
      <c r="B2486" s="10">
        <v>44986</v>
      </c>
      <c r="C2486" s="22">
        <v>44986</v>
      </c>
      <c r="D2486" s="1" t="s">
        <v>5456</v>
      </c>
      <c r="E2486" s="1" t="s">
        <v>110</v>
      </c>
      <c r="F2486" s="1">
        <v>29</v>
      </c>
      <c r="G2486" s="1" t="s">
        <v>24</v>
      </c>
      <c r="H2486" s="1" t="s">
        <v>35</v>
      </c>
      <c r="I2486" s="1" t="s">
        <v>36</v>
      </c>
      <c r="J2486" s="1" t="s">
        <v>62</v>
      </c>
      <c r="K2486" s="1" t="s">
        <v>107</v>
      </c>
      <c r="L2486" s="1">
        <v>7</v>
      </c>
      <c r="M2486" s="13">
        <v>286.55</v>
      </c>
      <c r="N2486" s="15">
        <v>0.19</v>
      </c>
      <c r="O2486" s="13">
        <v>1865.14</v>
      </c>
      <c r="P2486" s="13">
        <v>943.5</v>
      </c>
      <c r="Q2486" s="13">
        <v>60.27</v>
      </c>
      <c r="R2486" s="1" t="s">
        <v>64</v>
      </c>
      <c r="S2486" s="1">
        <v>1</v>
      </c>
      <c r="T2486" s="1" t="b">
        <v>0</v>
      </c>
      <c r="U2486" s="1" t="s">
        <v>137</v>
      </c>
      <c r="V2486" s="3">
        <v>1</v>
      </c>
    </row>
    <row r="2487" spans="1:22" x14ac:dyDescent="0.3">
      <c r="A2487" s="2" t="s">
        <v>5457</v>
      </c>
      <c r="B2487" s="10">
        <v>44344</v>
      </c>
      <c r="C2487" s="22">
        <v>44344</v>
      </c>
      <c r="D2487" s="1" t="s">
        <v>5458</v>
      </c>
      <c r="E2487" s="1" t="s">
        <v>240</v>
      </c>
      <c r="F2487" s="1">
        <v>24</v>
      </c>
      <c r="G2487" s="1" t="s">
        <v>24</v>
      </c>
      <c r="H2487" s="1" t="s">
        <v>25</v>
      </c>
      <c r="I2487" s="1" t="s">
        <v>26</v>
      </c>
      <c r="J2487" s="1" t="s">
        <v>76</v>
      </c>
      <c r="K2487" s="1" t="s">
        <v>122</v>
      </c>
      <c r="L2487" s="1">
        <v>10</v>
      </c>
      <c r="M2487" s="13">
        <v>3901.77</v>
      </c>
      <c r="N2487" s="15">
        <v>0.23</v>
      </c>
      <c r="O2487" s="13">
        <v>39791.15</v>
      </c>
      <c r="P2487" s="13">
        <v>11924.12</v>
      </c>
      <c r="Q2487" s="13">
        <v>26.2</v>
      </c>
      <c r="R2487" s="1" t="s">
        <v>70</v>
      </c>
      <c r="S2487" s="1">
        <v>3</v>
      </c>
      <c r="T2487" s="1" t="b">
        <v>0</v>
      </c>
      <c r="U2487" s="1" t="s">
        <v>39</v>
      </c>
      <c r="V2487" s="3">
        <v>3</v>
      </c>
    </row>
    <row r="2488" spans="1:22" x14ac:dyDescent="0.3">
      <c r="A2488" s="2" t="s">
        <v>5459</v>
      </c>
      <c r="B2488" s="10">
        <v>44997</v>
      </c>
      <c r="C2488" s="22">
        <v>44997</v>
      </c>
      <c r="D2488" s="1" t="s">
        <v>5460</v>
      </c>
      <c r="E2488" s="1" t="s">
        <v>333</v>
      </c>
      <c r="F2488" s="1">
        <v>30</v>
      </c>
      <c r="G2488" s="1" t="s">
        <v>68</v>
      </c>
      <c r="H2488" s="1" t="s">
        <v>35</v>
      </c>
      <c r="I2488" s="1" t="s">
        <v>36</v>
      </c>
      <c r="J2488" s="1" t="s">
        <v>62</v>
      </c>
      <c r="K2488" s="1" t="s">
        <v>151</v>
      </c>
      <c r="L2488" s="1">
        <v>1</v>
      </c>
      <c r="M2488" s="13">
        <v>1377.62</v>
      </c>
      <c r="N2488" s="15">
        <v>0.12</v>
      </c>
      <c r="O2488" s="13">
        <v>1266.17</v>
      </c>
      <c r="P2488" s="13">
        <v>565.49</v>
      </c>
      <c r="Q2488" s="13">
        <v>53.93</v>
      </c>
      <c r="R2488" s="1" t="s">
        <v>70</v>
      </c>
      <c r="S2488" s="1">
        <v>4</v>
      </c>
      <c r="T2488" s="1" t="b">
        <v>0</v>
      </c>
      <c r="U2488" s="1" t="s">
        <v>137</v>
      </c>
      <c r="V2488" s="3">
        <v>3</v>
      </c>
    </row>
    <row r="2489" spans="1:22" x14ac:dyDescent="0.3">
      <c r="A2489" s="2" t="s">
        <v>5461</v>
      </c>
      <c r="B2489" s="10">
        <v>45512</v>
      </c>
      <c r="C2489" s="22">
        <v>45512</v>
      </c>
      <c r="D2489" s="1" t="s">
        <v>5462</v>
      </c>
      <c r="E2489" s="1" t="s">
        <v>1246</v>
      </c>
      <c r="F2489" s="1">
        <v>35</v>
      </c>
      <c r="G2489" s="1" t="s">
        <v>34</v>
      </c>
      <c r="H2489" s="1" t="s">
        <v>74</v>
      </c>
      <c r="I2489" s="1" t="s">
        <v>192</v>
      </c>
      <c r="J2489" s="1" t="s">
        <v>44</v>
      </c>
      <c r="K2489" s="1" t="s">
        <v>221</v>
      </c>
      <c r="L2489" s="1">
        <v>3</v>
      </c>
      <c r="M2489" s="13">
        <v>19778.53</v>
      </c>
      <c r="N2489" s="15">
        <v>0.22</v>
      </c>
      <c r="O2489" s="13">
        <v>67218.58</v>
      </c>
      <c r="P2489" s="13">
        <v>15015.41</v>
      </c>
      <c r="Q2489" s="13">
        <v>30.24</v>
      </c>
      <c r="R2489" s="1" t="s">
        <v>78</v>
      </c>
      <c r="S2489" s="1">
        <v>3</v>
      </c>
      <c r="T2489" s="1" t="b">
        <v>0</v>
      </c>
      <c r="U2489" s="1" t="s">
        <v>39</v>
      </c>
      <c r="V2489" s="3">
        <v>5</v>
      </c>
    </row>
    <row r="2490" spans="1:22" x14ac:dyDescent="0.3">
      <c r="A2490" s="2" t="s">
        <v>5463</v>
      </c>
      <c r="B2490" s="10">
        <v>43954</v>
      </c>
      <c r="C2490" s="22">
        <v>43954</v>
      </c>
      <c r="D2490" s="1" t="s">
        <v>5464</v>
      </c>
      <c r="E2490" s="1" t="s">
        <v>693</v>
      </c>
      <c r="F2490" s="1">
        <v>47</v>
      </c>
      <c r="G2490" s="1" t="s">
        <v>34</v>
      </c>
      <c r="H2490" s="1" t="s">
        <v>82</v>
      </c>
      <c r="I2490" s="1" t="s">
        <v>293</v>
      </c>
      <c r="J2490" s="1" t="s">
        <v>76</v>
      </c>
      <c r="K2490" s="1" t="s">
        <v>77</v>
      </c>
      <c r="L2490" s="1">
        <v>5</v>
      </c>
      <c r="M2490" s="13">
        <v>1209.8399999999999</v>
      </c>
      <c r="N2490" s="15">
        <v>0.26</v>
      </c>
      <c r="O2490" s="13">
        <v>5409.13</v>
      </c>
      <c r="P2490" s="13">
        <v>1839.27</v>
      </c>
      <c r="Q2490" s="13">
        <v>70.069999999999993</v>
      </c>
      <c r="R2490" s="1" t="s">
        <v>70</v>
      </c>
      <c r="S2490" s="1">
        <v>1</v>
      </c>
      <c r="T2490" s="1" t="b">
        <v>0</v>
      </c>
      <c r="U2490" s="1" t="s">
        <v>39</v>
      </c>
      <c r="V2490" s="3">
        <v>7</v>
      </c>
    </row>
    <row r="2491" spans="1:22" x14ac:dyDescent="0.3">
      <c r="A2491" s="2" t="s">
        <v>5465</v>
      </c>
      <c r="B2491" s="10">
        <v>45082</v>
      </c>
      <c r="C2491" s="22">
        <v>45082</v>
      </c>
      <c r="D2491" s="1" t="s">
        <v>5466</v>
      </c>
      <c r="E2491" s="1" t="s">
        <v>1459</v>
      </c>
      <c r="F2491" s="1">
        <v>61</v>
      </c>
      <c r="G2491" s="1" t="s">
        <v>68</v>
      </c>
      <c r="H2491" s="1" t="s">
        <v>82</v>
      </c>
      <c r="I2491" s="1" t="s">
        <v>126</v>
      </c>
      <c r="J2491" s="1" t="s">
        <v>37</v>
      </c>
      <c r="K2491" s="1" t="s">
        <v>231</v>
      </c>
      <c r="L2491" s="1">
        <v>1</v>
      </c>
      <c r="M2491" s="13">
        <v>830.66</v>
      </c>
      <c r="N2491" s="15">
        <v>0.15</v>
      </c>
      <c r="O2491" s="13">
        <v>1004.6</v>
      </c>
      <c r="P2491" s="13">
        <v>465.76</v>
      </c>
      <c r="Q2491" s="13">
        <v>56.2</v>
      </c>
      <c r="R2491" s="1" t="s">
        <v>64</v>
      </c>
      <c r="S2491" s="1">
        <v>5</v>
      </c>
      <c r="T2491" s="1" t="b">
        <v>0</v>
      </c>
      <c r="U2491" s="1" t="s">
        <v>137</v>
      </c>
      <c r="V2491" s="3">
        <v>10</v>
      </c>
    </row>
    <row r="2492" spans="1:22" x14ac:dyDescent="0.3">
      <c r="A2492" s="2" t="s">
        <v>5467</v>
      </c>
      <c r="B2492" s="10">
        <v>44230</v>
      </c>
      <c r="C2492" s="22">
        <v>44230</v>
      </c>
      <c r="D2492" s="1" t="s">
        <v>5468</v>
      </c>
      <c r="E2492" s="1" t="s">
        <v>3152</v>
      </c>
      <c r="F2492" s="1">
        <v>43</v>
      </c>
      <c r="G2492" s="1" t="s">
        <v>24</v>
      </c>
      <c r="H2492" s="1" t="s">
        <v>74</v>
      </c>
      <c r="I2492" s="1" t="s">
        <v>75</v>
      </c>
      <c r="J2492" s="1" t="s">
        <v>37</v>
      </c>
      <c r="K2492" s="1" t="s">
        <v>182</v>
      </c>
      <c r="L2492" s="1">
        <v>9</v>
      </c>
      <c r="M2492" s="13">
        <v>1071.8800000000001</v>
      </c>
      <c r="N2492" s="15">
        <v>0.21</v>
      </c>
      <c r="O2492" s="13">
        <v>6143.09</v>
      </c>
      <c r="P2492" s="13">
        <v>3577.85</v>
      </c>
      <c r="Q2492" s="13">
        <v>64.180000000000007</v>
      </c>
      <c r="R2492" s="1" t="s">
        <v>29</v>
      </c>
      <c r="S2492" s="1">
        <v>5</v>
      </c>
      <c r="T2492" s="1" t="b">
        <v>0</v>
      </c>
      <c r="U2492" s="1" t="s">
        <v>39</v>
      </c>
      <c r="V2492" s="3">
        <v>9</v>
      </c>
    </row>
    <row r="2493" spans="1:22" x14ac:dyDescent="0.3">
      <c r="A2493" s="2" t="s">
        <v>5469</v>
      </c>
      <c r="B2493" s="10">
        <v>44168</v>
      </c>
      <c r="C2493" s="22">
        <v>44168</v>
      </c>
      <c r="D2493" s="1" t="s">
        <v>5470</v>
      </c>
      <c r="E2493" s="1" t="s">
        <v>850</v>
      </c>
      <c r="F2493" s="1">
        <v>45</v>
      </c>
      <c r="G2493" s="1" t="s">
        <v>34</v>
      </c>
      <c r="H2493" s="1" t="s">
        <v>25</v>
      </c>
      <c r="I2493" s="1" t="s">
        <v>170</v>
      </c>
      <c r="J2493" s="1" t="s">
        <v>146</v>
      </c>
      <c r="K2493" s="1" t="s">
        <v>178</v>
      </c>
      <c r="L2493" s="1">
        <v>2</v>
      </c>
      <c r="M2493" s="13">
        <v>2618.63</v>
      </c>
      <c r="N2493" s="15">
        <v>0.37</v>
      </c>
      <c r="O2493" s="13">
        <v>2183.04</v>
      </c>
      <c r="P2493" s="13">
        <v>381.86</v>
      </c>
      <c r="Q2493" s="13">
        <v>63.43</v>
      </c>
      <c r="R2493" s="1" t="s">
        <v>51</v>
      </c>
      <c r="S2493" s="1">
        <v>1</v>
      </c>
      <c r="T2493" s="1" t="b">
        <v>0</v>
      </c>
      <c r="U2493" s="1" t="s">
        <v>39</v>
      </c>
      <c r="V2493" s="3">
        <v>10</v>
      </c>
    </row>
    <row r="2494" spans="1:22" x14ac:dyDescent="0.3">
      <c r="A2494" s="2" t="s">
        <v>5471</v>
      </c>
      <c r="B2494" s="10">
        <v>45255</v>
      </c>
      <c r="C2494" s="22">
        <v>45255</v>
      </c>
      <c r="D2494" s="1" t="s">
        <v>5472</v>
      </c>
      <c r="E2494" s="1" t="s">
        <v>4531</v>
      </c>
      <c r="F2494" s="1">
        <v>41</v>
      </c>
      <c r="G2494" s="1" t="s">
        <v>68</v>
      </c>
      <c r="H2494" s="1" t="s">
        <v>74</v>
      </c>
      <c r="I2494" s="1" t="s">
        <v>75</v>
      </c>
      <c r="J2494" s="1" t="s">
        <v>146</v>
      </c>
      <c r="K2494" s="1" t="s">
        <v>178</v>
      </c>
      <c r="L2494" s="1">
        <v>5</v>
      </c>
      <c r="M2494" s="13">
        <v>7855.23</v>
      </c>
      <c r="N2494" s="15">
        <v>0.26</v>
      </c>
      <c r="O2494" s="13">
        <v>24768.639999999999</v>
      </c>
      <c r="P2494" s="13">
        <v>5747.72</v>
      </c>
      <c r="Q2494" s="13">
        <v>37.97</v>
      </c>
      <c r="R2494" s="1" t="s">
        <v>70</v>
      </c>
      <c r="S2494" s="1">
        <v>1</v>
      </c>
      <c r="T2494" s="1" t="b">
        <v>1</v>
      </c>
      <c r="U2494" s="1" t="s">
        <v>30</v>
      </c>
      <c r="V2494" s="3">
        <v>2</v>
      </c>
    </row>
    <row r="2495" spans="1:22" x14ac:dyDescent="0.3">
      <c r="A2495" s="2" t="s">
        <v>5473</v>
      </c>
      <c r="B2495" s="10">
        <v>44963</v>
      </c>
      <c r="C2495" s="22">
        <v>44963</v>
      </c>
      <c r="D2495" s="1" t="s">
        <v>5474</v>
      </c>
      <c r="E2495" s="1" t="s">
        <v>1340</v>
      </c>
      <c r="F2495" s="1">
        <v>34</v>
      </c>
      <c r="G2495" s="1" t="s">
        <v>68</v>
      </c>
      <c r="H2495" s="1" t="s">
        <v>111</v>
      </c>
      <c r="I2495" s="1" t="s">
        <v>141</v>
      </c>
      <c r="J2495" s="1" t="s">
        <v>76</v>
      </c>
      <c r="K2495" s="1" t="s">
        <v>89</v>
      </c>
      <c r="L2495" s="1">
        <v>1</v>
      </c>
      <c r="M2495" s="13">
        <v>398.12</v>
      </c>
      <c r="N2495" s="15">
        <v>0.2</v>
      </c>
      <c r="O2495" s="13">
        <v>370.05</v>
      </c>
      <c r="P2495" s="13">
        <v>160.84</v>
      </c>
      <c r="Q2495" s="13">
        <v>61.44</v>
      </c>
      <c r="R2495" s="1" t="s">
        <v>29</v>
      </c>
      <c r="S2495" s="1">
        <v>5</v>
      </c>
      <c r="T2495" s="1" t="b">
        <v>0</v>
      </c>
      <c r="U2495" s="1" t="s">
        <v>39</v>
      </c>
      <c r="V2495" s="3">
        <v>3</v>
      </c>
    </row>
    <row r="2496" spans="1:22" x14ac:dyDescent="0.3">
      <c r="A2496" s="2" t="s">
        <v>5475</v>
      </c>
      <c r="B2496" s="10">
        <v>43960</v>
      </c>
      <c r="C2496" s="22">
        <v>43960</v>
      </c>
      <c r="D2496" s="1" t="s">
        <v>5476</v>
      </c>
      <c r="E2496" s="1" t="s">
        <v>1064</v>
      </c>
      <c r="F2496" s="1">
        <v>30</v>
      </c>
      <c r="G2496" s="1" t="s">
        <v>34</v>
      </c>
      <c r="H2496" s="1" t="s">
        <v>82</v>
      </c>
      <c r="I2496" s="1" t="s">
        <v>293</v>
      </c>
      <c r="J2496" s="1" t="s">
        <v>62</v>
      </c>
      <c r="K2496" s="1" t="s">
        <v>107</v>
      </c>
      <c r="L2496" s="1">
        <v>6</v>
      </c>
      <c r="M2496" s="13">
        <v>717.06</v>
      </c>
      <c r="N2496" s="15">
        <v>0.14000000000000001</v>
      </c>
      <c r="O2496" s="13">
        <v>4062.73</v>
      </c>
      <c r="P2496" s="13">
        <v>993.44</v>
      </c>
      <c r="Q2496" s="13">
        <v>65.95</v>
      </c>
      <c r="R2496" s="1" t="s">
        <v>51</v>
      </c>
      <c r="S2496" s="1">
        <v>3</v>
      </c>
      <c r="T2496" s="1" t="b">
        <v>0</v>
      </c>
      <c r="U2496" s="1" t="s">
        <v>39</v>
      </c>
      <c r="V2496" s="3">
        <v>4</v>
      </c>
    </row>
    <row r="2497" spans="1:22" x14ac:dyDescent="0.3">
      <c r="A2497" s="2" t="s">
        <v>5477</v>
      </c>
      <c r="B2497" s="10">
        <v>44055</v>
      </c>
      <c r="C2497" s="22">
        <v>44055</v>
      </c>
      <c r="D2497" s="1" t="s">
        <v>5478</v>
      </c>
      <c r="E2497" s="1" t="s">
        <v>476</v>
      </c>
      <c r="F2497" s="1">
        <v>51</v>
      </c>
      <c r="G2497" s="1" t="s">
        <v>24</v>
      </c>
      <c r="H2497" s="1" t="s">
        <v>82</v>
      </c>
      <c r="I2497" s="1" t="s">
        <v>244</v>
      </c>
      <c r="J2497" s="1" t="s">
        <v>127</v>
      </c>
      <c r="K2497" s="1" t="s">
        <v>128</v>
      </c>
      <c r="L2497" s="1">
        <v>8</v>
      </c>
      <c r="M2497" s="13">
        <v>43322.03</v>
      </c>
      <c r="N2497" s="15">
        <v>0.27</v>
      </c>
      <c r="O2497" s="13">
        <v>257970.06</v>
      </c>
      <c r="P2497" s="13">
        <v>20962.59</v>
      </c>
      <c r="Q2497" s="13">
        <v>81.23</v>
      </c>
      <c r="R2497" s="1" t="s">
        <v>70</v>
      </c>
      <c r="S2497" s="1">
        <v>5</v>
      </c>
      <c r="T2497" s="1" t="b">
        <v>0</v>
      </c>
      <c r="U2497" s="1" t="s">
        <v>84</v>
      </c>
      <c r="V2497" s="3">
        <v>3</v>
      </c>
    </row>
    <row r="2498" spans="1:22" x14ac:dyDescent="0.3">
      <c r="A2498" s="2" t="s">
        <v>5479</v>
      </c>
      <c r="B2498" s="10">
        <v>44571</v>
      </c>
      <c r="C2498" s="22">
        <v>44571</v>
      </c>
      <c r="D2498" s="1" t="s">
        <v>5480</v>
      </c>
      <c r="E2498" s="1" t="s">
        <v>2582</v>
      </c>
      <c r="F2498" s="1">
        <v>35</v>
      </c>
      <c r="G2498" s="1" t="s">
        <v>68</v>
      </c>
      <c r="H2498" s="1" t="s">
        <v>25</v>
      </c>
      <c r="I2498" s="1" t="s">
        <v>55</v>
      </c>
      <c r="J2498" s="1" t="s">
        <v>146</v>
      </c>
      <c r="K2498" s="1" t="s">
        <v>484</v>
      </c>
      <c r="L2498" s="1">
        <v>3</v>
      </c>
      <c r="M2498" s="13">
        <v>14314.59</v>
      </c>
      <c r="N2498" s="15">
        <v>0.28000000000000003</v>
      </c>
      <c r="O2498" s="13">
        <v>24565.05</v>
      </c>
      <c r="P2498" s="13">
        <v>6700.1</v>
      </c>
      <c r="Q2498" s="13">
        <v>49.08</v>
      </c>
      <c r="R2498" s="1" t="s">
        <v>29</v>
      </c>
      <c r="S2498" s="1">
        <v>2</v>
      </c>
      <c r="T2498" s="1" t="b">
        <v>1</v>
      </c>
      <c r="U2498" s="1" t="s">
        <v>30</v>
      </c>
      <c r="V2498" s="3">
        <v>7</v>
      </c>
    </row>
    <row r="2499" spans="1:22" x14ac:dyDescent="0.3">
      <c r="A2499" s="2" t="s">
        <v>5481</v>
      </c>
      <c r="B2499" s="10">
        <v>44764</v>
      </c>
      <c r="C2499" s="22">
        <v>44764</v>
      </c>
      <c r="D2499" s="1" t="s">
        <v>5482</v>
      </c>
      <c r="E2499" s="1" t="s">
        <v>1390</v>
      </c>
      <c r="F2499" s="1">
        <v>40</v>
      </c>
      <c r="G2499" s="1" t="s">
        <v>34</v>
      </c>
      <c r="H2499" s="1" t="s">
        <v>82</v>
      </c>
      <c r="I2499" s="1" t="s">
        <v>126</v>
      </c>
      <c r="J2499" s="1" t="s">
        <v>27</v>
      </c>
      <c r="K2499" s="1" t="s">
        <v>450</v>
      </c>
      <c r="L2499" s="1">
        <v>8</v>
      </c>
      <c r="M2499" s="13">
        <v>473.04</v>
      </c>
      <c r="N2499" s="15">
        <v>0.33</v>
      </c>
      <c r="O2499" s="13">
        <v>4049.28</v>
      </c>
      <c r="P2499" s="13">
        <v>301.36</v>
      </c>
      <c r="Q2499" s="13">
        <v>76.099999999999994</v>
      </c>
      <c r="R2499" s="1" t="s">
        <v>64</v>
      </c>
      <c r="S2499" s="1">
        <v>5</v>
      </c>
      <c r="T2499" s="1" t="b">
        <v>0</v>
      </c>
      <c r="U2499" s="1" t="s">
        <v>197</v>
      </c>
      <c r="V2499" s="3">
        <v>9</v>
      </c>
    </row>
    <row r="2500" spans="1:22" x14ac:dyDescent="0.3">
      <c r="A2500" s="2" t="s">
        <v>5483</v>
      </c>
      <c r="B2500" s="10">
        <v>44594</v>
      </c>
      <c r="C2500" s="22">
        <v>44594</v>
      </c>
      <c r="D2500" s="1" t="s">
        <v>5484</v>
      </c>
      <c r="E2500" s="1" t="s">
        <v>866</v>
      </c>
      <c r="F2500" s="1">
        <v>39</v>
      </c>
      <c r="G2500" s="1" t="s">
        <v>463</v>
      </c>
      <c r="H2500" s="1" t="s">
        <v>35</v>
      </c>
      <c r="I2500" s="1" t="s">
        <v>43</v>
      </c>
      <c r="J2500" s="1" t="s">
        <v>146</v>
      </c>
      <c r="K2500" s="1" t="s">
        <v>161</v>
      </c>
      <c r="L2500" s="1">
        <v>7</v>
      </c>
      <c r="M2500" s="13">
        <v>6522.84</v>
      </c>
      <c r="N2500" s="15">
        <v>0.09</v>
      </c>
      <c r="O2500" s="13">
        <v>37840.550000000003</v>
      </c>
      <c r="P2500" s="13">
        <v>7201.91</v>
      </c>
      <c r="Q2500" s="13">
        <v>45.29</v>
      </c>
      <c r="R2500" s="1" t="s">
        <v>51</v>
      </c>
      <c r="S2500" s="1">
        <v>3</v>
      </c>
      <c r="T2500" s="1" t="b">
        <v>1</v>
      </c>
      <c r="U2500" s="1" t="s">
        <v>30</v>
      </c>
      <c r="V2500" s="3">
        <v>3</v>
      </c>
    </row>
    <row r="2501" spans="1:22" x14ac:dyDescent="0.3">
      <c r="A2501" s="2" t="s">
        <v>5485</v>
      </c>
      <c r="B2501" s="10">
        <v>45014</v>
      </c>
      <c r="C2501" s="22">
        <v>45014</v>
      </c>
      <c r="D2501" s="1" t="s">
        <v>5486</v>
      </c>
      <c r="E2501" s="1" t="s">
        <v>135</v>
      </c>
      <c r="F2501" s="1">
        <v>11</v>
      </c>
      <c r="G2501" s="1" t="s">
        <v>68</v>
      </c>
      <c r="H2501" s="1" t="s">
        <v>25</v>
      </c>
      <c r="I2501" s="1" t="s">
        <v>69</v>
      </c>
      <c r="J2501" s="1" t="s">
        <v>62</v>
      </c>
      <c r="K2501" s="1" t="s">
        <v>570</v>
      </c>
      <c r="L2501" s="1">
        <v>4</v>
      </c>
      <c r="M2501" s="13">
        <v>1044.75</v>
      </c>
      <c r="N2501" s="15">
        <v>0.05</v>
      </c>
      <c r="O2501" s="13">
        <v>6061.68</v>
      </c>
      <c r="P2501" s="13">
        <v>2610.2800000000002</v>
      </c>
      <c r="Q2501" s="13">
        <v>55.23</v>
      </c>
      <c r="R2501" s="1" t="s">
        <v>64</v>
      </c>
      <c r="S2501" s="1">
        <v>3</v>
      </c>
      <c r="T2501" s="1" t="b">
        <v>0</v>
      </c>
      <c r="U2501" s="1" t="s">
        <v>39</v>
      </c>
      <c r="V2501" s="3">
        <v>6</v>
      </c>
    </row>
    <row r="2502" spans="1:22" x14ac:dyDescent="0.3">
      <c r="A2502" s="2" t="s">
        <v>5487</v>
      </c>
      <c r="B2502" s="10">
        <v>44362</v>
      </c>
      <c r="C2502" s="22">
        <v>44362</v>
      </c>
      <c r="D2502" s="1" t="s">
        <v>5488</v>
      </c>
      <c r="E2502" s="1" t="s">
        <v>973</v>
      </c>
      <c r="F2502" s="1">
        <v>9</v>
      </c>
      <c r="G2502" s="1" t="s">
        <v>34</v>
      </c>
      <c r="H2502" s="1" t="s">
        <v>82</v>
      </c>
      <c r="I2502" s="1" t="s">
        <v>293</v>
      </c>
      <c r="J2502" s="1" t="s">
        <v>44</v>
      </c>
      <c r="K2502" s="1" t="s">
        <v>221</v>
      </c>
      <c r="L2502" s="1">
        <v>2</v>
      </c>
      <c r="M2502" s="13">
        <v>27005.32</v>
      </c>
      <c r="N2502" s="15">
        <v>0.13</v>
      </c>
      <c r="O2502" s="13">
        <v>70592.55</v>
      </c>
      <c r="P2502" s="13">
        <v>21121.9</v>
      </c>
      <c r="Q2502" s="13">
        <v>60.02</v>
      </c>
      <c r="R2502" s="1" t="s">
        <v>70</v>
      </c>
      <c r="S2502" s="1">
        <v>3</v>
      </c>
      <c r="T2502" s="1" t="b">
        <v>0</v>
      </c>
      <c r="U2502" s="1" t="s">
        <v>39</v>
      </c>
      <c r="V2502" s="3">
        <v>6</v>
      </c>
    </row>
    <row r="2503" spans="1:22" x14ac:dyDescent="0.3">
      <c r="A2503" s="2" t="s">
        <v>5489</v>
      </c>
      <c r="B2503" s="10">
        <v>44073</v>
      </c>
      <c r="C2503" s="22">
        <v>44073</v>
      </c>
      <c r="D2503" s="1" t="s">
        <v>5490</v>
      </c>
      <c r="E2503" s="1" t="s">
        <v>1907</v>
      </c>
      <c r="F2503" s="1">
        <v>27</v>
      </c>
      <c r="G2503" s="1" t="s">
        <v>68</v>
      </c>
      <c r="H2503" s="1" t="s">
        <v>25</v>
      </c>
      <c r="I2503" s="1" t="s">
        <v>170</v>
      </c>
      <c r="J2503" s="1" t="s">
        <v>27</v>
      </c>
      <c r="K2503" s="1" t="s">
        <v>56</v>
      </c>
      <c r="L2503" s="1">
        <v>1</v>
      </c>
      <c r="M2503" s="13">
        <v>387.88</v>
      </c>
      <c r="N2503" s="15">
        <v>0.39</v>
      </c>
      <c r="O2503" s="13">
        <v>293.72000000000003</v>
      </c>
      <c r="P2503" s="13">
        <v>15.64</v>
      </c>
      <c r="Q2503" s="13">
        <v>65.680000000000007</v>
      </c>
      <c r="R2503" s="1" t="s">
        <v>70</v>
      </c>
      <c r="S2503" s="1">
        <v>4</v>
      </c>
      <c r="T2503" s="1" t="b">
        <v>0</v>
      </c>
      <c r="U2503" s="1" t="s">
        <v>39</v>
      </c>
      <c r="V2503" s="3">
        <v>7</v>
      </c>
    </row>
    <row r="2504" spans="1:22" x14ac:dyDescent="0.3">
      <c r="A2504" s="2" t="s">
        <v>5491</v>
      </c>
      <c r="B2504" s="10">
        <v>43831</v>
      </c>
      <c r="C2504" s="22">
        <v>43831</v>
      </c>
      <c r="D2504" s="1" t="s">
        <v>5492</v>
      </c>
      <c r="E2504" s="1" t="s">
        <v>1282</v>
      </c>
      <c r="F2504" s="1">
        <v>43</v>
      </c>
      <c r="G2504" s="1" t="s">
        <v>34</v>
      </c>
      <c r="H2504" s="1" t="s">
        <v>25</v>
      </c>
      <c r="I2504" s="1" t="s">
        <v>26</v>
      </c>
      <c r="J2504" s="1" t="s">
        <v>37</v>
      </c>
      <c r="K2504" s="1" t="s">
        <v>671</v>
      </c>
      <c r="L2504" s="1">
        <v>1</v>
      </c>
      <c r="M2504" s="13">
        <v>2179.09</v>
      </c>
      <c r="N2504" s="15">
        <v>0.26</v>
      </c>
      <c r="O2504" s="13">
        <v>1240</v>
      </c>
      <c r="P2504" s="13">
        <v>548.45000000000005</v>
      </c>
      <c r="Q2504" s="13">
        <v>71</v>
      </c>
      <c r="R2504" s="1" t="s">
        <v>29</v>
      </c>
      <c r="S2504" s="1">
        <v>5</v>
      </c>
      <c r="T2504" s="1" t="b">
        <v>0</v>
      </c>
      <c r="U2504" s="1" t="s">
        <v>58</v>
      </c>
      <c r="V2504" s="3">
        <v>9</v>
      </c>
    </row>
    <row r="2505" spans="1:22" x14ac:dyDescent="0.3">
      <c r="A2505" s="2" t="s">
        <v>5493</v>
      </c>
      <c r="B2505" s="10">
        <v>44277</v>
      </c>
      <c r="C2505" s="22">
        <v>44277</v>
      </c>
      <c r="D2505" s="1" t="s">
        <v>5494</v>
      </c>
      <c r="E2505" s="1" t="s">
        <v>363</v>
      </c>
      <c r="F2505" s="1">
        <v>48</v>
      </c>
      <c r="G2505" s="1" t="s">
        <v>24</v>
      </c>
      <c r="H2505" s="1" t="s">
        <v>111</v>
      </c>
      <c r="I2505" s="1" t="s">
        <v>121</v>
      </c>
      <c r="J2505" s="1" t="s">
        <v>37</v>
      </c>
      <c r="K2505" s="1" t="s">
        <v>454</v>
      </c>
      <c r="L2505" s="1">
        <v>5</v>
      </c>
      <c r="M2505" s="13">
        <v>357.2</v>
      </c>
      <c r="N2505" s="15">
        <v>0.25</v>
      </c>
      <c r="O2505" s="13">
        <v>1350.29</v>
      </c>
      <c r="P2505" s="13">
        <v>473.38</v>
      </c>
      <c r="Q2505" s="13">
        <v>95.58</v>
      </c>
      <c r="R2505" s="1" t="s">
        <v>78</v>
      </c>
      <c r="S2505" s="1">
        <v>3</v>
      </c>
      <c r="T2505" s="1" t="b">
        <v>0</v>
      </c>
      <c r="U2505" s="1" t="s">
        <v>39</v>
      </c>
      <c r="V2505" s="3">
        <v>8</v>
      </c>
    </row>
    <row r="2506" spans="1:22" x14ac:dyDescent="0.3">
      <c r="A2506" s="2" t="s">
        <v>5495</v>
      </c>
      <c r="B2506" s="10">
        <v>44346</v>
      </c>
      <c r="C2506" s="22">
        <v>44346</v>
      </c>
      <c r="D2506" s="1" t="s">
        <v>5496</v>
      </c>
      <c r="E2506" s="1" t="s">
        <v>1050</v>
      </c>
      <c r="F2506" s="1">
        <v>15</v>
      </c>
      <c r="G2506" s="1" t="s">
        <v>24</v>
      </c>
      <c r="H2506" s="1" t="s">
        <v>82</v>
      </c>
      <c r="I2506" s="1" t="s">
        <v>83</v>
      </c>
      <c r="J2506" s="1" t="s">
        <v>146</v>
      </c>
      <c r="K2506" s="1" t="s">
        <v>161</v>
      </c>
      <c r="L2506" s="1">
        <v>9</v>
      </c>
      <c r="M2506" s="13">
        <v>12309.47</v>
      </c>
      <c r="N2506" s="15">
        <v>0.39</v>
      </c>
      <c r="O2506" s="13">
        <v>88216.48</v>
      </c>
      <c r="P2506" s="13">
        <v>23774.29</v>
      </c>
      <c r="Q2506" s="13">
        <v>64.349999999999994</v>
      </c>
      <c r="R2506" s="1" t="s">
        <v>51</v>
      </c>
      <c r="S2506" s="1">
        <v>5</v>
      </c>
      <c r="T2506" s="1" t="b">
        <v>0</v>
      </c>
      <c r="U2506" s="1" t="s">
        <v>39</v>
      </c>
      <c r="V2506" s="3">
        <v>4</v>
      </c>
    </row>
    <row r="2507" spans="1:22" x14ac:dyDescent="0.3">
      <c r="A2507" s="2" t="s">
        <v>5497</v>
      </c>
      <c r="B2507" s="10">
        <v>45621</v>
      </c>
      <c r="C2507" s="22">
        <v>45621</v>
      </c>
      <c r="D2507" s="1" t="s">
        <v>5498</v>
      </c>
      <c r="E2507" s="1" t="s">
        <v>292</v>
      </c>
      <c r="F2507" s="1">
        <v>38</v>
      </c>
      <c r="G2507" s="1" t="s">
        <v>24</v>
      </c>
      <c r="H2507" s="1" t="s">
        <v>35</v>
      </c>
      <c r="I2507" s="1" t="s">
        <v>106</v>
      </c>
      <c r="J2507" s="1" t="s">
        <v>76</v>
      </c>
      <c r="K2507" s="1" t="s">
        <v>132</v>
      </c>
      <c r="L2507" s="1">
        <v>8</v>
      </c>
      <c r="M2507" s="13">
        <v>2242.21</v>
      </c>
      <c r="N2507" s="15">
        <v>0.08</v>
      </c>
      <c r="O2507" s="13">
        <v>15849.85</v>
      </c>
      <c r="P2507" s="13">
        <v>5745.26</v>
      </c>
      <c r="Q2507" s="13">
        <v>58.08</v>
      </c>
      <c r="R2507" s="1" t="s">
        <v>78</v>
      </c>
      <c r="S2507" s="1">
        <v>3</v>
      </c>
      <c r="T2507" s="1" t="b">
        <v>0</v>
      </c>
      <c r="U2507" s="1" t="s">
        <v>699</v>
      </c>
      <c r="V2507" s="3">
        <v>5</v>
      </c>
    </row>
    <row r="2508" spans="1:22" x14ac:dyDescent="0.3">
      <c r="A2508" s="2" t="s">
        <v>5499</v>
      </c>
      <c r="B2508" s="10">
        <v>45147</v>
      </c>
      <c r="C2508" s="22">
        <v>45147</v>
      </c>
      <c r="D2508" s="1" t="s">
        <v>5500</v>
      </c>
      <c r="E2508" s="1" t="s">
        <v>624</v>
      </c>
      <c r="F2508" s="1">
        <v>31</v>
      </c>
      <c r="G2508" s="1" t="s">
        <v>24</v>
      </c>
      <c r="H2508" s="1" t="s">
        <v>111</v>
      </c>
      <c r="I2508" s="1" t="s">
        <v>112</v>
      </c>
      <c r="J2508" s="1" t="s">
        <v>27</v>
      </c>
      <c r="K2508" s="1" t="s">
        <v>97</v>
      </c>
      <c r="L2508" s="1">
        <v>6</v>
      </c>
      <c r="M2508" s="13">
        <v>180.04</v>
      </c>
      <c r="N2508" s="15">
        <v>0.37</v>
      </c>
      <c r="O2508" s="13">
        <v>955.97</v>
      </c>
      <c r="P2508" s="13">
        <v>84.65</v>
      </c>
      <c r="Q2508" s="13">
        <v>65.569999999999993</v>
      </c>
      <c r="R2508" s="1" t="s">
        <v>51</v>
      </c>
      <c r="S2508" s="1">
        <v>2</v>
      </c>
      <c r="T2508" s="1" t="b">
        <v>0</v>
      </c>
      <c r="U2508" s="1" t="s">
        <v>84</v>
      </c>
      <c r="V2508" s="3">
        <v>7</v>
      </c>
    </row>
    <row r="2509" spans="1:22" x14ac:dyDescent="0.3">
      <c r="A2509" s="2" t="s">
        <v>5501</v>
      </c>
      <c r="B2509" s="10">
        <v>44534</v>
      </c>
      <c r="C2509" s="22">
        <v>44534</v>
      </c>
      <c r="D2509" s="1" t="s">
        <v>5502</v>
      </c>
      <c r="E2509" s="1" t="s">
        <v>145</v>
      </c>
      <c r="F2509" s="1">
        <v>34</v>
      </c>
      <c r="G2509" s="1" t="s">
        <v>24</v>
      </c>
      <c r="H2509" s="1" t="s">
        <v>35</v>
      </c>
      <c r="I2509" s="1" t="s">
        <v>43</v>
      </c>
      <c r="J2509" s="1" t="s">
        <v>146</v>
      </c>
      <c r="K2509" s="1" t="s">
        <v>217</v>
      </c>
      <c r="L2509" s="1">
        <v>10</v>
      </c>
      <c r="M2509" s="13">
        <v>8246.76</v>
      </c>
      <c r="N2509" s="15">
        <v>0.28999999999999998</v>
      </c>
      <c r="O2509" s="13">
        <v>47232.4</v>
      </c>
      <c r="P2509" s="13">
        <v>10000.85</v>
      </c>
      <c r="Q2509" s="13">
        <v>76.69</v>
      </c>
      <c r="R2509" s="1" t="s">
        <v>57</v>
      </c>
      <c r="S2509" s="1">
        <v>3</v>
      </c>
      <c r="T2509" s="1" t="b">
        <v>0</v>
      </c>
      <c r="U2509" s="1" t="s">
        <v>39</v>
      </c>
      <c r="V2509" s="3">
        <v>3</v>
      </c>
    </row>
    <row r="2510" spans="1:22" x14ac:dyDescent="0.3">
      <c r="A2510" s="2" t="s">
        <v>5503</v>
      </c>
      <c r="B2510" s="10">
        <v>44951</v>
      </c>
      <c r="C2510" s="22">
        <v>44951</v>
      </c>
      <c r="D2510" s="1" t="s">
        <v>5504</v>
      </c>
      <c r="E2510" s="1" t="s">
        <v>1684</v>
      </c>
      <c r="F2510" s="1">
        <v>27</v>
      </c>
      <c r="G2510" s="1" t="s">
        <v>391</v>
      </c>
      <c r="H2510" s="1" t="s">
        <v>25</v>
      </c>
      <c r="I2510" s="1" t="s">
        <v>55</v>
      </c>
      <c r="J2510" s="1" t="s">
        <v>27</v>
      </c>
      <c r="K2510" s="1" t="s">
        <v>430</v>
      </c>
      <c r="L2510" s="1">
        <v>2</v>
      </c>
      <c r="M2510" s="13">
        <v>419.88</v>
      </c>
      <c r="N2510" s="15">
        <v>0.03</v>
      </c>
      <c r="O2510" s="13">
        <v>701.1</v>
      </c>
      <c r="P2510" s="13">
        <v>57.86</v>
      </c>
      <c r="Q2510" s="13">
        <v>49.02</v>
      </c>
      <c r="R2510" s="1" t="s">
        <v>64</v>
      </c>
      <c r="S2510" s="1">
        <v>2</v>
      </c>
      <c r="T2510" s="1" t="b">
        <v>0</v>
      </c>
      <c r="U2510" s="1" t="s">
        <v>137</v>
      </c>
      <c r="V2510" s="3">
        <v>7</v>
      </c>
    </row>
    <row r="2511" spans="1:22" x14ac:dyDescent="0.3">
      <c r="A2511" s="2" t="s">
        <v>5505</v>
      </c>
      <c r="B2511" s="10">
        <v>45219</v>
      </c>
      <c r="C2511" s="22">
        <v>45219</v>
      </c>
      <c r="D2511" s="1" t="s">
        <v>5506</v>
      </c>
      <c r="E2511" s="1" t="s">
        <v>629</v>
      </c>
      <c r="F2511" s="1">
        <v>37</v>
      </c>
      <c r="G2511" s="1" t="s">
        <v>34</v>
      </c>
      <c r="H2511" s="1" t="s">
        <v>35</v>
      </c>
      <c r="I2511" s="1" t="s">
        <v>43</v>
      </c>
      <c r="J2511" s="1" t="s">
        <v>27</v>
      </c>
      <c r="K2511" s="1" t="s">
        <v>28</v>
      </c>
      <c r="L2511" s="1">
        <v>3</v>
      </c>
      <c r="M2511" s="13">
        <v>309.69</v>
      </c>
      <c r="N2511" s="15">
        <v>0.18</v>
      </c>
      <c r="O2511" s="13">
        <v>839.42</v>
      </c>
      <c r="P2511" s="13">
        <v>69.64</v>
      </c>
      <c r="Q2511" s="13">
        <v>50.8</v>
      </c>
      <c r="R2511" s="1" t="s">
        <v>78</v>
      </c>
      <c r="S2511" s="1">
        <v>1</v>
      </c>
      <c r="T2511" s="1" t="b">
        <v>0</v>
      </c>
      <c r="U2511" s="1" t="s">
        <v>39</v>
      </c>
      <c r="V2511" s="3">
        <v>1</v>
      </c>
    </row>
    <row r="2512" spans="1:22" x14ac:dyDescent="0.3">
      <c r="A2512" s="2" t="s">
        <v>5507</v>
      </c>
      <c r="B2512" s="10">
        <v>44213</v>
      </c>
      <c r="C2512" s="22">
        <v>44213</v>
      </c>
      <c r="D2512" s="1" t="s">
        <v>5508</v>
      </c>
      <c r="E2512" s="1" t="s">
        <v>1216</v>
      </c>
      <c r="F2512" s="1">
        <v>52</v>
      </c>
      <c r="G2512" s="1" t="s">
        <v>24</v>
      </c>
      <c r="H2512" s="1" t="s">
        <v>35</v>
      </c>
      <c r="I2512" s="1" t="s">
        <v>106</v>
      </c>
      <c r="J2512" s="1" t="s">
        <v>146</v>
      </c>
      <c r="K2512" s="1" t="s">
        <v>161</v>
      </c>
      <c r="L2512" s="1">
        <v>4</v>
      </c>
      <c r="M2512" s="13">
        <v>9859.42</v>
      </c>
      <c r="N2512" s="15">
        <v>0.1</v>
      </c>
      <c r="O2512" s="13">
        <v>30461.87</v>
      </c>
      <c r="P2512" s="13">
        <v>8214.61</v>
      </c>
      <c r="Q2512" s="13">
        <v>75.89</v>
      </c>
      <c r="R2512" s="1" t="s">
        <v>57</v>
      </c>
      <c r="S2512" s="1">
        <v>5</v>
      </c>
      <c r="T2512" s="1" t="b">
        <v>0</v>
      </c>
      <c r="U2512" s="1" t="s">
        <v>39</v>
      </c>
      <c r="V2512" s="3">
        <v>7</v>
      </c>
    </row>
    <row r="2513" spans="1:22" x14ac:dyDescent="0.3">
      <c r="A2513" s="2" t="s">
        <v>5509</v>
      </c>
      <c r="B2513" s="10">
        <v>43919</v>
      </c>
      <c r="C2513" s="22">
        <v>43919</v>
      </c>
      <c r="D2513" s="1" t="s">
        <v>5510</v>
      </c>
      <c r="E2513" s="1" t="s">
        <v>875</v>
      </c>
      <c r="F2513" s="1">
        <v>34</v>
      </c>
      <c r="G2513" s="1" t="s">
        <v>24</v>
      </c>
      <c r="H2513" s="1" t="s">
        <v>111</v>
      </c>
      <c r="I2513" s="1" t="s">
        <v>141</v>
      </c>
      <c r="J2513" s="1" t="s">
        <v>44</v>
      </c>
      <c r="K2513" s="1" t="s">
        <v>221</v>
      </c>
      <c r="L2513" s="1">
        <v>9</v>
      </c>
      <c r="M2513" s="13">
        <v>20805.29</v>
      </c>
      <c r="N2513" s="15">
        <v>0.24</v>
      </c>
      <c r="O2513" s="13">
        <v>146348.29999999999</v>
      </c>
      <c r="P2513" s="13">
        <v>36051.94</v>
      </c>
      <c r="Q2513" s="13">
        <v>59.05</v>
      </c>
      <c r="R2513" s="1" t="s">
        <v>78</v>
      </c>
      <c r="S2513" s="1">
        <v>5</v>
      </c>
      <c r="T2513" s="1" t="b">
        <v>0</v>
      </c>
      <c r="U2513" s="1" t="s">
        <v>39</v>
      </c>
      <c r="V2513" s="3">
        <v>7</v>
      </c>
    </row>
    <row r="2514" spans="1:22" x14ac:dyDescent="0.3">
      <c r="A2514" s="2" t="s">
        <v>5511</v>
      </c>
      <c r="B2514" s="10">
        <v>44104</v>
      </c>
      <c r="C2514" s="22">
        <v>44104</v>
      </c>
      <c r="D2514" s="1" t="s">
        <v>5512</v>
      </c>
      <c r="E2514" s="1" t="s">
        <v>2140</v>
      </c>
      <c r="F2514" s="1">
        <v>46</v>
      </c>
      <c r="G2514" s="1" t="s">
        <v>24</v>
      </c>
      <c r="H2514" s="1" t="s">
        <v>35</v>
      </c>
      <c r="I2514" s="1" t="s">
        <v>43</v>
      </c>
      <c r="J2514" s="1" t="s">
        <v>146</v>
      </c>
      <c r="K2514" s="1" t="s">
        <v>147</v>
      </c>
      <c r="L2514" s="1">
        <v>2</v>
      </c>
      <c r="M2514" s="13">
        <v>1417.62</v>
      </c>
      <c r="N2514" s="15">
        <v>0.33</v>
      </c>
      <c r="O2514" s="13">
        <v>1983.4</v>
      </c>
      <c r="P2514" s="13">
        <v>404.4</v>
      </c>
      <c r="Q2514" s="13">
        <v>38.22</v>
      </c>
      <c r="R2514" s="1" t="s">
        <v>78</v>
      </c>
      <c r="S2514" s="1">
        <v>1</v>
      </c>
      <c r="T2514" s="1" t="b">
        <v>0</v>
      </c>
      <c r="U2514" s="1" t="s">
        <v>39</v>
      </c>
      <c r="V2514" s="3">
        <v>4</v>
      </c>
    </row>
    <row r="2515" spans="1:22" x14ac:dyDescent="0.3">
      <c r="A2515" s="2" t="s">
        <v>5513</v>
      </c>
      <c r="B2515" s="10">
        <v>44927</v>
      </c>
      <c r="C2515" s="22">
        <v>44927</v>
      </c>
      <c r="D2515" s="1" t="s">
        <v>5514</v>
      </c>
      <c r="E2515" s="1" t="s">
        <v>81</v>
      </c>
      <c r="F2515" s="1">
        <v>26</v>
      </c>
      <c r="G2515" s="1" t="s">
        <v>68</v>
      </c>
      <c r="H2515" s="1" t="s">
        <v>25</v>
      </c>
      <c r="I2515" s="1" t="s">
        <v>26</v>
      </c>
      <c r="J2515" s="1" t="s">
        <v>76</v>
      </c>
      <c r="K2515" s="1" t="s">
        <v>207</v>
      </c>
      <c r="L2515" s="1">
        <v>8</v>
      </c>
      <c r="M2515" s="13">
        <v>2369.91</v>
      </c>
      <c r="N2515" s="15">
        <v>0.35</v>
      </c>
      <c r="O2515" s="13">
        <v>12912.46</v>
      </c>
      <c r="P2515" s="13">
        <v>4497.08</v>
      </c>
      <c r="Q2515" s="13">
        <v>59.82</v>
      </c>
      <c r="R2515" s="1" t="s">
        <v>29</v>
      </c>
      <c r="S2515" s="1">
        <v>1</v>
      </c>
      <c r="T2515" s="1" t="b">
        <v>0</v>
      </c>
      <c r="U2515" s="1" t="s">
        <v>39</v>
      </c>
      <c r="V2515" s="3">
        <v>10</v>
      </c>
    </row>
    <row r="2516" spans="1:22" x14ac:dyDescent="0.3">
      <c r="A2516" s="2" t="s">
        <v>5515</v>
      </c>
      <c r="B2516" s="10">
        <v>45089</v>
      </c>
      <c r="C2516" s="22">
        <v>45089</v>
      </c>
      <c r="D2516" s="1" t="s">
        <v>5516</v>
      </c>
      <c r="E2516" s="1" t="s">
        <v>814</v>
      </c>
      <c r="F2516" s="1">
        <v>43</v>
      </c>
      <c r="G2516" s="1" t="s">
        <v>24</v>
      </c>
      <c r="H2516" s="1" t="s">
        <v>74</v>
      </c>
      <c r="I2516" s="1" t="s">
        <v>101</v>
      </c>
      <c r="J2516" s="1" t="s">
        <v>37</v>
      </c>
      <c r="K2516" s="1" t="s">
        <v>454</v>
      </c>
      <c r="L2516" s="1">
        <v>4</v>
      </c>
      <c r="M2516" s="13">
        <v>623.29999999999995</v>
      </c>
      <c r="N2516" s="15">
        <v>0.32</v>
      </c>
      <c r="O2516" s="13">
        <v>3062.97</v>
      </c>
      <c r="P2516" s="13">
        <v>1736.95</v>
      </c>
      <c r="Q2516" s="13">
        <v>52.12</v>
      </c>
      <c r="R2516" s="1" t="s">
        <v>78</v>
      </c>
      <c r="S2516" s="1">
        <v>2</v>
      </c>
      <c r="T2516" s="1" t="b">
        <v>0</v>
      </c>
      <c r="U2516" s="1" t="s">
        <v>39</v>
      </c>
      <c r="V2516" s="3">
        <v>3</v>
      </c>
    </row>
    <row r="2517" spans="1:22" x14ac:dyDescent="0.3">
      <c r="A2517" s="2" t="s">
        <v>5517</v>
      </c>
      <c r="B2517" s="10">
        <v>44776</v>
      </c>
      <c r="C2517" s="22">
        <v>44776</v>
      </c>
      <c r="D2517" s="1" t="s">
        <v>5518</v>
      </c>
      <c r="E2517" s="1" t="s">
        <v>1263</v>
      </c>
      <c r="F2517" s="1">
        <v>48</v>
      </c>
      <c r="G2517" s="1" t="s">
        <v>68</v>
      </c>
      <c r="H2517" s="1" t="s">
        <v>74</v>
      </c>
      <c r="I2517" s="1" t="s">
        <v>75</v>
      </c>
      <c r="J2517" s="1" t="s">
        <v>27</v>
      </c>
      <c r="K2517" s="1" t="s">
        <v>28</v>
      </c>
      <c r="L2517" s="1">
        <v>1</v>
      </c>
      <c r="M2517" s="13">
        <v>259.95</v>
      </c>
      <c r="N2517" s="15">
        <v>0.3</v>
      </c>
      <c r="O2517" s="13">
        <v>210.74</v>
      </c>
      <c r="P2517" s="13">
        <v>16.68</v>
      </c>
      <c r="Q2517" s="13">
        <v>40.85</v>
      </c>
      <c r="R2517" s="1" t="s">
        <v>57</v>
      </c>
      <c r="S2517" s="1">
        <v>3</v>
      </c>
      <c r="T2517" s="1" t="b">
        <v>0</v>
      </c>
      <c r="U2517" s="1" t="s">
        <v>39</v>
      </c>
      <c r="V2517" s="3">
        <v>9</v>
      </c>
    </row>
    <row r="2518" spans="1:22" x14ac:dyDescent="0.3">
      <c r="A2518" s="2" t="s">
        <v>5519</v>
      </c>
      <c r="B2518" s="10">
        <v>44345</v>
      </c>
      <c r="C2518" s="22">
        <v>44345</v>
      </c>
      <c r="D2518" s="1" t="s">
        <v>5520</v>
      </c>
      <c r="E2518" s="1" t="s">
        <v>926</v>
      </c>
      <c r="F2518" s="1">
        <v>34</v>
      </c>
      <c r="G2518" s="1" t="s">
        <v>68</v>
      </c>
      <c r="H2518" s="1" t="s">
        <v>35</v>
      </c>
      <c r="I2518" s="1" t="s">
        <v>49</v>
      </c>
      <c r="J2518" s="1" t="s">
        <v>62</v>
      </c>
      <c r="K2518" s="1" t="s">
        <v>570</v>
      </c>
      <c r="L2518" s="1">
        <v>7</v>
      </c>
      <c r="M2518" s="13">
        <v>846.48</v>
      </c>
      <c r="N2518" s="15">
        <v>0.2</v>
      </c>
      <c r="O2518" s="13">
        <v>6420.7</v>
      </c>
      <c r="P2518" s="13">
        <v>2975.81</v>
      </c>
      <c r="Q2518" s="13">
        <v>30.99</v>
      </c>
      <c r="R2518" s="1" t="s">
        <v>70</v>
      </c>
      <c r="S2518" s="1">
        <v>3</v>
      </c>
      <c r="T2518" s="1" t="b">
        <v>0</v>
      </c>
      <c r="U2518" s="1" t="s">
        <v>39</v>
      </c>
      <c r="V2518" s="3">
        <v>1</v>
      </c>
    </row>
    <row r="2519" spans="1:22" x14ac:dyDescent="0.3">
      <c r="A2519" s="2" t="s">
        <v>5521</v>
      </c>
      <c r="B2519" s="10">
        <v>44293</v>
      </c>
      <c r="C2519" s="22">
        <v>44293</v>
      </c>
      <c r="D2519" s="1" t="s">
        <v>5522</v>
      </c>
      <c r="E2519" s="1" t="s">
        <v>1459</v>
      </c>
      <c r="F2519" s="1">
        <v>23</v>
      </c>
      <c r="G2519" s="1" t="s">
        <v>24</v>
      </c>
      <c r="H2519" s="1" t="s">
        <v>25</v>
      </c>
      <c r="I2519" s="1" t="s">
        <v>170</v>
      </c>
      <c r="J2519" s="1" t="s">
        <v>76</v>
      </c>
      <c r="K2519" s="1" t="s">
        <v>132</v>
      </c>
      <c r="L2519" s="1">
        <v>9</v>
      </c>
      <c r="M2519" s="13">
        <v>2816.32</v>
      </c>
      <c r="N2519" s="15">
        <v>0.13</v>
      </c>
      <c r="O2519" s="13">
        <v>29155.08</v>
      </c>
      <c r="P2519" s="13">
        <v>5473.17</v>
      </c>
      <c r="Q2519" s="13">
        <v>58.3</v>
      </c>
      <c r="R2519" s="1" t="s">
        <v>29</v>
      </c>
      <c r="S2519" s="1">
        <v>3</v>
      </c>
      <c r="T2519" s="1" t="b">
        <v>0</v>
      </c>
      <c r="U2519" s="1" t="s">
        <v>84</v>
      </c>
      <c r="V2519" s="3">
        <v>3</v>
      </c>
    </row>
    <row r="2520" spans="1:22" x14ac:dyDescent="0.3">
      <c r="A2520" s="2" t="s">
        <v>5523</v>
      </c>
      <c r="B2520" s="10">
        <v>45412</v>
      </c>
      <c r="C2520" s="22">
        <v>45412</v>
      </c>
      <c r="D2520" s="1" t="s">
        <v>5524</v>
      </c>
      <c r="E2520" s="1" t="s">
        <v>189</v>
      </c>
      <c r="F2520" s="1">
        <v>42</v>
      </c>
      <c r="G2520" s="1" t="s">
        <v>24</v>
      </c>
      <c r="H2520" s="1" t="s">
        <v>111</v>
      </c>
      <c r="I2520" s="1" t="s">
        <v>121</v>
      </c>
      <c r="J2520" s="1" t="s">
        <v>44</v>
      </c>
      <c r="K2520" s="1" t="s">
        <v>186</v>
      </c>
      <c r="L2520" s="1">
        <v>4</v>
      </c>
      <c r="M2520" s="13">
        <v>15880.17</v>
      </c>
      <c r="N2520" s="15">
        <v>0.08</v>
      </c>
      <c r="O2520" s="13">
        <v>96311.3</v>
      </c>
      <c r="P2520" s="13">
        <v>34839.089999999997</v>
      </c>
      <c r="Q2520" s="13">
        <v>69.260000000000005</v>
      </c>
      <c r="R2520" s="1" t="s">
        <v>29</v>
      </c>
      <c r="S2520" s="1">
        <v>4</v>
      </c>
      <c r="T2520" s="1" t="b">
        <v>0</v>
      </c>
      <c r="U2520" s="1" t="s">
        <v>39</v>
      </c>
      <c r="V2520" s="3">
        <v>4</v>
      </c>
    </row>
    <row r="2521" spans="1:22" x14ac:dyDescent="0.3">
      <c r="A2521" s="2" t="s">
        <v>5525</v>
      </c>
      <c r="B2521" s="10">
        <v>45354</v>
      </c>
      <c r="C2521" s="22">
        <v>45354</v>
      </c>
      <c r="D2521" s="1" t="s">
        <v>5526</v>
      </c>
      <c r="E2521" s="1" t="s">
        <v>4150</v>
      </c>
      <c r="F2521" s="1">
        <v>25</v>
      </c>
      <c r="G2521" s="1" t="s">
        <v>34</v>
      </c>
      <c r="H2521" s="1" t="s">
        <v>25</v>
      </c>
      <c r="I2521" s="1" t="s">
        <v>170</v>
      </c>
      <c r="J2521" s="1" t="s">
        <v>27</v>
      </c>
      <c r="K2521" s="1" t="s">
        <v>430</v>
      </c>
      <c r="L2521" s="1">
        <v>7</v>
      </c>
      <c r="M2521" s="13">
        <v>126.08</v>
      </c>
      <c r="N2521" s="15">
        <v>0.08</v>
      </c>
      <c r="O2521" s="13">
        <v>1012.38</v>
      </c>
      <c r="P2521" s="13">
        <v>81.39</v>
      </c>
      <c r="Q2521" s="13">
        <v>55.37</v>
      </c>
      <c r="R2521" s="1" t="s">
        <v>70</v>
      </c>
      <c r="S2521" s="1">
        <v>2</v>
      </c>
      <c r="T2521" s="1" t="b">
        <v>0</v>
      </c>
      <c r="U2521" s="1" t="s">
        <v>39</v>
      </c>
      <c r="V2521" s="3">
        <v>9</v>
      </c>
    </row>
    <row r="2522" spans="1:22" x14ac:dyDescent="0.3">
      <c r="A2522" s="2" t="s">
        <v>5527</v>
      </c>
      <c r="B2522" s="10">
        <v>44889</v>
      </c>
      <c r="C2522" s="22">
        <v>44889</v>
      </c>
      <c r="D2522" s="1" t="s">
        <v>5528</v>
      </c>
      <c r="E2522" s="1" t="s">
        <v>1591</v>
      </c>
      <c r="F2522" s="1">
        <v>48</v>
      </c>
      <c r="G2522" s="1" t="s">
        <v>24</v>
      </c>
      <c r="H2522" s="1" t="s">
        <v>74</v>
      </c>
      <c r="I2522" s="1" t="s">
        <v>75</v>
      </c>
      <c r="J2522" s="1" t="s">
        <v>146</v>
      </c>
      <c r="K2522" s="1" t="s">
        <v>217</v>
      </c>
      <c r="L2522" s="1">
        <v>2</v>
      </c>
      <c r="M2522" s="13">
        <v>1682.52</v>
      </c>
      <c r="N2522" s="15">
        <v>0.04</v>
      </c>
      <c r="O2522" s="13">
        <v>3162.9</v>
      </c>
      <c r="P2522" s="13">
        <v>650.21</v>
      </c>
      <c r="Q2522" s="13">
        <v>69.290000000000006</v>
      </c>
      <c r="R2522" s="1" t="s">
        <v>29</v>
      </c>
      <c r="S2522" s="1">
        <v>2</v>
      </c>
      <c r="T2522" s="1" t="b">
        <v>0</v>
      </c>
      <c r="U2522" s="1" t="s">
        <v>39</v>
      </c>
      <c r="V2522" s="3">
        <v>2</v>
      </c>
    </row>
    <row r="2523" spans="1:22" x14ac:dyDescent="0.3">
      <c r="A2523" s="2" t="s">
        <v>5529</v>
      </c>
      <c r="B2523" s="10">
        <v>44635</v>
      </c>
      <c r="C2523" s="22">
        <v>44635</v>
      </c>
      <c r="D2523" s="1" t="s">
        <v>5530</v>
      </c>
      <c r="E2523" s="1" t="s">
        <v>48</v>
      </c>
      <c r="F2523" s="1">
        <v>39</v>
      </c>
      <c r="G2523" s="1" t="s">
        <v>434</v>
      </c>
      <c r="H2523" s="1" t="s">
        <v>82</v>
      </c>
      <c r="I2523" s="1" t="s">
        <v>244</v>
      </c>
      <c r="J2523" s="1" t="s">
        <v>44</v>
      </c>
      <c r="K2523" s="1" t="s">
        <v>221</v>
      </c>
      <c r="L2523" s="1">
        <v>3</v>
      </c>
      <c r="M2523" s="13">
        <v>5315.14</v>
      </c>
      <c r="N2523" s="15">
        <v>0.2</v>
      </c>
      <c r="O2523" s="13">
        <v>17403.330000000002</v>
      </c>
      <c r="P2523" s="13">
        <v>5876.17</v>
      </c>
      <c r="Q2523" s="13">
        <v>97.08</v>
      </c>
      <c r="R2523" s="1" t="s">
        <v>70</v>
      </c>
      <c r="S2523" s="1">
        <v>5</v>
      </c>
      <c r="T2523" s="1" t="b">
        <v>0</v>
      </c>
      <c r="U2523" s="1" t="s">
        <v>39</v>
      </c>
      <c r="V2523" s="3">
        <v>6</v>
      </c>
    </row>
    <row r="2524" spans="1:22" x14ac:dyDescent="0.3">
      <c r="A2524" s="2" t="s">
        <v>5531</v>
      </c>
      <c r="B2524" s="10">
        <v>45036</v>
      </c>
      <c r="C2524" s="22">
        <v>45036</v>
      </c>
      <c r="D2524" s="1" t="s">
        <v>5532</v>
      </c>
      <c r="E2524" s="1" t="s">
        <v>120</v>
      </c>
      <c r="F2524" s="1">
        <v>17</v>
      </c>
      <c r="G2524" s="1" t="s">
        <v>68</v>
      </c>
      <c r="H2524" s="1" t="s">
        <v>74</v>
      </c>
      <c r="I2524" s="1" t="s">
        <v>136</v>
      </c>
      <c r="J2524" s="1" t="s">
        <v>146</v>
      </c>
      <c r="K2524" s="1" t="s">
        <v>147</v>
      </c>
      <c r="L2524" s="1">
        <v>4</v>
      </c>
      <c r="M2524" s="13">
        <v>14577.36</v>
      </c>
      <c r="N2524" s="15">
        <v>0.33</v>
      </c>
      <c r="O2524" s="13">
        <v>50624.06</v>
      </c>
      <c r="P2524" s="13">
        <v>7342.63</v>
      </c>
      <c r="Q2524" s="13">
        <v>51.26</v>
      </c>
      <c r="R2524" s="1" t="s">
        <v>70</v>
      </c>
      <c r="S2524" s="1">
        <v>4</v>
      </c>
      <c r="T2524" s="1" t="b">
        <v>0</v>
      </c>
      <c r="U2524" s="1" t="s">
        <v>39</v>
      </c>
      <c r="V2524" s="3">
        <v>6</v>
      </c>
    </row>
    <row r="2525" spans="1:22" x14ac:dyDescent="0.3">
      <c r="A2525" s="2" t="s">
        <v>5533</v>
      </c>
      <c r="B2525" s="10">
        <v>45479</v>
      </c>
      <c r="C2525" s="22">
        <v>45479</v>
      </c>
      <c r="D2525" s="1" t="s">
        <v>5534</v>
      </c>
      <c r="E2525" s="1" t="s">
        <v>1036</v>
      </c>
      <c r="F2525" s="1">
        <v>27</v>
      </c>
      <c r="G2525" s="1" t="s">
        <v>68</v>
      </c>
      <c r="H2525" s="1" t="s">
        <v>111</v>
      </c>
      <c r="I2525" s="1" t="s">
        <v>330</v>
      </c>
      <c r="J2525" s="1" t="s">
        <v>37</v>
      </c>
      <c r="K2525" s="1" t="s">
        <v>38</v>
      </c>
      <c r="L2525" s="1">
        <v>7</v>
      </c>
      <c r="M2525" s="13">
        <v>1042.17</v>
      </c>
      <c r="N2525" s="15">
        <v>0.38</v>
      </c>
      <c r="O2525" s="13">
        <v>7279.6</v>
      </c>
      <c r="P2525" s="13">
        <v>3363.37</v>
      </c>
      <c r="Q2525" s="13">
        <v>71.040000000000006</v>
      </c>
      <c r="R2525" s="1" t="s">
        <v>51</v>
      </c>
      <c r="S2525" s="1">
        <v>5</v>
      </c>
      <c r="T2525" s="1" t="b">
        <v>0</v>
      </c>
      <c r="U2525" s="1" t="s">
        <v>58</v>
      </c>
      <c r="V2525" s="3">
        <v>5</v>
      </c>
    </row>
    <row r="2526" spans="1:22" x14ac:dyDescent="0.3">
      <c r="A2526" s="2" t="s">
        <v>5535</v>
      </c>
      <c r="B2526" s="10">
        <v>45007</v>
      </c>
      <c r="C2526" s="22">
        <v>45007</v>
      </c>
      <c r="D2526" s="1" t="s">
        <v>5536</v>
      </c>
      <c r="E2526" s="1" t="s">
        <v>858</v>
      </c>
      <c r="F2526" s="1">
        <v>0</v>
      </c>
      <c r="G2526" s="1" t="s">
        <v>68</v>
      </c>
      <c r="H2526" s="1" t="s">
        <v>111</v>
      </c>
      <c r="I2526" s="1" t="s">
        <v>112</v>
      </c>
      <c r="J2526" s="1" t="s">
        <v>37</v>
      </c>
      <c r="K2526" s="1" t="s">
        <v>231</v>
      </c>
      <c r="L2526" s="1">
        <v>10</v>
      </c>
      <c r="M2526" s="13">
        <v>1958.8</v>
      </c>
      <c r="N2526" s="15">
        <v>0.39</v>
      </c>
      <c r="O2526" s="13">
        <v>14393.92</v>
      </c>
      <c r="P2526" s="13">
        <v>7311.62</v>
      </c>
      <c r="Q2526" s="13">
        <v>56.07</v>
      </c>
      <c r="R2526" s="1" t="s">
        <v>78</v>
      </c>
      <c r="S2526" s="1">
        <v>5</v>
      </c>
      <c r="T2526" s="1" t="b">
        <v>0</v>
      </c>
      <c r="U2526" s="1" t="s">
        <v>39</v>
      </c>
      <c r="V2526" s="3">
        <v>7</v>
      </c>
    </row>
    <row r="2527" spans="1:22" x14ac:dyDescent="0.3">
      <c r="A2527" s="2" t="s">
        <v>5537</v>
      </c>
      <c r="B2527" s="10">
        <v>45355</v>
      </c>
      <c r="C2527" s="22">
        <v>45355</v>
      </c>
      <c r="D2527" s="1" t="s">
        <v>5538</v>
      </c>
      <c r="E2527" s="1" t="s">
        <v>2875</v>
      </c>
      <c r="F2527" s="1">
        <v>53</v>
      </c>
      <c r="G2527" s="1" t="s">
        <v>463</v>
      </c>
      <c r="H2527" s="1" t="s">
        <v>35</v>
      </c>
      <c r="I2527" s="1" t="s">
        <v>43</v>
      </c>
      <c r="J2527" s="1" t="s">
        <v>76</v>
      </c>
      <c r="K2527" s="1" t="s">
        <v>122</v>
      </c>
      <c r="L2527" s="1">
        <v>7</v>
      </c>
      <c r="M2527" s="13">
        <v>2771.26</v>
      </c>
      <c r="N2527" s="15">
        <v>0.15</v>
      </c>
      <c r="O2527" s="13">
        <v>21782.06</v>
      </c>
      <c r="P2527" s="13">
        <v>8460.2099999999991</v>
      </c>
      <c r="Q2527" s="13">
        <v>35.65</v>
      </c>
      <c r="R2527" s="1" t="s">
        <v>70</v>
      </c>
      <c r="S2527" s="1">
        <v>5</v>
      </c>
      <c r="T2527" s="1" t="b">
        <v>0</v>
      </c>
      <c r="U2527" s="1" t="s">
        <v>39</v>
      </c>
      <c r="V2527" s="3">
        <v>7</v>
      </c>
    </row>
    <row r="2528" spans="1:22" x14ac:dyDescent="0.3">
      <c r="A2528" s="2" t="s">
        <v>5539</v>
      </c>
      <c r="B2528" s="10">
        <v>44972</v>
      </c>
      <c r="C2528" s="22">
        <v>44972</v>
      </c>
      <c r="D2528" s="1" t="s">
        <v>5540</v>
      </c>
      <c r="E2528" s="1" t="s">
        <v>891</v>
      </c>
      <c r="F2528" s="1">
        <v>26</v>
      </c>
      <c r="G2528" s="1" t="s">
        <v>24</v>
      </c>
      <c r="H2528" s="1" t="s">
        <v>74</v>
      </c>
      <c r="I2528" s="1" t="s">
        <v>101</v>
      </c>
      <c r="J2528" s="1" t="s">
        <v>37</v>
      </c>
      <c r="K2528" s="1" t="s">
        <v>182</v>
      </c>
      <c r="L2528" s="1">
        <v>3</v>
      </c>
      <c r="M2528" s="13">
        <v>1142.82</v>
      </c>
      <c r="N2528" s="15">
        <v>0.23</v>
      </c>
      <c r="O2528" s="13">
        <v>2958.07</v>
      </c>
      <c r="P2528" s="13">
        <v>1291.21</v>
      </c>
      <c r="Q2528" s="13">
        <v>53.34</v>
      </c>
      <c r="R2528" s="1" t="s">
        <v>64</v>
      </c>
      <c r="S2528" s="1">
        <v>5</v>
      </c>
      <c r="T2528" s="1" t="b">
        <v>1</v>
      </c>
      <c r="U2528" s="1" t="s">
        <v>30</v>
      </c>
      <c r="V2528" s="3">
        <v>9</v>
      </c>
    </row>
    <row r="2529" spans="1:22" x14ac:dyDescent="0.3">
      <c r="A2529" s="2" t="s">
        <v>5541</v>
      </c>
      <c r="B2529" s="10">
        <v>45172</v>
      </c>
      <c r="C2529" s="22">
        <v>45172</v>
      </c>
      <c r="D2529" s="1" t="s">
        <v>5542</v>
      </c>
      <c r="E2529" s="1" t="s">
        <v>755</v>
      </c>
      <c r="F2529" s="1">
        <v>18</v>
      </c>
      <c r="G2529" s="1" t="s">
        <v>24</v>
      </c>
      <c r="H2529" s="1" t="s">
        <v>82</v>
      </c>
      <c r="I2529" s="1" t="s">
        <v>83</v>
      </c>
      <c r="J2529" s="1" t="s">
        <v>37</v>
      </c>
      <c r="K2529" s="1" t="s">
        <v>102</v>
      </c>
      <c r="L2529" s="1">
        <v>6</v>
      </c>
      <c r="M2529" s="13">
        <v>993.05</v>
      </c>
      <c r="N2529" s="15">
        <v>0.01</v>
      </c>
      <c r="O2529" s="13">
        <v>7148.92</v>
      </c>
      <c r="P2529" s="13">
        <v>2268.41</v>
      </c>
      <c r="Q2529" s="13">
        <v>82.4</v>
      </c>
      <c r="R2529" s="1" t="s">
        <v>78</v>
      </c>
      <c r="S2529" s="1">
        <v>5</v>
      </c>
      <c r="T2529" s="1" t="b">
        <v>0</v>
      </c>
      <c r="U2529" s="1" t="s">
        <v>39</v>
      </c>
      <c r="V2529" s="3">
        <v>1</v>
      </c>
    </row>
    <row r="2530" spans="1:22" x14ac:dyDescent="0.3">
      <c r="A2530" s="2" t="s">
        <v>5543</v>
      </c>
      <c r="B2530" s="10">
        <v>45416</v>
      </c>
      <c r="C2530" s="22">
        <v>45416</v>
      </c>
      <c r="D2530" s="1" t="s">
        <v>5544</v>
      </c>
      <c r="E2530" s="1" t="s">
        <v>250</v>
      </c>
      <c r="F2530" s="1">
        <v>57</v>
      </c>
      <c r="G2530" s="1" t="s">
        <v>68</v>
      </c>
      <c r="H2530" s="1" t="s">
        <v>25</v>
      </c>
      <c r="I2530" s="1" t="s">
        <v>69</v>
      </c>
      <c r="J2530" s="1" t="s">
        <v>62</v>
      </c>
      <c r="K2530" s="1" t="s">
        <v>266</v>
      </c>
      <c r="L2530" s="1">
        <v>8</v>
      </c>
      <c r="M2530" s="13">
        <v>1190.92</v>
      </c>
      <c r="N2530" s="15">
        <v>0.22</v>
      </c>
      <c r="O2530" s="13">
        <v>14021.08</v>
      </c>
      <c r="P2530" s="13">
        <v>5817.67</v>
      </c>
      <c r="Q2530" s="13">
        <v>76.180000000000007</v>
      </c>
      <c r="R2530" s="1" t="s">
        <v>78</v>
      </c>
      <c r="S2530" s="1">
        <v>3</v>
      </c>
      <c r="T2530" s="1" t="b">
        <v>1</v>
      </c>
      <c r="U2530" s="1" t="s">
        <v>30</v>
      </c>
      <c r="V2530" s="3">
        <v>1</v>
      </c>
    </row>
    <row r="2531" spans="1:22" x14ac:dyDescent="0.3">
      <c r="A2531" s="2" t="s">
        <v>5545</v>
      </c>
      <c r="B2531" s="10">
        <v>44533</v>
      </c>
      <c r="C2531" s="22">
        <v>44533</v>
      </c>
      <c r="D2531" s="1" t="s">
        <v>5546</v>
      </c>
      <c r="E2531" s="1" t="s">
        <v>1899</v>
      </c>
      <c r="F2531" s="1">
        <v>30</v>
      </c>
      <c r="G2531" s="1" t="s">
        <v>391</v>
      </c>
      <c r="H2531" s="1" t="s">
        <v>25</v>
      </c>
      <c r="I2531" s="1" t="s">
        <v>26</v>
      </c>
      <c r="J2531" s="1" t="s">
        <v>76</v>
      </c>
      <c r="K2531" s="1" t="s">
        <v>113</v>
      </c>
      <c r="L2531" s="1">
        <v>8</v>
      </c>
      <c r="M2531" s="13">
        <v>3931.3</v>
      </c>
      <c r="N2531" s="15">
        <v>0.21</v>
      </c>
      <c r="O2531" s="13">
        <v>17747.79</v>
      </c>
      <c r="P2531" s="13">
        <v>5566.53</v>
      </c>
      <c r="Q2531" s="13">
        <v>73.66</v>
      </c>
      <c r="R2531" s="1" t="s">
        <v>78</v>
      </c>
      <c r="S2531" s="1">
        <v>3</v>
      </c>
      <c r="T2531" s="1" t="b">
        <v>1</v>
      </c>
      <c r="U2531" s="1" t="s">
        <v>30</v>
      </c>
      <c r="V2531" s="3">
        <v>5</v>
      </c>
    </row>
    <row r="2532" spans="1:22" x14ac:dyDescent="0.3">
      <c r="A2532" s="2" t="s">
        <v>5547</v>
      </c>
      <c r="B2532" s="10">
        <v>43853</v>
      </c>
      <c r="C2532" s="22">
        <v>43853</v>
      </c>
      <c r="D2532" s="1" t="s">
        <v>5548</v>
      </c>
      <c r="E2532" s="1" t="s">
        <v>279</v>
      </c>
      <c r="F2532" s="1">
        <v>20</v>
      </c>
      <c r="G2532" s="1" t="s">
        <v>68</v>
      </c>
      <c r="H2532" s="1" t="s">
        <v>35</v>
      </c>
      <c r="I2532" s="1" t="s">
        <v>36</v>
      </c>
      <c r="J2532" s="1" t="s">
        <v>62</v>
      </c>
      <c r="K2532" s="1" t="s">
        <v>63</v>
      </c>
      <c r="L2532" s="1">
        <v>4</v>
      </c>
      <c r="M2532" s="13">
        <v>1208.46</v>
      </c>
      <c r="N2532" s="15">
        <v>0.01</v>
      </c>
      <c r="O2532" s="13">
        <v>3212.12</v>
      </c>
      <c r="P2532" s="13">
        <v>1192.21</v>
      </c>
      <c r="Q2532" s="13">
        <v>60.86</v>
      </c>
      <c r="R2532" s="1" t="s">
        <v>70</v>
      </c>
      <c r="S2532" s="1">
        <v>3</v>
      </c>
      <c r="T2532" s="1" t="b">
        <v>0</v>
      </c>
      <c r="U2532" s="1" t="s">
        <v>39</v>
      </c>
      <c r="V2532" s="3">
        <v>10</v>
      </c>
    </row>
    <row r="2533" spans="1:22" x14ac:dyDescent="0.3">
      <c r="A2533" s="2" t="s">
        <v>5549</v>
      </c>
      <c r="B2533" s="10">
        <v>44999</v>
      </c>
      <c r="C2533" s="22">
        <v>44999</v>
      </c>
      <c r="D2533" s="1" t="s">
        <v>5550</v>
      </c>
      <c r="E2533" s="1" t="s">
        <v>540</v>
      </c>
      <c r="F2533" s="1">
        <v>46</v>
      </c>
      <c r="G2533" s="1" t="s">
        <v>24</v>
      </c>
      <c r="H2533" s="1" t="s">
        <v>35</v>
      </c>
      <c r="I2533" s="1" t="s">
        <v>49</v>
      </c>
      <c r="J2533" s="1" t="s">
        <v>62</v>
      </c>
      <c r="K2533" s="1" t="s">
        <v>151</v>
      </c>
      <c r="L2533" s="1">
        <v>2</v>
      </c>
      <c r="M2533" s="13">
        <v>1077.1099999999999</v>
      </c>
      <c r="N2533" s="15">
        <v>0.3</v>
      </c>
      <c r="O2533" s="13">
        <v>1827.02</v>
      </c>
      <c r="P2533" s="13">
        <v>727.8</v>
      </c>
      <c r="Q2533" s="13">
        <v>61.35</v>
      </c>
      <c r="R2533" s="1" t="s">
        <v>78</v>
      </c>
      <c r="S2533" s="1">
        <v>5</v>
      </c>
      <c r="T2533" s="1" t="b">
        <v>0</v>
      </c>
      <c r="U2533" s="1" t="s">
        <v>39</v>
      </c>
      <c r="V2533" s="3">
        <v>6</v>
      </c>
    </row>
    <row r="2534" spans="1:22" x14ac:dyDescent="0.3">
      <c r="A2534" s="2" t="s">
        <v>5551</v>
      </c>
      <c r="B2534" s="10">
        <v>44158</v>
      </c>
      <c r="C2534" s="22">
        <v>44158</v>
      </c>
      <c r="D2534" s="1" t="s">
        <v>5552</v>
      </c>
      <c r="E2534" s="1" t="s">
        <v>1091</v>
      </c>
      <c r="F2534" s="1">
        <v>47</v>
      </c>
      <c r="G2534" s="1" t="s">
        <v>24</v>
      </c>
      <c r="H2534" s="1" t="s">
        <v>111</v>
      </c>
      <c r="I2534" s="1" t="s">
        <v>112</v>
      </c>
      <c r="J2534" s="1" t="s">
        <v>27</v>
      </c>
      <c r="K2534" s="1" t="s">
        <v>400</v>
      </c>
      <c r="L2534" s="1">
        <v>7</v>
      </c>
      <c r="M2534" s="13">
        <v>368.78</v>
      </c>
      <c r="N2534" s="15">
        <v>0.12</v>
      </c>
      <c r="O2534" s="13">
        <v>1528.79</v>
      </c>
      <c r="P2534" s="13">
        <v>127.54</v>
      </c>
      <c r="Q2534" s="13">
        <v>66.03</v>
      </c>
      <c r="R2534" s="1" t="s">
        <v>78</v>
      </c>
      <c r="S2534" s="1">
        <v>4</v>
      </c>
      <c r="T2534" s="1" t="b">
        <v>0</v>
      </c>
      <c r="U2534" s="1" t="s">
        <v>39</v>
      </c>
      <c r="V2534" s="3">
        <v>9</v>
      </c>
    </row>
    <row r="2535" spans="1:22" x14ac:dyDescent="0.3">
      <c r="A2535" s="2" t="s">
        <v>5553</v>
      </c>
      <c r="B2535" s="10">
        <v>44172</v>
      </c>
      <c r="C2535" s="22">
        <v>44172</v>
      </c>
      <c r="D2535" s="1" t="s">
        <v>5554</v>
      </c>
      <c r="E2535" s="1" t="s">
        <v>1297</v>
      </c>
      <c r="F2535" s="1">
        <v>31</v>
      </c>
      <c r="G2535" s="1" t="s">
        <v>34</v>
      </c>
      <c r="H2535" s="1" t="s">
        <v>74</v>
      </c>
      <c r="I2535" s="1" t="s">
        <v>136</v>
      </c>
      <c r="J2535" s="1" t="s">
        <v>37</v>
      </c>
      <c r="K2535" s="1" t="s">
        <v>231</v>
      </c>
      <c r="L2535" s="1">
        <v>8</v>
      </c>
      <c r="M2535" s="13">
        <v>1138.01</v>
      </c>
      <c r="N2535" s="15">
        <v>0.11</v>
      </c>
      <c r="O2535" s="13">
        <v>5468.92</v>
      </c>
      <c r="P2535" s="13">
        <v>1289.6600000000001</v>
      </c>
      <c r="Q2535" s="13">
        <v>49.38</v>
      </c>
      <c r="R2535" s="1" t="s">
        <v>57</v>
      </c>
      <c r="S2535" s="1">
        <v>2</v>
      </c>
      <c r="T2535" s="1" t="b">
        <v>0</v>
      </c>
      <c r="U2535" s="1" t="s">
        <v>39</v>
      </c>
      <c r="V2535" s="3">
        <v>2</v>
      </c>
    </row>
    <row r="2536" spans="1:22" x14ac:dyDescent="0.3">
      <c r="A2536" s="2" t="s">
        <v>5555</v>
      </c>
      <c r="B2536" s="10">
        <v>44383</v>
      </c>
      <c r="C2536" s="22">
        <v>44383</v>
      </c>
      <c r="D2536" s="1" t="s">
        <v>5556</v>
      </c>
      <c r="E2536" s="1" t="s">
        <v>135</v>
      </c>
      <c r="F2536" s="1">
        <v>39</v>
      </c>
      <c r="G2536" s="1" t="s">
        <v>68</v>
      </c>
      <c r="H2536" s="1" t="s">
        <v>111</v>
      </c>
      <c r="I2536" s="1" t="s">
        <v>141</v>
      </c>
      <c r="J2536" s="1" t="s">
        <v>44</v>
      </c>
      <c r="K2536" s="1" t="s">
        <v>186</v>
      </c>
      <c r="L2536" s="1">
        <v>7</v>
      </c>
      <c r="M2536" s="13">
        <v>20357.47</v>
      </c>
      <c r="N2536" s="15">
        <v>0.03</v>
      </c>
      <c r="O2536" s="13">
        <v>174471.77</v>
      </c>
      <c r="P2536" s="13">
        <v>45868.32</v>
      </c>
      <c r="Q2536" s="13">
        <v>75.400000000000006</v>
      </c>
      <c r="R2536" s="1" t="s">
        <v>70</v>
      </c>
      <c r="S2536" s="1">
        <v>4</v>
      </c>
      <c r="T2536" s="1" t="b">
        <v>0</v>
      </c>
      <c r="U2536" s="1" t="s">
        <v>39</v>
      </c>
      <c r="V2536" s="3">
        <v>9</v>
      </c>
    </row>
    <row r="2537" spans="1:22" x14ac:dyDescent="0.3">
      <c r="A2537" s="2" t="s">
        <v>5557</v>
      </c>
      <c r="B2537" s="10">
        <v>45291</v>
      </c>
      <c r="C2537" s="22">
        <v>45291</v>
      </c>
      <c r="D2537" s="1" t="s">
        <v>5558</v>
      </c>
      <c r="E2537" s="1" t="s">
        <v>1904</v>
      </c>
      <c r="F2537" s="1">
        <v>40</v>
      </c>
      <c r="G2537" s="1" t="s">
        <v>34</v>
      </c>
      <c r="H2537" s="1" t="s">
        <v>111</v>
      </c>
      <c r="I2537" s="1" t="s">
        <v>330</v>
      </c>
      <c r="J2537" s="1" t="s">
        <v>44</v>
      </c>
      <c r="K2537" s="1" t="s">
        <v>93</v>
      </c>
      <c r="L2537" s="1">
        <v>9</v>
      </c>
      <c r="M2537" s="13">
        <v>13849.98</v>
      </c>
      <c r="N2537" s="15">
        <v>0.25</v>
      </c>
      <c r="O2537" s="13">
        <v>72465.97</v>
      </c>
      <c r="P2537" s="13">
        <v>23060.68</v>
      </c>
      <c r="Q2537" s="13">
        <v>47.19</v>
      </c>
      <c r="R2537" s="1" t="s">
        <v>78</v>
      </c>
      <c r="S2537" s="1">
        <v>2</v>
      </c>
      <c r="T2537" s="1" t="b">
        <v>0</v>
      </c>
      <c r="U2537" s="1" t="s">
        <v>39</v>
      </c>
      <c r="V2537" s="3">
        <v>5</v>
      </c>
    </row>
    <row r="2538" spans="1:22" x14ac:dyDescent="0.3">
      <c r="A2538" s="2" t="s">
        <v>5559</v>
      </c>
      <c r="B2538" s="10">
        <v>44201</v>
      </c>
      <c r="C2538" s="22">
        <v>44201</v>
      </c>
      <c r="D2538" s="1" t="s">
        <v>5560</v>
      </c>
      <c r="E2538" s="1" t="s">
        <v>333</v>
      </c>
      <c r="F2538" s="1">
        <v>33</v>
      </c>
      <c r="G2538" s="1" t="s">
        <v>34</v>
      </c>
      <c r="H2538" s="1" t="s">
        <v>111</v>
      </c>
      <c r="I2538" s="1" t="s">
        <v>141</v>
      </c>
      <c r="J2538" s="1" t="s">
        <v>76</v>
      </c>
      <c r="K2538" s="1" t="s">
        <v>207</v>
      </c>
      <c r="L2538" s="1">
        <v>999</v>
      </c>
      <c r="M2538" s="13">
        <v>3280.13</v>
      </c>
      <c r="N2538" s="15">
        <v>0.03</v>
      </c>
      <c r="O2538" s="13">
        <v>2586345.13</v>
      </c>
      <c r="P2538" s="13">
        <v>921794.6</v>
      </c>
      <c r="Q2538" s="13">
        <v>83.69</v>
      </c>
      <c r="R2538" s="1" t="s">
        <v>51</v>
      </c>
      <c r="S2538" s="1">
        <v>1</v>
      </c>
      <c r="T2538" s="1" t="b">
        <v>1</v>
      </c>
      <c r="U2538" s="1" t="s">
        <v>30</v>
      </c>
      <c r="V2538" s="3">
        <v>7</v>
      </c>
    </row>
    <row r="2539" spans="1:22" x14ac:dyDescent="0.3">
      <c r="A2539" s="2" t="s">
        <v>5561</v>
      </c>
      <c r="B2539" s="10">
        <v>44758</v>
      </c>
      <c r="C2539" s="22">
        <v>44758</v>
      </c>
      <c r="D2539" s="1" t="s">
        <v>5562</v>
      </c>
      <c r="E2539" s="1" t="s">
        <v>433</v>
      </c>
      <c r="F2539" s="1">
        <v>36</v>
      </c>
      <c r="G2539" s="1" t="s">
        <v>68</v>
      </c>
      <c r="H2539" s="1" t="s">
        <v>25</v>
      </c>
      <c r="I2539" s="1" t="s">
        <v>55</v>
      </c>
      <c r="J2539" s="1" t="s">
        <v>146</v>
      </c>
      <c r="K2539" s="1" t="s">
        <v>178</v>
      </c>
      <c r="L2539" s="1">
        <v>6</v>
      </c>
      <c r="M2539" s="13">
        <v>7187.46</v>
      </c>
      <c r="N2539" s="15">
        <v>0.27</v>
      </c>
      <c r="O2539" s="13">
        <v>45280.94</v>
      </c>
      <c r="P2539" s="13">
        <v>7760.51</v>
      </c>
      <c r="Q2539" s="13">
        <v>48.71</v>
      </c>
      <c r="R2539" s="1" t="s">
        <v>51</v>
      </c>
      <c r="S2539" s="1">
        <v>3</v>
      </c>
      <c r="T2539" s="1" t="b">
        <v>0</v>
      </c>
      <c r="U2539" s="1" t="s">
        <v>39</v>
      </c>
      <c r="V2539" s="3">
        <v>5</v>
      </c>
    </row>
    <row r="2540" spans="1:22" x14ac:dyDescent="0.3">
      <c r="A2540" s="2" t="s">
        <v>5563</v>
      </c>
      <c r="B2540" s="10">
        <v>44683</v>
      </c>
      <c r="C2540" s="22">
        <v>44683</v>
      </c>
      <c r="D2540" s="1" t="s">
        <v>5564</v>
      </c>
      <c r="E2540" s="1" t="s">
        <v>794</v>
      </c>
      <c r="F2540" s="1">
        <v>56</v>
      </c>
      <c r="G2540" s="1" t="s">
        <v>463</v>
      </c>
      <c r="H2540" s="1" t="s">
        <v>111</v>
      </c>
      <c r="I2540" s="1" t="s">
        <v>121</v>
      </c>
      <c r="J2540" s="1" t="s">
        <v>146</v>
      </c>
      <c r="K2540" s="1" t="s">
        <v>276</v>
      </c>
      <c r="L2540" s="1">
        <v>1</v>
      </c>
      <c r="M2540" s="13">
        <v>9069.14</v>
      </c>
      <c r="N2540" s="15">
        <v>0.28999999999999998</v>
      </c>
      <c r="O2540" s="13">
        <v>8752.76</v>
      </c>
      <c r="P2540" s="13">
        <v>1861.72</v>
      </c>
      <c r="Q2540" s="13">
        <v>32.619999999999997</v>
      </c>
      <c r="R2540" s="1" t="s">
        <v>29</v>
      </c>
      <c r="S2540" s="1">
        <v>4</v>
      </c>
      <c r="T2540" s="1" t="b">
        <v>0</v>
      </c>
      <c r="U2540" s="1" t="s">
        <v>3106</v>
      </c>
      <c r="V2540" s="3">
        <v>5</v>
      </c>
    </row>
    <row r="2541" spans="1:22" x14ac:dyDescent="0.3">
      <c r="A2541" s="2" t="s">
        <v>5565</v>
      </c>
      <c r="B2541" s="10">
        <v>44366</v>
      </c>
      <c r="C2541" s="22">
        <v>44366</v>
      </c>
      <c r="D2541" s="1" t="s">
        <v>5566</v>
      </c>
      <c r="E2541" s="1" t="s">
        <v>908</v>
      </c>
      <c r="F2541" s="1">
        <v>34</v>
      </c>
      <c r="G2541" s="1" t="s">
        <v>68</v>
      </c>
      <c r="H2541" s="1" t="s">
        <v>25</v>
      </c>
      <c r="I2541" s="1" t="s">
        <v>55</v>
      </c>
      <c r="J2541" s="1" t="s">
        <v>27</v>
      </c>
      <c r="K2541" s="1" t="s">
        <v>430</v>
      </c>
      <c r="L2541" s="1">
        <v>10</v>
      </c>
      <c r="M2541" s="13">
        <v>203.58</v>
      </c>
      <c r="N2541" s="15">
        <v>0.01</v>
      </c>
      <c r="O2541" s="13">
        <v>2770.83</v>
      </c>
      <c r="P2541" s="13">
        <v>255.25</v>
      </c>
      <c r="Q2541" s="13">
        <v>18.95</v>
      </c>
      <c r="R2541" s="1" t="s">
        <v>29</v>
      </c>
      <c r="S2541" s="1">
        <v>3</v>
      </c>
      <c r="T2541" s="1" t="b">
        <v>0</v>
      </c>
      <c r="U2541" s="1" t="s">
        <v>39</v>
      </c>
      <c r="V2541" s="3">
        <v>6</v>
      </c>
    </row>
    <row r="2542" spans="1:22" x14ac:dyDescent="0.3">
      <c r="A2542" s="2" t="s">
        <v>5567</v>
      </c>
      <c r="B2542" s="10">
        <v>44702</v>
      </c>
      <c r="C2542" s="22">
        <v>44702</v>
      </c>
      <c r="D2542" s="1" t="s">
        <v>5568</v>
      </c>
      <c r="E2542" s="1" t="s">
        <v>157</v>
      </c>
      <c r="F2542" s="1">
        <v>28</v>
      </c>
      <c r="G2542" s="1" t="s">
        <v>24</v>
      </c>
      <c r="H2542" s="1" t="s">
        <v>25</v>
      </c>
      <c r="I2542" s="1" t="s">
        <v>55</v>
      </c>
      <c r="J2542" s="1" t="s">
        <v>44</v>
      </c>
      <c r="K2542" s="1" t="s">
        <v>117</v>
      </c>
      <c r="L2542" s="1">
        <v>10</v>
      </c>
      <c r="M2542" s="13">
        <v>28073.85</v>
      </c>
      <c r="N2542" s="15">
        <v>0.05</v>
      </c>
      <c r="O2542" s="13">
        <v>383279</v>
      </c>
      <c r="P2542" s="13">
        <v>108417.14</v>
      </c>
      <c r="Q2542" s="13">
        <v>54.05</v>
      </c>
      <c r="R2542" s="1" t="s">
        <v>51</v>
      </c>
      <c r="S2542" s="1">
        <v>1</v>
      </c>
      <c r="T2542" s="1" t="b">
        <v>0</v>
      </c>
      <c r="U2542" s="1" t="s">
        <v>39</v>
      </c>
      <c r="V2542" s="3">
        <v>8</v>
      </c>
    </row>
    <row r="2543" spans="1:22" x14ac:dyDescent="0.3">
      <c r="A2543" s="2" t="s">
        <v>5569</v>
      </c>
      <c r="B2543" s="10">
        <v>45244</v>
      </c>
      <c r="C2543" s="22">
        <v>45244</v>
      </c>
      <c r="D2543" s="1" t="s">
        <v>5570</v>
      </c>
      <c r="E2543" s="1" t="s">
        <v>3518</v>
      </c>
      <c r="F2543" s="1">
        <v>32</v>
      </c>
      <c r="G2543" s="1" t="s">
        <v>34</v>
      </c>
      <c r="H2543" s="1" t="s">
        <v>82</v>
      </c>
      <c r="I2543" s="1" t="s">
        <v>244</v>
      </c>
      <c r="J2543" s="1" t="s">
        <v>76</v>
      </c>
      <c r="K2543" s="1" t="s">
        <v>122</v>
      </c>
      <c r="L2543" s="1">
        <v>5</v>
      </c>
      <c r="M2543" s="13">
        <v>1851.88</v>
      </c>
      <c r="N2543" s="15">
        <v>0.28999999999999998</v>
      </c>
      <c r="O2543" s="13">
        <v>6571.19</v>
      </c>
      <c r="P2543" s="13">
        <v>2703.37</v>
      </c>
      <c r="Q2543" s="13">
        <v>85.66</v>
      </c>
      <c r="R2543" s="1" t="s">
        <v>70</v>
      </c>
      <c r="S2543" s="1">
        <v>3</v>
      </c>
      <c r="T2543" s="1" t="b">
        <v>1</v>
      </c>
      <c r="U2543" s="1" t="s">
        <v>30</v>
      </c>
      <c r="V2543" s="3">
        <v>2</v>
      </c>
    </row>
    <row r="2544" spans="1:22" x14ac:dyDescent="0.3">
      <c r="A2544" s="2" t="s">
        <v>5571</v>
      </c>
      <c r="B2544" s="10">
        <v>44485</v>
      </c>
      <c r="C2544" s="22">
        <v>44485</v>
      </c>
      <c r="D2544" s="1" t="s">
        <v>5572</v>
      </c>
      <c r="E2544" s="1" t="s">
        <v>2295</v>
      </c>
      <c r="F2544" s="1">
        <v>42</v>
      </c>
      <c r="G2544" s="1" t="s">
        <v>24</v>
      </c>
      <c r="H2544" s="1" t="s">
        <v>35</v>
      </c>
      <c r="I2544" s="1" t="s">
        <v>106</v>
      </c>
      <c r="J2544" s="1" t="s">
        <v>44</v>
      </c>
      <c r="K2544" s="1" t="s">
        <v>50</v>
      </c>
      <c r="L2544" s="1">
        <v>5</v>
      </c>
      <c r="M2544" s="13">
        <v>5397.15</v>
      </c>
      <c r="N2544" s="15">
        <v>0.35</v>
      </c>
      <c r="O2544" s="13">
        <v>15752.78</v>
      </c>
      <c r="P2544" s="13">
        <v>4521.5</v>
      </c>
      <c r="Q2544" s="13">
        <v>33.64</v>
      </c>
      <c r="R2544" s="1" t="s">
        <v>51</v>
      </c>
      <c r="S2544" s="1">
        <v>5</v>
      </c>
      <c r="T2544" s="1" t="b">
        <v>0</v>
      </c>
      <c r="U2544" s="1" t="s">
        <v>39</v>
      </c>
      <c r="V2544" s="3">
        <v>3</v>
      </c>
    </row>
    <row r="2545" spans="1:22" x14ac:dyDescent="0.3">
      <c r="A2545" s="2" t="s">
        <v>5573</v>
      </c>
      <c r="B2545" s="10">
        <v>44159</v>
      </c>
      <c r="C2545" s="22">
        <v>44159</v>
      </c>
      <c r="D2545" s="1" t="s">
        <v>5574</v>
      </c>
      <c r="E2545" s="1" t="s">
        <v>429</v>
      </c>
      <c r="F2545" s="1">
        <v>47</v>
      </c>
      <c r="G2545" s="1" t="s">
        <v>24</v>
      </c>
      <c r="H2545" s="1" t="s">
        <v>111</v>
      </c>
      <c r="I2545" s="1" t="s">
        <v>141</v>
      </c>
      <c r="J2545" s="1" t="s">
        <v>44</v>
      </c>
      <c r="K2545" s="1" t="s">
        <v>186</v>
      </c>
      <c r="L2545" s="1">
        <v>5</v>
      </c>
      <c r="M2545" s="13">
        <v>20390.29</v>
      </c>
      <c r="N2545" s="15">
        <v>7.0000000000000007E-2</v>
      </c>
      <c r="O2545" s="13">
        <v>66216.67</v>
      </c>
      <c r="P2545" s="13">
        <v>23720.97</v>
      </c>
      <c r="Q2545" s="13">
        <v>102.38</v>
      </c>
      <c r="R2545" s="1" t="s">
        <v>78</v>
      </c>
      <c r="S2545" s="1">
        <v>3</v>
      </c>
      <c r="T2545" s="1" t="b">
        <v>0</v>
      </c>
      <c r="U2545" s="1" t="s">
        <v>39</v>
      </c>
      <c r="V2545" s="3">
        <v>3</v>
      </c>
    </row>
    <row r="2546" spans="1:22" x14ac:dyDescent="0.3">
      <c r="A2546" s="2" t="s">
        <v>5575</v>
      </c>
      <c r="B2546" s="10">
        <v>44661</v>
      </c>
      <c r="C2546" s="22">
        <v>44661</v>
      </c>
      <c r="D2546" s="1" t="s">
        <v>5576</v>
      </c>
      <c r="E2546" s="1" t="s">
        <v>1067</v>
      </c>
      <c r="F2546" s="1">
        <v>24</v>
      </c>
      <c r="G2546" s="1" t="s">
        <v>34</v>
      </c>
      <c r="H2546" s="1" t="s">
        <v>35</v>
      </c>
      <c r="I2546" s="1" t="s">
        <v>106</v>
      </c>
      <c r="J2546" s="1" t="s">
        <v>44</v>
      </c>
      <c r="K2546" s="1" t="s">
        <v>186</v>
      </c>
      <c r="L2546" s="1">
        <v>9</v>
      </c>
      <c r="M2546" s="13">
        <v>11907.81</v>
      </c>
      <c r="N2546" s="15">
        <v>0.18</v>
      </c>
      <c r="O2546" s="13">
        <v>119048.66</v>
      </c>
      <c r="P2546" s="13">
        <v>42582.04</v>
      </c>
      <c r="Q2546" s="13">
        <v>73.86</v>
      </c>
      <c r="R2546" s="1" t="s">
        <v>64</v>
      </c>
      <c r="S2546" s="1">
        <v>5</v>
      </c>
      <c r="T2546" s="1" t="b">
        <v>0</v>
      </c>
      <c r="U2546" s="1" t="s">
        <v>39</v>
      </c>
      <c r="V2546" s="3">
        <v>10</v>
      </c>
    </row>
    <row r="2547" spans="1:22" x14ac:dyDescent="0.3">
      <c r="A2547" s="2" t="s">
        <v>5577</v>
      </c>
      <c r="B2547" s="10">
        <v>44418</v>
      </c>
      <c r="C2547" s="22">
        <v>44418</v>
      </c>
      <c r="D2547" s="1" t="s">
        <v>5578</v>
      </c>
      <c r="E2547" s="1" t="s">
        <v>735</v>
      </c>
      <c r="F2547" s="1">
        <v>30</v>
      </c>
      <c r="G2547" s="1" t="s">
        <v>68</v>
      </c>
      <c r="H2547" s="1" t="s">
        <v>35</v>
      </c>
      <c r="I2547" s="1" t="s">
        <v>106</v>
      </c>
      <c r="J2547" s="1" t="s">
        <v>27</v>
      </c>
      <c r="K2547" s="1" t="s">
        <v>28</v>
      </c>
      <c r="L2547" s="1">
        <v>6</v>
      </c>
      <c r="M2547" s="13">
        <v>303.35000000000002</v>
      </c>
      <c r="N2547" s="15">
        <v>0.13</v>
      </c>
      <c r="O2547" s="13">
        <v>2102.56</v>
      </c>
      <c r="P2547" s="13">
        <v>144.04</v>
      </c>
      <c r="Q2547" s="13">
        <v>55.2</v>
      </c>
      <c r="R2547" s="1" t="s">
        <v>70</v>
      </c>
      <c r="S2547" s="1">
        <v>1</v>
      </c>
      <c r="T2547" s="1" t="b">
        <v>1</v>
      </c>
      <c r="U2547" s="1" t="s">
        <v>30</v>
      </c>
      <c r="V2547" s="3">
        <v>3</v>
      </c>
    </row>
    <row r="2548" spans="1:22" x14ac:dyDescent="0.3">
      <c r="A2548" s="2" t="s">
        <v>5579</v>
      </c>
      <c r="B2548" s="10">
        <v>44579</v>
      </c>
      <c r="C2548" s="22">
        <v>44579</v>
      </c>
      <c r="D2548" s="1" t="s">
        <v>5580</v>
      </c>
      <c r="E2548" s="1" t="s">
        <v>764</v>
      </c>
      <c r="F2548" s="1">
        <v>30</v>
      </c>
      <c r="G2548" s="1" t="s">
        <v>24</v>
      </c>
      <c r="H2548" s="1" t="s">
        <v>25</v>
      </c>
      <c r="I2548" s="1" t="s">
        <v>170</v>
      </c>
      <c r="J2548" s="1" t="s">
        <v>44</v>
      </c>
      <c r="K2548" s="1" t="s">
        <v>45</v>
      </c>
      <c r="L2548" s="1">
        <v>3</v>
      </c>
      <c r="M2548" s="13">
        <v>30465.56</v>
      </c>
      <c r="N2548" s="15">
        <v>0.24</v>
      </c>
      <c r="O2548" s="13">
        <v>48391.98</v>
      </c>
      <c r="P2548" s="13">
        <v>16835.509999999998</v>
      </c>
      <c r="Q2548" s="13">
        <v>57.1</v>
      </c>
      <c r="R2548" s="1" t="s">
        <v>64</v>
      </c>
      <c r="S2548" s="1">
        <v>5</v>
      </c>
      <c r="T2548" s="1" t="b">
        <v>0</v>
      </c>
      <c r="U2548" s="1" t="s">
        <v>39</v>
      </c>
      <c r="V2548" s="3">
        <v>3</v>
      </c>
    </row>
    <row r="2549" spans="1:22" x14ac:dyDescent="0.3">
      <c r="A2549" s="2" t="s">
        <v>5581</v>
      </c>
      <c r="B2549" s="10">
        <v>44280</v>
      </c>
      <c r="C2549" s="22">
        <v>44280</v>
      </c>
      <c r="D2549" s="1" t="s">
        <v>5582</v>
      </c>
      <c r="E2549" s="1" t="s">
        <v>269</v>
      </c>
      <c r="F2549" s="1">
        <v>29</v>
      </c>
      <c r="G2549" s="1" t="s">
        <v>34</v>
      </c>
      <c r="H2549" s="1" t="s">
        <v>25</v>
      </c>
      <c r="I2549" s="1" t="s">
        <v>55</v>
      </c>
      <c r="J2549" s="1" t="s">
        <v>44</v>
      </c>
      <c r="K2549" s="1" t="s">
        <v>93</v>
      </c>
      <c r="L2549" s="1">
        <v>4</v>
      </c>
      <c r="M2549" s="13">
        <v>7372.62</v>
      </c>
      <c r="N2549" s="15">
        <v>0.11</v>
      </c>
      <c r="O2549" s="13">
        <v>32182.82</v>
      </c>
      <c r="P2549" s="13">
        <v>11067.17</v>
      </c>
      <c r="Q2549" s="13">
        <v>75.03</v>
      </c>
      <c r="R2549" s="1" t="s">
        <v>51</v>
      </c>
      <c r="S2549" s="1">
        <v>2</v>
      </c>
      <c r="T2549" s="1" t="b">
        <v>0</v>
      </c>
      <c r="U2549" s="1" t="s">
        <v>39</v>
      </c>
      <c r="V2549" s="3">
        <v>9</v>
      </c>
    </row>
    <row r="2550" spans="1:22" x14ac:dyDescent="0.3">
      <c r="A2550" s="2" t="s">
        <v>5583</v>
      </c>
      <c r="B2550" s="10">
        <v>43886</v>
      </c>
      <c r="C2550" s="22">
        <v>43886</v>
      </c>
      <c r="D2550" s="1" t="s">
        <v>5584</v>
      </c>
      <c r="E2550" s="1" t="s">
        <v>3322</v>
      </c>
      <c r="F2550" s="1">
        <v>42</v>
      </c>
      <c r="G2550" s="1" t="s">
        <v>24</v>
      </c>
      <c r="H2550" s="1" t="s">
        <v>82</v>
      </c>
      <c r="I2550" s="1" t="s">
        <v>126</v>
      </c>
      <c r="J2550" s="1" t="s">
        <v>37</v>
      </c>
      <c r="K2550" s="1" t="s">
        <v>231</v>
      </c>
      <c r="L2550" s="1">
        <v>9</v>
      </c>
      <c r="M2550" s="13">
        <v>900.37</v>
      </c>
      <c r="N2550" s="15">
        <v>0.12</v>
      </c>
      <c r="O2550" s="13">
        <v>6635.38</v>
      </c>
      <c r="P2550" s="13">
        <v>2823.39</v>
      </c>
      <c r="Q2550" s="13">
        <v>81.17</v>
      </c>
      <c r="R2550" s="1" t="s">
        <v>64</v>
      </c>
      <c r="S2550" s="1">
        <v>5</v>
      </c>
      <c r="T2550" s="1" t="b">
        <v>0</v>
      </c>
      <c r="U2550" s="1" t="s">
        <v>39</v>
      </c>
      <c r="V2550" s="3">
        <v>2</v>
      </c>
    </row>
    <row r="2551" spans="1:22" x14ac:dyDescent="0.3">
      <c r="A2551" s="2" t="s">
        <v>5585</v>
      </c>
      <c r="B2551" s="10">
        <v>44681</v>
      </c>
      <c r="C2551" s="22">
        <v>44681</v>
      </c>
      <c r="D2551" s="1" t="s">
        <v>5586</v>
      </c>
      <c r="E2551" s="1" t="s">
        <v>1091</v>
      </c>
      <c r="F2551" s="1">
        <v>30</v>
      </c>
      <c r="G2551" s="1" t="s">
        <v>68</v>
      </c>
      <c r="H2551" s="1" t="s">
        <v>111</v>
      </c>
      <c r="I2551" s="1" t="s">
        <v>141</v>
      </c>
      <c r="J2551" s="1" t="s">
        <v>27</v>
      </c>
      <c r="K2551" s="1" t="s">
        <v>28</v>
      </c>
      <c r="L2551" s="1">
        <v>1</v>
      </c>
      <c r="M2551" s="13">
        <v>306.95999999999998</v>
      </c>
      <c r="N2551" s="15">
        <v>0.37</v>
      </c>
      <c r="O2551" s="13">
        <v>278.33</v>
      </c>
      <c r="P2551" s="13">
        <v>24.24</v>
      </c>
      <c r="Q2551" s="13">
        <v>44.4</v>
      </c>
      <c r="R2551" s="1" t="s">
        <v>78</v>
      </c>
      <c r="S2551" s="1">
        <v>1</v>
      </c>
      <c r="T2551" s="1" t="b">
        <v>0</v>
      </c>
      <c r="U2551" s="1" t="s">
        <v>39</v>
      </c>
      <c r="V2551" s="3">
        <v>3</v>
      </c>
    </row>
    <row r="2552" spans="1:22" x14ac:dyDescent="0.3">
      <c r="A2552" s="2" t="s">
        <v>5587</v>
      </c>
      <c r="B2552" s="10">
        <v>45185</v>
      </c>
      <c r="C2552" s="22">
        <v>45185</v>
      </c>
      <c r="D2552" s="1" t="s">
        <v>5588</v>
      </c>
      <c r="E2552" s="1" t="s">
        <v>1422</v>
      </c>
      <c r="F2552" s="1">
        <v>29</v>
      </c>
      <c r="G2552" s="1" t="s">
        <v>391</v>
      </c>
      <c r="H2552" s="1" t="s">
        <v>111</v>
      </c>
      <c r="I2552" s="1" t="s">
        <v>121</v>
      </c>
      <c r="J2552" s="1" t="s">
        <v>146</v>
      </c>
      <c r="K2552" s="1" t="s">
        <v>276</v>
      </c>
      <c r="L2552" s="1">
        <v>5</v>
      </c>
      <c r="M2552" s="13">
        <v>11278.57</v>
      </c>
      <c r="N2552" s="15">
        <v>0.2</v>
      </c>
      <c r="O2552" s="13">
        <v>57170.080000000002</v>
      </c>
      <c r="P2552" s="13">
        <v>13004.09</v>
      </c>
      <c r="Q2552" s="13">
        <v>76.709999999999994</v>
      </c>
      <c r="R2552" s="1" t="s">
        <v>29</v>
      </c>
      <c r="S2552" s="1">
        <v>2</v>
      </c>
      <c r="T2552" s="1" t="b">
        <v>0</v>
      </c>
      <c r="U2552" s="1" t="s">
        <v>84</v>
      </c>
      <c r="V2552" s="3">
        <v>4</v>
      </c>
    </row>
    <row r="2553" spans="1:22" x14ac:dyDescent="0.3">
      <c r="A2553" s="2" t="s">
        <v>5589</v>
      </c>
      <c r="B2553" s="10">
        <v>44332</v>
      </c>
      <c r="C2553" s="22">
        <v>44332</v>
      </c>
      <c r="D2553" s="1" t="s">
        <v>5590</v>
      </c>
      <c r="E2553" s="1" t="s">
        <v>1454</v>
      </c>
      <c r="F2553" s="1">
        <v>21</v>
      </c>
      <c r="G2553" s="1" t="s">
        <v>24</v>
      </c>
      <c r="H2553" s="1" t="s">
        <v>35</v>
      </c>
      <c r="I2553" s="1" t="s">
        <v>106</v>
      </c>
      <c r="J2553" s="1" t="s">
        <v>44</v>
      </c>
      <c r="K2553" s="1" t="s">
        <v>45</v>
      </c>
      <c r="L2553" s="1">
        <v>10</v>
      </c>
      <c r="M2553" s="13">
        <v>29768.42</v>
      </c>
      <c r="N2553" s="15">
        <v>0.21</v>
      </c>
      <c r="O2553" s="13">
        <v>404913.22</v>
      </c>
      <c r="P2553" s="13">
        <v>105876.32</v>
      </c>
      <c r="Q2553" s="13">
        <v>66.42</v>
      </c>
      <c r="R2553" s="1" t="s">
        <v>64</v>
      </c>
      <c r="S2553" s="1">
        <v>5</v>
      </c>
      <c r="T2553" s="1" t="b">
        <v>0</v>
      </c>
      <c r="U2553" s="1" t="s">
        <v>39</v>
      </c>
      <c r="V2553" s="3">
        <v>8</v>
      </c>
    </row>
    <row r="2554" spans="1:22" x14ac:dyDescent="0.3">
      <c r="A2554" s="2" t="s">
        <v>5591</v>
      </c>
      <c r="B2554" s="10">
        <v>43992</v>
      </c>
      <c r="C2554" s="22">
        <v>43992</v>
      </c>
      <c r="D2554" s="1" t="s">
        <v>5592</v>
      </c>
      <c r="E2554" s="1" t="s">
        <v>3077</v>
      </c>
      <c r="F2554" s="1">
        <v>34</v>
      </c>
      <c r="G2554" s="1" t="s">
        <v>24</v>
      </c>
      <c r="H2554" s="1" t="s">
        <v>82</v>
      </c>
      <c r="I2554" s="1" t="s">
        <v>126</v>
      </c>
      <c r="J2554" s="1" t="s">
        <v>127</v>
      </c>
      <c r="K2554" s="1" t="s">
        <v>308</v>
      </c>
      <c r="L2554" s="1">
        <v>9</v>
      </c>
      <c r="M2554" s="13">
        <v>16985.93</v>
      </c>
      <c r="N2554" s="15">
        <v>0.21</v>
      </c>
      <c r="O2554" s="13">
        <v>184331.59</v>
      </c>
      <c r="P2554" s="13">
        <v>16161.85</v>
      </c>
      <c r="Q2554" s="13">
        <v>75.650000000000006</v>
      </c>
      <c r="R2554" s="1" t="s">
        <v>64</v>
      </c>
      <c r="S2554" s="1">
        <v>5</v>
      </c>
      <c r="T2554" s="1" t="b">
        <v>0</v>
      </c>
      <c r="U2554" s="1" t="s">
        <v>137</v>
      </c>
      <c r="V2554" s="3">
        <v>9</v>
      </c>
    </row>
    <row r="2555" spans="1:22" x14ac:dyDescent="0.3">
      <c r="A2555" s="2" t="s">
        <v>5593</v>
      </c>
      <c r="B2555" s="10">
        <v>44628</v>
      </c>
      <c r="C2555" s="22">
        <v>44628</v>
      </c>
      <c r="D2555" s="1" t="s">
        <v>5594</v>
      </c>
      <c r="E2555" s="1" t="s">
        <v>412</v>
      </c>
      <c r="F2555" s="1">
        <v>29</v>
      </c>
      <c r="G2555" s="1" t="s">
        <v>68</v>
      </c>
      <c r="H2555" s="1" t="s">
        <v>111</v>
      </c>
      <c r="I2555" s="1" t="s">
        <v>112</v>
      </c>
      <c r="J2555" s="1" t="s">
        <v>62</v>
      </c>
      <c r="K2555" s="1" t="s">
        <v>63</v>
      </c>
      <c r="L2555" s="1">
        <v>1</v>
      </c>
      <c r="M2555" s="13">
        <v>1151.01</v>
      </c>
      <c r="N2555" s="15">
        <v>0.17</v>
      </c>
      <c r="O2555" s="13">
        <v>1165.98</v>
      </c>
      <c r="P2555" s="13">
        <v>528.79</v>
      </c>
      <c r="Q2555" s="13">
        <v>79.86</v>
      </c>
      <c r="R2555" s="1" t="s">
        <v>57</v>
      </c>
      <c r="S2555" s="1">
        <v>5</v>
      </c>
      <c r="T2555" s="1" t="b">
        <v>0</v>
      </c>
      <c r="U2555" s="1" t="s">
        <v>39</v>
      </c>
      <c r="V2555" s="3">
        <v>1</v>
      </c>
    </row>
    <row r="2556" spans="1:22" x14ac:dyDescent="0.3">
      <c r="A2556" s="2" t="s">
        <v>5595</v>
      </c>
      <c r="B2556" s="10">
        <v>44560</v>
      </c>
      <c r="C2556" s="22">
        <v>44560</v>
      </c>
      <c r="D2556" s="1" t="s">
        <v>5596</v>
      </c>
      <c r="E2556" s="1" t="s">
        <v>1555</v>
      </c>
      <c r="F2556" s="1">
        <v>18</v>
      </c>
      <c r="G2556" s="1" t="s">
        <v>24</v>
      </c>
      <c r="H2556" s="1" t="s">
        <v>25</v>
      </c>
      <c r="I2556" s="1" t="s">
        <v>170</v>
      </c>
      <c r="J2556" s="1" t="s">
        <v>62</v>
      </c>
      <c r="K2556" s="1" t="s">
        <v>151</v>
      </c>
      <c r="L2556" s="1">
        <v>5</v>
      </c>
      <c r="M2556" s="13">
        <v>679.37</v>
      </c>
      <c r="N2556" s="15">
        <v>0.17</v>
      </c>
      <c r="O2556" s="13">
        <v>1782.03</v>
      </c>
      <c r="P2556" s="13">
        <v>915.89</v>
      </c>
      <c r="Q2556" s="13">
        <v>55.83</v>
      </c>
      <c r="R2556" s="1" t="s">
        <v>51</v>
      </c>
      <c r="S2556" s="1">
        <v>2</v>
      </c>
      <c r="T2556" s="1" t="b">
        <v>0</v>
      </c>
      <c r="U2556" s="1" t="s">
        <v>39</v>
      </c>
      <c r="V2556" s="3">
        <v>8</v>
      </c>
    </row>
    <row r="2557" spans="1:22" x14ac:dyDescent="0.3">
      <c r="A2557" s="2" t="s">
        <v>5597</v>
      </c>
      <c r="B2557" s="10">
        <v>45618</v>
      </c>
      <c r="C2557" s="22">
        <v>45618</v>
      </c>
      <c r="D2557" s="1" t="s">
        <v>5598</v>
      </c>
      <c r="E2557" s="1" t="s">
        <v>1159</v>
      </c>
      <c r="F2557" s="1">
        <v>13</v>
      </c>
      <c r="G2557" s="1" t="s">
        <v>24</v>
      </c>
      <c r="H2557" s="1" t="s">
        <v>25</v>
      </c>
      <c r="I2557" s="1" t="s">
        <v>69</v>
      </c>
      <c r="J2557" s="1" t="s">
        <v>27</v>
      </c>
      <c r="K2557" s="1" t="s">
        <v>400</v>
      </c>
      <c r="L2557" s="1">
        <v>8</v>
      </c>
      <c r="M2557" s="13">
        <v>185.5</v>
      </c>
      <c r="N2557" s="15">
        <v>0.28999999999999998</v>
      </c>
      <c r="O2557" s="13">
        <v>1001.02</v>
      </c>
      <c r="P2557" s="13">
        <v>79.89</v>
      </c>
      <c r="Q2557" s="13">
        <v>48.43</v>
      </c>
      <c r="R2557" s="1" t="s">
        <v>29</v>
      </c>
      <c r="S2557" s="1">
        <v>5</v>
      </c>
      <c r="T2557" s="1" t="b">
        <v>0</v>
      </c>
      <c r="U2557" s="1" t="s">
        <v>58</v>
      </c>
      <c r="V2557" s="3">
        <v>6</v>
      </c>
    </row>
    <row r="2558" spans="1:22" x14ac:dyDescent="0.3">
      <c r="A2558" s="2" t="s">
        <v>5599</v>
      </c>
      <c r="B2558" s="10">
        <v>44050</v>
      </c>
      <c r="C2558" s="22">
        <v>44050</v>
      </c>
      <c r="D2558" s="1" t="s">
        <v>5600</v>
      </c>
      <c r="E2558" s="1" t="s">
        <v>1181</v>
      </c>
      <c r="F2558" s="1">
        <v>56</v>
      </c>
      <c r="G2558" s="1" t="s">
        <v>34</v>
      </c>
      <c r="H2558" s="1" t="s">
        <v>111</v>
      </c>
      <c r="I2558" s="1" t="s">
        <v>141</v>
      </c>
      <c r="J2558" s="1" t="s">
        <v>146</v>
      </c>
      <c r="K2558" s="1" t="s">
        <v>484</v>
      </c>
      <c r="L2558" s="1">
        <v>10</v>
      </c>
      <c r="M2558" s="13">
        <v>10625.78</v>
      </c>
      <c r="N2558" s="15">
        <v>0.17</v>
      </c>
      <c r="O2558" s="13">
        <v>105870.48</v>
      </c>
      <c r="P2558" s="13">
        <v>26797.52</v>
      </c>
      <c r="Q2558" s="13">
        <v>51.49</v>
      </c>
      <c r="R2558" s="1" t="s">
        <v>64</v>
      </c>
      <c r="S2558" s="1">
        <v>5</v>
      </c>
      <c r="T2558" s="1" t="b">
        <v>0</v>
      </c>
      <c r="U2558" s="1" t="s">
        <v>39</v>
      </c>
      <c r="V2558" s="3">
        <v>8</v>
      </c>
    </row>
    <row r="2559" spans="1:22" x14ac:dyDescent="0.3">
      <c r="A2559" s="2" t="s">
        <v>5601</v>
      </c>
      <c r="B2559" s="10">
        <v>44743</v>
      </c>
      <c r="C2559" s="22">
        <v>44743</v>
      </c>
      <c r="D2559" s="1" t="s">
        <v>5602</v>
      </c>
      <c r="E2559" s="1" t="s">
        <v>282</v>
      </c>
      <c r="F2559" s="1">
        <v>34</v>
      </c>
      <c r="G2559" s="1" t="s">
        <v>34</v>
      </c>
      <c r="H2559" s="1" t="s">
        <v>35</v>
      </c>
      <c r="I2559" s="1" t="s">
        <v>43</v>
      </c>
      <c r="J2559" s="1" t="s">
        <v>127</v>
      </c>
      <c r="K2559" s="1" t="s">
        <v>308</v>
      </c>
      <c r="L2559" s="1">
        <v>5</v>
      </c>
      <c r="M2559" s="13">
        <v>38796.6</v>
      </c>
      <c r="N2559" s="15">
        <v>0.21</v>
      </c>
      <c r="O2559" s="13">
        <v>209644.29</v>
      </c>
      <c r="P2559" s="13">
        <v>25458.48</v>
      </c>
      <c r="Q2559" s="13">
        <v>62.35</v>
      </c>
      <c r="R2559" s="1" t="s">
        <v>78</v>
      </c>
      <c r="S2559" s="1">
        <v>4</v>
      </c>
      <c r="T2559" s="1" t="b">
        <v>0</v>
      </c>
      <c r="U2559" s="1" t="s">
        <v>84</v>
      </c>
      <c r="V2559" s="3">
        <v>8</v>
      </c>
    </row>
    <row r="2560" spans="1:22" x14ac:dyDescent="0.3">
      <c r="A2560" s="2" t="s">
        <v>5603</v>
      </c>
      <c r="B2560" s="10">
        <v>44408</v>
      </c>
      <c r="C2560" s="22">
        <v>44408</v>
      </c>
      <c r="D2560" s="1" t="s">
        <v>5604</v>
      </c>
      <c r="E2560" s="1" t="s">
        <v>1672</v>
      </c>
      <c r="F2560" s="1">
        <v>21</v>
      </c>
      <c r="G2560" s="1" t="s">
        <v>24</v>
      </c>
      <c r="H2560" s="1" t="s">
        <v>25</v>
      </c>
      <c r="I2560" s="1" t="s">
        <v>55</v>
      </c>
      <c r="J2560" s="1" t="s">
        <v>76</v>
      </c>
      <c r="K2560" s="1" t="s">
        <v>122</v>
      </c>
      <c r="L2560" s="1">
        <v>2</v>
      </c>
      <c r="M2560" s="13">
        <v>3825.43</v>
      </c>
      <c r="N2560" s="15">
        <v>0.38</v>
      </c>
      <c r="O2560" s="13">
        <v>5477.43</v>
      </c>
      <c r="P2560" s="13">
        <v>1454.06</v>
      </c>
      <c r="Q2560" s="13">
        <v>57.72</v>
      </c>
      <c r="R2560" s="1" t="s">
        <v>64</v>
      </c>
      <c r="S2560" s="1">
        <v>3</v>
      </c>
      <c r="T2560" s="1" t="b">
        <v>0</v>
      </c>
      <c r="U2560" s="1" t="s">
        <v>39</v>
      </c>
      <c r="V2560" s="3">
        <v>2</v>
      </c>
    </row>
    <row r="2561" spans="1:22" x14ac:dyDescent="0.3">
      <c r="A2561" s="2" t="s">
        <v>5605</v>
      </c>
      <c r="B2561" s="10">
        <v>43889</v>
      </c>
      <c r="C2561" s="22">
        <v>43889</v>
      </c>
      <c r="D2561" s="1" t="s">
        <v>5606</v>
      </c>
      <c r="E2561" s="1" t="s">
        <v>773</v>
      </c>
      <c r="F2561" s="1">
        <v>25</v>
      </c>
      <c r="G2561" s="1" t="s">
        <v>34</v>
      </c>
      <c r="H2561" s="1" t="s">
        <v>111</v>
      </c>
      <c r="I2561" s="1" t="s">
        <v>112</v>
      </c>
      <c r="J2561" s="1" t="s">
        <v>127</v>
      </c>
      <c r="K2561" s="1" t="s">
        <v>196</v>
      </c>
      <c r="L2561" s="1">
        <v>6</v>
      </c>
      <c r="M2561" s="13">
        <v>35454.89</v>
      </c>
      <c r="N2561" s="15">
        <v>0.15</v>
      </c>
      <c r="O2561" s="13">
        <v>175411.87</v>
      </c>
      <c r="P2561" s="13">
        <v>19968.599999999999</v>
      </c>
      <c r="Q2561" s="13">
        <v>54.28</v>
      </c>
      <c r="R2561" s="1" t="s">
        <v>70</v>
      </c>
      <c r="S2561" s="1">
        <v>5</v>
      </c>
      <c r="T2561" s="1" t="b">
        <v>0</v>
      </c>
      <c r="U2561" s="1" t="s">
        <v>39</v>
      </c>
      <c r="V2561" s="3">
        <v>1</v>
      </c>
    </row>
    <row r="2562" spans="1:22" x14ac:dyDescent="0.3">
      <c r="A2562" s="2" t="s">
        <v>5607</v>
      </c>
      <c r="B2562" s="10">
        <v>45524</v>
      </c>
      <c r="C2562" s="22">
        <v>45524</v>
      </c>
      <c r="D2562" s="1" t="s">
        <v>5608</v>
      </c>
      <c r="E2562" s="1" t="s">
        <v>429</v>
      </c>
      <c r="F2562" s="1">
        <v>41</v>
      </c>
      <c r="G2562" s="1" t="s">
        <v>24</v>
      </c>
      <c r="H2562" s="1" t="s">
        <v>82</v>
      </c>
      <c r="I2562" s="1" t="s">
        <v>126</v>
      </c>
      <c r="J2562" s="1" t="s">
        <v>27</v>
      </c>
      <c r="K2562" s="1" t="s">
        <v>430</v>
      </c>
      <c r="L2562" s="1">
        <v>3</v>
      </c>
      <c r="M2562" s="13">
        <v>392.38</v>
      </c>
      <c r="N2562" s="15">
        <v>0.12</v>
      </c>
      <c r="O2562" s="13">
        <v>1567.64</v>
      </c>
      <c r="P2562" s="13">
        <v>108.65</v>
      </c>
      <c r="Q2562" s="13">
        <v>81.44</v>
      </c>
      <c r="R2562" s="1" t="s">
        <v>64</v>
      </c>
      <c r="S2562" s="1">
        <v>4</v>
      </c>
      <c r="T2562" s="1" t="b">
        <v>0</v>
      </c>
      <c r="U2562" s="1" t="s">
        <v>58</v>
      </c>
      <c r="V2562" s="3">
        <v>5</v>
      </c>
    </row>
    <row r="2563" spans="1:22" x14ac:dyDescent="0.3">
      <c r="A2563" s="2" t="s">
        <v>5609</v>
      </c>
      <c r="B2563" s="10">
        <v>44843</v>
      </c>
      <c r="C2563" s="22">
        <v>44843</v>
      </c>
      <c r="D2563" s="1" t="s">
        <v>5610</v>
      </c>
      <c r="E2563" s="1" t="s">
        <v>1309</v>
      </c>
      <c r="F2563" s="1">
        <v>27</v>
      </c>
      <c r="G2563" s="1" t="s">
        <v>68</v>
      </c>
      <c r="H2563" s="1" t="s">
        <v>35</v>
      </c>
      <c r="I2563" s="1" t="s">
        <v>106</v>
      </c>
      <c r="J2563" s="1" t="s">
        <v>127</v>
      </c>
      <c r="K2563" s="1" t="s">
        <v>171</v>
      </c>
      <c r="L2563" s="1">
        <v>3</v>
      </c>
      <c r="M2563" s="13">
        <v>79758.61</v>
      </c>
      <c r="N2563" s="15">
        <v>0.33</v>
      </c>
      <c r="O2563" s="13">
        <v>167128.85999999999</v>
      </c>
      <c r="P2563" s="13">
        <v>19212.28</v>
      </c>
      <c r="Q2563" s="13">
        <v>56.24</v>
      </c>
      <c r="R2563" s="1" t="s">
        <v>29</v>
      </c>
      <c r="S2563" s="1">
        <v>1</v>
      </c>
      <c r="T2563" s="1" t="b">
        <v>0</v>
      </c>
      <c r="U2563" s="1" t="s">
        <v>84</v>
      </c>
      <c r="V2563" s="3">
        <v>2</v>
      </c>
    </row>
    <row r="2564" spans="1:22" x14ac:dyDescent="0.3">
      <c r="A2564" s="2" t="s">
        <v>5611</v>
      </c>
      <c r="B2564" s="10">
        <v>43988</v>
      </c>
      <c r="C2564" s="22">
        <v>43988</v>
      </c>
      <c r="D2564" s="1" t="s">
        <v>5612</v>
      </c>
      <c r="E2564" s="1" t="s">
        <v>92</v>
      </c>
      <c r="F2564" s="1">
        <v>53</v>
      </c>
      <c r="G2564" s="1" t="s">
        <v>68</v>
      </c>
      <c r="H2564" s="1" t="s">
        <v>111</v>
      </c>
      <c r="I2564" s="1" t="s">
        <v>141</v>
      </c>
      <c r="J2564" s="1" t="s">
        <v>27</v>
      </c>
      <c r="K2564" s="1" t="s">
        <v>56</v>
      </c>
      <c r="L2564" s="1">
        <v>9</v>
      </c>
      <c r="M2564" s="13">
        <v>324.66000000000003</v>
      </c>
      <c r="N2564" s="15">
        <v>0.14000000000000001</v>
      </c>
      <c r="O2564" s="13">
        <v>3440.59</v>
      </c>
      <c r="P2564" s="13">
        <v>225.96</v>
      </c>
      <c r="Q2564" s="13">
        <v>74.78</v>
      </c>
      <c r="R2564" s="1" t="s">
        <v>29</v>
      </c>
      <c r="S2564" s="1">
        <v>1</v>
      </c>
      <c r="T2564" s="1" t="b">
        <v>1</v>
      </c>
      <c r="U2564" s="1" t="s">
        <v>30</v>
      </c>
      <c r="V2564" s="3">
        <v>5</v>
      </c>
    </row>
    <row r="2565" spans="1:22" x14ac:dyDescent="0.3">
      <c r="A2565" s="2" t="s">
        <v>5613</v>
      </c>
      <c r="B2565" s="10">
        <v>45277</v>
      </c>
      <c r="C2565" s="22">
        <v>45277</v>
      </c>
      <c r="D2565" s="1" t="s">
        <v>5614</v>
      </c>
      <c r="E2565" s="1" t="s">
        <v>740</v>
      </c>
      <c r="F2565" s="1">
        <v>54</v>
      </c>
      <c r="G2565" s="1" t="s">
        <v>34</v>
      </c>
      <c r="H2565" s="1" t="s">
        <v>25</v>
      </c>
      <c r="I2565" s="1" t="s">
        <v>170</v>
      </c>
      <c r="J2565" s="1" t="s">
        <v>127</v>
      </c>
      <c r="K2565" s="1" t="s">
        <v>128</v>
      </c>
      <c r="L2565" s="1">
        <v>5</v>
      </c>
      <c r="M2565" s="13">
        <v>39863.480000000003</v>
      </c>
      <c r="N2565" s="15">
        <v>0.33</v>
      </c>
      <c r="O2565" s="13">
        <v>99121.04</v>
      </c>
      <c r="P2565" s="13">
        <v>11921.37</v>
      </c>
      <c r="Q2565" s="13">
        <v>75.459999999999994</v>
      </c>
      <c r="R2565" s="1" t="s">
        <v>64</v>
      </c>
      <c r="S2565" s="1">
        <v>4</v>
      </c>
      <c r="T2565" s="1" t="b">
        <v>0</v>
      </c>
      <c r="U2565" s="1" t="s">
        <v>84</v>
      </c>
      <c r="V2565" s="3">
        <v>10</v>
      </c>
    </row>
    <row r="2566" spans="1:22" x14ac:dyDescent="0.3">
      <c r="A2566" s="2" t="s">
        <v>5615</v>
      </c>
      <c r="B2566" s="10">
        <v>44579</v>
      </c>
      <c r="C2566" s="22">
        <v>44579</v>
      </c>
      <c r="D2566" s="1" t="s">
        <v>5616</v>
      </c>
      <c r="E2566" s="1" t="s">
        <v>240</v>
      </c>
      <c r="F2566" s="1">
        <v>36</v>
      </c>
      <c r="G2566" s="1" t="s">
        <v>24</v>
      </c>
      <c r="H2566" s="1" t="s">
        <v>35</v>
      </c>
      <c r="I2566" s="1" t="s">
        <v>106</v>
      </c>
      <c r="J2566" s="1" t="s">
        <v>37</v>
      </c>
      <c r="K2566" s="1" t="s">
        <v>454</v>
      </c>
      <c r="L2566" s="1">
        <v>5</v>
      </c>
      <c r="M2566" s="13">
        <v>1392.93</v>
      </c>
      <c r="N2566" s="15">
        <v>0.4</v>
      </c>
      <c r="O2566" s="13">
        <v>3575.81</v>
      </c>
      <c r="P2566" s="13">
        <v>1461.67</v>
      </c>
      <c r="Q2566" s="13">
        <v>71.760000000000005</v>
      </c>
      <c r="R2566" s="1" t="s">
        <v>57</v>
      </c>
      <c r="S2566" s="1">
        <v>3</v>
      </c>
      <c r="T2566" s="1" t="b">
        <v>0</v>
      </c>
      <c r="U2566" s="1" t="s">
        <v>39</v>
      </c>
      <c r="V2566" s="3">
        <v>10</v>
      </c>
    </row>
    <row r="2567" spans="1:22" x14ac:dyDescent="0.3">
      <c r="A2567" s="2" t="s">
        <v>5617</v>
      </c>
      <c r="B2567" s="10">
        <v>44882</v>
      </c>
      <c r="C2567" s="22">
        <v>44882</v>
      </c>
      <c r="D2567" s="1" t="s">
        <v>5618</v>
      </c>
      <c r="E2567" s="1" t="s">
        <v>437</v>
      </c>
      <c r="F2567" s="1">
        <v>28</v>
      </c>
      <c r="G2567" s="1" t="s">
        <v>24</v>
      </c>
      <c r="H2567" s="1" t="s">
        <v>111</v>
      </c>
      <c r="I2567" s="1" t="s">
        <v>121</v>
      </c>
      <c r="J2567" s="1" t="s">
        <v>37</v>
      </c>
      <c r="K2567" s="1" t="s">
        <v>38</v>
      </c>
      <c r="L2567" s="1">
        <v>9</v>
      </c>
      <c r="M2567" s="13">
        <v>113.69</v>
      </c>
      <c r="N2567" s="15">
        <v>0.22</v>
      </c>
      <c r="O2567" s="13">
        <v>699.53</v>
      </c>
      <c r="P2567" s="13">
        <v>335.72</v>
      </c>
      <c r="Q2567" s="13">
        <v>40.1</v>
      </c>
      <c r="R2567" s="1" t="s">
        <v>78</v>
      </c>
      <c r="S2567" s="1">
        <v>5</v>
      </c>
      <c r="T2567" s="1" t="b">
        <v>1</v>
      </c>
      <c r="U2567" s="1" t="s">
        <v>30</v>
      </c>
      <c r="V2567" s="3">
        <v>7</v>
      </c>
    </row>
    <row r="2568" spans="1:22" x14ac:dyDescent="0.3">
      <c r="A2568" s="2" t="s">
        <v>5619</v>
      </c>
      <c r="B2568" s="10">
        <v>45201</v>
      </c>
      <c r="C2568" s="22">
        <v>45201</v>
      </c>
      <c r="D2568" s="1" t="s">
        <v>5620</v>
      </c>
      <c r="E2568" s="1" t="s">
        <v>237</v>
      </c>
      <c r="F2568" s="1">
        <v>50</v>
      </c>
      <c r="G2568" s="1" t="s">
        <v>68</v>
      </c>
      <c r="H2568" s="1" t="s">
        <v>25</v>
      </c>
      <c r="I2568" s="1" t="s">
        <v>26</v>
      </c>
      <c r="J2568" s="1" t="s">
        <v>76</v>
      </c>
      <c r="K2568" s="1" t="s">
        <v>113</v>
      </c>
      <c r="L2568" s="1">
        <v>6</v>
      </c>
      <c r="M2568" s="13">
        <v>1362.12</v>
      </c>
      <c r="N2568" s="15">
        <v>0.04</v>
      </c>
      <c r="O2568" s="13">
        <v>7638.08</v>
      </c>
      <c r="P2568" s="13">
        <v>3612.77</v>
      </c>
      <c r="Q2568" s="13">
        <v>61.28</v>
      </c>
      <c r="R2568" s="1" t="s">
        <v>70</v>
      </c>
      <c r="S2568" s="1">
        <v>4</v>
      </c>
      <c r="T2568" s="1" t="b">
        <v>0</v>
      </c>
      <c r="U2568" s="1" t="s">
        <v>39</v>
      </c>
      <c r="V2568" s="3">
        <v>8</v>
      </c>
    </row>
    <row r="2569" spans="1:22" x14ac:dyDescent="0.3">
      <c r="A2569" s="2" t="s">
        <v>5621</v>
      </c>
      <c r="B2569" s="10">
        <v>44272</v>
      </c>
      <c r="C2569" s="22">
        <v>44272</v>
      </c>
      <c r="D2569" s="1" t="s">
        <v>5622</v>
      </c>
      <c r="E2569" s="1" t="s">
        <v>1181</v>
      </c>
      <c r="F2569" s="1">
        <v>21</v>
      </c>
      <c r="G2569" s="1" t="s">
        <v>34</v>
      </c>
      <c r="H2569" s="1" t="s">
        <v>82</v>
      </c>
      <c r="I2569" s="1" t="s">
        <v>126</v>
      </c>
      <c r="J2569" s="1" t="s">
        <v>37</v>
      </c>
      <c r="K2569" s="1" t="s">
        <v>182</v>
      </c>
      <c r="L2569" s="1">
        <v>2</v>
      </c>
      <c r="M2569" s="13">
        <v>119.38</v>
      </c>
      <c r="N2569" s="15">
        <v>0.13</v>
      </c>
      <c r="O2569" s="13">
        <v>236.95</v>
      </c>
      <c r="P2569" s="13">
        <v>137.69</v>
      </c>
      <c r="Q2569" s="13">
        <v>86.43</v>
      </c>
      <c r="R2569" s="1" t="s">
        <v>51</v>
      </c>
      <c r="S2569" s="1">
        <v>3</v>
      </c>
      <c r="T2569" s="1" t="b">
        <v>0</v>
      </c>
      <c r="U2569" s="1" t="s">
        <v>58</v>
      </c>
      <c r="V2569" s="3">
        <v>10</v>
      </c>
    </row>
    <row r="2570" spans="1:22" x14ac:dyDescent="0.3">
      <c r="A2570" s="2" t="s">
        <v>5623</v>
      </c>
      <c r="B2570" s="10">
        <v>44802</v>
      </c>
      <c r="C2570" s="22">
        <v>44802</v>
      </c>
      <c r="D2570" s="1" t="s">
        <v>5624</v>
      </c>
      <c r="E2570" s="1" t="s">
        <v>1335</v>
      </c>
      <c r="F2570" s="1">
        <v>26</v>
      </c>
      <c r="G2570" s="1" t="s">
        <v>34</v>
      </c>
      <c r="H2570" s="1" t="s">
        <v>74</v>
      </c>
      <c r="I2570" s="1" t="s">
        <v>75</v>
      </c>
      <c r="J2570" s="1" t="s">
        <v>62</v>
      </c>
      <c r="K2570" s="1" t="s">
        <v>107</v>
      </c>
      <c r="L2570" s="1">
        <v>9</v>
      </c>
      <c r="M2570" s="13">
        <v>830.37</v>
      </c>
      <c r="N2570" s="15">
        <v>0.25</v>
      </c>
      <c r="O2570" s="13">
        <v>6671.85</v>
      </c>
      <c r="P2570" s="13">
        <v>3182.54</v>
      </c>
      <c r="Q2570" s="13">
        <v>37.06</v>
      </c>
      <c r="R2570" s="1" t="s">
        <v>64</v>
      </c>
      <c r="S2570" s="1">
        <v>2</v>
      </c>
      <c r="T2570" s="1" t="b">
        <v>0</v>
      </c>
      <c r="U2570" s="1" t="s">
        <v>39</v>
      </c>
      <c r="V2570" s="3">
        <v>2</v>
      </c>
    </row>
    <row r="2571" spans="1:22" x14ac:dyDescent="0.3">
      <c r="A2571" s="2" t="s">
        <v>5625</v>
      </c>
      <c r="B2571" s="10">
        <v>44960</v>
      </c>
      <c r="C2571" s="22">
        <v>44960</v>
      </c>
      <c r="D2571" s="1" t="s">
        <v>5626</v>
      </c>
      <c r="E2571" s="1" t="s">
        <v>2655</v>
      </c>
      <c r="F2571" s="1">
        <v>39</v>
      </c>
      <c r="G2571" s="1" t="s">
        <v>68</v>
      </c>
      <c r="H2571" s="1" t="s">
        <v>82</v>
      </c>
      <c r="I2571" s="1" t="s">
        <v>293</v>
      </c>
      <c r="J2571" s="1" t="s">
        <v>44</v>
      </c>
      <c r="K2571" s="1" t="s">
        <v>221</v>
      </c>
      <c r="L2571" s="1">
        <v>7</v>
      </c>
      <c r="M2571" s="13">
        <v>12553.02</v>
      </c>
      <c r="N2571" s="15">
        <v>0.22</v>
      </c>
      <c r="O2571" s="13">
        <v>71332.69</v>
      </c>
      <c r="P2571" s="13">
        <v>19645.47</v>
      </c>
      <c r="Q2571" s="13">
        <v>85.94</v>
      </c>
      <c r="R2571" s="1" t="s">
        <v>51</v>
      </c>
      <c r="S2571" s="1">
        <v>3</v>
      </c>
      <c r="T2571" s="1" t="b">
        <v>0</v>
      </c>
      <c r="U2571" s="1" t="s">
        <v>39</v>
      </c>
      <c r="V2571" s="3">
        <v>1</v>
      </c>
    </row>
    <row r="2572" spans="1:22" x14ac:dyDescent="0.3">
      <c r="A2572" s="2" t="s">
        <v>5627</v>
      </c>
      <c r="B2572" s="10">
        <v>45626</v>
      </c>
      <c r="C2572" s="22">
        <v>45626</v>
      </c>
      <c r="D2572" s="1" t="s">
        <v>5628</v>
      </c>
      <c r="E2572" s="1" t="s">
        <v>269</v>
      </c>
      <c r="F2572" s="1">
        <v>34</v>
      </c>
      <c r="G2572" s="1" t="s">
        <v>34</v>
      </c>
      <c r="H2572" s="1" t="s">
        <v>35</v>
      </c>
      <c r="I2572" s="1" t="s">
        <v>43</v>
      </c>
      <c r="J2572" s="1" t="s">
        <v>37</v>
      </c>
      <c r="K2572" s="1" t="s">
        <v>102</v>
      </c>
      <c r="L2572" s="1">
        <v>4</v>
      </c>
      <c r="M2572" s="13">
        <v>1854.35</v>
      </c>
      <c r="N2572" s="15">
        <v>0.04</v>
      </c>
      <c r="O2572" s="13">
        <v>6462.23</v>
      </c>
      <c r="P2572" s="13">
        <v>3552.01</v>
      </c>
      <c r="Q2572" s="13">
        <v>32.770000000000003</v>
      </c>
      <c r="R2572" s="1" t="s">
        <v>57</v>
      </c>
      <c r="S2572" s="1">
        <v>5</v>
      </c>
      <c r="T2572" s="1" t="b">
        <v>0</v>
      </c>
      <c r="U2572" s="1" t="s">
        <v>39</v>
      </c>
      <c r="V2572" s="3">
        <v>2</v>
      </c>
    </row>
    <row r="2573" spans="1:22" x14ac:dyDescent="0.3">
      <c r="A2573" s="2" t="s">
        <v>5629</v>
      </c>
      <c r="B2573" s="10">
        <v>43935</v>
      </c>
      <c r="C2573" s="22">
        <v>43935</v>
      </c>
      <c r="D2573" s="1" t="s">
        <v>5630</v>
      </c>
      <c r="E2573" s="1" t="s">
        <v>719</v>
      </c>
      <c r="F2573" s="1">
        <v>32</v>
      </c>
      <c r="G2573" s="1" t="s">
        <v>24</v>
      </c>
      <c r="H2573" s="1" t="s">
        <v>74</v>
      </c>
      <c r="I2573" s="1" t="s">
        <v>136</v>
      </c>
      <c r="J2573" s="1" t="s">
        <v>146</v>
      </c>
      <c r="K2573" s="1" t="s">
        <v>161</v>
      </c>
      <c r="L2573" s="1">
        <v>10</v>
      </c>
      <c r="M2573" s="13">
        <v>14961.46</v>
      </c>
      <c r="N2573" s="15">
        <v>0.01</v>
      </c>
      <c r="O2573" s="13">
        <v>161945.63</v>
      </c>
      <c r="P2573" s="13">
        <v>26205.1</v>
      </c>
      <c r="Q2573" s="13">
        <v>35.42</v>
      </c>
      <c r="R2573" s="1" t="s">
        <v>57</v>
      </c>
      <c r="S2573" s="1">
        <v>2</v>
      </c>
      <c r="T2573" s="1" t="b">
        <v>0</v>
      </c>
      <c r="U2573" s="1" t="s">
        <v>39</v>
      </c>
      <c r="V2573" s="3">
        <v>3</v>
      </c>
    </row>
    <row r="2574" spans="1:22" x14ac:dyDescent="0.3">
      <c r="A2574" s="2" t="s">
        <v>5631</v>
      </c>
      <c r="B2574" s="10">
        <v>44843</v>
      </c>
      <c r="C2574" s="22">
        <v>44843</v>
      </c>
      <c r="D2574" s="1" t="s">
        <v>5632</v>
      </c>
      <c r="E2574" s="1" t="s">
        <v>1166</v>
      </c>
      <c r="F2574" s="1">
        <v>21</v>
      </c>
      <c r="G2574" s="1" t="s">
        <v>24</v>
      </c>
      <c r="H2574" s="1" t="s">
        <v>111</v>
      </c>
      <c r="I2574" s="1" t="s">
        <v>112</v>
      </c>
      <c r="J2574" s="1" t="s">
        <v>146</v>
      </c>
      <c r="K2574" s="1" t="s">
        <v>178</v>
      </c>
      <c r="L2574" s="1">
        <v>5</v>
      </c>
      <c r="M2574" s="13">
        <v>13397.51</v>
      </c>
      <c r="N2574" s="15">
        <v>0.34</v>
      </c>
      <c r="O2574" s="13">
        <v>43451.18</v>
      </c>
      <c r="P2574" s="13">
        <v>7788.1</v>
      </c>
      <c r="Q2574" s="13">
        <v>73.66</v>
      </c>
      <c r="R2574" s="1" t="s">
        <v>57</v>
      </c>
      <c r="S2574" s="1">
        <v>4</v>
      </c>
      <c r="T2574" s="1" t="b">
        <v>0</v>
      </c>
      <c r="U2574" s="1" t="s">
        <v>39</v>
      </c>
      <c r="V2574" s="3">
        <v>5</v>
      </c>
    </row>
    <row r="2575" spans="1:22" x14ac:dyDescent="0.3">
      <c r="A2575" s="2" t="s">
        <v>5633</v>
      </c>
      <c r="B2575" s="10">
        <v>44290</v>
      </c>
      <c r="C2575" s="22">
        <v>44290</v>
      </c>
      <c r="D2575" s="1" t="s">
        <v>5634</v>
      </c>
      <c r="E2575" s="1" t="s">
        <v>3031</v>
      </c>
      <c r="F2575" s="1">
        <v>35</v>
      </c>
      <c r="G2575" s="1" t="s">
        <v>24</v>
      </c>
      <c r="H2575" s="1" t="s">
        <v>25</v>
      </c>
      <c r="I2575" s="1" t="s">
        <v>55</v>
      </c>
      <c r="J2575" s="1" t="s">
        <v>62</v>
      </c>
      <c r="K2575" s="1" t="s">
        <v>283</v>
      </c>
      <c r="L2575" s="1">
        <v>2</v>
      </c>
      <c r="M2575" s="13">
        <v>1240.07</v>
      </c>
      <c r="N2575" s="15">
        <v>0.27</v>
      </c>
      <c r="O2575" s="13">
        <v>2086.4899999999998</v>
      </c>
      <c r="P2575" s="13">
        <v>966.59</v>
      </c>
      <c r="Q2575" s="13">
        <v>50.83</v>
      </c>
      <c r="R2575" s="1" t="s">
        <v>64</v>
      </c>
      <c r="S2575" s="1">
        <v>4</v>
      </c>
      <c r="T2575" s="1" t="b">
        <v>0</v>
      </c>
      <c r="U2575" s="1" t="s">
        <v>39</v>
      </c>
      <c r="V2575" s="3">
        <v>9</v>
      </c>
    </row>
    <row r="2576" spans="1:22" x14ac:dyDescent="0.3">
      <c r="A2576" s="2" t="s">
        <v>5635</v>
      </c>
      <c r="B2576" s="10">
        <v>44845</v>
      </c>
      <c r="C2576" s="22">
        <v>44845</v>
      </c>
      <c r="D2576" s="1" t="s">
        <v>5636</v>
      </c>
      <c r="E2576" s="1" t="s">
        <v>4211</v>
      </c>
      <c r="F2576" s="1">
        <v>14</v>
      </c>
      <c r="G2576" s="1" t="s">
        <v>88</v>
      </c>
      <c r="H2576" s="1" t="s">
        <v>74</v>
      </c>
      <c r="I2576" s="1" t="s">
        <v>75</v>
      </c>
      <c r="J2576" s="1" t="s">
        <v>127</v>
      </c>
      <c r="K2576" s="1" t="s">
        <v>196</v>
      </c>
      <c r="L2576" s="1">
        <v>4</v>
      </c>
      <c r="M2576" s="13">
        <v>15142.49</v>
      </c>
      <c r="N2576" s="15">
        <v>0.12</v>
      </c>
      <c r="O2576" s="13">
        <v>54212.43</v>
      </c>
      <c r="P2576" s="13">
        <v>5733.17</v>
      </c>
      <c r="Q2576" s="13">
        <v>98.24</v>
      </c>
      <c r="R2576" s="1" t="s">
        <v>51</v>
      </c>
      <c r="S2576" s="1">
        <v>2</v>
      </c>
      <c r="T2576" s="1" t="b">
        <v>0</v>
      </c>
      <c r="U2576" s="1" t="s">
        <v>58</v>
      </c>
      <c r="V2576" s="3">
        <v>6</v>
      </c>
    </row>
    <row r="2577" spans="1:22" x14ac:dyDescent="0.3">
      <c r="A2577" s="2" t="s">
        <v>5637</v>
      </c>
      <c r="B2577" s="10">
        <v>45469</v>
      </c>
      <c r="C2577" s="22">
        <v>45469</v>
      </c>
      <c r="D2577" s="1" t="s">
        <v>5638</v>
      </c>
      <c r="E2577" s="1" t="s">
        <v>616</v>
      </c>
      <c r="F2577" s="1">
        <v>36</v>
      </c>
      <c r="G2577" s="1" t="s">
        <v>34</v>
      </c>
      <c r="H2577" s="1" t="s">
        <v>82</v>
      </c>
      <c r="I2577" s="1" t="s">
        <v>244</v>
      </c>
      <c r="J2577" s="1" t="s">
        <v>37</v>
      </c>
      <c r="K2577" s="1" t="s">
        <v>231</v>
      </c>
      <c r="L2577" s="1">
        <v>5</v>
      </c>
      <c r="M2577" s="13">
        <v>506.32</v>
      </c>
      <c r="N2577" s="15">
        <v>0.23</v>
      </c>
      <c r="O2577" s="13">
        <v>3615.35</v>
      </c>
      <c r="P2577" s="13">
        <v>1883.1</v>
      </c>
      <c r="Q2577" s="13">
        <v>101.92</v>
      </c>
      <c r="R2577" s="1" t="s">
        <v>64</v>
      </c>
      <c r="S2577" s="1">
        <v>3</v>
      </c>
      <c r="T2577" s="1" t="b">
        <v>0</v>
      </c>
      <c r="U2577" s="1" t="s">
        <v>58</v>
      </c>
      <c r="V2577" s="3">
        <v>8</v>
      </c>
    </row>
    <row r="2578" spans="1:22" x14ac:dyDescent="0.3">
      <c r="A2578" s="2" t="s">
        <v>5639</v>
      </c>
      <c r="B2578" s="10">
        <v>45105</v>
      </c>
      <c r="C2578" s="22">
        <v>45105</v>
      </c>
      <c r="D2578" s="1" t="s">
        <v>5640</v>
      </c>
      <c r="E2578" s="1" t="s">
        <v>665</v>
      </c>
      <c r="F2578" s="1">
        <v>27</v>
      </c>
      <c r="G2578" s="1" t="s">
        <v>68</v>
      </c>
      <c r="H2578" s="1" t="s">
        <v>74</v>
      </c>
      <c r="I2578" s="1" t="s">
        <v>136</v>
      </c>
      <c r="J2578" s="1" t="s">
        <v>146</v>
      </c>
      <c r="K2578" s="1" t="s">
        <v>147</v>
      </c>
      <c r="L2578" s="1">
        <v>1</v>
      </c>
      <c r="M2578" s="13">
        <v>8268.89</v>
      </c>
      <c r="N2578" s="15">
        <v>0.21</v>
      </c>
      <c r="O2578" s="13">
        <v>14813.92</v>
      </c>
      <c r="P2578" s="13">
        <v>3926.85</v>
      </c>
      <c r="Q2578" s="13">
        <v>52.82</v>
      </c>
      <c r="R2578" s="1" t="s">
        <v>51</v>
      </c>
      <c r="S2578" s="1">
        <v>3</v>
      </c>
      <c r="T2578" s="1" t="b">
        <v>0</v>
      </c>
      <c r="U2578" s="1" t="s">
        <v>39</v>
      </c>
      <c r="V2578" s="3">
        <v>7</v>
      </c>
    </row>
    <row r="2579" spans="1:22" x14ac:dyDescent="0.3">
      <c r="A2579" s="2" t="s">
        <v>5641</v>
      </c>
      <c r="B2579" s="10">
        <v>44346</v>
      </c>
      <c r="C2579" s="22">
        <v>44346</v>
      </c>
      <c r="D2579" s="1" t="s">
        <v>5642</v>
      </c>
      <c r="E2579" s="1" t="s">
        <v>157</v>
      </c>
      <c r="F2579" s="1">
        <v>32</v>
      </c>
      <c r="G2579" s="1" t="s">
        <v>68</v>
      </c>
      <c r="H2579" s="1" t="s">
        <v>25</v>
      </c>
      <c r="I2579" s="1" t="s">
        <v>69</v>
      </c>
      <c r="J2579" s="1" t="s">
        <v>76</v>
      </c>
      <c r="K2579" s="1" t="s">
        <v>207</v>
      </c>
      <c r="L2579" s="1">
        <v>3</v>
      </c>
      <c r="M2579" s="13">
        <v>2929.95</v>
      </c>
      <c r="N2579" s="15">
        <v>0.06</v>
      </c>
      <c r="O2579" s="13">
        <v>12682.78</v>
      </c>
      <c r="P2579" s="13">
        <v>4420.51</v>
      </c>
      <c r="Q2579" s="13">
        <v>33.4</v>
      </c>
      <c r="R2579" s="1" t="s">
        <v>64</v>
      </c>
      <c r="S2579" s="1">
        <v>2</v>
      </c>
      <c r="T2579" s="1" t="b">
        <v>0</v>
      </c>
      <c r="U2579" s="1" t="s">
        <v>84</v>
      </c>
      <c r="V2579" s="3">
        <v>10</v>
      </c>
    </row>
    <row r="2580" spans="1:22" x14ac:dyDescent="0.3">
      <c r="A2580" s="2" t="s">
        <v>5643</v>
      </c>
      <c r="B2580" s="10">
        <v>45332</v>
      </c>
      <c r="C2580" s="22">
        <v>45332</v>
      </c>
      <c r="D2580" s="1" t="s">
        <v>5644</v>
      </c>
      <c r="E2580" s="1" t="s">
        <v>603</v>
      </c>
      <c r="F2580" s="1">
        <v>27</v>
      </c>
      <c r="G2580" s="1" t="s">
        <v>34</v>
      </c>
      <c r="H2580" s="1" t="s">
        <v>111</v>
      </c>
      <c r="I2580" s="1" t="s">
        <v>141</v>
      </c>
      <c r="J2580" s="1" t="s">
        <v>76</v>
      </c>
      <c r="K2580" s="1" t="s">
        <v>122</v>
      </c>
      <c r="L2580" s="1">
        <v>5</v>
      </c>
      <c r="M2580" s="13">
        <v>1140.3900000000001</v>
      </c>
      <c r="N2580" s="15">
        <v>0.08</v>
      </c>
      <c r="O2580" s="13">
        <v>5942.91</v>
      </c>
      <c r="P2580" s="13">
        <v>2945.59</v>
      </c>
      <c r="Q2580" s="13">
        <v>66.62</v>
      </c>
      <c r="R2580" s="1" t="s">
        <v>29</v>
      </c>
      <c r="S2580" s="1">
        <v>1</v>
      </c>
      <c r="T2580" s="1" t="b">
        <v>1</v>
      </c>
      <c r="U2580" s="1" t="s">
        <v>30</v>
      </c>
      <c r="V2580" s="3">
        <v>2</v>
      </c>
    </row>
    <row r="2581" spans="1:22" x14ac:dyDescent="0.3">
      <c r="A2581" s="2" t="s">
        <v>5645</v>
      </c>
      <c r="B2581" s="10">
        <v>43963</v>
      </c>
      <c r="C2581" s="22">
        <v>43963</v>
      </c>
      <c r="D2581" s="1" t="s">
        <v>5646</v>
      </c>
      <c r="E2581" s="1" t="s">
        <v>440</v>
      </c>
      <c r="F2581" s="1">
        <v>32</v>
      </c>
      <c r="G2581" s="1" t="s">
        <v>34</v>
      </c>
      <c r="H2581" s="1" t="s">
        <v>74</v>
      </c>
      <c r="I2581" s="1" t="s">
        <v>75</v>
      </c>
      <c r="J2581" s="1" t="s">
        <v>76</v>
      </c>
      <c r="K2581" s="1" t="s">
        <v>122</v>
      </c>
      <c r="L2581" s="1">
        <v>1</v>
      </c>
      <c r="M2581" s="13">
        <v>2507.91</v>
      </c>
      <c r="N2581" s="15">
        <v>0.28999999999999998</v>
      </c>
      <c r="O2581" s="13">
        <v>2231.21</v>
      </c>
      <c r="P2581" s="13">
        <v>589.57000000000005</v>
      </c>
      <c r="Q2581" s="13">
        <v>42.69</v>
      </c>
      <c r="R2581" s="1" t="s">
        <v>51</v>
      </c>
      <c r="S2581" s="1">
        <v>2</v>
      </c>
      <c r="T2581" s="1" t="b">
        <v>0</v>
      </c>
      <c r="U2581" s="1" t="s">
        <v>39</v>
      </c>
      <c r="V2581" s="3">
        <v>3</v>
      </c>
    </row>
    <row r="2582" spans="1:22" x14ac:dyDescent="0.3">
      <c r="A2582" s="2" t="s">
        <v>5647</v>
      </c>
      <c r="B2582" s="10">
        <v>45558</v>
      </c>
      <c r="C2582" s="22">
        <v>45558</v>
      </c>
      <c r="D2582" s="1" t="s">
        <v>5648</v>
      </c>
      <c r="E2582" s="1" t="s">
        <v>135</v>
      </c>
      <c r="F2582" s="1">
        <v>39</v>
      </c>
      <c r="G2582" s="1" t="s">
        <v>34</v>
      </c>
      <c r="H2582" s="1" t="s">
        <v>111</v>
      </c>
      <c r="I2582" s="1" t="s">
        <v>112</v>
      </c>
      <c r="J2582" s="1" t="s">
        <v>76</v>
      </c>
      <c r="K2582" s="1" t="s">
        <v>122</v>
      </c>
      <c r="L2582" s="1">
        <v>6</v>
      </c>
      <c r="M2582" s="13">
        <v>633.62</v>
      </c>
      <c r="N2582" s="15">
        <v>0.11</v>
      </c>
      <c r="O2582" s="13">
        <v>4634.74</v>
      </c>
      <c r="P2582" s="13">
        <v>1771.15</v>
      </c>
      <c r="Q2582" s="13">
        <v>66.09</v>
      </c>
      <c r="R2582" s="1" t="s">
        <v>29</v>
      </c>
      <c r="S2582" s="1">
        <v>2</v>
      </c>
      <c r="T2582" s="1" t="b">
        <v>0</v>
      </c>
      <c r="U2582" s="1" t="s">
        <v>39</v>
      </c>
      <c r="V2582" s="3">
        <v>3</v>
      </c>
    </row>
    <row r="2583" spans="1:22" x14ac:dyDescent="0.3">
      <c r="A2583" s="2" t="s">
        <v>5649</v>
      </c>
      <c r="B2583" s="10">
        <v>45260</v>
      </c>
      <c r="C2583" s="22">
        <v>45260</v>
      </c>
      <c r="D2583" s="1" t="s">
        <v>5650</v>
      </c>
      <c r="E2583" s="1" t="s">
        <v>150</v>
      </c>
      <c r="F2583" s="1">
        <v>59</v>
      </c>
      <c r="G2583" s="1" t="s">
        <v>34</v>
      </c>
      <c r="H2583" s="1" t="s">
        <v>74</v>
      </c>
      <c r="I2583" s="1" t="s">
        <v>75</v>
      </c>
      <c r="J2583" s="1" t="s">
        <v>127</v>
      </c>
      <c r="K2583" s="1" t="s">
        <v>517</v>
      </c>
      <c r="L2583" s="1">
        <v>9</v>
      </c>
      <c r="M2583" s="13">
        <v>45871.33</v>
      </c>
      <c r="N2583" s="15">
        <v>0.21</v>
      </c>
      <c r="O2583" s="13">
        <v>349237.43</v>
      </c>
      <c r="P2583" s="13">
        <v>41287.550000000003</v>
      </c>
      <c r="Q2583" s="13">
        <v>42.69</v>
      </c>
      <c r="R2583" s="1" t="s">
        <v>51</v>
      </c>
      <c r="S2583" s="1">
        <v>1</v>
      </c>
      <c r="T2583" s="1" t="b">
        <v>0</v>
      </c>
      <c r="U2583" s="1" t="s">
        <v>137</v>
      </c>
      <c r="V2583" s="3">
        <v>9</v>
      </c>
    </row>
    <row r="2584" spans="1:22" x14ac:dyDescent="0.3">
      <c r="A2584" s="2" t="s">
        <v>5651</v>
      </c>
      <c r="B2584" s="10">
        <v>44489</v>
      </c>
      <c r="C2584" s="22">
        <v>44489</v>
      </c>
      <c r="D2584" s="1" t="s">
        <v>5652</v>
      </c>
      <c r="E2584" s="1" t="s">
        <v>357</v>
      </c>
      <c r="F2584" s="1">
        <v>43</v>
      </c>
      <c r="G2584" s="1" t="s">
        <v>68</v>
      </c>
      <c r="H2584" s="1" t="s">
        <v>74</v>
      </c>
      <c r="I2584" s="1" t="s">
        <v>101</v>
      </c>
      <c r="J2584" s="1" t="s">
        <v>146</v>
      </c>
      <c r="K2584" s="1" t="s">
        <v>178</v>
      </c>
      <c r="L2584" s="1">
        <v>3</v>
      </c>
      <c r="M2584" s="13">
        <v>6413.38</v>
      </c>
      <c r="N2584" s="15">
        <v>0.13</v>
      </c>
      <c r="O2584" s="13">
        <v>14627.15</v>
      </c>
      <c r="P2584" s="13">
        <v>3690.83</v>
      </c>
      <c r="Q2584" s="13">
        <v>28.34</v>
      </c>
      <c r="R2584" s="1" t="s">
        <v>64</v>
      </c>
      <c r="S2584" s="1">
        <v>5</v>
      </c>
      <c r="T2584" s="1" t="b">
        <v>0</v>
      </c>
      <c r="U2584" s="1" t="s">
        <v>137</v>
      </c>
      <c r="V2584" s="3">
        <v>2</v>
      </c>
    </row>
    <row r="2585" spans="1:22" x14ac:dyDescent="0.3">
      <c r="A2585" s="2" t="s">
        <v>5653</v>
      </c>
      <c r="B2585" s="10">
        <v>45115</v>
      </c>
      <c r="C2585" s="22">
        <v>45115</v>
      </c>
      <c r="D2585" s="1" t="s">
        <v>5654</v>
      </c>
      <c r="E2585" s="1" t="s">
        <v>381</v>
      </c>
      <c r="F2585" s="1">
        <v>21</v>
      </c>
      <c r="G2585" s="1" t="s">
        <v>34</v>
      </c>
      <c r="H2585" s="1" t="s">
        <v>82</v>
      </c>
      <c r="I2585" s="1" t="s">
        <v>126</v>
      </c>
      <c r="J2585" s="1" t="s">
        <v>76</v>
      </c>
      <c r="K2585" s="1" t="s">
        <v>89</v>
      </c>
      <c r="L2585" s="1">
        <v>8</v>
      </c>
      <c r="M2585" s="13">
        <v>306.88</v>
      </c>
      <c r="N2585" s="15">
        <v>0.19</v>
      </c>
      <c r="O2585" s="13">
        <v>2993.13</v>
      </c>
      <c r="P2585" s="13">
        <v>1019.95</v>
      </c>
      <c r="Q2585" s="13">
        <v>53.78</v>
      </c>
      <c r="R2585" s="1" t="s">
        <v>70</v>
      </c>
      <c r="S2585" s="1">
        <v>3</v>
      </c>
      <c r="T2585" s="1" t="b">
        <v>1</v>
      </c>
      <c r="U2585" s="1" t="s">
        <v>30</v>
      </c>
      <c r="V2585" s="3">
        <v>8</v>
      </c>
    </row>
    <row r="2586" spans="1:22" x14ac:dyDescent="0.3">
      <c r="A2586" s="2" t="s">
        <v>5655</v>
      </c>
      <c r="B2586" s="10">
        <v>45623</v>
      </c>
      <c r="C2586" s="22">
        <v>45623</v>
      </c>
      <c r="D2586" s="1" t="s">
        <v>5656</v>
      </c>
      <c r="E2586" s="1" t="s">
        <v>687</v>
      </c>
      <c r="F2586" s="1">
        <v>42</v>
      </c>
      <c r="G2586" s="1" t="s">
        <v>34</v>
      </c>
      <c r="H2586" s="1" t="s">
        <v>82</v>
      </c>
      <c r="I2586" s="1" t="s">
        <v>126</v>
      </c>
      <c r="J2586" s="1" t="s">
        <v>127</v>
      </c>
      <c r="K2586" s="1" t="s">
        <v>171</v>
      </c>
      <c r="L2586" s="1">
        <v>7</v>
      </c>
      <c r="M2586" s="13">
        <v>26719.46</v>
      </c>
      <c r="N2586" s="15">
        <v>0.32</v>
      </c>
      <c r="O2586" s="13">
        <v>125839.81</v>
      </c>
      <c r="P2586" s="13">
        <v>16743.79</v>
      </c>
      <c r="Q2586" s="13">
        <v>87.4</v>
      </c>
      <c r="R2586" s="1" t="s">
        <v>70</v>
      </c>
      <c r="S2586" s="1">
        <v>1</v>
      </c>
      <c r="T2586" s="1" t="b">
        <v>0</v>
      </c>
      <c r="U2586" s="1" t="s">
        <v>39</v>
      </c>
      <c r="V2586" s="3">
        <v>9</v>
      </c>
    </row>
    <row r="2587" spans="1:22" x14ac:dyDescent="0.3">
      <c r="A2587" s="2" t="s">
        <v>5657</v>
      </c>
      <c r="B2587" s="10">
        <v>44502</v>
      </c>
      <c r="C2587" s="22">
        <v>44502</v>
      </c>
      <c r="D2587" s="1" t="s">
        <v>5658</v>
      </c>
      <c r="E2587" s="1" t="s">
        <v>915</v>
      </c>
      <c r="F2587" s="1">
        <v>43</v>
      </c>
      <c r="G2587" s="1" t="s">
        <v>24</v>
      </c>
      <c r="H2587" s="1" t="s">
        <v>74</v>
      </c>
      <c r="I2587" s="1" t="s">
        <v>101</v>
      </c>
      <c r="J2587" s="1" t="s">
        <v>37</v>
      </c>
      <c r="K2587" s="1" t="s">
        <v>182</v>
      </c>
      <c r="L2587" s="1">
        <v>2</v>
      </c>
      <c r="M2587" s="13">
        <v>870.66</v>
      </c>
      <c r="N2587" s="15">
        <v>0.04</v>
      </c>
      <c r="O2587" s="13">
        <v>1465.34</v>
      </c>
      <c r="P2587" s="13">
        <v>696.19</v>
      </c>
      <c r="Q2587" s="13">
        <v>29.61</v>
      </c>
      <c r="R2587" s="1" t="s">
        <v>70</v>
      </c>
      <c r="S2587" s="1">
        <v>1</v>
      </c>
      <c r="T2587" s="1" t="b">
        <v>1</v>
      </c>
      <c r="U2587" s="1" t="s">
        <v>30</v>
      </c>
      <c r="V2587" s="3">
        <v>10</v>
      </c>
    </row>
    <row r="2588" spans="1:22" x14ac:dyDescent="0.3">
      <c r="A2588" s="2" t="s">
        <v>5659</v>
      </c>
      <c r="B2588" s="10">
        <v>44231</v>
      </c>
      <c r="C2588" s="22">
        <v>44231</v>
      </c>
      <c r="D2588" s="1" t="s">
        <v>5660</v>
      </c>
      <c r="E2588" s="1" t="s">
        <v>67</v>
      </c>
      <c r="F2588" s="1">
        <v>33</v>
      </c>
      <c r="G2588" s="1" t="s">
        <v>24</v>
      </c>
      <c r="H2588" s="1" t="s">
        <v>111</v>
      </c>
      <c r="I2588" s="1" t="s">
        <v>330</v>
      </c>
      <c r="J2588" s="1" t="s">
        <v>127</v>
      </c>
      <c r="K2588" s="1" t="s">
        <v>128</v>
      </c>
      <c r="L2588" s="1">
        <v>1</v>
      </c>
      <c r="M2588" s="13">
        <v>41541.620000000003</v>
      </c>
      <c r="N2588" s="15">
        <v>0.18</v>
      </c>
      <c r="O2588" s="13">
        <v>29525.13</v>
      </c>
      <c r="P2588" s="13">
        <v>3792.31</v>
      </c>
      <c r="Q2588" s="13">
        <v>88.25</v>
      </c>
      <c r="R2588" s="1" t="s">
        <v>57</v>
      </c>
      <c r="S2588" s="1">
        <v>2</v>
      </c>
      <c r="T2588" s="1" t="b">
        <v>0</v>
      </c>
      <c r="U2588" s="1" t="s">
        <v>84</v>
      </c>
      <c r="V2588" s="3">
        <v>6</v>
      </c>
    </row>
    <row r="2589" spans="1:22" x14ac:dyDescent="0.3">
      <c r="A2589" s="2" t="s">
        <v>5661</v>
      </c>
      <c r="B2589" s="10">
        <v>45460</v>
      </c>
      <c r="C2589" s="22">
        <v>45460</v>
      </c>
      <c r="D2589" s="1" t="s">
        <v>5662</v>
      </c>
      <c r="E2589" s="1" t="s">
        <v>437</v>
      </c>
      <c r="F2589" s="1">
        <v>28</v>
      </c>
      <c r="G2589" s="1" t="s">
        <v>24</v>
      </c>
      <c r="H2589" s="1" t="s">
        <v>25</v>
      </c>
      <c r="I2589" s="1" t="s">
        <v>55</v>
      </c>
      <c r="J2589" s="1" t="s">
        <v>27</v>
      </c>
      <c r="K2589" s="1" t="s">
        <v>97</v>
      </c>
      <c r="L2589" s="1">
        <v>5</v>
      </c>
      <c r="M2589" s="13">
        <v>303.44</v>
      </c>
      <c r="N2589" s="15">
        <v>0.06</v>
      </c>
      <c r="O2589" s="13">
        <v>2686.06</v>
      </c>
      <c r="P2589" s="13">
        <v>221.12</v>
      </c>
      <c r="Q2589" s="13">
        <v>32.81</v>
      </c>
      <c r="R2589" s="1" t="s">
        <v>78</v>
      </c>
      <c r="S2589" s="1">
        <v>4</v>
      </c>
      <c r="T2589" s="1" t="b">
        <v>0</v>
      </c>
      <c r="U2589" s="1" t="s">
        <v>39</v>
      </c>
      <c r="V2589" s="3">
        <v>9</v>
      </c>
    </row>
    <row r="2590" spans="1:22" x14ac:dyDescent="0.3">
      <c r="A2590" s="2" t="s">
        <v>5663</v>
      </c>
      <c r="B2590" s="10">
        <v>45105</v>
      </c>
      <c r="C2590" s="22">
        <v>45105</v>
      </c>
      <c r="D2590" s="1" t="s">
        <v>5664</v>
      </c>
      <c r="E2590" s="1" t="s">
        <v>1229</v>
      </c>
      <c r="F2590" s="1">
        <v>42</v>
      </c>
      <c r="G2590" s="1" t="s">
        <v>24</v>
      </c>
      <c r="H2590" s="1" t="s">
        <v>74</v>
      </c>
      <c r="I2590" s="1" t="s">
        <v>192</v>
      </c>
      <c r="J2590" s="1" t="s">
        <v>127</v>
      </c>
      <c r="K2590" s="1" t="s">
        <v>142</v>
      </c>
      <c r="L2590" s="1">
        <v>3</v>
      </c>
      <c r="M2590" s="13">
        <v>28197.79</v>
      </c>
      <c r="N2590" s="15">
        <v>0.16</v>
      </c>
      <c r="O2590" s="13">
        <v>103938.59</v>
      </c>
      <c r="P2590" s="13">
        <v>17181.509999999998</v>
      </c>
      <c r="Q2590" s="13">
        <v>73.989999999999995</v>
      </c>
      <c r="R2590" s="1" t="s">
        <v>70</v>
      </c>
      <c r="S2590" s="1">
        <v>4</v>
      </c>
      <c r="T2590" s="1" t="b">
        <v>0</v>
      </c>
      <c r="U2590" s="1" t="s">
        <v>137</v>
      </c>
      <c r="V2590" s="3">
        <v>1</v>
      </c>
    </row>
    <row r="2591" spans="1:22" x14ac:dyDescent="0.3">
      <c r="A2591" s="2" t="s">
        <v>5665</v>
      </c>
      <c r="B2591" s="10">
        <v>44496</v>
      </c>
      <c r="C2591" s="22">
        <v>44496</v>
      </c>
      <c r="D2591" s="1" t="s">
        <v>5666</v>
      </c>
      <c r="E2591" s="1" t="s">
        <v>1345</v>
      </c>
      <c r="F2591" s="1">
        <v>34</v>
      </c>
      <c r="G2591" s="1" t="s">
        <v>24</v>
      </c>
      <c r="H2591" s="1" t="s">
        <v>35</v>
      </c>
      <c r="I2591" s="1" t="s">
        <v>49</v>
      </c>
      <c r="J2591" s="1" t="s">
        <v>76</v>
      </c>
      <c r="K2591" s="1" t="s">
        <v>207</v>
      </c>
      <c r="L2591" s="1">
        <v>5</v>
      </c>
      <c r="M2591" s="13">
        <v>2473.16</v>
      </c>
      <c r="N2591" s="15">
        <v>0.34</v>
      </c>
      <c r="O2591" s="13">
        <v>1735.97</v>
      </c>
      <c r="P2591" s="13">
        <v>545.85</v>
      </c>
      <c r="Q2591" s="13">
        <v>67.959999999999994</v>
      </c>
      <c r="R2591" s="1" t="s">
        <v>64</v>
      </c>
      <c r="S2591" s="1">
        <v>5</v>
      </c>
      <c r="T2591" s="1" t="b">
        <v>1</v>
      </c>
      <c r="U2591" s="1" t="s">
        <v>30</v>
      </c>
      <c r="V2591" s="3">
        <v>10</v>
      </c>
    </row>
    <row r="2592" spans="1:22" x14ac:dyDescent="0.3">
      <c r="A2592" s="2" t="s">
        <v>5667</v>
      </c>
      <c r="B2592" s="10">
        <v>44475</v>
      </c>
      <c r="C2592" s="22">
        <v>44475</v>
      </c>
      <c r="D2592" s="1" t="s">
        <v>5668</v>
      </c>
      <c r="E2592" s="1" t="s">
        <v>243</v>
      </c>
      <c r="F2592" s="1">
        <v>25</v>
      </c>
      <c r="G2592" s="1" t="s">
        <v>24</v>
      </c>
      <c r="H2592" s="1" t="s">
        <v>111</v>
      </c>
      <c r="I2592" s="1" t="s">
        <v>112</v>
      </c>
      <c r="J2592" s="1" t="s">
        <v>76</v>
      </c>
      <c r="K2592" s="1" t="s">
        <v>89</v>
      </c>
      <c r="L2592" s="1">
        <v>3</v>
      </c>
      <c r="M2592" s="13">
        <v>1683.92</v>
      </c>
      <c r="N2592" s="15">
        <v>0.01</v>
      </c>
      <c r="O2592" s="13">
        <v>5129.49</v>
      </c>
      <c r="P2592" s="13">
        <v>1700.69</v>
      </c>
      <c r="Q2592" s="13">
        <v>84.8</v>
      </c>
      <c r="R2592" s="1" t="s">
        <v>64</v>
      </c>
      <c r="S2592" s="1">
        <v>3</v>
      </c>
      <c r="T2592" s="1" t="b">
        <v>0</v>
      </c>
      <c r="U2592" s="1" t="s">
        <v>58</v>
      </c>
      <c r="V2592" s="3">
        <v>8</v>
      </c>
    </row>
    <row r="2593" spans="1:22" x14ac:dyDescent="0.3">
      <c r="A2593" s="2" t="s">
        <v>5669</v>
      </c>
      <c r="B2593" s="10">
        <v>44512</v>
      </c>
      <c r="C2593" s="22">
        <v>44512</v>
      </c>
      <c r="D2593" s="1" t="s">
        <v>5670</v>
      </c>
      <c r="E2593" s="1" t="s">
        <v>200</v>
      </c>
      <c r="F2593" s="1">
        <v>34</v>
      </c>
      <c r="G2593" s="1" t="s">
        <v>434</v>
      </c>
      <c r="H2593" s="1" t="s">
        <v>82</v>
      </c>
      <c r="I2593" s="1" t="s">
        <v>126</v>
      </c>
      <c r="J2593" s="1" t="s">
        <v>44</v>
      </c>
      <c r="K2593" s="1" t="s">
        <v>117</v>
      </c>
      <c r="L2593" s="1">
        <v>8</v>
      </c>
      <c r="M2593" s="13">
        <v>15110.2</v>
      </c>
      <c r="N2593" s="15">
        <v>7.0000000000000007E-2</v>
      </c>
      <c r="O2593" s="13">
        <v>77607.19</v>
      </c>
      <c r="P2593" s="13">
        <v>18792.98</v>
      </c>
      <c r="Q2593" s="13">
        <v>87.16</v>
      </c>
      <c r="R2593" s="1" t="s">
        <v>78</v>
      </c>
      <c r="S2593" s="1">
        <v>4</v>
      </c>
      <c r="T2593" s="1" t="b">
        <v>0</v>
      </c>
      <c r="U2593" s="1" t="s">
        <v>39</v>
      </c>
      <c r="V2593" s="3">
        <v>6</v>
      </c>
    </row>
    <row r="2594" spans="1:22" x14ac:dyDescent="0.3">
      <c r="A2594" s="2" t="s">
        <v>5671</v>
      </c>
      <c r="B2594" s="10">
        <v>44125</v>
      </c>
      <c r="C2594" s="22">
        <v>44125</v>
      </c>
      <c r="D2594" s="1" t="s">
        <v>5672</v>
      </c>
      <c r="E2594" s="1" t="s">
        <v>1510</v>
      </c>
      <c r="F2594" s="1">
        <v>36</v>
      </c>
      <c r="G2594" s="1" t="s">
        <v>68</v>
      </c>
      <c r="H2594" s="1" t="s">
        <v>25</v>
      </c>
      <c r="I2594" s="1" t="s">
        <v>55</v>
      </c>
      <c r="J2594" s="1" t="s">
        <v>44</v>
      </c>
      <c r="K2594" s="1" t="s">
        <v>93</v>
      </c>
      <c r="L2594" s="1">
        <v>6</v>
      </c>
      <c r="M2594" s="13">
        <v>29603.47</v>
      </c>
      <c r="N2594" s="15">
        <v>0.09</v>
      </c>
      <c r="O2594" s="13">
        <v>131775.14000000001</v>
      </c>
      <c r="P2594" s="13">
        <v>31425.24</v>
      </c>
      <c r="Q2594" s="13">
        <v>72.709999999999994</v>
      </c>
      <c r="R2594" s="1" t="s">
        <v>64</v>
      </c>
      <c r="S2594" s="1">
        <v>4</v>
      </c>
      <c r="T2594" s="1" t="b">
        <v>0</v>
      </c>
      <c r="U2594" s="1" t="s">
        <v>39</v>
      </c>
      <c r="V2594" s="3">
        <v>2</v>
      </c>
    </row>
    <row r="2595" spans="1:22" x14ac:dyDescent="0.3">
      <c r="A2595" s="2" t="s">
        <v>5673</v>
      </c>
      <c r="B2595" s="10">
        <v>44504</v>
      </c>
      <c r="C2595" s="22">
        <v>44504</v>
      </c>
      <c r="D2595" s="1" t="s">
        <v>5674</v>
      </c>
      <c r="E2595" s="1" t="s">
        <v>575</v>
      </c>
      <c r="F2595" s="1">
        <v>47</v>
      </c>
      <c r="G2595" s="1" t="s">
        <v>24</v>
      </c>
      <c r="H2595" s="1" t="s">
        <v>111</v>
      </c>
      <c r="I2595" s="1" t="s">
        <v>141</v>
      </c>
      <c r="J2595" s="1" t="s">
        <v>127</v>
      </c>
      <c r="K2595" s="1" t="s">
        <v>196</v>
      </c>
      <c r="L2595" s="1">
        <v>4</v>
      </c>
      <c r="M2595" s="13">
        <v>32627.08</v>
      </c>
      <c r="N2595" s="15">
        <v>0.15</v>
      </c>
      <c r="O2595" s="13">
        <v>92706.13</v>
      </c>
      <c r="P2595" s="13">
        <v>13307.57</v>
      </c>
      <c r="Q2595" s="13">
        <v>72.28</v>
      </c>
      <c r="R2595" s="1" t="s">
        <v>29</v>
      </c>
      <c r="S2595" s="1">
        <v>3</v>
      </c>
      <c r="T2595" s="1" t="b">
        <v>1</v>
      </c>
      <c r="U2595" s="1" t="s">
        <v>30</v>
      </c>
      <c r="V2595" s="3">
        <v>8</v>
      </c>
    </row>
    <row r="2596" spans="1:22" x14ac:dyDescent="0.3">
      <c r="A2596" s="2" t="s">
        <v>5675</v>
      </c>
      <c r="B2596" s="10">
        <v>44114</v>
      </c>
      <c r="C2596" s="22">
        <v>44114</v>
      </c>
      <c r="D2596" s="1" t="s">
        <v>5676</v>
      </c>
      <c r="E2596" s="1" t="s">
        <v>1181</v>
      </c>
      <c r="F2596" s="1">
        <v>60</v>
      </c>
      <c r="G2596" s="1" t="s">
        <v>34</v>
      </c>
      <c r="H2596" s="1" t="s">
        <v>74</v>
      </c>
      <c r="I2596" s="1" t="s">
        <v>75</v>
      </c>
      <c r="J2596" s="1" t="s">
        <v>62</v>
      </c>
      <c r="K2596" s="1" t="s">
        <v>570</v>
      </c>
      <c r="L2596" s="1">
        <v>4</v>
      </c>
      <c r="M2596" s="13">
        <v>902.54</v>
      </c>
      <c r="N2596" s="15">
        <v>0.33</v>
      </c>
      <c r="O2596" s="13">
        <v>1938.35</v>
      </c>
      <c r="P2596" s="13">
        <v>751.4</v>
      </c>
      <c r="Q2596" s="13">
        <v>75.5</v>
      </c>
      <c r="R2596" s="1" t="s">
        <v>51</v>
      </c>
      <c r="S2596" s="1">
        <v>1</v>
      </c>
      <c r="T2596" s="1" t="b">
        <v>0</v>
      </c>
      <c r="U2596" s="1" t="s">
        <v>39</v>
      </c>
      <c r="V2596" s="3">
        <v>2</v>
      </c>
    </row>
    <row r="2597" spans="1:22" x14ac:dyDescent="0.3">
      <c r="A2597" s="2" t="s">
        <v>5677</v>
      </c>
      <c r="B2597" s="10">
        <v>44389</v>
      </c>
      <c r="C2597" s="22">
        <v>44389</v>
      </c>
      <c r="D2597" s="1" t="s">
        <v>5678</v>
      </c>
      <c r="E2597" s="1" t="s">
        <v>1681</v>
      </c>
      <c r="F2597" s="1">
        <v>30</v>
      </c>
      <c r="G2597" s="1" t="s">
        <v>68</v>
      </c>
      <c r="H2597" s="1" t="s">
        <v>82</v>
      </c>
      <c r="I2597" s="1" t="s">
        <v>293</v>
      </c>
      <c r="J2597" s="1" t="s">
        <v>27</v>
      </c>
      <c r="K2597" s="1" t="s">
        <v>97</v>
      </c>
      <c r="L2597" s="1">
        <v>10</v>
      </c>
      <c r="M2597" s="13">
        <v>359.56</v>
      </c>
      <c r="N2597" s="15">
        <v>0.08</v>
      </c>
      <c r="O2597" s="13">
        <v>4470.5600000000004</v>
      </c>
      <c r="P2597" s="13">
        <v>416.18</v>
      </c>
      <c r="Q2597" s="13">
        <v>62.31</v>
      </c>
      <c r="R2597" s="1" t="s">
        <v>29</v>
      </c>
      <c r="S2597" s="1">
        <v>1</v>
      </c>
      <c r="T2597" s="1" t="b">
        <v>1</v>
      </c>
      <c r="U2597" s="1" t="s">
        <v>30</v>
      </c>
      <c r="V2597" s="3">
        <v>9</v>
      </c>
    </row>
    <row r="2598" spans="1:22" x14ac:dyDescent="0.3">
      <c r="A2598" s="2" t="s">
        <v>5679</v>
      </c>
      <c r="B2598" s="10">
        <v>45354</v>
      </c>
      <c r="C2598" s="22">
        <v>45354</v>
      </c>
      <c r="D2598" s="1" t="s">
        <v>5680</v>
      </c>
      <c r="E2598" s="1" t="s">
        <v>1263</v>
      </c>
      <c r="F2598" s="1">
        <v>31</v>
      </c>
      <c r="G2598" s="1" t="s">
        <v>24</v>
      </c>
      <c r="H2598" s="1" t="s">
        <v>35</v>
      </c>
      <c r="I2598" s="1" t="s">
        <v>36</v>
      </c>
      <c r="J2598" s="1" t="s">
        <v>146</v>
      </c>
      <c r="K2598" s="1" t="s">
        <v>147</v>
      </c>
      <c r="L2598" s="1">
        <v>7</v>
      </c>
      <c r="M2598" s="13">
        <v>1704.58</v>
      </c>
      <c r="N2598" s="15">
        <v>0.39</v>
      </c>
      <c r="O2598" s="13">
        <v>10255.26</v>
      </c>
      <c r="P2598" s="13">
        <v>3143.81</v>
      </c>
      <c r="Q2598" s="13">
        <v>60.24</v>
      </c>
      <c r="R2598" s="1" t="s">
        <v>64</v>
      </c>
      <c r="S2598" s="1">
        <v>1</v>
      </c>
      <c r="T2598" s="1" t="b">
        <v>0</v>
      </c>
      <c r="U2598" s="1" t="s">
        <v>39</v>
      </c>
      <c r="V2598" s="3">
        <v>4</v>
      </c>
    </row>
    <row r="2599" spans="1:22" x14ac:dyDescent="0.3">
      <c r="A2599" s="2" t="s">
        <v>5681</v>
      </c>
      <c r="B2599" s="10">
        <v>45652</v>
      </c>
      <c r="C2599" s="22">
        <v>45652</v>
      </c>
      <c r="D2599" s="1" t="s">
        <v>5682</v>
      </c>
      <c r="E2599" s="1" t="s">
        <v>1091</v>
      </c>
      <c r="F2599" s="1">
        <v>21</v>
      </c>
      <c r="G2599" s="1" t="s">
        <v>24</v>
      </c>
      <c r="H2599" s="1" t="s">
        <v>74</v>
      </c>
      <c r="I2599" s="1" t="s">
        <v>101</v>
      </c>
      <c r="J2599" s="1" t="s">
        <v>146</v>
      </c>
      <c r="K2599" s="1" t="s">
        <v>178</v>
      </c>
      <c r="L2599" s="1">
        <v>6</v>
      </c>
      <c r="M2599" s="13">
        <v>5492.54</v>
      </c>
      <c r="N2599" s="15">
        <v>0.09</v>
      </c>
      <c r="O2599" s="13">
        <v>25243.43</v>
      </c>
      <c r="P2599" s="13">
        <v>6104.49</v>
      </c>
      <c r="Q2599" s="13">
        <v>71.5</v>
      </c>
      <c r="R2599" s="1" t="s">
        <v>51</v>
      </c>
      <c r="S2599" s="1">
        <v>5</v>
      </c>
      <c r="T2599" s="1" t="b">
        <v>0</v>
      </c>
      <c r="U2599" s="1" t="s">
        <v>39</v>
      </c>
      <c r="V2599" s="3">
        <v>1</v>
      </c>
    </row>
    <row r="2600" spans="1:22" x14ac:dyDescent="0.3">
      <c r="A2600" s="2" t="s">
        <v>5683</v>
      </c>
      <c r="B2600" s="10">
        <v>44535</v>
      </c>
      <c r="C2600" s="22">
        <v>44535</v>
      </c>
      <c r="D2600" s="1" t="s">
        <v>5684</v>
      </c>
      <c r="E2600" s="1" t="s">
        <v>789</v>
      </c>
      <c r="F2600" s="1">
        <v>12</v>
      </c>
      <c r="G2600" s="1" t="s">
        <v>34</v>
      </c>
      <c r="H2600" s="1" t="s">
        <v>111</v>
      </c>
      <c r="I2600" s="1" t="s">
        <v>141</v>
      </c>
      <c r="J2600" s="1" t="s">
        <v>127</v>
      </c>
      <c r="K2600" s="1" t="s">
        <v>128</v>
      </c>
      <c r="L2600" s="1">
        <v>5</v>
      </c>
      <c r="M2600" s="13">
        <v>64878.879999999997</v>
      </c>
      <c r="N2600" s="15">
        <v>0.37</v>
      </c>
      <c r="O2600" s="13">
        <v>154831</v>
      </c>
      <c r="P2600" s="13">
        <v>19600.91</v>
      </c>
      <c r="Q2600" s="13">
        <v>55.95</v>
      </c>
      <c r="R2600" s="1" t="s">
        <v>57</v>
      </c>
      <c r="S2600" s="1">
        <v>1</v>
      </c>
      <c r="T2600" s="1" t="b">
        <v>0</v>
      </c>
      <c r="U2600" s="1" t="s">
        <v>39</v>
      </c>
      <c r="V2600" s="3">
        <v>8</v>
      </c>
    </row>
    <row r="2601" spans="1:22" x14ac:dyDescent="0.3">
      <c r="A2601" s="2" t="s">
        <v>5685</v>
      </c>
      <c r="B2601" s="10">
        <v>44630</v>
      </c>
      <c r="C2601" s="22">
        <v>44630</v>
      </c>
      <c r="D2601" s="1" t="s">
        <v>5686</v>
      </c>
      <c r="E2601" s="1" t="s">
        <v>1653</v>
      </c>
      <c r="F2601" s="1">
        <v>21</v>
      </c>
      <c r="G2601" s="1" t="s">
        <v>68</v>
      </c>
      <c r="H2601" s="1" t="s">
        <v>74</v>
      </c>
      <c r="I2601" s="1" t="s">
        <v>136</v>
      </c>
      <c r="J2601" s="1" t="s">
        <v>62</v>
      </c>
      <c r="K2601" s="1" t="s">
        <v>63</v>
      </c>
      <c r="L2601" s="1">
        <v>1</v>
      </c>
      <c r="M2601" s="13">
        <v>268.61</v>
      </c>
      <c r="N2601" s="15">
        <v>0.02</v>
      </c>
      <c r="O2601" s="13">
        <v>281.45999999999998</v>
      </c>
      <c r="P2601" s="13">
        <v>81.290000000000006</v>
      </c>
      <c r="Q2601" s="13">
        <v>49.64</v>
      </c>
      <c r="R2601" s="1" t="s">
        <v>51</v>
      </c>
      <c r="S2601" s="1">
        <v>5</v>
      </c>
      <c r="T2601" s="1" t="b">
        <v>0</v>
      </c>
      <c r="U2601" s="1" t="s">
        <v>39</v>
      </c>
      <c r="V2601" s="3">
        <v>1</v>
      </c>
    </row>
    <row r="2602" spans="1:22" x14ac:dyDescent="0.3">
      <c r="A2602" s="2" t="s">
        <v>5687</v>
      </c>
      <c r="B2602" s="10">
        <v>45370</v>
      </c>
      <c r="C2602" s="22">
        <v>45370</v>
      </c>
      <c r="D2602" s="1" t="s">
        <v>5688</v>
      </c>
      <c r="E2602" s="1" t="s">
        <v>384</v>
      </c>
      <c r="F2602" s="1">
        <v>39</v>
      </c>
      <c r="G2602" s="1" t="s">
        <v>68</v>
      </c>
      <c r="H2602" s="1" t="s">
        <v>25</v>
      </c>
      <c r="I2602" s="1" t="s">
        <v>26</v>
      </c>
      <c r="J2602" s="1" t="s">
        <v>37</v>
      </c>
      <c r="K2602" s="1" t="s">
        <v>38</v>
      </c>
      <c r="L2602" s="1">
        <v>5</v>
      </c>
      <c r="M2602" s="13">
        <v>2034.91</v>
      </c>
      <c r="N2602" s="15">
        <v>0.36</v>
      </c>
      <c r="O2602" s="13">
        <v>7446.29</v>
      </c>
      <c r="P2602" s="13">
        <v>2266.42</v>
      </c>
      <c r="Q2602" s="13">
        <v>51.38</v>
      </c>
      <c r="R2602" s="1" t="s">
        <v>64</v>
      </c>
      <c r="S2602" s="1">
        <v>3</v>
      </c>
      <c r="T2602" s="1" t="b">
        <v>0</v>
      </c>
      <c r="U2602" s="1" t="s">
        <v>197</v>
      </c>
      <c r="V2602" s="3">
        <v>7</v>
      </c>
    </row>
    <row r="2603" spans="1:22" x14ac:dyDescent="0.3">
      <c r="A2603" s="2" t="s">
        <v>5689</v>
      </c>
      <c r="B2603" s="10">
        <v>45464</v>
      </c>
      <c r="C2603" s="22">
        <v>45464</v>
      </c>
      <c r="D2603" s="1" t="s">
        <v>5690</v>
      </c>
      <c r="E2603" s="1" t="s">
        <v>891</v>
      </c>
      <c r="F2603" s="1">
        <v>47</v>
      </c>
      <c r="G2603" s="1" t="s">
        <v>24</v>
      </c>
      <c r="H2603" s="1" t="s">
        <v>25</v>
      </c>
      <c r="I2603" s="1" t="s">
        <v>26</v>
      </c>
      <c r="J2603" s="1" t="s">
        <v>37</v>
      </c>
      <c r="K2603" s="1" t="s">
        <v>38</v>
      </c>
      <c r="L2603" s="1">
        <v>9</v>
      </c>
      <c r="M2603" s="13">
        <v>2060.87</v>
      </c>
      <c r="N2603" s="15">
        <v>0.1</v>
      </c>
      <c r="O2603" s="13">
        <v>28144</v>
      </c>
      <c r="P2603" s="13">
        <v>10192.200000000001</v>
      </c>
      <c r="Q2603" s="13">
        <v>37.799999999999997</v>
      </c>
      <c r="R2603" s="1" t="s">
        <v>64</v>
      </c>
      <c r="S2603" s="1">
        <v>4</v>
      </c>
      <c r="T2603" s="1" t="b">
        <v>0</v>
      </c>
      <c r="U2603" s="1" t="s">
        <v>58</v>
      </c>
      <c r="V2603" s="3">
        <v>4</v>
      </c>
    </row>
    <row r="2604" spans="1:22" x14ac:dyDescent="0.3">
      <c r="A2604" s="2" t="s">
        <v>5691</v>
      </c>
      <c r="B2604" s="10">
        <v>44329</v>
      </c>
      <c r="C2604" s="22">
        <v>44329</v>
      </c>
      <c r="D2604" s="1" t="s">
        <v>5692</v>
      </c>
      <c r="E2604" s="1" t="s">
        <v>253</v>
      </c>
      <c r="F2604" s="1">
        <v>21</v>
      </c>
      <c r="G2604" s="1" t="s">
        <v>24</v>
      </c>
      <c r="H2604" s="1" t="s">
        <v>35</v>
      </c>
      <c r="I2604" s="1" t="s">
        <v>43</v>
      </c>
      <c r="J2604" s="1" t="s">
        <v>127</v>
      </c>
      <c r="K2604" s="1" t="s">
        <v>171</v>
      </c>
      <c r="L2604" s="1">
        <v>2</v>
      </c>
      <c r="M2604" s="13">
        <v>78594.039999999994</v>
      </c>
      <c r="N2604" s="15">
        <v>0.05</v>
      </c>
      <c r="O2604" s="13">
        <v>193777.03</v>
      </c>
      <c r="P2604" s="13">
        <v>25135.71</v>
      </c>
      <c r="Q2604" s="13">
        <v>35.32</v>
      </c>
      <c r="R2604" s="1" t="s">
        <v>70</v>
      </c>
      <c r="S2604" s="1">
        <v>3</v>
      </c>
      <c r="T2604" s="1" t="b">
        <v>0</v>
      </c>
      <c r="U2604" s="1" t="s">
        <v>39</v>
      </c>
      <c r="V2604" s="3">
        <v>8</v>
      </c>
    </row>
    <row r="2605" spans="1:22" x14ac:dyDescent="0.3">
      <c r="A2605" s="2" t="s">
        <v>5693</v>
      </c>
      <c r="B2605" s="10">
        <v>44083</v>
      </c>
      <c r="C2605" s="22">
        <v>44083</v>
      </c>
      <c r="D2605" s="1" t="s">
        <v>5694</v>
      </c>
      <c r="E2605" s="1" t="s">
        <v>237</v>
      </c>
      <c r="F2605" s="1">
        <v>52</v>
      </c>
      <c r="G2605" s="1" t="s">
        <v>68</v>
      </c>
      <c r="H2605" s="1" t="s">
        <v>111</v>
      </c>
      <c r="I2605" s="1" t="s">
        <v>112</v>
      </c>
      <c r="J2605" s="1" t="s">
        <v>62</v>
      </c>
      <c r="K2605" s="1" t="s">
        <v>266</v>
      </c>
      <c r="L2605" s="1">
        <v>9</v>
      </c>
      <c r="M2605" s="13">
        <v>955.64</v>
      </c>
      <c r="N2605" s="15">
        <v>0.15</v>
      </c>
      <c r="O2605" s="13">
        <v>8375.59</v>
      </c>
      <c r="P2605" s="13">
        <v>2836.26</v>
      </c>
      <c r="Q2605" s="13">
        <v>75.790000000000006</v>
      </c>
      <c r="R2605" s="1" t="s">
        <v>70</v>
      </c>
      <c r="S2605" s="1">
        <v>4</v>
      </c>
      <c r="T2605" s="1" t="b">
        <v>0</v>
      </c>
      <c r="U2605" s="1" t="s">
        <v>58</v>
      </c>
      <c r="V2605" s="3">
        <v>9</v>
      </c>
    </row>
    <row r="2606" spans="1:22" x14ac:dyDescent="0.3">
      <c r="A2606" s="2" t="s">
        <v>5695</v>
      </c>
      <c r="B2606" s="10">
        <v>44573</v>
      </c>
      <c r="C2606" s="22">
        <v>44573</v>
      </c>
      <c r="D2606" s="1" t="s">
        <v>5696</v>
      </c>
      <c r="E2606" s="1" t="s">
        <v>1519</v>
      </c>
      <c r="F2606" s="1">
        <v>26</v>
      </c>
      <c r="G2606" s="1" t="s">
        <v>24</v>
      </c>
      <c r="H2606" s="1" t="s">
        <v>25</v>
      </c>
      <c r="I2606" s="1" t="s">
        <v>26</v>
      </c>
      <c r="J2606" s="1" t="s">
        <v>37</v>
      </c>
      <c r="K2606" s="1" t="s">
        <v>231</v>
      </c>
      <c r="L2606" s="1">
        <v>6</v>
      </c>
      <c r="M2606" s="13">
        <v>779.63</v>
      </c>
      <c r="N2606" s="15">
        <v>0.18</v>
      </c>
      <c r="O2606" s="13">
        <v>3057.53</v>
      </c>
      <c r="P2606" s="13">
        <v>1544.23</v>
      </c>
      <c r="Q2606" s="13">
        <v>28.85</v>
      </c>
      <c r="R2606" s="1" t="s">
        <v>51</v>
      </c>
      <c r="S2606" s="1">
        <v>2</v>
      </c>
      <c r="T2606" s="1" t="b">
        <v>1</v>
      </c>
      <c r="U2606" s="1" t="s">
        <v>30</v>
      </c>
      <c r="V2606" s="3">
        <v>9</v>
      </c>
    </row>
    <row r="2607" spans="1:22" x14ac:dyDescent="0.3">
      <c r="A2607" s="2" t="s">
        <v>5697</v>
      </c>
      <c r="B2607" s="10">
        <v>45187</v>
      </c>
      <c r="C2607" s="22">
        <v>45187</v>
      </c>
      <c r="D2607" s="1" t="s">
        <v>5698</v>
      </c>
      <c r="E2607" s="1" t="s">
        <v>566</v>
      </c>
      <c r="F2607" s="1">
        <v>22</v>
      </c>
      <c r="G2607" s="1" t="s">
        <v>24</v>
      </c>
      <c r="H2607" s="1" t="s">
        <v>35</v>
      </c>
      <c r="I2607" s="1" t="s">
        <v>43</v>
      </c>
      <c r="J2607" s="1" t="s">
        <v>44</v>
      </c>
      <c r="K2607" s="1" t="s">
        <v>50</v>
      </c>
      <c r="L2607" s="1">
        <v>6</v>
      </c>
      <c r="M2607" s="13">
        <v>8704.76</v>
      </c>
      <c r="N2607" s="15">
        <v>0.23</v>
      </c>
      <c r="O2607" s="13">
        <v>52701.51</v>
      </c>
      <c r="P2607" s="13">
        <v>16266.5</v>
      </c>
      <c r="Q2607" s="13">
        <v>67.260000000000005</v>
      </c>
      <c r="R2607" s="1" t="s">
        <v>70</v>
      </c>
      <c r="S2607" s="1">
        <v>1</v>
      </c>
      <c r="T2607" s="1" t="b">
        <v>0</v>
      </c>
      <c r="U2607" s="1" t="s">
        <v>58</v>
      </c>
      <c r="V2607" s="3">
        <v>9</v>
      </c>
    </row>
    <row r="2608" spans="1:22" x14ac:dyDescent="0.3">
      <c r="A2608" s="2" t="s">
        <v>5699</v>
      </c>
      <c r="B2608" s="10">
        <v>45308</v>
      </c>
      <c r="C2608" s="22">
        <v>45308</v>
      </c>
      <c r="D2608" s="1" t="s">
        <v>5700</v>
      </c>
      <c r="E2608" s="1" t="s">
        <v>702</v>
      </c>
      <c r="F2608" s="1">
        <v>52</v>
      </c>
      <c r="G2608" s="1" t="s">
        <v>68</v>
      </c>
      <c r="H2608" s="1" t="s">
        <v>25</v>
      </c>
      <c r="I2608" s="1" t="s">
        <v>55</v>
      </c>
      <c r="J2608" s="1" t="s">
        <v>127</v>
      </c>
      <c r="K2608" s="1" t="s">
        <v>517</v>
      </c>
      <c r="L2608" s="1">
        <v>10</v>
      </c>
      <c r="M2608" s="13">
        <v>9943.85</v>
      </c>
      <c r="N2608" s="15">
        <v>0.05</v>
      </c>
      <c r="O2608" s="13">
        <v>93726.28</v>
      </c>
      <c r="P2608" s="13">
        <v>11320.82</v>
      </c>
      <c r="Q2608" s="13">
        <v>33.450000000000003</v>
      </c>
      <c r="R2608" s="1" t="s">
        <v>78</v>
      </c>
      <c r="S2608" s="1">
        <v>4</v>
      </c>
      <c r="T2608" s="1" t="b">
        <v>1</v>
      </c>
      <c r="U2608" s="1" t="s">
        <v>30</v>
      </c>
      <c r="V2608" s="3">
        <v>6</v>
      </c>
    </row>
    <row r="2609" spans="1:22" x14ac:dyDescent="0.3">
      <c r="A2609" s="2" t="s">
        <v>5701</v>
      </c>
      <c r="B2609" s="10">
        <v>44875</v>
      </c>
      <c r="C2609" s="22">
        <v>44875</v>
      </c>
      <c r="D2609" s="1" t="s">
        <v>5702</v>
      </c>
      <c r="E2609" s="1" t="s">
        <v>767</v>
      </c>
      <c r="F2609" s="1">
        <v>14</v>
      </c>
      <c r="G2609" s="1" t="s">
        <v>34</v>
      </c>
      <c r="H2609" s="1" t="s">
        <v>35</v>
      </c>
      <c r="I2609" s="1" t="s">
        <v>106</v>
      </c>
      <c r="J2609" s="1" t="s">
        <v>146</v>
      </c>
      <c r="K2609" s="1" t="s">
        <v>161</v>
      </c>
      <c r="L2609" s="1">
        <v>2</v>
      </c>
      <c r="M2609" s="13">
        <v>1772.04</v>
      </c>
      <c r="N2609" s="15">
        <v>0.27</v>
      </c>
      <c r="O2609" s="13">
        <v>2303.4</v>
      </c>
      <c r="P2609" s="13">
        <v>352.8</v>
      </c>
      <c r="Q2609" s="13">
        <v>47.87</v>
      </c>
      <c r="R2609" s="1" t="s">
        <v>64</v>
      </c>
      <c r="S2609" s="1">
        <v>2</v>
      </c>
      <c r="T2609" s="1" t="b">
        <v>0</v>
      </c>
      <c r="U2609" s="1" t="s">
        <v>39</v>
      </c>
      <c r="V2609" s="3">
        <v>8</v>
      </c>
    </row>
    <row r="2610" spans="1:22" x14ac:dyDescent="0.3">
      <c r="A2610" s="2" t="s">
        <v>5703</v>
      </c>
      <c r="B2610" s="10">
        <v>44551</v>
      </c>
      <c r="C2610" s="22">
        <v>44551</v>
      </c>
      <c r="D2610" s="1" t="s">
        <v>5704</v>
      </c>
      <c r="E2610" s="1" t="s">
        <v>4211</v>
      </c>
      <c r="F2610" s="1">
        <v>33</v>
      </c>
      <c r="G2610" s="1" t="s">
        <v>68</v>
      </c>
      <c r="H2610" s="1" t="s">
        <v>74</v>
      </c>
      <c r="I2610" s="1" t="s">
        <v>192</v>
      </c>
      <c r="J2610" s="1" t="s">
        <v>27</v>
      </c>
      <c r="K2610" s="1" t="s">
        <v>28</v>
      </c>
      <c r="L2610" s="1">
        <v>6</v>
      </c>
      <c r="M2610" s="13">
        <v>377.46</v>
      </c>
      <c r="N2610" s="15">
        <v>0.31</v>
      </c>
      <c r="O2610" s="13">
        <v>1187.1600000000001</v>
      </c>
      <c r="P2610" s="13">
        <v>62.24</v>
      </c>
      <c r="Q2610" s="13">
        <v>64.09</v>
      </c>
      <c r="R2610" s="1" t="s">
        <v>57</v>
      </c>
      <c r="S2610" s="1">
        <v>2</v>
      </c>
      <c r="T2610" s="1" t="b">
        <v>0</v>
      </c>
      <c r="U2610" s="1" t="s">
        <v>137</v>
      </c>
      <c r="V2610" s="3">
        <v>5</v>
      </c>
    </row>
    <row r="2611" spans="1:22" x14ac:dyDescent="0.3">
      <c r="A2611" s="2" t="s">
        <v>5705</v>
      </c>
      <c r="B2611" s="10">
        <v>45468</v>
      </c>
      <c r="C2611" s="22">
        <v>45468</v>
      </c>
      <c r="D2611" s="1" t="s">
        <v>5706</v>
      </c>
      <c r="E2611" s="1" t="s">
        <v>279</v>
      </c>
      <c r="F2611" s="1">
        <v>27</v>
      </c>
      <c r="G2611" s="1" t="s">
        <v>68</v>
      </c>
      <c r="H2611" s="1" t="s">
        <v>111</v>
      </c>
      <c r="I2611" s="1" t="s">
        <v>121</v>
      </c>
      <c r="J2611" s="1" t="s">
        <v>27</v>
      </c>
      <c r="K2611" s="1" t="s">
        <v>56</v>
      </c>
      <c r="L2611" s="1">
        <v>1</v>
      </c>
      <c r="M2611" s="13">
        <v>389.09</v>
      </c>
      <c r="N2611" s="15">
        <v>0.33</v>
      </c>
      <c r="O2611" s="13">
        <v>384.54</v>
      </c>
      <c r="P2611" s="13">
        <v>33.54</v>
      </c>
      <c r="Q2611" s="13">
        <v>93.62</v>
      </c>
      <c r="R2611" s="1" t="s">
        <v>70</v>
      </c>
      <c r="S2611" s="1">
        <v>5</v>
      </c>
      <c r="T2611" s="1" t="b">
        <v>0</v>
      </c>
      <c r="U2611" s="1" t="s">
        <v>39</v>
      </c>
      <c r="V2611" s="3">
        <v>3</v>
      </c>
    </row>
    <row r="2612" spans="1:22" x14ac:dyDescent="0.3">
      <c r="A2612" s="2" t="s">
        <v>5707</v>
      </c>
      <c r="B2612" s="10">
        <v>44084</v>
      </c>
      <c r="C2612" s="22">
        <v>44084</v>
      </c>
      <c r="D2612" s="1" t="s">
        <v>5708</v>
      </c>
      <c r="E2612" s="1" t="s">
        <v>1535</v>
      </c>
      <c r="F2612" s="1">
        <v>49</v>
      </c>
      <c r="G2612" s="1" t="s">
        <v>34</v>
      </c>
      <c r="H2612" s="1" t="s">
        <v>25</v>
      </c>
      <c r="I2612" s="1" t="s">
        <v>55</v>
      </c>
      <c r="J2612" s="1" t="s">
        <v>76</v>
      </c>
      <c r="K2612" s="1" t="s">
        <v>122</v>
      </c>
      <c r="L2612" s="1">
        <v>9</v>
      </c>
      <c r="M2612" s="13">
        <v>1086.28</v>
      </c>
      <c r="N2612" s="15">
        <v>0.01</v>
      </c>
      <c r="O2612" s="13">
        <v>10096.41</v>
      </c>
      <c r="P2612" s="13">
        <v>2991.15</v>
      </c>
      <c r="Q2612" s="13">
        <v>60.79</v>
      </c>
      <c r="R2612" s="1" t="s">
        <v>78</v>
      </c>
      <c r="S2612" s="1">
        <v>5</v>
      </c>
      <c r="T2612" s="1" t="b">
        <v>0</v>
      </c>
      <c r="U2612" s="1" t="s">
        <v>137</v>
      </c>
      <c r="V2612" s="3">
        <v>5</v>
      </c>
    </row>
    <row r="2613" spans="1:22" x14ac:dyDescent="0.3">
      <c r="A2613" s="2" t="s">
        <v>5709</v>
      </c>
      <c r="B2613" s="10">
        <v>44729</v>
      </c>
      <c r="C2613" s="22">
        <v>44729</v>
      </c>
      <c r="D2613" s="1" t="s">
        <v>5710</v>
      </c>
      <c r="E2613" s="1" t="s">
        <v>926</v>
      </c>
      <c r="F2613" s="1">
        <v>50</v>
      </c>
      <c r="G2613" s="1" t="s">
        <v>24</v>
      </c>
      <c r="H2613" s="1" t="s">
        <v>82</v>
      </c>
      <c r="I2613" s="1" t="s">
        <v>244</v>
      </c>
      <c r="J2613" s="1" t="s">
        <v>37</v>
      </c>
      <c r="K2613" s="1" t="s">
        <v>231</v>
      </c>
      <c r="L2613" s="1">
        <v>2</v>
      </c>
      <c r="M2613" s="13">
        <v>884.91</v>
      </c>
      <c r="N2613" s="15">
        <v>0.28999999999999998</v>
      </c>
      <c r="O2613" s="13">
        <v>2004.25</v>
      </c>
      <c r="P2613" s="13">
        <v>1116.42</v>
      </c>
      <c r="Q2613" s="13">
        <v>82.19</v>
      </c>
      <c r="R2613" s="1" t="s">
        <v>70</v>
      </c>
      <c r="S2613" s="1">
        <v>2</v>
      </c>
      <c r="T2613" s="1" t="b">
        <v>0</v>
      </c>
      <c r="U2613" s="1" t="s">
        <v>137</v>
      </c>
      <c r="V2613" s="3">
        <v>3</v>
      </c>
    </row>
    <row r="2614" spans="1:22" x14ac:dyDescent="0.3">
      <c r="A2614" s="2" t="s">
        <v>5711</v>
      </c>
      <c r="B2614" s="10">
        <v>44533</v>
      </c>
      <c r="C2614" s="22">
        <v>44533</v>
      </c>
      <c r="D2614" s="1" t="s">
        <v>5712</v>
      </c>
      <c r="E2614" s="1" t="s">
        <v>1067</v>
      </c>
      <c r="F2614" s="1">
        <v>21</v>
      </c>
      <c r="G2614" s="1" t="s">
        <v>34</v>
      </c>
      <c r="H2614" s="1" t="s">
        <v>74</v>
      </c>
      <c r="I2614" s="1" t="s">
        <v>75</v>
      </c>
      <c r="J2614" s="1" t="s">
        <v>127</v>
      </c>
      <c r="K2614" s="1" t="s">
        <v>308</v>
      </c>
      <c r="L2614" s="1">
        <v>9</v>
      </c>
      <c r="M2614" s="13">
        <v>53847.63</v>
      </c>
      <c r="N2614" s="15">
        <v>0.31</v>
      </c>
      <c r="O2614" s="13">
        <v>246850.13</v>
      </c>
      <c r="P2614" s="13">
        <v>37649.519999999997</v>
      </c>
      <c r="Q2614" s="13">
        <v>59.17</v>
      </c>
      <c r="R2614" s="1" t="s">
        <v>78</v>
      </c>
      <c r="S2614" s="1">
        <v>4</v>
      </c>
      <c r="T2614" s="1" t="b">
        <v>0</v>
      </c>
      <c r="U2614" s="1" t="s">
        <v>197</v>
      </c>
      <c r="V2614" s="3">
        <v>2</v>
      </c>
    </row>
    <row r="2615" spans="1:22" x14ac:dyDescent="0.3">
      <c r="A2615" s="2" t="s">
        <v>5713</v>
      </c>
      <c r="B2615" s="10">
        <v>45177</v>
      </c>
      <c r="C2615" s="22">
        <v>45177</v>
      </c>
      <c r="D2615" s="1" t="s">
        <v>5714</v>
      </c>
      <c r="E2615" s="1" t="s">
        <v>1142</v>
      </c>
      <c r="F2615" s="1">
        <v>45</v>
      </c>
      <c r="G2615" s="1" t="s">
        <v>24</v>
      </c>
      <c r="H2615" s="1" t="s">
        <v>74</v>
      </c>
      <c r="I2615" s="1" t="s">
        <v>101</v>
      </c>
      <c r="J2615" s="1" t="s">
        <v>76</v>
      </c>
      <c r="K2615" s="1" t="s">
        <v>89</v>
      </c>
      <c r="L2615" s="1">
        <v>6</v>
      </c>
      <c r="M2615" s="13">
        <v>828.79</v>
      </c>
      <c r="N2615" s="15">
        <v>0.19</v>
      </c>
      <c r="O2615" s="13">
        <v>4849.25</v>
      </c>
      <c r="P2615" s="13">
        <v>1887.14</v>
      </c>
      <c r="Q2615" s="13">
        <v>32.64</v>
      </c>
      <c r="R2615" s="1" t="s">
        <v>51</v>
      </c>
      <c r="S2615" s="1">
        <v>5</v>
      </c>
      <c r="T2615" s="1" t="b">
        <v>0</v>
      </c>
      <c r="U2615" s="1" t="s">
        <v>84</v>
      </c>
      <c r="V2615" s="3">
        <v>6</v>
      </c>
    </row>
    <row r="2616" spans="1:22" x14ac:dyDescent="0.3">
      <c r="A2616" s="2" t="s">
        <v>5715</v>
      </c>
      <c r="B2616" s="10">
        <v>44209</v>
      </c>
      <c r="C2616" s="22">
        <v>44209</v>
      </c>
      <c r="D2616" s="1" t="s">
        <v>5716</v>
      </c>
      <c r="E2616" s="1" t="s">
        <v>1015</v>
      </c>
      <c r="F2616" s="1">
        <v>22</v>
      </c>
      <c r="G2616" s="1" t="s">
        <v>24</v>
      </c>
      <c r="H2616" s="1" t="s">
        <v>111</v>
      </c>
      <c r="I2616" s="1" t="s">
        <v>141</v>
      </c>
      <c r="J2616" s="1" t="s">
        <v>37</v>
      </c>
      <c r="K2616" s="1" t="s">
        <v>38</v>
      </c>
      <c r="L2616" s="1">
        <v>8</v>
      </c>
      <c r="M2616" s="13">
        <v>920.84</v>
      </c>
      <c r="N2616" s="15">
        <v>0.23</v>
      </c>
      <c r="O2616" s="13">
        <v>4710.2</v>
      </c>
      <c r="P2616" s="13">
        <v>2543.38</v>
      </c>
      <c r="Q2616" s="13">
        <v>46.86</v>
      </c>
      <c r="R2616" s="1" t="s">
        <v>70</v>
      </c>
      <c r="S2616" s="1">
        <v>5</v>
      </c>
      <c r="T2616" s="1" t="b">
        <v>0</v>
      </c>
      <c r="U2616" s="1" t="s">
        <v>39</v>
      </c>
      <c r="V2616" s="3">
        <v>8</v>
      </c>
    </row>
    <row r="2617" spans="1:22" x14ac:dyDescent="0.3">
      <c r="A2617" s="2" t="s">
        <v>5717</v>
      </c>
      <c r="B2617" s="10">
        <v>44351</v>
      </c>
      <c r="C2617" s="22">
        <v>44351</v>
      </c>
      <c r="D2617" s="1" t="s">
        <v>557</v>
      </c>
      <c r="E2617" s="1" t="s">
        <v>764</v>
      </c>
      <c r="F2617" s="1">
        <v>24</v>
      </c>
      <c r="G2617" s="1" t="s">
        <v>88</v>
      </c>
      <c r="H2617" s="1" t="s">
        <v>74</v>
      </c>
      <c r="I2617" s="1" t="s">
        <v>101</v>
      </c>
      <c r="J2617" s="1" t="s">
        <v>62</v>
      </c>
      <c r="K2617" s="1" t="s">
        <v>107</v>
      </c>
      <c r="L2617" s="1">
        <v>4</v>
      </c>
      <c r="M2617" s="13">
        <v>514.84</v>
      </c>
      <c r="N2617" s="15">
        <v>0.08</v>
      </c>
      <c r="O2617" s="13">
        <v>2778.42</v>
      </c>
      <c r="P2617" s="13">
        <v>1048.18</v>
      </c>
      <c r="Q2617" s="13">
        <v>49.45</v>
      </c>
      <c r="R2617" s="1" t="s">
        <v>29</v>
      </c>
      <c r="S2617" s="1">
        <v>5</v>
      </c>
      <c r="T2617" s="1" t="b">
        <v>0</v>
      </c>
      <c r="U2617" s="1" t="s">
        <v>39</v>
      </c>
      <c r="V2617" s="3">
        <v>7</v>
      </c>
    </row>
    <row r="2618" spans="1:22" x14ac:dyDescent="0.3">
      <c r="A2618" s="2" t="s">
        <v>5718</v>
      </c>
      <c r="B2618" s="10">
        <v>45585</v>
      </c>
      <c r="C2618" s="22">
        <v>45585</v>
      </c>
      <c r="D2618" s="1" t="s">
        <v>5719</v>
      </c>
      <c r="E2618" s="1" t="s">
        <v>1865</v>
      </c>
      <c r="F2618" s="1">
        <v>28</v>
      </c>
      <c r="G2618" s="1" t="s">
        <v>24</v>
      </c>
      <c r="H2618" s="1" t="s">
        <v>74</v>
      </c>
      <c r="I2618" s="1" t="s">
        <v>101</v>
      </c>
      <c r="J2618" s="1" t="s">
        <v>62</v>
      </c>
      <c r="K2618" s="1" t="s">
        <v>283</v>
      </c>
      <c r="L2618" s="1">
        <v>2</v>
      </c>
      <c r="M2618" s="13">
        <v>1282.6300000000001</v>
      </c>
      <c r="N2618" s="15">
        <v>0.28999999999999998</v>
      </c>
      <c r="O2618" s="13">
        <v>1929.76</v>
      </c>
      <c r="P2618" s="13">
        <v>782.47</v>
      </c>
      <c r="Q2618" s="13">
        <v>19.68</v>
      </c>
      <c r="R2618" s="1" t="s">
        <v>29</v>
      </c>
      <c r="S2618" s="1">
        <v>4</v>
      </c>
      <c r="T2618" s="1" t="b">
        <v>0</v>
      </c>
      <c r="U2618" s="1" t="s">
        <v>39</v>
      </c>
      <c r="V2618" s="3">
        <v>6</v>
      </c>
    </row>
    <row r="2619" spans="1:22" x14ac:dyDescent="0.3">
      <c r="A2619" s="2" t="s">
        <v>5720</v>
      </c>
      <c r="B2619" s="10">
        <v>44440</v>
      </c>
      <c r="C2619" s="22">
        <v>44440</v>
      </c>
      <c r="D2619" s="1" t="s">
        <v>5721</v>
      </c>
      <c r="E2619" s="1" t="s">
        <v>1285</v>
      </c>
      <c r="F2619" s="1">
        <v>31</v>
      </c>
      <c r="G2619" s="1" t="s">
        <v>68</v>
      </c>
      <c r="H2619" s="1" t="s">
        <v>82</v>
      </c>
      <c r="I2619" s="1" t="s">
        <v>244</v>
      </c>
      <c r="J2619" s="1" t="s">
        <v>62</v>
      </c>
      <c r="K2619" s="1" t="s">
        <v>266</v>
      </c>
      <c r="L2619" s="1">
        <v>1</v>
      </c>
      <c r="M2619" s="13">
        <v>1491.06</v>
      </c>
      <c r="N2619" s="15">
        <v>0.04</v>
      </c>
      <c r="O2619" s="13">
        <v>1674.24</v>
      </c>
      <c r="P2619" s="13">
        <v>498.53</v>
      </c>
      <c r="Q2619" s="13">
        <v>77.849999999999994</v>
      </c>
      <c r="R2619" s="1" t="s">
        <v>29</v>
      </c>
      <c r="S2619" s="1">
        <v>3</v>
      </c>
      <c r="T2619" s="1" t="b">
        <v>0</v>
      </c>
      <c r="U2619" s="1" t="s">
        <v>39</v>
      </c>
      <c r="V2619" s="3">
        <v>10</v>
      </c>
    </row>
    <row r="2620" spans="1:22" x14ac:dyDescent="0.3">
      <c r="A2620" s="2" t="s">
        <v>5722</v>
      </c>
      <c r="B2620" s="10">
        <v>43928</v>
      </c>
      <c r="C2620" s="22">
        <v>43928</v>
      </c>
      <c r="D2620" s="1" t="s">
        <v>5723</v>
      </c>
      <c r="E2620" s="1" t="s">
        <v>319</v>
      </c>
      <c r="F2620" s="1">
        <v>34</v>
      </c>
      <c r="G2620" s="1" t="s">
        <v>34</v>
      </c>
      <c r="H2620" s="1" t="s">
        <v>82</v>
      </c>
      <c r="I2620" s="1" t="s">
        <v>126</v>
      </c>
      <c r="J2620" s="1" t="s">
        <v>146</v>
      </c>
      <c r="K2620" s="1" t="s">
        <v>178</v>
      </c>
      <c r="L2620" s="1">
        <v>3</v>
      </c>
      <c r="M2620" s="13">
        <v>567.58000000000004</v>
      </c>
      <c r="N2620" s="15">
        <v>0.18</v>
      </c>
      <c r="O2620" s="13">
        <v>1455.2</v>
      </c>
      <c r="P2620" s="13">
        <v>417.04</v>
      </c>
      <c r="Q2620" s="13">
        <v>71.540000000000006</v>
      </c>
      <c r="R2620" s="1" t="s">
        <v>78</v>
      </c>
      <c r="S2620" s="1">
        <v>5</v>
      </c>
      <c r="T2620" s="1" t="b">
        <v>0</v>
      </c>
      <c r="U2620" s="1" t="s">
        <v>58</v>
      </c>
      <c r="V2620" s="3">
        <v>7</v>
      </c>
    </row>
    <row r="2621" spans="1:22" x14ac:dyDescent="0.3">
      <c r="A2621" s="2" t="s">
        <v>5724</v>
      </c>
      <c r="B2621" s="10">
        <v>44627</v>
      </c>
      <c r="C2621" s="22">
        <v>44627</v>
      </c>
      <c r="D2621" s="1" t="s">
        <v>5725</v>
      </c>
      <c r="E2621" s="1" t="s">
        <v>301</v>
      </c>
      <c r="F2621" s="1">
        <v>30</v>
      </c>
      <c r="G2621" s="1" t="s">
        <v>68</v>
      </c>
      <c r="H2621" s="1" t="s">
        <v>25</v>
      </c>
      <c r="I2621" s="1" t="s">
        <v>55</v>
      </c>
      <c r="J2621" s="1" t="s">
        <v>127</v>
      </c>
      <c r="K2621" s="1" t="s">
        <v>517</v>
      </c>
      <c r="L2621" s="1">
        <v>7</v>
      </c>
      <c r="M2621" s="13">
        <v>56508.01</v>
      </c>
      <c r="N2621" s="15">
        <v>0.17</v>
      </c>
      <c r="O2621" s="13">
        <v>346370.5</v>
      </c>
      <c r="P2621" s="13">
        <v>51195.31</v>
      </c>
      <c r="Q2621" s="13">
        <v>55.94</v>
      </c>
      <c r="R2621" s="1" t="s">
        <v>51</v>
      </c>
      <c r="S2621" s="1">
        <v>1</v>
      </c>
      <c r="T2621" s="1" t="b">
        <v>0</v>
      </c>
      <c r="U2621" s="1" t="s">
        <v>84</v>
      </c>
      <c r="V2621" s="3">
        <v>5</v>
      </c>
    </row>
    <row r="2622" spans="1:22" x14ac:dyDescent="0.3">
      <c r="A2622" s="2" t="s">
        <v>5726</v>
      </c>
      <c r="B2622" s="10">
        <v>44346</v>
      </c>
      <c r="C2622" s="22">
        <v>44346</v>
      </c>
      <c r="D2622" s="1" t="s">
        <v>5727</v>
      </c>
      <c r="E2622" s="1" t="s">
        <v>534</v>
      </c>
      <c r="F2622" s="1">
        <v>44</v>
      </c>
      <c r="G2622" s="1" t="s">
        <v>24</v>
      </c>
      <c r="H2622" s="1" t="s">
        <v>25</v>
      </c>
      <c r="I2622" s="1" t="s">
        <v>170</v>
      </c>
      <c r="J2622" s="1" t="s">
        <v>62</v>
      </c>
      <c r="K2622" s="1" t="s">
        <v>283</v>
      </c>
      <c r="L2622" s="1">
        <v>9</v>
      </c>
      <c r="M2622" s="13">
        <v>1098.3800000000001</v>
      </c>
      <c r="N2622" s="15">
        <v>0.3</v>
      </c>
      <c r="O2622" s="13">
        <v>8954.36</v>
      </c>
      <c r="P2622" s="13">
        <v>4025.08</v>
      </c>
      <c r="Q2622" s="13">
        <v>53.61</v>
      </c>
      <c r="R2622" s="1" t="s">
        <v>51</v>
      </c>
      <c r="S2622" s="1">
        <v>4</v>
      </c>
      <c r="T2622" s="1" t="b">
        <v>0</v>
      </c>
      <c r="U2622" s="1" t="s">
        <v>39</v>
      </c>
      <c r="V2622" s="3">
        <v>2</v>
      </c>
    </row>
    <row r="2623" spans="1:22" x14ac:dyDescent="0.3">
      <c r="A2623" s="2" t="s">
        <v>5728</v>
      </c>
      <c r="B2623" s="10">
        <v>45290</v>
      </c>
      <c r="C2623" s="22">
        <v>45290</v>
      </c>
      <c r="D2623" s="1" t="s">
        <v>5729</v>
      </c>
      <c r="E2623" s="1" t="s">
        <v>632</v>
      </c>
      <c r="F2623" s="1">
        <v>38</v>
      </c>
      <c r="G2623" s="1" t="s">
        <v>68</v>
      </c>
      <c r="H2623" s="1" t="s">
        <v>111</v>
      </c>
      <c r="I2623" s="1" t="s">
        <v>112</v>
      </c>
      <c r="J2623" s="1" t="s">
        <v>27</v>
      </c>
      <c r="K2623" s="1" t="s">
        <v>28</v>
      </c>
      <c r="L2623" s="1">
        <v>4</v>
      </c>
      <c r="M2623" s="13">
        <v>447.49</v>
      </c>
      <c r="N2623" s="15">
        <v>0.26</v>
      </c>
      <c r="O2623" s="13">
        <v>1195.23</v>
      </c>
      <c r="P2623" s="13">
        <v>126.56</v>
      </c>
      <c r="Q2623" s="13">
        <v>87.92</v>
      </c>
      <c r="R2623" s="1" t="s">
        <v>70</v>
      </c>
      <c r="S2623" s="1">
        <v>5</v>
      </c>
      <c r="T2623" s="1" t="b">
        <v>0</v>
      </c>
      <c r="U2623" s="1" t="s">
        <v>137</v>
      </c>
      <c r="V2623" s="3">
        <v>3</v>
      </c>
    </row>
    <row r="2624" spans="1:22" x14ac:dyDescent="0.3">
      <c r="A2624" s="2" t="s">
        <v>5730</v>
      </c>
      <c r="B2624" s="10">
        <v>44751</v>
      </c>
      <c r="C2624" s="22">
        <v>44751</v>
      </c>
      <c r="D2624" s="1" t="s">
        <v>5731</v>
      </c>
      <c r="E2624" s="1" t="s">
        <v>520</v>
      </c>
      <c r="F2624" s="1">
        <v>33</v>
      </c>
      <c r="G2624" s="1" t="s">
        <v>68</v>
      </c>
      <c r="H2624" s="1" t="s">
        <v>25</v>
      </c>
      <c r="I2624" s="1" t="s">
        <v>55</v>
      </c>
      <c r="J2624" s="1" t="s">
        <v>62</v>
      </c>
      <c r="K2624" s="1" t="s">
        <v>151</v>
      </c>
      <c r="L2624" s="1">
        <v>5</v>
      </c>
      <c r="M2624" s="13">
        <v>1491.38</v>
      </c>
      <c r="N2624" s="15">
        <v>0.11</v>
      </c>
      <c r="O2624" s="13">
        <v>2043.42</v>
      </c>
      <c r="P2624" s="13">
        <v>838.22</v>
      </c>
      <c r="Q2624" s="13">
        <v>72.14</v>
      </c>
      <c r="R2624" s="1" t="s">
        <v>78</v>
      </c>
      <c r="S2624" s="1">
        <v>5</v>
      </c>
      <c r="T2624" s="1" t="b">
        <v>0</v>
      </c>
      <c r="U2624" s="1" t="s">
        <v>39</v>
      </c>
      <c r="V2624" s="3">
        <v>3</v>
      </c>
    </row>
    <row r="2625" spans="1:22" x14ac:dyDescent="0.3">
      <c r="A2625" s="2" t="s">
        <v>5732</v>
      </c>
      <c r="B2625" s="10">
        <v>45204</v>
      </c>
      <c r="C2625" s="22">
        <v>45204</v>
      </c>
      <c r="D2625" s="1" t="s">
        <v>5733</v>
      </c>
      <c r="E2625" s="1" t="s">
        <v>1425</v>
      </c>
      <c r="F2625" s="1">
        <v>42</v>
      </c>
      <c r="G2625" s="1" t="s">
        <v>24</v>
      </c>
      <c r="H2625" s="1" t="s">
        <v>25</v>
      </c>
      <c r="I2625" s="1" t="s">
        <v>170</v>
      </c>
      <c r="J2625" s="1" t="s">
        <v>146</v>
      </c>
      <c r="K2625" s="1" t="s">
        <v>147</v>
      </c>
      <c r="L2625" s="1">
        <v>5</v>
      </c>
      <c r="M2625" s="13">
        <v>10121.780000000001</v>
      </c>
      <c r="N2625" s="15">
        <v>0.14000000000000001</v>
      </c>
      <c r="O2625" s="13">
        <v>46514.29</v>
      </c>
      <c r="P2625" s="13">
        <v>14209.66</v>
      </c>
      <c r="Q2625" s="13">
        <v>67.27</v>
      </c>
      <c r="R2625" s="1" t="s">
        <v>57</v>
      </c>
      <c r="S2625" s="1">
        <v>1</v>
      </c>
      <c r="T2625" s="1" t="b">
        <v>0</v>
      </c>
      <c r="U2625" s="1" t="s">
        <v>39</v>
      </c>
      <c r="V2625" s="3">
        <v>6</v>
      </c>
    </row>
    <row r="2626" spans="1:22" x14ac:dyDescent="0.3">
      <c r="A2626" s="2" t="s">
        <v>5734</v>
      </c>
      <c r="B2626" s="10">
        <v>44272</v>
      </c>
      <c r="C2626" s="22">
        <v>44272</v>
      </c>
      <c r="D2626" s="1" t="s">
        <v>5735</v>
      </c>
      <c r="E2626" s="1" t="s">
        <v>516</v>
      </c>
      <c r="F2626" s="1">
        <v>37</v>
      </c>
      <c r="G2626" s="1" t="s">
        <v>463</v>
      </c>
      <c r="H2626" s="1" t="s">
        <v>111</v>
      </c>
      <c r="I2626" s="1" t="s">
        <v>112</v>
      </c>
      <c r="J2626" s="1" t="s">
        <v>44</v>
      </c>
      <c r="K2626" s="1" t="s">
        <v>50</v>
      </c>
      <c r="L2626" s="1">
        <v>4</v>
      </c>
      <c r="M2626" s="13">
        <v>14435.97</v>
      </c>
      <c r="N2626" s="15">
        <v>0.01</v>
      </c>
      <c r="O2626" s="13">
        <v>62179.839999999997</v>
      </c>
      <c r="P2626" s="13">
        <v>17618.77</v>
      </c>
      <c r="Q2626" s="13">
        <v>57.05</v>
      </c>
      <c r="R2626" s="1" t="s">
        <v>57</v>
      </c>
      <c r="S2626" s="1">
        <v>3</v>
      </c>
      <c r="T2626" s="1" t="b">
        <v>0</v>
      </c>
      <c r="U2626" s="1" t="s">
        <v>39</v>
      </c>
      <c r="V2626" s="3">
        <v>7</v>
      </c>
    </row>
    <row r="2627" spans="1:22" x14ac:dyDescent="0.3">
      <c r="A2627" s="2" t="s">
        <v>5736</v>
      </c>
      <c r="B2627" s="10">
        <v>44235</v>
      </c>
      <c r="C2627" s="22">
        <v>44235</v>
      </c>
      <c r="D2627" s="1" t="s">
        <v>5737</v>
      </c>
      <c r="E2627" s="1" t="s">
        <v>552</v>
      </c>
      <c r="F2627" s="1">
        <v>39</v>
      </c>
      <c r="G2627" s="1" t="s">
        <v>24</v>
      </c>
      <c r="H2627" s="1" t="s">
        <v>35</v>
      </c>
      <c r="I2627" s="1" t="s">
        <v>49</v>
      </c>
      <c r="J2627" s="1" t="s">
        <v>127</v>
      </c>
      <c r="K2627" s="1" t="s">
        <v>517</v>
      </c>
      <c r="L2627" s="1">
        <v>3</v>
      </c>
      <c r="M2627" s="13">
        <v>76079.41</v>
      </c>
      <c r="N2627" s="15">
        <v>7.0000000000000007E-2</v>
      </c>
      <c r="O2627" s="13">
        <v>168287.61</v>
      </c>
      <c r="P2627" s="13">
        <v>15094</v>
      </c>
      <c r="Q2627" s="13">
        <v>31.95</v>
      </c>
      <c r="R2627" s="1" t="s">
        <v>78</v>
      </c>
      <c r="S2627" s="1">
        <v>2</v>
      </c>
      <c r="T2627" s="1" t="b">
        <v>1</v>
      </c>
      <c r="U2627" s="1" t="s">
        <v>30</v>
      </c>
      <c r="V2627" s="3">
        <v>8</v>
      </c>
    </row>
    <row r="2628" spans="1:22" x14ac:dyDescent="0.3">
      <c r="A2628" s="2" t="s">
        <v>5738</v>
      </c>
      <c r="B2628" s="10">
        <v>43941</v>
      </c>
      <c r="C2628" s="22">
        <v>43941</v>
      </c>
      <c r="D2628" s="1" t="s">
        <v>5739</v>
      </c>
      <c r="E2628" s="1" t="s">
        <v>256</v>
      </c>
      <c r="F2628" s="1">
        <v>54</v>
      </c>
      <c r="G2628" s="1" t="s">
        <v>68</v>
      </c>
      <c r="H2628" s="1" t="s">
        <v>25</v>
      </c>
      <c r="I2628" s="1" t="s">
        <v>170</v>
      </c>
      <c r="J2628" s="1" t="s">
        <v>37</v>
      </c>
      <c r="K2628" s="1" t="s">
        <v>38</v>
      </c>
      <c r="L2628" s="1">
        <v>5</v>
      </c>
      <c r="M2628" s="13">
        <v>1643.32</v>
      </c>
      <c r="N2628" s="15">
        <v>0.11</v>
      </c>
      <c r="O2628" s="13">
        <v>9008.4699999999993</v>
      </c>
      <c r="P2628" s="13">
        <v>4000.95</v>
      </c>
      <c r="Q2628" s="13">
        <v>84.55</v>
      </c>
      <c r="R2628" s="1" t="s">
        <v>64</v>
      </c>
      <c r="S2628" s="1">
        <v>4</v>
      </c>
      <c r="T2628" s="1" t="b">
        <v>0</v>
      </c>
      <c r="U2628" s="1" t="s">
        <v>39</v>
      </c>
      <c r="V2628" s="3">
        <v>4</v>
      </c>
    </row>
    <row r="2629" spans="1:22" x14ac:dyDescent="0.3">
      <c r="A2629" s="2" t="s">
        <v>5740</v>
      </c>
      <c r="B2629" s="10">
        <v>44630</v>
      </c>
      <c r="C2629" s="22">
        <v>44630</v>
      </c>
      <c r="D2629" s="1" t="s">
        <v>5741</v>
      </c>
      <c r="E2629" s="1" t="s">
        <v>1131</v>
      </c>
      <c r="F2629" s="1">
        <v>44</v>
      </c>
      <c r="G2629" s="1" t="s">
        <v>24</v>
      </c>
      <c r="H2629" s="1" t="s">
        <v>111</v>
      </c>
      <c r="I2629" s="1" t="s">
        <v>330</v>
      </c>
      <c r="J2629" s="1" t="s">
        <v>146</v>
      </c>
      <c r="K2629" s="1" t="s">
        <v>276</v>
      </c>
      <c r="L2629" s="1">
        <v>3</v>
      </c>
      <c r="M2629" s="13">
        <v>10264.85</v>
      </c>
      <c r="N2629" s="15">
        <v>0.09</v>
      </c>
      <c r="O2629" s="13">
        <v>30609.29</v>
      </c>
      <c r="P2629" s="13">
        <v>8490.6299999999992</v>
      </c>
      <c r="Q2629" s="13">
        <v>39.51</v>
      </c>
      <c r="R2629" s="1" t="s">
        <v>57</v>
      </c>
      <c r="S2629" s="1">
        <v>5</v>
      </c>
      <c r="T2629" s="1" t="b">
        <v>0</v>
      </c>
      <c r="U2629" s="1" t="s">
        <v>39</v>
      </c>
      <c r="V2629" s="3">
        <v>8</v>
      </c>
    </row>
    <row r="2630" spans="1:22" x14ac:dyDescent="0.3">
      <c r="A2630" s="2" t="s">
        <v>5742</v>
      </c>
      <c r="B2630" s="10">
        <v>44033</v>
      </c>
      <c r="C2630" s="22">
        <v>44033</v>
      </c>
      <c r="D2630" s="1" t="s">
        <v>5743</v>
      </c>
      <c r="E2630" s="1" t="s">
        <v>1079</v>
      </c>
      <c r="F2630" s="1">
        <v>15</v>
      </c>
      <c r="G2630" s="1" t="s">
        <v>34</v>
      </c>
      <c r="H2630" s="1" t="s">
        <v>74</v>
      </c>
      <c r="I2630" s="1" t="s">
        <v>192</v>
      </c>
      <c r="J2630" s="1" t="s">
        <v>44</v>
      </c>
      <c r="K2630" s="1" t="s">
        <v>186</v>
      </c>
      <c r="L2630" s="1">
        <v>6</v>
      </c>
      <c r="M2630" s="13">
        <v>13817.71</v>
      </c>
      <c r="N2630" s="15">
        <v>0.04</v>
      </c>
      <c r="O2630" s="13">
        <v>89542.82</v>
      </c>
      <c r="P2630" s="13">
        <v>19508.64</v>
      </c>
      <c r="Q2630" s="13">
        <v>43.47</v>
      </c>
      <c r="R2630" s="1" t="s">
        <v>57</v>
      </c>
      <c r="S2630" s="1">
        <v>5</v>
      </c>
      <c r="T2630" s="1" t="b">
        <v>0</v>
      </c>
      <c r="U2630" s="1" t="s">
        <v>39</v>
      </c>
      <c r="V2630" s="3">
        <v>3</v>
      </c>
    </row>
    <row r="2631" spans="1:22" x14ac:dyDescent="0.3">
      <c r="A2631" s="2" t="s">
        <v>5744</v>
      </c>
      <c r="B2631" s="10">
        <v>45218</v>
      </c>
      <c r="C2631" s="22">
        <v>45218</v>
      </c>
      <c r="D2631" s="1" t="s">
        <v>5745</v>
      </c>
      <c r="E2631" s="1" t="s">
        <v>1833</v>
      </c>
      <c r="F2631" s="1">
        <v>29</v>
      </c>
      <c r="G2631" s="1" t="s">
        <v>34</v>
      </c>
      <c r="H2631" s="1" t="s">
        <v>25</v>
      </c>
      <c r="I2631" s="1" t="s">
        <v>26</v>
      </c>
      <c r="J2631" s="1" t="s">
        <v>127</v>
      </c>
      <c r="K2631" s="1" t="s">
        <v>128</v>
      </c>
      <c r="L2631" s="1">
        <v>1</v>
      </c>
      <c r="M2631" s="13">
        <v>75894.5</v>
      </c>
      <c r="N2631" s="15">
        <v>0.12</v>
      </c>
      <c r="O2631" s="13">
        <v>69743.960000000006</v>
      </c>
      <c r="P2631" s="13">
        <v>8164.31</v>
      </c>
      <c r="Q2631" s="13">
        <v>36.14</v>
      </c>
      <c r="R2631" s="1" t="s">
        <v>78</v>
      </c>
      <c r="S2631" s="1">
        <v>1</v>
      </c>
      <c r="T2631" s="1" t="b">
        <v>0</v>
      </c>
      <c r="U2631" s="1" t="s">
        <v>39</v>
      </c>
      <c r="V2631" s="3">
        <v>5</v>
      </c>
    </row>
    <row r="2632" spans="1:22" x14ac:dyDescent="0.3">
      <c r="A2632" s="2" t="s">
        <v>5746</v>
      </c>
      <c r="B2632" s="10">
        <v>45428</v>
      </c>
      <c r="C2632" s="22">
        <v>45428</v>
      </c>
      <c r="D2632" s="1" t="s">
        <v>5747</v>
      </c>
      <c r="E2632" s="1" t="s">
        <v>324</v>
      </c>
      <c r="F2632" s="1">
        <v>19</v>
      </c>
      <c r="G2632" s="1" t="s">
        <v>68</v>
      </c>
      <c r="H2632" s="1" t="s">
        <v>74</v>
      </c>
      <c r="I2632" s="1" t="s">
        <v>192</v>
      </c>
      <c r="J2632" s="1" t="s">
        <v>27</v>
      </c>
      <c r="K2632" s="1" t="s">
        <v>28</v>
      </c>
      <c r="L2632" s="1">
        <v>4</v>
      </c>
      <c r="M2632" s="13">
        <v>237.91</v>
      </c>
      <c r="N2632" s="15">
        <v>0.2</v>
      </c>
      <c r="O2632" s="13">
        <v>1123.6099999999999</v>
      </c>
      <c r="P2632" s="13">
        <v>104.78</v>
      </c>
      <c r="Q2632" s="13">
        <v>61.7</v>
      </c>
      <c r="R2632" s="1" t="s">
        <v>70</v>
      </c>
      <c r="S2632" s="1">
        <v>5</v>
      </c>
      <c r="T2632" s="1" t="b">
        <v>1</v>
      </c>
      <c r="U2632" s="1" t="s">
        <v>30</v>
      </c>
      <c r="V2632" s="3">
        <v>4</v>
      </c>
    </row>
    <row r="2633" spans="1:22" x14ac:dyDescent="0.3">
      <c r="A2633" s="2" t="s">
        <v>5748</v>
      </c>
      <c r="B2633" s="10">
        <v>45157</v>
      </c>
      <c r="C2633" s="22">
        <v>45157</v>
      </c>
      <c r="D2633" s="1" t="s">
        <v>5749</v>
      </c>
      <c r="E2633" s="1" t="s">
        <v>2582</v>
      </c>
      <c r="F2633" s="1">
        <v>25</v>
      </c>
      <c r="G2633" s="1" t="s">
        <v>34</v>
      </c>
      <c r="H2633" s="1" t="s">
        <v>111</v>
      </c>
      <c r="I2633" s="1" t="s">
        <v>330</v>
      </c>
      <c r="J2633" s="1" t="s">
        <v>37</v>
      </c>
      <c r="K2633" s="1" t="s">
        <v>182</v>
      </c>
      <c r="L2633" s="1">
        <v>6</v>
      </c>
      <c r="M2633" s="13">
        <v>1067.32</v>
      </c>
      <c r="N2633" s="15">
        <v>0.1</v>
      </c>
      <c r="O2633" s="13">
        <v>9986.14</v>
      </c>
      <c r="P2633" s="13">
        <v>3581.4</v>
      </c>
      <c r="Q2633" s="13">
        <v>84.82</v>
      </c>
      <c r="R2633" s="1" t="s">
        <v>51</v>
      </c>
      <c r="S2633" s="1">
        <v>4</v>
      </c>
      <c r="T2633" s="1" t="b">
        <v>1</v>
      </c>
      <c r="U2633" s="1" t="s">
        <v>30</v>
      </c>
      <c r="V2633" s="3">
        <v>9</v>
      </c>
    </row>
    <row r="2634" spans="1:22" x14ac:dyDescent="0.3">
      <c r="A2634" s="2" t="s">
        <v>5750</v>
      </c>
      <c r="B2634" s="10">
        <v>44698</v>
      </c>
      <c r="C2634" s="22">
        <v>44698</v>
      </c>
      <c r="D2634" s="1" t="s">
        <v>5751</v>
      </c>
      <c r="E2634" s="1" t="s">
        <v>1756</v>
      </c>
      <c r="F2634" s="1">
        <v>38</v>
      </c>
      <c r="G2634" s="1" t="s">
        <v>68</v>
      </c>
      <c r="H2634" s="1" t="s">
        <v>35</v>
      </c>
      <c r="I2634" s="1" t="s">
        <v>106</v>
      </c>
      <c r="J2634" s="1" t="s">
        <v>62</v>
      </c>
      <c r="K2634" s="1" t="s">
        <v>570</v>
      </c>
      <c r="L2634" s="1">
        <v>10</v>
      </c>
      <c r="M2634" s="13">
        <v>550.80999999999995</v>
      </c>
      <c r="N2634" s="15">
        <v>7.0000000000000007E-2</v>
      </c>
      <c r="O2634" s="13">
        <v>6670.17</v>
      </c>
      <c r="P2634" s="13">
        <v>3295.18</v>
      </c>
      <c r="Q2634" s="13">
        <v>67.61</v>
      </c>
      <c r="R2634" s="1" t="s">
        <v>64</v>
      </c>
      <c r="S2634" s="1">
        <v>4</v>
      </c>
      <c r="T2634" s="1" t="b">
        <v>0</v>
      </c>
      <c r="U2634" s="1" t="s">
        <v>39</v>
      </c>
      <c r="V2634" s="3">
        <v>4</v>
      </c>
    </row>
    <row r="2635" spans="1:22" x14ac:dyDescent="0.3">
      <c r="A2635" s="2" t="s">
        <v>5752</v>
      </c>
      <c r="B2635" s="10">
        <v>44231</v>
      </c>
      <c r="C2635" s="22">
        <v>44231</v>
      </c>
      <c r="D2635" s="1" t="s">
        <v>5753</v>
      </c>
      <c r="E2635" s="1" t="s">
        <v>87</v>
      </c>
      <c r="F2635" s="1">
        <v>41</v>
      </c>
      <c r="G2635" s="1" t="s">
        <v>24</v>
      </c>
      <c r="H2635" s="1" t="s">
        <v>25</v>
      </c>
      <c r="I2635" s="1" t="s">
        <v>55</v>
      </c>
      <c r="J2635" s="1" t="s">
        <v>27</v>
      </c>
      <c r="K2635" s="1" t="s">
        <v>28</v>
      </c>
      <c r="L2635" s="1">
        <v>2</v>
      </c>
      <c r="M2635" s="13">
        <v>184.78</v>
      </c>
      <c r="N2635" s="15">
        <v>0.02</v>
      </c>
      <c r="O2635" s="13">
        <v>289.36</v>
      </c>
      <c r="P2635" s="13">
        <v>22.18</v>
      </c>
      <c r="Q2635" s="13">
        <v>44.84</v>
      </c>
      <c r="R2635" s="1" t="s">
        <v>29</v>
      </c>
      <c r="S2635" s="1">
        <v>1</v>
      </c>
      <c r="T2635" s="1" t="b">
        <v>0</v>
      </c>
      <c r="U2635" s="1" t="s">
        <v>197</v>
      </c>
      <c r="V2635" s="3">
        <v>9</v>
      </c>
    </row>
    <row r="2636" spans="1:22" x14ac:dyDescent="0.3">
      <c r="A2636" s="2" t="s">
        <v>5754</v>
      </c>
      <c r="B2636" s="10">
        <v>44157</v>
      </c>
      <c r="C2636" s="22">
        <v>44157</v>
      </c>
      <c r="D2636" s="1" t="s">
        <v>5755</v>
      </c>
      <c r="E2636" s="1" t="s">
        <v>453</v>
      </c>
      <c r="F2636" s="1">
        <v>7</v>
      </c>
      <c r="G2636" s="1" t="s">
        <v>24</v>
      </c>
      <c r="H2636" s="1" t="s">
        <v>35</v>
      </c>
      <c r="I2636" s="1" t="s">
        <v>106</v>
      </c>
      <c r="J2636" s="1" t="s">
        <v>146</v>
      </c>
      <c r="K2636" s="1" t="s">
        <v>217</v>
      </c>
      <c r="L2636" s="1">
        <v>3</v>
      </c>
      <c r="M2636" s="13">
        <v>843.33</v>
      </c>
      <c r="N2636" s="15">
        <v>0.23</v>
      </c>
      <c r="O2636" s="13">
        <v>1489.34</v>
      </c>
      <c r="P2636" s="13">
        <v>371.2</v>
      </c>
      <c r="Q2636" s="13">
        <v>44.35</v>
      </c>
      <c r="R2636" s="1" t="s">
        <v>57</v>
      </c>
      <c r="S2636" s="1">
        <v>5</v>
      </c>
      <c r="T2636" s="1" t="b">
        <v>0</v>
      </c>
      <c r="U2636" s="1" t="s">
        <v>39</v>
      </c>
      <c r="V2636" s="3">
        <v>1</v>
      </c>
    </row>
    <row r="2637" spans="1:22" x14ac:dyDescent="0.3">
      <c r="A2637" s="2" t="s">
        <v>5756</v>
      </c>
      <c r="B2637" s="10">
        <v>45599</v>
      </c>
      <c r="C2637" s="22">
        <v>45599</v>
      </c>
      <c r="D2637" s="1" t="s">
        <v>5757</v>
      </c>
      <c r="E2637" s="1" t="s">
        <v>92</v>
      </c>
      <c r="F2637" s="1">
        <v>26</v>
      </c>
      <c r="G2637" s="1" t="s">
        <v>24</v>
      </c>
      <c r="H2637" s="1" t="s">
        <v>111</v>
      </c>
      <c r="I2637" s="1" t="s">
        <v>121</v>
      </c>
      <c r="J2637" s="1" t="s">
        <v>62</v>
      </c>
      <c r="K2637" s="1" t="s">
        <v>151</v>
      </c>
      <c r="L2637" s="1">
        <v>7</v>
      </c>
      <c r="M2637" s="13">
        <v>1296.3599999999999</v>
      </c>
      <c r="N2637" s="15">
        <v>0.33</v>
      </c>
      <c r="O2637" s="13">
        <v>7811.5</v>
      </c>
      <c r="P2637" s="13">
        <v>2621.95</v>
      </c>
      <c r="Q2637" s="13">
        <v>93.81</v>
      </c>
      <c r="R2637" s="1" t="s">
        <v>29</v>
      </c>
      <c r="S2637" s="1">
        <v>3</v>
      </c>
      <c r="T2637" s="1" t="b">
        <v>0</v>
      </c>
      <c r="U2637" s="1" t="s">
        <v>39</v>
      </c>
      <c r="V2637" s="3">
        <v>10</v>
      </c>
    </row>
    <row r="2638" spans="1:22" x14ac:dyDescent="0.3">
      <c r="A2638" s="2" t="s">
        <v>5758</v>
      </c>
      <c r="B2638" s="10">
        <v>45070</v>
      </c>
      <c r="C2638" s="22">
        <v>45070</v>
      </c>
      <c r="D2638" s="1" t="s">
        <v>5759</v>
      </c>
      <c r="E2638" s="1" t="s">
        <v>641</v>
      </c>
      <c r="F2638" s="1">
        <v>19</v>
      </c>
      <c r="G2638" s="1" t="s">
        <v>34</v>
      </c>
      <c r="H2638" s="1" t="s">
        <v>35</v>
      </c>
      <c r="I2638" s="1" t="s">
        <v>36</v>
      </c>
      <c r="J2638" s="1" t="s">
        <v>62</v>
      </c>
      <c r="K2638" s="1" t="s">
        <v>151</v>
      </c>
      <c r="L2638" s="1">
        <v>9</v>
      </c>
      <c r="M2638" s="13">
        <v>1391.1</v>
      </c>
      <c r="N2638" s="15">
        <v>0.09</v>
      </c>
      <c r="O2638" s="13">
        <v>19579.439999999999</v>
      </c>
      <c r="P2638" s="13">
        <v>8225.4500000000007</v>
      </c>
      <c r="Q2638" s="13">
        <v>57.35</v>
      </c>
      <c r="R2638" s="1" t="s">
        <v>29</v>
      </c>
      <c r="S2638" s="1">
        <v>5</v>
      </c>
      <c r="T2638" s="1" t="b">
        <v>0</v>
      </c>
      <c r="U2638" s="1" t="s">
        <v>137</v>
      </c>
      <c r="V2638" s="3">
        <v>5</v>
      </c>
    </row>
    <row r="2639" spans="1:22" x14ac:dyDescent="0.3">
      <c r="A2639" s="2" t="s">
        <v>5760</v>
      </c>
      <c r="B2639" s="10">
        <v>45562</v>
      </c>
      <c r="C2639" s="22">
        <v>45562</v>
      </c>
      <c r="D2639" s="1" t="s">
        <v>5761</v>
      </c>
      <c r="E2639" s="1" t="s">
        <v>1645</v>
      </c>
      <c r="F2639" s="1">
        <v>41</v>
      </c>
      <c r="G2639" s="1" t="s">
        <v>24</v>
      </c>
      <c r="H2639" s="1" t="s">
        <v>111</v>
      </c>
      <c r="I2639" s="1" t="s">
        <v>330</v>
      </c>
      <c r="J2639" s="1" t="s">
        <v>44</v>
      </c>
      <c r="K2639" s="1" t="s">
        <v>45</v>
      </c>
      <c r="L2639" s="1">
        <v>10</v>
      </c>
      <c r="M2639" s="13">
        <v>24673.9</v>
      </c>
      <c r="N2639" s="15">
        <v>0.26</v>
      </c>
      <c r="O2639" s="13">
        <v>227656.87</v>
      </c>
      <c r="P2639" s="13">
        <v>85641.84</v>
      </c>
      <c r="Q2639" s="13">
        <v>82.09</v>
      </c>
      <c r="R2639" s="1" t="s">
        <v>29</v>
      </c>
      <c r="S2639" s="1">
        <v>3</v>
      </c>
      <c r="T2639" s="1" t="b">
        <v>0</v>
      </c>
      <c r="U2639" s="1" t="s">
        <v>39</v>
      </c>
      <c r="V2639" s="3">
        <v>8</v>
      </c>
    </row>
    <row r="2640" spans="1:22" x14ac:dyDescent="0.3">
      <c r="A2640" s="2" t="s">
        <v>5762</v>
      </c>
      <c r="B2640" s="10">
        <v>44047</v>
      </c>
      <c r="C2640" s="22">
        <v>44047</v>
      </c>
      <c r="D2640" s="1" t="s">
        <v>5763</v>
      </c>
      <c r="E2640" s="1" t="s">
        <v>311</v>
      </c>
      <c r="F2640" s="1">
        <v>26</v>
      </c>
      <c r="G2640" s="1" t="s">
        <v>24</v>
      </c>
      <c r="H2640" s="1" t="s">
        <v>74</v>
      </c>
      <c r="I2640" s="1" t="s">
        <v>75</v>
      </c>
      <c r="J2640" s="1" t="s">
        <v>146</v>
      </c>
      <c r="K2640" s="1" t="s">
        <v>161</v>
      </c>
      <c r="L2640" s="1">
        <v>7</v>
      </c>
      <c r="M2640" s="13">
        <v>8179.73</v>
      </c>
      <c r="N2640" s="15">
        <v>0.1</v>
      </c>
      <c r="O2640" s="13">
        <v>61790.38</v>
      </c>
      <c r="P2640" s="13">
        <v>13078.48</v>
      </c>
      <c r="Q2640" s="13">
        <v>40.31</v>
      </c>
      <c r="R2640" s="1" t="s">
        <v>70</v>
      </c>
      <c r="S2640" s="1">
        <v>1</v>
      </c>
      <c r="T2640" s="1" t="b">
        <v>0</v>
      </c>
      <c r="U2640" s="1" t="s">
        <v>39</v>
      </c>
      <c r="V2640" s="3">
        <v>1</v>
      </c>
    </row>
    <row r="2641" spans="1:22" x14ac:dyDescent="0.3">
      <c r="A2641" s="2" t="s">
        <v>5764</v>
      </c>
      <c r="B2641" s="10">
        <v>43877</v>
      </c>
      <c r="C2641" s="22">
        <v>43877</v>
      </c>
      <c r="D2641" s="1" t="s">
        <v>5765</v>
      </c>
      <c r="E2641" s="1" t="s">
        <v>1462</v>
      </c>
      <c r="F2641" s="1">
        <v>32</v>
      </c>
      <c r="G2641" s="1" t="s">
        <v>434</v>
      </c>
      <c r="H2641" s="1" t="s">
        <v>35</v>
      </c>
      <c r="I2641" s="1" t="s">
        <v>36</v>
      </c>
      <c r="J2641" s="1" t="s">
        <v>127</v>
      </c>
      <c r="K2641" s="1" t="s">
        <v>128</v>
      </c>
      <c r="L2641" s="1">
        <v>10</v>
      </c>
      <c r="M2641" s="13">
        <v>53531.64</v>
      </c>
      <c r="N2641" s="15">
        <v>0.13</v>
      </c>
      <c r="O2641" s="13">
        <v>400722.8</v>
      </c>
      <c r="P2641" s="13">
        <v>51938.51</v>
      </c>
      <c r="Q2641" s="13">
        <v>58.35</v>
      </c>
      <c r="R2641" s="1" t="s">
        <v>64</v>
      </c>
      <c r="S2641" s="1">
        <v>4</v>
      </c>
      <c r="T2641" s="1" t="b">
        <v>1</v>
      </c>
      <c r="U2641" s="1" t="s">
        <v>30</v>
      </c>
      <c r="V2641" s="3">
        <v>10</v>
      </c>
    </row>
    <row r="2642" spans="1:22" x14ac:dyDescent="0.3">
      <c r="A2642" s="2" t="s">
        <v>5766</v>
      </c>
      <c r="B2642" s="10">
        <v>44843</v>
      </c>
      <c r="C2642" s="22">
        <v>44843</v>
      </c>
      <c r="D2642" s="1" t="s">
        <v>5767</v>
      </c>
      <c r="E2642" s="1" t="s">
        <v>729</v>
      </c>
      <c r="F2642" s="1">
        <v>26</v>
      </c>
      <c r="G2642" s="1" t="s">
        <v>34</v>
      </c>
      <c r="H2642" s="1" t="s">
        <v>74</v>
      </c>
      <c r="I2642" s="1" t="s">
        <v>75</v>
      </c>
      <c r="J2642" s="1" t="s">
        <v>62</v>
      </c>
      <c r="K2642" s="1" t="s">
        <v>266</v>
      </c>
      <c r="L2642" s="1">
        <v>2</v>
      </c>
      <c r="M2642" s="13">
        <v>1065.57</v>
      </c>
      <c r="N2642" s="15">
        <v>0.21</v>
      </c>
      <c r="O2642" s="13">
        <v>2076.0500000000002</v>
      </c>
      <c r="P2642" s="13">
        <v>1101.49</v>
      </c>
      <c r="Q2642" s="13">
        <v>25.68</v>
      </c>
      <c r="R2642" s="1" t="s">
        <v>51</v>
      </c>
      <c r="S2642" s="1">
        <v>4</v>
      </c>
      <c r="T2642" s="1" t="b">
        <v>0</v>
      </c>
      <c r="U2642" s="1" t="s">
        <v>39</v>
      </c>
      <c r="V2642" s="3">
        <v>6</v>
      </c>
    </row>
    <row r="2643" spans="1:22" x14ac:dyDescent="0.3">
      <c r="A2643" s="2" t="s">
        <v>5768</v>
      </c>
      <c r="B2643" s="10">
        <v>44107</v>
      </c>
      <c r="C2643" s="22">
        <v>44107</v>
      </c>
      <c r="D2643" s="1" t="s">
        <v>5769</v>
      </c>
      <c r="E2643" s="1" t="s">
        <v>858</v>
      </c>
      <c r="F2643" s="1">
        <v>43</v>
      </c>
      <c r="G2643" s="1" t="s">
        <v>24</v>
      </c>
      <c r="H2643" s="1" t="s">
        <v>35</v>
      </c>
      <c r="I2643" s="1" t="s">
        <v>36</v>
      </c>
      <c r="J2643" s="1" t="s">
        <v>62</v>
      </c>
      <c r="K2643" s="1" t="s">
        <v>266</v>
      </c>
      <c r="L2643" s="1">
        <v>5</v>
      </c>
      <c r="M2643" s="13">
        <v>1447.22</v>
      </c>
      <c r="N2643" s="15">
        <v>0.08</v>
      </c>
      <c r="O2643" s="13">
        <v>4844.51</v>
      </c>
      <c r="P2643" s="13">
        <v>2794.08</v>
      </c>
      <c r="Q2643" s="13">
        <v>69.42</v>
      </c>
      <c r="R2643" s="1" t="s">
        <v>78</v>
      </c>
      <c r="S2643" s="1">
        <v>5</v>
      </c>
      <c r="T2643" s="1" t="b">
        <v>0</v>
      </c>
      <c r="U2643" s="1" t="s">
        <v>39</v>
      </c>
      <c r="V2643" s="3">
        <v>2</v>
      </c>
    </row>
    <row r="2644" spans="1:22" x14ac:dyDescent="0.3">
      <c r="A2644" s="2" t="s">
        <v>5770</v>
      </c>
      <c r="B2644" s="10">
        <v>44530</v>
      </c>
      <c r="C2644" s="22">
        <v>44530</v>
      </c>
      <c r="D2644" s="1" t="s">
        <v>5771</v>
      </c>
      <c r="E2644" s="1" t="s">
        <v>4211</v>
      </c>
      <c r="F2644" s="1">
        <v>37</v>
      </c>
      <c r="G2644" s="1" t="s">
        <v>68</v>
      </c>
      <c r="H2644" s="1" t="s">
        <v>25</v>
      </c>
      <c r="I2644" s="1" t="s">
        <v>55</v>
      </c>
      <c r="J2644" s="1" t="s">
        <v>27</v>
      </c>
      <c r="K2644" s="1" t="s">
        <v>430</v>
      </c>
      <c r="L2644" s="1">
        <v>10</v>
      </c>
      <c r="M2644" s="13">
        <v>114.63</v>
      </c>
      <c r="N2644" s="15">
        <v>0.27</v>
      </c>
      <c r="O2644" s="13">
        <v>544.49</v>
      </c>
      <c r="P2644" s="13">
        <v>42.94</v>
      </c>
      <c r="Q2644" s="13">
        <v>49.31</v>
      </c>
      <c r="R2644" s="1" t="s">
        <v>51</v>
      </c>
      <c r="S2644" s="1">
        <v>4</v>
      </c>
      <c r="T2644" s="1" t="b">
        <v>0</v>
      </c>
      <c r="U2644" s="1" t="s">
        <v>39</v>
      </c>
      <c r="V2644" s="3">
        <v>8</v>
      </c>
    </row>
    <row r="2645" spans="1:22" x14ac:dyDescent="0.3">
      <c r="A2645" s="2" t="s">
        <v>5772</v>
      </c>
      <c r="B2645" s="10">
        <v>44927</v>
      </c>
      <c r="C2645" s="22">
        <v>44927</v>
      </c>
      <c r="D2645" s="1" t="s">
        <v>5773</v>
      </c>
      <c r="E2645" s="1" t="s">
        <v>1803</v>
      </c>
      <c r="F2645" s="1">
        <v>54</v>
      </c>
      <c r="G2645" s="1" t="s">
        <v>34</v>
      </c>
      <c r="H2645" s="1" t="s">
        <v>111</v>
      </c>
      <c r="I2645" s="1" t="s">
        <v>121</v>
      </c>
      <c r="J2645" s="1" t="s">
        <v>146</v>
      </c>
      <c r="K2645" s="1" t="s">
        <v>276</v>
      </c>
      <c r="L2645" s="1">
        <v>3</v>
      </c>
      <c r="M2645" s="13">
        <v>6013.86</v>
      </c>
      <c r="N2645" s="15">
        <v>0.01</v>
      </c>
      <c r="O2645" s="13">
        <v>16119.22</v>
      </c>
      <c r="P2645" s="13">
        <v>3536.03</v>
      </c>
      <c r="Q2645" s="13">
        <v>79.16</v>
      </c>
      <c r="R2645" s="1" t="s">
        <v>51</v>
      </c>
      <c r="S2645" s="1">
        <v>3</v>
      </c>
      <c r="T2645" s="1" t="b">
        <v>0</v>
      </c>
      <c r="U2645" s="1" t="s">
        <v>137</v>
      </c>
      <c r="V2645" s="3">
        <v>3</v>
      </c>
    </row>
    <row r="2646" spans="1:22" x14ac:dyDescent="0.3">
      <c r="A2646" s="2" t="s">
        <v>5774</v>
      </c>
      <c r="B2646" s="10">
        <v>45325</v>
      </c>
      <c r="C2646" s="22">
        <v>45325</v>
      </c>
      <c r="D2646" s="1" t="s">
        <v>5775</v>
      </c>
      <c r="E2646" s="1" t="s">
        <v>3031</v>
      </c>
      <c r="F2646" s="1">
        <v>10</v>
      </c>
      <c r="G2646" s="1" t="s">
        <v>24</v>
      </c>
      <c r="H2646" s="1" t="s">
        <v>25</v>
      </c>
      <c r="I2646" s="1" t="s">
        <v>55</v>
      </c>
      <c r="J2646" s="1" t="s">
        <v>37</v>
      </c>
      <c r="K2646" s="1" t="s">
        <v>38</v>
      </c>
      <c r="L2646" s="1">
        <v>4</v>
      </c>
      <c r="M2646" s="13">
        <v>2410.81</v>
      </c>
      <c r="N2646" s="15">
        <v>0.23</v>
      </c>
      <c r="O2646" s="13">
        <v>8079.65</v>
      </c>
      <c r="P2646" s="13">
        <v>4194.49</v>
      </c>
      <c r="Q2646" s="13">
        <v>53.44</v>
      </c>
      <c r="R2646" s="1" t="s">
        <v>64</v>
      </c>
      <c r="S2646" s="1">
        <v>4</v>
      </c>
      <c r="T2646" s="1" t="b">
        <v>0</v>
      </c>
      <c r="U2646" s="1" t="s">
        <v>39</v>
      </c>
      <c r="V2646" s="3">
        <v>5</v>
      </c>
    </row>
    <row r="2647" spans="1:22" x14ac:dyDescent="0.3">
      <c r="A2647" s="2" t="s">
        <v>5776</v>
      </c>
      <c r="B2647" s="10">
        <v>44704</v>
      </c>
      <c r="C2647" s="22">
        <v>44704</v>
      </c>
      <c r="D2647" s="1" t="s">
        <v>5777</v>
      </c>
      <c r="E2647" s="1" t="s">
        <v>1159</v>
      </c>
      <c r="F2647" s="1">
        <v>27</v>
      </c>
      <c r="G2647" s="1" t="s">
        <v>24</v>
      </c>
      <c r="H2647" s="1" t="s">
        <v>74</v>
      </c>
      <c r="I2647" s="1" t="s">
        <v>101</v>
      </c>
      <c r="J2647" s="1" t="s">
        <v>44</v>
      </c>
      <c r="K2647" s="1" t="s">
        <v>93</v>
      </c>
      <c r="L2647" s="1">
        <v>2</v>
      </c>
      <c r="M2647" s="13">
        <v>14453.77</v>
      </c>
      <c r="N2647" s="15">
        <v>0.22</v>
      </c>
      <c r="O2647" s="13">
        <v>32603.05</v>
      </c>
      <c r="P2647" s="13">
        <v>8034.59</v>
      </c>
      <c r="Q2647" s="13">
        <v>53.68</v>
      </c>
      <c r="R2647" s="1" t="s">
        <v>78</v>
      </c>
      <c r="S2647" s="1">
        <v>5</v>
      </c>
      <c r="T2647" s="1" t="b">
        <v>0</v>
      </c>
      <c r="U2647" s="1" t="s">
        <v>39</v>
      </c>
      <c r="V2647" s="3">
        <v>9</v>
      </c>
    </row>
    <row r="2648" spans="1:22" x14ac:dyDescent="0.3">
      <c r="A2648" s="2" t="s">
        <v>5778</v>
      </c>
      <c r="B2648" s="10">
        <v>44080</v>
      </c>
      <c r="C2648" s="22">
        <v>44080</v>
      </c>
      <c r="D2648" s="1" t="s">
        <v>5779</v>
      </c>
      <c r="E2648" s="1" t="s">
        <v>3040</v>
      </c>
      <c r="F2648" s="1">
        <v>39</v>
      </c>
      <c r="G2648" s="1" t="s">
        <v>68</v>
      </c>
      <c r="H2648" s="1" t="s">
        <v>35</v>
      </c>
      <c r="I2648" s="1" t="s">
        <v>43</v>
      </c>
      <c r="J2648" s="1" t="s">
        <v>37</v>
      </c>
      <c r="K2648" s="1" t="s">
        <v>102</v>
      </c>
      <c r="L2648" s="1">
        <v>6</v>
      </c>
      <c r="M2648" s="13">
        <v>1280.8399999999999</v>
      </c>
      <c r="N2648" s="15">
        <v>0.23</v>
      </c>
      <c r="O2648" s="13">
        <v>5974.92</v>
      </c>
      <c r="P2648" s="13">
        <v>2678.22</v>
      </c>
      <c r="Q2648" s="13">
        <v>72.989999999999995</v>
      </c>
      <c r="R2648" s="1" t="s">
        <v>57</v>
      </c>
      <c r="S2648" s="1">
        <v>3</v>
      </c>
      <c r="T2648" s="1" t="b">
        <v>0</v>
      </c>
      <c r="U2648" s="1" t="s">
        <v>39</v>
      </c>
      <c r="V2648" s="3">
        <v>1</v>
      </c>
    </row>
    <row r="2649" spans="1:22" x14ac:dyDescent="0.3">
      <c r="A2649" s="2" t="s">
        <v>5780</v>
      </c>
      <c r="B2649" s="10">
        <v>44589</v>
      </c>
      <c r="C2649" s="22">
        <v>44589</v>
      </c>
      <c r="D2649" s="1" t="s">
        <v>5781</v>
      </c>
      <c r="E2649" s="1" t="s">
        <v>616</v>
      </c>
      <c r="F2649" s="1">
        <v>29</v>
      </c>
      <c r="G2649" s="1" t="s">
        <v>24</v>
      </c>
      <c r="H2649" s="1" t="s">
        <v>82</v>
      </c>
      <c r="I2649" s="1" t="s">
        <v>244</v>
      </c>
      <c r="J2649" s="1" t="s">
        <v>44</v>
      </c>
      <c r="K2649" s="1" t="s">
        <v>45</v>
      </c>
      <c r="L2649" s="1">
        <v>4</v>
      </c>
      <c r="M2649" s="13">
        <v>30087.03</v>
      </c>
      <c r="N2649" s="15">
        <v>0.2</v>
      </c>
      <c r="O2649" s="13">
        <v>73826.31</v>
      </c>
      <c r="P2649" s="13">
        <v>20501.91</v>
      </c>
      <c r="Q2649" s="13">
        <v>80.38</v>
      </c>
      <c r="R2649" s="1" t="s">
        <v>29</v>
      </c>
      <c r="S2649" s="1">
        <v>1</v>
      </c>
      <c r="T2649" s="1" t="b">
        <v>0</v>
      </c>
      <c r="U2649" s="1" t="s">
        <v>39</v>
      </c>
      <c r="V2649" s="3">
        <v>7</v>
      </c>
    </row>
    <row r="2650" spans="1:22" x14ac:dyDescent="0.3">
      <c r="A2650" s="2" t="s">
        <v>5782</v>
      </c>
      <c r="B2650" s="10">
        <v>44178</v>
      </c>
      <c r="C2650" s="22">
        <v>44178</v>
      </c>
      <c r="D2650" s="1" t="s">
        <v>5783</v>
      </c>
      <c r="E2650" s="1" t="s">
        <v>776</v>
      </c>
      <c r="F2650" s="1">
        <v>26</v>
      </c>
      <c r="G2650" s="1" t="s">
        <v>24</v>
      </c>
      <c r="H2650" s="1" t="s">
        <v>74</v>
      </c>
      <c r="I2650" s="1" t="s">
        <v>192</v>
      </c>
      <c r="J2650" s="1" t="s">
        <v>44</v>
      </c>
      <c r="K2650" s="1" t="s">
        <v>50</v>
      </c>
      <c r="L2650" s="1">
        <v>1</v>
      </c>
      <c r="M2650" s="13">
        <v>19060.919999999998</v>
      </c>
      <c r="N2650" s="15">
        <v>0.31</v>
      </c>
      <c r="O2650" s="13">
        <v>9008.82</v>
      </c>
      <c r="P2650" s="13">
        <v>2392.71</v>
      </c>
      <c r="Q2650" s="13">
        <v>30.32</v>
      </c>
      <c r="R2650" s="1" t="s">
        <v>57</v>
      </c>
      <c r="S2650" s="1">
        <v>2</v>
      </c>
      <c r="T2650" s="1" t="b">
        <v>0</v>
      </c>
      <c r="U2650" s="1" t="s">
        <v>39</v>
      </c>
      <c r="V2650" s="3">
        <v>4</v>
      </c>
    </row>
    <row r="2651" spans="1:22" x14ac:dyDescent="0.3">
      <c r="A2651" s="2" t="s">
        <v>5784</v>
      </c>
      <c r="B2651" s="10">
        <v>44777</v>
      </c>
      <c r="C2651" s="22">
        <v>44777</v>
      </c>
      <c r="D2651" s="1" t="s">
        <v>5785</v>
      </c>
      <c r="E2651" s="1" t="s">
        <v>360</v>
      </c>
      <c r="F2651" s="1">
        <v>36</v>
      </c>
      <c r="G2651" s="1" t="s">
        <v>68</v>
      </c>
      <c r="H2651" s="1" t="s">
        <v>111</v>
      </c>
      <c r="I2651" s="1" t="s">
        <v>141</v>
      </c>
      <c r="J2651" s="1" t="s">
        <v>146</v>
      </c>
      <c r="K2651" s="1" t="s">
        <v>217</v>
      </c>
      <c r="L2651" s="1">
        <v>5</v>
      </c>
      <c r="M2651" s="13">
        <v>10085.52</v>
      </c>
      <c r="N2651" s="15">
        <v>0.04</v>
      </c>
      <c r="O2651" s="13">
        <v>65977.61</v>
      </c>
      <c r="P2651" s="13">
        <v>14440.37</v>
      </c>
      <c r="Q2651" s="13">
        <v>73.11</v>
      </c>
      <c r="R2651" s="1" t="s">
        <v>78</v>
      </c>
      <c r="S2651" s="1">
        <v>2</v>
      </c>
      <c r="T2651" s="1" t="b">
        <v>1</v>
      </c>
      <c r="U2651" s="1" t="s">
        <v>30</v>
      </c>
      <c r="V2651" s="3">
        <v>5</v>
      </c>
    </row>
    <row r="2652" spans="1:22" x14ac:dyDescent="0.3">
      <c r="A2652" s="2" t="s">
        <v>5786</v>
      </c>
      <c r="B2652" s="10">
        <v>44147</v>
      </c>
      <c r="C2652" s="22">
        <v>44147</v>
      </c>
      <c r="D2652" s="1" t="s">
        <v>3604</v>
      </c>
      <c r="E2652" s="1" t="s">
        <v>73</v>
      </c>
      <c r="F2652" s="1">
        <v>31</v>
      </c>
      <c r="G2652" s="1" t="s">
        <v>24</v>
      </c>
      <c r="H2652" s="1" t="s">
        <v>25</v>
      </c>
      <c r="I2652" s="1" t="s">
        <v>69</v>
      </c>
      <c r="J2652" s="1" t="s">
        <v>146</v>
      </c>
      <c r="K2652" s="1" t="s">
        <v>147</v>
      </c>
      <c r="L2652" s="1">
        <v>8</v>
      </c>
      <c r="M2652" s="13">
        <v>12118.96</v>
      </c>
      <c r="N2652" s="15">
        <v>0.09</v>
      </c>
      <c r="O2652" s="13">
        <v>73900.27</v>
      </c>
      <c r="P2652" s="13">
        <v>14318.27</v>
      </c>
      <c r="Q2652" s="13">
        <v>77.48</v>
      </c>
      <c r="R2652" s="1" t="s">
        <v>64</v>
      </c>
      <c r="S2652" s="1">
        <v>3</v>
      </c>
      <c r="T2652" s="1" t="b">
        <v>0</v>
      </c>
      <c r="U2652" s="1" t="s">
        <v>39</v>
      </c>
      <c r="V2652" s="3">
        <v>10</v>
      </c>
    </row>
    <row r="2653" spans="1:22" x14ac:dyDescent="0.3">
      <c r="A2653" s="2" t="s">
        <v>5787</v>
      </c>
      <c r="B2653" s="10">
        <v>44403</v>
      </c>
      <c r="C2653" s="22">
        <v>44403</v>
      </c>
      <c r="D2653" s="1" t="s">
        <v>5788</v>
      </c>
      <c r="E2653" s="1" t="s">
        <v>426</v>
      </c>
      <c r="F2653" s="1">
        <v>32</v>
      </c>
      <c r="G2653" s="1" t="s">
        <v>24</v>
      </c>
      <c r="H2653" s="1" t="s">
        <v>111</v>
      </c>
      <c r="I2653" s="1" t="s">
        <v>330</v>
      </c>
      <c r="J2653" s="1" t="s">
        <v>37</v>
      </c>
      <c r="K2653" s="1" t="s">
        <v>671</v>
      </c>
      <c r="L2653" s="1">
        <v>2</v>
      </c>
      <c r="M2653" s="13">
        <v>434.45</v>
      </c>
      <c r="N2653" s="15">
        <v>0.32</v>
      </c>
      <c r="O2653" s="13">
        <v>753.9</v>
      </c>
      <c r="P2653" s="13">
        <v>264.33999999999997</v>
      </c>
      <c r="Q2653" s="13">
        <v>66.45</v>
      </c>
      <c r="R2653" s="1" t="s">
        <v>57</v>
      </c>
      <c r="S2653" s="1">
        <v>4</v>
      </c>
      <c r="T2653" s="1" t="b">
        <v>1</v>
      </c>
      <c r="U2653" s="1" t="s">
        <v>30</v>
      </c>
      <c r="V2653" s="3">
        <v>3</v>
      </c>
    </row>
    <row r="2654" spans="1:22" x14ac:dyDescent="0.3">
      <c r="A2654" s="2" t="s">
        <v>5789</v>
      </c>
      <c r="B2654" s="10">
        <v>44692</v>
      </c>
      <c r="C2654" s="22">
        <v>44692</v>
      </c>
      <c r="D2654" s="1" t="s">
        <v>5790</v>
      </c>
      <c r="E2654" s="1" t="s">
        <v>42</v>
      </c>
      <c r="F2654" s="1">
        <v>52</v>
      </c>
      <c r="G2654" s="1" t="s">
        <v>68</v>
      </c>
      <c r="H2654" s="1" t="s">
        <v>111</v>
      </c>
      <c r="I2654" s="1" t="s">
        <v>121</v>
      </c>
      <c r="J2654" s="1" t="s">
        <v>76</v>
      </c>
      <c r="K2654" s="1" t="s">
        <v>207</v>
      </c>
      <c r="L2654" s="1">
        <v>5</v>
      </c>
      <c r="M2654" s="13">
        <v>3102.98</v>
      </c>
      <c r="N2654" s="15">
        <v>0.11</v>
      </c>
      <c r="O2654" s="13">
        <v>20951.580000000002</v>
      </c>
      <c r="P2654" s="13">
        <v>8948.8799999999992</v>
      </c>
      <c r="Q2654" s="13">
        <v>34.130000000000003</v>
      </c>
      <c r="R2654" s="1" t="s">
        <v>78</v>
      </c>
      <c r="S2654" s="1">
        <v>5</v>
      </c>
      <c r="T2654" s="1" t="b">
        <v>0</v>
      </c>
      <c r="U2654" s="1" t="s">
        <v>39</v>
      </c>
      <c r="V2654" s="3">
        <v>8</v>
      </c>
    </row>
    <row r="2655" spans="1:22" x14ac:dyDescent="0.3">
      <c r="A2655" s="2" t="s">
        <v>5791</v>
      </c>
      <c r="B2655" s="10">
        <v>45046</v>
      </c>
      <c r="C2655" s="22">
        <v>45046</v>
      </c>
      <c r="D2655" s="1" t="s">
        <v>5792</v>
      </c>
      <c r="E2655" s="1" t="s">
        <v>457</v>
      </c>
      <c r="F2655" s="1">
        <v>38</v>
      </c>
      <c r="G2655" s="1" t="s">
        <v>24</v>
      </c>
      <c r="H2655" s="1" t="s">
        <v>111</v>
      </c>
      <c r="I2655" s="1" t="s">
        <v>141</v>
      </c>
      <c r="J2655" s="1" t="s">
        <v>37</v>
      </c>
      <c r="K2655" s="1" t="s">
        <v>38</v>
      </c>
      <c r="L2655" s="1">
        <v>1</v>
      </c>
      <c r="M2655" s="13">
        <v>2094.6999999999998</v>
      </c>
      <c r="N2655" s="15">
        <v>0.36</v>
      </c>
      <c r="O2655" s="13">
        <v>1650.79</v>
      </c>
      <c r="P2655" s="13">
        <v>699.91</v>
      </c>
      <c r="Q2655" s="13">
        <v>51.65</v>
      </c>
      <c r="R2655" s="1" t="s">
        <v>70</v>
      </c>
      <c r="S2655" s="1">
        <v>2</v>
      </c>
      <c r="T2655" s="1" t="b">
        <v>1</v>
      </c>
      <c r="U2655" s="1" t="s">
        <v>30</v>
      </c>
      <c r="V2655" s="3">
        <v>10</v>
      </c>
    </row>
    <row r="2656" spans="1:22" x14ac:dyDescent="0.3">
      <c r="A2656" s="2" t="s">
        <v>5793</v>
      </c>
      <c r="B2656" s="10">
        <v>45215</v>
      </c>
      <c r="C2656" s="22">
        <v>45215</v>
      </c>
      <c r="D2656" s="1" t="s">
        <v>5794</v>
      </c>
      <c r="E2656" s="1" t="s">
        <v>1476</v>
      </c>
      <c r="F2656" s="1">
        <v>44</v>
      </c>
      <c r="G2656" s="1" t="s">
        <v>24</v>
      </c>
      <c r="H2656" s="1" t="s">
        <v>74</v>
      </c>
      <c r="I2656" s="1" t="s">
        <v>192</v>
      </c>
      <c r="J2656" s="1" t="s">
        <v>127</v>
      </c>
      <c r="K2656" s="1" t="s">
        <v>517</v>
      </c>
      <c r="L2656" s="1">
        <v>6</v>
      </c>
      <c r="M2656" s="13">
        <v>44612.23</v>
      </c>
      <c r="N2656" s="15">
        <v>0.05</v>
      </c>
      <c r="O2656" s="13">
        <v>267791.02</v>
      </c>
      <c r="P2656" s="13">
        <v>30140.48</v>
      </c>
      <c r="Q2656" s="13">
        <v>34</v>
      </c>
      <c r="R2656" s="1" t="s">
        <v>64</v>
      </c>
      <c r="S2656" s="1">
        <v>3</v>
      </c>
      <c r="T2656" s="1" t="b">
        <v>0</v>
      </c>
      <c r="U2656" s="1" t="s">
        <v>39</v>
      </c>
      <c r="V2656" s="3">
        <v>8</v>
      </c>
    </row>
    <row r="2657" spans="1:22" x14ac:dyDescent="0.3">
      <c r="A2657" s="2" t="s">
        <v>5795</v>
      </c>
      <c r="B2657" s="10">
        <v>44828</v>
      </c>
      <c r="C2657" s="22">
        <v>44828</v>
      </c>
      <c r="D2657" s="1" t="s">
        <v>5796</v>
      </c>
      <c r="E2657" s="1" t="s">
        <v>259</v>
      </c>
      <c r="F2657" s="1">
        <v>30</v>
      </c>
      <c r="G2657" s="1" t="s">
        <v>68</v>
      </c>
      <c r="H2657" s="1" t="s">
        <v>111</v>
      </c>
      <c r="I2657" s="1" t="s">
        <v>121</v>
      </c>
      <c r="J2657" s="1" t="s">
        <v>27</v>
      </c>
      <c r="K2657" s="1" t="s">
        <v>400</v>
      </c>
      <c r="L2657" s="1">
        <v>3</v>
      </c>
      <c r="M2657" s="13">
        <v>236.04</v>
      </c>
      <c r="N2657" s="15">
        <v>0.01</v>
      </c>
      <c r="O2657" s="13">
        <v>832.73</v>
      </c>
      <c r="P2657" s="13">
        <v>49.56</v>
      </c>
      <c r="Q2657" s="13">
        <v>57.97</v>
      </c>
      <c r="R2657" s="1" t="s">
        <v>70</v>
      </c>
      <c r="S2657" s="1">
        <v>3</v>
      </c>
      <c r="T2657" s="1" t="b">
        <v>1</v>
      </c>
      <c r="U2657" s="1" t="s">
        <v>30</v>
      </c>
      <c r="V2657" s="3">
        <v>8</v>
      </c>
    </row>
    <row r="2658" spans="1:22" x14ac:dyDescent="0.3">
      <c r="A2658" s="2" t="s">
        <v>5797</v>
      </c>
      <c r="B2658" s="10">
        <v>44791</v>
      </c>
      <c r="C2658" s="22">
        <v>44791</v>
      </c>
      <c r="D2658" s="1" t="s">
        <v>5798</v>
      </c>
      <c r="E2658" s="1" t="s">
        <v>502</v>
      </c>
      <c r="F2658" s="1">
        <v>58</v>
      </c>
      <c r="G2658" s="1" t="s">
        <v>68</v>
      </c>
      <c r="H2658" s="1" t="s">
        <v>111</v>
      </c>
      <c r="I2658" s="1" t="s">
        <v>121</v>
      </c>
      <c r="J2658" s="1" t="s">
        <v>37</v>
      </c>
      <c r="K2658" s="1" t="s">
        <v>102</v>
      </c>
      <c r="L2658" s="1">
        <v>5</v>
      </c>
      <c r="M2658" s="13">
        <v>2364.2399999999998</v>
      </c>
      <c r="N2658" s="15">
        <v>0.37</v>
      </c>
      <c r="O2658" s="13">
        <v>9797.68</v>
      </c>
      <c r="P2658" s="13">
        <v>5022.54</v>
      </c>
      <c r="Q2658" s="13">
        <v>82.56</v>
      </c>
      <c r="R2658" s="1" t="s">
        <v>57</v>
      </c>
      <c r="S2658" s="1">
        <v>3</v>
      </c>
      <c r="T2658" s="1" t="b">
        <v>0</v>
      </c>
      <c r="U2658" s="1" t="s">
        <v>39</v>
      </c>
      <c r="V2658" s="3">
        <v>4</v>
      </c>
    </row>
    <row r="2659" spans="1:22" x14ac:dyDescent="0.3">
      <c r="A2659" s="2" t="s">
        <v>5799</v>
      </c>
      <c r="B2659" s="10">
        <v>44722</v>
      </c>
      <c r="C2659" s="22">
        <v>44722</v>
      </c>
      <c r="D2659" s="1" t="s">
        <v>5800</v>
      </c>
      <c r="E2659" s="1" t="s">
        <v>206</v>
      </c>
      <c r="F2659" s="1">
        <v>33</v>
      </c>
      <c r="G2659" s="1" t="s">
        <v>24</v>
      </c>
      <c r="H2659" s="1" t="s">
        <v>35</v>
      </c>
      <c r="I2659" s="1" t="s">
        <v>106</v>
      </c>
      <c r="J2659" s="1" t="s">
        <v>27</v>
      </c>
      <c r="K2659" s="1" t="s">
        <v>450</v>
      </c>
      <c r="L2659" s="1">
        <v>8</v>
      </c>
      <c r="M2659" s="13">
        <v>267.91000000000003</v>
      </c>
      <c r="N2659" s="15">
        <v>0.03</v>
      </c>
      <c r="O2659" s="13">
        <v>2920.99</v>
      </c>
      <c r="P2659" s="13">
        <v>292.83999999999997</v>
      </c>
      <c r="Q2659" s="13">
        <v>61.35</v>
      </c>
      <c r="R2659" s="1" t="s">
        <v>64</v>
      </c>
      <c r="S2659" s="1">
        <v>2</v>
      </c>
      <c r="T2659" s="1" t="b">
        <v>0</v>
      </c>
      <c r="U2659" s="1" t="s">
        <v>39</v>
      </c>
      <c r="V2659" s="3">
        <v>1</v>
      </c>
    </row>
    <row r="2660" spans="1:22" x14ac:dyDescent="0.3">
      <c r="A2660" s="2" t="s">
        <v>5801</v>
      </c>
      <c r="B2660" s="10">
        <v>45014</v>
      </c>
      <c r="C2660" s="22">
        <v>45014</v>
      </c>
      <c r="D2660" s="1" t="s">
        <v>5802</v>
      </c>
      <c r="E2660" s="1" t="s">
        <v>1266</v>
      </c>
      <c r="F2660" s="1">
        <v>45</v>
      </c>
      <c r="G2660" s="1" t="s">
        <v>68</v>
      </c>
      <c r="H2660" s="1" t="s">
        <v>111</v>
      </c>
      <c r="I2660" s="1" t="s">
        <v>330</v>
      </c>
      <c r="J2660" s="1" t="s">
        <v>27</v>
      </c>
      <c r="K2660" s="1" t="s">
        <v>28</v>
      </c>
      <c r="L2660" s="1">
        <v>8</v>
      </c>
      <c r="M2660" s="13">
        <v>85.59</v>
      </c>
      <c r="N2660" s="15">
        <v>0.25</v>
      </c>
      <c r="O2660" s="13">
        <v>545.76</v>
      </c>
      <c r="P2660" s="13">
        <v>41.46</v>
      </c>
      <c r="Q2660" s="13">
        <v>75.34</v>
      </c>
      <c r="R2660" s="1" t="s">
        <v>57</v>
      </c>
      <c r="S2660" s="1">
        <v>4</v>
      </c>
      <c r="T2660" s="1" t="b">
        <v>0</v>
      </c>
      <c r="U2660" s="1" t="s">
        <v>39</v>
      </c>
      <c r="V2660" s="3">
        <v>9</v>
      </c>
    </row>
    <row r="2661" spans="1:22" x14ac:dyDescent="0.3">
      <c r="A2661" s="2" t="s">
        <v>5803</v>
      </c>
      <c r="B2661" s="10">
        <v>45513</v>
      </c>
      <c r="C2661" s="22">
        <v>45513</v>
      </c>
      <c r="D2661" s="1" t="s">
        <v>5804</v>
      </c>
      <c r="E2661" s="1" t="s">
        <v>1904</v>
      </c>
      <c r="F2661" s="1">
        <v>37</v>
      </c>
      <c r="G2661" s="1" t="s">
        <v>24</v>
      </c>
      <c r="H2661" s="1" t="s">
        <v>74</v>
      </c>
      <c r="I2661" s="1" t="s">
        <v>75</v>
      </c>
      <c r="J2661" s="1" t="s">
        <v>146</v>
      </c>
      <c r="K2661" s="1" t="s">
        <v>161</v>
      </c>
      <c r="L2661" s="1">
        <v>9</v>
      </c>
      <c r="M2661" s="13">
        <v>6043.66</v>
      </c>
      <c r="N2661" s="15">
        <v>0.35</v>
      </c>
      <c r="O2661" s="13">
        <v>50068.82</v>
      </c>
      <c r="P2661" s="13">
        <v>12593.51</v>
      </c>
      <c r="Q2661" s="13">
        <v>35.57</v>
      </c>
      <c r="R2661" s="1" t="s">
        <v>29</v>
      </c>
      <c r="S2661" s="1">
        <v>2</v>
      </c>
      <c r="T2661" s="1" t="b">
        <v>0</v>
      </c>
      <c r="U2661" s="1" t="s">
        <v>84</v>
      </c>
      <c r="V2661" s="3">
        <v>1</v>
      </c>
    </row>
    <row r="2662" spans="1:22" x14ac:dyDescent="0.3">
      <c r="A2662" s="2" t="s">
        <v>5805</v>
      </c>
      <c r="B2662" s="10">
        <v>43984</v>
      </c>
      <c r="C2662" s="22">
        <v>43984</v>
      </c>
      <c r="D2662" s="1" t="s">
        <v>5806</v>
      </c>
      <c r="E2662" s="1" t="s">
        <v>1064</v>
      </c>
      <c r="F2662" s="1">
        <v>33</v>
      </c>
      <c r="G2662" s="1" t="s">
        <v>34</v>
      </c>
      <c r="H2662" s="1" t="s">
        <v>25</v>
      </c>
      <c r="I2662" s="1" t="s">
        <v>55</v>
      </c>
      <c r="J2662" s="1" t="s">
        <v>76</v>
      </c>
      <c r="K2662" s="1" t="s">
        <v>89</v>
      </c>
      <c r="L2662" s="1">
        <v>9</v>
      </c>
      <c r="M2662" s="13">
        <v>1720.87</v>
      </c>
      <c r="N2662" s="15">
        <v>7.0000000000000007E-2</v>
      </c>
      <c r="O2662" s="13">
        <v>18041.55</v>
      </c>
      <c r="P2662" s="13">
        <v>5490.24</v>
      </c>
      <c r="Q2662" s="13">
        <v>62.42</v>
      </c>
      <c r="R2662" s="1" t="s">
        <v>70</v>
      </c>
      <c r="S2662" s="1">
        <v>1</v>
      </c>
      <c r="T2662" s="1" t="b">
        <v>0</v>
      </c>
      <c r="U2662" s="1" t="s">
        <v>84</v>
      </c>
      <c r="V2662" s="3">
        <v>8</v>
      </c>
    </row>
    <row r="2663" spans="1:22" x14ac:dyDescent="0.3">
      <c r="A2663" s="2" t="s">
        <v>5807</v>
      </c>
      <c r="B2663" s="10">
        <v>45111</v>
      </c>
      <c r="C2663" s="22">
        <v>45111</v>
      </c>
      <c r="D2663" s="1" t="s">
        <v>5808</v>
      </c>
      <c r="E2663" s="1" t="s">
        <v>301</v>
      </c>
      <c r="F2663" s="1">
        <v>41</v>
      </c>
      <c r="G2663" s="1" t="s">
        <v>24</v>
      </c>
      <c r="H2663" s="1" t="s">
        <v>82</v>
      </c>
      <c r="I2663" s="1" t="s">
        <v>126</v>
      </c>
      <c r="J2663" s="1" t="s">
        <v>76</v>
      </c>
      <c r="K2663" s="1" t="s">
        <v>77</v>
      </c>
      <c r="L2663" s="1">
        <v>6</v>
      </c>
      <c r="M2663" s="13">
        <v>1234.8599999999999</v>
      </c>
      <c r="N2663" s="15">
        <v>0.13</v>
      </c>
      <c r="O2663" s="13">
        <v>10211.19</v>
      </c>
      <c r="P2663" s="13">
        <v>4328.1000000000004</v>
      </c>
      <c r="Q2663" s="13">
        <v>63.86</v>
      </c>
      <c r="R2663" s="1" t="s">
        <v>51</v>
      </c>
      <c r="S2663" s="1">
        <v>2</v>
      </c>
      <c r="T2663" s="1" t="b">
        <v>0</v>
      </c>
      <c r="U2663" s="1" t="s">
        <v>39</v>
      </c>
      <c r="V2663" s="3">
        <v>3</v>
      </c>
    </row>
    <row r="2664" spans="1:22" x14ac:dyDescent="0.3">
      <c r="A2664" s="2" t="s">
        <v>5809</v>
      </c>
      <c r="B2664" s="10">
        <v>45143</v>
      </c>
      <c r="C2664" s="22">
        <v>45143</v>
      </c>
      <c r="D2664" s="1" t="s">
        <v>5810</v>
      </c>
      <c r="E2664" s="1" t="s">
        <v>120</v>
      </c>
      <c r="F2664" s="1">
        <v>30</v>
      </c>
      <c r="G2664" s="1" t="s">
        <v>24</v>
      </c>
      <c r="H2664" s="1" t="s">
        <v>111</v>
      </c>
      <c r="I2664" s="1" t="s">
        <v>141</v>
      </c>
      <c r="J2664" s="1" t="s">
        <v>27</v>
      </c>
      <c r="K2664" s="1" t="s">
        <v>97</v>
      </c>
      <c r="L2664" s="1">
        <v>3</v>
      </c>
      <c r="M2664" s="13">
        <v>394.17</v>
      </c>
      <c r="N2664" s="15">
        <v>0.1</v>
      </c>
      <c r="O2664" s="13">
        <v>1466.75</v>
      </c>
      <c r="P2664" s="13">
        <v>91.2</v>
      </c>
      <c r="Q2664" s="13">
        <v>58.94</v>
      </c>
      <c r="R2664" s="1" t="s">
        <v>57</v>
      </c>
      <c r="S2664" s="1">
        <v>5</v>
      </c>
      <c r="T2664" s="1" t="b">
        <v>0</v>
      </c>
      <c r="U2664" s="1" t="s">
        <v>39</v>
      </c>
      <c r="V2664" s="3">
        <v>1</v>
      </c>
    </row>
    <row r="2665" spans="1:22" x14ac:dyDescent="0.3">
      <c r="A2665" s="2" t="s">
        <v>5811</v>
      </c>
      <c r="B2665" s="10">
        <v>45346</v>
      </c>
      <c r="C2665" s="22">
        <v>45346</v>
      </c>
      <c r="D2665" s="1" t="s">
        <v>5812</v>
      </c>
      <c r="E2665" s="1" t="s">
        <v>1387</v>
      </c>
      <c r="F2665" s="1">
        <v>39</v>
      </c>
      <c r="G2665" s="1" t="s">
        <v>24</v>
      </c>
      <c r="H2665" s="1" t="s">
        <v>35</v>
      </c>
      <c r="I2665" s="1" t="s">
        <v>43</v>
      </c>
      <c r="J2665" s="1" t="s">
        <v>62</v>
      </c>
      <c r="K2665" s="1" t="s">
        <v>151</v>
      </c>
      <c r="L2665" s="1">
        <v>4</v>
      </c>
      <c r="M2665" s="13">
        <v>288.31</v>
      </c>
      <c r="N2665" s="15">
        <v>0.08</v>
      </c>
      <c r="O2665" s="13">
        <v>1146.19</v>
      </c>
      <c r="P2665" s="13">
        <v>424.38</v>
      </c>
      <c r="Q2665" s="13">
        <v>65.73</v>
      </c>
      <c r="R2665" s="1" t="s">
        <v>57</v>
      </c>
      <c r="S2665" s="1">
        <v>3</v>
      </c>
      <c r="T2665" s="1" t="b">
        <v>0</v>
      </c>
      <c r="U2665" s="1" t="s">
        <v>39</v>
      </c>
      <c r="V2665" s="3">
        <v>7</v>
      </c>
    </row>
    <row r="2666" spans="1:22" x14ac:dyDescent="0.3">
      <c r="A2666" s="2" t="s">
        <v>5813</v>
      </c>
      <c r="B2666" s="10">
        <v>45158</v>
      </c>
      <c r="C2666" s="22">
        <v>45158</v>
      </c>
      <c r="D2666" s="1" t="s">
        <v>5814</v>
      </c>
      <c r="E2666" s="1" t="s">
        <v>3402</v>
      </c>
      <c r="F2666" s="1">
        <v>24</v>
      </c>
      <c r="G2666" s="1" t="s">
        <v>34</v>
      </c>
      <c r="H2666" s="1" t="s">
        <v>74</v>
      </c>
      <c r="I2666" s="1" t="s">
        <v>101</v>
      </c>
      <c r="J2666" s="1" t="s">
        <v>76</v>
      </c>
      <c r="K2666" s="1" t="s">
        <v>113</v>
      </c>
      <c r="L2666" s="1">
        <v>7</v>
      </c>
      <c r="M2666" s="13">
        <v>3670.29</v>
      </c>
      <c r="N2666" s="15">
        <v>0.27</v>
      </c>
      <c r="O2666" s="13">
        <v>26206.04</v>
      </c>
      <c r="P2666" s="13">
        <v>9315.2199999999993</v>
      </c>
      <c r="Q2666" s="13">
        <v>40.44</v>
      </c>
      <c r="R2666" s="1" t="s">
        <v>78</v>
      </c>
      <c r="S2666" s="1">
        <v>1</v>
      </c>
      <c r="T2666" s="1" t="b">
        <v>0</v>
      </c>
      <c r="U2666" s="1" t="s">
        <v>84</v>
      </c>
      <c r="V2666" s="3">
        <v>9</v>
      </c>
    </row>
    <row r="2667" spans="1:22" x14ac:dyDescent="0.3">
      <c r="A2667" s="2" t="s">
        <v>5815</v>
      </c>
      <c r="B2667" s="10">
        <v>43967</v>
      </c>
      <c r="C2667" s="22">
        <v>43967</v>
      </c>
      <c r="D2667" s="1" t="s">
        <v>5816</v>
      </c>
      <c r="E2667" s="1" t="s">
        <v>508</v>
      </c>
      <c r="F2667" s="1">
        <v>23</v>
      </c>
      <c r="G2667" s="1" t="s">
        <v>68</v>
      </c>
      <c r="H2667" s="1" t="s">
        <v>82</v>
      </c>
      <c r="I2667" s="1" t="s">
        <v>293</v>
      </c>
      <c r="J2667" s="1" t="s">
        <v>44</v>
      </c>
      <c r="K2667" s="1" t="s">
        <v>221</v>
      </c>
      <c r="L2667" s="1">
        <v>10</v>
      </c>
      <c r="M2667" s="13">
        <v>13553.87</v>
      </c>
      <c r="N2667" s="15">
        <v>0.13</v>
      </c>
      <c r="O2667" s="13">
        <v>143129.65</v>
      </c>
      <c r="P2667" s="13">
        <v>32317.75</v>
      </c>
      <c r="Q2667" s="13">
        <v>87.72</v>
      </c>
      <c r="R2667" s="1" t="s">
        <v>64</v>
      </c>
      <c r="S2667" s="1">
        <v>3</v>
      </c>
      <c r="T2667" s="1" t="b">
        <v>0</v>
      </c>
      <c r="U2667" s="1" t="s">
        <v>197</v>
      </c>
      <c r="V2667" s="3">
        <v>9</v>
      </c>
    </row>
    <row r="2668" spans="1:22" x14ac:dyDescent="0.3">
      <c r="A2668" s="2" t="s">
        <v>5817</v>
      </c>
      <c r="B2668" s="10">
        <v>45386</v>
      </c>
      <c r="C2668" s="22">
        <v>45386</v>
      </c>
      <c r="D2668" s="1" t="s">
        <v>5818</v>
      </c>
      <c r="E2668" s="1" t="s">
        <v>2257</v>
      </c>
      <c r="F2668" s="1">
        <v>27</v>
      </c>
      <c r="G2668" s="1" t="s">
        <v>24</v>
      </c>
      <c r="H2668" s="1" t="s">
        <v>111</v>
      </c>
      <c r="I2668" s="1" t="s">
        <v>112</v>
      </c>
      <c r="J2668" s="1" t="s">
        <v>76</v>
      </c>
      <c r="K2668" s="1" t="s">
        <v>77</v>
      </c>
      <c r="L2668" s="1">
        <v>9</v>
      </c>
      <c r="M2668" s="13">
        <v>2254.39</v>
      </c>
      <c r="N2668" s="15">
        <v>0.32</v>
      </c>
      <c r="O2668" s="13">
        <v>17631.009999999998</v>
      </c>
      <c r="P2668" s="13">
        <v>5765.83</v>
      </c>
      <c r="Q2668" s="13">
        <v>101.76</v>
      </c>
      <c r="R2668" s="1" t="s">
        <v>29</v>
      </c>
      <c r="S2668" s="1">
        <v>4</v>
      </c>
      <c r="T2668" s="1" t="b">
        <v>1</v>
      </c>
      <c r="U2668" s="1" t="s">
        <v>30</v>
      </c>
      <c r="V2668" s="3">
        <v>8</v>
      </c>
    </row>
    <row r="2669" spans="1:22" x14ac:dyDescent="0.3">
      <c r="A2669" s="2" t="s">
        <v>5819</v>
      </c>
      <c r="B2669" s="10">
        <v>44419</v>
      </c>
      <c r="C2669" s="22">
        <v>44419</v>
      </c>
      <c r="D2669" s="1" t="s">
        <v>5820</v>
      </c>
      <c r="E2669" s="1" t="s">
        <v>1142</v>
      </c>
      <c r="F2669" s="1">
        <v>39</v>
      </c>
      <c r="G2669" s="1" t="s">
        <v>24</v>
      </c>
      <c r="H2669" s="1" t="s">
        <v>35</v>
      </c>
      <c r="I2669" s="1" t="s">
        <v>106</v>
      </c>
      <c r="J2669" s="1" t="s">
        <v>76</v>
      </c>
      <c r="K2669" s="1" t="s">
        <v>207</v>
      </c>
      <c r="L2669" s="1">
        <v>10</v>
      </c>
      <c r="M2669" s="13">
        <v>1816.68</v>
      </c>
      <c r="N2669" s="15">
        <v>0.15</v>
      </c>
      <c r="O2669" s="13">
        <v>18053.22</v>
      </c>
      <c r="P2669" s="13">
        <v>7198.9</v>
      </c>
      <c r="Q2669" s="13">
        <v>61.69</v>
      </c>
      <c r="R2669" s="1" t="s">
        <v>70</v>
      </c>
      <c r="S2669" s="1">
        <v>5</v>
      </c>
      <c r="T2669" s="1" t="b">
        <v>0</v>
      </c>
      <c r="U2669" s="1" t="s">
        <v>84</v>
      </c>
      <c r="V2669" s="3">
        <v>2</v>
      </c>
    </row>
    <row r="2670" spans="1:22" x14ac:dyDescent="0.3">
      <c r="A2670" s="2" t="s">
        <v>5821</v>
      </c>
      <c r="B2670" s="10">
        <v>43880</v>
      </c>
      <c r="C2670" s="22">
        <v>43880</v>
      </c>
      <c r="D2670" s="1" t="s">
        <v>5822</v>
      </c>
      <c r="E2670" s="1" t="s">
        <v>591</v>
      </c>
      <c r="F2670" s="1">
        <v>26</v>
      </c>
      <c r="G2670" s="1" t="s">
        <v>68</v>
      </c>
      <c r="H2670" s="1" t="s">
        <v>74</v>
      </c>
      <c r="I2670" s="1" t="s">
        <v>101</v>
      </c>
      <c r="J2670" s="1" t="s">
        <v>27</v>
      </c>
      <c r="K2670" s="1" t="s">
        <v>450</v>
      </c>
      <c r="L2670" s="1">
        <v>5</v>
      </c>
      <c r="M2670" s="13">
        <v>458.64</v>
      </c>
      <c r="N2670" s="15">
        <v>0.35</v>
      </c>
      <c r="O2670" s="13">
        <v>273.05</v>
      </c>
      <c r="P2670" s="13">
        <v>23.39</v>
      </c>
      <c r="Q2670" s="13">
        <v>42.91</v>
      </c>
      <c r="R2670" s="1" t="s">
        <v>64</v>
      </c>
      <c r="S2670" s="1">
        <v>5</v>
      </c>
      <c r="T2670" s="1" t="b">
        <v>0</v>
      </c>
      <c r="U2670" s="1" t="s">
        <v>39</v>
      </c>
      <c r="V2670" s="3">
        <v>4</v>
      </c>
    </row>
    <row r="2671" spans="1:22" x14ac:dyDescent="0.3">
      <c r="A2671" s="2" t="s">
        <v>5823</v>
      </c>
      <c r="B2671" s="10">
        <v>45340</v>
      </c>
      <c r="C2671" s="22">
        <v>45340</v>
      </c>
      <c r="D2671" s="1" t="s">
        <v>5824</v>
      </c>
      <c r="E2671" s="1" t="s">
        <v>872</v>
      </c>
      <c r="F2671" s="1">
        <v>35</v>
      </c>
      <c r="G2671" s="1" t="s">
        <v>24</v>
      </c>
      <c r="H2671" s="1" t="s">
        <v>74</v>
      </c>
      <c r="I2671" s="1" t="s">
        <v>101</v>
      </c>
      <c r="J2671" s="1" t="s">
        <v>127</v>
      </c>
      <c r="K2671" s="1" t="s">
        <v>128</v>
      </c>
      <c r="L2671" s="1">
        <v>5</v>
      </c>
      <c r="M2671" s="13">
        <v>54916.9</v>
      </c>
      <c r="N2671" s="15">
        <v>0.4</v>
      </c>
      <c r="O2671" s="13">
        <v>177362.61</v>
      </c>
      <c r="P2671" s="13">
        <v>24965.38</v>
      </c>
      <c r="Q2671" s="13">
        <v>46.27</v>
      </c>
      <c r="R2671" s="1" t="s">
        <v>70</v>
      </c>
      <c r="S2671" s="1">
        <v>5</v>
      </c>
      <c r="T2671" s="1" t="b">
        <v>0</v>
      </c>
      <c r="U2671" s="1" t="s">
        <v>137</v>
      </c>
      <c r="V2671" s="3">
        <v>8</v>
      </c>
    </row>
    <row r="2672" spans="1:22" x14ac:dyDescent="0.3">
      <c r="A2672" s="2" t="s">
        <v>5825</v>
      </c>
      <c r="B2672" s="10">
        <v>44644</v>
      </c>
      <c r="C2672" s="22">
        <v>44644</v>
      </c>
      <c r="D2672" s="1" t="s">
        <v>5826</v>
      </c>
      <c r="E2672" s="1" t="s">
        <v>1904</v>
      </c>
      <c r="F2672" s="1">
        <v>17</v>
      </c>
      <c r="G2672" s="1" t="s">
        <v>34</v>
      </c>
      <c r="H2672" s="1" t="s">
        <v>25</v>
      </c>
      <c r="I2672" s="1" t="s">
        <v>55</v>
      </c>
      <c r="J2672" s="1" t="s">
        <v>76</v>
      </c>
      <c r="K2672" s="1" t="s">
        <v>89</v>
      </c>
      <c r="L2672" s="1">
        <v>4</v>
      </c>
      <c r="M2672" s="13">
        <v>2766.72</v>
      </c>
      <c r="N2672" s="15">
        <v>0.34</v>
      </c>
      <c r="O2672" s="13">
        <v>8239.18</v>
      </c>
      <c r="P2672" s="13">
        <v>3180.32</v>
      </c>
      <c r="Q2672" s="13">
        <v>51.11</v>
      </c>
      <c r="R2672" s="1" t="s">
        <v>57</v>
      </c>
      <c r="S2672" s="1">
        <v>5</v>
      </c>
      <c r="T2672" s="1" t="b">
        <v>0</v>
      </c>
      <c r="U2672" s="1" t="s">
        <v>39</v>
      </c>
      <c r="V2672" s="3">
        <v>7</v>
      </c>
    </row>
    <row r="2673" spans="1:22" x14ac:dyDescent="0.3">
      <c r="A2673" s="2" t="s">
        <v>5827</v>
      </c>
      <c r="B2673" s="10">
        <v>45477</v>
      </c>
      <c r="C2673" s="22">
        <v>45477</v>
      </c>
      <c r="D2673" s="1" t="s">
        <v>5828</v>
      </c>
      <c r="E2673" s="1" t="s">
        <v>3322</v>
      </c>
      <c r="F2673" s="1">
        <v>40</v>
      </c>
      <c r="G2673" s="1" t="s">
        <v>68</v>
      </c>
      <c r="H2673" s="1" t="s">
        <v>82</v>
      </c>
      <c r="I2673" s="1" t="s">
        <v>244</v>
      </c>
      <c r="J2673" s="1" t="s">
        <v>27</v>
      </c>
      <c r="K2673" s="1" t="s">
        <v>97</v>
      </c>
      <c r="L2673" s="1">
        <v>3</v>
      </c>
      <c r="M2673" s="13">
        <v>316.44</v>
      </c>
      <c r="N2673" s="15">
        <v>0.33</v>
      </c>
      <c r="O2673" s="13">
        <v>1181.33</v>
      </c>
      <c r="P2673" s="13">
        <v>72.84</v>
      </c>
      <c r="Q2673" s="13">
        <v>95.3</v>
      </c>
      <c r="R2673" s="1" t="s">
        <v>29</v>
      </c>
      <c r="S2673" s="1">
        <v>3</v>
      </c>
      <c r="T2673" s="1" t="b">
        <v>0</v>
      </c>
      <c r="U2673" s="1" t="s">
        <v>39</v>
      </c>
      <c r="V2673" s="3">
        <v>1</v>
      </c>
    </row>
    <row r="2674" spans="1:22" x14ac:dyDescent="0.3">
      <c r="A2674" s="2" t="s">
        <v>5829</v>
      </c>
      <c r="B2674" s="10">
        <v>44128</v>
      </c>
      <c r="C2674" s="22">
        <v>44128</v>
      </c>
      <c r="D2674" s="1" t="s">
        <v>5830</v>
      </c>
      <c r="E2674" s="1" t="s">
        <v>824</v>
      </c>
      <c r="F2674" s="1">
        <v>36</v>
      </c>
      <c r="G2674" s="1" t="s">
        <v>68</v>
      </c>
      <c r="H2674" s="1" t="s">
        <v>111</v>
      </c>
      <c r="I2674" s="1" t="s">
        <v>121</v>
      </c>
      <c r="J2674" s="1" t="s">
        <v>27</v>
      </c>
      <c r="K2674" s="1" t="s">
        <v>97</v>
      </c>
      <c r="L2674" s="1">
        <v>5</v>
      </c>
      <c r="M2674" s="13">
        <v>425.46</v>
      </c>
      <c r="N2674" s="15">
        <v>0.08</v>
      </c>
      <c r="O2674" s="13">
        <v>1535.18</v>
      </c>
      <c r="P2674" s="13">
        <v>99.18</v>
      </c>
      <c r="Q2674" s="13">
        <v>73.11</v>
      </c>
      <c r="R2674" s="1" t="s">
        <v>78</v>
      </c>
      <c r="S2674" s="1">
        <v>5</v>
      </c>
      <c r="T2674" s="1" t="b">
        <v>0</v>
      </c>
      <c r="U2674" s="1" t="s">
        <v>39</v>
      </c>
      <c r="V2674" s="3">
        <v>9</v>
      </c>
    </row>
    <row r="2675" spans="1:22" x14ac:dyDescent="0.3">
      <c r="A2675" s="2" t="s">
        <v>5831</v>
      </c>
      <c r="B2675" s="10">
        <v>45121</v>
      </c>
      <c r="C2675" s="22">
        <v>45121</v>
      </c>
      <c r="D2675" s="1" t="s">
        <v>5832</v>
      </c>
      <c r="E2675" s="1" t="s">
        <v>3077</v>
      </c>
      <c r="F2675" s="1">
        <v>39</v>
      </c>
      <c r="G2675" s="1" t="s">
        <v>68</v>
      </c>
      <c r="H2675" s="1" t="s">
        <v>111</v>
      </c>
      <c r="I2675" s="1" t="s">
        <v>141</v>
      </c>
      <c r="J2675" s="1" t="s">
        <v>146</v>
      </c>
      <c r="K2675" s="1" t="s">
        <v>217</v>
      </c>
      <c r="L2675" s="1">
        <v>4</v>
      </c>
      <c r="M2675" s="13">
        <v>1405.49</v>
      </c>
      <c r="N2675" s="15">
        <v>0.31</v>
      </c>
      <c r="O2675" s="13">
        <v>5675.34</v>
      </c>
      <c r="P2675" s="13">
        <v>1445.6</v>
      </c>
      <c r="Q2675" s="13">
        <v>69.73</v>
      </c>
      <c r="R2675" s="1" t="s">
        <v>51</v>
      </c>
      <c r="S2675" s="1">
        <v>3</v>
      </c>
      <c r="T2675" s="1" t="b">
        <v>0</v>
      </c>
      <c r="U2675" s="1" t="s">
        <v>39</v>
      </c>
      <c r="V2675" s="3">
        <v>6</v>
      </c>
    </row>
    <row r="2676" spans="1:22" x14ac:dyDescent="0.3">
      <c r="A2676" s="2" t="s">
        <v>5833</v>
      </c>
      <c r="B2676" s="10">
        <v>44578</v>
      </c>
      <c r="C2676" s="22">
        <v>44578</v>
      </c>
      <c r="D2676" s="1" t="s">
        <v>5834</v>
      </c>
      <c r="E2676" s="1" t="s">
        <v>1099</v>
      </c>
      <c r="F2676" s="1">
        <v>38</v>
      </c>
      <c r="G2676" s="1" t="s">
        <v>68</v>
      </c>
      <c r="H2676" s="1" t="s">
        <v>111</v>
      </c>
      <c r="I2676" s="1" t="s">
        <v>330</v>
      </c>
      <c r="J2676" s="1" t="s">
        <v>44</v>
      </c>
      <c r="K2676" s="1" t="s">
        <v>50</v>
      </c>
      <c r="L2676" s="1">
        <v>9</v>
      </c>
      <c r="M2676" s="13">
        <v>18712.5</v>
      </c>
      <c r="N2676" s="15">
        <v>0.28000000000000003</v>
      </c>
      <c r="O2676" s="13">
        <v>98718.080000000002</v>
      </c>
      <c r="P2676" s="13">
        <v>31705.16</v>
      </c>
      <c r="Q2676" s="13">
        <v>69.33</v>
      </c>
      <c r="R2676" s="1" t="s">
        <v>64</v>
      </c>
      <c r="S2676" s="1">
        <v>4</v>
      </c>
      <c r="T2676" s="1" t="b">
        <v>0</v>
      </c>
      <c r="U2676" s="1" t="s">
        <v>39</v>
      </c>
      <c r="V2676" s="3">
        <v>7</v>
      </c>
    </row>
    <row r="2677" spans="1:22" x14ac:dyDescent="0.3">
      <c r="A2677" s="2" t="s">
        <v>5835</v>
      </c>
      <c r="B2677" s="10">
        <v>45181</v>
      </c>
      <c r="C2677" s="22">
        <v>45181</v>
      </c>
      <c r="D2677" s="1" t="s">
        <v>5836</v>
      </c>
      <c r="E2677" s="1" t="s">
        <v>2934</v>
      </c>
      <c r="F2677" s="1">
        <v>29</v>
      </c>
      <c r="G2677" s="1" t="s">
        <v>24</v>
      </c>
      <c r="H2677" s="1" t="s">
        <v>35</v>
      </c>
      <c r="I2677" s="1" t="s">
        <v>106</v>
      </c>
      <c r="J2677" s="1" t="s">
        <v>44</v>
      </c>
      <c r="K2677" s="1" t="s">
        <v>50</v>
      </c>
      <c r="L2677" s="1">
        <v>6</v>
      </c>
      <c r="M2677" s="13">
        <v>5060.62</v>
      </c>
      <c r="N2677" s="15">
        <v>0.26</v>
      </c>
      <c r="O2677" s="13">
        <v>28677.01</v>
      </c>
      <c r="P2677" s="13">
        <v>10234.549999999999</v>
      </c>
      <c r="Q2677" s="13">
        <v>79.73</v>
      </c>
      <c r="R2677" s="1" t="s">
        <v>64</v>
      </c>
      <c r="S2677" s="1">
        <v>3</v>
      </c>
      <c r="T2677" s="1" t="b">
        <v>1</v>
      </c>
      <c r="U2677" s="1" t="s">
        <v>30</v>
      </c>
      <c r="V2677" s="3">
        <v>8</v>
      </c>
    </row>
    <row r="2678" spans="1:22" x14ac:dyDescent="0.3">
      <c r="A2678" s="2" t="s">
        <v>5837</v>
      </c>
      <c r="B2678" s="10">
        <v>44518</v>
      </c>
      <c r="C2678" s="22">
        <v>44518</v>
      </c>
      <c r="D2678" s="1" t="s">
        <v>5838</v>
      </c>
      <c r="E2678" s="1" t="s">
        <v>185</v>
      </c>
      <c r="F2678" s="1">
        <v>44</v>
      </c>
      <c r="G2678" s="1" t="s">
        <v>68</v>
      </c>
      <c r="H2678" s="1" t="s">
        <v>35</v>
      </c>
      <c r="I2678" s="1" t="s">
        <v>43</v>
      </c>
      <c r="J2678" s="1" t="s">
        <v>44</v>
      </c>
      <c r="K2678" s="1" t="s">
        <v>50</v>
      </c>
      <c r="L2678" s="1">
        <v>1</v>
      </c>
      <c r="M2678" s="13">
        <v>3623.08</v>
      </c>
      <c r="N2678" s="15">
        <v>0.17</v>
      </c>
      <c r="O2678" s="13">
        <v>2627.42</v>
      </c>
      <c r="P2678" s="13">
        <v>856.29</v>
      </c>
      <c r="Q2678" s="13">
        <v>74.400000000000006</v>
      </c>
      <c r="R2678" s="1" t="s">
        <v>29</v>
      </c>
      <c r="S2678" s="1">
        <v>2</v>
      </c>
      <c r="T2678" s="1" t="b">
        <v>0</v>
      </c>
      <c r="U2678" s="1" t="s">
        <v>58</v>
      </c>
      <c r="V2678" s="3">
        <v>3</v>
      </c>
    </row>
    <row r="2679" spans="1:22" x14ac:dyDescent="0.3">
      <c r="A2679" s="2" t="s">
        <v>5839</v>
      </c>
      <c r="B2679" s="10">
        <v>45007</v>
      </c>
      <c r="C2679" s="22">
        <v>45007</v>
      </c>
      <c r="D2679" s="1" t="s">
        <v>5840</v>
      </c>
      <c r="E2679" s="1" t="s">
        <v>378</v>
      </c>
      <c r="F2679" s="1">
        <v>30</v>
      </c>
      <c r="G2679" s="1" t="s">
        <v>68</v>
      </c>
      <c r="H2679" s="1" t="s">
        <v>35</v>
      </c>
      <c r="I2679" s="1" t="s">
        <v>43</v>
      </c>
      <c r="J2679" s="1" t="s">
        <v>44</v>
      </c>
      <c r="K2679" s="1" t="s">
        <v>50</v>
      </c>
      <c r="L2679" s="1">
        <v>4</v>
      </c>
      <c r="M2679" s="13">
        <v>23122.77</v>
      </c>
      <c r="N2679" s="15">
        <v>0.34</v>
      </c>
      <c r="O2679" s="13">
        <v>75992.62</v>
      </c>
      <c r="P2679" s="13">
        <v>25870.080000000002</v>
      </c>
      <c r="Q2679" s="13">
        <v>83.74</v>
      </c>
      <c r="R2679" s="1" t="s">
        <v>51</v>
      </c>
      <c r="S2679" s="1">
        <v>4</v>
      </c>
      <c r="T2679" s="1" t="b">
        <v>0</v>
      </c>
      <c r="U2679" s="1" t="s">
        <v>39</v>
      </c>
      <c r="V2679" s="3">
        <v>1</v>
      </c>
    </row>
    <row r="2680" spans="1:22" x14ac:dyDescent="0.3">
      <c r="A2680" s="2" t="s">
        <v>5841</v>
      </c>
      <c r="B2680" s="10">
        <v>45422</v>
      </c>
      <c r="C2680" s="22">
        <v>45422</v>
      </c>
      <c r="D2680" s="1" t="s">
        <v>5842</v>
      </c>
      <c r="E2680" s="1" t="s">
        <v>4129</v>
      </c>
      <c r="F2680" s="1">
        <v>30</v>
      </c>
      <c r="G2680" s="1" t="s">
        <v>434</v>
      </c>
      <c r="H2680" s="1" t="s">
        <v>25</v>
      </c>
      <c r="I2680" s="1" t="s">
        <v>55</v>
      </c>
      <c r="J2680" s="1" t="s">
        <v>37</v>
      </c>
      <c r="K2680" s="1" t="s">
        <v>182</v>
      </c>
      <c r="L2680" s="1">
        <v>8</v>
      </c>
      <c r="M2680" s="13">
        <v>1253.1199999999999</v>
      </c>
      <c r="N2680" s="15">
        <v>0.3</v>
      </c>
      <c r="O2680" s="13">
        <v>11982.36</v>
      </c>
      <c r="P2680" s="13">
        <v>7180.54</v>
      </c>
      <c r="Q2680" s="13">
        <v>32.68</v>
      </c>
      <c r="R2680" s="1" t="s">
        <v>57</v>
      </c>
      <c r="S2680" s="1">
        <v>3</v>
      </c>
      <c r="T2680" s="1" t="b">
        <v>0</v>
      </c>
      <c r="U2680" s="1" t="s">
        <v>39</v>
      </c>
      <c r="V2680" s="3">
        <v>10</v>
      </c>
    </row>
    <row r="2681" spans="1:22" x14ac:dyDescent="0.3">
      <c r="A2681" s="2" t="s">
        <v>5843</v>
      </c>
      <c r="B2681" s="10">
        <v>43847</v>
      </c>
      <c r="C2681" s="22">
        <v>43847</v>
      </c>
      <c r="D2681" s="1" t="s">
        <v>5844</v>
      </c>
      <c r="E2681" s="1" t="s">
        <v>2367</v>
      </c>
      <c r="F2681" s="1">
        <v>21</v>
      </c>
      <c r="G2681" s="1" t="s">
        <v>24</v>
      </c>
      <c r="H2681" s="1" t="s">
        <v>35</v>
      </c>
      <c r="I2681" s="1" t="s">
        <v>36</v>
      </c>
      <c r="J2681" s="1" t="s">
        <v>27</v>
      </c>
      <c r="K2681" s="1" t="s">
        <v>56</v>
      </c>
      <c r="L2681" s="1">
        <v>7</v>
      </c>
      <c r="M2681" s="13">
        <v>134.49</v>
      </c>
      <c r="N2681" s="15">
        <v>0.17</v>
      </c>
      <c r="O2681" s="13">
        <v>553.96</v>
      </c>
      <c r="P2681" s="13">
        <v>54.43</v>
      </c>
      <c r="Q2681" s="13">
        <v>58.18</v>
      </c>
      <c r="R2681" s="1" t="s">
        <v>51</v>
      </c>
      <c r="S2681" s="1">
        <v>1</v>
      </c>
      <c r="T2681" s="1" t="b">
        <v>1</v>
      </c>
      <c r="U2681" s="1" t="s">
        <v>30</v>
      </c>
      <c r="V2681" s="3">
        <v>9</v>
      </c>
    </row>
    <row r="2682" spans="1:22" x14ac:dyDescent="0.3">
      <c r="A2682" s="2" t="s">
        <v>5845</v>
      </c>
      <c r="B2682" s="10">
        <v>44918</v>
      </c>
      <c r="C2682" s="22">
        <v>44918</v>
      </c>
      <c r="D2682" s="1" t="s">
        <v>5846</v>
      </c>
      <c r="E2682" s="1" t="s">
        <v>915</v>
      </c>
      <c r="F2682" s="1">
        <v>38</v>
      </c>
      <c r="G2682" s="1" t="s">
        <v>68</v>
      </c>
      <c r="H2682" s="1" t="s">
        <v>25</v>
      </c>
      <c r="I2682" s="1" t="s">
        <v>170</v>
      </c>
      <c r="J2682" s="1" t="s">
        <v>27</v>
      </c>
      <c r="K2682" s="1" t="s">
        <v>97</v>
      </c>
      <c r="L2682" s="1">
        <v>10</v>
      </c>
      <c r="M2682" s="13">
        <v>358.19</v>
      </c>
      <c r="N2682" s="15">
        <v>0.01</v>
      </c>
      <c r="O2682" s="13">
        <v>2982.6</v>
      </c>
      <c r="P2682" s="13">
        <v>268.81</v>
      </c>
      <c r="Q2682" s="13">
        <v>72.77</v>
      </c>
      <c r="R2682" s="1" t="s">
        <v>51</v>
      </c>
      <c r="S2682" s="1">
        <v>2</v>
      </c>
      <c r="T2682" s="1" t="b">
        <v>0</v>
      </c>
      <c r="U2682" s="1" t="s">
        <v>84</v>
      </c>
      <c r="V2682" s="3">
        <v>1</v>
      </c>
    </row>
    <row r="2683" spans="1:22" x14ac:dyDescent="0.3">
      <c r="A2683" s="2" t="s">
        <v>5847</v>
      </c>
      <c r="B2683" s="10">
        <v>45467</v>
      </c>
      <c r="C2683" s="22">
        <v>45467</v>
      </c>
      <c r="D2683" s="1" t="s">
        <v>5848</v>
      </c>
      <c r="E2683" s="1" t="s">
        <v>1596</v>
      </c>
      <c r="F2683" s="1">
        <v>46</v>
      </c>
      <c r="G2683" s="1" t="s">
        <v>24</v>
      </c>
      <c r="H2683" s="1" t="s">
        <v>82</v>
      </c>
      <c r="I2683" s="1" t="s">
        <v>293</v>
      </c>
      <c r="J2683" s="1" t="s">
        <v>146</v>
      </c>
      <c r="K2683" s="1" t="s">
        <v>147</v>
      </c>
      <c r="L2683" s="1">
        <v>2</v>
      </c>
      <c r="M2683" s="13">
        <v>4339.24</v>
      </c>
      <c r="N2683" s="15">
        <v>0.04</v>
      </c>
      <c r="O2683" s="13">
        <v>15428.64</v>
      </c>
      <c r="P2683" s="13">
        <v>2162.54</v>
      </c>
      <c r="Q2683" s="13">
        <v>103.91</v>
      </c>
      <c r="R2683" s="1" t="s">
        <v>70</v>
      </c>
      <c r="S2683" s="1">
        <v>5</v>
      </c>
      <c r="T2683" s="1" t="b">
        <v>0</v>
      </c>
      <c r="U2683" s="1" t="s">
        <v>39</v>
      </c>
      <c r="V2683" s="3">
        <v>2</v>
      </c>
    </row>
    <row r="2684" spans="1:22" x14ac:dyDescent="0.3">
      <c r="A2684" s="2" t="s">
        <v>5849</v>
      </c>
      <c r="B2684" s="10">
        <v>44815</v>
      </c>
      <c r="C2684" s="22">
        <v>44815</v>
      </c>
      <c r="D2684" s="1" t="s">
        <v>5850</v>
      </c>
      <c r="E2684" s="1" t="s">
        <v>1601</v>
      </c>
      <c r="F2684" s="1">
        <v>20</v>
      </c>
      <c r="G2684" s="1" t="s">
        <v>24</v>
      </c>
      <c r="H2684" s="1" t="s">
        <v>25</v>
      </c>
      <c r="I2684" s="1" t="s">
        <v>55</v>
      </c>
      <c r="J2684" s="1" t="s">
        <v>62</v>
      </c>
      <c r="K2684" s="1" t="s">
        <v>266</v>
      </c>
      <c r="L2684" s="1">
        <v>2</v>
      </c>
      <c r="M2684" s="13">
        <v>281.44</v>
      </c>
      <c r="N2684" s="15">
        <v>0.05</v>
      </c>
      <c r="O2684" s="13">
        <v>537.73</v>
      </c>
      <c r="P2684" s="13">
        <v>145.84</v>
      </c>
      <c r="Q2684" s="13">
        <v>75.48</v>
      </c>
      <c r="R2684" s="1" t="s">
        <v>64</v>
      </c>
      <c r="S2684" s="1">
        <v>2</v>
      </c>
      <c r="T2684" s="1" t="b">
        <v>0</v>
      </c>
      <c r="U2684" s="1" t="s">
        <v>39</v>
      </c>
      <c r="V2684" s="3">
        <v>3</v>
      </c>
    </row>
    <row r="2685" spans="1:22" x14ac:dyDescent="0.3">
      <c r="A2685" s="2" t="s">
        <v>5851</v>
      </c>
      <c r="B2685" s="10">
        <v>45330</v>
      </c>
      <c r="C2685" s="22">
        <v>45330</v>
      </c>
      <c r="D2685" s="1" t="s">
        <v>5852</v>
      </c>
      <c r="E2685" s="1" t="s">
        <v>4211</v>
      </c>
      <c r="F2685" s="1">
        <v>5</v>
      </c>
      <c r="G2685" s="1" t="s">
        <v>391</v>
      </c>
      <c r="H2685" s="1" t="s">
        <v>82</v>
      </c>
      <c r="I2685" s="1" t="s">
        <v>244</v>
      </c>
      <c r="J2685" s="1" t="s">
        <v>127</v>
      </c>
      <c r="K2685" s="1" t="s">
        <v>196</v>
      </c>
      <c r="L2685" s="1">
        <v>9</v>
      </c>
      <c r="M2685" s="13">
        <v>43024.67</v>
      </c>
      <c r="N2685" s="15">
        <v>0.36</v>
      </c>
      <c r="O2685" s="13">
        <v>271258.64</v>
      </c>
      <c r="P2685" s="13">
        <v>27942.75</v>
      </c>
      <c r="Q2685" s="13">
        <v>62.42</v>
      </c>
      <c r="R2685" s="1" t="s">
        <v>29</v>
      </c>
      <c r="S2685" s="1">
        <v>2</v>
      </c>
      <c r="T2685" s="1" t="b">
        <v>0</v>
      </c>
      <c r="U2685" s="1" t="s">
        <v>39</v>
      </c>
      <c r="V2685" s="3">
        <v>8</v>
      </c>
    </row>
    <row r="2686" spans="1:22" x14ac:dyDescent="0.3">
      <c r="A2686" s="2" t="s">
        <v>5853</v>
      </c>
      <c r="B2686" s="10">
        <v>45606</v>
      </c>
      <c r="C2686" s="22">
        <v>45606</v>
      </c>
      <c r="D2686" s="1" t="s">
        <v>5854</v>
      </c>
      <c r="E2686" s="1" t="s">
        <v>48</v>
      </c>
      <c r="F2686" s="1">
        <v>38</v>
      </c>
      <c r="G2686" s="1" t="s">
        <v>68</v>
      </c>
      <c r="H2686" s="1" t="s">
        <v>35</v>
      </c>
      <c r="I2686" s="1" t="s">
        <v>49</v>
      </c>
      <c r="J2686" s="1" t="s">
        <v>146</v>
      </c>
      <c r="K2686" s="1" t="s">
        <v>147</v>
      </c>
      <c r="L2686" s="1">
        <v>10</v>
      </c>
      <c r="M2686" s="13">
        <v>4613.71</v>
      </c>
      <c r="N2686" s="15">
        <v>0.17</v>
      </c>
      <c r="O2686" s="13">
        <v>37689.699999999997</v>
      </c>
      <c r="P2686" s="13">
        <v>8096.33</v>
      </c>
      <c r="Q2686" s="13">
        <v>57.21</v>
      </c>
      <c r="R2686" s="1" t="s">
        <v>70</v>
      </c>
      <c r="S2686" s="1">
        <v>1</v>
      </c>
      <c r="T2686" s="1" t="b">
        <v>0</v>
      </c>
      <c r="U2686" s="1" t="s">
        <v>39</v>
      </c>
      <c r="V2686" s="3">
        <v>8</v>
      </c>
    </row>
    <row r="2687" spans="1:22" x14ac:dyDescent="0.3">
      <c r="A2687" s="2" t="s">
        <v>5855</v>
      </c>
      <c r="B2687" s="10">
        <v>44625</v>
      </c>
      <c r="C2687" s="22">
        <v>44625</v>
      </c>
      <c r="D2687" s="1" t="s">
        <v>5856</v>
      </c>
      <c r="E2687" s="1" t="s">
        <v>665</v>
      </c>
      <c r="F2687" s="1">
        <v>44</v>
      </c>
      <c r="G2687" s="1" t="s">
        <v>68</v>
      </c>
      <c r="H2687" s="1" t="s">
        <v>35</v>
      </c>
      <c r="I2687" s="1" t="s">
        <v>36</v>
      </c>
      <c r="J2687" s="1" t="s">
        <v>44</v>
      </c>
      <c r="K2687" s="1" t="s">
        <v>93</v>
      </c>
      <c r="L2687" s="1">
        <v>10</v>
      </c>
      <c r="M2687" s="13">
        <v>30639.279999999999</v>
      </c>
      <c r="N2687" s="15">
        <v>0.33</v>
      </c>
      <c r="O2687" s="13">
        <v>251539.23</v>
      </c>
      <c r="P2687" s="13">
        <v>67740.72</v>
      </c>
      <c r="Q2687" s="13">
        <v>51.84</v>
      </c>
      <c r="R2687" s="1" t="s">
        <v>78</v>
      </c>
      <c r="S2687" s="1">
        <v>1</v>
      </c>
      <c r="T2687" s="1" t="b">
        <v>0</v>
      </c>
      <c r="U2687" s="1" t="s">
        <v>39</v>
      </c>
      <c r="V2687" s="3">
        <v>4</v>
      </c>
    </row>
    <row r="2688" spans="1:22" x14ac:dyDescent="0.3">
      <c r="A2688" s="2" t="s">
        <v>5857</v>
      </c>
      <c r="B2688" s="10">
        <v>44604</v>
      </c>
      <c r="C2688" s="22">
        <v>44604</v>
      </c>
      <c r="D2688" s="1" t="s">
        <v>5858</v>
      </c>
      <c r="E2688" s="1" t="s">
        <v>1319</v>
      </c>
      <c r="F2688" s="1">
        <v>42</v>
      </c>
      <c r="G2688" s="1" t="s">
        <v>24</v>
      </c>
      <c r="H2688" s="1" t="s">
        <v>74</v>
      </c>
      <c r="I2688" s="1" t="s">
        <v>75</v>
      </c>
      <c r="J2688" s="1" t="s">
        <v>146</v>
      </c>
      <c r="K2688" s="1" t="s">
        <v>217</v>
      </c>
      <c r="L2688" s="1">
        <v>8</v>
      </c>
      <c r="M2688" s="13">
        <v>3604.43</v>
      </c>
      <c r="N2688" s="15">
        <v>0.14000000000000001</v>
      </c>
      <c r="O2688" s="13">
        <v>22742.31</v>
      </c>
      <c r="P2688" s="13">
        <v>5019.1099999999997</v>
      </c>
      <c r="Q2688" s="13">
        <v>45.29</v>
      </c>
      <c r="R2688" s="1" t="s">
        <v>64</v>
      </c>
      <c r="S2688" s="1">
        <v>3</v>
      </c>
      <c r="T2688" s="1" t="b">
        <v>0</v>
      </c>
      <c r="U2688" s="1" t="s">
        <v>39</v>
      </c>
      <c r="V2688" s="3">
        <v>1</v>
      </c>
    </row>
    <row r="2689" spans="1:22" x14ac:dyDescent="0.3">
      <c r="A2689" s="2" t="s">
        <v>5859</v>
      </c>
      <c r="B2689" s="10">
        <v>45564</v>
      </c>
      <c r="C2689" s="22">
        <v>45564</v>
      </c>
      <c r="D2689" s="1" t="s">
        <v>5860</v>
      </c>
      <c r="E2689" s="1" t="s">
        <v>298</v>
      </c>
      <c r="F2689" s="1">
        <v>6</v>
      </c>
      <c r="G2689" s="1" t="s">
        <v>24</v>
      </c>
      <c r="H2689" s="1" t="s">
        <v>25</v>
      </c>
      <c r="I2689" s="1" t="s">
        <v>55</v>
      </c>
      <c r="J2689" s="1" t="s">
        <v>146</v>
      </c>
      <c r="K2689" s="1" t="s">
        <v>217</v>
      </c>
      <c r="L2689" s="1">
        <v>2</v>
      </c>
      <c r="M2689" s="13">
        <v>14686.72</v>
      </c>
      <c r="N2689" s="15">
        <v>0.25</v>
      </c>
      <c r="O2689" s="13">
        <v>30972.880000000001</v>
      </c>
      <c r="P2689" s="13">
        <v>7672.73</v>
      </c>
      <c r="Q2689" s="13">
        <v>59.7</v>
      </c>
      <c r="R2689" s="1" t="s">
        <v>57</v>
      </c>
      <c r="S2689" s="1">
        <v>2</v>
      </c>
      <c r="T2689" s="1" t="b">
        <v>0</v>
      </c>
      <c r="U2689" s="1" t="s">
        <v>39</v>
      </c>
      <c r="V2689" s="3">
        <v>8</v>
      </c>
    </row>
    <row r="2690" spans="1:22" x14ac:dyDescent="0.3">
      <c r="A2690" s="2" t="s">
        <v>5861</v>
      </c>
      <c r="B2690" s="10">
        <v>44812</v>
      </c>
      <c r="C2690" s="22">
        <v>44812</v>
      </c>
      <c r="D2690" s="1" t="s">
        <v>5862</v>
      </c>
      <c r="E2690" s="1" t="s">
        <v>1586</v>
      </c>
      <c r="F2690" s="1">
        <v>46</v>
      </c>
      <c r="G2690" s="1" t="s">
        <v>68</v>
      </c>
      <c r="H2690" s="1" t="s">
        <v>35</v>
      </c>
      <c r="I2690" s="1" t="s">
        <v>36</v>
      </c>
      <c r="J2690" s="1" t="s">
        <v>76</v>
      </c>
      <c r="K2690" s="1" t="s">
        <v>77</v>
      </c>
      <c r="L2690" s="1">
        <v>2</v>
      </c>
      <c r="M2690" s="13">
        <v>3788.19</v>
      </c>
      <c r="N2690" s="15">
        <v>0.21</v>
      </c>
      <c r="O2690" s="13">
        <v>8490.2099999999991</v>
      </c>
      <c r="P2690" s="13">
        <v>2213.1</v>
      </c>
      <c r="Q2690" s="13">
        <v>65.7</v>
      </c>
      <c r="R2690" s="1" t="s">
        <v>57</v>
      </c>
      <c r="S2690" s="1">
        <v>3</v>
      </c>
      <c r="T2690" s="1" t="b">
        <v>0</v>
      </c>
      <c r="U2690" s="1" t="s">
        <v>58</v>
      </c>
      <c r="V2690" s="3">
        <v>8</v>
      </c>
    </row>
    <row r="2691" spans="1:22" x14ac:dyDescent="0.3">
      <c r="A2691" s="2" t="s">
        <v>5863</v>
      </c>
      <c r="B2691" s="10">
        <v>44470</v>
      </c>
      <c r="C2691" s="22">
        <v>44470</v>
      </c>
      <c r="D2691" s="1" t="s">
        <v>5864</v>
      </c>
      <c r="E2691" s="1" t="s">
        <v>716</v>
      </c>
      <c r="F2691" s="1">
        <v>8</v>
      </c>
      <c r="G2691" s="1" t="s">
        <v>34</v>
      </c>
      <c r="H2691" s="1" t="s">
        <v>35</v>
      </c>
      <c r="I2691" s="1" t="s">
        <v>49</v>
      </c>
      <c r="J2691" s="1" t="s">
        <v>146</v>
      </c>
      <c r="K2691" s="1" t="s">
        <v>161</v>
      </c>
      <c r="L2691" s="1">
        <v>9</v>
      </c>
      <c r="M2691" s="13">
        <v>14766.84</v>
      </c>
      <c r="N2691" s="15">
        <v>0.35</v>
      </c>
      <c r="O2691" s="13">
        <v>79036.67</v>
      </c>
      <c r="P2691" s="13">
        <v>16949.03</v>
      </c>
      <c r="Q2691" s="13">
        <v>34.32</v>
      </c>
      <c r="R2691" s="1" t="s">
        <v>78</v>
      </c>
      <c r="S2691" s="1">
        <v>5</v>
      </c>
      <c r="T2691" s="1" t="b">
        <v>0</v>
      </c>
      <c r="U2691" s="1" t="s">
        <v>39</v>
      </c>
      <c r="V2691" s="3">
        <v>10</v>
      </c>
    </row>
    <row r="2692" spans="1:22" x14ac:dyDescent="0.3">
      <c r="A2692" s="2" t="s">
        <v>5865</v>
      </c>
      <c r="B2692" s="10">
        <v>44523</v>
      </c>
      <c r="C2692" s="22">
        <v>44523</v>
      </c>
      <c r="D2692" s="1" t="s">
        <v>5866</v>
      </c>
      <c r="E2692" s="1" t="s">
        <v>616</v>
      </c>
      <c r="F2692" s="1">
        <v>39</v>
      </c>
      <c r="G2692" s="1" t="s">
        <v>68</v>
      </c>
      <c r="H2692" s="1" t="s">
        <v>25</v>
      </c>
      <c r="I2692" s="1" t="s">
        <v>170</v>
      </c>
      <c r="J2692" s="1" t="s">
        <v>44</v>
      </c>
      <c r="K2692" s="1" t="s">
        <v>93</v>
      </c>
      <c r="L2692" s="1">
        <v>8</v>
      </c>
      <c r="M2692" s="13">
        <v>29381.66</v>
      </c>
      <c r="N2692" s="15">
        <v>0.22</v>
      </c>
      <c r="O2692" s="13">
        <v>157614.57999999999</v>
      </c>
      <c r="P2692" s="13">
        <v>32492.98</v>
      </c>
      <c r="Q2692" s="13">
        <v>48.89</v>
      </c>
      <c r="R2692" s="1" t="s">
        <v>78</v>
      </c>
      <c r="S2692" s="1">
        <v>1</v>
      </c>
      <c r="T2692" s="1" t="b">
        <v>0</v>
      </c>
      <c r="U2692" s="1" t="s">
        <v>39</v>
      </c>
      <c r="V2692" s="3">
        <v>3</v>
      </c>
    </row>
    <row r="2693" spans="1:22" x14ac:dyDescent="0.3">
      <c r="A2693" s="2" t="s">
        <v>5867</v>
      </c>
      <c r="B2693" s="10">
        <v>44933</v>
      </c>
      <c r="C2693" s="22">
        <v>44933</v>
      </c>
      <c r="D2693" s="1" t="s">
        <v>5868</v>
      </c>
      <c r="E2693" s="1" t="s">
        <v>272</v>
      </c>
      <c r="F2693" s="1">
        <v>32</v>
      </c>
      <c r="G2693" s="1" t="s">
        <v>434</v>
      </c>
      <c r="H2693" s="1" t="s">
        <v>111</v>
      </c>
      <c r="I2693" s="1" t="s">
        <v>121</v>
      </c>
      <c r="J2693" s="1" t="s">
        <v>27</v>
      </c>
      <c r="K2693" s="1" t="s">
        <v>28</v>
      </c>
      <c r="L2693" s="1">
        <v>9</v>
      </c>
      <c r="M2693" s="13">
        <v>314.07</v>
      </c>
      <c r="N2693" s="15">
        <v>0.33</v>
      </c>
      <c r="O2693" s="13">
        <v>1512.76</v>
      </c>
      <c r="P2693" s="13">
        <v>125.71</v>
      </c>
      <c r="Q2693" s="13">
        <v>61.79</v>
      </c>
      <c r="R2693" s="1" t="s">
        <v>78</v>
      </c>
      <c r="S2693" s="1">
        <v>1</v>
      </c>
      <c r="T2693" s="1" t="b">
        <v>0</v>
      </c>
      <c r="U2693" s="1" t="s">
        <v>39</v>
      </c>
      <c r="V2693" s="3">
        <v>2</v>
      </c>
    </row>
    <row r="2694" spans="1:22" x14ac:dyDescent="0.3">
      <c r="A2694" s="2" t="s">
        <v>5869</v>
      </c>
      <c r="B2694" s="10">
        <v>44852</v>
      </c>
      <c r="C2694" s="22">
        <v>44852</v>
      </c>
      <c r="D2694" s="1" t="s">
        <v>5870</v>
      </c>
      <c r="E2694" s="1" t="s">
        <v>641</v>
      </c>
      <c r="F2694" s="1">
        <v>40</v>
      </c>
      <c r="G2694" s="1" t="s">
        <v>34</v>
      </c>
      <c r="H2694" s="1" t="s">
        <v>111</v>
      </c>
      <c r="I2694" s="1" t="s">
        <v>330</v>
      </c>
      <c r="J2694" s="1" t="s">
        <v>27</v>
      </c>
      <c r="K2694" s="1" t="s">
        <v>56</v>
      </c>
      <c r="L2694" s="1">
        <v>1</v>
      </c>
      <c r="M2694" s="13">
        <v>480.83</v>
      </c>
      <c r="N2694" s="15">
        <v>0.03</v>
      </c>
      <c r="O2694" s="13">
        <v>413.43</v>
      </c>
      <c r="P2694" s="13">
        <v>28.39</v>
      </c>
      <c r="Q2694" s="13">
        <v>66.81</v>
      </c>
      <c r="R2694" s="1" t="s">
        <v>51</v>
      </c>
      <c r="S2694" s="1">
        <v>2</v>
      </c>
      <c r="T2694" s="1" t="b">
        <v>1</v>
      </c>
      <c r="U2694" s="1" t="s">
        <v>30</v>
      </c>
      <c r="V2694" s="3">
        <v>10</v>
      </c>
    </row>
    <row r="2695" spans="1:22" x14ac:dyDescent="0.3">
      <c r="A2695" s="2" t="s">
        <v>5871</v>
      </c>
      <c r="B2695" s="10">
        <v>45652</v>
      </c>
      <c r="C2695" s="22">
        <v>45652</v>
      </c>
      <c r="D2695" s="1" t="s">
        <v>5872</v>
      </c>
      <c r="E2695" s="1" t="s">
        <v>711</v>
      </c>
      <c r="F2695" s="1">
        <v>34</v>
      </c>
      <c r="G2695" s="1" t="s">
        <v>24</v>
      </c>
      <c r="H2695" s="1" t="s">
        <v>25</v>
      </c>
      <c r="I2695" s="1" t="s">
        <v>69</v>
      </c>
      <c r="J2695" s="1" t="s">
        <v>44</v>
      </c>
      <c r="K2695" s="1" t="s">
        <v>117</v>
      </c>
      <c r="L2695" s="1">
        <v>10</v>
      </c>
      <c r="M2695" s="13">
        <v>21965.61</v>
      </c>
      <c r="N2695" s="15">
        <v>0.25</v>
      </c>
      <c r="O2695" s="13">
        <v>142471.67999999999</v>
      </c>
      <c r="P2695" s="13">
        <v>51299.09</v>
      </c>
      <c r="Q2695" s="13">
        <v>54.26</v>
      </c>
      <c r="R2695" s="1" t="s">
        <v>57</v>
      </c>
      <c r="S2695" s="1">
        <v>1</v>
      </c>
      <c r="T2695" s="1" t="b">
        <v>1</v>
      </c>
      <c r="U2695" s="1" t="s">
        <v>30</v>
      </c>
      <c r="V2695" s="3">
        <v>10</v>
      </c>
    </row>
    <row r="2696" spans="1:22" x14ac:dyDescent="0.3">
      <c r="A2696" s="2" t="s">
        <v>5873</v>
      </c>
      <c r="B2696" s="10">
        <v>44286</v>
      </c>
      <c r="C2696" s="22">
        <v>44286</v>
      </c>
      <c r="D2696" s="1" t="s">
        <v>5874</v>
      </c>
      <c r="E2696" s="1" t="s">
        <v>915</v>
      </c>
      <c r="F2696" s="1">
        <v>67</v>
      </c>
      <c r="G2696" s="1" t="s">
        <v>34</v>
      </c>
      <c r="H2696" s="1" t="s">
        <v>25</v>
      </c>
      <c r="I2696" s="1" t="s">
        <v>26</v>
      </c>
      <c r="J2696" s="1" t="s">
        <v>27</v>
      </c>
      <c r="K2696" s="1" t="s">
        <v>97</v>
      </c>
      <c r="L2696" s="1">
        <v>3</v>
      </c>
      <c r="M2696" s="13">
        <v>205.29</v>
      </c>
      <c r="N2696" s="15">
        <v>0</v>
      </c>
      <c r="O2696" s="13">
        <v>664.78</v>
      </c>
      <c r="P2696" s="13">
        <v>44.95</v>
      </c>
      <c r="Q2696" s="13">
        <v>36.409999999999997</v>
      </c>
      <c r="R2696" s="1" t="s">
        <v>57</v>
      </c>
      <c r="S2696" s="1">
        <v>1</v>
      </c>
      <c r="T2696" s="1" t="b">
        <v>0</v>
      </c>
      <c r="U2696" s="1" t="s">
        <v>39</v>
      </c>
      <c r="V2696" s="3">
        <v>6</v>
      </c>
    </row>
    <row r="2697" spans="1:22" x14ac:dyDescent="0.3">
      <c r="A2697" s="2" t="s">
        <v>5875</v>
      </c>
      <c r="B2697" s="10">
        <v>45572</v>
      </c>
      <c r="C2697" s="22">
        <v>45572</v>
      </c>
      <c r="D2697" s="1" t="s">
        <v>5876</v>
      </c>
      <c r="E2697" s="1" t="s">
        <v>1519</v>
      </c>
      <c r="F2697" s="1">
        <v>43</v>
      </c>
      <c r="G2697" s="1" t="s">
        <v>24</v>
      </c>
      <c r="H2697" s="1" t="s">
        <v>111</v>
      </c>
      <c r="I2697" s="1" t="s">
        <v>330</v>
      </c>
      <c r="J2697" s="1" t="s">
        <v>62</v>
      </c>
      <c r="K2697" s="1" t="s">
        <v>63</v>
      </c>
      <c r="L2697" s="1">
        <v>7</v>
      </c>
      <c r="M2697" s="13">
        <v>1255.05</v>
      </c>
      <c r="N2697" s="15">
        <v>0.06</v>
      </c>
      <c r="O2697" s="13">
        <v>10208.81</v>
      </c>
      <c r="P2697" s="13">
        <v>4389.6099999999997</v>
      </c>
      <c r="Q2697" s="13">
        <v>46.86</v>
      </c>
      <c r="R2697" s="1" t="s">
        <v>29</v>
      </c>
      <c r="S2697" s="1">
        <v>5</v>
      </c>
      <c r="T2697" s="1" t="b">
        <v>0</v>
      </c>
      <c r="U2697" s="1" t="s">
        <v>84</v>
      </c>
      <c r="V2697" s="3">
        <v>10</v>
      </c>
    </row>
    <row r="2698" spans="1:22" x14ac:dyDescent="0.3">
      <c r="A2698" s="2" t="s">
        <v>5877</v>
      </c>
      <c r="B2698" s="10">
        <v>44914</v>
      </c>
      <c r="C2698" s="22">
        <v>44914</v>
      </c>
      <c r="D2698" s="1" t="s">
        <v>5878</v>
      </c>
      <c r="E2698" s="1" t="s">
        <v>1761</v>
      </c>
      <c r="F2698" s="1">
        <v>27</v>
      </c>
      <c r="G2698" s="1" t="s">
        <v>34</v>
      </c>
      <c r="H2698" s="1" t="s">
        <v>74</v>
      </c>
      <c r="I2698" s="1" t="s">
        <v>192</v>
      </c>
      <c r="J2698" s="1" t="s">
        <v>127</v>
      </c>
      <c r="K2698" s="1" t="s">
        <v>128</v>
      </c>
      <c r="L2698" s="1">
        <v>9</v>
      </c>
      <c r="M2698" s="13">
        <v>35439.71</v>
      </c>
      <c r="N2698" s="15">
        <v>0.1</v>
      </c>
      <c r="O2698" s="13">
        <v>264067.45</v>
      </c>
      <c r="P2698" s="13">
        <v>27911.46</v>
      </c>
      <c r="Q2698" s="13">
        <v>45.64</v>
      </c>
      <c r="R2698" s="1" t="s">
        <v>57</v>
      </c>
      <c r="S2698" s="1">
        <v>5</v>
      </c>
      <c r="T2698" s="1" t="b">
        <v>0</v>
      </c>
      <c r="U2698" s="1" t="s">
        <v>137</v>
      </c>
      <c r="V2698" s="3">
        <v>6</v>
      </c>
    </row>
    <row r="2699" spans="1:22" x14ac:dyDescent="0.3">
      <c r="A2699" s="2" t="s">
        <v>5879</v>
      </c>
      <c r="B2699" s="10">
        <v>44646</v>
      </c>
      <c r="C2699" s="22">
        <v>44646</v>
      </c>
      <c r="D2699" s="1" t="s">
        <v>5880</v>
      </c>
      <c r="E2699" s="1" t="s">
        <v>616</v>
      </c>
      <c r="F2699" s="1">
        <v>29</v>
      </c>
      <c r="G2699" s="1" t="s">
        <v>463</v>
      </c>
      <c r="H2699" s="1" t="s">
        <v>82</v>
      </c>
      <c r="I2699" s="1" t="s">
        <v>126</v>
      </c>
      <c r="J2699" s="1" t="s">
        <v>44</v>
      </c>
      <c r="K2699" s="1" t="s">
        <v>50</v>
      </c>
      <c r="L2699" s="1">
        <v>2</v>
      </c>
      <c r="M2699" s="13">
        <v>7344.48</v>
      </c>
      <c r="N2699" s="15">
        <v>0.18</v>
      </c>
      <c r="O2699" s="13">
        <v>14733.39</v>
      </c>
      <c r="P2699" s="13">
        <v>4347.3100000000004</v>
      </c>
      <c r="Q2699" s="13">
        <v>74.59</v>
      </c>
      <c r="R2699" s="1" t="s">
        <v>64</v>
      </c>
      <c r="S2699" s="1">
        <v>5</v>
      </c>
      <c r="T2699" s="1" t="b">
        <v>0</v>
      </c>
      <c r="U2699" s="1" t="s">
        <v>39</v>
      </c>
      <c r="V2699" s="3">
        <v>4</v>
      </c>
    </row>
    <row r="2700" spans="1:22" x14ac:dyDescent="0.3">
      <c r="A2700" s="2" t="s">
        <v>5881</v>
      </c>
      <c r="B2700" s="10">
        <v>45477</v>
      </c>
      <c r="C2700" s="22">
        <v>45477</v>
      </c>
      <c r="D2700" s="1" t="s">
        <v>5882</v>
      </c>
      <c r="E2700" s="1" t="s">
        <v>773</v>
      </c>
      <c r="F2700" s="1">
        <v>36</v>
      </c>
      <c r="G2700" s="1" t="s">
        <v>24</v>
      </c>
      <c r="H2700" s="1" t="s">
        <v>35</v>
      </c>
      <c r="I2700" s="1" t="s">
        <v>106</v>
      </c>
      <c r="J2700" s="1" t="s">
        <v>76</v>
      </c>
      <c r="K2700" s="1" t="s">
        <v>132</v>
      </c>
      <c r="L2700" s="1">
        <v>6</v>
      </c>
      <c r="M2700" s="13">
        <v>3443.27</v>
      </c>
      <c r="N2700" s="15">
        <v>0.34</v>
      </c>
      <c r="O2700" s="13">
        <v>23314.01</v>
      </c>
      <c r="P2700" s="13">
        <v>6106.27</v>
      </c>
      <c r="Q2700" s="13">
        <v>43.69</v>
      </c>
      <c r="R2700" s="1" t="s">
        <v>51</v>
      </c>
      <c r="S2700" s="1">
        <v>3</v>
      </c>
      <c r="T2700" s="1" t="b">
        <v>0</v>
      </c>
      <c r="U2700" s="1" t="s">
        <v>39</v>
      </c>
      <c r="V2700" s="3">
        <v>4</v>
      </c>
    </row>
    <row r="2701" spans="1:22" x14ac:dyDescent="0.3">
      <c r="A2701" s="2" t="s">
        <v>5883</v>
      </c>
      <c r="B2701" s="10">
        <v>45509</v>
      </c>
      <c r="C2701" s="22">
        <v>45509</v>
      </c>
      <c r="D2701" s="1" t="s">
        <v>5884</v>
      </c>
      <c r="E2701" s="1" t="s">
        <v>644</v>
      </c>
      <c r="F2701" s="1">
        <v>17</v>
      </c>
      <c r="G2701" s="1" t="s">
        <v>34</v>
      </c>
      <c r="H2701" s="1" t="s">
        <v>82</v>
      </c>
      <c r="I2701" s="1" t="s">
        <v>293</v>
      </c>
      <c r="J2701" s="1" t="s">
        <v>37</v>
      </c>
      <c r="K2701" s="1" t="s">
        <v>182</v>
      </c>
      <c r="L2701" s="1">
        <v>3</v>
      </c>
      <c r="M2701" s="13">
        <v>1163.57</v>
      </c>
      <c r="N2701" s="15">
        <v>0.3</v>
      </c>
      <c r="O2701" s="13">
        <v>3576.96</v>
      </c>
      <c r="P2701" s="13">
        <v>1296.23</v>
      </c>
      <c r="Q2701" s="13">
        <v>79.7</v>
      </c>
      <c r="R2701" s="1" t="s">
        <v>70</v>
      </c>
      <c r="S2701" s="1">
        <v>1</v>
      </c>
      <c r="T2701" s="1" t="b">
        <v>0</v>
      </c>
      <c r="U2701" s="1" t="s">
        <v>39</v>
      </c>
      <c r="V2701" s="3">
        <v>7</v>
      </c>
    </row>
    <row r="2702" spans="1:22" x14ac:dyDescent="0.3">
      <c r="A2702" s="2" t="s">
        <v>5885</v>
      </c>
      <c r="B2702" s="10">
        <v>45225</v>
      </c>
      <c r="C2702" s="22">
        <v>45225</v>
      </c>
      <c r="D2702" s="1" t="s">
        <v>5886</v>
      </c>
      <c r="E2702" s="1" t="s">
        <v>994</v>
      </c>
      <c r="F2702" s="1">
        <v>30</v>
      </c>
      <c r="G2702" s="1" t="s">
        <v>68</v>
      </c>
      <c r="H2702" s="1" t="s">
        <v>35</v>
      </c>
      <c r="I2702" s="1" t="s">
        <v>36</v>
      </c>
      <c r="J2702" s="1" t="s">
        <v>76</v>
      </c>
      <c r="K2702" s="1" t="s">
        <v>77</v>
      </c>
      <c r="L2702" s="1">
        <v>8</v>
      </c>
      <c r="M2702" s="13">
        <v>763.91</v>
      </c>
      <c r="N2702" s="15">
        <v>0.37</v>
      </c>
      <c r="O2702" s="13">
        <v>4285.91</v>
      </c>
      <c r="P2702" s="13">
        <v>1673.43</v>
      </c>
      <c r="Q2702" s="13">
        <v>53.43</v>
      </c>
      <c r="R2702" s="1" t="s">
        <v>78</v>
      </c>
      <c r="S2702" s="1">
        <v>3</v>
      </c>
      <c r="T2702" s="1" t="b">
        <v>0</v>
      </c>
      <c r="U2702" s="1" t="s">
        <v>39</v>
      </c>
      <c r="V2702" s="3">
        <v>6</v>
      </c>
    </row>
    <row r="2703" spans="1:22" x14ac:dyDescent="0.3">
      <c r="A2703" s="2" t="s">
        <v>5887</v>
      </c>
      <c r="B2703" s="10">
        <v>44730</v>
      </c>
      <c r="C2703" s="22">
        <v>44730</v>
      </c>
      <c r="D2703" s="1" t="s">
        <v>5888</v>
      </c>
      <c r="E2703" s="1" t="s">
        <v>250</v>
      </c>
      <c r="F2703" s="1">
        <v>49</v>
      </c>
      <c r="G2703" s="1" t="s">
        <v>24</v>
      </c>
      <c r="H2703" s="1" t="s">
        <v>111</v>
      </c>
      <c r="I2703" s="1" t="s">
        <v>330</v>
      </c>
      <c r="J2703" s="1" t="s">
        <v>146</v>
      </c>
      <c r="K2703" s="1" t="s">
        <v>276</v>
      </c>
      <c r="L2703" s="1">
        <v>1</v>
      </c>
      <c r="M2703" s="13">
        <v>3118.43</v>
      </c>
      <c r="N2703" s="15">
        <v>0.23</v>
      </c>
      <c r="O2703" s="13">
        <v>3847.49</v>
      </c>
      <c r="P2703" s="13">
        <v>1157.76</v>
      </c>
      <c r="Q2703" s="13">
        <v>70.540000000000006</v>
      </c>
      <c r="R2703" s="1" t="s">
        <v>70</v>
      </c>
      <c r="S2703" s="1">
        <v>4</v>
      </c>
      <c r="T2703" s="1" t="b">
        <v>0</v>
      </c>
      <c r="U2703" s="1" t="s">
        <v>39</v>
      </c>
      <c r="V2703" s="3">
        <v>3</v>
      </c>
    </row>
    <row r="2704" spans="1:22" x14ac:dyDescent="0.3">
      <c r="A2704" s="2" t="s">
        <v>5889</v>
      </c>
      <c r="B2704" s="10">
        <v>44363</v>
      </c>
      <c r="C2704" s="22">
        <v>44363</v>
      </c>
      <c r="D2704" s="1" t="s">
        <v>5890</v>
      </c>
      <c r="E2704" s="1" t="s">
        <v>1229</v>
      </c>
      <c r="F2704" s="1">
        <v>31</v>
      </c>
      <c r="G2704" s="1" t="s">
        <v>68</v>
      </c>
      <c r="H2704" s="1" t="s">
        <v>82</v>
      </c>
      <c r="I2704" s="1" t="s">
        <v>83</v>
      </c>
      <c r="J2704" s="1" t="s">
        <v>62</v>
      </c>
      <c r="K2704" s="1" t="s">
        <v>570</v>
      </c>
      <c r="L2704" s="1">
        <v>8</v>
      </c>
      <c r="M2704" s="13">
        <v>1312.46</v>
      </c>
      <c r="N2704" s="15">
        <v>7.0000000000000007E-2</v>
      </c>
      <c r="O2704" s="13">
        <v>15181.53</v>
      </c>
      <c r="P2704" s="13">
        <v>6179.92</v>
      </c>
      <c r="Q2704" s="13">
        <v>55.66</v>
      </c>
      <c r="R2704" s="1" t="s">
        <v>51</v>
      </c>
      <c r="S2704" s="1">
        <v>3</v>
      </c>
      <c r="T2704" s="1" t="b">
        <v>0</v>
      </c>
      <c r="U2704" s="1" t="s">
        <v>197</v>
      </c>
      <c r="V2704" s="3">
        <v>7</v>
      </c>
    </row>
    <row r="2705" spans="1:22" x14ac:dyDescent="0.3">
      <c r="A2705" s="2" t="s">
        <v>5891</v>
      </c>
      <c r="B2705" s="10">
        <v>43987</v>
      </c>
      <c r="C2705" s="22">
        <v>43987</v>
      </c>
      <c r="D2705" s="1" t="s">
        <v>5892</v>
      </c>
      <c r="E2705" s="1" t="s">
        <v>499</v>
      </c>
      <c r="F2705" s="1">
        <v>34</v>
      </c>
      <c r="G2705" s="1" t="s">
        <v>34</v>
      </c>
      <c r="H2705" s="1" t="s">
        <v>111</v>
      </c>
      <c r="I2705" s="1" t="s">
        <v>121</v>
      </c>
      <c r="J2705" s="1" t="s">
        <v>62</v>
      </c>
      <c r="K2705" s="1" t="s">
        <v>63</v>
      </c>
      <c r="L2705" s="1">
        <v>8</v>
      </c>
      <c r="M2705" s="13">
        <v>1191.17</v>
      </c>
      <c r="N2705" s="15">
        <v>0.39</v>
      </c>
      <c r="O2705" s="13">
        <v>7944.27</v>
      </c>
      <c r="P2705" s="13">
        <v>3452.54</v>
      </c>
      <c r="Q2705" s="13">
        <v>91.97</v>
      </c>
      <c r="R2705" s="1" t="s">
        <v>57</v>
      </c>
      <c r="S2705" s="1">
        <v>5</v>
      </c>
      <c r="T2705" s="1" t="b">
        <v>0</v>
      </c>
      <c r="U2705" s="1" t="s">
        <v>137</v>
      </c>
      <c r="V2705" s="3">
        <v>2</v>
      </c>
    </row>
    <row r="2706" spans="1:22" x14ac:dyDescent="0.3">
      <c r="A2706" s="2" t="s">
        <v>5893</v>
      </c>
      <c r="B2706" s="10">
        <v>44680</v>
      </c>
      <c r="C2706" s="22">
        <v>44680</v>
      </c>
      <c r="D2706" s="1" t="s">
        <v>5894</v>
      </c>
      <c r="E2706" s="1" t="s">
        <v>1173</v>
      </c>
      <c r="F2706" s="1">
        <v>16</v>
      </c>
      <c r="G2706" s="1" t="s">
        <v>34</v>
      </c>
      <c r="H2706" s="1" t="s">
        <v>82</v>
      </c>
      <c r="I2706" s="1" t="s">
        <v>293</v>
      </c>
      <c r="J2706" s="1" t="s">
        <v>62</v>
      </c>
      <c r="K2706" s="1" t="s">
        <v>283</v>
      </c>
      <c r="L2706" s="1">
        <v>7</v>
      </c>
      <c r="M2706" s="13">
        <v>331.77</v>
      </c>
      <c r="N2706" s="15">
        <v>0.38</v>
      </c>
      <c r="O2706" s="13">
        <v>1662.51</v>
      </c>
      <c r="P2706" s="13">
        <v>587.87</v>
      </c>
      <c r="Q2706" s="13">
        <v>93.29</v>
      </c>
      <c r="R2706" s="1" t="s">
        <v>70</v>
      </c>
      <c r="S2706" s="1">
        <v>3</v>
      </c>
      <c r="T2706" s="1" t="b">
        <v>0</v>
      </c>
      <c r="U2706" s="1" t="s">
        <v>39</v>
      </c>
      <c r="V2706" s="3">
        <v>2</v>
      </c>
    </row>
    <row r="2707" spans="1:22" x14ac:dyDescent="0.3">
      <c r="A2707" s="2" t="s">
        <v>5895</v>
      </c>
      <c r="B2707" s="10">
        <v>45613</v>
      </c>
      <c r="C2707" s="22">
        <v>45613</v>
      </c>
      <c r="D2707" s="1" t="s">
        <v>5896</v>
      </c>
      <c r="E2707" s="1" t="s">
        <v>1541</v>
      </c>
      <c r="F2707" s="1">
        <v>33</v>
      </c>
      <c r="G2707" s="1" t="s">
        <v>24</v>
      </c>
      <c r="H2707" s="1" t="s">
        <v>82</v>
      </c>
      <c r="I2707" s="1" t="s">
        <v>83</v>
      </c>
      <c r="J2707" s="1" t="s">
        <v>146</v>
      </c>
      <c r="K2707" s="1" t="s">
        <v>217</v>
      </c>
      <c r="L2707" s="1">
        <v>8</v>
      </c>
      <c r="M2707" s="13">
        <v>10030.91</v>
      </c>
      <c r="N2707" s="15">
        <v>0.02</v>
      </c>
      <c r="O2707" s="13">
        <v>67222.600000000006</v>
      </c>
      <c r="P2707" s="13">
        <v>15466.13</v>
      </c>
      <c r="Q2707" s="13">
        <v>100.02</v>
      </c>
      <c r="R2707" s="1" t="s">
        <v>51</v>
      </c>
      <c r="S2707" s="1">
        <v>3</v>
      </c>
      <c r="T2707" s="1" t="b">
        <v>0</v>
      </c>
      <c r="U2707" s="1" t="s">
        <v>39</v>
      </c>
      <c r="V2707" s="3">
        <v>3</v>
      </c>
    </row>
    <row r="2708" spans="1:22" x14ac:dyDescent="0.3">
      <c r="A2708" s="2" t="s">
        <v>5897</v>
      </c>
      <c r="B2708" s="10">
        <v>45107</v>
      </c>
      <c r="C2708" s="22">
        <v>45107</v>
      </c>
      <c r="D2708" s="1" t="s">
        <v>5898</v>
      </c>
      <c r="E2708" s="1" t="s">
        <v>588</v>
      </c>
      <c r="F2708" s="1">
        <v>29</v>
      </c>
      <c r="G2708" s="1" t="s">
        <v>24</v>
      </c>
      <c r="H2708" s="1" t="s">
        <v>82</v>
      </c>
      <c r="I2708" s="1" t="s">
        <v>244</v>
      </c>
      <c r="J2708" s="1" t="s">
        <v>62</v>
      </c>
      <c r="K2708" s="1" t="s">
        <v>151</v>
      </c>
      <c r="L2708" s="1">
        <v>5</v>
      </c>
      <c r="M2708" s="13">
        <v>1028.79</v>
      </c>
      <c r="N2708" s="15">
        <v>0.32</v>
      </c>
      <c r="O2708" s="13">
        <v>1058.82</v>
      </c>
      <c r="P2708" s="13">
        <v>441.92</v>
      </c>
      <c r="Q2708" s="13">
        <v>77.010000000000005</v>
      </c>
      <c r="R2708" s="1" t="s">
        <v>70</v>
      </c>
      <c r="S2708" s="1">
        <v>3</v>
      </c>
      <c r="T2708" s="1" t="b">
        <v>1</v>
      </c>
      <c r="U2708" s="1" t="s">
        <v>30</v>
      </c>
      <c r="V2708" s="3">
        <v>3</v>
      </c>
    </row>
    <row r="2709" spans="1:22" x14ac:dyDescent="0.3">
      <c r="A2709" s="2" t="s">
        <v>5899</v>
      </c>
      <c r="B2709" s="10">
        <v>45486</v>
      </c>
      <c r="C2709" s="22">
        <v>45486</v>
      </c>
      <c r="D2709" s="1" t="s">
        <v>5900</v>
      </c>
      <c r="E2709" s="1" t="s">
        <v>991</v>
      </c>
      <c r="F2709" s="1">
        <v>34</v>
      </c>
      <c r="G2709" s="1" t="s">
        <v>34</v>
      </c>
      <c r="H2709" s="1" t="s">
        <v>82</v>
      </c>
      <c r="I2709" s="1" t="s">
        <v>126</v>
      </c>
      <c r="J2709" s="1" t="s">
        <v>27</v>
      </c>
      <c r="K2709" s="1" t="s">
        <v>56</v>
      </c>
      <c r="L2709" s="1">
        <v>10</v>
      </c>
      <c r="M2709" s="13">
        <v>263.05</v>
      </c>
      <c r="N2709" s="15">
        <v>0.28000000000000003</v>
      </c>
      <c r="O2709" s="13">
        <v>3446.63</v>
      </c>
      <c r="P2709" s="13">
        <v>252.71</v>
      </c>
      <c r="Q2709" s="13">
        <v>60.29</v>
      </c>
      <c r="R2709" s="1" t="s">
        <v>57</v>
      </c>
      <c r="S2709" s="1">
        <v>4</v>
      </c>
      <c r="T2709" s="1" t="b">
        <v>0</v>
      </c>
      <c r="U2709" s="1" t="s">
        <v>39</v>
      </c>
      <c r="V2709" s="3">
        <v>9</v>
      </c>
    </row>
    <row r="2710" spans="1:22" x14ac:dyDescent="0.3">
      <c r="A2710" s="2" t="s">
        <v>5901</v>
      </c>
      <c r="B2710" s="10">
        <v>44998</v>
      </c>
      <c r="C2710" s="22">
        <v>44998</v>
      </c>
      <c r="D2710" s="1" t="s">
        <v>5902</v>
      </c>
      <c r="E2710" s="1" t="s">
        <v>991</v>
      </c>
      <c r="F2710" s="1">
        <v>40</v>
      </c>
      <c r="G2710" s="1" t="s">
        <v>68</v>
      </c>
      <c r="H2710" s="1" t="s">
        <v>82</v>
      </c>
      <c r="I2710" s="1" t="s">
        <v>83</v>
      </c>
      <c r="J2710" s="1" t="s">
        <v>27</v>
      </c>
      <c r="K2710" s="1" t="s">
        <v>97</v>
      </c>
      <c r="L2710" s="1">
        <v>5</v>
      </c>
      <c r="M2710" s="13">
        <v>83.39</v>
      </c>
      <c r="N2710" s="15">
        <v>0.13</v>
      </c>
      <c r="O2710" s="13">
        <v>507.85</v>
      </c>
      <c r="P2710" s="13">
        <v>48.88</v>
      </c>
      <c r="Q2710" s="13">
        <v>72.28</v>
      </c>
      <c r="R2710" s="1" t="s">
        <v>64</v>
      </c>
      <c r="S2710" s="1">
        <v>5</v>
      </c>
      <c r="T2710" s="1" t="b">
        <v>0</v>
      </c>
      <c r="U2710" s="1" t="s">
        <v>39</v>
      </c>
      <c r="V2710" s="3">
        <v>8</v>
      </c>
    </row>
    <row r="2711" spans="1:22" x14ac:dyDescent="0.3">
      <c r="A2711" s="2" t="s">
        <v>5903</v>
      </c>
      <c r="B2711" s="10">
        <v>44722</v>
      </c>
      <c r="C2711" s="22">
        <v>44722</v>
      </c>
      <c r="D2711" s="1" t="s">
        <v>5904</v>
      </c>
      <c r="E2711" s="1" t="s">
        <v>1036</v>
      </c>
      <c r="F2711" s="1">
        <v>44</v>
      </c>
      <c r="G2711" s="1" t="s">
        <v>68</v>
      </c>
      <c r="H2711" s="1" t="s">
        <v>74</v>
      </c>
      <c r="I2711" s="1" t="s">
        <v>192</v>
      </c>
      <c r="J2711" s="1" t="s">
        <v>127</v>
      </c>
      <c r="K2711" s="1" t="s">
        <v>142</v>
      </c>
      <c r="L2711" s="1">
        <v>10</v>
      </c>
      <c r="M2711" s="13">
        <v>66222.83</v>
      </c>
      <c r="N2711" s="15">
        <v>0.39</v>
      </c>
      <c r="O2711" s="13">
        <v>364937.13</v>
      </c>
      <c r="P2711" s="13">
        <v>37488.21</v>
      </c>
      <c r="Q2711" s="13">
        <v>35.08</v>
      </c>
      <c r="R2711" s="1" t="s">
        <v>70</v>
      </c>
      <c r="S2711" s="1">
        <v>3</v>
      </c>
      <c r="T2711" s="1" t="b">
        <v>0</v>
      </c>
      <c r="U2711" s="1" t="s">
        <v>39</v>
      </c>
      <c r="V2711" s="3">
        <v>9</v>
      </c>
    </row>
    <row r="2712" spans="1:22" x14ac:dyDescent="0.3">
      <c r="A2712" s="2" t="s">
        <v>5905</v>
      </c>
      <c r="B2712" s="10">
        <v>44646</v>
      </c>
      <c r="C2712" s="22">
        <v>44646</v>
      </c>
      <c r="D2712" s="1" t="s">
        <v>5906</v>
      </c>
      <c r="E2712" s="1" t="s">
        <v>67</v>
      </c>
      <c r="F2712" s="1">
        <v>21</v>
      </c>
      <c r="G2712" s="1" t="s">
        <v>34</v>
      </c>
      <c r="H2712" s="1" t="s">
        <v>111</v>
      </c>
      <c r="I2712" s="1" t="s">
        <v>112</v>
      </c>
      <c r="J2712" s="1" t="s">
        <v>76</v>
      </c>
      <c r="K2712" s="1" t="s">
        <v>207</v>
      </c>
      <c r="L2712" s="1">
        <v>3</v>
      </c>
      <c r="M2712" s="13">
        <v>3430.47</v>
      </c>
      <c r="N2712" s="15">
        <v>0.21</v>
      </c>
      <c r="O2712" s="13">
        <v>11607.03</v>
      </c>
      <c r="P2712" s="13">
        <v>4466.8599999999997</v>
      </c>
      <c r="Q2712" s="13">
        <v>69.55</v>
      </c>
      <c r="R2712" s="1" t="s">
        <v>51</v>
      </c>
      <c r="S2712" s="1">
        <v>2</v>
      </c>
      <c r="T2712" s="1" t="b">
        <v>0</v>
      </c>
      <c r="U2712" s="1" t="s">
        <v>39</v>
      </c>
      <c r="V2712" s="3">
        <v>1</v>
      </c>
    </row>
    <row r="2713" spans="1:22" x14ac:dyDescent="0.3">
      <c r="A2713" s="2" t="s">
        <v>5907</v>
      </c>
      <c r="B2713" s="10">
        <v>44679</v>
      </c>
      <c r="C2713" s="22">
        <v>44679</v>
      </c>
      <c r="D2713" s="1" t="s">
        <v>5908</v>
      </c>
      <c r="E2713" s="1" t="s">
        <v>73</v>
      </c>
      <c r="F2713" s="1">
        <v>21</v>
      </c>
      <c r="G2713" s="1" t="s">
        <v>34</v>
      </c>
      <c r="H2713" s="1" t="s">
        <v>35</v>
      </c>
      <c r="I2713" s="1" t="s">
        <v>49</v>
      </c>
      <c r="J2713" s="1" t="s">
        <v>27</v>
      </c>
      <c r="K2713" s="1" t="s">
        <v>450</v>
      </c>
      <c r="L2713" s="1">
        <v>9</v>
      </c>
      <c r="M2713" s="13">
        <v>150.66</v>
      </c>
      <c r="N2713" s="15">
        <v>0.3</v>
      </c>
      <c r="O2713" s="13">
        <v>1376.18</v>
      </c>
      <c r="P2713" s="13">
        <v>82.84</v>
      </c>
      <c r="Q2713" s="13">
        <v>30.25</v>
      </c>
      <c r="R2713" s="1" t="s">
        <v>51</v>
      </c>
      <c r="S2713" s="1">
        <v>5</v>
      </c>
      <c r="T2713" s="1" t="b">
        <v>0</v>
      </c>
      <c r="U2713" s="1" t="s">
        <v>39</v>
      </c>
      <c r="V2713" s="3">
        <v>4</v>
      </c>
    </row>
    <row r="2714" spans="1:22" x14ac:dyDescent="0.3">
      <c r="A2714" s="2" t="s">
        <v>5909</v>
      </c>
      <c r="B2714" s="10">
        <v>44502</v>
      </c>
      <c r="C2714" s="22">
        <v>44502</v>
      </c>
      <c r="D2714" s="1" t="s">
        <v>5910</v>
      </c>
      <c r="E2714" s="1" t="s">
        <v>1591</v>
      </c>
      <c r="F2714" s="1">
        <v>48</v>
      </c>
      <c r="G2714" s="1" t="s">
        <v>24</v>
      </c>
      <c r="H2714" s="1" t="s">
        <v>111</v>
      </c>
      <c r="I2714" s="1" t="s">
        <v>141</v>
      </c>
      <c r="J2714" s="1" t="s">
        <v>44</v>
      </c>
      <c r="K2714" s="1" t="s">
        <v>93</v>
      </c>
      <c r="L2714" s="1">
        <v>3</v>
      </c>
      <c r="M2714" s="13">
        <v>22015.61</v>
      </c>
      <c r="N2714" s="15">
        <v>0.33</v>
      </c>
      <c r="O2714" s="13">
        <v>34539.97</v>
      </c>
      <c r="P2714" s="13">
        <v>5647.61</v>
      </c>
      <c r="Q2714" s="13">
        <v>67.290000000000006</v>
      </c>
      <c r="R2714" s="1" t="s">
        <v>70</v>
      </c>
      <c r="S2714" s="1">
        <v>5</v>
      </c>
      <c r="T2714" s="1" t="b">
        <v>0</v>
      </c>
      <c r="U2714" s="1" t="s">
        <v>39</v>
      </c>
      <c r="V2714" s="3">
        <v>9</v>
      </c>
    </row>
    <row r="2715" spans="1:22" x14ac:dyDescent="0.3">
      <c r="A2715" s="2" t="s">
        <v>5911</v>
      </c>
      <c r="B2715" s="10">
        <v>44609</v>
      </c>
      <c r="C2715" s="22">
        <v>44609</v>
      </c>
      <c r="D2715" s="1" t="s">
        <v>5912</v>
      </c>
      <c r="E2715" s="1" t="s">
        <v>42</v>
      </c>
      <c r="F2715" s="1">
        <v>35</v>
      </c>
      <c r="G2715" s="1" t="s">
        <v>24</v>
      </c>
      <c r="H2715" s="1" t="s">
        <v>25</v>
      </c>
      <c r="I2715" s="1" t="s">
        <v>26</v>
      </c>
      <c r="J2715" s="1" t="s">
        <v>44</v>
      </c>
      <c r="K2715" s="1" t="s">
        <v>50</v>
      </c>
      <c r="L2715" s="1">
        <v>1</v>
      </c>
      <c r="M2715" s="13">
        <v>28755.19</v>
      </c>
      <c r="N2715" s="15">
        <v>0.03</v>
      </c>
      <c r="O2715" s="13">
        <v>24177.47</v>
      </c>
      <c r="P2715" s="13">
        <v>5824.34</v>
      </c>
      <c r="Q2715" s="13">
        <v>35.93</v>
      </c>
      <c r="R2715" s="1" t="s">
        <v>51</v>
      </c>
      <c r="S2715" s="1">
        <v>4</v>
      </c>
      <c r="T2715" s="1" t="b">
        <v>0</v>
      </c>
      <c r="U2715" s="1" t="s">
        <v>39</v>
      </c>
      <c r="V2715" s="3">
        <v>4</v>
      </c>
    </row>
    <row r="2716" spans="1:22" x14ac:dyDescent="0.3">
      <c r="A2716" s="2" t="s">
        <v>5913</v>
      </c>
      <c r="B2716" s="10">
        <v>44347</v>
      </c>
      <c r="C2716" s="22">
        <v>44347</v>
      </c>
      <c r="D2716" s="1" t="s">
        <v>5914</v>
      </c>
      <c r="E2716" s="1" t="s">
        <v>555</v>
      </c>
      <c r="F2716" s="1">
        <v>45</v>
      </c>
      <c r="G2716" s="1" t="s">
        <v>68</v>
      </c>
      <c r="H2716" s="1" t="s">
        <v>82</v>
      </c>
      <c r="I2716" s="1" t="s">
        <v>83</v>
      </c>
      <c r="J2716" s="1" t="s">
        <v>76</v>
      </c>
      <c r="K2716" s="1" t="s">
        <v>89</v>
      </c>
      <c r="L2716" s="1">
        <v>1</v>
      </c>
      <c r="M2716" s="13">
        <v>708.87</v>
      </c>
      <c r="N2716" s="15">
        <v>0.04</v>
      </c>
      <c r="O2716" s="13">
        <v>897.13</v>
      </c>
      <c r="P2716" s="13">
        <v>364.6</v>
      </c>
      <c r="Q2716" s="13">
        <v>69.260000000000005</v>
      </c>
      <c r="R2716" s="1" t="s">
        <v>51</v>
      </c>
      <c r="S2716" s="1">
        <v>1</v>
      </c>
      <c r="T2716" s="1" t="b">
        <v>0</v>
      </c>
      <c r="U2716" s="1" t="s">
        <v>39</v>
      </c>
      <c r="V2716" s="3">
        <v>6</v>
      </c>
    </row>
    <row r="2717" spans="1:22" x14ac:dyDescent="0.3">
      <c r="A2717" s="2" t="s">
        <v>5915</v>
      </c>
      <c r="B2717" s="10">
        <v>45055</v>
      </c>
      <c r="C2717" s="22">
        <v>45055</v>
      </c>
      <c r="D2717" s="1" t="s">
        <v>5916</v>
      </c>
      <c r="E2717" s="1" t="s">
        <v>594</v>
      </c>
      <c r="F2717" s="1">
        <v>34</v>
      </c>
      <c r="G2717" s="1" t="s">
        <v>34</v>
      </c>
      <c r="H2717" s="1" t="s">
        <v>82</v>
      </c>
      <c r="I2717" s="1" t="s">
        <v>244</v>
      </c>
      <c r="J2717" s="1" t="s">
        <v>146</v>
      </c>
      <c r="K2717" s="1" t="s">
        <v>161</v>
      </c>
      <c r="L2717" s="1">
        <v>5</v>
      </c>
      <c r="M2717" s="13">
        <v>635.13</v>
      </c>
      <c r="N2717" s="15">
        <v>0.28000000000000003</v>
      </c>
      <c r="O2717" s="13">
        <v>3458.05</v>
      </c>
      <c r="P2717" s="13">
        <v>756.53</v>
      </c>
      <c r="Q2717" s="13">
        <v>93.5</v>
      </c>
      <c r="R2717" s="1" t="s">
        <v>29</v>
      </c>
      <c r="S2717" s="1">
        <v>3</v>
      </c>
      <c r="T2717" s="1" t="b">
        <v>0</v>
      </c>
      <c r="U2717" s="1" t="s">
        <v>39</v>
      </c>
      <c r="V2717" s="3">
        <v>8</v>
      </c>
    </row>
    <row r="2718" spans="1:22" x14ac:dyDescent="0.3">
      <c r="A2718" s="2" t="s">
        <v>5917</v>
      </c>
      <c r="B2718" s="10">
        <v>44410</v>
      </c>
      <c r="C2718" s="22">
        <v>44410</v>
      </c>
      <c r="D2718" s="1" t="s">
        <v>5918</v>
      </c>
      <c r="E2718" s="1" t="s">
        <v>2875</v>
      </c>
      <c r="F2718" s="1">
        <v>31</v>
      </c>
      <c r="G2718" s="1" t="s">
        <v>34</v>
      </c>
      <c r="H2718" s="1" t="s">
        <v>111</v>
      </c>
      <c r="I2718" s="1" t="s">
        <v>141</v>
      </c>
      <c r="J2718" s="1" t="s">
        <v>44</v>
      </c>
      <c r="K2718" s="1" t="s">
        <v>45</v>
      </c>
      <c r="L2718" s="1">
        <v>10</v>
      </c>
      <c r="M2718" s="13">
        <v>14508.49</v>
      </c>
      <c r="N2718" s="15">
        <v>0.21</v>
      </c>
      <c r="O2718" s="13">
        <v>169261.45</v>
      </c>
      <c r="P2718" s="13">
        <v>50893.66</v>
      </c>
      <c r="Q2718" s="13">
        <v>54.2</v>
      </c>
      <c r="R2718" s="1" t="s">
        <v>51</v>
      </c>
      <c r="S2718" s="1">
        <v>5</v>
      </c>
      <c r="T2718" s="1" t="b">
        <v>0</v>
      </c>
      <c r="U2718" s="1" t="s">
        <v>39</v>
      </c>
      <c r="V2718" s="3">
        <v>9</v>
      </c>
    </row>
    <row r="2719" spans="1:22" x14ac:dyDescent="0.3">
      <c r="A2719" s="2" t="s">
        <v>5919</v>
      </c>
      <c r="B2719" s="10">
        <v>45651</v>
      </c>
      <c r="C2719" s="22">
        <v>45651</v>
      </c>
      <c r="D2719" s="1" t="s">
        <v>5920</v>
      </c>
      <c r="E2719" s="1" t="s">
        <v>329</v>
      </c>
      <c r="F2719" s="1">
        <v>11</v>
      </c>
      <c r="G2719" s="1" t="s">
        <v>34</v>
      </c>
      <c r="H2719" s="1" t="s">
        <v>111</v>
      </c>
      <c r="I2719" s="1" t="s">
        <v>121</v>
      </c>
      <c r="J2719" s="1" t="s">
        <v>76</v>
      </c>
      <c r="K2719" s="1" t="s">
        <v>89</v>
      </c>
      <c r="L2719" s="1">
        <v>6</v>
      </c>
      <c r="M2719" s="13">
        <v>914.9</v>
      </c>
      <c r="N2719" s="15">
        <v>0.28999999999999998</v>
      </c>
      <c r="O2719" s="13">
        <v>3583.35</v>
      </c>
      <c r="P2719" s="13">
        <v>1511.38</v>
      </c>
      <c r="Q2719" s="13">
        <v>91.61</v>
      </c>
      <c r="R2719" s="1" t="s">
        <v>70</v>
      </c>
      <c r="S2719" s="1">
        <v>5</v>
      </c>
      <c r="T2719" s="1" t="b">
        <v>0</v>
      </c>
      <c r="U2719" s="1" t="s">
        <v>137</v>
      </c>
      <c r="V2719" s="3">
        <v>6</v>
      </c>
    </row>
    <row r="2720" spans="1:22" x14ac:dyDescent="0.3">
      <c r="A2720" s="2" t="s">
        <v>5921</v>
      </c>
      <c r="B2720" s="10">
        <v>44544</v>
      </c>
      <c r="C2720" s="22">
        <v>44544</v>
      </c>
      <c r="D2720" s="1" t="s">
        <v>5922</v>
      </c>
      <c r="E2720" s="1" t="s">
        <v>423</v>
      </c>
      <c r="F2720" s="1">
        <v>40</v>
      </c>
      <c r="G2720" s="1" t="s">
        <v>34</v>
      </c>
      <c r="H2720" s="1" t="s">
        <v>35</v>
      </c>
      <c r="I2720" s="1" t="s">
        <v>43</v>
      </c>
      <c r="J2720" s="1" t="s">
        <v>27</v>
      </c>
      <c r="K2720" s="1" t="s">
        <v>28</v>
      </c>
      <c r="L2720" s="1">
        <v>1</v>
      </c>
      <c r="M2720" s="13">
        <v>324.69</v>
      </c>
      <c r="N2720" s="15">
        <v>0.21</v>
      </c>
      <c r="O2720" s="13">
        <v>195.27</v>
      </c>
      <c r="P2720" s="13">
        <v>15.34</v>
      </c>
      <c r="Q2720" s="13">
        <v>67.290000000000006</v>
      </c>
      <c r="R2720" s="1" t="s">
        <v>78</v>
      </c>
      <c r="S2720" s="1">
        <v>4</v>
      </c>
      <c r="T2720" s="1" t="b">
        <v>1</v>
      </c>
      <c r="U2720" s="1" t="s">
        <v>30</v>
      </c>
      <c r="V2720" s="3">
        <v>6</v>
      </c>
    </row>
    <row r="2721" spans="1:22" x14ac:dyDescent="0.3">
      <c r="A2721" s="2" t="s">
        <v>5923</v>
      </c>
      <c r="B2721" s="10">
        <v>45366</v>
      </c>
      <c r="C2721" s="22">
        <v>45366</v>
      </c>
      <c r="D2721" s="1" t="s">
        <v>5924</v>
      </c>
      <c r="E2721" s="1" t="s">
        <v>314</v>
      </c>
      <c r="F2721" s="1">
        <v>30</v>
      </c>
      <c r="G2721" s="1" t="s">
        <v>24</v>
      </c>
      <c r="H2721" s="1" t="s">
        <v>111</v>
      </c>
      <c r="I2721" s="1" t="s">
        <v>121</v>
      </c>
      <c r="J2721" s="1" t="s">
        <v>62</v>
      </c>
      <c r="K2721" s="1" t="s">
        <v>570</v>
      </c>
      <c r="L2721" s="1">
        <v>4</v>
      </c>
      <c r="M2721" s="13">
        <v>840.47</v>
      </c>
      <c r="N2721" s="15">
        <v>0.24</v>
      </c>
      <c r="O2721" s="13">
        <v>3329.19</v>
      </c>
      <c r="P2721" s="13">
        <v>1532.51</v>
      </c>
      <c r="Q2721" s="13">
        <v>78.489999999999995</v>
      </c>
      <c r="R2721" s="1" t="s">
        <v>70</v>
      </c>
      <c r="S2721" s="1">
        <v>3</v>
      </c>
      <c r="T2721" s="1" t="b">
        <v>0</v>
      </c>
      <c r="U2721" s="1" t="s">
        <v>39</v>
      </c>
      <c r="V2721" s="3">
        <v>8</v>
      </c>
    </row>
    <row r="2722" spans="1:22" x14ac:dyDescent="0.3">
      <c r="A2722" s="2" t="s">
        <v>5925</v>
      </c>
      <c r="B2722" s="10">
        <v>44422</v>
      </c>
      <c r="C2722" s="22">
        <v>44422</v>
      </c>
      <c r="D2722" s="1" t="s">
        <v>5926</v>
      </c>
      <c r="E2722" s="1" t="s">
        <v>1186</v>
      </c>
      <c r="F2722" s="1">
        <v>32</v>
      </c>
      <c r="G2722" s="1" t="s">
        <v>24</v>
      </c>
      <c r="H2722" s="1" t="s">
        <v>74</v>
      </c>
      <c r="I2722" s="1" t="s">
        <v>75</v>
      </c>
      <c r="J2722" s="1" t="s">
        <v>127</v>
      </c>
      <c r="K2722" s="1" t="s">
        <v>171</v>
      </c>
      <c r="L2722" s="1">
        <v>5</v>
      </c>
      <c r="M2722" s="13">
        <v>69893.850000000006</v>
      </c>
      <c r="N2722" s="15">
        <v>0.26</v>
      </c>
      <c r="O2722" s="13">
        <v>364875.53</v>
      </c>
      <c r="P2722" s="13">
        <v>30513.58</v>
      </c>
      <c r="Q2722" s="13">
        <v>59.78</v>
      </c>
      <c r="R2722" s="1" t="s">
        <v>64</v>
      </c>
      <c r="S2722" s="1">
        <v>1</v>
      </c>
      <c r="T2722" s="1" t="b">
        <v>0</v>
      </c>
      <c r="U2722" s="1" t="s">
        <v>137</v>
      </c>
      <c r="V2722" s="3">
        <v>7</v>
      </c>
    </row>
    <row r="2723" spans="1:22" x14ac:dyDescent="0.3">
      <c r="A2723" s="2" t="s">
        <v>5927</v>
      </c>
      <c r="B2723" s="10">
        <v>45532</v>
      </c>
      <c r="C2723" s="22">
        <v>45532</v>
      </c>
      <c r="D2723" s="1" t="s">
        <v>5928</v>
      </c>
      <c r="E2723" s="1" t="s">
        <v>1601</v>
      </c>
      <c r="F2723" s="1">
        <v>43</v>
      </c>
      <c r="G2723" s="1" t="s">
        <v>24</v>
      </c>
      <c r="H2723" s="1" t="s">
        <v>74</v>
      </c>
      <c r="I2723" s="1" t="s">
        <v>136</v>
      </c>
      <c r="J2723" s="1" t="s">
        <v>27</v>
      </c>
      <c r="K2723" s="1" t="s">
        <v>400</v>
      </c>
      <c r="L2723" s="1">
        <v>6</v>
      </c>
      <c r="M2723" s="13">
        <v>294</v>
      </c>
      <c r="N2723" s="15">
        <v>0.01</v>
      </c>
      <c r="O2723" s="13">
        <v>2476.75</v>
      </c>
      <c r="P2723" s="13">
        <v>189.51</v>
      </c>
      <c r="Q2723" s="13">
        <v>46.01</v>
      </c>
      <c r="R2723" s="1" t="s">
        <v>70</v>
      </c>
      <c r="S2723" s="1">
        <v>3</v>
      </c>
      <c r="T2723" s="1" t="b">
        <v>0</v>
      </c>
      <c r="U2723" s="1" t="s">
        <v>39</v>
      </c>
      <c r="V2723" s="3">
        <v>10</v>
      </c>
    </row>
    <row r="2724" spans="1:22" x14ac:dyDescent="0.3">
      <c r="A2724" s="2" t="s">
        <v>5929</v>
      </c>
      <c r="B2724" s="10">
        <v>44697</v>
      </c>
      <c r="C2724" s="22">
        <v>44697</v>
      </c>
      <c r="D2724" s="1" t="s">
        <v>5930</v>
      </c>
      <c r="E2724" s="1" t="s">
        <v>1142</v>
      </c>
      <c r="F2724" s="1">
        <v>48</v>
      </c>
      <c r="G2724" s="1" t="s">
        <v>68</v>
      </c>
      <c r="H2724" s="1" t="s">
        <v>111</v>
      </c>
      <c r="I2724" s="1" t="s">
        <v>330</v>
      </c>
      <c r="J2724" s="1" t="s">
        <v>37</v>
      </c>
      <c r="K2724" s="1" t="s">
        <v>671</v>
      </c>
      <c r="L2724" s="1">
        <v>1</v>
      </c>
      <c r="M2724" s="13">
        <v>2120.9299999999998</v>
      </c>
      <c r="N2724" s="15">
        <v>0.22</v>
      </c>
      <c r="O2724" s="13">
        <v>2475.08</v>
      </c>
      <c r="P2724" s="13">
        <v>882.31</v>
      </c>
      <c r="Q2724" s="13">
        <v>64.27</v>
      </c>
      <c r="R2724" s="1" t="s">
        <v>29</v>
      </c>
      <c r="S2724" s="1">
        <v>5</v>
      </c>
      <c r="T2724" s="1" t="b">
        <v>0</v>
      </c>
      <c r="U2724" s="1" t="s">
        <v>39</v>
      </c>
      <c r="V2724" s="3">
        <v>5</v>
      </c>
    </row>
    <row r="2725" spans="1:22" x14ac:dyDescent="0.3">
      <c r="A2725" s="2" t="s">
        <v>5931</v>
      </c>
      <c r="B2725" s="10">
        <v>44044</v>
      </c>
      <c r="C2725" s="22">
        <v>44044</v>
      </c>
      <c r="D2725" s="1" t="s">
        <v>5932</v>
      </c>
      <c r="E2725" s="1" t="s">
        <v>437</v>
      </c>
      <c r="F2725" s="1">
        <v>20</v>
      </c>
      <c r="G2725" s="1" t="s">
        <v>68</v>
      </c>
      <c r="H2725" s="1" t="s">
        <v>25</v>
      </c>
      <c r="I2725" s="1" t="s">
        <v>69</v>
      </c>
      <c r="J2725" s="1" t="s">
        <v>37</v>
      </c>
      <c r="K2725" s="1" t="s">
        <v>671</v>
      </c>
      <c r="L2725" s="1">
        <v>7</v>
      </c>
      <c r="M2725" s="13">
        <v>1269.1099999999999</v>
      </c>
      <c r="N2725" s="15">
        <v>0.2</v>
      </c>
      <c r="O2725" s="13">
        <v>8655.36</v>
      </c>
      <c r="P2725" s="13">
        <v>3040.64</v>
      </c>
      <c r="Q2725" s="13">
        <v>22.45</v>
      </c>
      <c r="R2725" s="1" t="s">
        <v>57</v>
      </c>
      <c r="S2725" s="1">
        <v>3</v>
      </c>
      <c r="T2725" s="1" t="b">
        <v>0</v>
      </c>
      <c r="U2725" s="1" t="s">
        <v>39</v>
      </c>
      <c r="V2725" s="3">
        <v>5</v>
      </c>
    </row>
    <row r="2726" spans="1:22" x14ac:dyDescent="0.3">
      <c r="A2726" s="2" t="s">
        <v>5933</v>
      </c>
      <c r="B2726" s="10">
        <v>44958</v>
      </c>
      <c r="C2726" s="22">
        <v>44958</v>
      </c>
      <c r="D2726" s="1" t="s">
        <v>5934</v>
      </c>
      <c r="E2726" s="1" t="s">
        <v>547</v>
      </c>
      <c r="F2726" s="1">
        <v>47</v>
      </c>
      <c r="G2726" s="1" t="s">
        <v>24</v>
      </c>
      <c r="H2726" s="1" t="s">
        <v>35</v>
      </c>
      <c r="I2726" s="1" t="s">
        <v>36</v>
      </c>
      <c r="J2726" s="1" t="s">
        <v>44</v>
      </c>
      <c r="K2726" s="1" t="s">
        <v>45</v>
      </c>
      <c r="L2726" s="1">
        <v>4</v>
      </c>
      <c r="M2726" s="13">
        <v>23419.55</v>
      </c>
      <c r="N2726" s="15">
        <v>0.31</v>
      </c>
      <c r="O2726" s="13">
        <v>74390.92</v>
      </c>
      <c r="P2726" s="13">
        <v>24893.16</v>
      </c>
      <c r="Q2726" s="13">
        <v>60.16</v>
      </c>
      <c r="R2726" s="1" t="s">
        <v>64</v>
      </c>
      <c r="S2726" s="1">
        <v>3</v>
      </c>
      <c r="T2726" s="1" t="b">
        <v>0</v>
      </c>
      <c r="U2726" s="1" t="s">
        <v>137</v>
      </c>
      <c r="V2726" s="3">
        <v>10</v>
      </c>
    </row>
    <row r="2727" spans="1:22" x14ac:dyDescent="0.3">
      <c r="A2727" s="2" t="s">
        <v>5935</v>
      </c>
      <c r="B2727" s="10">
        <v>44766</v>
      </c>
      <c r="C2727" s="22">
        <v>44766</v>
      </c>
      <c r="D2727" s="1" t="s">
        <v>5936</v>
      </c>
      <c r="E2727" s="1" t="s">
        <v>2140</v>
      </c>
      <c r="F2727" s="1">
        <v>3</v>
      </c>
      <c r="G2727" s="1" t="s">
        <v>34</v>
      </c>
      <c r="H2727" s="1" t="s">
        <v>74</v>
      </c>
      <c r="I2727" s="1" t="s">
        <v>192</v>
      </c>
      <c r="J2727" s="1" t="s">
        <v>27</v>
      </c>
      <c r="K2727" s="1" t="s">
        <v>56</v>
      </c>
      <c r="L2727" s="1">
        <v>7</v>
      </c>
      <c r="M2727" s="13">
        <v>371.4</v>
      </c>
      <c r="N2727" s="15">
        <v>0.26</v>
      </c>
      <c r="O2727" s="13">
        <v>2827.1</v>
      </c>
      <c r="P2727" s="13">
        <v>304.02</v>
      </c>
      <c r="Q2727" s="13">
        <v>51.93</v>
      </c>
      <c r="R2727" s="1" t="s">
        <v>57</v>
      </c>
      <c r="S2727" s="1">
        <v>1</v>
      </c>
      <c r="T2727" s="1" t="b">
        <v>1</v>
      </c>
      <c r="U2727" s="1" t="s">
        <v>30</v>
      </c>
      <c r="V2727" s="3">
        <v>6</v>
      </c>
    </row>
    <row r="2728" spans="1:22" x14ac:dyDescent="0.3">
      <c r="A2728" s="2" t="s">
        <v>5937</v>
      </c>
      <c r="B2728" s="10">
        <v>45295</v>
      </c>
      <c r="C2728" s="22">
        <v>45295</v>
      </c>
      <c r="D2728" s="1" t="s">
        <v>5938</v>
      </c>
      <c r="E2728" s="1" t="s">
        <v>1176</v>
      </c>
      <c r="F2728" s="1">
        <v>63</v>
      </c>
      <c r="G2728" s="1" t="s">
        <v>88</v>
      </c>
      <c r="H2728" s="1" t="s">
        <v>25</v>
      </c>
      <c r="I2728" s="1" t="s">
        <v>55</v>
      </c>
      <c r="J2728" s="1" t="s">
        <v>37</v>
      </c>
      <c r="K2728" s="1" t="s">
        <v>38</v>
      </c>
      <c r="L2728" s="1">
        <v>4</v>
      </c>
      <c r="M2728" s="13">
        <v>2223.64</v>
      </c>
      <c r="N2728" s="15">
        <v>0.15</v>
      </c>
      <c r="O2728" s="13">
        <v>6525.42</v>
      </c>
      <c r="P2728" s="13">
        <v>3524.54</v>
      </c>
      <c r="Q2728" s="13">
        <v>33.24</v>
      </c>
      <c r="R2728" s="1" t="s">
        <v>51</v>
      </c>
      <c r="S2728" s="1">
        <v>2</v>
      </c>
      <c r="T2728" s="1" t="b">
        <v>0</v>
      </c>
      <c r="U2728" s="1" t="s">
        <v>39</v>
      </c>
      <c r="V2728" s="3">
        <v>9</v>
      </c>
    </row>
    <row r="2729" spans="1:22" x14ac:dyDescent="0.3">
      <c r="A2729" s="2" t="s">
        <v>5939</v>
      </c>
      <c r="B2729" s="10">
        <v>44823</v>
      </c>
      <c r="C2729" s="22">
        <v>44823</v>
      </c>
      <c r="D2729" s="1" t="s">
        <v>5940</v>
      </c>
      <c r="E2729" s="1" t="s">
        <v>2791</v>
      </c>
      <c r="F2729" s="1">
        <v>44</v>
      </c>
      <c r="G2729" s="1" t="s">
        <v>34</v>
      </c>
      <c r="H2729" s="1" t="s">
        <v>111</v>
      </c>
      <c r="I2729" s="1" t="s">
        <v>112</v>
      </c>
      <c r="J2729" s="1" t="s">
        <v>76</v>
      </c>
      <c r="K2729" s="1" t="s">
        <v>122</v>
      </c>
      <c r="L2729" s="1">
        <v>8</v>
      </c>
      <c r="M2729" s="13">
        <v>598.22</v>
      </c>
      <c r="N2729" s="15">
        <v>0.37</v>
      </c>
      <c r="O2729" s="13">
        <v>3507.68</v>
      </c>
      <c r="P2729" s="13">
        <v>1290.6400000000001</v>
      </c>
      <c r="Q2729" s="13">
        <v>67.180000000000007</v>
      </c>
      <c r="R2729" s="1" t="s">
        <v>78</v>
      </c>
      <c r="S2729" s="1">
        <v>5</v>
      </c>
      <c r="T2729" s="1" t="b">
        <v>0</v>
      </c>
      <c r="U2729" s="1" t="s">
        <v>39</v>
      </c>
      <c r="V2729" s="3">
        <v>7</v>
      </c>
    </row>
    <row r="2730" spans="1:22" x14ac:dyDescent="0.3">
      <c r="A2730" s="2" t="s">
        <v>5941</v>
      </c>
      <c r="B2730" s="10">
        <v>45462</v>
      </c>
      <c r="C2730" s="22">
        <v>45462</v>
      </c>
      <c r="D2730" s="1" t="s">
        <v>5942</v>
      </c>
      <c r="E2730" s="1" t="s">
        <v>3077</v>
      </c>
      <c r="F2730" s="1">
        <v>39</v>
      </c>
      <c r="G2730" s="1" t="s">
        <v>34</v>
      </c>
      <c r="H2730" s="1" t="s">
        <v>111</v>
      </c>
      <c r="I2730" s="1" t="s">
        <v>112</v>
      </c>
      <c r="J2730" s="1" t="s">
        <v>62</v>
      </c>
      <c r="K2730" s="1" t="s">
        <v>570</v>
      </c>
      <c r="L2730" s="1">
        <v>10</v>
      </c>
      <c r="M2730" s="13">
        <v>483.9</v>
      </c>
      <c r="N2730" s="15">
        <v>0.06</v>
      </c>
      <c r="O2730" s="13">
        <v>6763.93</v>
      </c>
      <c r="P2730" s="13">
        <v>3499.59</v>
      </c>
      <c r="Q2730" s="13">
        <v>70.77</v>
      </c>
      <c r="R2730" s="1" t="s">
        <v>51</v>
      </c>
      <c r="S2730" s="1">
        <v>3</v>
      </c>
      <c r="T2730" s="1" t="b">
        <v>0</v>
      </c>
      <c r="U2730" s="1" t="s">
        <v>137</v>
      </c>
      <c r="V2730" s="3">
        <v>3</v>
      </c>
    </row>
    <row r="2731" spans="1:22" x14ac:dyDescent="0.3">
      <c r="A2731" s="2" t="s">
        <v>5943</v>
      </c>
      <c r="B2731" s="10">
        <v>44695</v>
      </c>
      <c r="C2731" s="22">
        <v>44695</v>
      </c>
      <c r="D2731" s="1" t="s">
        <v>5944</v>
      </c>
      <c r="E2731" s="1" t="s">
        <v>687</v>
      </c>
      <c r="F2731" s="1">
        <v>28</v>
      </c>
      <c r="G2731" s="1" t="s">
        <v>34</v>
      </c>
      <c r="H2731" s="1" t="s">
        <v>25</v>
      </c>
      <c r="I2731" s="1" t="s">
        <v>69</v>
      </c>
      <c r="J2731" s="1" t="s">
        <v>127</v>
      </c>
      <c r="K2731" s="1" t="s">
        <v>308</v>
      </c>
      <c r="L2731" s="1">
        <v>4</v>
      </c>
      <c r="M2731" s="13">
        <v>17943.13</v>
      </c>
      <c r="N2731" s="15">
        <v>0.05</v>
      </c>
      <c r="O2731" s="13">
        <v>95732.21</v>
      </c>
      <c r="P2731" s="13">
        <v>10497.7</v>
      </c>
      <c r="Q2731" s="13">
        <v>76.28</v>
      </c>
      <c r="R2731" s="1" t="s">
        <v>29</v>
      </c>
      <c r="S2731" s="1">
        <v>5</v>
      </c>
      <c r="T2731" s="1" t="b">
        <v>0</v>
      </c>
      <c r="U2731" s="1" t="s">
        <v>39</v>
      </c>
      <c r="V2731" s="3">
        <v>3</v>
      </c>
    </row>
    <row r="2732" spans="1:22" x14ac:dyDescent="0.3">
      <c r="A2732" s="2" t="s">
        <v>5945</v>
      </c>
      <c r="B2732" s="10">
        <v>44236</v>
      </c>
      <c r="C2732" s="22">
        <v>44236</v>
      </c>
      <c r="D2732" s="1" t="s">
        <v>5946</v>
      </c>
      <c r="E2732" s="1" t="s">
        <v>96</v>
      </c>
      <c r="F2732" s="1">
        <v>46</v>
      </c>
      <c r="G2732" s="1" t="s">
        <v>68</v>
      </c>
      <c r="H2732" s="1" t="s">
        <v>35</v>
      </c>
      <c r="I2732" s="1" t="s">
        <v>36</v>
      </c>
      <c r="J2732" s="1" t="s">
        <v>27</v>
      </c>
      <c r="K2732" s="1" t="s">
        <v>450</v>
      </c>
      <c r="L2732" s="1">
        <v>6</v>
      </c>
      <c r="M2732" s="13">
        <v>442.45</v>
      </c>
      <c r="N2732" s="15">
        <v>0.28000000000000003</v>
      </c>
      <c r="O2732" s="13">
        <v>1791.03</v>
      </c>
      <c r="P2732" s="13">
        <v>144.22</v>
      </c>
      <c r="Q2732" s="13">
        <v>60.22</v>
      </c>
      <c r="R2732" s="1" t="s">
        <v>51</v>
      </c>
      <c r="S2732" s="1">
        <v>2</v>
      </c>
      <c r="T2732" s="1" t="b">
        <v>0</v>
      </c>
      <c r="U2732" s="1" t="s">
        <v>699</v>
      </c>
      <c r="V2732" s="3">
        <v>1</v>
      </c>
    </row>
    <row r="2733" spans="1:22" x14ac:dyDescent="0.3">
      <c r="A2733" s="2" t="s">
        <v>5947</v>
      </c>
      <c r="B2733" s="10">
        <v>45149</v>
      </c>
      <c r="C2733" s="22">
        <v>45149</v>
      </c>
      <c r="D2733" s="1" t="s">
        <v>5948</v>
      </c>
      <c r="E2733" s="1" t="s">
        <v>1399</v>
      </c>
      <c r="F2733" s="1">
        <v>34</v>
      </c>
      <c r="G2733" s="1" t="s">
        <v>24</v>
      </c>
      <c r="H2733" s="1" t="s">
        <v>74</v>
      </c>
      <c r="I2733" s="1" t="s">
        <v>192</v>
      </c>
      <c r="J2733" s="1" t="s">
        <v>146</v>
      </c>
      <c r="K2733" s="1" t="s">
        <v>217</v>
      </c>
      <c r="L2733" s="1">
        <v>10</v>
      </c>
      <c r="M2733" s="13">
        <v>12222.2</v>
      </c>
      <c r="N2733" s="15">
        <v>0.28000000000000003</v>
      </c>
      <c r="O2733" s="13">
        <v>131369.75</v>
      </c>
      <c r="P2733" s="13">
        <v>28537.32</v>
      </c>
      <c r="Q2733" s="13">
        <v>26.86</v>
      </c>
      <c r="R2733" s="1" t="s">
        <v>29</v>
      </c>
      <c r="S2733" s="1">
        <v>5</v>
      </c>
      <c r="T2733" s="1" t="b">
        <v>0</v>
      </c>
      <c r="U2733" s="1" t="s">
        <v>39</v>
      </c>
      <c r="V2733" s="3">
        <v>8</v>
      </c>
    </row>
    <row r="2734" spans="1:22" x14ac:dyDescent="0.3">
      <c r="A2734" s="2" t="s">
        <v>5949</v>
      </c>
      <c r="B2734" s="10">
        <v>45128</v>
      </c>
      <c r="C2734" s="22">
        <v>45128</v>
      </c>
      <c r="D2734" s="1" t="s">
        <v>5950</v>
      </c>
      <c r="E2734" s="1" t="s">
        <v>1425</v>
      </c>
      <c r="F2734" s="1">
        <v>38</v>
      </c>
      <c r="G2734" s="1" t="s">
        <v>68</v>
      </c>
      <c r="H2734" s="1" t="s">
        <v>74</v>
      </c>
      <c r="I2734" s="1" t="s">
        <v>136</v>
      </c>
      <c r="J2734" s="1" t="s">
        <v>146</v>
      </c>
      <c r="K2734" s="1" t="s">
        <v>276</v>
      </c>
      <c r="L2734" s="1">
        <v>7</v>
      </c>
      <c r="M2734" s="13">
        <v>14576.84</v>
      </c>
      <c r="N2734" s="15">
        <v>0.04</v>
      </c>
      <c r="O2734" s="13">
        <v>162740.76</v>
      </c>
      <c r="P2734" s="13">
        <v>34015.33</v>
      </c>
      <c r="Q2734" s="13">
        <v>54.66</v>
      </c>
      <c r="R2734" s="1" t="s">
        <v>70</v>
      </c>
      <c r="S2734" s="1">
        <v>3</v>
      </c>
      <c r="T2734" s="1" t="b">
        <v>0</v>
      </c>
      <c r="U2734" s="1" t="s">
        <v>137</v>
      </c>
      <c r="V2734" s="3">
        <v>4</v>
      </c>
    </row>
    <row r="2735" spans="1:22" x14ac:dyDescent="0.3">
      <c r="A2735" s="2" t="s">
        <v>5951</v>
      </c>
      <c r="B2735" s="10">
        <v>44620</v>
      </c>
      <c r="C2735" s="22">
        <v>44620</v>
      </c>
      <c r="D2735" s="1" t="s">
        <v>5952</v>
      </c>
      <c r="E2735" s="1" t="s">
        <v>2752</v>
      </c>
      <c r="F2735" s="1">
        <v>12</v>
      </c>
      <c r="G2735" s="1" t="s">
        <v>88</v>
      </c>
      <c r="H2735" s="1" t="s">
        <v>82</v>
      </c>
      <c r="I2735" s="1" t="s">
        <v>83</v>
      </c>
      <c r="J2735" s="1" t="s">
        <v>44</v>
      </c>
      <c r="K2735" s="1" t="s">
        <v>221</v>
      </c>
      <c r="L2735" s="1">
        <v>6</v>
      </c>
      <c r="M2735" s="13">
        <v>9814.26</v>
      </c>
      <c r="N2735" s="15">
        <v>0.23</v>
      </c>
      <c r="O2735" s="13">
        <v>39342.720000000001</v>
      </c>
      <c r="P2735" s="13">
        <v>8877.9500000000007</v>
      </c>
      <c r="Q2735" s="13">
        <v>54.67</v>
      </c>
      <c r="R2735" s="1" t="s">
        <v>78</v>
      </c>
      <c r="S2735" s="1">
        <v>1</v>
      </c>
      <c r="T2735" s="1" t="b">
        <v>1</v>
      </c>
      <c r="U2735" s="1" t="s">
        <v>30</v>
      </c>
      <c r="V2735" s="3">
        <v>8</v>
      </c>
    </row>
    <row r="2736" spans="1:22" x14ac:dyDescent="0.3">
      <c r="A2736" s="2" t="s">
        <v>5953</v>
      </c>
      <c r="B2736" s="10">
        <v>44211</v>
      </c>
      <c r="C2736" s="22">
        <v>44211</v>
      </c>
      <c r="D2736" s="1" t="s">
        <v>5954</v>
      </c>
      <c r="E2736" s="1" t="s">
        <v>370</v>
      </c>
      <c r="F2736" s="1">
        <v>43</v>
      </c>
      <c r="G2736" s="1" t="s">
        <v>34</v>
      </c>
      <c r="H2736" s="1" t="s">
        <v>111</v>
      </c>
      <c r="I2736" s="1" t="s">
        <v>121</v>
      </c>
      <c r="J2736" s="1" t="s">
        <v>44</v>
      </c>
      <c r="K2736" s="1" t="s">
        <v>45</v>
      </c>
      <c r="L2736" s="1">
        <v>10</v>
      </c>
      <c r="M2736" s="13">
        <v>15368.38</v>
      </c>
      <c r="N2736" s="15">
        <v>0.3</v>
      </c>
      <c r="O2736" s="13">
        <v>93128.19</v>
      </c>
      <c r="P2736" s="13">
        <v>25001.119999999999</v>
      </c>
      <c r="Q2736" s="13">
        <v>71.290000000000006</v>
      </c>
      <c r="R2736" s="1" t="s">
        <v>78</v>
      </c>
      <c r="S2736" s="1">
        <v>2</v>
      </c>
      <c r="T2736" s="1" t="b">
        <v>0</v>
      </c>
      <c r="U2736" s="1" t="s">
        <v>39</v>
      </c>
      <c r="V2736" s="3">
        <v>6</v>
      </c>
    </row>
    <row r="2737" spans="1:22" x14ac:dyDescent="0.3">
      <c r="A2737" s="2" t="s">
        <v>5955</v>
      </c>
      <c r="B2737" s="10">
        <v>44786</v>
      </c>
      <c r="C2737" s="22">
        <v>44786</v>
      </c>
      <c r="D2737" s="1" t="s">
        <v>5956</v>
      </c>
      <c r="E2737" s="1" t="s">
        <v>885</v>
      </c>
      <c r="F2737" s="1">
        <v>50</v>
      </c>
      <c r="G2737" s="1" t="s">
        <v>34</v>
      </c>
      <c r="H2737" s="1" t="s">
        <v>74</v>
      </c>
      <c r="I2737" s="1" t="s">
        <v>101</v>
      </c>
      <c r="J2737" s="1" t="s">
        <v>127</v>
      </c>
      <c r="K2737" s="1" t="s">
        <v>171</v>
      </c>
      <c r="L2737" s="1">
        <v>6</v>
      </c>
      <c r="M2737" s="13">
        <v>6117.71</v>
      </c>
      <c r="N2737" s="15">
        <v>0.16</v>
      </c>
      <c r="O2737" s="13">
        <v>40557.08</v>
      </c>
      <c r="P2737" s="13">
        <v>4428.08</v>
      </c>
      <c r="Q2737" s="13">
        <v>28.16</v>
      </c>
      <c r="R2737" s="1" t="s">
        <v>29</v>
      </c>
      <c r="S2737" s="1">
        <v>3</v>
      </c>
      <c r="T2737" s="1" t="b">
        <v>0</v>
      </c>
      <c r="U2737" s="1" t="s">
        <v>137</v>
      </c>
      <c r="V2737" s="3">
        <v>4</v>
      </c>
    </row>
    <row r="2738" spans="1:22" x14ac:dyDescent="0.3">
      <c r="A2738" s="2" t="s">
        <v>5957</v>
      </c>
      <c r="B2738" s="10">
        <v>45513</v>
      </c>
      <c r="C2738" s="22">
        <v>45513</v>
      </c>
      <c r="D2738" s="1" t="s">
        <v>5958</v>
      </c>
      <c r="E2738" s="1" t="s">
        <v>105</v>
      </c>
      <c r="F2738" s="1">
        <v>36</v>
      </c>
      <c r="G2738" s="1" t="s">
        <v>24</v>
      </c>
      <c r="H2738" s="1" t="s">
        <v>25</v>
      </c>
      <c r="I2738" s="1" t="s">
        <v>170</v>
      </c>
      <c r="J2738" s="1" t="s">
        <v>27</v>
      </c>
      <c r="K2738" s="1" t="s">
        <v>450</v>
      </c>
      <c r="L2738" s="1">
        <v>2</v>
      </c>
      <c r="M2738" s="13">
        <v>66.77</v>
      </c>
      <c r="N2738" s="15">
        <v>0.01</v>
      </c>
      <c r="O2738" s="13">
        <v>216.47</v>
      </c>
      <c r="P2738" s="13">
        <v>11.57</v>
      </c>
      <c r="Q2738" s="13">
        <v>50.95</v>
      </c>
      <c r="R2738" s="1" t="s">
        <v>64</v>
      </c>
      <c r="S2738" s="1">
        <v>3</v>
      </c>
      <c r="T2738" s="1" t="b">
        <v>0</v>
      </c>
      <c r="U2738" s="1" t="s">
        <v>39</v>
      </c>
      <c r="V2738" s="3">
        <v>8</v>
      </c>
    </row>
    <row r="2739" spans="1:22" x14ac:dyDescent="0.3">
      <c r="A2739" s="2" t="s">
        <v>5959</v>
      </c>
      <c r="B2739" s="10">
        <v>44121</v>
      </c>
      <c r="C2739" s="22">
        <v>44121</v>
      </c>
      <c r="D2739" s="1" t="s">
        <v>5960</v>
      </c>
      <c r="E2739" s="1" t="s">
        <v>534</v>
      </c>
      <c r="F2739" s="1">
        <v>34</v>
      </c>
      <c r="G2739" s="1" t="s">
        <v>24</v>
      </c>
      <c r="H2739" s="1" t="s">
        <v>111</v>
      </c>
      <c r="I2739" s="1" t="s">
        <v>330</v>
      </c>
      <c r="J2739" s="1" t="s">
        <v>146</v>
      </c>
      <c r="K2739" s="1" t="s">
        <v>178</v>
      </c>
      <c r="L2739" s="1">
        <v>6</v>
      </c>
      <c r="M2739" s="13">
        <v>8844.24</v>
      </c>
      <c r="N2739" s="15">
        <v>0.21</v>
      </c>
      <c r="O2739" s="13">
        <v>44980.54</v>
      </c>
      <c r="P2739" s="13">
        <v>12774.01</v>
      </c>
      <c r="Q2739" s="13">
        <v>53.01</v>
      </c>
      <c r="R2739" s="1" t="s">
        <v>70</v>
      </c>
      <c r="S2739" s="1">
        <v>4</v>
      </c>
      <c r="T2739" s="1" t="b">
        <v>0</v>
      </c>
      <c r="U2739" s="1" t="s">
        <v>39</v>
      </c>
      <c r="V2739" s="3">
        <v>1</v>
      </c>
    </row>
    <row r="2740" spans="1:22" x14ac:dyDescent="0.3">
      <c r="A2740" s="2" t="s">
        <v>5961</v>
      </c>
      <c r="B2740" s="10">
        <v>43973</v>
      </c>
      <c r="C2740" s="22">
        <v>43973</v>
      </c>
      <c r="D2740" s="1" t="s">
        <v>5962</v>
      </c>
      <c r="E2740" s="1" t="s">
        <v>1955</v>
      </c>
      <c r="F2740" s="1">
        <v>33</v>
      </c>
      <c r="G2740" s="1" t="s">
        <v>24</v>
      </c>
      <c r="H2740" s="1" t="s">
        <v>74</v>
      </c>
      <c r="I2740" s="1" t="s">
        <v>75</v>
      </c>
      <c r="J2740" s="1" t="s">
        <v>127</v>
      </c>
      <c r="K2740" s="1" t="s">
        <v>308</v>
      </c>
      <c r="L2740" s="1">
        <v>9</v>
      </c>
      <c r="M2740" s="13">
        <v>45918.69</v>
      </c>
      <c r="N2740" s="15">
        <v>0.28999999999999998</v>
      </c>
      <c r="O2740" s="13">
        <v>357689.69</v>
      </c>
      <c r="P2740" s="13">
        <v>29447.82</v>
      </c>
      <c r="Q2740" s="13">
        <v>48.88</v>
      </c>
      <c r="R2740" s="1" t="s">
        <v>57</v>
      </c>
      <c r="S2740" s="1">
        <v>4</v>
      </c>
      <c r="T2740" s="1" t="b">
        <v>0</v>
      </c>
      <c r="U2740" s="1" t="s">
        <v>197</v>
      </c>
      <c r="V2740" s="3">
        <v>6</v>
      </c>
    </row>
    <row r="2741" spans="1:22" x14ac:dyDescent="0.3">
      <c r="A2741" s="2" t="s">
        <v>5963</v>
      </c>
      <c r="B2741" s="10">
        <v>44819</v>
      </c>
      <c r="C2741" s="22">
        <v>44819</v>
      </c>
      <c r="D2741" s="1" t="s">
        <v>5964</v>
      </c>
      <c r="E2741" s="1" t="s">
        <v>3005</v>
      </c>
      <c r="F2741" s="1">
        <v>36</v>
      </c>
      <c r="G2741" s="1" t="s">
        <v>68</v>
      </c>
      <c r="H2741" s="1" t="s">
        <v>25</v>
      </c>
      <c r="I2741" s="1" t="s">
        <v>55</v>
      </c>
      <c r="J2741" s="1" t="s">
        <v>62</v>
      </c>
      <c r="K2741" s="1" t="s">
        <v>283</v>
      </c>
      <c r="L2741" s="1">
        <v>9</v>
      </c>
      <c r="M2741" s="13">
        <v>1131.92</v>
      </c>
      <c r="N2741" s="15">
        <v>0.12</v>
      </c>
      <c r="O2741" s="13">
        <v>10966.62</v>
      </c>
      <c r="P2741" s="13">
        <v>3680.22</v>
      </c>
      <c r="Q2741" s="13">
        <v>39.840000000000003</v>
      </c>
      <c r="R2741" s="1" t="s">
        <v>51</v>
      </c>
      <c r="S2741" s="1">
        <v>3</v>
      </c>
      <c r="T2741" s="1" t="b">
        <v>0</v>
      </c>
      <c r="U2741" s="1" t="s">
        <v>39</v>
      </c>
      <c r="V2741" s="3">
        <v>7</v>
      </c>
    </row>
    <row r="2742" spans="1:22" x14ac:dyDescent="0.3">
      <c r="A2742" s="2" t="s">
        <v>5965</v>
      </c>
      <c r="B2742" s="10">
        <v>44653</v>
      </c>
      <c r="C2742" s="22">
        <v>44653</v>
      </c>
      <c r="D2742" s="1" t="s">
        <v>5966</v>
      </c>
      <c r="E2742" s="1" t="s">
        <v>1489</v>
      </c>
      <c r="F2742" s="1">
        <v>44</v>
      </c>
      <c r="G2742" s="1" t="s">
        <v>68</v>
      </c>
      <c r="H2742" s="1" t="s">
        <v>74</v>
      </c>
      <c r="I2742" s="1" t="s">
        <v>192</v>
      </c>
      <c r="J2742" s="1" t="s">
        <v>127</v>
      </c>
      <c r="K2742" s="1" t="s">
        <v>171</v>
      </c>
      <c r="L2742" s="1">
        <v>6</v>
      </c>
      <c r="M2742" s="13">
        <v>8309.27</v>
      </c>
      <c r="N2742" s="15">
        <v>0.28000000000000003</v>
      </c>
      <c r="O2742" s="13">
        <v>51030.14</v>
      </c>
      <c r="P2742" s="13">
        <v>6755.64</v>
      </c>
      <c r="Q2742" s="13">
        <v>53.74</v>
      </c>
      <c r="R2742" s="1" t="s">
        <v>29</v>
      </c>
      <c r="S2742" s="1">
        <v>5</v>
      </c>
      <c r="T2742" s="1" t="b">
        <v>0</v>
      </c>
      <c r="U2742" s="1" t="s">
        <v>39</v>
      </c>
      <c r="V2742" s="3">
        <v>8</v>
      </c>
    </row>
    <row r="2743" spans="1:22" x14ac:dyDescent="0.3">
      <c r="A2743" s="2" t="s">
        <v>5967</v>
      </c>
      <c r="B2743" s="10">
        <v>45326</v>
      </c>
      <c r="C2743" s="22">
        <v>45326</v>
      </c>
      <c r="D2743" s="1" t="s">
        <v>5968</v>
      </c>
      <c r="E2743" s="1" t="s">
        <v>4771</v>
      </c>
      <c r="F2743" s="1">
        <v>53</v>
      </c>
      <c r="G2743" s="1" t="s">
        <v>68</v>
      </c>
      <c r="H2743" s="1" t="s">
        <v>74</v>
      </c>
      <c r="I2743" s="1" t="s">
        <v>75</v>
      </c>
      <c r="J2743" s="1" t="s">
        <v>76</v>
      </c>
      <c r="K2743" s="1" t="s">
        <v>89</v>
      </c>
      <c r="L2743" s="1">
        <v>9</v>
      </c>
      <c r="M2743" s="13">
        <v>1260.1600000000001</v>
      </c>
      <c r="N2743" s="15">
        <v>0.28999999999999998</v>
      </c>
      <c r="O2743" s="13">
        <v>9260.74</v>
      </c>
      <c r="P2743" s="13">
        <v>1885.34</v>
      </c>
      <c r="Q2743" s="13">
        <v>43.16</v>
      </c>
      <c r="R2743" s="1" t="s">
        <v>29</v>
      </c>
      <c r="S2743" s="1">
        <v>3</v>
      </c>
      <c r="T2743" s="1" t="b">
        <v>0</v>
      </c>
      <c r="U2743" s="1" t="s">
        <v>39</v>
      </c>
      <c r="V2743" s="3">
        <v>3</v>
      </c>
    </row>
    <row r="2744" spans="1:22" x14ac:dyDescent="0.3">
      <c r="A2744" s="2" t="s">
        <v>5969</v>
      </c>
      <c r="B2744" s="10">
        <v>44340</v>
      </c>
      <c r="C2744" s="22">
        <v>44340</v>
      </c>
      <c r="D2744" s="1" t="s">
        <v>5970</v>
      </c>
      <c r="E2744" s="1" t="s">
        <v>3143</v>
      </c>
      <c r="F2744" s="1">
        <v>43</v>
      </c>
      <c r="G2744" s="1" t="s">
        <v>68</v>
      </c>
      <c r="H2744" s="1" t="s">
        <v>74</v>
      </c>
      <c r="I2744" s="1" t="s">
        <v>101</v>
      </c>
      <c r="J2744" s="1" t="s">
        <v>76</v>
      </c>
      <c r="K2744" s="1" t="s">
        <v>207</v>
      </c>
      <c r="L2744" s="1">
        <v>7</v>
      </c>
      <c r="M2744" s="13">
        <v>2698.4</v>
      </c>
      <c r="N2744" s="15">
        <v>0.21</v>
      </c>
      <c r="O2744" s="13">
        <v>23690.17</v>
      </c>
      <c r="P2744" s="13">
        <v>9129.7000000000007</v>
      </c>
      <c r="Q2744" s="13">
        <v>40.03</v>
      </c>
      <c r="R2744" s="1" t="s">
        <v>78</v>
      </c>
      <c r="S2744" s="1">
        <v>4</v>
      </c>
      <c r="T2744" s="1" t="b">
        <v>0</v>
      </c>
      <c r="U2744" s="1" t="s">
        <v>39</v>
      </c>
      <c r="V2744" s="3">
        <v>4</v>
      </c>
    </row>
    <row r="2745" spans="1:22" x14ac:dyDescent="0.3">
      <c r="A2745" s="2" t="s">
        <v>5971</v>
      </c>
      <c r="B2745" s="10">
        <v>44509</v>
      </c>
      <c r="C2745" s="22">
        <v>44509</v>
      </c>
      <c r="D2745" s="1" t="s">
        <v>5972</v>
      </c>
      <c r="E2745" s="1" t="s">
        <v>1886</v>
      </c>
      <c r="F2745" s="1">
        <v>49</v>
      </c>
      <c r="G2745" s="1" t="s">
        <v>34</v>
      </c>
      <c r="H2745" s="1" t="s">
        <v>35</v>
      </c>
      <c r="I2745" s="1" t="s">
        <v>36</v>
      </c>
      <c r="J2745" s="1" t="s">
        <v>37</v>
      </c>
      <c r="K2745" s="1" t="s">
        <v>231</v>
      </c>
      <c r="L2745" s="1">
        <v>2</v>
      </c>
      <c r="M2745" s="13">
        <v>1889.82</v>
      </c>
      <c r="N2745" s="15">
        <v>0.31</v>
      </c>
      <c r="O2745" s="13">
        <v>2196.85</v>
      </c>
      <c r="P2745" s="13">
        <v>602</v>
      </c>
      <c r="Q2745" s="13">
        <v>54.82</v>
      </c>
      <c r="R2745" s="1" t="s">
        <v>51</v>
      </c>
      <c r="S2745" s="1">
        <v>5</v>
      </c>
      <c r="T2745" s="1" t="b">
        <v>0</v>
      </c>
      <c r="U2745" s="1" t="s">
        <v>39</v>
      </c>
      <c r="V2745" s="3">
        <v>6</v>
      </c>
    </row>
    <row r="2746" spans="1:22" x14ac:dyDescent="0.3">
      <c r="A2746" s="2" t="s">
        <v>5973</v>
      </c>
      <c r="B2746" s="10">
        <v>43962</v>
      </c>
      <c r="C2746" s="22">
        <v>43962</v>
      </c>
      <c r="D2746" s="1" t="s">
        <v>5974</v>
      </c>
      <c r="E2746" s="1" t="s">
        <v>1476</v>
      </c>
      <c r="F2746" s="1">
        <v>26</v>
      </c>
      <c r="G2746" s="1" t="s">
        <v>68</v>
      </c>
      <c r="H2746" s="1" t="s">
        <v>25</v>
      </c>
      <c r="I2746" s="1" t="s">
        <v>26</v>
      </c>
      <c r="J2746" s="1" t="s">
        <v>127</v>
      </c>
      <c r="K2746" s="1" t="s">
        <v>142</v>
      </c>
      <c r="L2746" s="1">
        <v>8</v>
      </c>
      <c r="M2746" s="13">
        <v>40911.480000000003</v>
      </c>
      <c r="N2746" s="15">
        <v>0.09</v>
      </c>
      <c r="O2746" s="13">
        <v>361315.62</v>
      </c>
      <c r="P2746" s="13">
        <v>40799.74</v>
      </c>
      <c r="Q2746" s="13">
        <v>67.150000000000006</v>
      </c>
      <c r="R2746" s="1" t="s">
        <v>29</v>
      </c>
      <c r="S2746" s="1">
        <v>1</v>
      </c>
      <c r="T2746" s="1" t="b">
        <v>0</v>
      </c>
      <c r="U2746" s="1" t="s">
        <v>39</v>
      </c>
      <c r="V2746" s="3">
        <v>4</v>
      </c>
    </row>
    <row r="2747" spans="1:22" x14ac:dyDescent="0.3">
      <c r="A2747" s="2" t="s">
        <v>5975</v>
      </c>
      <c r="B2747" s="10">
        <v>44306</v>
      </c>
      <c r="C2747" s="22">
        <v>44306</v>
      </c>
      <c r="D2747" s="1" t="s">
        <v>5976</v>
      </c>
      <c r="E2747" s="1" t="s">
        <v>2257</v>
      </c>
      <c r="F2747" s="1">
        <v>45</v>
      </c>
      <c r="G2747" s="1" t="s">
        <v>24</v>
      </c>
      <c r="H2747" s="1" t="s">
        <v>74</v>
      </c>
      <c r="I2747" s="1" t="s">
        <v>136</v>
      </c>
      <c r="J2747" s="1" t="s">
        <v>146</v>
      </c>
      <c r="K2747" s="1" t="s">
        <v>484</v>
      </c>
      <c r="L2747" s="1">
        <v>9</v>
      </c>
      <c r="M2747" s="13">
        <v>11805.28</v>
      </c>
      <c r="N2747" s="15">
        <v>0.27</v>
      </c>
      <c r="O2747" s="13">
        <v>86430.39</v>
      </c>
      <c r="P2747" s="13">
        <v>29866.83</v>
      </c>
      <c r="Q2747" s="13">
        <v>49.92</v>
      </c>
      <c r="R2747" s="1" t="s">
        <v>64</v>
      </c>
      <c r="S2747" s="1">
        <v>1</v>
      </c>
      <c r="T2747" s="1" t="b">
        <v>0</v>
      </c>
      <c r="U2747" s="1" t="s">
        <v>39</v>
      </c>
      <c r="V2747" s="3">
        <v>8</v>
      </c>
    </row>
    <row r="2748" spans="1:22" x14ac:dyDescent="0.3">
      <c r="A2748" s="2" t="s">
        <v>5977</v>
      </c>
      <c r="B2748" s="10">
        <v>43945</v>
      </c>
      <c r="C2748" s="22">
        <v>43945</v>
      </c>
      <c r="D2748" s="1" t="s">
        <v>5978</v>
      </c>
      <c r="E2748" s="1" t="s">
        <v>3322</v>
      </c>
      <c r="F2748" s="1">
        <v>34</v>
      </c>
      <c r="G2748" s="1" t="s">
        <v>68</v>
      </c>
      <c r="H2748" s="1" t="s">
        <v>111</v>
      </c>
      <c r="I2748" s="1" t="s">
        <v>141</v>
      </c>
      <c r="J2748" s="1" t="s">
        <v>146</v>
      </c>
      <c r="K2748" s="1" t="s">
        <v>217</v>
      </c>
      <c r="L2748" s="1">
        <v>2</v>
      </c>
      <c r="M2748" s="13">
        <v>3013.7</v>
      </c>
      <c r="N2748" s="15">
        <v>0.11</v>
      </c>
      <c r="O2748" s="13">
        <v>5709.63</v>
      </c>
      <c r="P2748" s="13">
        <v>1988.95</v>
      </c>
      <c r="Q2748" s="13">
        <v>55.35</v>
      </c>
      <c r="R2748" s="1" t="s">
        <v>78</v>
      </c>
      <c r="S2748" s="1">
        <v>1</v>
      </c>
      <c r="T2748" s="1" t="b">
        <v>0</v>
      </c>
      <c r="U2748" s="1" t="s">
        <v>39</v>
      </c>
      <c r="V2748" s="3">
        <v>10</v>
      </c>
    </row>
    <row r="2749" spans="1:22" x14ac:dyDescent="0.3">
      <c r="A2749" s="2" t="s">
        <v>5979</v>
      </c>
      <c r="B2749" s="10">
        <v>44818</v>
      </c>
      <c r="C2749" s="22">
        <v>44818</v>
      </c>
      <c r="D2749" s="1" t="s">
        <v>5980</v>
      </c>
      <c r="E2749" s="1" t="s">
        <v>2130</v>
      </c>
      <c r="F2749" s="1">
        <v>28</v>
      </c>
      <c r="G2749" s="1" t="s">
        <v>34</v>
      </c>
      <c r="H2749" s="1" t="s">
        <v>74</v>
      </c>
      <c r="I2749" s="1" t="s">
        <v>192</v>
      </c>
      <c r="J2749" s="1" t="s">
        <v>37</v>
      </c>
      <c r="K2749" s="1" t="s">
        <v>38</v>
      </c>
      <c r="L2749" s="1">
        <v>10</v>
      </c>
      <c r="M2749" s="13">
        <v>537.83000000000004</v>
      </c>
      <c r="N2749" s="15">
        <v>0.23</v>
      </c>
      <c r="O2749" s="13">
        <v>4825.68</v>
      </c>
      <c r="P2749" s="13">
        <v>2340.29</v>
      </c>
      <c r="Q2749" s="13">
        <v>51.8</v>
      </c>
      <c r="R2749" s="1" t="s">
        <v>57</v>
      </c>
      <c r="S2749" s="1">
        <v>5</v>
      </c>
      <c r="T2749" s="1" t="b">
        <v>0</v>
      </c>
      <c r="U2749" s="1" t="s">
        <v>39</v>
      </c>
      <c r="V2749" s="3">
        <v>10</v>
      </c>
    </row>
    <row r="2750" spans="1:22" x14ac:dyDescent="0.3">
      <c r="A2750" s="2" t="s">
        <v>5981</v>
      </c>
      <c r="B2750" s="10">
        <v>45366</v>
      </c>
      <c r="C2750" s="22">
        <v>45366</v>
      </c>
      <c r="D2750" s="1" t="s">
        <v>5982</v>
      </c>
      <c r="E2750" s="1" t="s">
        <v>2250</v>
      </c>
      <c r="F2750" s="1">
        <v>27</v>
      </c>
      <c r="G2750" s="1" t="s">
        <v>24</v>
      </c>
      <c r="H2750" s="1" t="s">
        <v>111</v>
      </c>
      <c r="I2750" s="1" t="s">
        <v>330</v>
      </c>
      <c r="J2750" s="1" t="s">
        <v>37</v>
      </c>
      <c r="K2750" s="1" t="s">
        <v>102</v>
      </c>
      <c r="L2750" s="1">
        <v>3</v>
      </c>
      <c r="M2750" s="13">
        <v>1642.41</v>
      </c>
      <c r="N2750" s="15">
        <v>0.08</v>
      </c>
      <c r="O2750" s="13">
        <v>5813.31</v>
      </c>
      <c r="P2750" s="13">
        <v>2075.4499999999998</v>
      </c>
      <c r="Q2750" s="13">
        <v>71.2</v>
      </c>
      <c r="R2750" s="1" t="s">
        <v>78</v>
      </c>
      <c r="S2750" s="1">
        <v>3</v>
      </c>
      <c r="T2750" s="1" t="b">
        <v>1</v>
      </c>
      <c r="U2750" s="1" t="s">
        <v>30</v>
      </c>
      <c r="V2750" s="3">
        <v>5</v>
      </c>
    </row>
    <row r="2751" spans="1:22" x14ac:dyDescent="0.3">
      <c r="A2751" s="2" t="s">
        <v>5983</v>
      </c>
      <c r="B2751" s="10">
        <v>44675</v>
      </c>
      <c r="C2751" s="22">
        <v>44675</v>
      </c>
      <c r="D2751" s="1" t="s">
        <v>5984</v>
      </c>
      <c r="E2751" s="1" t="s">
        <v>3143</v>
      </c>
      <c r="F2751" s="1">
        <v>37</v>
      </c>
      <c r="G2751" s="1" t="s">
        <v>24</v>
      </c>
      <c r="H2751" s="1" t="s">
        <v>74</v>
      </c>
      <c r="I2751" s="1" t="s">
        <v>75</v>
      </c>
      <c r="J2751" s="1" t="s">
        <v>62</v>
      </c>
      <c r="K2751" s="1" t="s">
        <v>107</v>
      </c>
      <c r="L2751" s="1">
        <v>10</v>
      </c>
      <c r="M2751" s="13">
        <v>549.69000000000005</v>
      </c>
      <c r="N2751" s="15">
        <v>0.15</v>
      </c>
      <c r="O2751" s="13">
        <v>6379.06</v>
      </c>
      <c r="P2751" s="13">
        <v>2818.11</v>
      </c>
      <c r="Q2751" s="13">
        <v>41.87</v>
      </c>
      <c r="R2751" s="1" t="s">
        <v>51</v>
      </c>
      <c r="S2751" s="1">
        <v>2</v>
      </c>
      <c r="T2751" s="1" t="b">
        <v>1</v>
      </c>
      <c r="U2751" s="1" t="s">
        <v>30</v>
      </c>
      <c r="V2751" s="3">
        <v>5</v>
      </c>
    </row>
    <row r="2752" spans="1:22" x14ac:dyDescent="0.3">
      <c r="A2752" s="2" t="s">
        <v>5985</v>
      </c>
      <c r="B2752" s="10">
        <v>44319</v>
      </c>
      <c r="C2752" s="22">
        <v>44319</v>
      </c>
      <c r="D2752" s="1" t="s">
        <v>5986</v>
      </c>
      <c r="E2752" s="1" t="s">
        <v>243</v>
      </c>
      <c r="F2752" s="1">
        <v>38</v>
      </c>
      <c r="G2752" s="1" t="s">
        <v>434</v>
      </c>
      <c r="H2752" s="1" t="s">
        <v>25</v>
      </c>
      <c r="I2752" s="1" t="s">
        <v>55</v>
      </c>
      <c r="J2752" s="1" t="s">
        <v>37</v>
      </c>
      <c r="K2752" s="1" t="s">
        <v>38</v>
      </c>
      <c r="L2752" s="1">
        <v>9</v>
      </c>
      <c r="M2752" s="13">
        <v>1894.31</v>
      </c>
      <c r="N2752" s="15">
        <v>0.16</v>
      </c>
      <c r="O2752" s="13">
        <v>22532.03</v>
      </c>
      <c r="P2752" s="13">
        <v>10031.98</v>
      </c>
      <c r="Q2752" s="13">
        <v>58.22</v>
      </c>
      <c r="R2752" s="1" t="s">
        <v>51</v>
      </c>
      <c r="S2752" s="1">
        <v>4</v>
      </c>
      <c r="T2752" s="1" t="b">
        <v>0</v>
      </c>
      <c r="U2752" s="1" t="s">
        <v>58</v>
      </c>
      <c r="V2752" s="3">
        <v>4</v>
      </c>
    </row>
    <row r="2753" spans="1:22" x14ac:dyDescent="0.3">
      <c r="A2753" s="2" t="s">
        <v>5987</v>
      </c>
      <c r="B2753" s="10">
        <v>44043</v>
      </c>
      <c r="C2753" s="22">
        <v>44043</v>
      </c>
      <c r="D2753" s="1" t="s">
        <v>5988</v>
      </c>
      <c r="E2753" s="1" t="s">
        <v>1345</v>
      </c>
      <c r="F2753" s="1">
        <v>41</v>
      </c>
      <c r="G2753" s="1" t="s">
        <v>68</v>
      </c>
      <c r="H2753" s="1" t="s">
        <v>35</v>
      </c>
      <c r="I2753" s="1" t="s">
        <v>43</v>
      </c>
      <c r="J2753" s="1" t="s">
        <v>37</v>
      </c>
      <c r="K2753" s="1" t="s">
        <v>38</v>
      </c>
      <c r="L2753" s="1">
        <v>1</v>
      </c>
      <c r="M2753" s="13">
        <v>765.68</v>
      </c>
      <c r="N2753" s="15">
        <v>0.21</v>
      </c>
      <c r="O2753" s="13">
        <v>780.12</v>
      </c>
      <c r="P2753" s="13">
        <v>338.31</v>
      </c>
      <c r="Q2753" s="13">
        <v>66.83</v>
      </c>
      <c r="R2753" s="1" t="s">
        <v>64</v>
      </c>
      <c r="S2753" s="1">
        <v>4</v>
      </c>
      <c r="T2753" s="1" t="b">
        <v>0</v>
      </c>
      <c r="U2753" s="1" t="s">
        <v>39</v>
      </c>
      <c r="V2753" s="3">
        <v>1</v>
      </c>
    </row>
    <row r="2754" spans="1:22" x14ac:dyDescent="0.3">
      <c r="A2754" s="2" t="s">
        <v>5989</v>
      </c>
      <c r="B2754" s="10">
        <v>45513</v>
      </c>
      <c r="C2754" s="22">
        <v>45513</v>
      </c>
      <c r="D2754" s="1" t="s">
        <v>5990</v>
      </c>
      <c r="E2754" s="1" t="s">
        <v>1050</v>
      </c>
      <c r="F2754" s="1">
        <v>45</v>
      </c>
      <c r="G2754" s="1" t="s">
        <v>68</v>
      </c>
      <c r="H2754" s="1" t="s">
        <v>25</v>
      </c>
      <c r="I2754" s="1" t="s">
        <v>26</v>
      </c>
      <c r="J2754" s="1" t="s">
        <v>127</v>
      </c>
      <c r="K2754" s="1" t="s">
        <v>308</v>
      </c>
      <c r="L2754" s="1">
        <v>9</v>
      </c>
      <c r="M2754" s="13">
        <v>15767.46</v>
      </c>
      <c r="N2754" s="15">
        <v>0.02</v>
      </c>
      <c r="O2754" s="13">
        <v>198910.86</v>
      </c>
      <c r="P2754" s="13">
        <v>22958.1</v>
      </c>
      <c r="Q2754" s="13">
        <v>44.62</v>
      </c>
      <c r="R2754" s="1" t="s">
        <v>70</v>
      </c>
      <c r="S2754" s="1">
        <v>3</v>
      </c>
      <c r="T2754" s="1" t="b">
        <v>1</v>
      </c>
      <c r="U2754" s="1" t="s">
        <v>30</v>
      </c>
      <c r="V2754" s="3">
        <v>6</v>
      </c>
    </row>
    <row r="2755" spans="1:22" x14ac:dyDescent="0.3">
      <c r="A2755" s="2" t="s">
        <v>5991</v>
      </c>
      <c r="B2755" s="10">
        <v>44432</v>
      </c>
      <c r="C2755" s="22">
        <v>44432</v>
      </c>
      <c r="D2755" s="1" t="s">
        <v>5992</v>
      </c>
      <c r="E2755" s="1" t="s">
        <v>958</v>
      </c>
      <c r="F2755" s="1">
        <v>32</v>
      </c>
      <c r="G2755" s="1" t="s">
        <v>68</v>
      </c>
      <c r="H2755" s="1" t="s">
        <v>111</v>
      </c>
      <c r="I2755" s="1" t="s">
        <v>141</v>
      </c>
      <c r="J2755" s="1" t="s">
        <v>37</v>
      </c>
      <c r="K2755" s="1" t="s">
        <v>182</v>
      </c>
      <c r="L2755" s="1">
        <v>4</v>
      </c>
      <c r="M2755" s="13">
        <v>154.86000000000001</v>
      </c>
      <c r="N2755" s="15">
        <v>0.33</v>
      </c>
      <c r="O2755" s="13">
        <v>476.99</v>
      </c>
      <c r="P2755" s="13">
        <v>235.99</v>
      </c>
      <c r="Q2755" s="13">
        <v>64.400000000000006</v>
      </c>
      <c r="R2755" s="1" t="s">
        <v>29</v>
      </c>
      <c r="S2755" s="1">
        <v>3</v>
      </c>
      <c r="T2755" s="1" t="b">
        <v>0</v>
      </c>
      <c r="U2755" s="1" t="s">
        <v>39</v>
      </c>
      <c r="V2755" s="3">
        <v>100</v>
      </c>
    </row>
    <row r="2756" spans="1:22" x14ac:dyDescent="0.3">
      <c r="A2756" s="2" t="s">
        <v>5993</v>
      </c>
      <c r="B2756" s="10">
        <v>44879</v>
      </c>
      <c r="C2756" s="22">
        <v>44879</v>
      </c>
      <c r="D2756" s="1" t="s">
        <v>5994</v>
      </c>
      <c r="E2756" s="1" t="s">
        <v>311</v>
      </c>
      <c r="F2756" s="1">
        <v>25</v>
      </c>
      <c r="G2756" s="1" t="s">
        <v>24</v>
      </c>
      <c r="H2756" s="1" t="s">
        <v>111</v>
      </c>
      <c r="I2756" s="1" t="s">
        <v>112</v>
      </c>
      <c r="J2756" s="1" t="s">
        <v>76</v>
      </c>
      <c r="K2756" s="1" t="s">
        <v>122</v>
      </c>
      <c r="L2756" s="1">
        <v>7</v>
      </c>
      <c r="M2756" s="13">
        <v>1668.16</v>
      </c>
      <c r="N2756" s="15">
        <v>0.14000000000000001</v>
      </c>
      <c r="O2756" s="13">
        <v>9181.91</v>
      </c>
      <c r="P2756" s="13">
        <v>2178.6799999999998</v>
      </c>
      <c r="Q2756" s="13">
        <v>85.58</v>
      </c>
      <c r="R2756" s="1" t="s">
        <v>78</v>
      </c>
      <c r="S2756" s="1">
        <v>3</v>
      </c>
      <c r="T2756" s="1" t="b">
        <v>0</v>
      </c>
      <c r="U2756" s="1" t="s">
        <v>39</v>
      </c>
      <c r="V2756" s="3">
        <v>7</v>
      </c>
    </row>
    <row r="2757" spans="1:22" x14ac:dyDescent="0.3">
      <c r="A2757" s="2" t="s">
        <v>5995</v>
      </c>
      <c r="B2757" s="10">
        <v>44057</v>
      </c>
      <c r="C2757" s="22">
        <v>44057</v>
      </c>
      <c r="D2757" s="1" t="s">
        <v>5996</v>
      </c>
      <c r="E2757" s="1" t="s">
        <v>696</v>
      </c>
      <c r="F2757" s="1">
        <v>44</v>
      </c>
      <c r="G2757" s="1" t="s">
        <v>34</v>
      </c>
      <c r="H2757" s="1" t="s">
        <v>74</v>
      </c>
      <c r="I2757" s="1" t="s">
        <v>136</v>
      </c>
      <c r="J2757" s="1" t="s">
        <v>76</v>
      </c>
      <c r="K2757" s="1" t="s">
        <v>89</v>
      </c>
      <c r="L2757" s="1">
        <v>8</v>
      </c>
      <c r="M2757" s="13">
        <v>310.3</v>
      </c>
      <c r="N2757" s="15">
        <v>0.25</v>
      </c>
      <c r="O2757" s="13">
        <v>2033.35</v>
      </c>
      <c r="P2757" s="13">
        <v>737.69</v>
      </c>
      <c r="Q2757" s="13">
        <v>67.739999999999995</v>
      </c>
      <c r="R2757" s="1" t="s">
        <v>70</v>
      </c>
      <c r="S2757" s="1">
        <v>2</v>
      </c>
      <c r="T2757" s="1" t="b">
        <v>0</v>
      </c>
      <c r="U2757" s="1" t="s">
        <v>39</v>
      </c>
      <c r="V2757" s="3">
        <v>1</v>
      </c>
    </row>
    <row r="2758" spans="1:22" x14ac:dyDescent="0.3">
      <c r="A2758" s="2" t="s">
        <v>5997</v>
      </c>
      <c r="B2758" s="10">
        <v>44227</v>
      </c>
      <c r="C2758" s="22">
        <v>44227</v>
      </c>
      <c r="D2758" s="1" t="s">
        <v>5998</v>
      </c>
      <c r="E2758" s="1" t="s">
        <v>616</v>
      </c>
      <c r="F2758" s="1">
        <v>56</v>
      </c>
      <c r="G2758" s="1" t="s">
        <v>24</v>
      </c>
      <c r="H2758" s="1" t="s">
        <v>35</v>
      </c>
      <c r="I2758" s="1" t="s">
        <v>49</v>
      </c>
      <c r="J2758" s="1" t="s">
        <v>76</v>
      </c>
      <c r="K2758" s="1" t="s">
        <v>207</v>
      </c>
      <c r="L2758" s="1">
        <v>9</v>
      </c>
      <c r="M2758" s="13">
        <v>3487.25</v>
      </c>
      <c r="N2758" s="15">
        <v>0.28000000000000003</v>
      </c>
      <c r="O2758" s="13">
        <v>17823.41</v>
      </c>
      <c r="P2758" s="13">
        <v>4665.95</v>
      </c>
      <c r="Q2758" s="13">
        <v>82.7</v>
      </c>
      <c r="R2758" s="1" t="s">
        <v>64</v>
      </c>
      <c r="S2758" s="1">
        <v>3</v>
      </c>
      <c r="T2758" s="1" t="b">
        <v>0</v>
      </c>
      <c r="U2758" s="1" t="s">
        <v>58</v>
      </c>
      <c r="V2758" s="3">
        <v>1</v>
      </c>
    </row>
    <row r="2759" spans="1:22" x14ac:dyDescent="0.3">
      <c r="A2759" s="2" t="s">
        <v>5999</v>
      </c>
      <c r="B2759" s="10">
        <v>45535</v>
      </c>
      <c r="C2759" s="22">
        <v>45535</v>
      </c>
      <c r="D2759" s="1" t="s">
        <v>6000</v>
      </c>
      <c r="E2759" s="1" t="s">
        <v>457</v>
      </c>
      <c r="F2759" s="1">
        <v>50</v>
      </c>
      <c r="G2759" s="1" t="s">
        <v>24</v>
      </c>
      <c r="H2759" s="1" t="s">
        <v>111</v>
      </c>
      <c r="I2759" s="1" t="s">
        <v>121</v>
      </c>
      <c r="J2759" s="1" t="s">
        <v>44</v>
      </c>
      <c r="K2759" s="1" t="s">
        <v>50</v>
      </c>
      <c r="L2759" s="1">
        <v>10</v>
      </c>
      <c r="M2759" s="13">
        <v>26635.98</v>
      </c>
      <c r="N2759" s="15">
        <v>0.06</v>
      </c>
      <c r="O2759" s="13">
        <v>367560.6</v>
      </c>
      <c r="P2759" s="13">
        <v>78146.62</v>
      </c>
      <c r="Q2759" s="13">
        <v>68.75</v>
      </c>
      <c r="R2759" s="1" t="s">
        <v>78</v>
      </c>
      <c r="S2759" s="1">
        <v>3</v>
      </c>
      <c r="T2759" s="1" t="b">
        <v>0</v>
      </c>
      <c r="U2759" s="1" t="s">
        <v>58</v>
      </c>
      <c r="V2759" s="3">
        <v>1</v>
      </c>
    </row>
    <row r="2760" spans="1:22" x14ac:dyDescent="0.3">
      <c r="A2760" s="2" t="s">
        <v>6001</v>
      </c>
      <c r="B2760" s="10">
        <v>44898</v>
      </c>
      <c r="C2760" s="22">
        <v>44898</v>
      </c>
      <c r="D2760" s="1" t="s">
        <v>6002</v>
      </c>
      <c r="E2760" s="1" t="s">
        <v>181</v>
      </c>
      <c r="F2760" s="1">
        <v>53</v>
      </c>
      <c r="G2760" s="1" t="s">
        <v>24</v>
      </c>
      <c r="H2760" s="1" t="s">
        <v>111</v>
      </c>
      <c r="I2760" s="1" t="s">
        <v>112</v>
      </c>
      <c r="J2760" s="1" t="s">
        <v>44</v>
      </c>
      <c r="K2760" s="1" t="s">
        <v>45</v>
      </c>
      <c r="L2760" s="1">
        <v>8</v>
      </c>
      <c r="M2760" s="13">
        <v>18080.060000000001</v>
      </c>
      <c r="N2760" s="15">
        <v>0.05</v>
      </c>
      <c r="O2760" s="13">
        <v>115257.52</v>
      </c>
      <c r="P2760" s="13">
        <v>35354.74</v>
      </c>
      <c r="Q2760" s="13">
        <v>73.790000000000006</v>
      </c>
      <c r="R2760" s="1" t="s">
        <v>70</v>
      </c>
      <c r="S2760" s="1">
        <v>4</v>
      </c>
      <c r="T2760" s="1" t="b">
        <v>0</v>
      </c>
      <c r="U2760" s="1" t="s">
        <v>58</v>
      </c>
      <c r="V2760" s="3">
        <v>8</v>
      </c>
    </row>
    <row r="2761" spans="1:22" x14ac:dyDescent="0.3">
      <c r="A2761" s="2" t="s">
        <v>6003</v>
      </c>
      <c r="B2761" s="10">
        <v>45426</v>
      </c>
      <c r="C2761" s="22">
        <v>45426</v>
      </c>
      <c r="D2761" s="1" t="s">
        <v>6004</v>
      </c>
      <c r="E2761" s="1" t="s">
        <v>1023</v>
      </c>
      <c r="F2761" s="1">
        <v>31</v>
      </c>
      <c r="G2761" s="1" t="s">
        <v>68</v>
      </c>
      <c r="H2761" s="1" t="s">
        <v>35</v>
      </c>
      <c r="I2761" s="1" t="s">
        <v>43</v>
      </c>
      <c r="J2761" s="1" t="s">
        <v>27</v>
      </c>
      <c r="K2761" s="1" t="s">
        <v>97</v>
      </c>
      <c r="L2761" s="1">
        <v>9</v>
      </c>
      <c r="M2761" s="13">
        <v>452.08</v>
      </c>
      <c r="N2761" s="15">
        <v>0.37</v>
      </c>
      <c r="O2761" s="13">
        <v>4593.7</v>
      </c>
      <c r="P2761" s="13">
        <v>347.56</v>
      </c>
      <c r="Q2761" s="13">
        <v>25.04</v>
      </c>
      <c r="R2761" s="1" t="s">
        <v>51</v>
      </c>
      <c r="S2761" s="1">
        <v>3</v>
      </c>
      <c r="T2761" s="1" t="b">
        <v>1</v>
      </c>
      <c r="U2761" s="1" t="s">
        <v>30</v>
      </c>
      <c r="V2761" s="3">
        <v>8</v>
      </c>
    </row>
    <row r="2762" spans="1:22" x14ac:dyDescent="0.3">
      <c r="A2762" s="2" t="s">
        <v>6005</v>
      </c>
      <c r="B2762" s="10">
        <v>44670</v>
      </c>
      <c r="C2762" s="22">
        <v>44670</v>
      </c>
      <c r="D2762" s="1" t="s">
        <v>6006</v>
      </c>
      <c r="E2762" s="1" t="s">
        <v>256</v>
      </c>
      <c r="F2762" s="1">
        <v>44</v>
      </c>
      <c r="G2762" s="1" t="s">
        <v>24</v>
      </c>
      <c r="H2762" s="1" t="s">
        <v>35</v>
      </c>
      <c r="I2762" s="1" t="s">
        <v>49</v>
      </c>
      <c r="J2762" s="1" t="s">
        <v>127</v>
      </c>
      <c r="K2762" s="1" t="s">
        <v>128</v>
      </c>
      <c r="L2762" s="1">
        <v>4</v>
      </c>
      <c r="M2762" s="13">
        <v>77381.070000000007</v>
      </c>
      <c r="N2762" s="15">
        <v>0.18</v>
      </c>
      <c r="O2762" s="13">
        <v>364698.74</v>
      </c>
      <c r="P2762" s="13">
        <v>37606.07</v>
      </c>
      <c r="Q2762" s="13">
        <v>56.99</v>
      </c>
      <c r="R2762" s="1" t="s">
        <v>57</v>
      </c>
      <c r="S2762" s="1">
        <v>4</v>
      </c>
      <c r="T2762" s="1" t="b">
        <v>0</v>
      </c>
      <c r="U2762" s="1" t="s">
        <v>39</v>
      </c>
      <c r="V2762" s="3">
        <v>3</v>
      </c>
    </row>
    <row r="2763" spans="1:22" x14ac:dyDescent="0.3">
      <c r="A2763" s="2" t="s">
        <v>6007</v>
      </c>
      <c r="B2763" s="10">
        <v>44463</v>
      </c>
      <c r="C2763" s="22">
        <v>44463</v>
      </c>
      <c r="D2763" s="1" t="s">
        <v>6008</v>
      </c>
      <c r="E2763" s="1" t="s">
        <v>468</v>
      </c>
      <c r="F2763" s="1">
        <v>22</v>
      </c>
      <c r="G2763" s="1" t="s">
        <v>68</v>
      </c>
      <c r="H2763" s="1" t="s">
        <v>111</v>
      </c>
      <c r="I2763" s="1" t="s">
        <v>121</v>
      </c>
      <c r="J2763" s="1" t="s">
        <v>37</v>
      </c>
      <c r="K2763" s="1" t="s">
        <v>102</v>
      </c>
      <c r="L2763" s="1">
        <v>6</v>
      </c>
      <c r="M2763" s="13">
        <v>669.59</v>
      </c>
      <c r="N2763" s="15">
        <v>0.13</v>
      </c>
      <c r="O2763" s="13">
        <v>3355.53</v>
      </c>
      <c r="P2763" s="13">
        <v>1841.16</v>
      </c>
      <c r="Q2763" s="13">
        <v>75.650000000000006</v>
      </c>
      <c r="R2763" s="1" t="s">
        <v>57</v>
      </c>
      <c r="S2763" s="1">
        <v>3</v>
      </c>
      <c r="T2763" s="1" t="b">
        <v>0</v>
      </c>
      <c r="U2763" s="1" t="s">
        <v>39</v>
      </c>
      <c r="V2763" s="3">
        <v>9</v>
      </c>
    </row>
    <row r="2764" spans="1:22" x14ac:dyDescent="0.3">
      <c r="A2764" s="2" t="s">
        <v>6009</v>
      </c>
      <c r="B2764" s="10">
        <v>44835</v>
      </c>
      <c r="C2764" s="22">
        <v>44835</v>
      </c>
      <c r="D2764" s="1" t="s">
        <v>6010</v>
      </c>
      <c r="E2764" s="1" t="s">
        <v>869</v>
      </c>
      <c r="F2764" s="1">
        <v>44</v>
      </c>
      <c r="G2764" s="1" t="s">
        <v>34</v>
      </c>
      <c r="H2764" s="1" t="s">
        <v>74</v>
      </c>
      <c r="I2764" s="1" t="s">
        <v>75</v>
      </c>
      <c r="J2764" s="1" t="s">
        <v>44</v>
      </c>
      <c r="K2764" s="1" t="s">
        <v>50</v>
      </c>
      <c r="L2764" s="1">
        <v>3</v>
      </c>
      <c r="M2764" s="13">
        <v>27210.05</v>
      </c>
      <c r="N2764" s="15">
        <v>0.19</v>
      </c>
      <c r="O2764" s="13">
        <v>62722.39</v>
      </c>
      <c r="P2764" s="13">
        <v>17708.259999999998</v>
      </c>
      <c r="Q2764" s="13">
        <v>59.37</v>
      </c>
      <c r="R2764" s="1" t="s">
        <v>57</v>
      </c>
      <c r="S2764" s="1">
        <v>2</v>
      </c>
      <c r="T2764" s="1" t="b">
        <v>0</v>
      </c>
      <c r="U2764" s="1" t="s">
        <v>39</v>
      </c>
      <c r="V2764" s="3">
        <v>3</v>
      </c>
    </row>
    <row r="2765" spans="1:22" x14ac:dyDescent="0.3">
      <c r="A2765" s="2" t="s">
        <v>6011</v>
      </c>
      <c r="B2765" s="10">
        <v>44953</v>
      </c>
      <c r="C2765" s="22">
        <v>44953</v>
      </c>
      <c r="D2765" s="1" t="s">
        <v>6012</v>
      </c>
      <c r="E2765" s="1" t="s">
        <v>338</v>
      </c>
      <c r="F2765" s="1">
        <v>5</v>
      </c>
      <c r="G2765" s="1" t="s">
        <v>391</v>
      </c>
      <c r="H2765" s="1" t="s">
        <v>74</v>
      </c>
      <c r="I2765" s="1" t="s">
        <v>101</v>
      </c>
      <c r="J2765" s="1" t="s">
        <v>27</v>
      </c>
      <c r="K2765" s="1" t="s">
        <v>97</v>
      </c>
      <c r="L2765" s="1">
        <v>7</v>
      </c>
      <c r="M2765" s="13">
        <v>339.27</v>
      </c>
      <c r="N2765" s="15">
        <v>0.26</v>
      </c>
      <c r="O2765" s="13">
        <v>1329.9</v>
      </c>
      <c r="P2765" s="13">
        <v>86.12</v>
      </c>
      <c r="Q2765" s="13">
        <v>73.680000000000007</v>
      </c>
      <c r="R2765" s="1" t="s">
        <v>70</v>
      </c>
      <c r="S2765" s="1">
        <v>1</v>
      </c>
      <c r="T2765" s="1" t="b">
        <v>0</v>
      </c>
      <c r="U2765" s="1" t="s">
        <v>39</v>
      </c>
      <c r="V2765" s="3">
        <v>4</v>
      </c>
    </row>
    <row r="2766" spans="1:22" x14ac:dyDescent="0.3">
      <c r="A2766" s="2" t="s">
        <v>6013</v>
      </c>
      <c r="B2766" s="10">
        <v>44312</v>
      </c>
      <c r="C2766" s="22">
        <v>44312</v>
      </c>
      <c r="D2766" s="1" t="s">
        <v>6014</v>
      </c>
      <c r="E2766" s="1" t="s">
        <v>2130</v>
      </c>
      <c r="F2766" s="1">
        <v>35</v>
      </c>
      <c r="G2766" s="1" t="s">
        <v>68</v>
      </c>
      <c r="H2766" s="1" t="s">
        <v>25</v>
      </c>
      <c r="I2766" s="1" t="s">
        <v>170</v>
      </c>
      <c r="J2766" s="1" t="s">
        <v>37</v>
      </c>
      <c r="K2766" s="1" t="s">
        <v>231</v>
      </c>
      <c r="L2766" s="1">
        <v>7</v>
      </c>
      <c r="M2766" s="13">
        <v>2147.13</v>
      </c>
      <c r="N2766" s="15">
        <v>0.14000000000000001</v>
      </c>
      <c r="O2766" s="13">
        <v>15222.32</v>
      </c>
      <c r="P2766" s="13">
        <v>7449.79</v>
      </c>
      <c r="Q2766" s="13">
        <v>44.3</v>
      </c>
      <c r="R2766" s="1" t="s">
        <v>51</v>
      </c>
      <c r="S2766" s="1">
        <v>1</v>
      </c>
      <c r="T2766" s="1" t="b">
        <v>1</v>
      </c>
      <c r="U2766" s="1" t="s">
        <v>30</v>
      </c>
      <c r="V2766" s="3">
        <v>6</v>
      </c>
    </row>
    <row r="2767" spans="1:22" x14ac:dyDescent="0.3">
      <c r="A2767" s="2" t="s">
        <v>6015</v>
      </c>
      <c r="B2767" s="10">
        <v>45361</v>
      </c>
      <c r="C2767" s="22">
        <v>45361</v>
      </c>
      <c r="D2767" s="1" t="s">
        <v>6016</v>
      </c>
      <c r="E2767" s="1" t="s">
        <v>624</v>
      </c>
      <c r="F2767" s="1">
        <v>28</v>
      </c>
      <c r="G2767" s="1" t="s">
        <v>24</v>
      </c>
      <c r="H2767" s="1" t="s">
        <v>74</v>
      </c>
      <c r="I2767" s="1" t="s">
        <v>192</v>
      </c>
      <c r="J2767" s="1" t="s">
        <v>76</v>
      </c>
      <c r="K2767" s="1" t="s">
        <v>207</v>
      </c>
      <c r="L2767" s="1">
        <v>3</v>
      </c>
      <c r="M2767" s="13">
        <v>1169.5899999999999</v>
      </c>
      <c r="N2767" s="15">
        <v>0.08</v>
      </c>
      <c r="O2767" s="13">
        <v>4785.04</v>
      </c>
      <c r="P2767" s="13">
        <v>1679.66</v>
      </c>
      <c r="Q2767" s="13">
        <v>39.22</v>
      </c>
      <c r="R2767" s="1" t="s">
        <v>70</v>
      </c>
      <c r="S2767" s="1">
        <v>3</v>
      </c>
      <c r="T2767" s="1" t="b">
        <v>0</v>
      </c>
      <c r="U2767" s="1" t="s">
        <v>84</v>
      </c>
      <c r="V2767" s="3">
        <v>9</v>
      </c>
    </row>
    <row r="2768" spans="1:22" x14ac:dyDescent="0.3">
      <c r="A2768" s="2" t="s">
        <v>6017</v>
      </c>
      <c r="B2768" s="10">
        <v>45361</v>
      </c>
      <c r="C2768" s="22">
        <v>45361</v>
      </c>
      <c r="D2768" s="1" t="s">
        <v>6018</v>
      </c>
      <c r="E2768" s="1" t="s">
        <v>4129</v>
      </c>
      <c r="F2768" s="1">
        <v>25</v>
      </c>
      <c r="G2768" s="1" t="s">
        <v>34</v>
      </c>
      <c r="H2768" s="1" t="s">
        <v>82</v>
      </c>
      <c r="I2768" s="1" t="s">
        <v>244</v>
      </c>
      <c r="J2768" s="1" t="s">
        <v>37</v>
      </c>
      <c r="K2768" s="1" t="s">
        <v>102</v>
      </c>
      <c r="L2768" s="1">
        <v>8</v>
      </c>
      <c r="M2768" s="13">
        <v>2047.88</v>
      </c>
      <c r="N2768" s="15">
        <v>0.33</v>
      </c>
      <c r="O2768" s="13">
        <v>14345.76</v>
      </c>
      <c r="P2768" s="13">
        <v>7218</v>
      </c>
      <c r="Q2768" s="13">
        <v>91.61</v>
      </c>
      <c r="R2768" s="1" t="s">
        <v>78</v>
      </c>
      <c r="S2768" s="1">
        <v>4</v>
      </c>
      <c r="T2768" s="1" t="b">
        <v>0</v>
      </c>
      <c r="U2768" s="1" t="s">
        <v>39</v>
      </c>
      <c r="V2768" s="3">
        <v>7</v>
      </c>
    </row>
    <row r="2769" spans="1:22" x14ac:dyDescent="0.3">
      <c r="A2769" s="2" t="s">
        <v>6019</v>
      </c>
      <c r="B2769" s="10">
        <v>45032</v>
      </c>
      <c r="C2769" s="22">
        <v>45032</v>
      </c>
      <c r="D2769" s="1" t="s">
        <v>6020</v>
      </c>
      <c r="E2769" s="1" t="s">
        <v>505</v>
      </c>
      <c r="F2769" s="1">
        <v>24</v>
      </c>
      <c r="G2769" s="1" t="s">
        <v>24</v>
      </c>
      <c r="H2769" s="1" t="s">
        <v>25</v>
      </c>
      <c r="I2769" s="1" t="s">
        <v>26</v>
      </c>
      <c r="J2769" s="1" t="s">
        <v>27</v>
      </c>
      <c r="K2769" s="1" t="s">
        <v>400</v>
      </c>
      <c r="L2769" s="1">
        <v>9</v>
      </c>
      <c r="M2769" s="13">
        <v>116.77</v>
      </c>
      <c r="N2769" s="15">
        <v>0.32</v>
      </c>
      <c r="O2769" s="13">
        <v>1063.93</v>
      </c>
      <c r="P2769" s="13">
        <v>79.45</v>
      </c>
      <c r="Q2769" s="13">
        <v>52.95</v>
      </c>
      <c r="R2769" s="1" t="s">
        <v>29</v>
      </c>
      <c r="S2769" s="1">
        <v>3</v>
      </c>
      <c r="T2769" s="1" t="b">
        <v>0</v>
      </c>
      <c r="U2769" s="1" t="s">
        <v>197</v>
      </c>
      <c r="V2769" s="3">
        <v>1</v>
      </c>
    </row>
    <row r="2770" spans="1:22" x14ac:dyDescent="0.3">
      <c r="A2770" s="2" t="s">
        <v>6021</v>
      </c>
      <c r="B2770" s="10">
        <v>44343</v>
      </c>
      <c r="C2770" s="22">
        <v>44343</v>
      </c>
      <c r="D2770" s="1" t="s">
        <v>6022</v>
      </c>
      <c r="E2770" s="1" t="s">
        <v>1833</v>
      </c>
      <c r="F2770" s="1">
        <v>46</v>
      </c>
      <c r="G2770" s="1" t="s">
        <v>68</v>
      </c>
      <c r="H2770" s="1" t="s">
        <v>35</v>
      </c>
      <c r="I2770" s="1" t="s">
        <v>106</v>
      </c>
      <c r="J2770" s="1" t="s">
        <v>76</v>
      </c>
      <c r="K2770" s="1" t="s">
        <v>113</v>
      </c>
      <c r="L2770" s="1">
        <v>1</v>
      </c>
      <c r="M2770" s="13">
        <v>1888.98</v>
      </c>
      <c r="N2770" s="15">
        <v>0.35</v>
      </c>
      <c r="O2770" s="13">
        <v>2013.48</v>
      </c>
      <c r="P2770" s="13">
        <v>657.59</v>
      </c>
      <c r="Q2770" s="13">
        <v>53.7</v>
      </c>
      <c r="R2770" s="1" t="s">
        <v>70</v>
      </c>
      <c r="S2770" s="1">
        <v>2</v>
      </c>
      <c r="T2770" s="1" t="b">
        <v>0</v>
      </c>
      <c r="U2770" s="1" t="s">
        <v>39</v>
      </c>
      <c r="V2770" s="3">
        <v>7</v>
      </c>
    </row>
    <row r="2771" spans="1:22" x14ac:dyDescent="0.3">
      <c r="A2771" s="2" t="s">
        <v>6023</v>
      </c>
      <c r="B2771" s="10">
        <v>44195</v>
      </c>
      <c r="C2771" s="22">
        <v>44195</v>
      </c>
      <c r="D2771" s="1" t="s">
        <v>6024</v>
      </c>
      <c r="E2771" s="1" t="s">
        <v>150</v>
      </c>
      <c r="F2771" s="1">
        <v>23</v>
      </c>
      <c r="G2771" s="1" t="s">
        <v>88</v>
      </c>
      <c r="H2771" s="1" t="s">
        <v>25</v>
      </c>
      <c r="I2771" s="1" t="s">
        <v>55</v>
      </c>
      <c r="J2771" s="1" t="s">
        <v>146</v>
      </c>
      <c r="K2771" s="1" t="s">
        <v>178</v>
      </c>
      <c r="L2771" s="1">
        <v>3</v>
      </c>
      <c r="M2771" s="13">
        <v>642.91</v>
      </c>
      <c r="N2771" s="15">
        <v>0.33</v>
      </c>
      <c r="O2771" s="13">
        <v>879.77</v>
      </c>
      <c r="P2771" s="13">
        <v>176.34</v>
      </c>
      <c r="Q2771" s="13">
        <v>61.52</v>
      </c>
      <c r="R2771" s="1" t="s">
        <v>29</v>
      </c>
      <c r="S2771" s="1">
        <v>2</v>
      </c>
      <c r="T2771" s="1" t="b">
        <v>1</v>
      </c>
      <c r="U2771" s="1" t="s">
        <v>30</v>
      </c>
      <c r="V2771" s="3">
        <v>6</v>
      </c>
    </row>
    <row r="2772" spans="1:22" x14ac:dyDescent="0.3">
      <c r="A2772" s="2" t="s">
        <v>6025</v>
      </c>
      <c r="B2772" s="10">
        <v>44785</v>
      </c>
      <c r="C2772" s="22">
        <v>44785</v>
      </c>
      <c r="D2772" s="1" t="s">
        <v>6026</v>
      </c>
      <c r="E2772" s="1" t="s">
        <v>1076</v>
      </c>
      <c r="F2772" s="1">
        <v>64</v>
      </c>
      <c r="G2772" s="1" t="s">
        <v>68</v>
      </c>
      <c r="H2772" s="1" t="s">
        <v>111</v>
      </c>
      <c r="I2772" s="1" t="s">
        <v>121</v>
      </c>
      <c r="J2772" s="1" t="s">
        <v>62</v>
      </c>
      <c r="K2772" s="1" t="s">
        <v>570</v>
      </c>
      <c r="L2772" s="1">
        <v>5</v>
      </c>
      <c r="M2772" s="13">
        <v>923.72</v>
      </c>
      <c r="N2772" s="15">
        <v>0.19</v>
      </c>
      <c r="O2772" s="13">
        <v>4931.75</v>
      </c>
      <c r="P2772" s="13">
        <v>2749.25</v>
      </c>
      <c r="Q2772" s="13">
        <v>63.68</v>
      </c>
      <c r="R2772" s="1" t="s">
        <v>57</v>
      </c>
      <c r="S2772" s="1">
        <v>2</v>
      </c>
      <c r="T2772" s="1" t="b">
        <v>1</v>
      </c>
      <c r="U2772" s="1" t="s">
        <v>30</v>
      </c>
      <c r="V2772" s="3">
        <v>1</v>
      </c>
    </row>
    <row r="2773" spans="1:22" x14ac:dyDescent="0.3">
      <c r="A2773" s="2" t="s">
        <v>6027</v>
      </c>
      <c r="B2773" s="10">
        <v>44635</v>
      </c>
      <c r="C2773" s="22">
        <v>44635</v>
      </c>
      <c r="D2773" s="1" t="s">
        <v>6028</v>
      </c>
      <c r="E2773" s="1" t="s">
        <v>908</v>
      </c>
      <c r="F2773" s="1">
        <v>44</v>
      </c>
      <c r="G2773" s="1" t="s">
        <v>24</v>
      </c>
      <c r="H2773" s="1" t="s">
        <v>74</v>
      </c>
      <c r="I2773" s="1" t="s">
        <v>192</v>
      </c>
      <c r="J2773" s="1" t="s">
        <v>76</v>
      </c>
      <c r="K2773" s="1" t="s">
        <v>77</v>
      </c>
      <c r="L2773" s="1">
        <v>2</v>
      </c>
      <c r="M2773" s="13">
        <v>348.61</v>
      </c>
      <c r="N2773" s="15">
        <v>0.37</v>
      </c>
      <c r="O2773" s="13">
        <v>468.08</v>
      </c>
      <c r="P2773" s="13">
        <v>156.44</v>
      </c>
      <c r="Q2773" s="13">
        <v>76.849999999999994</v>
      </c>
      <c r="R2773" s="1" t="s">
        <v>51</v>
      </c>
      <c r="S2773" s="1">
        <v>3</v>
      </c>
      <c r="T2773" s="1" t="b">
        <v>0</v>
      </c>
      <c r="U2773" s="1" t="s">
        <v>39</v>
      </c>
      <c r="V2773" s="3">
        <v>6</v>
      </c>
    </row>
    <row r="2774" spans="1:22" x14ac:dyDescent="0.3">
      <c r="A2774" s="2" t="s">
        <v>6029</v>
      </c>
      <c r="B2774" s="10">
        <v>44057</v>
      </c>
      <c r="C2774" s="22">
        <v>44057</v>
      </c>
      <c r="D2774" s="1" t="s">
        <v>6030</v>
      </c>
      <c r="E2774" s="1" t="s">
        <v>272</v>
      </c>
      <c r="F2774" s="1">
        <v>39</v>
      </c>
      <c r="G2774" s="1" t="s">
        <v>24</v>
      </c>
      <c r="H2774" s="1" t="s">
        <v>74</v>
      </c>
      <c r="I2774" s="1" t="s">
        <v>75</v>
      </c>
      <c r="J2774" s="1" t="s">
        <v>27</v>
      </c>
      <c r="K2774" s="1" t="s">
        <v>97</v>
      </c>
      <c r="L2774" s="1">
        <v>7</v>
      </c>
      <c r="M2774" s="13">
        <v>406.08</v>
      </c>
      <c r="N2774" s="15">
        <v>0.37</v>
      </c>
      <c r="O2774" s="13">
        <v>2000.38</v>
      </c>
      <c r="P2774" s="13">
        <v>109.82</v>
      </c>
      <c r="Q2774" s="13">
        <v>1.6</v>
      </c>
      <c r="R2774" s="1" t="s">
        <v>70</v>
      </c>
      <c r="S2774" s="1">
        <v>5</v>
      </c>
      <c r="T2774" s="1" t="b">
        <v>0</v>
      </c>
      <c r="U2774" s="1" t="s">
        <v>39</v>
      </c>
      <c r="V2774" s="3">
        <v>7</v>
      </c>
    </row>
    <row r="2775" spans="1:22" x14ac:dyDescent="0.3">
      <c r="A2775" s="2" t="s">
        <v>6031</v>
      </c>
      <c r="B2775" s="10">
        <v>44896</v>
      </c>
      <c r="C2775" s="22">
        <v>44896</v>
      </c>
      <c r="D2775" s="1" t="s">
        <v>6032</v>
      </c>
      <c r="E2775" s="1" t="s">
        <v>4375</v>
      </c>
      <c r="F2775" s="1">
        <v>24</v>
      </c>
      <c r="G2775" s="1" t="s">
        <v>68</v>
      </c>
      <c r="H2775" s="1" t="s">
        <v>82</v>
      </c>
      <c r="I2775" s="1" t="s">
        <v>83</v>
      </c>
      <c r="J2775" s="1" t="s">
        <v>146</v>
      </c>
      <c r="K2775" s="1" t="s">
        <v>484</v>
      </c>
      <c r="L2775" s="1">
        <v>3</v>
      </c>
      <c r="M2775" s="13">
        <v>8281.49</v>
      </c>
      <c r="N2775" s="15">
        <v>0.28000000000000003</v>
      </c>
      <c r="O2775" s="13">
        <v>14650.55</v>
      </c>
      <c r="P2775" s="13">
        <v>4700.0200000000004</v>
      </c>
      <c r="Q2775" s="13">
        <v>73.150000000000006</v>
      </c>
      <c r="R2775" s="1" t="s">
        <v>78</v>
      </c>
      <c r="S2775" s="1">
        <v>3</v>
      </c>
      <c r="T2775" s="1" t="b">
        <v>0</v>
      </c>
      <c r="U2775" s="1" t="s">
        <v>39</v>
      </c>
      <c r="V2775" s="3">
        <v>2</v>
      </c>
    </row>
    <row r="2776" spans="1:22" x14ac:dyDescent="0.3">
      <c r="A2776" s="2" t="s">
        <v>6033</v>
      </c>
      <c r="B2776" s="10">
        <v>45410</v>
      </c>
      <c r="C2776" s="22">
        <v>45410</v>
      </c>
      <c r="D2776" s="1" t="s">
        <v>6034</v>
      </c>
      <c r="E2776" s="1" t="s">
        <v>693</v>
      </c>
      <c r="F2776" s="1">
        <v>26</v>
      </c>
      <c r="G2776" s="1" t="s">
        <v>68</v>
      </c>
      <c r="H2776" s="1" t="s">
        <v>82</v>
      </c>
      <c r="I2776" s="1" t="s">
        <v>83</v>
      </c>
      <c r="J2776" s="1" t="s">
        <v>27</v>
      </c>
      <c r="K2776" s="1" t="s">
        <v>450</v>
      </c>
      <c r="L2776" s="1">
        <v>2</v>
      </c>
      <c r="M2776" s="13">
        <v>180.86</v>
      </c>
      <c r="N2776" s="15">
        <v>0.04</v>
      </c>
      <c r="O2776" s="13">
        <v>487.22</v>
      </c>
      <c r="P2776" s="13">
        <v>40.04</v>
      </c>
      <c r="Q2776" s="13">
        <v>88.04</v>
      </c>
      <c r="R2776" s="1" t="s">
        <v>70</v>
      </c>
      <c r="S2776" s="1">
        <v>4</v>
      </c>
      <c r="T2776" s="1" t="b">
        <v>0</v>
      </c>
      <c r="U2776" s="1" t="s">
        <v>39</v>
      </c>
      <c r="V2776" s="3">
        <v>5</v>
      </c>
    </row>
    <row r="2777" spans="1:22" x14ac:dyDescent="0.3">
      <c r="A2777" s="2" t="s">
        <v>6035</v>
      </c>
      <c r="B2777" s="10">
        <v>44164</v>
      </c>
      <c r="C2777" s="22">
        <v>44164</v>
      </c>
      <c r="D2777" s="1" t="s">
        <v>6036</v>
      </c>
      <c r="E2777" s="1" t="s">
        <v>145</v>
      </c>
      <c r="F2777" s="1">
        <v>40</v>
      </c>
      <c r="G2777" s="1" t="s">
        <v>34</v>
      </c>
      <c r="H2777" s="1" t="s">
        <v>35</v>
      </c>
      <c r="I2777" s="1" t="s">
        <v>49</v>
      </c>
      <c r="J2777" s="1" t="s">
        <v>27</v>
      </c>
      <c r="K2777" s="1" t="s">
        <v>400</v>
      </c>
      <c r="L2777" s="1">
        <v>7</v>
      </c>
      <c r="M2777" s="13">
        <v>486.89</v>
      </c>
      <c r="N2777" s="15">
        <v>0.23</v>
      </c>
      <c r="O2777" s="13">
        <v>1947.86</v>
      </c>
      <c r="P2777" s="13">
        <v>122.41</v>
      </c>
      <c r="Q2777" s="13">
        <v>56.74</v>
      </c>
      <c r="R2777" s="1" t="s">
        <v>29</v>
      </c>
      <c r="S2777" s="1">
        <v>5</v>
      </c>
      <c r="T2777" s="1" t="b">
        <v>0</v>
      </c>
      <c r="U2777" s="1" t="s">
        <v>39</v>
      </c>
      <c r="V2777" s="3">
        <v>4</v>
      </c>
    </row>
    <row r="2778" spans="1:22" x14ac:dyDescent="0.3">
      <c r="A2778" s="2" t="s">
        <v>6037</v>
      </c>
      <c r="B2778" s="10">
        <v>45456</v>
      </c>
      <c r="C2778" s="22">
        <v>45456</v>
      </c>
      <c r="D2778" s="1" t="s">
        <v>6038</v>
      </c>
      <c r="E2778" s="1" t="s">
        <v>1282</v>
      </c>
      <c r="F2778" s="1">
        <v>47</v>
      </c>
      <c r="G2778" s="1" t="s">
        <v>24</v>
      </c>
      <c r="H2778" s="1" t="s">
        <v>111</v>
      </c>
      <c r="I2778" s="1" t="s">
        <v>141</v>
      </c>
      <c r="J2778" s="1" t="s">
        <v>37</v>
      </c>
      <c r="K2778" s="1" t="s">
        <v>231</v>
      </c>
      <c r="L2778" s="1">
        <v>4</v>
      </c>
      <c r="M2778" s="13">
        <v>1180.8399999999999</v>
      </c>
      <c r="N2778" s="15">
        <v>0.39</v>
      </c>
      <c r="O2778" s="13">
        <v>5917.92</v>
      </c>
      <c r="P2778" s="13">
        <v>3098.15</v>
      </c>
      <c r="Q2778" s="13">
        <v>55.9</v>
      </c>
      <c r="R2778" s="1" t="s">
        <v>51</v>
      </c>
      <c r="S2778" s="1">
        <v>3</v>
      </c>
      <c r="T2778" s="1" t="b">
        <v>0</v>
      </c>
      <c r="U2778" s="1" t="s">
        <v>39</v>
      </c>
      <c r="V2778" s="3">
        <v>6</v>
      </c>
    </row>
    <row r="2779" spans="1:22" x14ac:dyDescent="0.3">
      <c r="A2779" s="2" t="s">
        <v>6039</v>
      </c>
      <c r="B2779" s="10">
        <v>44651</v>
      </c>
      <c r="C2779" s="22">
        <v>44651</v>
      </c>
      <c r="D2779" s="1" t="s">
        <v>6040</v>
      </c>
      <c r="E2779" s="1" t="s">
        <v>732</v>
      </c>
      <c r="F2779" s="1">
        <v>22</v>
      </c>
      <c r="G2779" s="1" t="s">
        <v>24</v>
      </c>
      <c r="H2779" s="1" t="s">
        <v>82</v>
      </c>
      <c r="I2779" s="1" t="s">
        <v>126</v>
      </c>
      <c r="J2779" s="1" t="s">
        <v>127</v>
      </c>
      <c r="K2779" s="1" t="s">
        <v>171</v>
      </c>
      <c r="L2779" s="1">
        <v>9</v>
      </c>
      <c r="M2779" s="13">
        <v>51210.29</v>
      </c>
      <c r="N2779" s="15">
        <v>0.26</v>
      </c>
      <c r="O2779" s="13">
        <v>431521.81</v>
      </c>
      <c r="P2779" s="13">
        <v>47793.41</v>
      </c>
      <c r="Q2779" s="13">
        <v>80.02</v>
      </c>
      <c r="R2779" s="1" t="s">
        <v>51</v>
      </c>
      <c r="S2779" s="1">
        <v>3</v>
      </c>
      <c r="T2779" s="1" t="b">
        <v>0</v>
      </c>
      <c r="U2779" s="1" t="s">
        <v>39</v>
      </c>
      <c r="V2779" s="3">
        <v>7</v>
      </c>
    </row>
    <row r="2780" spans="1:22" x14ac:dyDescent="0.3">
      <c r="A2780" s="2" t="s">
        <v>6041</v>
      </c>
      <c r="B2780" s="10">
        <v>45496</v>
      </c>
      <c r="C2780" s="22">
        <v>45496</v>
      </c>
      <c r="D2780" s="1" t="s">
        <v>6042</v>
      </c>
      <c r="E2780" s="1" t="s">
        <v>875</v>
      </c>
      <c r="F2780" s="1">
        <v>37</v>
      </c>
      <c r="G2780" s="1" t="s">
        <v>463</v>
      </c>
      <c r="H2780" s="1" t="s">
        <v>35</v>
      </c>
      <c r="I2780" s="1" t="s">
        <v>49</v>
      </c>
      <c r="J2780" s="1" t="s">
        <v>146</v>
      </c>
      <c r="K2780" s="1" t="s">
        <v>178</v>
      </c>
      <c r="L2780" s="1">
        <v>1</v>
      </c>
      <c r="M2780" s="13">
        <v>9065.16</v>
      </c>
      <c r="N2780" s="15">
        <v>0.15</v>
      </c>
      <c r="O2780" s="13">
        <v>13700.29</v>
      </c>
      <c r="P2780" s="13">
        <v>2690</v>
      </c>
      <c r="Q2780" s="13">
        <v>73.709999999999994</v>
      </c>
      <c r="R2780" s="1" t="s">
        <v>57</v>
      </c>
      <c r="S2780" s="1">
        <v>4</v>
      </c>
      <c r="T2780" s="1" t="b">
        <v>0</v>
      </c>
      <c r="U2780" s="1" t="s">
        <v>39</v>
      </c>
      <c r="V2780" s="3">
        <v>4</v>
      </c>
    </row>
    <row r="2781" spans="1:22" x14ac:dyDescent="0.3">
      <c r="A2781" s="2" t="s">
        <v>6043</v>
      </c>
      <c r="B2781" s="10">
        <v>44606</v>
      </c>
      <c r="C2781" s="22">
        <v>44606</v>
      </c>
      <c r="D2781" s="1" t="s">
        <v>6044</v>
      </c>
      <c r="E2781" s="1" t="s">
        <v>67</v>
      </c>
      <c r="F2781" s="1">
        <v>64</v>
      </c>
      <c r="G2781" s="1" t="s">
        <v>24</v>
      </c>
      <c r="H2781" s="1" t="s">
        <v>25</v>
      </c>
      <c r="I2781" s="1" t="s">
        <v>69</v>
      </c>
      <c r="J2781" s="1" t="s">
        <v>44</v>
      </c>
      <c r="K2781" s="1" t="s">
        <v>221</v>
      </c>
      <c r="L2781" s="1">
        <v>9</v>
      </c>
      <c r="M2781" s="13">
        <v>20253.5</v>
      </c>
      <c r="N2781" s="15">
        <v>7.0000000000000007E-2</v>
      </c>
      <c r="O2781" s="13">
        <v>175221.15</v>
      </c>
      <c r="P2781" s="13">
        <v>57254.45</v>
      </c>
      <c r="Q2781" s="13">
        <v>53.7</v>
      </c>
      <c r="R2781" s="1" t="s">
        <v>78</v>
      </c>
      <c r="S2781" s="1">
        <v>3</v>
      </c>
      <c r="T2781" s="1" t="b">
        <v>0</v>
      </c>
      <c r="U2781" s="1" t="s">
        <v>39</v>
      </c>
      <c r="V2781" s="3">
        <v>2</v>
      </c>
    </row>
    <row r="2782" spans="1:22" x14ac:dyDescent="0.3">
      <c r="A2782" s="2" t="s">
        <v>6045</v>
      </c>
      <c r="B2782" s="10">
        <v>43855</v>
      </c>
      <c r="C2782" s="22">
        <v>43855</v>
      </c>
      <c r="D2782" s="1" t="s">
        <v>6046</v>
      </c>
      <c r="E2782" s="1" t="s">
        <v>861</v>
      </c>
      <c r="F2782" s="1">
        <v>49</v>
      </c>
      <c r="G2782" s="1" t="s">
        <v>68</v>
      </c>
      <c r="H2782" s="1" t="s">
        <v>25</v>
      </c>
      <c r="I2782" s="1" t="s">
        <v>55</v>
      </c>
      <c r="J2782" s="1" t="s">
        <v>37</v>
      </c>
      <c r="K2782" s="1" t="s">
        <v>38</v>
      </c>
      <c r="L2782" s="1">
        <v>4</v>
      </c>
      <c r="M2782" s="13">
        <v>969.74</v>
      </c>
      <c r="N2782" s="15">
        <v>0.21</v>
      </c>
      <c r="O2782" s="13">
        <v>2975.27</v>
      </c>
      <c r="P2782" s="13">
        <v>1113.6500000000001</v>
      </c>
      <c r="Q2782" s="13">
        <v>41.6</v>
      </c>
      <c r="R2782" s="1" t="s">
        <v>78</v>
      </c>
      <c r="S2782" s="1">
        <v>2</v>
      </c>
      <c r="T2782" s="1" t="b">
        <v>0</v>
      </c>
      <c r="U2782" s="1" t="s">
        <v>39</v>
      </c>
      <c r="V2782" s="3">
        <v>6</v>
      </c>
    </row>
    <row r="2783" spans="1:22" x14ac:dyDescent="0.3">
      <c r="A2783" s="2" t="s">
        <v>6047</v>
      </c>
      <c r="B2783" s="10">
        <v>44176</v>
      </c>
      <c r="C2783" s="22">
        <v>44176</v>
      </c>
      <c r="D2783" s="1" t="s">
        <v>6048</v>
      </c>
      <c r="E2783" s="1" t="s">
        <v>48</v>
      </c>
      <c r="F2783" s="1">
        <v>27</v>
      </c>
      <c r="G2783" s="1" t="s">
        <v>24</v>
      </c>
      <c r="H2783" s="1" t="s">
        <v>111</v>
      </c>
      <c r="I2783" s="1" t="s">
        <v>112</v>
      </c>
      <c r="J2783" s="1" t="s">
        <v>27</v>
      </c>
      <c r="K2783" s="1" t="s">
        <v>450</v>
      </c>
      <c r="L2783" s="1">
        <v>10</v>
      </c>
      <c r="M2783" s="13">
        <v>315.3</v>
      </c>
      <c r="N2783" s="15">
        <v>0.28999999999999998</v>
      </c>
      <c r="O2783" s="13">
        <v>1585.06</v>
      </c>
      <c r="P2783" s="13">
        <v>111.69</v>
      </c>
      <c r="Q2783" s="13">
        <v>63.67</v>
      </c>
      <c r="R2783" s="1" t="s">
        <v>29</v>
      </c>
      <c r="S2783" s="1">
        <v>2</v>
      </c>
      <c r="T2783" s="1" t="b">
        <v>0</v>
      </c>
      <c r="U2783" s="1" t="s">
        <v>84</v>
      </c>
      <c r="V2783" s="3">
        <v>3</v>
      </c>
    </row>
    <row r="2784" spans="1:22" x14ac:dyDescent="0.3">
      <c r="A2784" s="2" t="s">
        <v>6049</v>
      </c>
      <c r="B2784" s="10">
        <v>44461</v>
      </c>
      <c r="C2784" s="22">
        <v>44461</v>
      </c>
      <c r="D2784" s="1" t="s">
        <v>6050</v>
      </c>
      <c r="E2784" s="1" t="s">
        <v>1216</v>
      </c>
      <c r="F2784" s="1">
        <v>46</v>
      </c>
      <c r="G2784" s="1" t="s">
        <v>24</v>
      </c>
      <c r="H2784" s="1" t="s">
        <v>25</v>
      </c>
      <c r="I2784" s="1" t="s">
        <v>69</v>
      </c>
      <c r="J2784" s="1" t="s">
        <v>62</v>
      </c>
      <c r="K2784" s="1" t="s">
        <v>107</v>
      </c>
      <c r="L2784" s="1">
        <v>3</v>
      </c>
      <c r="M2784" s="13">
        <v>1314.32</v>
      </c>
      <c r="N2784" s="15">
        <v>0.37</v>
      </c>
      <c r="O2784" s="13">
        <v>2667.9</v>
      </c>
      <c r="P2784" s="13">
        <v>1110.8900000000001</v>
      </c>
      <c r="Q2784" s="13">
        <v>44.79</v>
      </c>
      <c r="R2784" s="1" t="s">
        <v>64</v>
      </c>
      <c r="S2784" s="1">
        <v>3</v>
      </c>
      <c r="T2784" s="1" t="b">
        <v>0</v>
      </c>
      <c r="U2784" s="1" t="s">
        <v>58</v>
      </c>
      <c r="V2784" s="3">
        <v>5</v>
      </c>
    </row>
    <row r="2785" spans="1:22" x14ac:dyDescent="0.3">
      <c r="A2785" s="2" t="s">
        <v>6051</v>
      </c>
      <c r="B2785" s="10">
        <v>44556</v>
      </c>
      <c r="C2785" s="22">
        <v>44556</v>
      </c>
      <c r="D2785" s="1" t="s">
        <v>6052</v>
      </c>
      <c r="E2785" s="1" t="s">
        <v>387</v>
      </c>
      <c r="F2785" s="1">
        <v>44</v>
      </c>
      <c r="G2785" s="1" t="s">
        <v>34</v>
      </c>
      <c r="H2785" s="1" t="s">
        <v>25</v>
      </c>
      <c r="I2785" s="1" t="s">
        <v>26</v>
      </c>
      <c r="J2785" s="1" t="s">
        <v>76</v>
      </c>
      <c r="K2785" s="1" t="s">
        <v>89</v>
      </c>
      <c r="L2785" s="1">
        <v>7</v>
      </c>
      <c r="M2785" s="13">
        <v>2270</v>
      </c>
      <c r="N2785" s="15">
        <v>0.09</v>
      </c>
      <c r="O2785" s="13">
        <v>11066.01</v>
      </c>
      <c r="P2785" s="13">
        <v>3221.05</v>
      </c>
      <c r="Q2785" s="13">
        <v>55.24</v>
      </c>
      <c r="R2785" s="1" t="s">
        <v>64</v>
      </c>
      <c r="S2785" s="1">
        <v>5</v>
      </c>
      <c r="T2785" s="1" t="b">
        <v>0</v>
      </c>
      <c r="U2785" s="1" t="s">
        <v>39</v>
      </c>
      <c r="V2785" s="3">
        <v>8</v>
      </c>
    </row>
    <row r="2786" spans="1:22" x14ac:dyDescent="0.3">
      <c r="A2786" s="2" t="s">
        <v>6053</v>
      </c>
      <c r="B2786" s="10">
        <v>44103</v>
      </c>
      <c r="C2786" s="22">
        <v>44103</v>
      </c>
      <c r="D2786" s="1" t="s">
        <v>6054</v>
      </c>
      <c r="E2786" s="1" t="s">
        <v>1057</v>
      </c>
      <c r="F2786" s="1">
        <v>54</v>
      </c>
      <c r="G2786" s="1" t="s">
        <v>34</v>
      </c>
      <c r="H2786" s="1" t="s">
        <v>111</v>
      </c>
      <c r="I2786" s="1" t="s">
        <v>112</v>
      </c>
      <c r="J2786" s="1" t="s">
        <v>44</v>
      </c>
      <c r="K2786" s="1" t="s">
        <v>45</v>
      </c>
      <c r="L2786" s="1">
        <v>10</v>
      </c>
      <c r="M2786" s="13">
        <v>2744.45</v>
      </c>
      <c r="N2786" s="15">
        <v>0.38</v>
      </c>
      <c r="O2786" s="13">
        <v>17674.13</v>
      </c>
      <c r="P2786" s="13">
        <v>7107.97</v>
      </c>
      <c r="Q2786" s="13">
        <v>63.51</v>
      </c>
      <c r="R2786" s="1" t="s">
        <v>64</v>
      </c>
      <c r="S2786" s="1">
        <v>4</v>
      </c>
      <c r="T2786" s="1" t="b">
        <v>0</v>
      </c>
      <c r="U2786" s="1" t="s">
        <v>39</v>
      </c>
      <c r="V2786" s="3">
        <v>1</v>
      </c>
    </row>
    <row r="2787" spans="1:22" x14ac:dyDescent="0.3">
      <c r="A2787" s="2" t="s">
        <v>6055</v>
      </c>
      <c r="B2787" s="10">
        <v>44138</v>
      </c>
      <c r="C2787" s="22">
        <v>44138</v>
      </c>
      <c r="D2787" s="1" t="s">
        <v>6056</v>
      </c>
      <c r="E2787" s="1" t="s">
        <v>473</v>
      </c>
      <c r="F2787" s="1">
        <v>37</v>
      </c>
      <c r="G2787" s="1" t="s">
        <v>24</v>
      </c>
      <c r="H2787" s="1" t="s">
        <v>82</v>
      </c>
      <c r="I2787" s="1" t="s">
        <v>83</v>
      </c>
      <c r="J2787" s="1" t="s">
        <v>37</v>
      </c>
      <c r="K2787" s="1" t="s">
        <v>454</v>
      </c>
      <c r="L2787" s="1">
        <v>9</v>
      </c>
      <c r="M2787" s="13">
        <v>1906.76</v>
      </c>
      <c r="N2787" s="15">
        <v>0.36</v>
      </c>
      <c r="O2787" s="13">
        <v>8390.58</v>
      </c>
      <c r="P2787" s="13">
        <v>3960.36</v>
      </c>
      <c r="Q2787" s="13">
        <v>91.4</v>
      </c>
      <c r="R2787" s="1" t="s">
        <v>57</v>
      </c>
      <c r="S2787" s="1">
        <v>4</v>
      </c>
      <c r="T2787" s="1" t="b">
        <v>0</v>
      </c>
      <c r="U2787" s="1" t="s">
        <v>137</v>
      </c>
      <c r="V2787" s="3">
        <v>3</v>
      </c>
    </row>
    <row r="2788" spans="1:22" x14ac:dyDescent="0.3">
      <c r="A2788" s="2" t="s">
        <v>6057</v>
      </c>
      <c r="B2788" s="10">
        <v>45037</v>
      </c>
      <c r="C2788" s="22">
        <v>45037</v>
      </c>
      <c r="D2788" s="1" t="s">
        <v>6058</v>
      </c>
      <c r="E2788" s="1" t="s">
        <v>869</v>
      </c>
      <c r="F2788" s="1">
        <v>43</v>
      </c>
      <c r="G2788" s="1" t="s">
        <v>34</v>
      </c>
      <c r="H2788" s="1" t="s">
        <v>74</v>
      </c>
      <c r="I2788" s="1" t="s">
        <v>101</v>
      </c>
      <c r="J2788" s="1" t="s">
        <v>146</v>
      </c>
      <c r="K2788" s="1" t="s">
        <v>484</v>
      </c>
      <c r="L2788" s="1">
        <v>1</v>
      </c>
      <c r="M2788" s="13">
        <v>3242.71</v>
      </c>
      <c r="N2788" s="15">
        <v>0.34</v>
      </c>
      <c r="O2788" s="13">
        <v>3023</v>
      </c>
      <c r="P2788" s="13">
        <v>605.12</v>
      </c>
      <c r="Q2788" s="13">
        <v>37.04</v>
      </c>
      <c r="R2788" s="1" t="s">
        <v>64</v>
      </c>
      <c r="S2788" s="1">
        <v>3</v>
      </c>
      <c r="T2788" s="1" t="b">
        <v>0</v>
      </c>
      <c r="U2788" s="1" t="s">
        <v>39</v>
      </c>
      <c r="V2788" s="3">
        <v>2</v>
      </c>
    </row>
    <row r="2789" spans="1:22" x14ac:dyDescent="0.3">
      <c r="A2789" s="2" t="s">
        <v>6059</v>
      </c>
      <c r="B2789" s="10">
        <v>43990</v>
      </c>
      <c r="C2789" s="22">
        <v>43990</v>
      </c>
      <c r="D2789" s="1" t="s">
        <v>6060</v>
      </c>
      <c r="E2789" s="1" t="s">
        <v>1348</v>
      </c>
      <c r="F2789" s="1">
        <v>34</v>
      </c>
      <c r="G2789" s="1" t="s">
        <v>34</v>
      </c>
      <c r="H2789" s="1" t="s">
        <v>25</v>
      </c>
      <c r="I2789" s="1" t="s">
        <v>26</v>
      </c>
      <c r="J2789" s="1" t="s">
        <v>44</v>
      </c>
      <c r="K2789" s="1" t="s">
        <v>221</v>
      </c>
      <c r="L2789" s="1">
        <v>4</v>
      </c>
      <c r="M2789" s="13">
        <v>26538.28</v>
      </c>
      <c r="N2789" s="15">
        <v>0.28000000000000003</v>
      </c>
      <c r="O2789" s="13">
        <v>110728.91</v>
      </c>
      <c r="P2789" s="13">
        <v>35173.480000000003</v>
      </c>
      <c r="Q2789" s="13">
        <v>70.37</v>
      </c>
      <c r="R2789" s="1" t="s">
        <v>78</v>
      </c>
      <c r="S2789" s="1">
        <v>3</v>
      </c>
      <c r="T2789" s="1" t="b">
        <v>0</v>
      </c>
      <c r="U2789" s="1" t="s">
        <v>39</v>
      </c>
      <c r="V2789" s="3">
        <v>5</v>
      </c>
    </row>
    <row r="2790" spans="1:22" x14ac:dyDescent="0.3">
      <c r="A2790" s="2" t="s">
        <v>6061</v>
      </c>
      <c r="B2790" s="10">
        <v>44777</v>
      </c>
      <c r="C2790" s="22">
        <v>44777</v>
      </c>
      <c r="D2790" s="1" t="s">
        <v>6062</v>
      </c>
      <c r="E2790" s="1" t="s">
        <v>624</v>
      </c>
      <c r="F2790" s="1">
        <v>20</v>
      </c>
      <c r="G2790" s="1" t="s">
        <v>68</v>
      </c>
      <c r="H2790" s="1" t="s">
        <v>35</v>
      </c>
      <c r="I2790" s="1" t="s">
        <v>43</v>
      </c>
      <c r="J2790" s="1" t="s">
        <v>37</v>
      </c>
      <c r="K2790" s="1" t="s">
        <v>671</v>
      </c>
      <c r="L2790" s="1">
        <v>6</v>
      </c>
      <c r="M2790" s="13">
        <v>2223.4</v>
      </c>
      <c r="N2790" s="15">
        <v>0.39</v>
      </c>
      <c r="O2790" s="13">
        <v>10336.77</v>
      </c>
      <c r="P2790" s="13">
        <v>4822.67</v>
      </c>
      <c r="Q2790" s="13">
        <v>54.1</v>
      </c>
      <c r="R2790" s="1" t="s">
        <v>78</v>
      </c>
      <c r="S2790" s="1">
        <v>1</v>
      </c>
      <c r="T2790" s="1" t="b">
        <v>0</v>
      </c>
      <c r="U2790" s="1" t="s">
        <v>39</v>
      </c>
      <c r="V2790" s="3">
        <v>1</v>
      </c>
    </row>
    <row r="2791" spans="1:22" x14ac:dyDescent="0.3">
      <c r="A2791" s="2" t="s">
        <v>6063</v>
      </c>
      <c r="B2791" s="10">
        <v>44766</v>
      </c>
      <c r="C2791" s="22">
        <v>44766</v>
      </c>
      <c r="D2791" s="1" t="s">
        <v>6064</v>
      </c>
      <c r="E2791" s="1" t="s">
        <v>1955</v>
      </c>
      <c r="F2791" s="1">
        <v>33</v>
      </c>
      <c r="G2791" s="1" t="s">
        <v>24</v>
      </c>
      <c r="H2791" s="1" t="s">
        <v>25</v>
      </c>
      <c r="I2791" s="1" t="s">
        <v>69</v>
      </c>
      <c r="J2791" s="1" t="s">
        <v>27</v>
      </c>
      <c r="K2791" s="1" t="s">
        <v>97</v>
      </c>
      <c r="L2791" s="1">
        <v>4</v>
      </c>
      <c r="M2791" s="13">
        <v>63.82</v>
      </c>
      <c r="N2791" s="15">
        <v>0.37</v>
      </c>
      <c r="O2791" s="13">
        <v>257.56</v>
      </c>
      <c r="P2791" s="13">
        <v>22.21</v>
      </c>
      <c r="Q2791" s="13">
        <v>49.45</v>
      </c>
      <c r="R2791" s="1" t="s">
        <v>78</v>
      </c>
      <c r="S2791" s="1">
        <v>4</v>
      </c>
      <c r="T2791" s="1" t="b">
        <v>1</v>
      </c>
      <c r="U2791" s="1" t="s">
        <v>30</v>
      </c>
      <c r="V2791" s="3">
        <v>10</v>
      </c>
    </row>
    <row r="2792" spans="1:22" x14ac:dyDescent="0.3">
      <c r="A2792" s="2" t="s">
        <v>6065</v>
      </c>
      <c r="B2792" s="10">
        <v>45285</v>
      </c>
      <c r="C2792" s="22">
        <v>45285</v>
      </c>
      <c r="D2792" s="1" t="s">
        <v>6066</v>
      </c>
      <c r="E2792" s="1" t="s">
        <v>157</v>
      </c>
      <c r="F2792" s="1">
        <v>37</v>
      </c>
      <c r="G2792" s="1" t="s">
        <v>463</v>
      </c>
      <c r="H2792" s="1" t="s">
        <v>82</v>
      </c>
      <c r="I2792" s="1" t="s">
        <v>293</v>
      </c>
      <c r="J2792" s="1" t="s">
        <v>127</v>
      </c>
      <c r="K2792" s="1" t="s">
        <v>142</v>
      </c>
      <c r="L2792" s="1">
        <v>3</v>
      </c>
      <c r="M2792" s="13">
        <v>24262.65</v>
      </c>
      <c r="N2792" s="15">
        <v>0.02</v>
      </c>
      <c r="O2792" s="13">
        <v>65587.56</v>
      </c>
      <c r="P2792" s="13">
        <v>9960.8700000000008</v>
      </c>
      <c r="Q2792" s="13">
        <v>61.25</v>
      </c>
      <c r="R2792" s="1" t="s">
        <v>57</v>
      </c>
      <c r="S2792" s="1">
        <v>2</v>
      </c>
      <c r="T2792" s="1" t="b">
        <v>0</v>
      </c>
      <c r="U2792" s="1" t="s">
        <v>39</v>
      </c>
      <c r="V2792" s="3">
        <v>10</v>
      </c>
    </row>
    <row r="2793" spans="1:22" x14ac:dyDescent="0.3">
      <c r="A2793" s="2" t="s">
        <v>6067</v>
      </c>
      <c r="B2793" s="10">
        <v>44764</v>
      </c>
      <c r="C2793" s="22">
        <v>44764</v>
      </c>
      <c r="D2793" s="1" t="s">
        <v>6068</v>
      </c>
      <c r="E2793" s="1" t="s">
        <v>2286</v>
      </c>
      <c r="F2793" s="1">
        <v>21</v>
      </c>
      <c r="G2793" s="1" t="s">
        <v>24</v>
      </c>
      <c r="H2793" s="1" t="s">
        <v>25</v>
      </c>
      <c r="I2793" s="1" t="s">
        <v>26</v>
      </c>
      <c r="J2793" s="1" t="s">
        <v>146</v>
      </c>
      <c r="K2793" s="1" t="s">
        <v>276</v>
      </c>
      <c r="L2793" s="1">
        <v>5</v>
      </c>
      <c r="M2793" s="13">
        <v>11099.1</v>
      </c>
      <c r="N2793" s="15">
        <v>0.05</v>
      </c>
      <c r="O2793" s="13">
        <v>82679.97</v>
      </c>
      <c r="P2793" s="13">
        <v>21389.61</v>
      </c>
      <c r="Q2793" s="13">
        <v>42.92</v>
      </c>
      <c r="R2793" s="1" t="s">
        <v>51</v>
      </c>
      <c r="S2793" s="1">
        <v>2</v>
      </c>
      <c r="T2793" s="1" t="b">
        <v>0</v>
      </c>
      <c r="U2793" s="1" t="s">
        <v>39</v>
      </c>
      <c r="V2793" s="3">
        <v>7</v>
      </c>
    </row>
    <row r="2794" spans="1:22" x14ac:dyDescent="0.3">
      <c r="A2794" s="2" t="s">
        <v>6069</v>
      </c>
      <c r="B2794" s="10">
        <v>44847</v>
      </c>
      <c r="C2794" s="22">
        <v>44847</v>
      </c>
      <c r="D2794" s="1" t="s">
        <v>6070</v>
      </c>
      <c r="E2794" s="1" t="s">
        <v>33</v>
      </c>
      <c r="F2794" s="1">
        <v>47</v>
      </c>
      <c r="G2794" s="1" t="s">
        <v>24</v>
      </c>
      <c r="H2794" s="1" t="s">
        <v>35</v>
      </c>
      <c r="I2794" s="1" t="s">
        <v>43</v>
      </c>
      <c r="J2794" s="1" t="s">
        <v>27</v>
      </c>
      <c r="K2794" s="1" t="s">
        <v>450</v>
      </c>
      <c r="L2794" s="1">
        <v>2</v>
      </c>
      <c r="M2794" s="13">
        <v>463.54</v>
      </c>
      <c r="N2794" s="15">
        <v>0.14000000000000001</v>
      </c>
      <c r="O2794" s="13">
        <v>751.49</v>
      </c>
      <c r="P2794" s="13">
        <v>62.99</v>
      </c>
      <c r="Q2794" s="13">
        <v>75.64</v>
      </c>
      <c r="R2794" s="1" t="s">
        <v>57</v>
      </c>
      <c r="S2794" s="1">
        <v>5</v>
      </c>
      <c r="T2794" s="1" t="b">
        <v>0</v>
      </c>
      <c r="U2794" s="1" t="s">
        <v>39</v>
      </c>
      <c r="V2794" s="3">
        <v>2</v>
      </c>
    </row>
    <row r="2795" spans="1:22" x14ac:dyDescent="0.3">
      <c r="A2795" s="2" t="s">
        <v>6071</v>
      </c>
      <c r="B2795" s="10">
        <v>44348</v>
      </c>
      <c r="C2795" s="22">
        <v>44348</v>
      </c>
      <c r="D2795" s="1" t="s">
        <v>6072</v>
      </c>
      <c r="E2795" s="1" t="s">
        <v>591</v>
      </c>
      <c r="F2795" s="1">
        <v>57</v>
      </c>
      <c r="G2795" s="1" t="s">
        <v>24</v>
      </c>
      <c r="H2795" s="1" t="s">
        <v>74</v>
      </c>
      <c r="I2795" s="1" t="s">
        <v>192</v>
      </c>
      <c r="J2795" s="1" t="s">
        <v>44</v>
      </c>
      <c r="K2795" s="1" t="s">
        <v>221</v>
      </c>
      <c r="L2795" s="1">
        <v>7</v>
      </c>
      <c r="M2795" s="13">
        <v>16753.46</v>
      </c>
      <c r="N2795" s="15">
        <v>0.32</v>
      </c>
      <c r="O2795" s="13">
        <v>120954.22</v>
      </c>
      <c r="P2795" s="13">
        <v>36178.46</v>
      </c>
      <c r="Q2795" s="13">
        <v>49.72</v>
      </c>
      <c r="R2795" s="1" t="s">
        <v>78</v>
      </c>
      <c r="S2795" s="1">
        <v>1</v>
      </c>
      <c r="T2795" s="1" t="b">
        <v>0</v>
      </c>
      <c r="U2795" s="1" t="s">
        <v>39</v>
      </c>
      <c r="V2795" s="3">
        <v>4</v>
      </c>
    </row>
    <row r="2796" spans="1:22" x14ac:dyDescent="0.3">
      <c r="A2796" s="2" t="s">
        <v>6073</v>
      </c>
      <c r="B2796" s="10">
        <v>44594</v>
      </c>
      <c r="C2796" s="22">
        <v>44594</v>
      </c>
      <c r="D2796" s="1" t="s">
        <v>6074</v>
      </c>
      <c r="E2796" s="1" t="s">
        <v>496</v>
      </c>
      <c r="F2796" s="1">
        <v>36</v>
      </c>
      <c r="G2796" s="1" t="s">
        <v>24</v>
      </c>
      <c r="H2796" s="1" t="s">
        <v>74</v>
      </c>
      <c r="I2796" s="1" t="s">
        <v>101</v>
      </c>
      <c r="J2796" s="1" t="s">
        <v>146</v>
      </c>
      <c r="K2796" s="1" t="s">
        <v>178</v>
      </c>
      <c r="L2796" s="1">
        <v>3</v>
      </c>
      <c r="M2796" s="13">
        <v>1355.28</v>
      </c>
      <c r="N2796" s="15">
        <v>0.1</v>
      </c>
      <c r="O2796" s="13">
        <v>3611.47</v>
      </c>
      <c r="P2796" s="13">
        <v>631.16</v>
      </c>
      <c r="Q2796" s="13">
        <v>55.05</v>
      </c>
      <c r="R2796" s="1" t="s">
        <v>29</v>
      </c>
      <c r="S2796" s="1">
        <v>3</v>
      </c>
      <c r="T2796" s="1" t="b">
        <v>0</v>
      </c>
      <c r="U2796" s="1" t="s">
        <v>39</v>
      </c>
      <c r="V2796" s="3">
        <v>3</v>
      </c>
    </row>
    <row r="2797" spans="1:22" x14ac:dyDescent="0.3">
      <c r="A2797" s="2" t="s">
        <v>6075</v>
      </c>
      <c r="B2797" s="10">
        <v>45547</v>
      </c>
      <c r="C2797" s="22">
        <v>45547</v>
      </c>
      <c r="D2797" s="1" t="s">
        <v>6076</v>
      </c>
      <c r="E2797" s="1" t="s">
        <v>915</v>
      </c>
      <c r="F2797" s="1">
        <v>34</v>
      </c>
      <c r="G2797" s="1" t="s">
        <v>24</v>
      </c>
      <c r="H2797" s="1" t="s">
        <v>82</v>
      </c>
      <c r="I2797" s="1" t="s">
        <v>83</v>
      </c>
      <c r="J2797" s="1" t="s">
        <v>127</v>
      </c>
      <c r="K2797" s="1" t="s">
        <v>196</v>
      </c>
      <c r="L2797" s="1">
        <v>1</v>
      </c>
      <c r="M2797" s="13">
        <v>52760.05</v>
      </c>
      <c r="N2797" s="15">
        <v>0.27</v>
      </c>
      <c r="O2797" s="13">
        <v>53395.11</v>
      </c>
      <c r="P2797" s="13">
        <v>6374.3</v>
      </c>
      <c r="Q2797" s="13">
        <v>69.78</v>
      </c>
      <c r="R2797" s="1" t="s">
        <v>64</v>
      </c>
      <c r="S2797" s="1">
        <v>3</v>
      </c>
      <c r="T2797" s="1" t="b">
        <v>0</v>
      </c>
      <c r="U2797" s="1" t="s">
        <v>39</v>
      </c>
      <c r="V2797" s="3">
        <v>5</v>
      </c>
    </row>
    <row r="2798" spans="1:22" x14ac:dyDescent="0.3">
      <c r="A2798" s="2" t="s">
        <v>6077</v>
      </c>
      <c r="B2798" s="10">
        <v>43937</v>
      </c>
      <c r="C2798" s="22">
        <v>43937</v>
      </c>
      <c r="D2798" s="1" t="s">
        <v>6078</v>
      </c>
      <c r="E2798" s="1" t="s">
        <v>272</v>
      </c>
      <c r="F2798" s="1">
        <v>30</v>
      </c>
      <c r="G2798" s="1" t="s">
        <v>34</v>
      </c>
      <c r="H2798" s="1" t="s">
        <v>111</v>
      </c>
      <c r="I2798" s="1" t="s">
        <v>330</v>
      </c>
      <c r="J2798" s="1" t="s">
        <v>76</v>
      </c>
      <c r="K2798" s="1" t="s">
        <v>122</v>
      </c>
      <c r="L2798" s="1">
        <v>3</v>
      </c>
      <c r="M2798" s="13">
        <v>995.86</v>
      </c>
      <c r="N2798" s="15">
        <v>0.13</v>
      </c>
      <c r="O2798" s="13">
        <v>2883.96</v>
      </c>
      <c r="P2798" s="13">
        <v>919.54</v>
      </c>
      <c r="Q2798" s="13">
        <v>83.09</v>
      </c>
      <c r="R2798" s="1" t="s">
        <v>29</v>
      </c>
      <c r="S2798" s="1">
        <v>2</v>
      </c>
      <c r="T2798" s="1" t="b">
        <v>1</v>
      </c>
      <c r="U2798" s="1" t="s">
        <v>30</v>
      </c>
      <c r="V2798" s="3">
        <v>3</v>
      </c>
    </row>
    <row r="2799" spans="1:22" x14ac:dyDescent="0.3">
      <c r="A2799" s="2" t="s">
        <v>6079</v>
      </c>
      <c r="B2799" s="10">
        <v>45325</v>
      </c>
      <c r="C2799" s="22">
        <v>45325</v>
      </c>
      <c r="D2799" s="1" t="s">
        <v>6080</v>
      </c>
      <c r="E2799" s="1" t="s">
        <v>1862</v>
      </c>
      <c r="F2799" s="1">
        <v>39</v>
      </c>
      <c r="G2799" s="1" t="s">
        <v>24</v>
      </c>
      <c r="H2799" s="1" t="s">
        <v>82</v>
      </c>
      <c r="I2799" s="1" t="s">
        <v>83</v>
      </c>
      <c r="J2799" s="1" t="s">
        <v>62</v>
      </c>
      <c r="K2799" s="1" t="s">
        <v>283</v>
      </c>
      <c r="L2799" s="1">
        <v>4</v>
      </c>
      <c r="M2799" s="13">
        <v>838.86</v>
      </c>
      <c r="N2799" s="15">
        <v>0.21</v>
      </c>
      <c r="O2799" s="13">
        <v>4823.62</v>
      </c>
      <c r="P2799" s="13">
        <v>1699.36</v>
      </c>
      <c r="Q2799" s="13">
        <v>91.38</v>
      </c>
      <c r="R2799" s="1" t="s">
        <v>78</v>
      </c>
      <c r="S2799" s="1">
        <v>5</v>
      </c>
      <c r="T2799" s="1" t="b">
        <v>0</v>
      </c>
      <c r="U2799" s="1" t="s">
        <v>39</v>
      </c>
      <c r="V2799" s="3">
        <v>1</v>
      </c>
    </row>
    <row r="2800" spans="1:22" x14ac:dyDescent="0.3">
      <c r="A2800" s="2" t="s">
        <v>6081</v>
      </c>
      <c r="B2800" s="10">
        <v>43925</v>
      </c>
      <c r="C2800" s="22">
        <v>43925</v>
      </c>
      <c r="D2800" s="1" t="s">
        <v>6082</v>
      </c>
      <c r="E2800" s="1" t="s">
        <v>354</v>
      </c>
      <c r="F2800" s="1">
        <v>32</v>
      </c>
      <c r="G2800" s="1" t="s">
        <v>34</v>
      </c>
      <c r="H2800" s="1" t="s">
        <v>74</v>
      </c>
      <c r="I2800" s="1" t="s">
        <v>75</v>
      </c>
      <c r="J2800" s="1" t="s">
        <v>27</v>
      </c>
      <c r="K2800" s="1" t="s">
        <v>56</v>
      </c>
      <c r="L2800" s="1">
        <v>4</v>
      </c>
      <c r="M2800" s="13">
        <v>274.86</v>
      </c>
      <c r="N2800" s="15">
        <v>0.34</v>
      </c>
      <c r="O2800" s="13">
        <v>738.23</v>
      </c>
      <c r="P2800" s="13">
        <v>64.05</v>
      </c>
      <c r="Q2800" s="13">
        <v>67.36</v>
      </c>
      <c r="R2800" s="1" t="s">
        <v>78</v>
      </c>
      <c r="S2800" s="1">
        <v>2</v>
      </c>
      <c r="T2800" s="1" t="b">
        <v>0</v>
      </c>
      <c r="U2800" s="1" t="s">
        <v>39</v>
      </c>
      <c r="V2800" s="3">
        <v>2</v>
      </c>
    </row>
    <row r="2801" spans="1:22" x14ac:dyDescent="0.3">
      <c r="A2801" s="2" t="s">
        <v>6083</v>
      </c>
      <c r="B2801" s="10">
        <v>44400</v>
      </c>
      <c r="C2801" s="22">
        <v>44400</v>
      </c>
      <c r="D2801" s="1" t="s">
        <v>6084</v>
      </c>
      <c r="E2801" s="1" t="s">
        <v>1294</v>
      </c>
      <c r="F2801" s="1">
        <v>42</v>
      </c>
      <c r="G2801" s="1" t="s">
        <v>24</v>
      </c>
      <c r="H2801" s="1" t="s">
        <v>82</v>
      </c>
      <c r="I2801" s="1" t="s">
        <v>126</v>
      </c>
      <c r="J2801" s="1" t="s">
        <v>127</v>
      </c>
      <c r="K2801" s="1" t="s">
        <v>308</v>
      </c>
      <c r="L2801" s="1">
        <v>5</v>
      </c>
      <c r="M2801" s="13">
        <v>69372.740000000005</v>
      </c>
      <c r="N2801" s="15">
        <v>0.32</v>
      </c>
      <c r="O2801" s="13">
        <v>68226.259999999995</v>
      </c>
      <c r="P2801" s="13">
        <v>9165.4</v>
      </c>
      <c r="Q2801" s="13">
        <v>102.31</v>
      </c>
      <c r="R2801" s="1" t="s">
        <v>57</v>
      </c>
      <c r="S2801" s="1">
        <v>3</v>
      </c>
      <c r="T2801" s="1" t="b">
        <v>0</v>
      </c>
      <c r="U2801" s="1" t="s">
        <v>39</v>
      </c>
      <c r="V2801" s="3">
        <v>8</v>
      </c>
    </row>
    <row r="2802" spans="1:22" x14ac:dyDescent="0.3">
      <c r="A2802" s="2" t="s">
        <v>6085</v>
      </c>
      <c r="B2802" s="10">
        <v>44797</v>
      </c>
      <c r="C2802" s="22">
        <v>44797</v>
      </c>
      <c r="D2802" s="1" t="s">
        <v>6086</v>
      </c>
      <c r="E2802" s="1" t="s">
        <v>301</v>
      </c>
      <c r="F2802" s="1">
        <v>28</v>
      </c>
      <c r="G2802" s="1" t="s">
        <v>68</v>
      </c>
      <c r="H2802" s="1" t="s">
        <v>82</v>
      </c>
      <c r="I2802" s="1" t="s">
        <v>126</v>
      </c>
      <c r="J2802" s="1" t="s">
        <v>127</v>
      </c>
      <c r="K2802" s="1" t="s">
        <v>142</v>
      </c>
      <c r="L2802" s="1">
        <v>1</v>
      </c>
      <c r="M2802" s="13">
        <v>51058.89</v>
      </c>
      <c r="N2802" s="15">
        <v>0.38</v>
      </c>
      <c r="O2802" s="13">
        <v>41545.589999999997</v>
      </c>
      <c r="P2802" s="13">
        <v>5436.55</v>
      </c>
      <c r="Q2802" s="13">
        <v>71.72</v>
      </c>
      <c r="R2802" s="1" t="s">
        <v>57</v>
      </c>
      <c r="S2802" s="1">
        <v>2</v>
      </c>
      <c r="T2802" s="1" t="b">
        <v>1</v>
      </c>
      <c r="U2802" s="1" t="s">
        <v>30</v>
      </c>
      <c r="V2802" s="3">
        <v>5</v>
      </c>
    </row>
    <row r="2803" spans="1:22" x14ac:dyDescent="0.3">
      <c r="A2803" s="2" t="s">
        <v>6087</v>
      </c>
      <c r="B2803" s="10">
        <v>44031</v>
      </c>
      <c r="C2803" s="22">
        <v>44031</v>
      </c>
      <c r="D2803" s="1" t="s">
        <v>6088</v>
      </c>
      <c r="E2803" s="1" t="s">
        <v>516</v>
      </c>
      <c r="F2803" s="1">
        <v>14</v>
      </c>
      <c r="G2803" s="1" t="s">
        <v>68</v>
      </c>
      <c r="H2803" s="1" t="s">
        <v>35</v>
      </c>
      <c r="I2803" s="1" t="s">
        <v>49</v>
      </c>
      <c r="J2803" s="1" t="s">
        <v>76</v>
      </c>
      <c r="K2803" s="1" t="s">
        <v>113</v>
      </c>
      <c r="L2803" s="1">
        <v>5</v>
      </c>
      <c r="M2803" s="13">
        <v>526.99</v>
      </c>
      <c r="N2803" s="15">
        <v>0.37</v>
      </c>
      <c r="O2803" s="13">
        <v>2143.91</v>
      </c>
      <c r="P2803" s="13">
        <v>931.96</v>
      </c>
      <c r="Q2803" s="13">
        <v>36.770000000000003</v>
      </c>
      <c r="R2803" s="1" t="s">
        <v>29</v>
      </c>
      <c r="S2803" s="1">
        <v>2</v>
      </c>
      <c r="T2803" s="1" t="b">
        <v>0</v>
      </c>
      <c r="U2803" s="1" t="s">
        <v>39</v>
      </c>
      <c r="V2803" s="3">
        <v>5</v>
      </c>
    </row>
    <row r="2804" spans="1:22" x14ac:dyDescent="0.3">
      <c r="A2804" s="2" t="s">
        <v>6089</v>
      </c>
      <c r="B2804" s="10">
        <v>45529</v>
      </c>
      <c r="C2804" s="22">
        <v>45529</v>
      </c>
      <c r="D2804" s="1" t="s">
        <v>6090</v>
      </c>
      <c r="E2804" s="1" t="s">
        <v>2117</v>
      </c>
      <c r="F2804" s="1">
        <v>30</v>
      </c>
      <c r="G2804" s="1" t="s">
        <v>68</v>
      </c>
      <c r="H2804" s="1" t="s">
        <v>74</v>
      </c>
      <c r="I2804" s="1" t="s">
        <v>75</v>
      </c>
      <c r="J2804" s="1" t="s">
        <v>44</v>
      </c>
      <c r="K2804" s="1" t="s">
        <v>221</v>
      </c>
      <c r="L2804" s="1">
        <v>5</v>
      </c>
      <c r="M2804" s="13">
        <v>5015.22</v>
      </c>
      <c r="N2804" s="15">
        <v>0.23</v>
      </c>
      <c r="O2804" s="13">
        <v>28243.5</v>
      </c>
      <c r="P2804" s="13">
        <v>9170.82</v>
      </c>
      <c r="Q2804" s="13">
        <v>35.020000000000003</v>
      </c>
      <c r="R2804" s="1" t="s">
        <v>51</v>
      </c>
      <c r="S2804" s="1">
        <v>3</v>
      </c>
      <c r="T2804" s="1" t="b">
        <v>0</v>
      </c>
      <c r="U2804" s="1" t="s">
        <v>39</v>
      </c>
      <c r="V2804" s="3">
        <v>10</v>
      </c>
    </row>
    <row r="2805" spans="1:22" x14ac:dyDescent="0.3">
      <c r="A2805" s="2" t="s">
        <v>6091</v>
      </c>
      <c r="B2805" s="10">
        <v>44454</v>
      </c>
      <c r="C2805" s="22">
        <v>44454</v>
      </c>
      <c r="D2805" s="1" t="s">
        <v>6092</v>
      </c>
      <c r="E2805" s="1" t="s">
        <v>4375</v>
      </c>
      <c r="F2805" s="1">
        <v>37</v>
      </c>
      <c r="G2805" s="1" t="s">
        <v>68</v>
      </c>
      <c r="H2805" s="1" t="s">
        <v>35</v>
      </c>
      <c r="I2805" s="1" t="s">
        <v>43</v>
      </c>
      <c r="J2805" s="1" t="s">
        <v>37</v>
      </c>
      <c r="K2805" s="1" t="s">
        <v>38</v>
      </c>
      <c r="L2805" s="1">
        <v>6</v>
      </c>
      <c r="M2805" s="13">
        <v>386.4</v>
      </c>
      <c r="N2805" s="15">
        <v>0.05</v>
      </c>
      <c r="O2805" s="13">
        <v>2325.2199999999998</v>
      </c>
      <c r="P2805" s="13">
        <v>1189.6099999999999</v>
      </c>
      <c r="Q2805" s="13">
        <v>40.659999999999997</v>
      </c>
      <c r="R2805" s="1" t="s">
        <v>70</v>
      </c>
      <c r="S2805" s="1">
        <v>1</v>
      </c>
      <c r="T2805" s="1" t="b">
        <v>0</v>
      </c>
      <c r="U2805" s="1" t="s">
        <v>39</v>
      </c>
      <c r="V2805" s="3">
        <v>10</v>
      </c>
    </row>
    <row r="2806" spans="1:22" x14ac:dyDescent="0.3">
      <c r="A2806" s="2" t="s">
        <v>6093</v>
      </c>
      <c r="B2806" s="10">
        <v>45076</v>
      </c>
      <c r="C2806" s="22">
        <v>45076</v>
      </c>
      <c r="D2806" s="1" t="s">
        <v>6094</v>
      </c>
      <c r="E2806" s="1" t="s">
        <v>770</v>
      </c>
      <c r="F2806" s="1">
        <v>19</v>
      </c>
      <c r="G2806" s="1" t="s">
        <v>34</v>
      </c>
      <c r="H2806" s="1" t="s">
        <v>82</v>
      </c>
      <c r="I2806" s="1" t="s">
        <v>83</v>
      </c>
      <c r="J2806" s="1" t="s">
        <v>127</v>
      </c>
      <c r="K2806" s="1" t="s">
        <v>517</v>
      </c>
      <c r="L2806" s="1">
        <v>1</v>
      </c>
      <c r="M2806" s="13">
        <v>11340.22</v>
      </c>
      <c r="N2806" s="15">
        <v>0.33</v>
      </c>
      <c r="O2806" s="13">
        <v>11399.21</v>
      </c>
      <c r="P2806" s="13">
        <v>1893.42</v>
      </c>
      <c r="Q2806" s="13">
        <v>112.08</v>
      </c>
      <c r="R2806" s="1" t="s">
        <v>70</v>
      </c>
      <c r="S2806" s="1">
        <v>3</v>
      </c>
      <c r="T2806" s="1" t="b">
        <v>0</v>
      </c>
      <c r="U2806" s="1" t="s">
        <v>137</v>
      </c>
      <c r="V2806" s="3">
        <v>5</v>
      </c>
    </row>
    <row r="2807" spans="1:22" x14ac:dyDescent="0.3">
      <c r="A2807" s="2" t="s">
        <v>6095</v>
      </c>
      <c r="B2807" s="10">
        <v>44018</v>
      </c>
      <c r="C2807" s="22">
        <v>44018</v>
      </c>
      <c r="D2807" s="1" t="s">
        <v>6096</v>
      </c>
      <c r="E2807" s="1" t="s">
        <v>423</v>
      </c>
      <c r="F2807" s="1">
        <v>50</v>
      </c>
      <c r="G2807" s="1" t="s">
        <v>24</v>
      </c>
      <c r="H2807" s="1" t="s">
        <v>35</v>
      </c>
      <c r="I2807" s="1" t="s">
        <v>43</v>
      </c>
      <c r="J2807" s="1" t="s">
        <v>37</v>
      </c>
      <c r="K2807" s="1" t="s">
        <v>231</v>
      </c>
      <c r="L2807" s="1">
        <v>8</v>
      </c>
      <c r="M2807" s="13">
        <v>122.16</v>
      </c>
      <c r="N2807" s="15">
        <v>0.04</v>
      </c>
      <c r="O2807" s="13">
        <v>1352.85</v>
      </c>
      <c r="P2807" s="13">
        <v>624.96</v>
      </c>
      <c r="Q2807" s="13">
        <v>78.739999999999995</v>
      </c>
      <c r="R2807" s="1" t="s">
        <v>70</v>
      </c>
      <c r="S2807" s="1">
        <v>1</v>
      </c>
      <c r="T2807" s="1" t="b">
        <v>0</v>
      </c>
      <c r="U2807" s="1" t="s">
        <v>39</v>
      </c>
      <c r="V2807" s="3">
        <v>8</v>
      </c>
    </row>
    <row r="2808" spans="1:22" x14ac:dyDescent="0.3">
      <c r="A2808" s="2" t="s">
        <v>6097</v>
      </c>
      <c r="B2808" s="10">
        <v>44626</v>
      </c>
      <c r="C2808" s="22">
        <v>44626</v>
      </c>
      <c r="D2808" s="1" t="s">
        <v>6098</v>
      </c>
      <c r="E2808" s="1" t="s">
        <v>817</v>
      </c>
      <c r="F2808" s="1">
        <v>37</v>
      </c>
      <c r="G2808" s="1" t="s">
        <v>68</v>
      </c>
      <c r="H2808" s="1" t="s">
        <v>74</v>
      </c>
      <c r="I2808" s="1" t="s">
        <v>192</v>
      </c>
      <c r="J2808" s="1" t="s">
        <v>37</v>
      </c>
      <c r="K2808" s="1" t="s">
        <v>671</v>
      </c>
      <c r="L2808" s="1">
        <v>1</v>
      </c>
      <c r="M2808" s="13">
        <v>2287.88</v>
      </c>
      <c r="N2808" s="15">
        <v>0.13</v>
      </c>
      <c r="O2808" s="13">
        <v>2605.92</v>
      </c>
      <c r="P2808" s="13">
        <v>984.29</v>
      </c>
      <c r="Q2808" s="13">
        <v>61</v>
      </c>
      <c r="R2808" s="1" t="s">
        <v>64</v>
      </c>
      <c r="S2808" s="1">
        <v>3</v>
      </c>
      <c r="T2808" s="1" t="b">
        <v>0</v>
      </c>
      <c r="U2808" s="1" t="s">
        <v>39</v>
      </c>
      <c r="V2808" s="3">
        <v>10</v>
      </c>
    </row>
    <row r="2809" spans="1:22" x14ac:dyDescent="0.3">
      <c r="A2809" s="2" t="s">
        <v>6099</v>
      </c>
      <c r="B2809" s="10">
        <v>44774</v>
      </c>
      <c r="C2809" s="22">
        <v>44774</v>
      </c>
      <c r="D2809" s="1" t="s">
        <v>6100</v>
      </c>
      <c r="E2809" s="1" t="s">
        <v>708</v>
      </c>
      <c r="F2809" s="1">
        <v>15</v>
      </c>
      <c r="G2809" s="1" t="s">
        <v>68</v>
      </c>
      <c r="H2809" s="1" t="s">
        <v>111</v>
      </c>
      <c r="I2809" s="1" t="s">
        <v>330</v>
      </c>
      <c r="J2809" s="1" t="s">
        <v>146</v>
      </c>
      <c r="K2809" s="1" t="s">
        <v>161</v>
      </c>
      <c r="L2809" s="1">
        <v>3</v>
      </c>
      <c r="M2809" s="13">
        <v>7029.88</v>
      </c>
      <c r="N2809" s="15">
        <v>0</v>
      </c>
      <c r="O2809" s="13">
        <v>30080.080000000002</v>
      </c>
      <c r="P2809" s="13">
        <v>7677.44</v>
      </c>
      <c r="Q2809" s="13">
        <v>83.89</v>
      </c>
      <c r="R2809" s="1" t="s">
        <v>51</v>
      </c>
      <c r="S2809" s="1">
        <v>2</v>
      </c>
      <c r="T2809" s="1" t="b">
        <v>0</v>
      </c>
      <c r="U2809" s="1" t="s">
        <v>137</v>
      </c>
      <c r="V2809" s="3">
        <v>10</v>
      </c>
    </row>
    <row r="2810" spans="1:22" x14ac:dyDescent="0.3">
      <c r="A2810" s="2" t="s">
        <v>6101</v>
      </c>
      <c r="B2810" s="10">
        <v>44428</v>
      </c>
      <c r="C2810" s="22">
        <v>44428</v>
      </c>
      <c r="D2810" s="1" t="s">
        <v>6102</v>
      </c>
      <c r="E2810" s="1" t="s">
        <v>755</v>
      </c>
      <c r="F2810" s="1">
        <v>43</v>
      </c>
      <c r="G2810" s="1" t="s">
        <v>68</v>
      </c>
      <c r="H2810" s="1" t="s">
        <v>82</v>
      </c>
      <c r="I2810" s="1" t="s">
        <v>83</v>
      </c>
      <c r="J2810" s="1" t="s">
        <v>37</v>
      </c>
      <c r="K2810" s="1" t="s">
        <v>231</v>
      </c>
      <c r="L2810" s="1">
        <v>7</v>
      </c>
      <c r="M2810" s="13">
        <v>2072.71</v>
      </c>
      <c r="N2810" s="15">
        <v>0.36</v>
      </c>
      <c r="O2810" s="13">
        <v>11905.56</v>
      </c>
      <c r="P2810" s="13">
        <v>4495.7299999999996</v>
      </c>
      <c r="Q2810" s="13">
        <v>76.63</v>
      </c>
      <c r="R2810" s="1" t="s">
        <v>78</v>
      </c>
      <c r="S2810" s="1">
        <v>5</v>
      </c>
      <c r="T2810" s="1" t="b">
        <v>0</v>
      </c>
      <c r="U2810" s="1" t="s">
        <v>39</v>
      </c>
      <c r="V2810" s="3">
        <v>9</v>
      </c>
    </row>
    <row r="2811" spans="1:22" x14ac:dyDescent="0.3">
      <c r="A2811" s="2" t="s">
        <v>6103</v>
      </c>
      <c r="B2811" s="10">
        <v>45122</v>
      </c>
      <c r="C2811" s="22">
        <v>45122</v>
      </c>
      <c r="D2811" s="1" t="s">
        <v>6104</v>
      </c>
      <c r="E2811" s="1" t="s">
        <v>531</v>
      </c>
      <c r="F2811" s="1">
        <v>59</v>
      </c>
      <c r="G2811" s="1" t="s">
        <v>24</v>
      </c>
      <c r="H2811" s="1" t="s">
        <v>82</v>
      </c>
      <c r="I2811" s="1" t="s">
        <v>293</v>
      </c>
      <c r="J2811" s="1" t="s">
        <v>27</v>
      </c>
      <c r="K2811" s="1" t="s">
        <v>97</v>
      </c>
      <c r="L2811" s="1">
        <v>1</v>
      </c>
      <c r="M2811" s="13">
        <v>420.19</v>
      </c>
      <c r="N2811" s="15">
        <v>0.04</v>
      </c>
      <c r="O2811" s="13">
        <v>592.96</v>
      </c>
      <c r="P2811" s="13">
        <v>70.709999999999994</v>
      </c>
      <c r="Q2811" s="13">
        <v>40.340000000000003</v>
      </c>
      <c r="R2811" s="1" t="s">
        <v>64</v>
      </c>
      <c r="S2811" s="1">
        <v>3</v>
      </c>
      <c r="T2811" s="1" t="b">
        <v>0</v>
      </c>
      <c r="U2811" s="1" t="s">
        <v>39</v>
      </c>
      <c r="V2811" s="3">
        <v>4</v>
      </c>
    </row>
    <row r="2812" spans="1:22" x14ac:dyDescent="0.3">
      <c r="A2812" s="2" t="s">
        <v>6105</v>
      </c>
      <c r="B2812" s="10">
        <v>44989</v>
      </c>
      <c r="C2812" s="22">
        <v>44989</v>
      </c>
      <c r="D2812" s="1" t="s">
        <v>6106</v>
      </c>
      <c r="E2812" s="1" t="s">
        <v>505</v>
      </c>
      <c r="F2812" s="1">
        <v>28</v>
      </c>
      <c r="G2812" s="1" t="s">
        <v>68</v>
      </c>
      <c r="H2812" s="1" t="s">
        <v>25</v>
      </c>
      <c r="I2812" s="1" t="s">
        <v>170</v>
      </c>
      <c r="J2812" s="1" t="s">
        <v>27</v>
      </c>
      <c r="K2812" s="1" t="s">
        <v>430</v>
      </c>
      <c r="L2812" s="1">
        <v>7</v>
      </c>
      <c r="M2812" s="13">
        <v>493.14</v>
      </c>
      <c r="N2812" s="15">
        <v>7.0000000000000007E-2</v>
      </c>
      <c r="O2812" s="13">
        <v>4089.53</v>
      </c>
      <c r="P2812" s="13">
        <v>366.06</v>
      </c>
      <c r="Q2812" s="13">
        <v>60.87</v>
      </c>
      <c r="R2812" s="1" t="s">
        <v>57</v>
      </c>
      <c r="S2812" s="1">
        <v>3</v>
      </c>
      <c r="T2812" s="1" t="b">
        <v>0</v>
      </c>
      <c r="U2812" s="1" t="s">
        <v>137</v>
      </c>
      <c r="V2812" s="3">
        <v>2</v>
      </c>
    </row>
    <row r="2813" spans="1:22" x14ac:dyDescent="0.3">
      <c r="A2813" s="2" t="s">
        <v>6107</v>
      </c>
      <c r="B2813" s="10">
        <v>44597</v>
      </c>
      <c r="C2813" s="22">
        <v>44597</v>
      </c>
      <c r="D2813" s="1" t="s">
        <v>6108</v>
      </c>
      <c r="E2813" s="1" t="s">
        <v>708</v>
      </c>
      <c r="F2813" s="1">
        <v>25</v>
      </c>
      <c r="G2813" s="1" t="s">
        <v>24</v>
      </c>
      <c r="H2813" s="1" t="s">
        <v>25</v>
      </c>
      <c r="I2813" s="1" t="s">
        <v>26</v>
      </c>
      <c r="J2813" s="1" t="s">
        <v>146</v>
      </c>
      <c r="K2813" s="1" t="s">
        <v>147</v>
      </c>
      <c r="L2813" s="1">
        <v>5</v>
      </c>
      <c r="M2813" s="13">
        <v>5502.6</v>
      </c>
      <c r="N2813" s="15">
        <v>0.01</v>
      </c>
      <c r="O2813" s="13">
        <v>28294.84</v>
      </c>
      <c r="P2813" s="13">
        <v>8865.25</v>
      </c>
      <c r="Q2813" s="13">
        <v>65.010000000000005</v>
      </c>
      <c r="R2813" s="1" t="s">
        <v>64</v>
      </c>
      <c r="S2813" s="1">
        <v>4</v>
      </c>
      <c r="T2813" s="1" t="b">
        <v>0</v>
      </c>
      <c r="U2813" s="1" t="s">
        <v>39</v>
      </c>
      <c r="V2813" s="3">
        <v>4</v>
      </c>
    </row>
    <row r="2814" spans="1:22" x14ac:dyDescent="0.3">
      <c r="A2814" s="2" t="s">
        <v>6109</v>
      </c>
      <c r="B2814" s="10">
        <v>44679</v>
      </c>
      <c r="C2814" s="22">
        <v>44679</v>
      </c>
      <c r="D2814" s="1" t="s">
        <v>6110</v>
      </c>
      <c r="E2814" s="1" t="s">
        <v>1266</v>
      </c>
      <c r="F2814" s="1">
        <v>35</v>
      </c>
      <c r="G2814" s="1" t="s">
        <v>34</v>
      </c>
      <c r="H2814" s="1" t="s">
        <v>111</v>
      </c>
      <c r="I2814" s="1" t="s">
        <v>121</v>
      </c>
      <c r="J2814" s="1" t="s">
        <v>127</v>
      </c>
      <c r="K2814" s="1" t="s">
        <v>517</v>
      </c>
      <c r="L2814" s="1">
        <v>6</v>
      </c>
      <c r="M2814" s="13">
        <v>39743.58</v>
      </c>
      <c r="N2814" s="15">
        <v>0.06</v>
      </c>
      <c r="O2814" s="13">
        <v>290848.39</v>
      </c>
      <c r="P2814" s="13">
        <v>32188.69</v>
      </c>
      <c r="Q2814" s="13">
        <v>78.099999999999994</v>
      </c>
      <c r="R2814" s="1" t="s">
        <v>78</v>
      </c>
      <c r="S2814" s="1">
        <v>5</v>
      </c>
      <c r="T2814" s="1" t="b">
        <v>0</v>
      </c>
      <c r="U2814" s="1" t="s">
        <v>39</v>
      </c>
      <c r="V2814" s="3">
        <v>45</v>
      </c>
    </row>
    <row r="2815" spans="1:22" x14ac:dyDescent="0.3">
      <c r="A2815" s="2" t="s">
        <v>6111</v>
      </c>
      <c r="B2815" s="10">
        <v>44580</v>
      </c>
      <c r="C2815" s="22">
        <v>44580</v>
      </c>
      <c r="D2815" s="1" t="s">
        <v>6112</v>
      </c>
      <c r="E2815" s="1" t="s">
        <v>2637</v>
      </c>
      <c r="F2815" s="1">
        <v>36</v>
      </c>
      <c r="G2815" s="1" t="s">
        <v>68</v>
      </c>
      <c r="H2815" s="1" t="s">
        <v>111</v>
      </c>
      <c r="I2815" s="1" t="s">
        <v>330</v>
      </c>
      <c r="J2815" s="1" t="s">
        <v>62</v>
      </c>
      <c r="K2815" s="1" t="s">
        <v>283</v>
      </c>
      <c r="L2815" s="1">
        <v>7</v>
      </c>
      <c r="M2815" s="13">
        <v>903.3</v>
      </c>
      <c r="N2815" s="15">
        <v>0.22</v>
      </c>
      <c r="O2815" s="13">
        <v>4147.54</v>
      </c>
      <c r="P2815" s="13">
        <v>1984.59</v>
      </c>
      <c r="Q2815" s="13">
        <v>55.08</v>
      </c>
      <c r="R2815" s="1" t="s">
        <v>78</v>
      </c>
      <c r="S2815" s="1">
        <v>2</v>
      </c>
      <c r="T2815" s="1" t="b">
        <v>0</v>
      </c>
      <c r="U2815" s="1" t="s">
        <v>39</v>
      </c>
      <c r="V2815" s="3">
        <v>3</v>
      </c>
    </row>
    <row r="2816" spans="1:22" x14ac:dyDescent="0.3">
      <c r="A2816" s="2" t="s">
        <v>6113</v>
      </c>
      <c r="B2816" s="10">
        <v>43859</v>
      </c>
      <c r="C2816" s="22">
        <v>43859</v>
      </c>
      <c r="D2816" s="1" t="s">
        <v>6114</v>
      </c>
      <c r="E2816" s="1" t="s">
        <v>1004</v>
      </c>
      <c r="F2816" s="1">
        <v>13</v>
      </c>
      <c r="G2816" s="1" t="s">
        <v>24</v>
      </c>
      <c r="H2816" s="1" t="s">
        <v>25</v>
      </c>
      <c r="I2816" s="1" t="s">
        <v>170</v>
      </c>
      <c r="J2816" s="1" t="s">
        <v>146</v>
      </c>
      <c r="K2816" s="1" t="s">
        <v>147</v>
      </c>
      <c r="L2816" s="1">
        <v>2</v>
      </c>
      <c r="M2816" s="13">
        <v>13459.3</v>
      </c>
      <c r="N2816" s="15">
        <v>0.24</v>
      </c>
      <c r="O2816" s="13">
        <v>17258.310000000001</v>
      </c>
      <c r="P2816" s="13">
        <v>2829</v>
      </c>
      <c r="Q2816" s="13">
        <v>42.24</v>
      </c>
      <c r="R2816" s="1" t="s">
        <v>78</v>
      </c>
      <c r="S2816" s="1">
        <v>1</v>
      </c>
      <c r="T2816" s="1" t="b">
        <v>0</v>
      </c>
      <c r="U2816" s="1" t="s">
        <v>39</v>
      </c>
      <c r="V2816" s="3">
        <v>4</v>
      </c>
    </row>
    <row r="2817" spans="1:22" x14ac:dyDescent="0.3">
      <c r="A2817" s="2" t="s">
        <v>6115</v>
      </c>
      <c r="B2817" s="10">
        <v>44141</v>
      </c>
      <c r="C2817" s="22">
        <v>44141</v>
      </c>
      <c r="D2817" s="1" t="s">
        <v>3800</v>
      </c>
      <c r="E2817" s="1" t="s">
        <v>2140</v>
      </c>
      <c r="F2817" s="1">
        <v>39</v>
      </c>
      <c r="G2817" s="1" t="s">
        <v>24</v>
      </c>
      <c r="H2817" s="1" t="s">
        <v>25</v>
      </c>
      <c r="I2817" s="1" t="s">
        <v>170</v>
      </c>
      <c r="J2817" s="1" t="s">
        <v>37</v>
      </c>
      <c r="K2817" s="1" t="s">
        <v>231</v>
      </c>
      <c r="L2817" s="1">
        <v>3</v>
      </c>
      <c r="M2817" s="13">
        <v>1239.17</v>
      </c>
      <c r="N2817" s="15">
        <v>0.37</v>
      </c>
      <c r="O2817" s="13">
        <v>1595.55</v>
      </c>
      <c r="P2817" s="13">
        <v>768.1</v>
      </c>
      <c r="Q2817" s="13">
        <v>50.76</v>
      </c>
      <c r="R2817" s="1" t="s">
        <v>78</v>
      </c>
      <c r="S2817" s="1">
        <v>3</v>
      </c>
      <c r="T2817" s="1" t="b">
        <v>0</v>
      </c>
      <c r="U2817" s="1" t="s">
        <v>39</v>
      </c>
      <c r="V2817" s="3">
        <v>5</v>
      </c>
    </row>
    <row r="2818" spans="1:22" x14ac:dyDescent="0.3">
      <c r="A2818" s="2" t="s">
        <v>6116</v>
      </c>
      <c r="B2818" s="10">
        <v>44623</v>
      </c>
      <c r="C2818" s="22">
        <v>44623</v>
      </c>
      <c r="D2818" s="1" t="s">
        <v>6117</v>
      </c>
      <c r="E2818" s="1" t="s">
        <v>1510</v>
      </c>
      <c r="F2818" s="1">
        <v>26</v>
      </c>
      <c r="G2818" s="1" t="s">
        <v>34</v>
      </c>
      <c r="H2818" s="1" t="s">
        <v>82</v>
      </c>
      <c r="I2818" s="1" t="s">
        <v>244</v>
      </c>
      <c r="J2818" s="1" t="s">
        <v>37</v>
      </c>
      <c r="K2818" s="1" t="s">
        <v>671</v>
      </c>
      <c r="L2818" s="1">
        <v>5</v>
      </c>
      <c r="M2818" s="13">
        <v>2389.7800000000002</v>
      </c>
      <c r="N2818" s="15">
        <v>0.27</v>
      </c>
      <c r="O2818" s="13">
        <v>9862.27</v>
      </c>
      <c r="P2818" s="13">
        <v>4445.3</v>
      </c>
      <c r="Q2818" s="13">
        <v>88.28</v>
      </c>
      <c r="R2818" s="1" t="s">
        <v>70</v>
      </c>
      <c r="S2818" s="1">
        <v>1</v>
      </c>
      <c r="T2818" s="1" t="b">
        <v>0</v>
      </c>
      <c r="U2818" s="1" t="s">
        <v>39</v>
      </c>
      <c r="V2818" s="3">
        <v>6</v>
      </c>
    </row>
    <row r="2819" spans="1:22" x14ac:dyDescent="0.3">
      <c r="A2819" s="2" t="s">
        <v>6118</v>
      </c>
      <c r="B2819" s="10">
        <v>45134</v>
      </c>
      <c r="C2819" s="22">
        <v>45134</v>
      </c>
      <c r="D2819" s="1" t="s">
        <v>6119</v>
      </c>
      <c r="E2819" s="1" t="s">
        <v>2875</v>
      </c>
      <c r="F2819" s="1">
        <v>35</v>
      </c>
      <c r="G2819" s="1" t="s">
        <v>68</v>
      </c>
      <c r="H2819" s="1" t="s">
        <v>111</v>
      </c>
      <c r="I2819" s="1" t="s">
        <v>330</v>
      </c>
      <c r="J2819" s="1" t="s">
        <v>146</v>
      </c>
      <c r="K2819" s="1" t="s">
        <v>147</v>
      </c>
      <c r="L2819" s="1">
        <v>10</v>
      </c>
      <c r="M2819" s="13">
        <v>14369.58</v>
      </c>
      <c r="N2819" s="15">
        <v>0.19</v>
      </c>
      <c r="O2819" s="13">
        <v>155449.26999999999</v>
      </c>
      <c r="P2819" s="13">
        <v>43778.31</v>
      </c>
      <c r="Q2819" s="13">
        <v>70.010000000000005</v>
      </c>
      <c r="R2819" s="1" t="s">
        <v>78</v>
      </c>
      <c r="S2819" s="1">
        <v>2</v>
      </c>
      <c r="T2819" s="1" t="b">
        <v>0</v>
      </c>
      <c r="U2819" s="1" t="s">
        <v>197</v>
      </c>
      <c r="V2819" s="3">
        <v>3</v>
      </c>
    </row>
    <row r="2820" spans="1:22" x14ac:dyDescent="0.3">
      <c r="A2820" s="2" t="s">
        <v>6120</v>
      </c>
      <c r="B2820" s="10">
        <v>44413</v>
      </c>
      <c r="C2820" s="22">
        <v>44413</v>
      </c>
      <c r="D2820" s="1" t="s">
        <v>6121</v>
      </c>
      <c r="E2820" s="1" t="s">
        <v>289</v>
      </c>
      <c r="F2820" s="1">
        <v>41</v>
      </c>
      <c r="G2820" s="1" t="s">
        <v>34</v>
      </c>
      <c r="H2820" s="1" t="s">
        <v>111</v>
      </c>
      <c r="I2820" s="1" t="s">
        <v>141</v>
      </c>
      <c r="J2820" s="1" t="s">
        <v>27</v>
      </c>
      <c r="K2820" s="1" t="s">
        <v>28</v>
      </c>
      <c r="L2820" s="1">
        <v>7</v>
      </c>
      <c r="M2820" s="13">
        <v>299.11</v>
      </c>
      <c r="N2820" s="15">
        <v>0.28000000000000003</v>
      </c>
      <c r="O2820" s="13">
        <v>2191.0300000000002</v>
      </c>
      <c r="P2820" s="13">
        <v>148.75</v>
      </c>
      <c r="Q2820" s="13">
        <v>87.79</v>
      </c>
      <c r="R2820" s="1" t="s">
        <v>64</v>
      </c>
      <c r="S2820" s="1">
        <v>5</v>
      </c>
      <c r="T2820" s="1" t="b">
        <v>0</v>
      </c>
      <c r="U2820" s="1" t="s">
        <v>39</v>
      </c>
      <c r="V2820" s="3">
        <v>6</v>
      </c>
    </row>
    <row r="2821" spans="1:22" x14ac:dyDescent="0.3">
      <c r="A2821" s="2" t="s">
        <v>6122</v>
      </c>
      <c r="B2821" s="10">
        <v>45226</v>
      </c>
      <c r="C2821" s="22">
        <v>45226</v>
      </c>
      <c r="D2821" s="1" t="s">
        <v>6123</v>
      </c>
      <c r="E2821" s="1" t="s">
        <v>711</v>
      </c>
      <c r="F2821" s="1">
        <v>47</v>
      </c>
      <c r="G2821" s="1" t="s">
        <v>34</v>
      </c>
      <c r="H2821" s="1" t="s">
        <v>25</v>
      </c>
      <c r="I2821" s="1" t="s">
        <v>69</v>
      </c>
      <c r="J2821" s="1" t="s">
        <v>146</v>
      </c>
      <c r="K2821" s="1" t="s">
        <v>147</v>
      </c>
      <c r="L2821" s="1">
        <v>10</v>
      </c>
      <c r="M2821" s="13">
        <v>4956.92</v>
      </c>
      <c r="N2821" s="15">
        <v>0.26</v>
      </c>
      <c r="O2821" s="13">
        <v>37464.050000000003</v>
      </c>
      <c r="P2821" s="13">
        <v>10028.06</v>
      </c>
      <c r="Q2821" s="13">
        <v>55.21</v>
      </c>
      <c r="R2821" s="1" t="s">
        <v>51</v>
      </c>
      <c r="S2821" s="1">
        <v>2</v>
      </c>
      <c r="T2821" s="1" t="b">
        <v>0</v>
      </c>
      <c r="U2821" s="1" t="s">
        <v>39</v>
      </c>
      <c r="V2821" s="3">
        <v>6</v>
      </c>
    </row>
    <row r="2822" spans="1:22" x14ac:dyDescent="0.3">
      <c r="A2822" s="2" t="s">
        <v>6124</v>
      </c>
      <c r="B2822" s="10">
        <v>44253</v>
      </c>
      <c r="C2822" s="22">
        <v>44253</v>
      </c>
      <c r="D2822" s="1" t="s">
        <v>6125</v>
      </c>
      <c r="E2822" s="1" t="s">
        <v>262</v>
      </c>
      <c r="F2822" s="1">
        <v>32</v>
      </c>
      <c r="G2822" s="1" t="s">
        <v>68</v>
      </c>
      <c r="H2822" s="1" t="s">
        <v>74</v>
      </c>
      <c r="I2822" s="1" t="s">
        <v>75</v>
      </c>
      <c r="J2822" s="1" t="s">
        <v>44</v>
      </c>
      <c r="K2822" s="1" t="s">
        <v>50</v>
      </c>
      <c r="L2822" s="1">
        <v>3</v>
      </c>
      <c r="M2822" s="13">
        <v>26021.42</v>
      </c>
      <c r="N2822" s="15">
        <v>0.06</v>
      </c>
      <c r="O2822" s="13">
        <v>58084.97</v>
      </c>
      <c r="P2822" s="13">
        <v>15110.03</v>
      </c>
      <c r="Q2822" s="13">
        <v>29.22</v>
      </c>
      <c r="R2822" s="1" t="s">
        <v>70</v>
      </c>
      <c r="S2822" s="1">
        <v>3</v>
      </c>
      <c r="T2822" s="1" t="b">
        <v>0</v>
      </c>
      <c r="U2822" s="1" t="s">
        <v>39</v>
      </c>
      <c r="V2822" s="3">
        <v>1</v>
      </c>
    </row>
    <row r="2823" spans="1:22" x14ac:dyDescent="0.3">
      <c r="A2823" s="2" t="s">
        <v>6126</v>
      </c>
      <c r="B2823" s="10">
        <v>44506</v>
      </c>
      <c r="C2823" s="22">
        <v>44506</v>
      </c>
      <c r="D2823" s="1" t="s">
        <v>6127</v>
      </c>
      <c r="E2823" s="1" t="s">
        <v>872</v>
      </c>
      <c r="F2823" s="1">
        <v>27</v>
      </c>
      <c r="G2823" s="1" t="s">
        <v>34</v>
      </c>
      <c r="H2823" s="1" t="s">
        <v>82</v>
      </c>
      <c r="I2823" s="1" t="s">
        <v>83</v>
      </c>
      <c r="J2823" s="1" t="s">
        <v>62</v>
      </c>
      <c r="K2823" s="1" t="s">
        <v>151</v>
      </c>
      <c r="L2823" s="1">
        <v>9</v>
      </c>
      <c r="M2823" s="13">
        <v>1191.6199999999999</v>
      </c>
      <c r="N2823" s="15">
        <v>0.33</v>
      </c>
      <c r="O2823" s="13">
        <v>5257.68</v>
      </c>
      <c r="P2823" s="13">
        <v>2138.66</v>
      </c>
      <c r="Q2823" s="13">
        <v>54.25</v>
      </c>
      <c r="R2823" s="1" t="s">
        <v>57</v>
      </c>
      <c r="S2823" s="1">
        <v>2</v>
      </c>
      <c r="T2823" s="1" t="b">
        <v>0</v>
      </c>
      <c r="U2823" s="1" t="s">
        <v>84</v>
      </c>
      <c r="V2823" s="3">
        <v>7</v>
      </c>
    </row>
    <row r="2824" spans="1:22" x14ac:dyDescent="0.3">
      <c r="A2824" s="2" t="s">
        <v>6128</v>
      </c>
      <c r="B2824" s="10">
        <v>44644</v>
      </c>
      <c r="C2824" s="22">
        <v>44644</v>
      </c>
      <c r="D2824" s="1" t="s">
        <v>6129</v>
      </c>
      <c r="E2824" s="1" t="s">
        <v>1638</v>
      </c>
      <c r="F2824" s="1">
        <v>27</v>
      </c>
      <c r="G2824" s="1" t="s">
        <v>68</v>
      </c>
      <c r="H2824" s="1" t="s">
        <v>111</v>
      </c>
      <c r="I2824" s="1" t="s">
        <v>330</v>
      </c>
      <c r="J2824" s="1" t="s">
        <v>62</v>
      </c>
      <c r="K2824" s="1" t="s">
        <v>570</v>
      </c>
      <c r="L2824" s="1">
        <v>5</v>
      </c>
      <c r="M2824" s="13">
        <v>845.02</v>
      </c>
      <c r="N2824" s="15">
        <v>0.38</v>
      </c>
      <c r="O2824" s="13">
        <v>3063.76</v>
      </c>
      <c r="P2824" s="13">
        <v>1423.14</v>
      </c>
      <c r="Q2824" s="13">
        <v>65.17</v>
      </c>
      <c r="R2824" s="1" t="s">
        <v>51</v>
      </c>
      <c r="S2824" s="1">
        <v>3</v>
      </c>
      <c r="T2824" s="1" t="b">
        <v>0</v>
      </c>
      <c r="U2824" s="1" t="s">
        <v>39</v>
      </c>
      <c r="V2824" s="3">
        <v>7</v>
      </c>
    </row>
    <row r="2825" spans="1:22" x14ac:dyDescent="0.3">
      <c r="A2825" s="2" t="s">
        <v>6130</v>
      </c>
      <c r="B2825" s="10">
        <v>44786</v>
      </c>
      <c r="C2825" s="22">
        <v>44786</v>
      </c>
      <c r="D2825" s="1" t="s">
        <v>6131</v>
      </c>
      <c r="E2825" s="1" t="s">
        <v>195</v>
      </c>
      <c r="F2825" s="1">
        <v>34</v>
      </c>
      <c r="G2825" s="1" t="s">
        <v>34</v>
      </c>
      <c r="H2825" s="1" t="s">
        <v>111</v>
      </c>
      <c r="I2825" s="1" t="s">
        <v>141</v>
      </c>
      <c r="J2825" s="1" t="s">
        <v>76</v>
      </c>
      <c r="K2825" s="1" t="s">
        <v>207</v>
      </c>
      <c r="L2825" s="1">
        <v>7</v>
      </c>
      <c r="M2825" s="13">
        <v>838.11</v>
      </c>
      <c r="N2825" s="15">
        <v>0.21</v>
      </c>
      <c r="O2825" s="13">
        <v>6198.3</v>
      </c>
      <c r="P2825" s="13">
        <v>2068.64</v>
      </c>
      <c r="Q2825" s="13">
        <v>74.48</v>
      </c>
      <c r="R2825" s="1" t="s">
        <v>51</v>
      </c>
      <c r="S2825" s="1">
        <v>4</v>
      </c>
      <c r="T2825" s="1" t="b">
        <v>0</v>
      </c>
      <c r="U2825" s="1" t="s">
        <v>39</v>
      </c>
      <c r="V2825" s="3">
        <v>4</v>
      </c>
    </row>
    <row r="2826" spans="1:22" x14ac:dyDescent="0.3">
      <c r="A2826" s="2" t="s">
        <v>6132</v>
      </c>
      <c r="B2826" s="10">
        <v>44750</v>
      </c>
      <c r="C2826" s="22">
        <v>44750</v>
      </c>
      <c r="D2826" s="1" t="s">
        <v>6133</v>
      </c>
      <c r="E2826" s="1" t="s">
        <v>676</v>
      </c>
      <c r="F2826" s="1">
        <v>32</v>
      </c>
      <c r="G2826" s="1" t="s">
        <v>34</v>
      </c>
      <c r="H2826" s="1" t="s">
        <v>35</v>
      </c>
      <c r="I2826" s="1" t="s">
        <v>49</v>
      </c>
      <c r="J2826" s="1" t="s">
        <v>44</v>
      </c>
      <c r="K2826" s="1" t="s">
        <v>93</v>
      </c>
      <c r="L2826" s="1">
        <v>4</v>
      </c>
      <c r="M2826" s="13">
        <v>34455.300000000003</v>
      </c>
      <c r="N2826" s="15">
        <v>0.15</v>
      </c>
      <c r="O2826" s="13">
        <v>170405.41</v>
      </c>
      <c r="P2826" s="13">
        <v>53474.69</v>
      </c>
      <c r="Q2826" s="13">
        <v>73.849999999999994</v>
      </c>
      <c r="R2826" s="1" t="s">
        <v>64</v>
      </c>
      <c r="S2826" s="1">
        <v>1</v>
      </c>
      <c r="T2826" s="1" t="b">
        <v>0</v>
      </c>
      <c r="U2826" s="1" t="s">
        <v>39</v>
      </c>
      <c r="V2826" s="3">
        <v>8</v>
      </c>
    </row>
    <row r="2827" spans="1:22" x14ac:dyDescent="0.3">
      <c r="A2827" s="2" t="s">
        <v>6134</v>
      </c>
      <c r="B2827" s="10">
        <v>44711</v>
      </c>
      <c r="C2827" s="22">
        <v>44711</v>
      </c>
      <c r="D2827" s="1" t="s">
        <v>6135</v>
      </c>
      <c r="E2827" s="1" t="s">
        <v>140</v>
      </c>
      <c r="F2827" s="1">
        <v>29</v>
      </c>
      <c r="G2827" s="1" t="s">
        <v>68</v>
      </c>
      <c r="H2827" s="1" t="s">
        <v>74</v>
      </c>
      <c r="I2827" s="1" t="s">
        <v>136</v>
      </c>
      <c r="J2827" s="1" t="s">
        <v>37</v>
      </c>
      <c r="K2827" s="1" t="s">
        <v>671</v>
      </c>
      <c r="L2827" s="1">
        <v>1</v>
      </c>
      <c r="M2827" s="13">
        <v>737.47</v>
      </c>
      <c r="N2827" s="15">
        <v>0.08</v>
      </c>
      <c r="O2827" s="13">
        <v>972.44</v>
      </c>
      <c r="P2827" s="13">
        <v>502.12</v>
      </c>
      <c r="Q2827" s="13">
        <v>86.32</v>
      </c>
      <c r="R2827" s="1" t="s">
        <v>57</v>
      </c>
      <c r="S2827" s="1">
        <v>3</v>
      </c>
      <c r="T2827" s="1" t="b">
        <v>0</v>
      </c>
      <c r="U2827" s="1" t="s">
        <v>39</v>
      </c>
      <c r="V2827" s="3">
        <v>10</v>
      </c>
    </row>
    <row r="2828" spans="1:22" x14ac:dyDescent="0.3">
      <c r="A2828" s="2" t="s">
        <v>6136</v>
      </c>
      <c r="B2828" s="10">
        <v>44973</v>
      </c>
      <c r="C2828" s="22">
        <v>44973</v>
      </c>
      <c r="D2828" s="1" t="s">
        <v>6137</v>
      </c>
      <c r="E2828" s="1" t="s">
        <v>349</v>
      </c>
      <c r="F2828" s="1">
        <v>8</v>
      </c>
      <c r="G2828" s="1" t="s">
        <v>34</v>
      </c>
      <c r="H2828" s="1" t="s">
        <v>111</v>
      </c>
      <c r="I2828" s="1" t="s">
        <v>141</v>
      </c>
      <c r="J2828" s="1" t="s">
        <v>76</v>
      </c>
      <c r="K2828" s="1" t="s">
        <v>207</v>
      </c>
      <c r="L2828" s="1">
        <v>10</v>
      </c>
      <c r="M2828" s="13">
        <v>1075.33</v>
      </c>
      <c r="N2828" s="15">
        <v>0.06</v>
      </c>
      <c r="O2828" s="13">
        <v>10581.42</v>
      </c>
      <c r="P2828" s="13">
        <v>3323.08</v>
      </c>
      <c r="Q2828" s="13">
        <v>58.54</v>
      </c>
      <c r="R2828" s="1" t="s">
        <v>51</v>
      </c>
      <c r="S2828" s="1">
        <v>2</v>
      </c>
      <c r="T2828" s="1" t="b">
        <v>0</v>
      </c>
      <c r="U2828" s="1" t="s">
        <v>39</v>
      </c>
      <c r="V2828" s="3">
        <v>1</v>
      </c>
    </row>
    <row r="2829" spans="1:22" x14ac:dyDescent="0.3">
      <c r="A2829" s="2" t="s">
        <v>6138</v>
      </c>
      <c r="B2829" s="10">
        <v>44132</v>
      </c>
      <c r="C2829" s="22">
        <v>44132</v>
      </c>
      <c r="D2829" s="1" t="s">
        <v>6139</v>
      </c>
      <c r="E2829" s="1" t="s">
        <v>1387</v>
      </c>
      <c r="F2829" s="1">
        <v>26</v>
      </c>
      <c r="G2829" s="1" t="s">
        <v>68</v>
      </c>
      <c r="H2829" s="1" t="s">
        <v>74</v>
      </c>
      <c r="I2829" s="1" t="s">
        <v>136</v>
      </c>
      <c r="J2829" s="1" t="s">
        <v>146</v>
      </c>
      <c r="K2829" s="1" t="s">
        <v>276</v>
      </c>
      <c r="L2829" s="1">
        <v>5</v>
      </c>
      <c r="M2829" s="13">
        <v>1900.51</v>
      </c>
      <c r="N2829" s="15">
        <v>0.24</v>
      </c>
      <c r="O2829" s="13">
        <v>5891.51</v>
      </c>
      <c r="P2829" s="13">
        <v>1237.06</v>
      </c>
      <c r="Q2829" s="13">
        <v>31.46</v>
      </c>
      <c r="R2829" s="1" t="s">
        <v>70</v>
      </c>
      <c r="S2829" s="1">
        <v>1</v>
      </c>
      <c r="T2829" s="1" t="b">
        <v>0</v>
      </c>
      <c r="U2829" s="1" t="s">
        <v>39</v>
      </c>
      <c r="V2829" s="3">
        <v>10</v>
      </c>
    </row>
    <row r="2830" spans="1:22" x14ac:dyDescent="0.3">
      <c r="A2830" s="2" t="s">
        <v>6140</v>
      </c>
      <c r="B2830" s="10">
        <v>44484</v>
      </c>
      <c r="C2830" s="22">
        <v>44484</v>
      </c>
      <c r="D2830" s="1" t="s">
        <v>6141</v>
      </c>
      <c r="E2830" s="1" t="s">
        <v>1950</v>
      </c>
      <c r="F2830" s="1">
        <v>34</v>
      </c>
      <c r="G2830" s="1" t="s">
        <v>34</v>
      </c>
      <c r="H2830" s="1" t="s">
        <v>35</v>
      </c>
      <c r="I2830" s="1" t="s">
        <v>36</v>
      </c>
      <c r="J2830" s="1" t="s">
        <v>62</v>
      </c>
      <c r="K2830" s="1" t="s">
        <v>570</v>
      </c>
      <c r="L2830" s="1">
        <v>10</v>
      </c>
      <c r="M2830" s="13">
        <v>521.91</v>
      </c>
      <c r="N2830" s="15">
        <v>0.13</v>
      </c>
      <c r="O2830" s="13">
        <v>4198.2299999999996</v>
      </c>
      <c r="P2830" s="13">
        <v>1720.46</v>
      </c>
      <c r="Q2830" s="13">
        <v>41.86</v>
      </c>
      <c r="R2830" s="1" t="s">
        <v>29</v>
      </c>
      <c r="S2830" s="1">
        <v>2</v>
      </c>
      <c r="T2830" s="1" t="b">
        <v>0</v>
      </c>
      <c r="U2830" s="1" t="s">
        <v>39</v>
      </c>
      <c r="V2830" s="3">
        <v>7</v>
      </c>
    </row>
    <row r="2831" spans="1:22" x14ac:dyDescent="0.3">
      <c r="A2831" s="2" t="s">
        <v>6142</v>
      </c>
      <c r="B2831" s="10">
        <v>44534</v>
      </c>
      <c r="C2831" s="22">
        <v>44534</v>
      </c>
      <c r="D2831" s="1" t="s">
        <v>6143</v>
      </c>
      <c r="E2831" s="1" t="s">
        <v>2481</v>
      </c>
      <c r="F2831" s="1">
        <v>43</v>
      </c>
      <c r="G2831" s="1" t="s">
        <v>34</v>
      </c>
      <c r="H2831" s="1" t="s">
        <v>82</v>
      </c>
      <c r="I2831" s="1" t="s">
        <v>126</v>
      </c>
      <c r="J2831" s="1" t="s">
        <v>27</v>
      </c>
      <c r="K2831" s="1" t="s">
        <v>430</v>
      </c>
      <c r="L2831" s="1">
        <v>6</v>
      </c>
      <c r="M2831" s="13">
        <v>479.7</v>
      </c>
      <c r="N2831" s="15">
        <v>0.21</v>
      </c>
      <c r="O2831" s="13">
        <v>1769.61</v>
      </c>
      <c r="P2831" s="13">
        <v>138.58000000000001</v>
      </c>
      <c r="Q2831" s="13">
        <v>81.02</v>
      </c>
      <c r="R2831" s="1" t="s">
        <v>29</v>
      </c>
      <c r="S2831" s="1">
        <v>1</v>
      </c>
      <c r="T2831" s="1" t="b">
        <v>0</v>
      </c>
      <c r="U2831" s="1" t="s">
        <v>39</v>
      </c>
      <c r="V2831" s="3">
        <v>4</v>
      </c>
    </row>
    <row r="2832" spans="1:22" x14ac:dyDescent="0.3">
      <c r="A2832" s="2" t="s">
        <v>6144</v>
      </c>
      <c r="B2832" s="10">
        <v>44785</v>
      </c>
      <c r="C2832" s="22">
        <v>44785</v>
      </c>
      <c r="D2832" s="1" t="s">
        <v>6145</v>
      </c>
      <c r="E2832" s="1" t="s">
        <v>3667</v>
      </c>
      <c r="F2832" s="1">
        <v>26</v>
      </c>
      <c r="G2832" s="1" t="s">
        <v>34</v>
      </c>
      <c r="H2832" s="1" t="s">
        <v>25</v>
      </c>
      <c r="I2832" s="1" t="s">
        <v>55</v>
      </c>
      <c r="J2832" s="1" t="s">
        <v>146</v>
      </c>
      <c r="K2832" s="1" t="s">
        <v>217</v>
      </c>
      <c r="L2832" s="1">
        <v>3</v>
      </c>
      <c r="M2832" s="13">
        <v>13900.23</v>
      </c>
      <c r="N2832" s="15">
        <v>0.06</v>
      </c>
      <c r="O2832" s="13">
        <v>55053.72</v>
      </c>
      <c r="P2832" s="13">
        <v>12908.85</v>
      </c>
      <c r="Q2832" s="13">
        <v>55.5</v>
      </c>
      <c r="R2832" s="1" t="s">
        <v>70</v>
      </c>
      <c r="S2832" s="1">
        <v>5</v>
      </c>
      <c r="T2832" s="1" t="b">
        <v>0</v>
      </c>
      <c r="U2832" s="1" t="s">
        <v>39</v>
      </c>
      <c r="V2832" s="3">
        <v>3</v>
      </c>
    </row>
    <row r="2833" spans="1:22" x14ac:dyDescent="0.3">
      <c r="A2833" s="2" t="s">
        <v>6146</v>
      </c>
      <c r="B2833" s="10">
        <v>44600</v>
      </c>
      <c r="C2833" s="22">
        <v>44600</v>
      </c>
      <c r="D2833" s="1" t="s">
        <v>6147</v>
      </c>
      <c r="E2833" s="1" t="s">
        <v>809</v>
      </c>
      <c r="F2833" s="1">
        <v>48</v>
      </c>
      <c r="G2833" s="1" t="s">
        <v>24</v>
      </c>
      <c r="H2833" s="1" t="s">
        <v>35</v>
      </c>
      <c r="I2833" s="1" t="s">
        <v>106</v>
      </c>
      <c r="J2833" s="1" t="s">
        <v>27</v>
      </c>
      <c r="K2833" s="1" t="s">
        <v>97</v>
      </c>
      <c r="L2833" s="1">
        <v>9</v>
      </c>
      <c r="M2833" s="13">
        <v>220.51</v>
      </c>
      <c r="N2833" s="15">
        <v>0.21</v>
      </c>
      <c r="O2833" s="13">
        <v>1973.84</v>
      </c>
      <c r="P2833" s="13">
        <v>156.87</v>
      </c>
      <c r="Q2833" s="13">
        <v>75.94</v>
      </c>
      <c r="R2833" s="1" t="s">
        <v>29</v>
      </c>
      <c r="S2833" s="1">
        <v>1</v>
      </c>
      <c r="T2833" s="1" t="b">
        <v>1</v>
      </c>
      <c r="U2833" s="1" t="s">
        <v>30</v>
      </c>
      <c r="V2833" s="3">
        <v>2</v>
      </c>
    </row>
    <row r="2834" spans="1:22" x14ac:dyDescent="0.3">
      <c r="A2834" s="2" t="s">
        <v>6148</v>
      </c>
      <c r="B2834" s="10">
        <v>44635</v>
      </c>
      <c r="C2834" s="22">
        <v>44635</v>
      </c>
      <c r="D2834" s="1" t="s">
        <v>6149</v>
      </c>
      <c r="E2834" s="1" t="s">
        <v>157</v>
      </c>
      <c r="F2834" s="1">
        <v>47</v>
      </c>
      <c r="G2834" s="1" t="s">
        <v>68</v>
      </c>
      <c r="H2834" s="1" t="s">
        <v>82</v>
      </c>
      <c r="I2834" s="1" t="s">
        <v>293</v>
      </c>
      <c r="J2834" s="1" t="s">
        <v>76</v>
      </c>
      <c r="K2834" s="1" t="s">
        <v>122</v>
      </c>
      <c r="L2834" s="1">
        <v>5</v>
      </c>
      <c r="M2834" s="13">
        <v>2706.32</v>
      </c>
      <c r="N2834" s="15">
        <v>0.18</v>
      </c>
      <c r="O2834" s="13">
        <v>2470.1799999999998</v>
      </c>
      <c r="P2834" s="13">
        <v>804.13</v>
      </c>
      <c r="Q2834" s="13">
        <v>91.14</v>
      </c>
      <c r="R2834" s="1" t="s">
        <v>70</v>
      </c>
      <c r="S2834" s="1">
        <v>3</v>
      </c>
      <c r="T2834" s="1" t="b">
        <v>0</v>
      </c>
      <c r="U2834" s="1" t="s">
        <v>137</v>
      </c>
      <c r="V2834" s="3">
        <v>7</v>
      </c>
    </row>
    <row r="2835" spans="1:22" x14ac:dyDescent="0.3">
      <c r="A2835" s="2" t="s">
        <v>6150</v>
      </c>
      <c r="B2835" s="10">
        <v>44387</v>
      </c>
      <c r="C2835" s="22">
        <v>44387</v>
      </c>
      <c r="D2835" s="1" t="s">
        <v>6151</v>
      </c>
      <c r="E2835" s="1" t="s">
        <v>301</v>
      </c>
      <c r="F2835" s="1">
        <v>48</v>
      </c>
      <c r="G2835" s="1" t="s">
        <v>68</v>
      </c>
      <c r="H2835" s="1" t="s">
        <v>111</v>
      </c>
      <c r="I2835" s="1" t="s">
        <v>121</v>
      </c>
      <c r="J2835" s="1" t="s">
        <v>76</v>
      </c>
      <c r="K2835" s="1" t="s">
        <v>77</v>
      </c>
      <c r="L2835" s="1">
        <v>2</v>
      </c>
      <c r="M2835" s="13">
        <v>796.71</v>
      </c>
      <c r="N2835" s="15">
        <v>0.25</v>
      </c>
      <c r="O2835" s="13">
        <v>1565.52</v>
      </c>
      <c r="P2835" s="13">
        <v>494.29</v>
      </c>
      <c r="Q2835" s="13">
        <v>79.430000000000007</v>
      </c>
      <c r="R2835" s="1" t="s">
        <v>51</v>
      </c>
      <c r="S2835" s="1">
        <v>1</v>
      </c>
      <c r="T2835" s="1" t="b">
        <v>0</v>
      </c>
      <c r="U2835" s="1" t="s">
        <v>137</v>
      </c>
      <c r="V2835" s="3">
        <v>7</v>
      </c>
    </row>
    <row r="2836" spans="1:22" x14ac:dyDescent="0.3">
      <c r="A2836" s="2" t="s">
        <v>6152</v>
      </c>
      <c r="B2836" s="10">
        <v>45527</v>
      </c>
      <c r="C2836" s="22">
        <v>45527</v>
      </c>
      <c r="D2836" s="1" t="s">
        <v>6153</v>
      </c>
      <c r="E2836" s="1" t="s">
        <v>100</v>
      </c>
      <c r="F2836" s="1">
        <v>34</v>
      </c>
      <c r="G2836" s="1" t="s">
        <v>68</v>
      </c>
      <c r="H2836" s="1" t="s">
        <v>35</v>
      </c>
      <c r="I2836" s="1" t="s">
        <v>43</v>
      </c>
      <c r="J2836" s="1" t="s">
        <v>62</v>
      </c>
      <c r="K2836" s="1" t="s">
        <v>107</v>
      </c>
      <c r="L2836" s="1">
        <v>9</v>
      </c>
      <c r="M2836" s="13">
        <v>545.35</v>
      </c>
      <c r="N2836" s="15">
        <v>0.1</v>
      </c>
      <c r="O2836" s="13">
        <v>6681.19</v>
      </c>
      <c r="P2836" s="13">
        <v>2838.94</v>
      </c>
      <c r="Q2836" s="13">
        <v>63.95</v>
      </c>
      <c r="R2836" s="1" t="s">
        <v>29</v>
      </c>
      <c r="S2836" s="1">
        <v>2</v>
      </c>
      <c r="T2836" s="1" t="b">
        <v>1</v>
      </c>
      <c r="U2836" s="1" t="s">
        <v>30</v>
      </c>
      <c r="V2836" s="3">
        <v>4</v>
      </c>
    </row>
    <row r="2837" spans="1:22" x14ac:dyDescent="0.3">
      <c r="A2837" s="2" t="s">
        <v>6154</v>
      </c>
      <c r="B2837" s="10">
        <v>44261</v>
      </c>
      <c r="C2837" s="22">
        <v>44261</v>
      </c>
      <c r="D2837" s="1" t="s">
        <v>742</v>
      </c>
      <c r="E2837" s="1" t="s">
        <v>426</v>
      </c>
      <c r="F2837" s="1">
        <v>22</v>
      </c>
      <c r="G2837" s="1" t="s">
        <v>68</v>
      </c>
      <c r="H2837" s="1" t="s">
        <v>82</v>
      </c>
      <c r="I2837" s="1" t="s">
        <v>126</v>
      </c>
      <c r="J2837" s="1" t="s">
        <v>146</v>
      </c>
      <c r="K2837" s="1" t="s">
        <v>161</v>
      </c>
      <c r="L2837" s="1">
        <v>1</v>
      </c>
      <c r="M2837" s="13">
        <v>12745.08</v>
      </c>
      <c r="N2837" s="15">
        <v>0.04</v>
      </c>
      <c r="O2837" s="13">
        <v>13997.17</v>
      </c>
      <c r="P2837" s="13">
        <v>3273.37</v>
      </c>
      <c r="Q2837" s="13">
        <v>95.74</v>
      </c>
      <c r="R2837" s="1" t="s">
        <v>78</v>
      </c>
      <c r="S2837" s="1">
        <v>3</v>
      </c>
      <c r="T2837" s="1" t="b">
        <v>1</v>
      </c>
      <c r="U2837" s="1" t="s">
        <v>30</v>
      </c>
      <c r="V2837" s="3">
        <v>1</v>
      </c>
    </row>
    <row r="2838" spans="1:22" x14ac:dyDescent="0.3">
      <c r="A2838" s="2" t="s">
        <v>6155</v>
      </c>
      <c r="B2838" s="10">
        <v>45115</v>
      </c>
      <c r="C2838" s="22">
        <v>45115</v>
      </c>
      <c r="D2838" s="1" t="s">
        <v>6156</v>
      </c>
      <c r="E2838" s="1" t="s">
        <v>440</v>
      </c>
      <c r="F2838" s="1">
        <v>39</v>
      </c>
      <c r="G2838" s="1" t="s">
        <v>34</v>
      </c>
      <c r="H2838" s="1" t="s">
        <v>111</v>
      </c>
      <c r="I2838" s="1" t="s">
        <v>141</v>
      </c>
      <c r="J2838" s="1" t="s">
        <v>127</v>
      </c>
      <c r="K2838" s="1" t="s">
        <v>128</v>
      </c>
      <c r="L2838" s="1">
        <v>10</v>
      </c>
      <c r="M2838" s="13">
        <v>75218.460000000006</v>
      </c>
      <c r="N2838" s="15">
        <v>0.11</v>
      </c>
      <c r="O2838" s="13">
        <v>1071676.26</v>
      </c>
      <c r="P2838" s="13">
        <v>126516.22</v>
      </c>
      <c r="Q2838" s="13">
        <v>87.54</v>
      </c>
      <c r="R2838" s="1" t="s">
        <v>70</v>
      </c>
      <c r="S2838" s="1">
        <v>5</v>
      </c>
      <c r="T2838" s="1" t="b">
        <v>0</v>
      </c>
      <c r="U2838" s="1" t="s">
        <v>39</v>
      </c>
      <c r="V2838" s="3">
        <v>6</v>
      </c>
    </row>
    <row r="2839" spans="1:22" x14ac:dyDescent="0.3">
      <c r="A2839" s="2" t="s">
        <v>6157</v>
      </c>
      <c r="B2839" s="10">
        <v>44799</v>
      </c>
      <c r="C2839" s="22">
        <v>44799</v>
      </c>
      <c r="D2839" s="1" t="s">
        <v>6158</v>
      </c>
      <c r="E2839" s="1" t="s">
        <v>4211</v>
      </c>
      <c r="F2839" s="1">
        <v>55</v>
      </c>
      <c r="G2839" s="1" t="s">
        <v>24</v>
      </c>
      <c r="H2839" s="1" t="s">
        <v>111</v>
      </c>
      <c r="I2839" s="1" t="s">
        <v>112</v>
      </c>
      <c r="J2839" s="1" t="s">
        <v>76</v>
      </c>
      <c r="K2839" s="1" t="s">
        <v>122</v>
      </c>
      <c r="L2839" s="1">
        <v>3</v>
      </c>
      <c r="M2839" s="13">
        <v>2275.89</v>
      </c>
      <c r="N2839" s="15">
        <v>0.37</v>
      </c>
      <c r="O2839" s="13">
        <v>5784.15</v>
      </c>
      <c r="P2839" s="13">
        <v>2003.88</v>
      </c>
      <c r="Q2839" s="13">
        <v>91.14</v>
      </c>
      <c r="R2839" s="1" t="s">
        <v>70</v>
      </c>
      <c r="S2839" s="1">
        <v>2</v>
      </c>
      <c r="T2839" s="1" t="b">
        <v>0</v>
      </c>
      <c r="U2839" s="1" t="s">
        <v>58</v>
      </c>
      <c r="V2839" s="3">
        <v>8</v>
      </c>
    </row>
    <row r="2840" spans="1:22" x14ac:dyDescent="0.3">
      <c r="A2840" s="2" t="s">
        <v>6159</v>
      </c>
      <c r="B2840" s="10">
        <v>43984</v>
      </c>
      <c r="C2840" s="22">
        <v>43984</v>
      </c>
      <c r="D2840" s="1" t="s">
        <v>6160</v>
      </c>
      <c r="E2840" s="1" t="s">
        <v>693</v>
      </c>
      <c r="F2840" s="1">
        <v>35</v>
      </c>
      <c r="G2840" s="1" t="s">
        <v>34</v>
      </c>
      <c r="H2840" s="1" t="s">
        <v>25</v>
      </c>
      <c r="I2840" s="1" t="s">
        <v>170</v>
      </c>
      <c r="J2840" s="1" t="s">
        <v>37</v>
      </c>
      <c r="K2840" s="1" t="s">
        <v>38</v>
      </c>
      <c r="L2840" s="1">
        <v>9</v>
      </c>
      <c r="M2840" s="13">
        <v>1088.49</v>
      </c>
      <c r="N2840" s="15">
        <v>0.18</v>
      </c>
      <c r="O2840" s="13">
        <v>9801.8700000000008</v>
      </c>
      <c r="P2840" s="13">
        <v>3831.73</v>
      </c>
      <c r="Q2840" s="13">
        <v>58.48</v>
      </c>
      <c r="R2840" s="1" t="s">
        <v>70</v>
      </c>
      <c r="S2840" s="1">
        <v>1</v>
      </c>
      <c r="T2840" s="1" t="b">
        <v>0</v>
      </c>
      <c r="U2840" s="1" t="s">
        <v>39</v>
      </c>
      <c r="V2840" s="3">
        <v>6</v>
      </c>
    </row>
    <row r="2841" spans="1:22" x14ac:dyDescent="0.3">
      <c r="A2841" s="2" t="s">
        <v>6161</v>
      </c>
      <c r="B2841" s="10">
        <v>44585</v>
      </c>
      <c r="C2841" s="22">
        <v>44585</v>
      </c>
      <c r="D2841" s="1" t="s">
        <v>6162</v>
      </c>
      <c r="E2841" s="1" t="s">
        <v>412</v>
      </c>
      <c r="F2841" s="1">
        <v>47</v>
      </c>
      <c r="G2841" s="1" t="s">
        <v>24</v>
      </c>
      <c r="H2841" s="1" t="s">
        <v>25</v>
      </c>
      <c r="I2841" s="1" t="s">
        <v>170</v>
      </c>
      <c r="J2841" s="1" t="s">
        <v>76</v>
      </c>
      <c r="K2841" s="1" t="s">
        <v>207</v>
      </c>
      <c r="L2841" s="1">
        <v>9</v>
      </c>
      <c r="M2841" s="13">
        <v>2676.81</v>
      </c>
      <c r="N2841" s="15">
        <v>0.06</v>
      </c>
      <c r="O2841" s="13">
        <v>20021.18</v>
      </c>
      <c r="P2841" s="13">
        <v>6907.31</v>
      </c>
      <c r="Q2841" s="13">
        <v>80.489999999999995</v>
      </c>
      <c r="R2841" s="1" t="s">
        <v>29</v>
      </c>
      <c r="S2841" s="1">
        <v>1</v>
      </c>
      <c r="T2841" s="1" t="b">
        <v>0</v>
      </c>
      <c r="U2841" s="1" t="s">
        <v>39</v>
      </c>
      <c r="V2841" s="3">
        <v>7</v>
      </c>
    </row>
    <row r="2842" spans="1:22" x14ac:dyDescent="0.3">
      <c r="A2842" s="2" t="s">
        <v>6163</v>
      </c>
      <c r="B2842" s="10">
        <v>44424</v>
      </c>
      <c r="C2842" s="22">
        <v>44424</v>
      </c>
      <c r="D2842" s="1" t="s">
        <v>6164</v>
      </c>
      <c r="E2842" s="1" t="s">
        <v>644</v>
      </c>
      <c r="F2842" s="1">
        <v>27</v>
      </c>
      <c r="G2842" s="1" t="s">
        <v>24</v>
      </c>
      <c r="H2842" s="1" t="s">
        <v>82</v>
      </c>
      <c r="I2842" s="1" t="s">
        <v>244</v>
      </c>
      <c r="J2842" s="1" t="s">
        <v>76</v>
      </c>
      <c r="K2842" s="1" t="s">
        <v>77</v>
      </c>
      <c r="L2842" s="1">
        <v>5</v>
      </c>
      <c r="M2842" s="13">
        <v>1016.27</v>
      </c>
      <c r="N2842" s="15">
        <v>0.31</v>
      </c>
      <c r="O2842" s="13">
        <v>3776.28</v>
      </c>
      <c r="P2842" s="13">
        <v>996.28</v>
      </c>
      <c r="Q2842" s="13">
        <v>80.84</v>
      </c>
      <c r="R2842" s="1" t="s">
        <v>78</v>
      </c>
      <c r="S2842" s="1">
        <v>3</v>
      </c>
      <c r="T2842" s="1" t="b">
        <v>0</v>
      </c>
      <c r="U2842" s="1" t="s">
        <v>39</v>
      </c>
      <c r="V2842" s="3">
        <v>8</v>
      </c>
    </row>
    <row r="2843" spans="1:22" x14ac:dyDescent="0.3">
      <c r="A2843" s="2" t="s">
        <v>6165</v>
      </c>
      <c r="B2843" s="10">
        <v>45502</v>
      </c>
      <c r="C2843" s="22">
        <v>45502</v>
      </c>
      <c r="D2843" s="1" t="s">
        <v>6166</v>
      </c>
      <c r="E2843" s="1" t="s">
        <v>866</v>
      </c>
      <c r="F2843" s="1">
        <v>58</v>
      </c>
      <c r="G2843" s="1" t="s">
        <v>34</v>
      </c>
      <c r="H2843" s="1" t="s">
        <v>111</v>
      </c>
      <c r="I2843" s="1" t="s">
        <v>121</v>
      </c>
      <c r="J2843" s="1" t="s">
        <v>146</v>
      </c>
      <c r="K2843" s="1" t="s">
        <v>161</v>
      </c>
      <c r="L2843" s="1">
        <v>3</v>
      </c>
      <c r="M2843" s="13">
        <v>14603.58</v>
      </c>
      <c r="N2843" s="15">
        <v>0.26</v>
      </c>
      <c r="O2843" s="13">
        <v>55450.77</v>
      </c>
      <c r="P2843" s="13">
        <v>10463.09</v>
      </c>
      <c r="Q2843" s="13">
        <v>56.67</v>
      </c>
      <c r="R2843" s="1" t="s">
        <v>70</v>
      </c>
      <c r="S2843" s="1">
        <v>2</v>
      </c>
      <c r="T2843" s="1" t="b">
        <v>0</v>
      </c>
      <c r="U2843" s="1" t="s">
        <v>39</v>
      </c>
      <c r="V2843" s="3">
        <v>7</v>
      </c>
    </row>
    <row r="2844" spans="1:22" x14ac:dyDescent="0.3">
      <c r="A2844" s="2" t="s">
        <v>6167</v>
      </c>
      <c r="B2844" s="10">
        <v>45016</v>
      </c>
      <c r="C2844" s="22">
        <v>45016</v>
      </c>
      <c r="D2844" s="1" t="s">
        <v>6168</v>
      </c>
      <c r="E2844" s="1" t="s">
        <v>1820</v>
      </c>
      <c r="F2844" s="1">
        <v>40</v>
      </c>
      <c r="G2844" s="1" t="s">
        <v>24</v>
      </c>
      <c r="H2844" s="1" t="s">
        <v>74</v>
      </c>
      <c r="I2844" s="1" t="s">
        <v>192</v>
      </c>
      <c r="J2844" s="1" t="s">
        <v>127</v>
      </c>
      <c r="K2844" s="1" t="s">
        <v>128</v>
      </c>
      <c r="L2844" s="1">
        <v>6</v>
      </c>
      <c r="M2844" s="13">
        <v>51056.11</v>
      </c>
      <c r="N2844" s="15">
        <v>0.12</v>
      </c>
      <c r="O2844" s="13">
        <v>301146.21999999997</v>
      </c>
      <c r="P2844" s="13">
        <v>46670.71</v>
      </c>
      <c r="Q2844" s="13">
        <v>55.16</v>
      </c>
      <c r="R2844" s="1" t="s">
        <v>78</v>
      </c>
      <c r="S2844" s="1">
        <v>3</v>
      </c>
      <c r="T2844" s="1" t="b">
        <v>1</v>
      </c>
      <c r="U2844" s="1" t="s">
        <v>30</v>
      </c>
      <c r="V2844" s="3">
        <v>6</v>
      </c>
    </row>
    <row r="2845" spans="1:22" x14ac:dyDescent="0.3">
      <c r="A2845" s="2" t="s">
        <v>6169</v>
      </c>
      <c r="B2845" s="10">
        <v>44028</v>
      </c>
      <c r="C2845" s="22">
        <v>44028</v>
      </c>
      <c r="D2845" s="1" t="s">
        <v>6170</v>
      </c>
      <c r="E2845" s="1" t="s">
        <v>230</v>
      </c>
      <c r="F2845" s="1">
        <v>45</v>
      </c>
      <c r="G2845" s="1" t="s">
        <v>24</v>
      </c>
      <c r="H2845" s="1" t="s">
        <v>25</v>
      </c>
      <c r="I2845" s="1" t="s">
        <v>26</v>
      </c>
      <c r="J2845" s="1" t="s">
        <v>27</v>
      </c>
      <c r="K2845" s="1" t="s">
        <v>430</v>
      </c>
      <c r="L2845" s="1">
        <v>3</v>
      </c>
      <c r="M2845" s="13">
        <v>338.27</v>
      </c>
      <c r="N2845" s="15">
        <v>0.21</v>
      </c>
      <c r="O2845" s="13">
        <v>1105.54</v>
      </c>
      <c r="P2845" s="13">
        <v>91.98</v>
      </c>
      <c r="Q2845" s="13">
        <v>65.89</v>
      </c>
      <c r="R2845" s="1" t="s">
        <v>29</v>
      </c>
      <c r="S2845" s="1">
        <v>3</v>
      </c>
      <c r="T2845" s="1" t="b">
        <v>0</v>
      </c>
      <c r="U2845" s="1" t="s">
        <v>58</v>
      </c>
      <c r="V2845" s="3">
        <v>1</v>
      </c>
    </row>
    <row r="2846" spans="1:22" x14ac:dyDescent="0.3">
      <c r="A2846" s="2" t="s">
        <v>6171</v>
      </c>
      <c r="B2846" s="10">
        <v>44716</v>
      </c>
      <c r="C2846" s="22">
        <v>44716</v>
      </c>
      <c r="D2846" s="1" t="s">
        <v>6172</v>
      </c>
      <c r="E2846" s="1" t="s">
        <v>1627</v>
      </c>
      <c r="F2846" s="1">
        <v>24</v>
      </c>
      <c r="G2846" s="1" t="s">
        <v>68</v>
      </c>
      <c r="H2846" s="1" t="s">
        <v>74</v>
      </c>
      <c r="I2846" s="1" t="s">
        <v>101</v>
      </c>
      <c r="J2846" s="1" t="s">
        <v>62</v>
      </c>
      <c r="K2846" s="1" t="s">
        <v>151</v>
      </c>
      <c r="L2846" s="1">
        <v>5</v>
      </c>
      <c r="M2846" s="13">
        <v>1362.67</v>
      </c>
      <c r="N2846" s="15">
        <v>0.35</v>
      </c>
      <c r="O2846" s="13">
        <v>6858.54</v>
      </c>
      <c r="P2846" s="13">
        <v>3271.94</v>
      </c>
      <c r="Q2846" s="13">
        <v>53.41</v>
      </c>
      <c r="R2846" s="1" t="s">
        <v>57</v>
      </c>
      <c r="S2846" s="1">
        <v>2</v>
      </c>
      <c r="T2846" s="1" t="b">
        <v>0</v>
      </c>
      <c r="U2846" s="1" t="s">
        <v>39</v>
      </c>
      <c r="V2846" s="3">
        <v>7</v>
      </c>
    </row>
    <row r="2847" spans="1:22" x14ac:dyDescent="0.3">
      <c r="A2847" s="2" t="s">
        <v>6173</v>
      </c>
      <c r="B2847" s="10">
        <v>45455</v>
      </c>
      <c r="C2847" s="22">
        <v>45455</v>
      </c>
      <c r="D2847" s="1" t="s">
        <v>6174</v>
      </c>
      <c r="E2847" s="1" t="s">
        <v>403</v>
      </c>
      <c r="F2847" s="1">
        <v>33</v>
      </c>
      <c r="G2847" s="1" t="s">
        <v>24</v>
      </c>
      <c r="H2847" s="1" t="s">
        <v>74</v>
      </c>
      <c r="I2847" s="1" t="s">
        <v>101</v>
      </c>
      <c r="J2847" s="1" t="s">
        <v>44</v>
      </c>
      <c r="K2847" s="1" t="s">
        <v>221</v>
      </c>
      <c r="L2847" s="1">
        <v>8</v>
      </c>
      <c r="M2847" s="13">
        <v>24394.07</v>
      </c>
      <c r="N2847" s="15">
        <v>0.35</v>
      </c>
      <c r="O2847" s="13">
        <v>188753.55</v>
      </c>
      <c r="P2847" s="13">
        <v>52364.3</v>
      </c>
      <c r="Q2847" s="13">
        <v>37.42</v>
      </c>
      <c r="R2847" s="1" t="s">
        <v>64</v>
      </c>
      <c r="S2847" s="1">
        <v>1</v>
      </c>
      <c r="T2847" s="1" t="b">
        <v>0</v>
      </c>
      <c r="U2847" s="1" t="s">
        <v>39</v>
      </c>
      <c r="V2847" s="3">
        <v>2</v>
      </c>
    </row>
    <row r="2848" spans="1:22" x14ac:dyDescent="0.3">
      <c r="A2848" s="2" t="s">
        <v>6175</v>
      </c>
      <c r="B2848" s="10">
        <v>44995</v>
      </c>
      <c r="C2848" s="22">
        <v>44995</v>
      </c>
      <c r="D2848" s="1" t="s">
        <v>6176</v>
      </c>
      <c r="E2848" s="1" t="s">
        <v>256</v>
      </c>
      <c r="F2848" s="1">
        <v>22</v>
      </c>
      <c r="G2848" s="1" t="s">
        <v>68</v>
      </c>
      <c r="H2848" s="1" t="s">
        <v>74</v>
      </c>
      <c r="I2848" s="1" t="s">
        <v>136</v>
      </c>
      <c r="J2848" s="1" t="s">
        <v>76</v>
      </c>
      <c r="K2848" s="1" t="s">
        <v>89</v>
      </c>
      <c r="L2848" s="1">
        <v>9</v>
      </c>
      <c r="M2848" s="13">
        <v>2747.04</v>
      </c>
      <c r="N2848" s="15">
        <v>0.28999999999999998</v>
      </c>
      <c r="O2848" s="13">
        <v>21056.46</v>
      </c>
      <c r="P2848" s="13">
        <v>7428.62</v>
      </c>
      <c r="Q2848" s="13">
        <v>39.99</v>
      </c>
      <c r="R2848" s="1" t="s">
        <v>57</v>
      </c>
      <c r="S2848" s="1">
        <v>3</v>
      </c>
      <c r="T2848" s="1" t="b">
        <v>0</v>
      </c>
      <c r="U2848" s="1" t="s">
        <v>84</v>
      </c>
      <c r="V2848" s="3">
        <v>7</v>
      </c>
    </row>
    <row r="2849" spans="1:22" x14ac:dyDescent="0.3">
      <c r="A2849" s="2" t="s">
        <v>6177</v>
      </c>
      <c r="B2849" s="10">
        <v>43851</v>
      </c>
      <c r="C2849" s="22">
        <v>43851</v>
      </c>
      <c r="D2849" s="1" t="s">
        <v>6178</v>
      </c>
      <c r="E2849" s="1" t="s">
        <v>1057</v>
      </c>
      <c r="F2849" s="1">
        <v>34</v>
      </c>
      <c r="G2849" s="1" t="s">
        <v>24</v>
      </c>
      <c r="H2849" s="1" t="s">
        <v>111</v>
      </c>
      <c r="I2849" s="1" t="s">
        <v>141</v>
      </c>
      <c r="J2849" s="1" t="s">
        <v>27</v>
      </c>
      <c r="K2849" s="1" t="s">
        <v>400</v>
      </c>
      <c r="L2849" s="1">
        <v>10</v>
      </c>
      <c r="M2849" s="13">
        <v>104.12</v>
      </c>
      <c r="N2849" s="15">
        <v>0.32</v>
      </c>
      <c r="O2849" s="13">
        <v>491.8</v>
      </c>
      <c r="P2849" s="13">
        <v>20.12</v>
      </c>
      <c r="Q2849" s="13">
        <v>81.05</v>
      </c>
      <c r="R2849" s="1" t="s">
        <v>29</v>
      </c>
      <c r="S2849" s="1">
        <v>4</v>
      </c>
      <c r="T2849" s="1" t="b">
        <v>0</v>
      </c>
      <c r="U2849" s="1" t="s">
        <v>137</v>
      </c>
      <c r="V2849" s="3">
        <v>7</v>
      </c>
    </row>
    <row r="2850" spans="1:22" x14ac:dyDescent="0.3">
      <c r="A2850" s="2" t="s">
        <v>6179</v>
      </c>
      <c r="B2850" s="10">
        <v>44221</v>
      </c>
      <c r="C2850" s="22">
        <v>44221</v>
      </c>
      <c r="D2850" s="1" t="s">
        <v>6180</v>
      </c>
      <c r="E2850" s="1" t="s">
        <v>1733</v>
      </c>
      <c r="F2850" s="1">
        <v>28</v>
      </c>
      <c r="G2850" s="1" t="s">
        <v>24</v>
      </c>
      <c r="H2850" s="1" t="s">
        <v>25</v>
      </c>
      <c r="I2850" s="1" t="s">
        <v>55</v>
      </c>
      <c r="J2850" s="1" t="s">
        <v>146</v>
      </c>
      <c r="K2850" s="1" t="s">
        <v>276</v>
      </c>
      <c r="L2850" s="1">
        <v>4</v>
      </c>
      <c r="M2850" s="13">
        <v>11854.96</v>
      </c>
      <c r="N2850" s="15">
        <v>0</v>
      </c>
      <c r="O2850" s="13">
        <v>42761.49</v>
      </c>
      <c r="P2850" s="13">
        <v>9643.25</v>
      </c>
      <c r="Q2850" s="13">
        <v>65.47</v>
      </c>
      <c r="R2850" s="1" t="s">
        <v>57</v>
      </c>
      <c r="S2850" s="1">
        <v>2</v>
      </c>
      <c r="T2850" s="1" t="b">
        <v>0</v>
      </c>
      <c r="U2850" s="1" t="s">
        <v>39</v>
      </c>
      <c r="V2850" s="3">
        <v>3</v>
      </c>
    </row>
    <row r="2851" spans="1:22" x14ac:dyDescent="0.3">
      <c r="A2851" s="2" t="s">
        <v>6181</v>
      </c>
      <c r="B2851" s="10">
        <v>44252</v>
      </c>
      <c r="C2851" s="22">
        <v>44252</v>
      </c>
      <c r="D2851" s="1" t="s">
        <v>6182</v>
      </c>
      <c r="E2851" s="1" t="s">
        <v>1076</v>
      </c>
      <c r="F2851" s="1">
        <v>35</v>
      </c>
      <c r="G2851" s="1" t="s">
        <v>34</v>
      </c>
      <c r="H2851" s="1" t="s">
        <v>111</v>
      </c>
      <c r="I2851" s="1" t="s">
        <v>121</v>
      </c>
      <c r="J2851" s="1" t="s">
        <v>127</v>
      </c>
      <c r="K2851" s="1" t="s">
        <v>517</v>
      </c>
      <c r="L2851" s="1">
        <v>4</v>
      </c>
      <c r="M2851" s="13">
        <v>40123</v>
      </c>
      <c r="N2851" s="15">
        <v>0.3</v>
      </c>
      <c r="O2851" s="13">
        <v>106939.95</v>
      </c>
      <c r="P2851" s="13">
        <v>10117.280000000001</v>
      </c>
      <c r="Q2851" s="13">
        <v>58.87</v>
      </c>
      <c r="R2851" s="1" t="s">
        <v>57</v>
      </c>
      <c r="S2851" s="1">
        <v>3</v>
      </c>
      <c r="T2851" s="1" t="b">
        <v>1</v>
      </c>
      <c r="U2851" s="1" t="s">
        <v>30</v>
      </c>
      <c r="V2851" s="3">
        <v>10</v>
      </c>
    </row>
    <row r="2852" spans="1:22" x14ac:dyDescent="0.3">
      <c r="A2852" s="2" t="s">
        <v>6183</v>
      </c>
      <c r="B2852" s="10">
        <v>45458</v>
      </c>
      <c r="C2852" s="22">
        <v>45458</v>
      </c>
      <c r="D2852" s="1" t="s">
        <v>6184</v>
      </c>
      <c r="E2852" s="1" t="s">
        <v>1454</v>
      </c>
      <c r="F2852" s="1">
        <v>24</v>
      </c>
      <c r="G2852" s="1" t="s">
        <v>34</v>
      </c>
      <c r="H2852" s="1" t="s">
        <v>82</v>
      </c>
      <c r="I2852" s="1" t="s">
        <v>244</v>
      </c>
      <c r="J2852" s="1" t="s">
        <v>127</v>
      </c>
      <c r="K2852" s="1" t="s">
        <v>128</v>
      </c>
      <c r="L2852" s="1">
        <v>4</v>
      </c>
      <c r="M2852" s="13">
        <v>56393.82</v>
      </c>
      <c r="N2852" s="15">
        <v>0.37</v>
      </c>
      <c r="O2852" s="13">
        <v>238585.21</v>
      </c>
      <c r="P2852" s="13">
        <v>36073.620000000003</v>
      </c>
      <c r="Q2852" s="13">
        <v>49.73</v>
      </c>
      <c r="R2852" s="1" t="s">
        <v>78</v>
      </c>
      <c r="S2852" s="1">
        <v>2</v>
      </c>
      <c r="T2852" s="1" t="b">
        <v>0</v>
      </c>
      <c r="U2852" s="1" t="s">
        <v>39</v>
      </c>
      <c r="V2852" s="3">
        <v>10</v>
      </c>
    </row>
    <row r="2853" spans="1:22" x14ac:dyDescent="0.3">
      <c r="A2853" s="2" t="s">
        <v>6185</v>
      </c>
      <c r="B2853" s="10">
        <v>45559</v>
      </c>
      <c r="C2853" s="22">
        <v>45559</v>
      </c>
      <c r="D2853" s="1" t="s">
        <v>6186</v>
      </c>
      <c r="E2853" s="1" t="s">
        <v>96</v>
      </c>
      <c r="F2853" s="1">
        <v>42</v>
      </c>
      <c r="G2853" s="1" t="s">
        <v>68</v>
      </c>
      <c r="H2853" s="1" t="s">
        <v>35</v>
      </c>
      <c r="I2853" s="1" t="s">
        <v>36</v>
      </c>
      <c r="J2853" s="1" t="s">
        <v>37</v>
      </c>
      <c r="K2853" s="1" t="s">
        <v>102</v>
      </c>
      <c r="L2853" s="1">
        <v>7</v>
      </c>
      <c r="M2853" s="13">
        <v>1565.4</v>
      </c>
      <c r="N2853" s="15">
        <v>0.05</v>
      </c>
      <c r="O2853" s="13">
        <v>13028.24</v>
      </c>
      <c r="P2853" s="13">
        <v>6557.25</v>
      </c>
      <c r="Q2853" s="13">
        <v>48.19</v>
      </c>
      <c r="R2853" s="1" t="s">
        <v>57</v>
      </c>
      <c r="S2853" s="1">
        <v>3</v>
      </c>
      <c r="T2853" s="1" t="b">
        <v>0</v>
      </c>
      <c r="U2853" s="1" t="s">
        <v>39</v>
      </c>
      <c r="V2853" s="3">
        <v>2</v>
      </c>
    </row>
    <row r="2854" spans="1:22" x14ac:dyDescent="0.3">
      <c r="A2854" s="2" t="s">
        <v>6187</v>
      </c>
      <c r="B2854" s="10">
        <v>45299</v>
      </c>
      <c r="C2854" s="22">
        <v>45299</v>
      </c>
      <c r="D2854" s="1" t="s">
        <v>6188</v>
      </c>
      <c r="E2854" s="1" t="s">
        <v>1555</v>
      </c>
      <c r="F2854" s="1">
        <v>53</v>
      </c>
      <c r="G2854" s="1" t="s">
        <v>34</v>
      </c>
      <c r="H2854" s="1" t="s">
        <v>82</v>
      </c>
      <c r="I2854" s="1" t="s">
        <v>293</v>
      </c>
      <c r="J2854" s="1" t="s">
        <v>27</v>
      </c>
      <c r="K2854" s="1" t="s">
        <v>450</v>
      </c>
      <c r="L2854" s="1">
        <v>8</v>
      </c>
      <c r="M2854" s="13">
        <v>300.87</v>
      </c>
      <c r="N2854" s="15">
        <v>0.35</v>
      </c>
      <c r="O2854" s="13">
        <v>1616.03</v>
      </c>
      <c r="P2854" s="13">
        <v>134.52000000000001</v>
      </c>
      <c r="Q2854" s="13">
        <v>86.63</v>
      </c>
      <c r="R2854" s="1" t="s">
        <v>29</v>
      </c>
      <c r="S2854" s="1">
        <v>2</v>
      </c>
      <c r="T2854" s="1" t="b">
        <v>0</v>
      </c>
      <c r="U2854" s="1" t="s">
        <v>84</v>
      </c>
      <c r="V2854" s="3">
        <v>10</v>
      </c>
    </row>
    <row r="2855" spans="1:22" x14ac:dyDescent="0.3">
      <c r="A2855" s="2" t="s">
        <v>6189</v>
      </c>
      <c r="B2855" s="10">
        <v>45630</v>
      </c>
      <c r="C2855" s="22">
        <v>45630</v>
      </c>
      <c r="D2855" s="1" t="s">
        <v>6190</v>
      </c>
      <c r="E2855" s="1" t="s">
        <v>363</v>
      </c>
      <c r="F2855" s="1">
        <v>47</v>
      </c>
      <c r="G2855" s="1" t="s">
        <v>34</v>
      </c>
      <c r="H2855" s="1" t="s">
        <v>25</v>
      </c>
      <c r="I2855" s="1" t="s">
        <v>26</v>
      </c>
      <c r="J2855" s="1" t="s">
        <v>37</v>
      </c>
      <c r="K2855" s="1" t="s">
        <v>671</v>
      </c>
      <c r="L2855" s="1">
        <v>9</v>
      </c>
      <c r="M2855" s="13">
        <v>173.38</v>
      </c>
      <c r="N2855" s="15">
        <v>0.35</v>
      </c>
      <c r="O2855" s="13">
        <v>967.63</v>
      </c>
      <c r="P2855" s="13">
        <v>355.07</v>
      </c>
      <c r="Q2855" s="13">
        <v>33.17</v>
      </c>
      <c r="R2855" s="1" t="s">
        <v>64</v>
      </c>
      <c r="S2855" s="1">
        <v>5</v>
      </c>
      <c r="T2855" s="1" t="b">
        <v>0</v>
      </c>
      <c r="U2855" s="1" t="s">
        <v>84</v>
      </c>
      <c r="V2855" s="3">
        <v>10</v>
      </c>
    </row>
    <row r="2856" spans="1:22" x14ac:dyDescent="0.3">
      <c r="A2856" s="2" t="s">
        <v>6191</v>
      </c>
      <c r="B2856" s="10">
        <v>44953</v>
      </c>
      <c r="C2856" s="22">
        <v>44953</v>
      </c>
      <c r="D2856" s="1" t="s">
        <v>6192</v>
      </c>
      <c r="E2856" s="1" t="s">
        <v>660</v>
      </c>
      <c r="F2856" s="1">
        <v>40</v>
      </c>
      <c r="G2856" s="1" t="s">
        <v>391</v>
      </c>
      <c r="H2856" s="1" t="s">
        <v>111</v>
      </c>
      <c r="I2856" s="1" t="s">
        <v>121</v>
      </c>
      <c r="J2856" s="1" t="s">
        <v>76</v>
      </c>
      <c r="K2856" s="1" t="s">
        <v>122</v>
      </c>
      <c r="L2856" s="1">
        <v>8</v>
      </c>
      <c r="M2856" s="13">
        <v>3588.97</v>
      </c>
      <c r="N2856" s="15">
        <v>0.21</v>
      </c>
      <c r="O2856" s="13">
        <v>25017.3</v>
      </c>
      <c r="P2856" s="13">
        <v>6791.82</v>
      </c>
      <c r="Q2856" s="13">
        <v>59.97</v>
      </c>
      <c r="R2856" s="1" t="s">
        <v>57</v>
      </c>
      <c r="S2856" s="1">
        <v>5</v>
      </c>
      <c r="T2856" s="1" t="b">
        <v>0</v>
      </c>
      <c r="U2856" s="1" t="s">
        <v>39</v>
      </c>
      <c r="V2856" s="3">
        <v>10</v>
      </c>
    </row>
    <row r="2857" spans="1:22" x14ac:dyDescent="0.3">
      <c r="A2857" s="2" t="s">
        <v>6193</v>
      </c>
      <c r="B2857" s="10">
        <v>45554</v>
      </c>
      <c r="C2857" s="22">
        <v>45554</v>
      </c>
      <c r="D2857" s="1" t="s">
        <v>6194</v>
      </c>
      <c r="E2857" s="1" t="s">
        <v>224</v>
      </c>
      <c r="F2857" s="1">
        <v>31</v>
      </c>
      <c r="G2857" s="1" t="s">
        <v>68</v>
      </c>
      <c r="H2857" s="1" t="s">
        <v>111</v>
      </c>
      <c r="I2857" s="1" t="s">
        <v>141</v>
      </c>
      <c r="J2857" s="1" t="s">
        <v>37</v>
      </c>
      <c r="K2857" s="1" t="s">
        <v>231</v>
      </c>
      <c r="L2857" s="1">
        <v>10</v>
      </c>
      <c r="M2857" s="13">
        <v>1064.73</v>
      </c>
      <c r="N2857" s="15">
        <v>0.23</v>
      </c>
      <c r="O2857" s="13">
        <v>9344.7099999999991</v>
      </c>
      <c r="P2857" s="13">
        <v>3730.48</v>
      </c>
      <c r="Q2857" s="13">
        <v>58.78</v>
      </c>
      <c r="R2857" s="1" t="s">
        <v>70</v>
      </c>
      <c r="S2857" s="1">
        <v>2</v>
      </c>
      <c r="T2857" s="1" t="b">
        <v>0</v>
      </c>
      <c r="U2857" s="1" t="s">
        <v>84</v>
      </c>
      <c r="V2857" s="3">
        <v>2</v>
      </c>
    </row>
    <row r="2858" spans="1:22" x14ac:dyDescent="0.3">
      <c r="A2858" s="2" t="s">
        <v>6195</v>
      </c>
      <c r="B2858" s="10">
        <v>44748</v>
      </c>
      <c r="C2858" s="22">
        <v>44748</v>
      </c>
      <c r="D2858" s="1" t="s">
        <v>6196</v>
      </c>
      <c r="E2858" s="1" t="s">
        <v>2229</v>
      </c>
      <c r="F2858" s="1">
        <v>50</v>
      </c>
      <c r="G2858" s="1" t="s">
        <v>24</v>
      </c>
      <c r="H2858" s="1" t="s">
        <v>111</v>
      </c>
      <c r="I2858" s="1" t="s">
        <v>121</v>
      </c>
      <c r="J2858" s="1" t="s">
        <v>44</v>
      </c>
      <c r="K2858" s="1" t="s">
        <v>221</v>
      </c>
      <c r="L2858" s="1">
        <v>5</v>
      </c>
      <c r="M2858" s="13">
        <v>33788.21</v>
      </c>
      <c r="N2858" s="15">
        <v>0.14000000000000001</v>
      </c>
      <c r="O2858" s="13">
        <v>211505.45</v>
      </c>
      <c r="P2858" s="13">
        <v>61443.22</v>
      </c>
      <c r="Q2858" s="13">
        <v>95.75</v>
      </c>
      <c r="R2858" s="1" t="s">
        <v>64</v>
      </c>
      <c r="S2858" s="1">
        <v>3</v>
      </c>
      <c r="T2858" s="1" t="b">
        <v>1</v>
      </c>
      <c r="U2858" s="1" t="s">
        <v>30</v>
      </c>
      <c r="V2858" s="3">
        <v>7</v>
      </c>
    </row>
    <row r="2859" spans="1:22" x14ac:dyDescent="0.3">
      <c r="A2859" s="2" t="s">
        <v>6197</v>
      </c>
      <c r="B2859" s="10">
        <v>44545</v>
      </c>
      <c r="C2859" s="22">
        <v>44545</v>
      </c>
      <c r="D2859" s="1" t="s">
        <v>6198</v>
      </c>
      <c r="E2859" s="1" t="s">
        <v>1131</v>
      </c>
      <c r="F2859" s="1">
        <v>25</v>
      </c>
      <c r="G2859" s="1" t="s">
        <v>24</v>
      </c>
      <c r="H2859" s="1" t="s">
        <v>35</v>
      </c>
      <c r="I2859" s="1" t="s">
        <v>106</v>
      </c>
      <c r="J2859" s="1" t="s">
        <v>37</v>
      </c>
      <c r="K2859" s="1" t="s">
        <v>671</v>
      </c>
      <c r="L2859" s="1">
        <v>4</v>
      </c>
      <c r="M2859" s="13">
        <v>2108.75</v>
      </c>
      <c r="N2859" s="15">
        <v>0.32</v>
      </c>
      <c r="O2859" s="13">
        <v>4272.12</v>
      </c>
      <c r="P2859" s="13">
        <v>1577.65</v>
      </c>
      <c r="Q2859" s="13">
        <v>74.62</v>
      </c>
      <c r="R2859" s="1" t="s">
        <v>51</v>
      </c>
      <c r="S2859" s="1">
        <v>2</v>
      </c>
      <c r="T2859" s="1" t="b">
        <v>0</v>
      </c>
      <c r="U2859" s="1" t="s">
        <v>39</v>
      </c>
      <c r="V2859" s="3">
        <v>6</v>
      </c>
    </row>
    <row r="2860" spans="1:22" x14ac:dyDescent="0.3">
      <c r="A2860" s="2" t="s">
        <v>6199</v>
      </c>
      <c r="B2860" s="10">
        <v>44782</v>
      </c>
      <c r="C2860" s="22">
        <v>44782</v>
      </c>
      <c r="D2860" s="1" t="s">
        <v>6200</v>
      </c>
      <c r="E2860" s="1" t="s">
        <v>770</v>
      </c>
      <c r="F2860" s="1">
        <v>42</v>
      </c>
      <c r="G2860" s="1" t="s">
        <v>24</v>
      </c>
      <c r="H2860" s="1" t="s">
        <v>25</v>
      </c>
      <c r="I2860" s="1" t="s">
        <v>55</v>
      </c>
      <c r="J2860" s="1" t="s">
        <v>62</v>
      </c>
      <c r="K2860" s="1" t="s">
        <v>63</v>
      </c>
      <c r="L2860" s="1">
        <v>3</v>
      </c>
      <c r="M2860" s="13">
        <v>969.7</v>
      </c>
      <c r="N2860" s="15">
        <v>0.1</v>
      </c>
      <c r="O2860" s="13">
        <v>3355.24</v>
      </c>
      <c r="P2860" s="13">
        <v>1386.74</v>
      </c>
      <c r="Q2860" s="13">
        <v>44.19</v>
      </c>
      <c r="R2860" s="1" t="s">
        <v>70</v>
      </c>
      <c r="S2860" s="1">
        <v>1</v>
      </c>
      <c r="T2860" s="1" t="b">
        <v>0</v>
      </c>
      <c r="U2860" s="1" t="s">
        <v>39</v>
      </c>
      <c r="V2860" s="3">
        <v>4</v>
      </c>
    </row>
    <row r="2861" spans="1:22" x14ac:dyDescent="0.3">
      <c r="A2861" s="2" t="s">
        <v>6201</v>
      </c>
      <c r="B2861" s="10">
        <v>44168</v>
      </c>
      <c r="C2861" s="22">
        <v>44168</v>
      </c>
      <c r="D2861" s="1" t="s">
        <v>6202</v>
      </c>
      <c r="E2861" s="1" t="s">
        <v>1285</v>
      </c>
      <c r="F2861" s="1">
        <v>9</v>
      </c>
      <c r="G2861" s="1" t="s">
        <v>463</v>
      </c>
      <c r="H2861" s="1" t="s">
        <v>82</v>
      </c>
      <c r="I2861" s="1" t="s">
        <v>126</v>
      </c>
      <c r="J2861" s="1" t="s">
        <v>44</v>
      </c>
      <c r="K2861" s="1" t="s">
        <v>221</v>
      </c>
      <c r="L2861" s="1">
        <v>9</v>
      </c>
      <c r="M2861" s="13">
        <v>29323.200000000001</v>
      </c>
      <c r="N2861" s="15">
        <v>0.31</v>
      </c>
      <c r="O2861" s="13">
        <v>132224.5</v>
      </c>
      <c r="P2861" s="13">
        <v>30686.83</v>
      </c>
      <c r="Q2861" s="13">
        <v>80.41</v>
      </c>
      <c r="R2861" s="1" t="s">
        <v>29</v>
      </c>
      <c r="S2861" s="1">
        <v>4</v>
      </c>
      <c r="T2861" s="1" t="b">
        <v>1</v>
      </c>
      <c r="U2861" s="1" t="s">
        <v>30</v>
      </c>
      <c r="V2861" s="3">
        <v>5</v>
      </c>
    </row>
    <row r="2862" spans="1:22" x14ac:dyDescent="0.3">
      <c r="A2862" s="2" t="s">
        <v>6203</v>
      </c>
      <c r="B2862" s="10">
        <v>45168</v>
      </c>
      <c r="C2862" s="22">
        <v>45168</v>
      </c>
      <c r="D2862" s="1" t="s">
        <v>6204</v>
      </c>
      <c r="E2862" s="1" t="s">
        <v>481</v>
      </c>
      <c r="F2862" s="1">
        <v>27</v>
      </c>
      <c r="G2862" s="1" t="s">
        <v>88</v>
      </c>
      <c r="H2862" s="1" t="s">
        <v>25</v>
      </c>
      <c r="I2862" s="1" t="s">
        <v>55</v>
      </c>
      <c r="J2862" s="1" t="s">
        <v>37</v>
      </c>
      <c r="K2862" s="1" t="s">
        <v>454</v>
      </c>
      <c r="L2862" s="1">
        <v>10</v>
      </c>
      <c r="M2862" s="13">
        <v>427.76</v>
      </c>
      <c r="N2862" s="15">
        <v>0.04</v>
      </c>
      <c r="O2862" s="13">
        <v>4968.59</v>
      </c>
      <c r="P2862" s="13">
        <v>1801.67</v>
      </c>
      <c r="Q2862" s="13">
        <v>67.38</v>
      </c>
      <c r="R2862" s="1" t="s">
        <v>78</v>
      </c>
      <c r="S2862" s="1">
        <v>5</v>
      </c>
      <c r="T2862" s="1" t="b">
        <v>0</v>
      </c>
      <c r="U2862" s="1" t="s">
        <v>39</v>
      </c>
      <c r="V2862" s="3">
        <v>1</v>
      </c>
    </row>
    <row r="2863" spans="1:22" x14ac:dyDescent="0.3">
      <c r="A2863" s="2" t="s">
        <v>6205</v>
      </c>
      <c r="B2863" s="10">
        <v>45081</v>
      </c>
      <c r="C2863" s="22">
        <v>45081</v>
      </c>
      <c r="D2863" s="1" t="s">
        <v>6206</v>
      </c>
      <c r="E2863" s="1" t="s">
        <v>2140</v>
      </c>
      <c r="F2863" s="1">
        <v>38</v>
      </c>
      <c r="G2863" s="1" t="s">
        <v>68</v>
      </c>
      <c r="H2863" s="1" t="s">
        <v>25</v>
      </c>
      <c r="I2863" s="1" t="s">
        <v>26</v>
      </c>
      <c r="J2863" s="1" t="s">
        <v>27</v>
      </c>
      <c r="K2863" s="1" t="s">
        <v>97</v>
      </c>
      <c r="L2863" s="1">
        <v>9</v>
      </c>
      <c r="M2863" s="13">
        <v>458.95</v>
      </c>
      <c r="N2863" s="15">
        <v>0.24</v>
      </c>
      <c r="O2863" s="13">
        <v>5524.99</v>
      </c>
      <c r="P2863" s="13">
        <v>539.29999999999995</v>
      </c>
      <c r="Q2863" s="13">
        <v>58.47</v>
      </c>
      <c r="R2863" s="1" t="s">
        <v>78</v>
      </c>
      <c r="S2863" s="1">
        <v>2</v>
      </c>
      <c r="T2863" s="1" t="b">
        <v>1</v>
      </c>
      <c r="U2863" s="1" t="s">
        <v>30</v>
      </c>
      <c r="V2863" s="3">
        <v>9</v>
      </c>
    </row>
    <row r="2864" spans="1:22" x14ac:dyDescent="0.3">
      <c r="A2864" s="2" t="s">
        <v>6207</v>
      </c>
      <c r="B2864" s="10">
        <v>44202</v>
      </c>
      <c r="C2864" s="22">
        <v>44202</v>
      </c>
      <c r="D2864" s="1" t="s">
        <v>6208</v>
      </c>
      <c r="E2864" s="1" t="s">
        <v>875</v>
      </c>
      <c r="F2864" s="1">
        <v>18</v>
      </c>
      <c r="G2864" s="1" t="s">
        <v>34</v>
      </c>
      <c r="H2864" s="1" t="s">
        <v>111</v>
      </c>
      <c r="I2864" s="1" t="s">
        <v>112</v>
      </c>
      <c r="J2864" s="1" t="s">
        <v>37</v>
      </c>
      <c r="K2864" s="1" t="s">
        <v>454</v>
      </c>
      <c r="L2864" s="1">
        <v>2</v>
      </c>
      <c r="M2864" s="13">
        <v>586.74</v>
      </c>
      <c r="N2864" s="15">
        <v>0.39</v>
      </c>
      <c r="O2864" s="13">
        <v>617.26</v>
      </c>
      <c r="P2864" s="13">
        <v>319.17</v>
      </c>
      <c r="Q2864" s="13">
        <v>83.13</v>
      </c>
      <c r="R2864" s="1" t="s">
        <v>70</v>
      </c>
      <c r="S2864" s="1">
        <v>3</v>
      </c>
      <c r="T2864" s="1" t="b">
        <v>0</v>
      </c>
      <c r="U2864" s="1" t="s">
        <v>39</v>
      </c>
      <c r="V2864" s="3">
        <v>6</v>
      </c>
    </row>
    <row r="2865" spans="1:22" x14ac:dyDescent="0.3">
      <c r="A2865" s="2" t="s">
        <v>6209</v>
      </c>
      <c r="B2865" s="10">
        <v>44098</v>
      </c>
      <c r="C2865" s="22">
        <v>44098</v>
      </c>
      <c r="D2865" s="1" t="s">
        <v>6210</v>
      </c>
      <c r="E2865" s="1" t="s">
        <v>1574</v>
      </c>
      <c r="F2865" s="1">
        <v>15</v>
      </c>
      <c r="G2865" s="1" t="s">
        <v>24</v>
      </c>
      <c r="H2865" s="1" t="s">
        <v>74</v>
      </c>
      <c r="I2865" s="1" t="s">
        <v>75</v>
      </c>
      <c r="J2865" s="1" t="s">
        <v>127</v>
      </c>
      <c r="K2865" s="1" t="s">
        <v>171</v>
      </c>
      <c r="L2865" s="1">
        <v>6</v>
      </c>
      <c r="M2865" s="13">
        <v>51445.760000000002</v>
      </c>
      <c r="N2865" s="15">
        <v>0.28000000000000003</v>
      </c>
      <c r="O2865" s="13">
        <v>189220.35</v>
      </c>
      <c r="P2865" s="13">
        <v>22619.43</v>
      </c>
      <c r="Q2865" s="13">
        <v>67.8</v>
      </c>
      <c r="R2865" s="1" t="s">
        <v>70</v>
      </c>
      <c r="S2865" s="1">
        <v>2</v>
      </c>
      <c r="T2865" s="1" t="b">
        <v>0</v>
      </c>
      <c r="U2865" s="1" t="s">
        <v>39</v>
      </c>
      <c r="V2865" s="3">
        <v>5</v>
      </c>
    </row>
    <row r="2866" spans="1:22" x14ac:dyDescent="0.3">
      <c r="A2866" s="2" t="s">
        <v>6211</v>
      </c>
      <c r="B2866" s="10">
        <v>44510</v>
      </c>
      <c r="C2866" s="22">
        <v>44510</v>
      </c>
      <c r="D2866" s="1" t="s">
        <v>6212</v>
      </c>
      <c r="E2866" s="1" t="s">
        <v>2053</v>
      </c>
      <c r="F2866" s="1">
        <v>62</v>
      </c>
      <c r="G2866" s="1" t="s">
        <v>68</v>
      </c>
      <c r="H2866" s="1" t="s">
        <v>111</v>
      </c>
      <c r="I2866" s="1" t="s">
        <v>112</v>
      </c>
      <c r="J2866" s="1" t="s">
        <v>27</v>
      </c>
      <c r="K2866" s="1" t="s">
        <v>450</v>
      </c>
      <c r="L2866" s="1">
        <v>2</v>
      </c>
      <c r="M2866" s="13">
        <v>331.43</v>
      </c>
      <c r="N2866" s="15">
        <v>0.15</v>
      </c>
      <c r="O2866" s="13">
        <v>388.61</v>
      </c>
      <c r="P2866" s="13">
        <v>21.42</v>
      </c>
      <c r="Q2866" s="13">
        <v>54.3</v>
      </c>
      <c r="R2866" s="1" t="s">
        <v>78</v>
      </c>
      <c r="S2866" s="1">
        <v>2</v>
      </c>
      <c r="T2866" s="1" t="b">
        <v>0</v>
      </c>
      <c r="U2866" s="1" t="s">
        <v>39</v>
      </c>
      <c r="V2866" s="3">
        <v>4</v>
      </c>
    </row>
    <row r="2867" spans="1:22" x14ac:dyDescent="0.3">
      <c r="A2867" s="2" t="s">
        <v>6213</v>
      </c>
      <c r="B2867" s="10">
        <v>44229</v>
      </c>
      <c r="C2867" s="22">
        <v>44229</v>
      </c>
      <c r="D2867" s="1" t="s">
        <v>6214</v>
      </c>
      <c r="E2867" s="1" t="s">
        <v>676</v>
      </c>
      <c r="F2867" s="1">
        <v>41</v>
      </c>
      <c r="G2867" s="1" t="s">
        <v>68</v>
      </c>
      <c r="H2867" s="1" t="s">
        <v>74</v>
      </c>
      <c r="I2867" s="1" t="s">
        <v>101</v>
      </c>
      <c r="J2867" s="1" t="s">
        <v>27</v>
      </c>
      <c r="K2867" s="1" t="s">
        <v>430</v>
      </c>
      <c r="L2867" s="1">
        <v>1</v>
      </c>
      <c r="M2867" s="13">
        <v>409.48</v>
      </c>
      <c r="N2867" s="15">
        <v>0.32</v>
      </c>
      <c r="O2867" s="13">
        <v>275.92</v>
      </c>
      <c r="P2867" s="13">
        <v>21.85</v>
      </c>
      <c r="Q2867" s="13">
        <v>52.01</v>
      </c>
      <c r="R2867" s="1" t="s">
        <v>78</v>
      </c>
      <c r="S2867" s="1">
        <v>5</v>
      </c>
      <c r="T2867" s="1" t="b">
        <v>0</v>
      </c>
      <c r="U2867" s="1" t="s">
        <v>84</v>
      </c>
      <c r="V2867" s="3">
        <v>5</v>
      </c>
    </row>
    <row r="2868" spans="1:22" x14ac:dyDescent="0.3">
      <c r="A2868" s="2" t="s">
        <v>6215</v>
      </c>
      <c r="B2868" s="10">
        <v>43993</v>
      </c>
      <c r="C2868" s="22">
        <v>43993</v>
      </c>
      <c r="D2868" s="1" t="s">
        <v>1543</v>
      </c>
      <c r="E2868" s="1" t="s">
        <v>286</v>
      </c>
      <c r="F2868" s="1">
        <v>29</v>
      </c>
      <c r="G2868" s="1" t="s">
        <v>34</v>
      </c>
      <c r="H2868" s="1" t="s">
        <v>35</v>
      </c>
      <c r="I2868" s="1" t="s">
        <v>43</v>
      </c>
      <c r="J2868" s="1" t="s">
        <v>146</v>
      </c>
      <c r="K2868" s="1" t="s">
        <v>217</v>
      </c>
      <c r="L2868" s="1">
        <v>7</v>
      </c>
      <c r="M2868" s="13">
        <v>9615.9</v>
      </c>
      <c r="N2868" s="15">
        <v>0.34</v>
      </c>
      <c r="O2868" s="13">
        <v>53730.92</v>
      </c>
      <c r="P2868" s="13">
        <v>13253.84</v>
      </c>
      <c r="Q2868" s="13">
        <v>48.62</v>
      </c>
      <c r="R2868" s="1" t="s">
        <v>51</v>
      </c>
      <c r="S2868" s="1">
        <v>3</v>
      </c>
      <c r="T2868" s="1" t="b">
        <v>1</v>
      </c>
      <c r="U2868" s="1" t="s">
        <v>30</v>
      </c>
      <c r="V2868" s="3">
        <v>8</v>
      </c>
    </row>
    <row r="2869" spans="1:22" x14ac:dyDescent="0.3">
      <c r="A2869" s="2" t="s">
        <v>6216</v>
      </c>
      <c r="B2869" s="10">
        <v>44971</v>
      </c>
      <c r="C2869" s="22">
        <v>44971</v>
      </c>
      <c r="D2869" s="1" t="s">
        <v>6217</v>
      </c>
      <c r="E2869" s="1" t="s">
        <v>4211</v>
      </c>
      <c r="F2869" s="1">
        <v>30</v>
      </c>
      <c r="G2869" s="1" t="s">
        <v>34</v>
      </c>
      <c r="H2869" s="1" t="s">
        <v>25</v>
      </c>
      <c r="I2869" s="1" t="s">
        <v>55</v>
      </c>
      <c r="J2869" s="1" t="s">
        <v>127</v>
      </c>
      <c r="K2869" s="1" t="s">
        <v>308</v>
      </c>
      <c r="L2869" s="1">
        <v>9</v>
      </c>
      <c r="M2869" s="13">
        <v>65519.43</v>
      </c>
      <c r="N2869" s="15">
        <v>0.23</v>
      </c>
      <c r="O2869" s="13">
        <v>483891.6</v>
      </c>
      <c r="P2869" s="13">
        <v>51648.1</v>
      </c>
      <c r="Q2869" s="13">
        <v>68.64</v>
      </c>
      <c r="R2869" s="1" t="s">
        <v>70</v>
      </c>
      <c r="S2869" s="1">
        <v>1</v>
      </c>
      <c r="T2869" s="1" t="b">
        <v>1</v>
      </c>
      <c r="U2869" s="1" t="s">
        <v>30</v>
      </c>
      <c r="V2869" s="3">
        <v>9</v>
      </c>
    </row>
    <row r="2870" spans="1:22" x14ac:dyDescent="0.3">
      <c r="A2870" s="2" t="s">
        <v>6218</v>
      </c>
      <c r="B2870" s="10">
        <v>45445</v>
      </c>
      <c r="C2870" s="22">
        <v>45445</v>
      </c>
      <c r="D2870" s="1" t="s">
        <v>6219</v>
      </c>
      <c r="E2870" s="1" t="s">
        <v>1978</v>
      </c>
      <c r="F2870" s="1">
        <v>44</v>
      </c>
      <c r="G2870" s="1" t="s">
        <v>68</v>
      </c>
      <c r="H2870" s="1" t="s">
        <v>82</v>
      </c>
      <c r="I2870" s="1" t="s">
        <v>293</v>
      </c>
      <c r="J2870" s="1" t="s">
        <v>76</v>
      </c>
      <c r="K2870" s="1" t="s">
        <v>89</v>
      </c>
      <c r="L2870" s="1">
        <v>2</v>
      </c>
      <c r="M2870" s="13">
        <v>843.73</v>
      </c>
      <c r="N2870" s="15">
        <v>0.32</v>
      </c>
      <c r="O2870" s="13">
        <v>1839.05</v>
      </c>
      <c r="P2870" s="13">
        <v>660.61</v>
      </c>
      <c r="Q2870" s="13">
        <v>92.53</v>
      </c>
      <c r="R2870" s="1" t="s">
        <v>78</v>
      </c>
      <c r="S2870" s="1">
        <v>5</v>
      </c>
      <c r="T2870" s="1" t="b">
        <v>0</v>
      </c>
      <c r="U2870" s="1" t="s">
        <v>39</v>
      </c>
      <c r="V2870" s="3">
        <v>10</v>
      </c>
    </row>
    <row r="2871" spans="1:22" x14ac:dyDescent="0.3">
      <c r="A2871" s="2" t="s">
        <v>6220</v>
      </c>
      <c r="B2871" s="10">
        <v>44955</v>
      </c>
      <c r="C2871" s="22">
        <v>44955</v>
      </c>
      <c r="D2871" s="1" t="s">
        <v>6221</v>
      </c>
      <c r="E2871" s="1" t="s">
        <v>891</v>
      </c>
      <c r="F2871" s="1">
        <v>33</v>
      </c>
      <c r="G2871" s="1" t="s">
        <v>34</v>
      </c>
      <c r="H2871" s="1" t="s">
        <v>111</v>
      </c>
      <c r="I2871" s="1" t="s">
        <v>121</v>
      </c>
      <c r="J2871" s="1" t="s">
        <v>27</v>
      </c>
      <c r="K2871" s="1" t="s">
        <v>56</v>
      </c>
      <c r="L2871" s="1">
        <v>3</v>
      </c>
      <c r="M2871" s="13">
        <v>443.89</v>
      </c>
      <c r="N2871" s="15">
        <v>0.01</v>
      </c>
      <c r="O2871" s="13">
        <v>1152.72</v>
      </c>
      <c r="P2871" s="13">
        <v>75.7</v>
      </c>
      <c r="Q2871" s="13">
        <v>66.88</v>
      </c>
      <c r="R2871" s="1" t="s">
        <v>64</v>
      </c>
      <c r="S2871" s="1">
        <v>4</v>
      </c>
      <c r="T2871" s="1" t="b">
        <v>0</v>
      </c>
      <c r="U2871" s="1" t="s">
        <v>39</v>
      </c>
      <c r="V2871" s="3">
        <v>9</v>
      </c>
    </row>
    <row r="2872" spans="1:22" x14ac:dyDescent="0.3">
      <c r="A2872" s="2" t="s">
        <v>6222</v>
      </c>
      <c r="B2872" s="10">
        <v>44662</v>
      </c>
      <c r="C2872" s="22">
        <v>44662</v>
      </c>
      <c r="D2872" s="1" t="s">
        <v>6223</v>
      </c>
      <c r="E2872" s="1" t="s">
        <v>2053</v>
      </c>
      <c r="F2872" s="1">
        <v>62</v>
      </c>
      <c r="G2872" s="1" t="s">
        <v>68</v>
      </c>
      <c r="H2872" s="1" t="s">
        <v>35</v>
      </c>
      <c r="I2872" s="1" t="s">
        <v>106</v>
      </c>
      <c r="J2872" s="1" t="s">
        <v>37</v>
      </c>
      <c r="K2872" s="1" t="s">
        <v>454</v>
      </c>
      <c r="L2872" s="1">
        <v>7</v>
      </c>
      <c r="M2872" s="13">
        <v>519.13</v>
      </c>
      <c r="N2872" s="15">
        <v>0.35</v>
      </c>
      <c r="O2872" s="13">
        <v>3102.68</v>
      </c>
      <c r="P2872" s="13">
        <v>1514.19</v>
      </c>
      <c r="Q2872" s="13">
        <v>82.54</v>
      </c>
      <c r="R2872" s="1" t="s">
        <v>64</v>
      </c>
      <c r="S2872" s="1">
        <v>1</v>
      </c>
      <c r="T2872" s="1" t="b">
        <v>1</v>
      </c>
      <c r="U2872" s="1" t="s">
        <v>30</v>
      </c>
      <c r="V2872" s="3">
        <v>9</v>
      </c>
    </row>
    <row r="2873" spans="1:22" x14ac:dyDescent="0.3">
      <c r="A2873" s="2" t="s">
        <v>6224</v>
      </c>
      <c r="B2873" s="10">
        <v>44930</v>
      </c>
      <c r="C2873" s="22">
        <v>44930</v>
      </c>
      <c r="D2873" s="1" t="s">
        <v>6225</v>
      </c>
      <c r="E2873" s="1" t="s">
        <v>869</v>
      </c>
      <c r="F2873" s="1">
        <v>36</v>
      </c>
      <c r="G2873" s="1" t="s">
        <v>34</v>
      </c>
      <c r="H2873" s="1" t="s">
        <v>25</v>
      </c>
      <c r="I2873" s="1" t="s">
        <v>55</v>
      </c>
      <c r="J2873" s="1" t="s">
        <v>146</v>
      </c>
      <c r="K2873" s="1" t="s">
        <v>147</v>
      </c>
      <c r="L2873" s="1">
        <v>8</v>
      </c>
      <c r="M2873" s="13">
        <v>6382.18</v>
      </c>
      <c r="N2873" s="15">
        <v>0.37</v>
      </c>
      <c r="O2873" s="13">
        <v>26872.75</v>
      </c>
      <c r="P2873" s="13">
        <v>3931.39</v>
      </c>
      <c r="Q2873" s="13">
        <v>52.42</v>
      </c>
      <c r="R2873" s="1" t="s">
        <v>78</v>
      </c>
      <c r="S2873" s="1">
        <v>1</v>
      </c>
      <c r="T2873" s="1" t="b">
        <v>1</v>
      </c>
      <c r="U2873" s="1" t="s">
        <v>30</v>
      </c>
      <c r="V2873" s="3">
        <v>8</v>
      </c>
    </row>
    <row r="2874" spans="1:22" x14ac:dyDescent="0.3">
      <c r="A2874" s="2" t="s">
        <v>6226</v>
      </c>
      <c r="B2874" s="10">
        <v>44639</v>
      </c>
      <c r="C2874" s="22">
        <v>44639</v>
      </c>
      <c r="D2874" s="1" t="s">
        <v>6227</v>
      </c>
      <c r="E2874" s="1" t="s">
        <v>915</v>
      </c>
      <c r="F2874" s="1">
        <v>13</v>
      </c>
      <c r="G2874" s="1" t="s">
        <v>24</v>
      </c>
      <c r="H2874" s="1" t="s">
        <v>25</v>
      </c>
      <c r="I2874" s="1" t="s">
        <v>26</v>
      </c>
      <c r="J2874" s="1" t="s">
        <v>37</v>
      </c>
      <c r="K2874" s="1" t="s">
        <v>102</v>
      </c>
      <c r="L2874" s="1">
        <v>1</v>
      </c>
      <c r="M2874" s="13">
        <v>2486.96</v>
      </c>
      <c r="N2874" s="15">
        <v>0.3</v>
      </c>
      <c r="O2874" s="13">
        <v>1982.36</v>
      </c>
      <c r="P2874" s="13">
        <v>610.55999999999995</v>
      </c>
      <c r="Q2874" s="13">
        <v>67.349999999999994</v>
      </c>
      <c r="R2874" s="1" t="s">
        <v>70</v>
      </c>
      <c r="S2874" s="1">
        <v>2</v>
      </c>
      <c r="T2874" s="1" t="b">
        <v>0</v>
      </c>
      <c r="U2874" s="1" t="s">
        <v>39</v>
      </c>
      <c r="V2874" s="3">
        <v>10</v>
      </c>
    </row>
    <row r="2875" spans="1:22" x14ac:dyDescent="0.3">
      <c r="A2875" s="2" t="s">
        <v>6228</v>
      </c>
      <c r="B2875" s="10">
        <v>44211</v>
      </c>
      <c r="C2875" s="22">
        <v>44211</v>
      </c>
      <c r="D2875" s="1" t="s">
        <v>6229</v>
      </c>
      <c r="E2875" s="1" t="s">
        <v>429</v>
      </c>
      <c r="F2875" s="1">
        <v>42</v>
      </c>
      <c r="G2875" s="1" t="s">
        <v>24</v>
      </c>
      <c r="H2875" s="1" t="s">
        <v>111</v>
      </c>
      <c r="I2875" s="1" t="s">
        <v>141</v>
      </c>
      <c r="J2875" s="1" t="s">
        <v>44</v>
      </c>
      <c r="K2875" s="1" t="s">
        <v>221</v>
      </c>
      <c r="L2875" s="1">
        <v>10</v>
      </c>
      <c r="M2875" s="13">
        <v>25214.06</v>
      </c>
      <c r="N2875" s="15">
        <v>0.36</v>
      </c>
      <c r="O2875" s="13">
        <v>131999.09</v>
      </c>
      <c r="P2875" s="13">
        <v>39084.78</v>
      </c>
      <c r="Q2875" s="13">
        <v>68.52</v>
      </c>
      <c r="R2875" s="1" t="s">
        <v>70</v>
      </c>
      <c r="S2875" s="1">
        <v>5</v>
      </c>
      <c r="T2875" s="1" t="b">
        <v>1</v>
      </c>
      <c r="U2875" s="1" t="s">
        <v>30</v>
      </c>
      <c r="V2875" s="3">
        <v>3</v>
      </c>
    </row>
    <row r="2876" spans="1:22" x14ac:dyDescent="0.3">
      <c r="A2876" s="2" t="s">
        <v>6230</v>
      </c>
      <c r="B2876" s="10">
        <v>44381</v>
      </c>
      <c r="C2876" s="22">
        <v>44381</v>
      </c>
      <c r="D2876" s="1" t="s">
        <v>6231</v>
      </c>
      <c r="E2876" s="1" t="s">
        <v>858</v>
      </c>
      <c r="F2876" s="1">
        <v>27</v>
      </c>
      <c r="G2876" s="1" t="s">
        <v>34</v>
      </c>
      <c r="H2876" s="1" t="s">
        <v>74</v>
      </c>
      <c r="I2876" s="1" t="s">
        <v>101</v>
      </c>
      <c r="J2876" s="1" t="s">
        <v>127</v>
      </c>
      <c r="K2876" s="1" t="s">
        <v>171</v>
      </c>
      <c r="L2876" s="1">
        <v>5</v>
      </c>
      <c r="M2876" s="13">
        <v>42777.53</v>
      </c>
      <c r="N2876" s="15">
        <v>0.21</v>
      </c>
      <c r="O2876" s="13">
        <v>192877.7</v>
      </c>
      <c r="P2876" s="13">
        <v>27062.25</v>
      </c>
      <c r="Q2876" s="13">
        <v>46.76</v>
      </c>
      <c r="R2876" s="1" t="s">
        <v>29</v>
      </c>
      <c r="S2876" s="1">
        <v>2</v>
      </c>
      <c r="T2876" s="1" t="b">
        <v>0</v>
      </c>
      <c r="U2876" s="1" t="s">
        <v>84</v>
      </c>
      <c r="V2876" s="3">
        <v>6</v>
      </c>
    </row>
    <row r="2877" spans="1:22" x14ac:dyDescent="0.3">
      <c r="A2877" s="2" t="s">
        <v>6232</v>
      </c>
      <c r="B2877" s="10">
        <v>45348</v>
      </c>
      <c r="C2877" s="22">
        <v>45348</v>
      </c>
      <c r="D2877" s="1" t="s">
        <v>6233</v>
      </c>
      <c r="E2877" s="1" t="s">
        <v>3664</v>
      </c>
      <c r="F2877" s="1">
        <v>37</v>
      </c>
      <c r="G2877" s="1" t="s">
        <v>34</v>
      </c>
      <c r="H2877" s="1" t="s">
        <v>111</v>
      </c>
      <c r="I2877" s="1" t="s">
        <v>141</v>
      </c>
      <c r="J2877" s="1" t="s">
        <v>27</v>
      </c>
      <c r="K2877" s="1" t="s">
        <v>56</v>
      </c>
      <c r="L2877" s="1">
        <v>10</v>
      </c>
      <c r="M2877" s="13">
        <v>150.97</v>
      </c>
      <c r="N2877" s="15">
        <v>0.35</v>
      </c>
      <c r="O2877" s="13">
        <v>1192.31</v>
      </c>
      <c r="P2877" s="13">
        <v>113.82</v>
      </c>
      <c r="Q2877" s="13">
        <v>61.55</v>
      </c>
      <c r="R2877" s="1" t="s">
        <v>78</v>
      </c>
      <c r="S2877" s="1">
        <v>2</v>
      </c>
      <c r="T2877" s="1" t="b">
        <v>0</v>
      </c>
      <c r="U2877" s="1" t="s">
        <v>39</v>
      </c>
      <c r="V2877" s="3">
        <v>7</v>
      </c>
    </row>
    <row r="2878" spans="1:22" x14ac:dyDescent="0.3">
      <c r="A2878" s="2" t="s">
        <v>6234</v>
      </c>
      <c r="B2878" s="10">
        <v>45652</v>
      </c>
      <c r="C2878" s="22">
        <v>45652</v>
      </c>
      <c r="D2878" s="1" t="s">
        <v>6235</v>
      </c>
      <c r="E2878" s="1" t="s">
        <v>900</v>
      </c>
      <c r="F2878" s="1">
        <v>4</v>
      </c>
      <c r="G2878" s="1" t="s">
        <v>68</v>
      </c>
      <c r="H2878" s="1" t="s">
        <v>35</v>
      </c>
      <c r="I2878" s="1" t="s">
        <v>43</v>
      </c>
      <c r="J2878" s="1" t="s">
        <v>146</v>
      </c>
      <c r="K2878" s="1" t="s">
        <v>276</v>
      </c>
      <c r="L2878" s="1">
        <v>8</v>
      </c>
      <c r="M2878" s="13">
        <v>1646.28</v>
      </c>
      <c r="N2878" s="15">
        <v>0.25</v>
      </c>
      <c r="O2878" s="13">
        <v>7889.98</v>
      </c>
      <c r="P2878" s="13">
        <v>1643.93</v>
      </c>
      <c r="Q2878" s="13">
        <v>58.56</v>
      </c>
      <c r="R2878" s="1" t="s">
        <v>64</v>
      </c>
      <c r="S2878" s="1">
        <v>4</v>
      </c>
      <c r="T2878" s="1" t="b">
        <v>0</v>
      </c>
      <c r="U2878" s="1" t="s">
        <v>39</v>
      </c>
      <c r="V2878" s="3">
        <v>10</v>
      </c>
    </row>
    <row r="2879" spans="1:22" x14ac:dyDescent="0.3">
      <c r="A2879" s="2" t="s">
        <v>6236</v>
      </c>
      <c r="B2879" s="10">
        <v>43964</v>
      </c>
      <c r="C2879" s="22">
        <v>43964</v>
      </c>
      <c r="D2879" s="1" t="s">
        <v>6237</v>
      </c>
      <c r="E2879" s="1" t="s">
        <v>1665</v>
      </c>
      <c r="F2879" s="1">
        <v>27</v>
      </c>
      <c r="G2879" s="1" t="s">
        <v>68</v>
      </c>
      <c r="H2879" s="1" t="s">
        <v>111</v>
      </c>
      <c r="I2879" s="1" t="s">
        <v>330</v>
      </c>
      <c r="J2879" s="1" t="s">
        <v>127</v>
      </c>
      <c r="K2879" s="1" t="s">
        <v>196</v>
      </c>
      <c r="L2879" s="1">
        <v>10</v>
      </c>
      <c r="M2879" s="13">
        <v>75021.17</v>
      </c>
      <c r="N2879" s="15">
        <v>0.13</v>
      </c>
      <c r="O2879" s="13">
        <v>834952.68</v>
      </c>
      <c r="P2879" s="13">
        <v>112520.6</v>
      </c>
      <c r="Q2879" s="13">
        <v>68.069999999999993</v>
      </c>
      <c r="R2879" s="1" t="s">
        <v>51</v>
      </c>
      <c r="S2879" s="1">
        <v>1</v>
      </c>
      <c r="T2879" s="1" t="b">
        <v>1</v>
      </c>
      <c r="U2879" s="1" t="s">
        <v>30</v>
      </c>
      <c r="V2879" s="3">
        <v>5</v>
      </c>
    </row>
    <row r="2880" spans="1:22" x14ac:dyDescent="0.3">
      <c r="A2880" s="2" t="s">
        <v>6238</v>
      </c>
      <c r="B2880" s="10">
        <v>45397</v>
      </c>
      <c r="C2880" s="22">
        <v>45397</v>
      </c>
      <c r="D2880" s="1" t="s">
        <v>6239</v>
      </c>
      <c r="E2880" s="1" t="s">
        <v>1387</v>
      </c>
      <c r="F2880" s="1">
        <v>31</v>
      </c>
      <c r="G2880" s="1" t="s">
        <v>68</v>
      </c>
      <c r="H2880" s="1" t="s">
        <v>25</v>
      </c>
      <c r="I2880" s="1" t="s">
        <v>55</v>
      </c>
      <c r="J2880" s="1" t="s">
        <v>146</v>
      </c>
      <c r="K2880" s="1" t="s">
        <v>178</v>
      </c>
      <c r="L2880" s="1">
        <v>4</v>
      </c>
      <c r="M2880" s="13">
        <v>713.59</v>
      </c>
      <c r="N2880" s="15">
        <v>0.08</v>
      </c>
      <c r="O2880" s="13">
        <v>3859.57</v>
      </c>
      <c r="P2880" s="13">
        <v>957</v>
      </c>
      <c r="Q2880" s="13">
        <v>84.62</v>
      </c>
      <c r="R2880" s="1" t="s">
        <v>64</v>
      </c>
      <c r="S2880" s="1">
        <v>5</v>
      </c>
      <c r="T2880" s="1" t="b">
        <v>0</v>
      </c>
      <c r="U2880" s="1" t="s">
        <v>39</v>
      </c>
      <c r="V2880" s="3">
        <v>8</v>
      </c>
    </row>
    <row r="2881" spans="1:22" x14ac:dyDescent="0.3">
      <c r="A2881" s="2" t="s">
        <v>6240</v>
      </c>
      <c r="B2881" s="10">
        <v>45507</v>
      </c>
      <c r="C2881" s="22">
        <v>45507</v>
      </c>
      <c r="D2881" s="1" t="s">
        <v>6241</v>
      </c>
      <c r="E2881" s="1" t="s">
        <v>2053</v>
      </c>
      <c r="F2881" s="1">
        <v>53</v>
      </c>
      <c r="G2881" s="1" t="s">
        <v>68</v>
      </c>
      <c r="H2881" s="1" t="s">
        <v>35</v>
      </c>
      <c r="I2881" s="1" t="s">
        <v>36</v>
      </c>
      <c r="J2881" s="1" t="s">
        <v>44</v>
      </c>
      <c r="K2881" s="1" t="s">
        <v>117</v>
      </c>
      <c r="L2881" s="1">
        <v>8</v>
      </c>
      <c r="M2881" s="13">
        <v>26914.41</v>
      </c>
      <c r="N2881" s="15">
        <v>0.11</v>
      </c>
      <c r="O2881" s="13">
        <v>255026.97</v>
      </c>
      <c r="P2881" s="13">
        <v>79719.78</v>
      </c>
      <c r="Q2881" s="13">
        <v>50.27</v>
      </c>
      <c r="R2881" s="1" t="s">
        <v>70</v>
      </c>
      <c r="S2881" s="1">
        <v>5</v>
      </c>
      <c r="T2881" s="1" t="b">
        <v>0</v>
      </c>
      <c r="U2881" s="1" t="s">
        <v>39</v>
      </c>
      <c r="V2881" s="3">
        <v>4</v>
      </c>
    </row>
    <row r="2882" spans="1:22" x14ac:dyDescent="0.3">
      <c r="A2882" s="2" t="s">
        <v>6242</v>
      </c>
      <c r="B2882" s="10">
        <v>44056</v>
      </c>
      <c r="C2882" s="22">
        <v>44056</v>
      </c>
      <c r="D2882" s="1" t="s">
        <v>6243</v>
      </c>
      <c r="E2882" s="1" t="s">
        <v>635</v>
      </c>
      <c r="F2882" s="1">
        <v>31</v>
      </c>
      <c r="G2882" s="1" t="s">
        <v>24</v>
      </c>
      <c r="H2882" s="1" t="s">
        <v>111</v>
      </c>
      <c r="I2882" s="1" t="s">
        <v>141</v>
      </c>
      <c r="J2882" s="1" t="s">
        <v>146</v>
      </c>
      <c r="K2882" s="1" t="s">
        <v>484</v>
      </c>
      <c r="L2882" s="1">
        <v>6</v>
      </c>
      <c r="M2882" s="13">
        <v>1678.96</v>
      </c>
      <c r="N2882" s="15">
        <v>0.12</v>
      </c>
      <c r="O2882" s="13">
        <v>10018.4</v>
      </c>
      <c r="P2882" s="13">
        <v>2148.34</v>
      </c>
      <c r="Q2882" s="13">
        <v>65.84</v>
      </c>
      <c r="R2882" s="1" t="s">
        <v>64</v>
      </c>
      <c r="S2882" s="1">
        <v>5</v>
      </c>
      <c r="T2882" s="1" t="b">
        <v>0</v>
      </c>
      <c r="U2882" s="1" t="s">
        <v>39</v>
      </c>
      <c r="V2882" s="3">
        <v>2</v>
      </c>
    </row>
    <row r="2883" spans="1:22" x14ac:dyDescent="0.3">
      <c r="A2883" s="2" t="s">
        <v>6244</v>
      </c>
      <c r="B2883" s="10">
        <v>45328</v>
      </c>
      <c r="C2883" s="22">
        <v>45328</v>
      </c>
      <c r="D2883" s="1" t="s">
        <v>6245</v>
      </c>
      <c r="E2883" s="1" t="s">
        <v>1574</v>
      </c>
      <c r="F2883" s="1">
        <v>46</v>
      </c>
      <c r="G2883" s="1" t="s">
        <v>68</v>
      </c>
      <c r="H2883" s="1" t="s">
        <v>35</v>
      </c>
      <c r="I2883" s="1" t="s">
        <v>49</v>
      </c>
      <c r="J2883" s="1" t="s">
        <v>44</v>
      </c>
      <c r="K2883" s="1" t="s">
        <v>186</v>
      </c>
      <c r="L2883" s="1">
        <v>10</v>
      </c>
      <c r="M2883" s="13">
        <v>16254.1</v>
      </c>
      <c r="N2883" s="15">
        <v>0.26</v>
      </c>
      <c r="O2883" s="13">
        <v>125959.07</v>
      </c>
      <c r="P2883" s="13">
        <v>37227.54</v>
      </c>
      <c r="Q2883" s="13">
        <v>70.22</v>
      </c>
      <c r="R2883" s="1" t="s">
        <v>78</v>
      </c>
      <c r="S2883" s="1">
        <v>3</v>
      </c>
      <c r="T2883" s="1" t="b">
        <v>0</v>
      </c>
      <c r="U2883" s="1" t="s">
        <v>39</v>
      </c>
      <c r="V2883" s="3">
        <v>1</v>
      </c>
    </row>
    <row r="2884" spans="1:22" x14ac:dyDescent="0.3">
      <c r="A2884" s="2" t="s">
        <v>6246</v>
      </c>
      <c r="B2884" s="10">
        <v>44044</v>
      </c>
      <c r="C2884" s="22">
        <v>44044</v>
      </c>
      <c r="D2884" s="1" t="s">
        <v>6247</v>
      </c>
      <c r="E2884" s="1" t="s">
        <v>528</v>
      </c>
      <c r="F2884" s="1">
        <v>19</v>
      </c>
      <c r="G2884" s="1" t="s">
        <v>34</v>
      </c>
      <c r="H2884" s="1" t="s">
        <v>74</v>
      </c>
      <c r="I2884" s="1" t="s">
        <v>75</v>
      </c>
      <c r="J2884" s="1" t="s">
        <v>76</v>
      </c>
      <c r="K2884" s="1" t="s">
        <v>122</v>
      </c>
      <c r="L2884" s="1">
        <v>9</v>
      </c>
      <c r="M2884" s="13">
        <v>2544.25</v>
      </c>
      <c r="N2884" s="15">
        <v>0.11</v>
      </c>
      <c r="O2884" s="13">
        <v>21015.96</v>
      </c>
      <c r="P2884" s="13">
        <v>7378.5</v>
      </c>
      <c r="Q2884" s="13">
        <v>50.92</v>
      </c>
      <c r="R2884" s="1" t="s">
        <v>57</v>
      </c>
      <c r="S2884" s="1">
        <v>2</v>
      </c>
      <c r="T2884" s="1" t="b">
        <v>1</v>
      </c>
      <c r="U2884" s="1" t="s">
        <v>30</v>
      </c>
      <c r="V2884" s="3">
        <v>2</v>
      </c>
    </row>
    <row r="2885" spans="1:22" x14ac:dyDescent="0.3">
      <c r="A2885" s="2" t="s">
        <v>6248</v>
      </c>
      <c r="B2885" s="10">
        <v>44103</v>
      </c>
      <c r="C2885" s="22">
        <v>44103</v>
      </c>
      <c r="D2885" s="1" t="s">
        <v>6249</v>
      </c>
      <c r="E2885" s="1" t="s">
        <v>1300</v>
      </c>
      <c r="F2885" s="1">
        <v>55</v>
      </c>
      <c r="G2885" s="1" t="s">
        <v>68</v>
      </c>
      <c r="H2885" s="1" t="s">
        <v>35</v>
      </c>
      <c r="I2885" s="1" t="s">
        <v>43</v>
      </c>
      <c r="J2885" s="1" t="s">
        <v>127</v>
      </c>
      <c r="K2885" s="1" t="s">
        <v>196</v>
      </c>
      <c r="L2885" s="1">
        <v>1</v>
      </c>
      <c r="M2885" s="13">
        <v>22610.21</v>
      </c>
      <c r="N2885" s="15">
        <v>0.08</v>
      </c>
      <c r="O2885" s="13">
        <v>20431.16</v>
      </c>
      <c r="P2885" s="13">
        <v>2517.0700000000002</v>
      </c>
      <c r="Q2885" s="13">
        <v>48.04</v>
      </c>
      <c r="R2885" s="1" t="s">
        <v>57</v>
      </c>
      <c r="S2885" s="1">
        <v>4</v>
      </c>
      <c r="T2885" s="1" t="b">
        <v>0</v>
      </c>
      <c r="U2885" s="1" t="s">
        <v>39</v>
      </c>
      <c r="V2885" s="3">
        <v>5</v>
      </c>
    </row>
    <row r="2886" spans="1:22" x14ac:dyDescent="0.3">
      <c r="A2886" s="2" t="s">
        <v>6250</v>
      </c>
      <c r="B2886" s="10">
        <v>45087</v>
      </c>
      <c r="C2886" s="22">
        <v>45087</v>
      </c>
      <c r="D2886" s="1" t="s">
        <v>6251</v>
      </c>
      <c r="E2886" s="1" t="s">
        <v>726</v>
      </c>
      <c r="F2886" s="1">
        <v>3</v>
      </c>
      <c r="G2886" s="1" t="s">
        <v>68</v>
      </c>
      <c r="H2886" s="1" t="s">
        <v>25</v>
      </c>
      <c r="I2886" s="1" t="s">
        <v>69</v>
      </c>
      <c r="J2886" s="1" t="s">
        <v>76</v>
      </c>
      <c r="K2886" s="1" t="s">
        <v>207</v>
      </c>
      <c r="L2886" s="1">
        <v>5</v>
      </c>
      <c r="M2886" s="13">
        <v>3673.58</v>
      </c>
      <c r="N2886" s="15">
        <v>0.01</v>
      </c>
      <c r="O2886" s="13">
        <v>28371.45</v>
      </c>
      <c r="P2886" s="13">
        <v>10857.99</v>
      </c>
      <c r="Q2886" s="13">
        <v>74.84</v>
      </c>
      <c r="R2886" s="1" t="s">
        <v>78</v>
      </c>
      <c r="S2886" s="1">
        <v>3</v>
      </c>
      <c r="T2886" s="1" t="b">
        <v>1</v>
      </c>
      <c r="U2886" s="1" t="s">
        <v>30</v>
      </c>
      <c r="V2886" s="3">
        <v>9</v>
      </c>
    </row>
    <row r="2887" spans="1:22" x14ac:dyDescent="0.3">
      <c r="A2887" s="2" t="s">
        <v>6252</v>
      </c>
      <c r="B2887" s="10">
        <v>44467</v>
      </c>
      <c r="C2887" s="22">
        <v>44467</v>
      </c>
      <c r="D2887" s="1" t="s">
        <v>6253</v>
      </c>
      <c r="E2887" s="1" t="s">
        <v>415</v>
      </c>
      <c r="F2887" s="1">
        <v>41</v>
      </c>
      <c r="G2887" s="1" t="s">
        <v>34</v>
      </c>
      <c r="H2887" s="1" t="s">
        <v>25</v>
      </c>
      <c r="I2887" s="1" t="s">
        <v>69</v>
      </c>
      <c r="J2887" s="1" t="s">
        <v>62</v>
      </c>
      <c r="K2887" s="1" t="s">
        <v>151</v>
      </c>
      <c r="L2887" s="1">
        <v>5</v>
      </c>
      <c r="M2887" s="13">
        <v>293.56</v>
      </c>
      <c r="N2887" s="15">
        <v>0.4</v>
      </c>
      <c r="O2887" s="13">
        <v>988.84</v>
      </c>
      <c r="P2887" s="13">
        <v>397.44</v>
      </c>
      <c r="Q2887" s="13">
        <v>61.09</v>
      </c>
      <c r="R2887" s="1" t="s">
        <v>70</v>
      </c>
      <c r="S2887" s="1">
        <v>4</v>
      </c>
      <c r="T2887" s="1" t="b">
        <v>0</v>
      </c>
      <c r="U2887" s="1" t="s">
        <v>84</v>
      </c>
      <c r="V2887" s="3">
        <v>5</v>
      </c>
    </row>
    <row r="2888" spans="1:22" x14ac:dyDescent="0.3">
      <c r="A2888" s="2" t="s">
        <v>6254</v>
      </c>
      <c r="B2888" s="10">
        <v>44409</v>
      </c>
      <c r="C2888" s="22">
        <v>44409</v>
      </c>
      <c r="D2888" s="1" t="s">
        <v>6255</v>
      </c>
      <c r="E2888" s="1" t="s">
        <v>286</v>
      </c>
      <c r="F2888" s="1">
        <v>22</v>
      </c>
      <c r="G2888" s="1" t="s">
        <v>34</v>
      </c>
      <c r="H2888" s="1" t="s">
        <v>25</v>
      </c>
      <c r="I2888" s="1" t="s">
        <v>55</v>
      </c>
      <c r="J2888" s="1" t="s">
        <v>146</v>
      </c>
      <c r="K2888" s="1" t="s">
        <v>276</v>
      </c>
      <c r="L2888" s="1">
        <v>7</v>
      </c>
      <c r="M2888" s="13">
        <v>5887.32</v>
      </c>
      <c r="N2888" s="15">
        <v>0.27</v>
      </c>
      <c r="O2888" s="13">
        <v>40536.35</v>
      </c>
      <c r="P2888" s="13">
        <v>9596.19</v>
      </c>
      <c r="Q2888" s="13">
        <v>68.83</v>
      </c>
      <c r="R2888" s="1" t="s">
        <v>70</v>
      </c>
      <c r="S2888" s="1">
        <v>5</v>
      </c>
      <c r="T2888" s="1" t="b">
        <v>0</v>
      </c>
      <c r="U2888" s="1" t="s">
        <v>39</v>
      </c>
      <c r="V2888" s="3">
        <v>8</v>
      </c>
    </row>
    <row r="2889" spans="1:22" x14ac:dyDescent="0.3">
      <c r="A2889" s="2" t="s">
        <v>6256</v>
      </c>
      <c r="B2889" s="10">
        <v>44391</v>
      </c>
      <c r="C2889" s="22">
        <v>44391</v>
      </c>
      <c r="D2889" s="1" t="s">
        <v>6257</v>
      </c>
      <c r="E2889" s="1" t="s">
        <v>2144</v>
      </c>
      <c r="F2889" s="1">
        <v>47</v>
      </c>
      <c r="G2889" s="1" t="s">
        <v>68</v>
      </c>
      <c r="H2889" s="1" t="s">
        <v>82</v>
      </c>
      <c r="I2889" s="1" t="s">
        <v>244</v>
      </c>
      <c r="J2889" s="1" t="s">
        <v>76</v>
      </c>
      <c r="K2889" s="1" t="s">
        <v>207</v>
      </c>
      <c r="L2889" s="1">
        <v>5</v>
      </c>
      <c r="M2889" s="13">
        <v>569.89</v>
      </c>
      <c r="N2889" s="15">
        <v>0.22</v>
      </c>
      <c r="O2889" s="13">
        <v>3040.97</v>
      </c>
      <c r="P2889" s="13">
        <v>986.27</v>
      </c>
      <c r="Q2889" s="13">
        <v>87.82</v>
      </c>
      <c r="R2889" s="1" t="s">
        <v>64</v>
      </c>
      <c r="S2889" s="1">
        <v>5</v>
      </c>
      <c r="T2889" s="1" t="b">
        <v>0</v>
      </c>
      <c r="U2889" s="1" t="s">
        <v>39</v>
      </c>
      <c r="V2889" s="3">
        <v>4</v>
      </c>
    </row>
    <row r="2890" spans="1:22" x14ac:dyDescent="0.3">
      <c r="A2890" s="2" t="s">
        <v>6258</v>
      </c>
      <c r="B2890" s="10">
        <v>45543</v>
      </c>
      <c r="C2890" s="22">
        <v>45543</v>
      </c>
      <c r="D2890" s="1" t="s">
        <v>6259</v>
      </c>
      <c r="E2890" s="1" t="s">
        <v>1638</v>
      </c>
      <c r="F2890" s="1">
        <v>35</v>
      </c>
      <c r="G2890" s="1" t="s">
        <v>24</v>
      </c>
      <c r="H2890" s="1" t="s">
        <v>82</v>
      </c>
      <c r="I2890" s="1" t="s">
        <v>293</v>
      </c>
      <c r="J2890" s="1" t="s">
        <v>37</v>
      </c>
      <c r="K2890" s="1" t="s">
        <v>231</v>
      </c>
      <c r="L2890" s="1">
        <v>2</v>
      </c>
      <c r="M2890" s="13">
        <v>1573.95</v>
      </c>
      <c r="N2890" s="15">
        <v>0.28999999999999998</v>
      </c>
      <c r="O2890" s="13">
        <v>3007.27</v>
      </c>
      <c r="P2890" s="13">
        <v>1137.44</v>
      </c>
      <c r="Q2890" s="13">
        <v>97.85</v>
      </c>
      <c r="R2890" s="1" t="s">
        <v>64</v>
      </c>
      <c r="S2890" s="1">
        <v>5</v>
      </c>
      <c r="T2890" s="1" t="b">
        <v>0</v>
      </c>
      <c r="U2890" s="1" t="s">
        <v>39</v>
      </c>
      <c r="V2890" s="3">
        <v>3</v>
      </c>
    </row>
    <row r="2891" spans="1:22" x14ac:dyDescent="0.3">
      <c r="A2891" s="2" t="s">
        <v>6260</v>
      </c>
      <c r="B2891" s="10">
        <v>45648</v>
      </c>
      <c r="C2891" s="22">
        <v>45648</v>
      </c>
      <c r="D2891" s="1" t="s">
        <v>6261</v>
      </c>
      <c r="E2891" s="1" t="s">
        <v>668</v>
      </c>
      <c r="F2891" s="1">
        <v>47</v>
      </c>
      <c r="G2891" s="1" t="s">
        <v>34</v>
      </c>
      <c r="H2891" s="1" t="s">
        <v>74</v>
      </c>
      <c r="I2891" s="1" t="s">
        <v>192</v>
      </c>
      <c r="J2891" s="1" t="s">
        <v>127</v>
      </c>
      <c r="K2891" s="1" t="s">
        <v>171</v>
      </c>
      <c r="L2891" s="1">
        <v>10</v>
      </c>
      <c r="M2891" s="13">
        <v>56887.12</v>
      </c>
      <c r="N2891" s="15">
        <v>0.33</v>
      </c>
      <c r="O2891" s="13">
        <v>320072.27</v>
      </c>
      <c r="P2891" s="13">
        <v>41433.480000000003</v>
      </c>
      <c r="Q2891" s="13">
        <v>58.41</v>
      </c>
      <c r="R2891" s="1" t="s">
        <v>57</v>
      </c>
      <c r="S2891" s="1">
        <v>1</v>
      </c>
      <c r="T2891" s="1" t="b">
        <v>0</v>
      </c>
      <c r="U2891" s="1" t="s">
        <v>39</v>
      </c>
      <c r="V2891" s="3">
        <v>6</v>
      </c>
    </row>
    <row r="2892" spans="1:22" x14ac:dyDescent="0.3">
      <c r="A2892" s="2" t="s">
        <v>6262</v>
      </c>
      <c r="B2892" s="10">
        <v>45601</v>
      </c>
      <c r="C2892" s="22">
        <v>45601</v>
      </c>
      <c r="D2892" s="1" t="s">
        <v>6263</v>
      </c>
      <c r="E2892" s="1" t="s">
        <v>743</v>
      </c>
      <c r="F2892" s="1">
        <v>27</v>
      </c>
      <c r="G2892" s="1" t="s">
        <v>24</v>
      </c>
      <c r="H2892" s="1" t="s">
        <v>82</v>
      </c>
      <c r="I2892" s="1" t="s">
        <v>126</v>
      </c>
      <c r="J2892" s="1" t="s">
        <v>127</v>
      </c>
      <c r="K2892" s="1" t="s">
        <v>196</v>
      </c>
      <c r="L2892" s="1">
        <v>3</v>
      </c>
      <c r="M2892" s="13">
        <v>44959.14</v>
      </c>
      <c r="N2892" s="15">
        <v>0.09</v>
      </c>
      <c r="O2892" s="13">
        <v>118547.82</v>
      </c>
      <c r="P2892" s="13">
        <v>8051.31</v>
      </c>
      <c r="Q2892" s="13">
        <v>75.400000000000006</v>
      </c>
      <c r="R2892" s="1" t="s">
        <v>70</v>
      </c>
      <c r="S2892" s="1">
        <v>1</v>
      </c>
      <c r="T2892" s="1" t="b">
        <v>0</v>
      </c>
      <c r="U2892" s="1" t="s">
        <v>39</v>
      </c>
      <c r="V2892" s="3">
        <v>6</v>
      </c>
    </row>
    <row r="2893" spans="1:22" x14ac:dyDescent="0.3">
      <c r="A2893" s="2" t="s">
        <v>6264</v>
      </c>
      <c r="B2893" s="10">
        <v>45459</v>
      </c>
      <c r="C2893" s="22">
        <v>45459</v>
      </c>
      <c r="D2893" s="1" t="s">
        <v>6265</v>
      </c>
      <c r="E2893" s="1" t="s">
        <v>100</v>
      </c>
      <c r="F2893" s="1">
        <v>34</v>
      </c>
      <c r="G2893" s="1" t="s">
        <v>68</v>
      </c>
      <c r="H2893" s="1" t="s">
        <v>82</v>
      </c>
      <c r="I2893" s="1" t="s">
        <v>244</v>
      </c>
      <c r="J2893" s="1" t="s">
        <v>27</v>
      </c>
      <c r="K2893" s="1" t="s">
        <v>97</v>
      </c>
      <c r="L2893" s="1">
        <v>8</v>
      </c>
      <c r="M2893" s="13">
        <v>164.21</v>
      </c>
      <c r="N2893" s="15">
        <v>0.25</v>
      </c>
      <c r="O2893" s="13">
        <v>1864.61</v>
      </c>
      <c r="P2893" s="13">
        <v>136.75</v>
      </c>
      <c r="Q2893" s="13">
        <v>81.599999999999994</v>
      </c>
      <c r="R2893" s="1" t="s">
        <v>29</v>
      </c>
      <c r="S2893" s="1">
        <v>4</v>
      </c>
      <c r="T2893" s="1" t="b">
        <v>0</v>
      </c>
      <c r="U2893" s="1" t="s">
        <v>137</v>
      </c>
      <c r="V2893" s="3">
        <v>10</v>
      </c>
    </row>
    <row r="2894" spans="1:22" x14ac:dyDescent="0.3">
      <c r="A2894" s="2" t="s">
        <v>6266</v>
      </c>
      <c r="B2894" s="10">
        <v>45313</v>
      </c>
      <c r="C2894" s="22">
        <v>45313</v>
      </c>
      <c r="D2894" s="1" t="s">
        <v>6267</v>
      </c>
      <c r="E2894" s="1" t="s">
        <v>1348</v>
      </c>
      <c r="F2894" s="1">
        <v>44</v>
      </c>
      <c r="G2894" s="1" t="s">
        <v>34</v>
      </c>
      <c r="H2894" s="1" t="s">
        <v>35</v>
      </c>
      <c r="I2894" s="1" t="s">
        <v>43</v>
      </c>
      <c r="J2894" s="1" t="s">
        <v>146</v>
      </c>
      <c r="K2894" s="1" t="s">
        <v>178</v>
      </c>
      <c r="L2894" s="1">
        <v>9</v>
      </c>
      <c r="M2894" s="13">
        <v>2259.11</v>
      </c>
      <c r="N2894" s="15">
        <v>0.31</v>
      </c>
      <c r="O2894" s="13">
        <v>14997.8</v>
      </c>
      <c r="P2894" s="13">
        <v>3849.42</v>
      </c>
      <c r="Q2894" s="13">
        <v>64.989999999999995</v>
      </c>
      <c r="R2894" s="1" t="s">
        <v>29</v>
      </c>
      <c r="S2894" s="1">
        <v>1</v>
      </c>
      <c r="T2894" s="1" t="b">
        <v>0</v>
      </c>
      <c r="U2894" s="1" t="s">
        <v>39</v>
      </c>
      <c r="V2894" s="3">
        <v>5</v>
      </c>
    </row>
    <row r="2895" spans="1:22" x14ac:dyDescent="0.3">
      <c r="A2895" s="2" t="s">
        <v>6268</v>
      </c>
      <c r="B2895" s="10">
        <v>45254</v>
      </c>
      <c r="C2895" s="22">
        <v>45254</v>
      </c>
      <c r="D2895" s="1" t="s">
        <v>6269</v>
      </c>
      <c r="E2895" s="1" t="s">
        <v>875</v>
      </c>
      <c r="F2895" s="1">
        <v>19</v>
      </c>
      <c r="G2895" s="1" t="s">
        <v>24</v>
      </c>
      <c r="H2895" s="1" t="s">
        <v>74</v>
      </c>
      <c r="I2895" s="1" t="s">
        <v>75</v>
      </c>
      <c r="J2895" s="1" t="s">
        <v>37</v>
      </c>
      <c r="K2895" s="1" t="s">
        <v>102</v>
      </c>
      <c r="L2895" s="1">
        <v>7</v>
      </c>
      <c r="M2895" s="13">
        <v>1961.36</v>
      </c>
      <c r="N2895" s="15">
        <v>0.27</v>
      </c>
      <c r="O2895" s="13">
        <v>8020.15</v>
      </c>
      <c r="P2895" s="13">
        <v>4122.3</v>
      </c>
      <c r="Q2895" s="13">
        <v>73.28</v>
      </c>
      <c r="R2895" s="1" t="s">
        <v>51</v>
      </c>
      <c r="S2895" s="1">
        <v>5</v>
      </c>
      <c r="T2895" s="1" t="b">
        <v>0</v>
      </c>
      <c r="U2895" s="1" t="s">
        <v>39</v>
      </c>
      <c r="V2895" s="3">
        <v>3</v>
      </c>
    </row>
    <row r="2896" spans="1:22" x14ac:dyDescent="0.3">
      <c r="A2896" s="2" t="s">
        <v>6270</v>
      </c>
      <c r="B2896" s="10">
        <v>43844</v>
      </c>
      <c r="C2896" s="22">
        <v>43844</v>
      </c>
      <c r="D2896" s="1" t="s">
        <v>6271</v>
      </c>
      <c r="E2896" s="1" t="s">
        <v>1899</v>
      </c>
      <c r="F2896" s="1">
        <v>48</v>
      </c>
      <c r="G2896" s="1" t="s">
        <v>68</v>
      </c>
      <c r="H2896" s="1" t="s">
        <v>82</v>
      </c>
      <c r="I2896" s="1" t="s">
        <v>83</v>
      </c>
      <c r="J2896" s="1" t="s">
        <v>44</v>
      </c>
      <c r="K2896" s="1" t="s">
        <v>93</v>
      </c>
      <c r="L2896" s="1">
        <v>7</v>
      </c>
      <c r="M2896" s="13">
        <v>6792.29</v>
      </c>
      <c r="N2896" s="15">
        <v>0.32</v>
      </c>
      <c r="O2896" s="13">
        <v>21828</v>
      </c>
      <c r="P2896" s="13">
        <v>4870.2</v>
      </c>
      <c r="Q2896" s="13">
        <v>107.06</v>
      </c>
      <c r="R2896" s="1" t="s">
        <v>64</v>
      </c>
      <c r="S2896" s="1">
        <v>1</v>
      </c>
      <c r="T2896" s="1" t="b">
        <v>0</v>
      </c>
      <c r="U2896" s="1" t="s">
        <v>137</v>
      </c>
      <c r="V2896" s="3">
        <v>5</v>
      </c>
    </row>
    <row r="2897" spans="1:22" x14ac:dyDescent="0.3">
      <c r="A2897" s="2" t="s">
        <v>6272</v>
      </c>
      <c r="B2897" s="10">
        <v>44223</v>
      </c>
      <c r="C2897" s="22">
        <v>44223</v>
      </c>
      <c r="D2897" s="1" t="s">
        <v>6273</v>
      </c>
      <c r="E2897" s="1" t="s">
        <v>437</v>
      </c>
      <c r="F2897" s="1">
        <v>13</v>
      </c>
      <c r="G2897" s="1" t="s">
        <v>68</v>
      </c>
      <c r="H2897" s="1" t="s">
        <v>35</v>
      </c>
      <c r="I2897" s="1" t="s">
        <v>36</v>
      </c>
      <c r="J2897" s="1" t="s">
        <v>76</v>
      </c>
      <c r="K2897" s="1" t="s">
        <v>207</v>
      </c>
      <c r="L2897" s="1">
        <v>6</v>
      </c>
      <c r="M2897" s="13">
        <v>362.57</v>
      </c>
      <c r="N2897" s="15">
        <v>0.02</v>
      </c>
      <c r="O2897" s="13">
        <v>1703.95</v>
      </c>
      <c r="P2897" s="13">
        <v>781.43</v>
      </c>
      <c r="Q2897" s="13">
        <v>66.819999999999993</v>
      </c>
      <c r="R2897" s="1" t="s">
        <v>78</v>
      </c>
      <c r="S2897" s="1">
        <v>4</v>
      </c>
      <c r="T2897" s="1" t="b">
        <v>0</v>
      </c>
      <c r="U2897" s="1" t="s">
        <v>39</v>
      </c>
      <c r="V2897" s="3">
        <v>3</v>
      </c>
    </row>
    <row r="2898" spans="1:22" x14ac:dyDescent="0.3">
      <c r="A2898" s="2" t="s">
        <v>6274</v>
      </c>
      <c r="B2898" s="10">
        <v>44626</v>
      </c>
      <c r="C2898" s="22">
        <v>44626</v>
      </c>
      <c r="D2898" s="1" t="s">
        <v>6275</v>
      </c>
      <c r="E2898" s="1" t="s">
        <v>847</v>
      </c>
      <c r="F2898" s="1">
        <v>42</v>
      </c>
      <c r="G2898" s="1" t="s">
        <v>34</v>
      </c>
      <c r="H2898" s="1" t="s">
        <v>111</v>
      </c>
      <c r="I2898" s="1" t="s">
        <v>112</v>
      </c>
      <c r="J2898" s="1" t="s">
        <v>146</v>
      </c>
      <c r="K2898" s="1" t="s">
        <v>147</v>
      </c>
      <c r="L2898" s="1">
        <v>3</v>
      </c>
      <c r="M2898" s="13">
        <v>14886.59</v>
      </c>
      <c r="N2898" s="15">
        <v>0.38</v>
      </c>
      <c r="O2898" s="13">
        <v>34438.410000000003</v>
      </c>
      <c r="P2898" s="13">
        <v>6332.53</v>
      </c>
      <c r="Q2898" s="13">
        <v>89.5</v>
      </c>
      <c r="R2898" s="1" t="s">
        <v>51</v>
      </c>
      <c r="S2898" s="1">
        <v>3</v>
      </c>
      <c r="T2898" s="1" t="b">
        <v>0</v>
      </c>
      <c r="U2898" s="1" t="s">
        <v>39</v>
      </c>
      <c r="V2898" s="3">
        <v>3</v>
      </c>
    </row>
    <row r="2899" spans="1:22" x14ac:dyDescent="0.3">
      <c r="A2899" s="2" t="s">
        <v>6276</v>
      </c>
      <c r="B2899" s="10">
        <v>44627</v>
      </c>
      <c r="C2899" s="22">
        <v>44627</v>
      </c>
      <c r="D2899" s="1" t="s">
        <v>6277</v>
      </c>
      <c r="E2899" s="1" t="s">
        <v>48</v>
      </c>
      <c r="F2899" s="1">
        <v>40</v>
      </c>
      <c r="G2899" s="1" t="s">
        <v>24</v>
      </c>
      <c r="H2899" s="1" t="s">
        <v>82</v>
      </c>
      <c r="I2899" s="1" t="s">
        <v>126</v>
      </c>
      <c r="J2899" s="1" t="s">
        <v>127</v>
      </c>
      <c r="K2899" s="1" t="s">
        <v>517</v>
      </c>
      <c r="L2899" s="1">
        <v>6</v>
      </c>
      <c r="M2899" s="13">
        <v>34836.46</v>
      </c>
      <c r="N2899" s="15">
        <v>0.18</v>
      </c>
      <c r="O2899" s="13">
        <v>214950.87</v>
      </c>
      <c r="P2899" s="13">
        <v>36793.67</v>
      </c>
      <c r="Q2899" s="13">
        <v>90.28</v>
      </c>
      <c r="R2899" s="1" t="s">
        <v>51</v>
      </c>
      <c r="S2899" s="1">
        <v>4</v>
      </c>
      <c r="T2899" s="1" t="b">
        <v>0</v>
      </c>
      <c r="U2899" s="1" t="s">
        <v>39</v>
      </c>
      <c r="V2899" s="3">
        <v>3</v>
      </c>
    </row>
    <row r="2900" spans="1:22" x14ac:dyDescent="0.3">
      <c r="A2900" s="2" t="s">
        <v>6278</v>
      </c>
      <c r="B2900" s="10">
        <v>44031</v>
      </c>
      <c r="C2900" s="22">
        <v>44031</v>
      </c>
      <c r="D2900" s="1" t="s">
        <v>6279</v>
      </c>
      <c r="E2900" s="1" t="s">
        <v>1983</v>
      </c>
      <c r="F2900" s="1">
        <v>27</v>
      </c>
      <c r="G2900" s="1" t="s">
        <v>34</v>
      </c>
      <c r="H2900" s="1" t="s">
        <v>82</v>
      </c>
      <c r="I2900" s="1" t="s">
        <v>83</v>
      </c>
      <c r="J2900" s="1" t="s">
        <v>27</v>
      </c>
      <c r="K2900" s="1" t="s">
        <v>56</v>
      </c>
      <c r="L2900" s="1">
        <v>1</v>
      </c>
      <c r="M2900" s="13">
        <v>456.21</v>
      </c>
      <c r="N2900" s="15">
        <v>0.05</v>
      </c>
      <c r="O2900" s="13">
        <v>516.4</v>
      </c>
      <c r="P2900" s="13">
        <v>43.61</v>
      </c>
      <c r="Q2900" s="13">
        <v>72.680000000000007</v>
      </c>
      <c r="R2900" s="1" t="s">
        <v>78</v>
      </c>
      <c r="S2900" s="1">
        <v>4</v>
      </c>
      <c r="T2900" s="1" t="b">
        <v>0</v>
      </c>
      <c r="U2900" s="1" t="s">
        <v>39</v>
      </c>
      <c r="V2900" s="3">
        <v>2</v>
      </c>
    </row>
    <row r="2901" spans="1:22" x14ac:dyDescent="0.3">
      <c r="A2901" s="2" t="s">
        <v>6280</v>
      </c>
      <c r="B2901" s="10">
        <v>44555</v>
      </c>
      <c r="C2901" s="22">
        <v>44555</v>
      </c>
      <c r="D2901" s="1" t="s">
        <v>3818</v>
      </c>
      <c r="E2901" s="1" t="s">
        <v>809</v>
      </c>
      <c r="F2901" s="1">
        <v>19</v>
      </c>
      <c r="G2901" s="1" t="s">
        <v>34</v>
      </c>
      <c r="H2901" s="1" t="s">
        <v>25</v>
      </c>
      <c r="I2901" s="1" t="s">
        <v>55</v>
      </c>
      <c r="J2901" s="1" t="s">
        <v>44</v>
      </c>
      <c r="K2901" s="1" t="s">
        <v>45</v>
      </c>
      <c r="L2901" s="1">
        <v>1</v>
      </c>
      <c r="M2901" s="13">
        <v>10289.790000000001</v>
      </c>
      <c r="N2901" s="15">
        <v>0.25</v>
      </c>
      <c r="O2901" s="13">
        <v>5945.61</v>
      </c>
      <c r="P2901" s="13">
        <v>1688.17</v>
      </c>
      <c r="Q2901" s="13">
        <v>44.08</v>
      </c>
      <c r="R2901" s="1" t="s">
        <v>29</v>
      </c>
      <c r="S2901" s="1">
        <v>2</v>
      </c>
      <c r="T2901" s="1" t="b">
        <v>0</v>
      </c>
      <c r="U2901" s="1" t="s">
        <v>58</v>
      </c>
      <c r="V2901" s="3">
        <v>7</v>
      </c>
    </row>
    <row r="2902" spans="1:22" x14ac:dyDescent="0.3">
      <c r="A2902" s="2" t="s">
        <v>6281</v>
      </c>
      <c r="B2902" s="10">
        <v>45380</v>
      </c>
      <c r="C2902" s="22">
        <v>45380</v>
      </c>
      <c r="D2902" s="1" t="s">
        <v>6282</v>
      </c>
      <c r="E2902" s="1" t="s">
        <v>468</v>
      </c>
      <c r="F2902" s="1">
        <v>44</v>
      </c>
      <c r="G2902" s="1" t="s">
        <v>24</v>
      </c>
      <c r="H2902" s="1" t="s">
        <v>111</v>
      </c>
      <c r="I2902" s="1" t="s">
        <v>141</v>
      </c>
      <c r="J2902" s="1" t="s">
        <v>127</v>
      </c>
      <c r="K2902" s="1" t="s">
        <v>308</v>
      </c>
      <c r="L2902" s="1">
        <v>3</v>
      </c>
      <c r="M2902" s="13">
        <v>66697.679999999993</v>
      </c>
      <c r="N2902" s="15">
        <v>0.14000000000000001</v>
      </c>
      <c r="O2902" s="13">
        <v>252177.93</v>
      </c>
      <c r="P2902" s="13">
        <v>18032.169999999998</v>
      </c>
      <c r="Q2902" s="13">
        <v>80.02</v>
      </c>
      <c r="R2902" s="1" t="s">
        <v>64</v>
      </c>
      <c r="S2902" s="1">
        <v>4</v>
      </c>
      <c r="T2902" s="1" t="b">
        <v>0</v>
      </c>
      <c r="U2902" s="1" t="s">
        <v>39</v>
      </c>
      <c r="V2902" s="3">
        <v>7</v>
      </c>
    </row>
    <row r="2903" spans="1:22" x14ac:dyDescent="0.3">
      <c r="A2903" s="2" t="s">
        <v>6283</v>
      </c>
      <c r="B2903" s="10">
        <v>44953</v>
      </c>
      <c r="C2903" s="22">
        <v>44953</v>
      </c>
      <c r="D2903" s="1" t="s">
        <v>6284</v>
      </c>
      <c r="E2903" s="1" t="s">
        <v>2655</v>
      </c>
      <c r="F2903" s="1">
        <v>47</v>
      </c>
      <c r="G2903" s="1" t="s">
        <v>34</v>
      </c>
      <c r="H2903" s="1" t="s">
        <v>74</v>
      </c>
      <c r="I2903" s="1" t="s">
        <v>136</v>
      </c>
      <c r="J2903" s="1" t="s">
        <v>62</v>
      </c>
      <c r="K2903" s="1" t="s">
        <v>283</v>
      </c>
      <c r="L2903" s="1">
        <v>9</v>
      </c>
      <c r="M2903" s="13">
        <v>1160.5999999999999</v>
      </c>
      <c r="N2903" s="15">
        <v>0.2</v>
      </c>
      <c r="O2903" s="13">
        <v>8089.96</v>
      </c>
      <c r="P2903" s="13">
        <v>3888.59</v>
      </c>
      <c r="Q2903" s="13">
        <v>70.91</v>
      </c>
      <c r="R2903" s="1" t="s">
        <v>57</v>
      </c>
      <c r="S2903" s="1">
        <v>3</v>
      </c>
      <c r="T2903" s="1" t="b">
        <v>0</v>
      </c>
      <c r="U2903" s="1" t="s">
        <v>39</v>
      </c>
      <c r="V2903" s="3">
        <v>6</v>
      </c>
    </row>
    <row r="2904" spans="1:22" x14ac:dyDescent="0.3">
      <c r="A2904" s="2" t="s">
        <v>6285</v>
      </c>
      <c r="B2904" s="10">
        <v>44766</v>
      </c>
      <c r="C2904" s="22">
        <v>44766</v>
      </c>
      <c r="D2904" s="1" t="s">
        <v>6286</v>
      </c>
      <c r="E2904" s="1" t="s">
        <v>1782</v>
      </c>
      <c r="F2904" s="1">
        <v>35</v>
      </c>
      <c r="G2904" s="1" t="s">
        <v>24</v>
      </c>
      <c r="H2904" s="1" t="s">
        <v>111</v>
      </c>
      <c r="I2904" s="1" t="s">
        <v>330</v>
      </c>
      <c r="J2904" s="1" t="s">
        <v>62</v>
      </c>
      <c r="K2904" s="1" t="s">
        <v>570</v>
      </c>
      <c r="L2904" s="1">
        <v>4</v>
      </c>
      <c r="M2904" s="13">
        <v>278.07</v>
      </c>
      <c r="N2904" s="15">
        <v>0.38</v>
      </c>
      <c r="O2904" s="13">
        <v>1035.4000000000001</v>
      </c>
      <c r="P2904" s="13">
        <v>495.92</v>
      </c>
      <c r="Q2904" s="13">
        <v>99.54</v>
      </c>
      <c r="R2904" s="1" t="s">
        <v>64</v>
      </c>
      <c r="S2904" s="1">
        <v>2</v>
      </c>
      <c r="T2904" s="1" t="b">
        <v>0</v>
      </c>
      <c r="U2904" s="1" t="s">
        <v>39</v>
      </c>
      <c r="V2904" s="3">
        <v>2</v>
      </c>
    </row>
    <row r="2905" spans="1:22" x14ac:dyDescent="0.3">
      <c r="A2905" s="2" t="s">
        <v>6287</v>
      </c>
      <c r="B2905" s="10">
        <v>45181</v>
      </c>
      <c r="C2905" s="22">
        <v>45181</v>
      </c>
      <c r="D2905" s="1" t="s">
        <v>6288</v>
      </c>
      <c r="E2905" s="1" t="s">
        <v>120</v>
      </c>
      <c r="F2905" s="1">
        <v>39</v>
      </c>
      <c r="G2905" s="1" t="s">
        <v>34</v>
      </c>
      <c r="H2905" s="1" t="s">
        <v>82</v>
      </c>
      <c r="I2905" s="1" t="s">
        <v>293</v>
      </c>
      <c r="J2905" s="1" t="s">
        <v>146</v>
      </c>
      <c r="K2905" s="1" t="s">
        <v>276</v>
      </c>
      <c r="L2905" s="1">
        <v>5</v>
      </c>
      <c r="M2905" s="13">
        <v>1183.8699999999999</v>
      </c>
      <c r="N2905" s="15">
        <v>0.04</v>
      </c>
      <c r="O2905" s="13">
        <v>7684.63</v>
      </c>
      <c r="P2905" s="13">
        <v>1285.8599999999999</v>
      </c>
      <c r="Q2905" s="13">
        <v>76.95</v>
      </c>
      <c r="R2905" s="1" t="s">
        <v>29</v>
      </c>
      <c r="S2905" s="1">
        <v>1</v>
      </c>
      <c r="T2905" s="1" t="b">
        <v>0</v>
      </c>
      <c r="U2905" s="1" t="s">
        <v>39</v>
      </c>
      <c r="V2905" s="3">
        <v>5</v>
      </c>
    </row>
    <row r="2906" spans="1:22" x14ac:dyDescent="0.3">
      <c r="A2906" s="2" t="s">
        <v>6289</v>
      </c>
      <c r="B2906" s="10">
        <v>45315</v>
      </c>
      <c r="C2906" s="22">
        <v>45315</v>
      </c>
      <c r="D2906" s="1" t="s">
        <v>6290</v>
      </c>
      <c r="E2906" s="1" t="s">
        <v>116</v>
      </c>
      <c r="F2906" s="1">
        <v>33</v>
      </c>
      <c r="G2906" s="1" t="s">
        <v>34</v>
      </c>
      <c r="H2906" s="1" t="s">
        <v>111</v>
      </c>
      <c r="I2906" s="1" t="s">
        <v>330</v>
      </c>
      <c r="J2906" s="1" t="s">
        <v>127</v>
      </c>
      <c r="K2906" s="1" t="s">
        <v>308</v>
      </c>
      <c r="L2906" s="1">
        <v>5</v>
      </c>
      <c r="M2906" s="13">
        <v>76620.87</v>
      </c>
      <c r="N2906" s="15">
        <v>0.38</v>
      </c>
      <c r="O2906" s="13">
        <v>47511.85</v>
      </c>
      <c r="P2906" s="13">
        <v>5066.87</v>
      </c>
      <c r="Q2906" s="13">
        <v>95.49</v>
      </c>
      <c r="R2906" s="1" t="s">
        <v>51</v>
      </c>
      <c r="S2906" s="1">
        <v>1</v>
      </c>
      <c r="T2906" s="1" t="b">
        <v>0</v>
      </c>
      <c r="U2906" s="1" t="s">
        <v>39</v>
      </c>
      <c r="V2906" s="3">
        <v>2</v>
      </c>
    </row>
    <row r="2907" spans="1:22" x14ac:dyDescent="0.3">
      <c r="A2907" s="2" t="s">
        <v>6291</v>
      </c>
      <c r="B2907" s="10">
        <v>44592</v>
      </c>
      <c r="C2907" s="22">
        <v>44592</v>
      </c>
      <c r="D2907" s="1" t="s">
        <v>6292</v>
      </c>
      <c r="E2907" s="1" t="s">
        <v>1733</v>
      </c>
      <c r="F2907" s="1">
        <v>38</v>
      </c>
      <c r="G2907" s="1" t="s">
        <v>34</v>
      </c>
      <c r="H2907" s="1" t="s">
        <v>111</v>
      </c>
      <c r="I2907" s="1" t="s">
        <v>121</v>
      </c>
      <c r="J2907" s="1" t="s">
        <v>37</v>
      </c>
      <c r="K2907" s="1" t="s">
        <v>38</v>
      </c>
      <c r="L2907" s="1">
        <v>3</v>
      </c>
      <c r="M2907" s="13">
        <v>2463.48</v>
      </c>
      <c r="N2907" s="15">
        <v>0.09</v>
      </c>
      <c r="O2907" s="13">
        <v>5478.55</v>
      </c>
      <c r="P2907" s="13">
        <v>2170.17</v>
      </c>
      <c r="Q2907" s="13">
        <v>88.35</v>
      </c>
      <c r="R2907" s="1" t="s">
        <v>64</v>
      </c>
      <c r="S2907" s="1">
        <v>1</v>
      </c>
      <c r="T2907" s="1" t="b">
        <v>1</v>
      </c>
      <c r="U2907" s="1" t="s">
        <v>30</v>
      </c>
      <c r="V2907" s="3">
        <v>3</v>
      </c>
    </row>
    <row r="2908" spans="1:22" x14ac:dyDescent="0.3">
      <c r="A2908" s="2" t="s">
        <v>6293</v>
      </c>
      <c r="B2908" s="10">
        <v>45427</v>
      </c>
      <c r="C2908" s="22">
        <v>45427</v>
      </c>
      <c r="D2908" s="1" t="s">
        <v>6294</v>
      </c>
      <c r="E2908" s="1" t="s">
        <v>1425</v>
      </c>
      <c r="F2908" s="1">
        <v>25</v>
      </c>
      <c r="G2908" s="1" t="s">
        <v>34</v>
      </c>
      <c r="H2908" s="1" t="s">
        <v>35</v>
      </c>
      <c r="I2908" s="1" t="s">
        <v>43</v>
      </c>
      <c r="J2908" s="1" t="s">
        <v>27</v>
      </c>
      <c r="K2908" s="1" t="s">
        <v>450</v>
      </c>
      <c r="L2908" s="1">
        <v>3</v>
      </c>
      <c r="M2908" s="13">
        <v>451.57</v>
      </c>
      <c r="N2908" s="15">
        <v>0.06</v>
      </c>
      <c r="O2908" s="13">
        <v>2296.34</v>
      </c>
      <c r="P2908" s="13">
        <v>136.74</v>
      </c>
      <c r="Q2908" s="13">
        <v>44.69</v>
      </c>
      <c r="R2908" s="1" t="s">
        <v>70</v>
      </c>
      <c r="S2908" s="1">
        <v>3</v>
      </c>
      <c r="T2908" s="1" t="b">
        <v>0</v>
      </c>
      <c r="U2908" s="1" t="s">
        <v>39</v>
      </c>
      <c r="V2908" s="3">
        <v>3</v>
      </c>
    </row>
    <row r="2909" spans="1:22" x14ac:dyDescent="0.3">
      <c r="A2909" s="2" t="s">
        <v>6295</v>
      </c>
      <c r="B2909" s="10">
        <v>45357</v>
      </c>
      <c r="C2909" s="22">
        <v>45357</v>
      </c>
      <c r="D2909" s="1" t="s">
        <v>6296</v>
      </c>
      <c r="E2909" s="1" t="s">
        <v>569</v>
      </c>
      <c r="F2909" s="1">
        <v>31</v>
      </c>
      <c r="G2909" s="1" t="s">
        <v>68</v>
      </c>
      <c r="H2909" s="1" t="s">
        <v>35</v>
      </c>
      <c r="I2909" s="1" t="s">
        <v>106</v>
      </c>
      <c r="J2909" s="1" t="s">
        <v>44</v>
      </c>
      <c r="K2909" s="1" t="s">
        <v>93</v>
      </c>
      <c r="L2909" s="1">
        <v>4</v>
      </c>
      <c r="M2909" s="13">
        <v>27844.67</v>
      </c>
      <c r="N2909" s="15">
        <v>0.32</v>
      </c>
      <c r="O2909" s="13">
        <v>87292.37</v>
      </c>
      <c r="P2909" s="13">
        <v>18841.849999999999</v>
      </c>
      <c r="Q2909" s="13">
        <v>74.400000000000006</v>
      </c>
      <c r="R2909" s="1" t="s">
        <v>70</v>
      </c>
      <c r="S2909" s="1">
        <v>1</v>
      </c>
      <c r="T2909" s="1" t="b">
        <v>0</v>
      </c>
      <c r="U2909" s="1" t="s">
        <v>39</v>
      </c>
      <c r="V2909" s="3">
        <v>7</v>
      </c>
    </row>
    <row r="2910" spans="1:22" x14ac:dyDescent="0.3">
      <c r="A2910" s="2" t="s">
        <v>6297</v>
      </c>
      <c r="B2910" s="10">
        <v>45536</v>
      </c>
      <c r="C2910" s="22">
        <v>45536</v>
      </c>
      <c r="D2910" s="1" t="s">
        <v>6298</v>
      </c>
      <c r="E2910" s="1" t="s">
        <v>915</v>
      </c>
      <c r="F2910" s="1">
        <v>40</v>
      </c>
      <c r="G2910" s="1" t="s">
        <v>68</v>
      </c>
      <c r="H2910" s="1" t="s">
        <v>74</v>
      </c>
      <c r="I2910" s="1" t="s">
        <v>136</v>
      </c>
      <c r="J2910" s="1" t="s">
        <v>76</v>
      </c>
      <c r="K2910" s="1" t="s">
        <v>122</v>
      </c>
      <c r="L2910" s="1">
        <v>1</v>
      </c>
      <c r="M2910" s="13">
        <v>2057.9</v>
      </c>
      <c r="N2910" s="15">
        <v>0.33</v>
      </c>
      <c r="O2910" s="13">
        <v>1980.21</v>
      </c>
      <c r="P2910" s="13">
        <v>615.19000000000005</v>
      </c>
      <c r="Q2910" s="13">
        <v>42.69</v>
      </c>
      <c r="R2910" s="1" t="s">
        <v>78</v>
      </c>
      <c r="S2910" s="1">
        <v>3</v>
      </c>
      <c r="T2910" s="1" t="b">
        <v>0</v>
      </c>
      <c r="U2910" s="1" t="s">
        <v>137</v>
      </c>
      <c r="V2910" s="3">
        <v>10</v>
      </c>
    </row>
    <row r="2911" spans="1:22" x14ac:dyDescent="0.3">
      <c r="A2911" s="2" t="s">
        <v>6299</v>
      </c>
      <c r="B2911" s="10">
        <v>44912</v>
      </c>
      <c r="C2911" s="22">
        <v>44912</v>
      </c>
      <c r="D2911" s="1" t="s">
        <v>6300</v>
      </c>
      <c r="E2911" s="1" t="s">
        <v>894</v>
      </c>
      <c r="F2911" s="1">
        <v>20</v>
      </c>
      <c r="G2911" s="1" t="s">
        <v>24</v>
      </c>
      <c r="H2911" s="1" t="s">
        <v>82</v>
      </c>
      <c r="I2911" s="1" t="s">
        <v>244</v>
      </c>
      <c r="J2911" s="1" t="s">
        <v>44</v>
      </c>
      <c r="K2911" s="1" t="s">
        <v>117</v>
      </c>
      <c r="L2911" s="1">
        <v>10</v>
      </c>
      <c r="M2911" s="13">
        <v>22462.93</v>
      </c>
      <c r="N2911" s="15">
        <v>0.21</v>
      </c>
      <c r="O2911" s="13">
        <v>157408.35</v>
      </c>
      <c r="P2911" s="13">
        <v>23243.23</v>
      </c>
      <c r="Q2911" s="13">
        <v>133.35</v>
      </c>
      <c r="R2911" s="1" t="s">
        <v>78</v>
      </c>
      <c r="S2911" s="1">
        <v>5</v>
      </c>
      <c r="T2911" s="1" t="b">
        <v>0</v>
      </c>
      <c r="U2911" s="1" t="s">
        <v>39</v>
      </c>
      <c r="V2911" s="3">
        <v>4</v>
      </c>
    </row>
    <row r="2912" spans="1:22" x14ac:dyDescent="0.3">
      <c r="A2912" s="2" t="s">
        <v>6301</v>
      </c>
      <c r="B2912" s="10">
        <v>43855</v>
      </c>
      <c r="C2912" s="22">
        <v>43855</v>
      </c>
      <c r="D2912" s="1" t="s">
        <v>6302</v>
      </c>
      <c r="E2912" s="1" t="s">
        <v>716</v>
      </c>
      <c r="F2912" s="1">
        <v>32</v>
      </c>
      <c r="G2912" s="1" t="s">
        <v>68</v>
      </c>
      <c r="H2912" s="1" t="s">
        <v>74</v>
      </c>
      <c r="I2912" s="1" t="s">
        <v>75</v>
      </c>
      <c r="J2912" s="1" t="s">
        <v>146</v>
      </c>
      <c r="K2912" s="1" t="s">
        <v>217</v>
      </c>
      <c r="L2912" s="1">
        <v>5</v>
      </c>
      <c r="M2912" s="13">
        <v>8113.16</v>
      </c>
      <c r="N2912" s="15">
        <v>0.23</v>
      </c>
      <c r="O2912" s="13">
        <v>4179.58</v>
      </c>
      <c r="P2912" s="13">
        <v>1043.1400000000001</v>
      </c>
      <c r="Q2912" s="13">
        <v>76.45</v>
      </c>
      <c r="R2912" s="1" t="s">
        <v>70</v>
      </c>
      <c r="S2912" s="1">
        <v>1</v>
      </c>
      <c r="T2912" s="1" t="b">
        <v>1</v>
      </c>
      <c r="U2912" s="1" t="s">
        <v>30</v>
      </c>
      <c r="V2912" s="3">
        <v>4</v>
      </c>
    </row>
    <row r="2913" spans="1:22" x14ac:dyDescent="0.3">
      <c r="A2913" s="2" t="s">
        <v>6303</v>
      </c>
      <c r="B2913" s="10">
        <v>45462</v>
      </c>
      <c r="C2913" s="22">
        <v>45462</v>
      </c>
      <c r="D2913" s="1" t="s">
        <v>6304</v>
      </c>
      <c r="E2913" s="1" t="s">
        <v>502</v>
      </c>
      <c r="F2913" s="1">
        <v>39</v>
      </c>
      <c r="G2913" s="1" t="s">
        <v>34</v>
      </c>
      <c r="H2913" s="1" t="s">
        <v>82</v>
      </c>
      <c r="I2913" s="1" t="s">
        <v>293</v>
      </c>
      <c r="J2913" s="1" t="s">
        <v>146</v>
      </c>
      <c r="K2913" s="1" t="s">
        <v>217</v>
      </c>
      <c r="L2913" s="1">
        <v>5</v>
      </c>
      <c r="M2913" s="13">
        <v>5213.22</v>
      </c>
      <c r="N2913" s="15">
        <v>0.05</v>
      </c>
      <c r="O2913" s="13">
        <v>34214.43</v>
      </c>
      <c r="P2913" s="13">
        <v>5897.04</v>
      </c>
      <c r="Q2913" s="13">
        <v>85.1</v>
      </c>
      <c r="R2913" s="1" t="s">
        <v>64</v>
      </c>
      <c r="S2913" s="1">
        <v>3</v>
      </c>
      <c r="T2913" s="1" t="b">
        <v>0</v>
      </c>
      <c r="U2913" s="1" t="s">
        <v>197</v>
      </c>
      <c r="V2913" s="3">
        <v>2</v>
      </c>
    </row>
    <row r="2914" spans="1:22" x14ac:dyDescent="0.3">
      <c r="A2914" s="2" t="s">
        <v>6305</v>
      </c>
      <c r="B2914" s="10">
        <v>44304</v>
      </c>
      <c r="C2914" s="22">
        <v>44304</v>
      </c>
      <c r="D2914" s="1" t="s">
        <v>6306</v>
      </c>
      <c r="E2914" s="1" t="s">
        <v>988</v>
      </c>
      <c r="F2914" s="1">
        <v>34</v>
      </c>
      <c r="G2914" s="1" t="s">
        <v>24</v>
      </c>
      <c r="H2914" s="1" t="s">
        <v>111</v>
      </c>
      <c r="I2914" s="1" t="s">
        <v>121</v>
      </c>
      <c r="J2914" s="1" t="s">
        <v>37</v>
      </c>
      <c r="K2914" s="1" t="s">
        <v>182</v>
      </c>
      <c r="L2914" s="1">
        <v>3</v>
      </c>
      <c r="M2914" s="13">
        <v>2006.91</v>
      </c>
      <c r="N2914" s="15">
        <v>0.1</v>
      </c>
      <c r="O2914" s="13">
        <v>6558.87</v>
      </c>
      <c r="P2914" s="13">
        <v>3118.91</v>
      </c>
      <c r="Q2914" s="13">
        <v>65.760000000000005</v>
      </c>
      <c r="R2914" s="1" t="s">
        <v>64</v>
      </c>
      <c r="S2914" s="1">
        <v>5</v>
      </c>
      <c r="T2914" s="1" t="b">
        <v>0</v>
      </c>
      <c r="U2914" s="1" t="s">
        <v>58</v>
      </c>
      <c r="V2914" s="3">
        <v>8</v>
      </c>
    </row>
    <row r="2915" spans="1:22" x14ac:dyDescent="0.3">
      <c r="A2915" s="2" t="s">
        <v>6307</v>
      </c>
      <c r="B2915" s="10">
        <v>44759</v>
      </c>
      <c r="C2915" s="22">
        <v>44759</v>
      </c>
      <c r="D2915" s="1" t="s">
        <v>6308</v>
      </c>
      <c r="E2915" s="1" t="s">
        <v>708</v>
      </c>
      <c r="F2915" s="1">
        <v>41</v>
      </c>
      <c r="G2915" s="1" t="s">
        <v>391</v>
      </c>
      <c r="H2915" s="1" t="s">
        <v>35</v>
      </c>
      <c r="I2915" s="1" t="s">
        <v>106</v>
      </c>
      <c r="J2915" s="1" t="s">
        <v>44</v>
      </c>
      <c r="K2915" s="1" t="s">
        <v>93</v>
      </c>
      <c r="L2915" s="1">
        <v>7</v>
      </c>
      <c r="M2915" s="13">
        <v>7570.52</v>
      </c>
      <c r="N2915" s="15">
        <v>0.33</v>
      </c>
      <c r="O2915" s="13">
        <v>50975.7</v>
      </c>
      <c r="P2915" s="13">
        <v>14523.56</v>
      </c>
      <c r="Q2915" s="13">
        <v>71.959999999999994</v>
      </c>
      <c r="R2915" s="1" t="s">
        <v>29</v>
      </c>
      <c r="S2915" s="1">
        <v>3</v>
      </c>
      <c r="T2915" s="1" t="b">
        <v>0</v>
      </c>
      <c r="U2915" s="1" t="s">
        <v>39</v>
      </c>
      <c r="V2915" s="3">
        <v>1</v>
      </c>
    </row>
    <row r="2916" spans="1:22" x14ac:dyDescent="0.3">
      <c r="A2916" s="2" t="s">
        <v>6309</v>
      </c>
      <c r="B2916" s="10">
        <v>44730</v>
      </c>
      <c r="C2916" s="22">
        <v>44730</v>
      </c>
      <c r="D2916" s="1" t="s">
        <v>6310</v>
      </c>
      <c r="E2916" s="1" t="s">
        <v>781</v>
      </c>
      <c r="F2916" s="1">
        <v>31</v>
      </c>
      <c r="G2916" s="1" t="s">
        <v>68</v>
      </c>
      <c r="H2916" s="1" t="s">
        <v>82</v>
      </c>
      <c r="I2916" s="1" t="s">
        <v>244</v>
      </c>
      <c r="J2916" s="1" t="s">
        <v>37</v>
      </c>
      <c r="K2916" s="1" t="s">
        <v>182</v>
      </c>
      <c r="L2916" s="1">
        <v>4</v>
      </c>
      <c r="M2916" s="13">
        <v>1974.29</v>
      </c>
      <c r="N2916" s="15">
        <v>0.37</v>
      </c>
      <c r="O2916" s="13">
        <v>8398</v>
      </c>
      <c r="P2916" s="13">
        <v>3117.66</v>
      </c>
      <c r="Q2916" s="13">
        <v>87.34</v>
      </c>
      <c r="R2916" s="1" t="s">
        <v>70</v>
      </c>
      <c r="S2916" s="1">
        <v>1</v>
      </c>
      <c r="T2916" s="1" t="b">
        <v>1</v>
      </c>
      <c r="U2916" s="1" t="s">
        <v>30</v>
      </c>
      <c r="V2916" s="3">
        <v>9</v>
      </c>
    </row>
    <row r="2917" spans="1:22" x14ac:dyDescent="0.3">
      <c r="A2917" s="2" t="s">
        <v>6311</v>
      </c>
      <c r="B2917" s="10">
        <v>45512</v>
      </c>
      <c r="C2917" s="22">
        <v>45512</v>
      </c>
      <c r="D2917" s="1" t="s">
        <v>6312</v>
      </c>
      <c r="E2917" s="1" t="s">
        <v>349</v>
      </c>
      <c r="F2917" s="1">
        <v>27</v>
      </c>
      <c r="G2917" s="1" t="s">
        <v>68</v>
      </c>
      <c r="H2917" s="1" t="s">
        <v>111</v>
      </c>
      <c r="I2917" s="1" t="s">
        <v>330</v>
      </c>
      <c r="J2917" s="1" t="s">
        <v>127</v>
      </c>
      <c r="K2917" s="1" t="s">
        <v>196</v>
      </c>
      <c r="L2917" s="1">
        <v>2</v>
      </c>
      <c r="M2917" s="13">
        <v>22369.95</v>
      </c>
      <c r="N2917" s="15">
        <v>0.35</v>
      </c>
      <c r="O2917" s="13">
        <v>42121.15</v>
      </c>
      <c r="P2917" s="13">
        <v>3831.16</v>
      </c>
      <c r="Q2917" s="13">
        <v>69.95</v>
      </c>
      <c r="R2917" s="1" t="s">
        <v>70</v>
      </c>
      <c r="S2917" s="1">
        <v>5</v>
      </c>
      <c r="T2917" s="1" t="b">
        <v>0</v>
      </c>
      <c r="U2917" s="1" t="s">
        <v>39</v>
      </c>
      <c r="V2917" s="3">
        <v>7</v>
      </c>
    </row>
    <row r="2918" spans="1:22" x14ac:dyDescent="0.3">
      <c r="A2918" s="2" t="s">
        <v>6313</v>
      </c>
      <c r="B2918" s="10">
        <v>44029</v>
      </c>
      <c r="C2918" s="22">
        <v>44029</v>
      </c>
      <c r="D2918" s="1" t="s">
        <v>6314</v>
      </c>
      <c r="E2918" s="1" t="s">
        <v>764</v>
      </c>
      <c r="F2918" s="1">
        <v>21</v>
      </c>
      <c r="G2918" s="1" t="s">
        <v>68</v>
      </c>
      <c r="H2918" s="1" t="s">
        <v>74</v>
      </c>
      <c r="I2918" s="1" t="s">
        <v>136</v>
      </c>
      <c r="J2918" s="1" t="s">
        <v>127</v>
      </c>
      <c r="K2918" s="1" t="s">
        <v>196</v>
      </c>
      <c r="L2918" s="1">
        <v>6</v>
      </c>
      <c r="M2918" s="13">
        <v>71791.710000000006</v>
      </c>
      <c r="N2918" s="15">
        <v>0.22</v>
      </c>
      <c r="O2918" s="13">
        <v>410825.53</v>
      </c>
      <c r="P2918" s="13">
        <v>46770.76</v>
      </c>
      <c r="Q2918" s="13">
        <v>45.98</v>
      </c>
      <c r="R2918" s="1" t="s">
        <v>51</v>
      </c>
      <c r="S2918" s="1">
        <v>4</v>
      </c>
      <c r="T2918" s="1" t="b">
        <v>0</v>
      </c>
      <c r="U2918" s="1" t="s">
        <v>39</v>
      </c>
      <c r="V2918" s="3">
        <v>1</v>
      </c>
    </row>
    <row r="2919" spans="1:22" x14ac:dyDescent="0.3">
      <c r="A2919" s="2" t="s">
        <v>6315</v>
      </c>
      <c r="B2919" s="10">
        <v>44966</v>
      </c>
      <c r="C2919" s="22">
        <v>44966</v>
      </c>
      <c r="D2919" s="1" t="s">
        <v>6316</v>
      </c>
      <c r="E2919" s="1" t="s">
        <v>786</v>
      </c>
      <c r="F2919" s="1">
        <v>49</v>
      </c>
      <c r="G2919" s="1" t="s">
        <v>68</v>
      </c>
      <c r="H2919" s="1" t="s">
        <v>35</v>
      </c>
      <c r="I2919" s="1" t="s">
        <v>106</v>
      </c>
      <c r="J2919" s="1" t="s">
        <v>37</v>
      </c>
      <c r="K2919" s="1" t="s">
        <v>182</v>
      </c>
      <c r="L2919" s="1">
        <v>1</v>
      </c>
      <c r="M2919" s="13">
        <v>1738.61</v>
      </c>
      <c r="N2919" s="15">
        <v>0.33</v>
      </c>
      <c r="O2919" s="13">
        <v>1259.18</v>
      </c>
      <c r="P2919" s="13">
        <v>545.39</v>
      </c>
      <c r="Q2919" s="13">
        <v>66.25</v>
      </c>
      <c r="R2919" s="1" t="s">
        <v>64</v>
      </c>
      <c r="S2919" s="1">
        <v>5</v>
      </c>
      <c r="T2919" s="1" t="b">
        <v>0</v>
      </c>
      <c r="U2919" s="1" t="s">
        <v>39</v>
      </c>
      <c r="V2919" s="3">
        <v>10</v>
      </c>
    </row>
    <row r="2920" spans="1:22" x14ac:dyDescent="0.3">
      <c r="A2920" s="2" t="s">
        <v>6317</v>
      </c>
      <c r="B2920" s="10">
        <v>45360</v>
      </c>
      <c r="C2920" s="22">
        <v>45360</v>
      </c>
      <c r="D2920" s="1" t="s">
        <v>6318</v>
      </c>
      <c r="E2920" s="1" t="s">
        <v>1166</v>
      </c>
      <c r="F2920" s="1">
        <v>26</v>
      </c>
      <c r="G2920" s="1" t="s">
        <v>34</v>
      </c>
      <c r="H2920" s="1" t="s">
        <v>74</v>
      </c>
      <c r="I2920" s="1" t="s">
        <v>75</v>
      </c>
      <c r="J2920" s="1" t="s">
        <v>127</v>
      </c>
      <c r="K2920" s="1" t="s">
        <v>308</v>
      </c>
      <c r="L2920" s="1">
        <v>7</v>
      </c>
      <c r="M2920" s="13">
        <v>27748.1</v>
      </c>
      <c r="N2920" s="15">
        <v>0.17</v>
      </c>
      <c r="O2920" s="13">
        <v>209289.38</v>
      </c>
      <c r="P2920" s="13">
        <v>28699.09</v>
      </c>
      <c r="Q2920" s="13">
        <v>42.72</v>
      </c>
      <c r="R2920" s="1" t="s">
        <v>29</v>
      </c>
      <c r="S2920" s="1">
        <v>1</v>
      </c>
      <c r="T2920" s="1" t="b">
        <v>1</v>
      </c>
      <c r="U2920" s="1" t="s">
        <v>30</v>
      </c>
      <c r="V2920" s="3">
        <v>8</v>
      </c>
    </row>
    <row r="2921" spans="1:22" x14ac:dyDescent="0.3">
      <c r="A2921" s="2" t="s">
        <v>6319</v>
      </c>
      <c r="B2921" s="10">
        <v>44227</v>
      </c>
      <c r="C2921" s="22">
        <v>44227</v>
      </c>
      <c r="D2921" s="1" t="s">
        <v>6320</v>
      </c>
      <c r="E2921" s="1" t="s">
        <v>1428</v>
      </c>
      <c r="F2921" s="1">
        <v>54</v>
      </c>
      <c r="G2921" s="1" t="s">
        <v>68</v>
      </c>
      <c r="H2921" s="1" t="s">
        <v>82</v>
      </c>
      <c r="I2921" s="1" t="s">
        <v>244</v>
      </c>
      <c r="J2921" s="1" t="s">
        <v>127</v>
      </c>
      <c r="K2921" s="1" t="s">
        <v>142</v>
      </c>
      <c r="L2921" s="1">
        <v>2</v>
      </c>
      <c r="M2921" s="13">
        <v>15121.18</v>
      </c>
      <c r="N2921" s="15">
        <v>0.11</v>
      </c>
      <c r="O2921" s="13">
        <v>22753.66</v>
      </c>
      <c r="P2921" s="13">
        <v>2384.2199999999998</v>
      </c>
      <c r="Q2921" s="13">
        <v>94.45</v>
      </c>
      <c r="R2921" s="1" t="s">
        <v>70</v>
      </c>
      <c r="S2921" s="1">
        <v>1</v>
      </c>
      <c r="T2921" s="1" t="b">
        <v>0</v>
      </c>
      <c r="U2921" s="1" t="s">
        <v>39</v>
      </c>
      <c r="V2921" s="3">
        <v>8</v>
      </c>
    </row>
    <row r="2922" spans="1:22" x14ac:dyDescent="0.3">
      <c r="A2922" s="2" t="s">
        <v>6321</v>
      </c>
      <c r="B2922" s="10">
        <v>44428</v>
      </c>
      <c r="C2922" s="22">
        <v>44428</v>
      </c>
      <c r="D2922" s="1" t="s">
        <v>6322</v>
      </c>
      <c r="E2922" s="1" t="s">
        <v>743</v>
      </c>
      <c r="F2922" s="1">
        <v>11</v>
      </c>
      <c r="G2922" s="1" t="s">
        <v>34</v>
      </c>
      <c r="H2922" s="1" t="s">
        <v>35</v>
      </c>
      <c r="I2922" s="1" t="s">
        <v>49</v>
      </c>
      <c r="J2922" s="1" t="s">
        <v>27</v>
      </c>
      <c r="K2922" s="1" t="s">
        <v>97</v>
      </c>
      <c r="L2922" s="1">
        <v>8</v>
      </c>
      <c r="M2922" s="13">
        <v>96.84</v>
      </c>
      <c r="N2922" s="15">
        <v>0.35</v>
      </c>
      <c r="O2922" s="13">
        <v>688.57</v>
      </c>
      <c r="P2922" s="13">
        <v>57.78</v>
      </c>
      <c r="Q2922" s="13">
        <v>45.37</v>
      </c>
      <c r="R2922" s="1" t="s">
        <v>70</v>
      </c>
      <c r="S2922" s="1">
        <v>1</v>
      </c>
      <c r="T2922" s="1" t="b">
        <v>0</v>
      </c>
      <c r="U2922" s="1" t="s">
        <v>39</v>
      </c>
      <c r="V2922" s="3">
        <v>8</v>
      </c>
    </row>
    <row r="2923" spans="1:22" x14ac:dyDescent="0.3">
      <c r="A2923" s="2" t="s">
        <v>6323</v>
      </c>
      <c r="B2923" s="10">
        <v>43943</v>
      </c>
      <c r="C2923" s="22">
        <v>43943</v>
      </c>
      <c r="D2923" s="1" t="s">
        <v>6324</v>
      </c>
      <c r="E2923" s="1" t="s">
        <v>3005</v>
      </c>
      <c r="F2923" s="1">
        <v>47</v>
      </c>
      <c r="G2923" s="1" t="s">
        <v>24</v>
      </c>
      <c r="H2923" s="1" t="s">
        <v>74</v>
      </c>
      <c r="I2923" s="1" t="s">
        <v>192</v>
      </c>
      <c r="J2923" s="1" t="s">
        <v>27</v>
      </c>
      <c r="K2923" s="1" t="s">
        <v>400</v>
      </c>
      <c r="L2923" s="1">
        <v>2</v>
      </c>
      <c r="M2923" s="13">
        <v>194.68</v>
      </c>
      <c r="N2923" s="15">
        <v>0.03</v>
      </c>
      <c r="O2923" s="13">
        <v>459.04</v>
      </c>
      <c r="P2923" s="13">
        <v>32.11</v>
      </c>
      <c r="Q2923" s="13">
        <v>16.100000000000001</v>
      </c>
      <c r="R2923" s="1" t="s">
        <v>78</v>
      </c>
      <c r="S2923" s="1">
        <v>3</v>
      </c>
      <c r="T2923" s="1" t="b">
        <v>0</v>
      </c>
      <c r="U2923" s="1" t="s">
        <v>84</v>
      </c>
      <c r="V2923" s="3">
        <v>4</v>
      </c>
    </row>
    <row r="2924" spans="1:22" x14ac:dyDescent="0.3">
      <c r="A2924" s="2" t="s">
        <v>6325</v>
      </c>
      <c r="B2924" s="10">
        <v>45552</v>
      </c>
      <c r="C2924" s="22">
        <v>45552</v>
      </c>
      <c r="D2924" s="1" t="s">
        <v>6326</v>
      </c>
      <c r="E2924" s="1" t="s">
        <v>629</v>
      </c>
      <c r="F2924" s="1">
        <v>45</v>
      </c>
      <c r="G2924" s="1" t="s">
        <v>34</v>
      </c>
      <c r="H2924" s="1" t="s">
        <v>25</v>
      </c>
      <c r="I2924" s="1" t="s">
        <v>170</v>
      </c>
      <c r="J2924" s="1" t="s">
        <v>27</v>
      </c>
      <c r="K2924" s="1" t="s">
        <v>400</v>
      </c>
      <c r="L2924" s="1">
        <v>2</v>
      </c>
      <c r="M2924" s="13">
        <v>233.21</v>
      </c>
      <c r="N2924" s="15">
        <v>0.33</v>
      </c>
      <c r="O2924" s="13">
        <v>470.15</v>
      </c>
      <c r="P2924" s="13">
        <v>27.24</v>
      </c>
      <c r="Q2924" s="13">
        <v>48.63</v>
      </c>
      <c r="R2924" s="1" t="s">
        <v>51</v>
      </c>
      <c r="S2924" s="1">
        <v>2</v>
      </c>
      <c r="T2924" s="1" t="b">
        <v>0</v>
      </c>
      <c r="U2924" s="1" t="s">
        <v>39</v>
      </c>
      <c r="V2924" s="3">
        <v>7</v>
      </c>
    </row>
    <row r="2925" spans="1:22" x14ac:dyDescent="0.3">
      <c r="A2925" s="2" t="s">
        <v>6327</v>
      </c>
      <c r="B2925" s="10">
        <v>45142</v>
      </c>
      <c r="C2925" s="22">
        <v>45142</v>
      </c>
      <c r="D2925" s="1" t="s">
        <v>6328</v>
      </c>
      <c r="E2925" s="1" t="s">
        <v>1023</v>
      </c>
      <c r="F2925" s="1">
        <v>12</v>
      </c>
      <c r="G2925" s="1" t="s">
        <v>24</v>
      </c>
      <c r="H2925" s="1" t="s">
        <v>111</v>
      </c>
      <c r="I2925" s="1" t="s">
        <v>121</v>
      </c>
      <c r="J2925" s="1" t="s">
        <v>127</v>
      </c>
      <c r="K2925" s="1" t="s">
        <v>142</v>
      </c>
      <c r="L2925" s="1">
        <v>9</v>
      </c>
      <c r="M2925" s="13">
        <v>25108.78</v>
      </c>
      <c r="N2925" s="15">
        <v>0.21</v>
      </c>
      <c r="O2925" s="13">
        <v>361494.08</v>
      </c>
      <c r="P2925" s="13">
        <v>8115.37</v>
      </c>
      <c r="Q2925" s="13">
        <v>102.24</v>
      </c>
      <c r="R2925" s="1" t="s">
        <v>70</v>
      </c>
      <c r="S2925" s="1">
        <v>1</v>
      </c>
      <c r="T2925" s="1" t="b">
        <v>0</v>
      </c>
      <c r="U2925" s="1" t="s">
        <v>39</v>
      </c>
      <c r="V2925" s="3">
        <v>7</v>
      </c>
    </row>
    <row r="2926" spans="1:22" x14ac:dyDescent="0.3">
      <c r="A2926" s="2" t="s">
        <v>6329</v>
      </c>
      <c r="B2926" s="10">
        <v>44735</v>
      </c>
      <c r="C2926" s="22">
        <v>44735</v>
      </c>
      <c r="D2926" s="1" t="s">
        <v>6330</v>
      </c>
      <c r="E2926" s="1" t="s">
        <v>735</v>
      </c>
      <c r="F2926" s="1">
        <v>41</v>
      </c>
      <c r="G2926" s="1" t="s">
        <v>34</v>
      </c>
      <c r="H2926" s="1" t="s">
        <v>111</v>
      </c>
      <c r="I2926" s="1" t="s">
        <v>141</v>
      </c>
      <c r="J2926" s="1" t="s">
        <v>44</v>
      </c>
      <c r="K2926" s="1" t="s">
        <v>45</v>
      </c>
      <c r="L2926" s="1">
        <v>10</v>
      </c>
      <c r="M2926" s="13">
        <v>21783.3</v>
      </c>
      <c r="N2926" s="15">
        <v>0.09</v>
      </c>
      <c r="O2926" s="13">
        <v>276349.78999999998</v>
      </c>
      <c r="P2926" s="13">
        <v>53595.22</v>
      </c>
      <c r="Q2926" s="13">
        <v>73.39</v>
      </c>
      <c r="R2926" s="1" t="s">
        <v>64</v>
      </c>
      <c r="S2926" s="1">
        <v>4</v>
      </c>
      <c r="T2926" s="1" t="b">
        <v>1</v>
      </c>
      <c r="U2926" s="1" t="s">
        <v>30</v>
      </c>
      <c r="V2926" s="3">
        <v>2</v>
      </c>
    </row>
    <row r="2927" spans="1:22" x14ac:dyDescent="0.3">
      <c r="A2927" s="2" t="s">
        <v>6331</v>
      </c>
      <c r="B2927" s="10">
        <v>45081</v>
      </c>
      <c r="C2927" s="22">
        <v>45081</v>
      </c>
      <c r="D2927" s="1" t="s">
        <v>6332</v>
      </c>
      <c r="E2927" s="1" t="s">
        <v>3667</v>
      </c>
      <c r="F2927" s="1">
        <v>18</v>
      </c>
      <c r="G2927" s="1" t="s">
        <v>68</v>
      </c>
      <c r="H2927" s="1" t="s">
        <v>74</v>
      </c>
      <c r="I2927" s="1" t="s">
        <v>75</v>
      </c>
      <c r="J2927" s="1" t="s">
        <v>44</v>
      </c>
      <c r="K2927" s="1" t="s">
        <v>50</v>
      </c>
      <c r="L2927" s="1">
        <v>5</v>
      </c>
      <c r="M2927" s="13">
        <v>31009.31</v>
      </c>
      <c r="N2927" s="15">
        <v>0.12</v>
      </c>
      <c r="O2927" s="13">
        <v>41352.35</v>
      </c>
      <c r="P2927" s="13">
        <v>16597.68</v>
      </c>
      <c r="Q2927" s="13">
        <v>47.32</v>
      </c>
      <c r="R2927" s="1" t="s">
        <v>64</v>
      </c>
      <c r="S2927" s="1">
        <v>4</v>
      </c>
      <c r="T2927" s="1" t="b">
        <v>0</v>
      </c>
      <c r="U2927" s="1" t="s">
        <v>39</v>
      </c>
      <c r="V2927" s="3">
        <v>1</v>
      </c>
    </row>
    <row r="2928" spans="1:22" x14ac:dyDescent="0.3">
      <c r="A2928" s="2" t="s">
        <v>6333</v>
      </c>
      <c r="B2928" s="10">
        <v>45317</v>
      </c>
      <c r="C2928" s="22">
        <v>45317</v>
      </c>
      <c r="D2928" s="1" t="s">
        <v>6334</v>
      </c>
      <c r="E2928" s="1" t="s">
        <v>900</v>
      </c>
      <c r="F2928" s="1">
        <v>24</v>
      </c>
      <c r="G2928" s="1" t="s">
        <v>24</v>
      </c>
      <c r="H2928" s="1" t="s">
        <v>111</v>
      </c>
      <c r="I2928" s="1" t="s">
        <v>121</v>
      </c>
      <c r="J2928" s="1" t="s">
        <v>62</v>
      </c>
      <c r="K2928" s="1" t="s">
        <v>107</v>
      </c>
      <c r="L2928" s="1">
        <v>2</v>
      </c>
      <c r="M2928" s="13">
        <v>1002.73</v>
      </c>
      <c r="N2928" s="15">
        <v>0</v>
      </c>
      <c r="O2928" s="13">
        <v>2026.66</v>
      </c>
      <c r="P2928" s="13">
        <v>998.39</v>
      </c>
      <c r="Q2928" s="13">
        <v>69.02</v>
      </c>
      <c r="R2928" s="1" t="s">
        <v>64</v>
      </c>
      <c r="S2928" s="1">
        <v>5</v>
      </c>
      <c r="T2928" s="1" t="b">
        <v>0</v>
      </c>
      <c r="U2928" s="1" t="s">
        <v>84</v>
      </c>
      <c r="V2928" s="3">
        <v>8</v>
      </c>
    </row>
    <row r="2929" spans="1:22" x14ac:dyDescent="0.3">
      <c r="A2929" s="2" t="s">
        <v>6335</v>
      </c>
      <c r="B2929" s="10">
        <v>44914</v>
      </c>
      <c r="C2929" s="22">
        <v>44914</v>
      </c>
      <c r="D2929" s="1" t="s">
        <v>6336</v>
      </c>
      <c r="E2929" s="1" t="s">
        <v>608</v>
      </c>
      <c r="F2929" s="1">
        <v>9</v>
      </c>
      <c r="G2929" s="1" t="s">
        <v>24</v>
      </c>
      <c r="H2929" s="1" t="s">
        <v>111</v>
      </c>
      <c r="I2929" s="1" t="s">
        <v>330</v>
      </c>
      <c r="J2929" s="1" t="s">
        <v>27</v>
      </c>
      <c r="K2929" s="1" t="s">
        <v>28</v>
      </c>
      <c r="L2929" s="1">
        <v>4</v>
      </c>
      <c r="M2929" s="13">
        <v>479.32</v>
      </c>
      <c r="N2929" s="15">
        <v>0.06</v>
      </c>
      <c r="O2929" s="13">
        <v>1760.95</v>
      </c>
      <c r="P2929" s="13">
        <v>83.73</v>
      </c>
      <c r="Q2929" s="13">
        <v>74.489999999999995</v>
      </c>
      <c r="R2929" s="1" t="s">
        <v>70</v>
      </c>
      <c r="S2929" s="1">
        <v>4</v>
      </c>
      <c r="T2929" s="1" t="b">
        <v>1</v>
      </c>
      <c r="U2929" s="1" t="s">
        <v>30</v>
      </c>
      <c r="V2929" s="3">
        <v>3</v>
      </c>
    </row>
    <row r="2930" spans="1:22" x14ac:dyDescent="0.3">
      <c r="A2930" s="2" t="s">
        <v>6337</v>
      </c>
      <c r="B2930" s="10">
        <v>44725</v>
      </c>
      <c r="C2930" s="22">
        <v>44725</v>
      </c>
      <c r="D2930" s="1" t="s">
        <v>6338</v>
      </c>
      <c r="E2930" s="1" t="s">
        <v>2900</v>
      </c>
      <c r="F2930" s="1">
        <v>50</v>
      </c>
      <c r="G2930" s="1" t="s">
        <v>68</v>
      </c>
      <c r="H2930" s="1" t="s">
        <v>111</v>
      </c>
      <c r="I2930" s="1" t="s">
        <v>141</v>
      </c>
      <c r="J2930" s="1" t="s">
        <v>44</v>
      </c>
      <c r="K2930" s="1" t="s">
        <v>117</v>
      </c>
      <c r="L2930" s="1">
        <v>3</v>
      </c>
      <c r="M2930" s="13">
        <v>16614.080000000002</v>
      </c>
      <c r="N2930" s="15">
        <v>0.33</v>
      </c>
      <c r="O2930" s="13">
        <v>50453.16</v>
      </c>
      <c r="P2930" s="13">
        <v>12964.62</v>
      </c>
      <c r="Q2930" s="13">
        <v>63.05</v>
      </c>
      <c r="R2930" s="1" t="s">
        <v>70</v>
      </c>
      <c r="S2930" s="1">
        <v>2</v>
      </c>
      <c r="T2930" s="1" t="b">
        <v>1</v>
      </c>
      <c r="U2930" s="1" t="s">
        <v>30</v>
      </c>
      <c r="V2930" s="3">
        <v>5</v>
      </c>
    </row>
    <row r="2931" spans="1:22" x14ac:dyDescent="0.3">
      <c r="A2931" s="2" t="s">
        <v>6339</v>
      </c>
      <c r="B2931" s="10">
        <v>43869</v>
      </c>
      <c r="C2931" s="22">
        <v>43869</v>
      </c>
      <c r="D2931" s="1" t="s">
        <v>6340</v>
      </c>
      <c r="E2931" s="1" t="s">
        <v>265</v>
      </c>
      <c r="F2931" s="1">
        <v>20</v>
      </c>
      <c r="G2931" s="1" t="s">
        <v>34</v>
      </c>
      <c r="H2931" s="1" t="s">
        <v>111</v>
      </c>
      <c r="I2931" s="1" t="s">
        <v>112</v>
      </c>
      <c r="J2931" s="1" t="s">
        <v>27</v>
      </c>
      <c r="K2931" s="1" t="s">
        <v>430</v>
      </c>
      <c r="L2931" s="1">
        <v>9</v>
      </c>
      <c r="M2931" s="13">
        <v>125.81</v>
      </c>
      <c r="N2931" s="15">
        <v>0.24</v>
      </c>
      <c r="O2931" s="13">
        <v>845.95</v>
      </c>
      <c r="P2931" s="13">
        <v>45.94</v>
      </c>
      <c r="Q2931" s="13">
        <v>75.38</v>
      </c>
      <c r="R2931" s="1" t="s">
        <v>29</v>
      </c>
      <c r="S2931" s="1">
        <v>1</v>
      </c>
      <c r="T2931" s="1" t="b">
        <v>0</v>
      </c>
      <c r="U2931" s="1" t="s">
        <v>137</v>
      </c>
      <c r="V2931" s="3">
        <v>3</v>
      </c>
    </row>
    <row r="2932" spans="1:22" x14ac:dyDescent="0.3">
      <c r="A2932" s="2" t="s">
        <v>6341</v>
      </c>
      <c r="B2932" s="10">
        <v>44873</v>
      </c>
      <c r="C2932" s="22">
        <v>44873</v>
      </c>
      <c r="D2932" s="1" t="s">
        <v>6342</v>
      </c>
      <c r="E2932" s="1" t="s">
        <v>2367</v>
      </c>
      <c r="F2932" s="1">
        <v>34</v>
      </c>
      <c r="G2932" s="1" t="s">
        <v>24</v>
      </c>
      <c r="H2932" s="1" t="s">
        <v>111</v>
      </c>
      <c r="I2932" s="1" t="s">
        <v>141</v>
      </c>
      <c r="J2932" s="1" t="s">
        <v>27</v>
      </c>
      <c r="K2932" s="1" t="s">
        <v>97</v>
      </c>
      <c r="L2932" s="1">
        <v>4</v>
      </c>
      <c r="M2932" s="13">
        <v>407.56</v>
      </c>
      <c r="N2932" s="15">
        <v>0.32</v>
      </c>
      <c r="O2932" s="13">
        <v>990.4</v>
      </c>
      <c r="P2932" s="13">
        <v>81</v>
      </c>
      <c r="Q2932" s="13">
        <v>76.78</v>
      </c>
      <c r="R2932" s="1" t="s">
        <v>78</v>
      </c>
      <c r="S2932" s="1">
        <v>2</v>
      </c>
      <c r="T2932" s="1" t="b">
        <v>0</v>
      </c>
      <c r="U2932" s="1" t="s">
        <v>39</v>
      </c>
      <c r="V2932" s="3">
        <v>1</v>
      </c>
    </row>
    <row r="2933" spans="1:22" x14ac:dyDescent="0.3">
      <c r="A2933" s="2" t="s">
        <v>6343</v>
      </c>
      <c r="B2933" s="10">
        <v>44736</v>
      </c>
      <c r="C2933" s="22">
        <v>44736</v>
      </c>
      <c r="D2933" s="1" t="s">
        <v>6344</v>
      </c>
      <c r="E2933" s="1" t="s">
        <v>210</v>
      </c>
      <c r="F2933" s="1">
        <v>51</v>
      </c>
      <c r="G2933" s="1" t="s">
        <v>24</v>
      </c>
      <c r="H2933" s="1" t="s">
        <v>111</v>
      </c>
      <c r="I2933" s="1" t="s">
        <v>121</v>
      </c>
      <c r="J2933" s="1" t="s">
        <v>27</v>
      </c>
      <c r="K2933" s="1" t="s">
        <v>28</v>
      </c>
      <c r="L2933" s="1">
        <v>10</v>
      </c>
      <c r="M2933" s="13">
        <v>53.46</v>
      </c>
      <c r="N2933" s="15">
        <v>0.05</v>
      </c>
      <c r="O2933" s="13">
        <v>815.23</v>
      </c>
      <c r="P2933" s="13">
        <v>88.15</v>
      </c>
      <c r="Q2933" s="13">
        <v>67.319999999999993</v>
      </c>
      <c r="R2933" s="1" t="s">
        <v>29</v>
      </c>
      <c r="S2933" s="1">
        <v>1</v>
      </c>
      <c r="T2933" s="1" t="b">
        <v>0</v>
      </c>
      <c r="U2933" s="1" t="s">
        <v>84</v>
      </c>
      <c r="V2933" s="3">
        <v>9</v>
      </c>
    </row>
    <row r="2934" spans="1:22" x14ac:dyDescent="0.3">
      <c r="A2934" s="2" t="s">
        <v>6345</v>
      </c>
      <c r="B2934" s="10">
        <v>45156</v>
      </c>
      <c r="C2934" s="22">
        <v>45156</v>
      </c>
      <c r="D2934" s="1" t="s">
        <v>6346</v>
      </c>
      <c r="E2934" s="1" t="s">
        <v>988</v>
      </c>
      <c r="F2934" s="1">
        <v>47</v>
      </c>
      <c r="G2934" s="1" t="s">
        <v>68</v>
      </c>
      <c r="H2934" s="1" t="s">
        <v>111</v>
      </c>
      <c r="I2934" s="1" t="s">
        <v>112</v>
      </c>
      <c r="J2934" s="1" t="s">
        <v>146</v>
      </c>
      <c r="K2934" s="1" t="s">
        <v>217</v>
      </c>
      <c r="L2934" s="1">
        <v>8</v>
      </c>
      <c r="M2934" s="13">
        <v>11184.95</v>
      </c>
      <c r="N2934" s="15">
        <v>0.39</v>
      </c>
      <c r="O2934" s="13">
        <v>84179.79</v>
      </c>
      <c r="P2934" s="13">
        <v>26658.84</v>
      </c>
      <c r="Q2934" s="13">
        <v>58.07</v>
      </c>
      <c r="R2934" s="1" t="s">
        <v>57</v>
      </c>
      <c r="S2934" s="1">
        <v>4</v>
      </c>
      <c r="T2934" s="1" t="b">
        <v>0</v>
      </c>
      <c r="U2934" s="1" t="s">
        <v>137</v>
      </c>
      <c r="V2934" s="3">
        <v>8</v>
      </c>
    </row>
    <row r="2935" spans="1:22" x14ac:dyDescent="0.3">
      <c r="A2935" s="2" t="s">
        <v>6347</v>
      </c>
      <c r="B2935" s="10">
        <v>44749</v>
      </c>
      <c r="C2935" s="22">
        <v>44749</v>
      </c>
      <c r="D2935" s="1" t="s">
        <v>6348</v>
      </c>
      <c r="E2935" s="1" t="s">
        <v>253</v>
      </c>
      <c r="F2935" s="1">
        <v>53</v>
      </c>
      <c r="G2935" s="1" t="s">
        <v>34</v>
      </c>
      <c r="H2935" s="1" t="s">
        <v>82</v>
      </c>
      <c r="I2935" s="1" t="s">
        <v>126</v>
      </c>
      <c r="J2935" s="1" t="s">
        <v>127</v>
      </c>
      <c r="K2935" s="1" t="s">
        <v>171</v>
      </c>
      <c r="L2935" s="1">
        <v>6</v>
      </c>
      <c r="M2935" s="13">
        <v>10929.88</v>
      </c>
      <c r="N2935" s="15">
        <v>0.16</v>
      </c>
      <c r="O2935" s="13">
        <v>85653.85</v>
      </c>
      <c r="P2935" s="13">
        <v>12561.33</v>
      </c>
      <c r="Q2935" s="13">
        <v>76.61</v>
      </c>
      <c r="R2935" s="1" t="s">
        <v>51</v>
      </c>
      <c r="S2935" s="1">
        <v>1</v>
      </c>
      <c r="T2935" s="1" t="b">
        <v>0</v>
      </c>
      <c r="U2935" s="1" t="s">
        <v>39</v>
      </c>
      <c r="V2935" s="3">
        <v>1</v>
      </c>
    </row>
    <row r="2936" spans="1:22" x14ac:dyDescent="0.3">
      <c r="A2936" s="2" t="s">
        <v>6349</v>
      </c>
      <c r="B2936" s="10">
        <v>44773</v>
      </c>
      <c r="C2936" s="22">
        <v>44773</v>
      </c>
      <c r="D2936" s="1" t="s">
        <v>6350</v>
      </c>
      <c r="E2936" s="1" t="s">
        <v>220</v>
      </c>
      <c r="F2936" s="1">
        <v>28</v>
      </c>
      <c r="G2936" s="1" t="s">
        <v>68</v>
      </c>
      <c r="H2936" s="1" t="s">
        <v>35</v>
      </c>
      <c r="I2936" s="1" t="s">
        <v>43</v>
      </c>
      <c r="J2936" s="1" t="s">
        <v>62</v>
      </c>
      <c r="K2936" s="1" t="s">
        <v>283</v>
      </c>
      <c r="L2936" s="1">
        <v>5</v>
      </c>
      <c r="M2936" s="13">
        <v>539.41</v>
      </c>
      <c r="N2936" s="15">
        <v>0.11</v>
      </c>
      <c r="O2936" s="13">
        <v>3571.01</v>
      </c>
      <c r="P2936" s="13">
        <v>1290.67</v>
      </c>
      <c r="Q2936" s="13">
        <v>66.22</v>
      </c>
      <c r="R2936" s="1" t="s">
        <v>57</v>
      </c>
      <c r="S2936" s="1">
        <v>3</v>
      </c>
      <c r="T2936" s="1" t="b">
        <v>0</v>
      </c>
      <c r="U2936" s="1" t="s">
        <v>39</v>
      </c>
      <c r="V2936" s="3">
        <v>10</v>
      </c>
    </row>
    <row r="2937" spans="1:22" x14ac:dyDescent="0.3">
      <c r="A2937" s="2" t="s">
        <v>6351</v>
      </c>
      <c r="B2937" s="10">
        <v>44870</v>
      </c>
      <c r="C2937" s="22">
        <v>44870</v>
      </c>
      <c r="D2937" s="1" t="s">
        <v>6352</v>
      </c>
      <c r="E2937" s="1" t="s">
        <v>537</v>
      </c>
      <c r="F2937" s="1">
        <v>19</v>
      </c>
      <c r="G2937" s="1" t="s">
        <v>34</v>
      </c>
      <c r="H2937" s="1" t="s">
        <v>111</v>
      </c>
      <c r="I2937" s="1" t="s">
        <v>112</v>
      </c>
      <c r="J2937" s="1" t="s">
        <v>62</v>
      </c>
      <c r="K2937" s="1" t="s">
        <v>63</v>
      </c>
      <c r="L2937" s="1">
        <v>2</v>
      </c>
      <c r="M2937" s="13">
        <v>483.7</v>
      </c>
      <c r="N2937" s="15">
        <v>0.17</v>
      </c>
      <c r="O2937" s="13">
        <v>699.82</v>
      </c>
      <c r="P2937" s="13">
        <v>225.52</v>
      </c>
      <c r="Q2937" s="13">
        <v>101.82</v>
      </c>
      <c r="R2937" s="1" t="s">
        <v>57</v>
      </c>
      <c r="S2937" s="1">
        <v>2</v>
      </c>
      <c r="T2937" s="1" t="b">
        <v>0</v>
      </c>
      <c r="U2937" s="1" t="s">
        <v>39</v>
      </c>
      <c r="V2937" s="3">
        <v>1</v>
      </c>
    </row>
    <row r="2938" spans="1:22" x14ac:dyDescent="0.3">
      <c r="A2938" s="2" t="s">
        <v>6353</v>
      </c>
      <c r="B2938" s="10">
        <v>44351</v>
      </c>
      <c r="C2938" s="22">
        <v>44351</v>
      </c>
      <c r="D2938" s="1" t="s">
        <v>6354</v>
      </c>
      <c r="E2938" s="1" t="s">
        <v>457</v>
      </c>
      <c r="F2938" s="1">
        <v>37</v>
      </c>
      <c r="G2938" s="1" t="s">
        <v>68</v>
      </c>
      <c r="H2938" s="1" t="s">
        <v>25</v>
      </c>
      <c r="I2938" s="1" t="s">
        <v>170</v>
      </c>
      <c r="J2938" s="1" t="s">
        <v>27</v>
      </c>
      <c r="K2938" s="1" t="s">
        <v>56</v>
      </c>
      <c r="L2938" s="1">
        <v>10</v>
      </c>
      <c r="M2938" s="13">
        <v>134.6</v>
      </c>
      <c r="N2938" s="15">
        <v>0.03</v>
      </c>
      <c r="O2938" s="13">
        <v>1594.09</v>
      </c>
      <c r="P2938" s="13">
        <v>134.34</v>
      </c>
      <c r="Q2938" s="13">
        <v>105.77</v>
      </c>
      <c r="R2938" s="1" t="s">
        <v>57</v>
      </c>
      <c r="S2938" s="1">
        <v>1</v>
      </c>
      <c r="T2938" s="1" t="b">
        <v>0</v>
      </c>
      <c r="U2938" s="1" t="s">
        <v>39</v>
      </c>
      <c r="V2938" s="3">
        <v>5</v>
      </c>
    </row>
    <row r="2939" spans="1:22" x14ac:dyDescent="0.3">
      <c r="A2939" s="2" t="s">
        <v>6355</v>
      </c>
      <c r="B2939" s="10">
        <v>45378</v>
      </c>
      <c r="C2939" s="22">
        <v>45378</v>
      </c>
      <c r="D2939" s="1" t="s">
        <v>6356</v>
      </c>
      <c r="E2939" s="1" t="s">
        <v>638</v>
      </c>
      <c r="F2939" s="1">
        <v>51</v>
      </c>
      <c r="G2939" s="1" t="s">
        <v>34</v>
      </c>
      <c r="H2939" s="1" t="s">
        <v>25</v>
      </c>
      <c r="I2939" s="1" t="s">
        <v>69</v>
      </c>
      <c r="J2939" s="1" t="s">
        <v>127</v>
      </c>
      <c r="K2939" s="1" t="s">
        <v>171</v>
      </c>
      <c r="L2939" s="1">
        <v>5</v>
      </c>
      <c r="M2939" s="13">
        <v>11709.91</v>
      </c>
      <c r="N2939" s="15">
        <v>0.31</v>
      </c>
      <c r="O2939" s="13">
        <v>50072.11</v>
      </c>
      <c r="P2939" s="13">
        <v>6899.28</v>
      </c>
      <c r="Q2939" s="13">
        <v>59.01</v>
      </c>
      <c r="R2939" s="1" t="s">
        <v>29</v>
      </c>
      <c r="S2939" s="1">
        <v>4</v>
      </c>
      <c r="T2939" s="1" t="b">
        <v>0</v>
      </c>
      <c r="U2939" s="1" t="s">
        <v>84</v>
      </c>
      <c r="V2939" s="3">
        <v>3</v>
      </c>
    </row>
    <row r="2940" spans="1:22" x14ac:dyDescent="0.3">
      <c r="A2940" s="2" t="s">
        <v>6357</v>
      </c>
      <c r="B2940" s="10">
        <v>44960</v>
      </c>
      <c r="C2940" s="22">
        <v>44960</v>
      </c>
      <c r="D2940" s="1" t="s">
        <v>6358</v>
      </c>
      <c r="E2940" s="1" t="s">
        <v>2140</v>
      </c>
      <c r="F2940" s="1">
        <v>45</v>
      </c>
      <c r="G2940" s="1" t="s">
        <v>24</v>
      </c>
      <c r="H2940" s="1" t="s">
        <v>74</v>
      </c>
      <c r="I2940" s="1" t="s">
        <v>192</v>
      </c>
      <c r="J2940" s="1" t="s">
        <v>76</v>
      </c>
      <c r="K2940" s="1" t="s">
        <v>89</v>
      </c>
      <c r="L2940" s="1">
        <v>8</v>
      </c>
      <c r="M2940" s="13">
        <v>772.69</v>
      </c>
      <c r="N2940" s="15">
        <v>0.15</v>
      </c>
      <c r="O2940" s="13">
        <v>5307.05</v>
      </c>
      <c r="P2940" s="13">
        <v>1907.75</v>
      </c>
      <c r="Q2940" s="13">
        <v>77.11</v>
      </c>
      <c r="R2940" s="1" t="s">
        <v>64</v>
      </c>
      <c r="S2940" s="1">
        <v>4</v>
      </c>
      <c r="T2940" s="1" t="b">
        <v>0</v>
      </c>
      <c r="U2940" s="1" t="s">
        <v>137</v>
      </c>
      <c r="V2940" s="3">
        <v>1</v>
      </c>
    </row>
    <row r="2941" spans="1:22" x14ac:dyDescent="0.3">
      <c r="A2941" s="2" t="s">
        <v>6359</v>
      </c>
      <c r="B2941" s="10">
        <v>45156</v>
      </c>
      <c r="C2941" s="22">
        <v>45156</v>
      </c>
      <c r="D2941" s="1" t="s">
        <v>6360</v>
      </c>
      <c r="E2941" s="1" t="s">
        <v>926</v>
      </c>
      <c r="F2941" s="1">
        <v>38</v>
      </c>
      <c r="G2941" s="1" t="s">
        <v>68</v>
      </c>
      <c r="H2941" s="1" t="s">
        <v>74</v>
      </c>
      <c r="I2941" s="1" t="s">
        <v>101</v>
      </c>
      <c r="J2941" s="1" t="s">
        <v>37</v>
      </c>
      <c r="K2941" s="1" t="s">
        <v>38</v>
      </c>
      <c r="L2941" s="1">
        <v>8</v>
      </c>
      <c r="M2941" s="13">
        <v>1422.11</v>
      </c>
      <c r="N2941" s="15">
        <v>0.13</v>
      </c>
      <c r="O2941" s="13">
        <v>14282.97</v>
      </c>
      <c r="P2941" s="13">
        <v>5448.38</v>
      </c>
      <c r="Q2941" s="13">
        <v>38.61</v>
      </c>
      <c r="R2941" s="1" t="s">
        <v>78</v>
      </c>
      <c r="S2941" s="1">
        <v>3</v>
      </c>
      <c r="T2941" s="1" t="b">
        <v>1</v>
      </c>
      <c r="U2941" s="1" t="s">
        <v>30</v>
      </c>
      <c r="V2941" s="3">
        <v>8</v>
      </c>
    </row>
    <row r="2942" spans="1:22" x14ac:dyDescent="0.3">
      <c r="A2942" s="2" t="s">
        <v>6361</v>
      </c>
      <c r="B2942" s="10">
        <v>44684</v>
      </c>
      <c r="C2942" s="22">
        <v>44684</v>
      </c>
      <c r="D2942" s="1" t="s">
        <v>6362</v>
      </c>
      <c r="E2942" s="1" t="s">
        <v>1033</v>
      </c>
      <c r="F2942" s="1">
        <v>54</v>
      </c>
      <c r="G2942" s="1" t="s">
        <v>68</v>
      </c>
      <c r="H2942" s="1" t="s">
        <v>25</v>
      </c>
      <c r="I2942" s="1" t="s">
        <v>55</v>
      </c>
      <c r="J2942" s="1" t="s">
        <v>44</v>
      </c>
      <c r="K2942" s="1" t="s">
        <v>221</v>
      </c>
      <c r="L2942" s="1">
        <v>8</v>
      </c>
      <c r="M2942" s="13">
        <v>31153.02</v>
      </c>
      <c r="N2942" s="15">
        <v>0.2</v>
      </c>
      <c r="O2942" s="13">
        <v>268467.06</v>
      </c>
      <c r="P2942" s="13">
        <v>50396.19</v>
      </c>
      <c r="Q2942" s="13">
        <v>31.05</v>
      </c>
      <c r="R2942" s="1" t="s">
        <v>51</v>
      </c>
      <c r="S2942" s="1">
        <v>1</v>
      </c>
      <c r="T2942" s="1" t="b">
        <v>0</v>
      </c>
      <c r="U2942" s="1" t="s">
        <v>39</v>
      </c>
      <c r="V2942" s="3">
        <v>7</v>
      </c>
    </row>
    <row r="2943" spans="1:22" x14ac:dyDescent="0.3">
      <c r="A2943" s="2" t="s">
        <v>6363</v>
      </c>
      <c r="B2943" s="10">
        <v>43936</v>
      </c>
      <c r="C2943" s="22">
        <v>43936</v>
      </c>
      <c r="D2943" s="1" t="s">
        <v>6364</v>
      </c>
      <c r="E2943" s="1" t="s">
        <v>120</v>
      </c>
      <c r="F2943" s="1">
        <v>49</v>
      </c>
      <c r="G2943" s="1" t="s">
        <v>34</v>
      </c>
      <c r="H2943" s="1" t="s">
        <v>82</v>
      </c>
      <c r="I2943" s="1" t="s">
        <v>83</v>
      </c>
      <c r="J2943" s="1" t="s">
        <v>127</v>
      </c>
      <c r="K2943" s="1" t="s">
        <v>196</v>
      </c>
      <c r="L2943" s="1">
        <v>2</v>
      </c>
      <c r="M2943" s="13">
        <v>46584.639999999999</v>
      </c>
      <c r="N2943" s="15">
        <v>0.32</v>
      </c>
      <c r="O2943" s="13">
        <v>74700.63</v>
      </c>
      <c r="P2943" s="13">
        <v>5374.6</v>
      </c>
      <c r="Q2943" s="13">
        <v>75.260000000000005</v>
      </c>
      <c r="R2943" s="1" t="s">
        <v>78</v>
      </c>
      <c r="S2943" s="1">
        <v>1</v>
      </c>
      <c r="T2943" s="1" t="b">
        <v>0</v>
      </c>
      <c r="U2943" s="1" t="s">
        <v>39</v>
      </c>
      <c r="V2943" s="3">
        <v>4</v>
      </c>
    </row>
    <row r="2944" spans="1:22" x14ac:dyDescent="0.3">
      <c r="A2944" s="2" t="s">
        <v>6365</v>
      </c>
      <c r="B2944" s="10">
        <v>44704</v>
      </c>
      <c r="C2944" s="22">
        <v>44704</v>
      </c>
      <c r="D2944" s="1" t="s">
        <v>6366</v>
      </c>
      <c r="E2944" s="1" t="s">
        <v>145</v>
      </c>
      <c r="F2944" s="1">
        <v>19</v>
      </c>
      <c r="G2944" s="1" t="s">
        <v>34</v>
      </c>
      <c r="H2944" s="1" t="s">
        <v>111</v>
      </c>
      <c r="I2944" s="1" t="s">
        <v>330</v>
      </c>
      <c r="J2944" s="1" t="s">
        <v>62</v>
      </c>
      <c r="K2944" s="1" t="s">
        <v>570</v>
      </c>
      <c r="L2944" s="1">
        <v>2</v>
      </c>
      <c r="M2944" s="13">
        <v>925.2</v>
      </c>
      <c r="N2944" s="15">
        <v>0.09</v>
      </c>
      <c r="O2944" s="13">
        <v>2492.19</v>
      </c>
      <c r="P2944" s="13">
        <v>582.47</v>
      </c>
      <c r="Q2944" s="13">
        <v>86.46</v>
      </c>
      <c r="R2944" s="1" t="s">
        <v>29</v>
      </c>
      <c r="S2944" s="1">
        <v>5</v>
      </c>
      <c r="T2944" s="1" t="b">
        <v>0</v>
      </c>
      <c r="U2944" s="1" t="s">
        <v>84</v>
      </c>
      <c r="V2944" s="3">
        <v>10</v>
      </c>
    </row>
    <row r="2945" spans="1:22" x14ac:dyDescent="0.3">
      <c r="A2945" s="2" t="s">
        <v>6367</v>
      </c>
      <c r="B2945" s="10">
        <v>45336</v>
      </c>
      <c r="C2945" s="22">
        <v>45336</v>
      </c>
      <c r="D2945" s="1" t="s">
        <v>6368</v>
      </c>
      <c r="E2945" s="1" t="s">
        <v>847</v>
      </c>
      <c r="F2945" s="1">
        <v>47</v>
      </c>
      <c r="G2945" s="1" t="s">
        <v>68</v>
      </c>
      <c r="H2945" s="1" t="s">
        <v>82</v>
      </c>
      <c r="I2945" s="1" t="s">
        <v>126</v>
      </c>
      <c r="J2945" s="1" t="s">
        <v>127</v>
      </c>
      <c r="K2945" s="1" t="s">
        <v>171</v>
      </c>
      <c r="L2945" s="1">
        <v>7</v>
      </c>
      <c r="M2945" s="13">
        <v>27099.439999999999</v>
      </c>
      <c r="N2945" s="15">
        <v>0.32</v>
      </c>
      <c r="O2945" s="13">
        <v>138104.32999999999</v>
      </c>
      <c r="P2945" s="13">
        <v>17338.53</v>
      </c>
      <c r="Q2945" s="13">
        <v>53.54</v>
      </c>
      <c r="R2945" s="1" t="s">
        <v>78</v>
      </c>
      <c r="S2945" s="1">
        <v>4</v>
      </c>
      <c r="T2945" s="1" t="b">
        <v>1</v>
      </c>
      <c r="U2945" s="1" t="s">
        <v>30</v>
      </c>
      <c r="V2945" s="3">
        <v>4</v>
      </c>
    </row>
    <row r="2946" spans="1:22" x14ac:dyDescent="0.3">
      <c r="A2946" s="2" t="s">
        <v>6369</v>
      </c>
      <c r="B2946" s="10">
        <v>44681</v>
      </c>
      <c r="C2946" s="22">
        <v>44681</v>
      </c>
      <c r="D2946" s="1" t="s">
        <v>6370</v>
      </c>
      <c r="E2946" s="1" t="s">
        <v>1983</v>
      </c>
      <c r="F2946" s="1">
        <v>51</v>
      </c>
      <c r="G2946" s="1" t="s">
        <v>34</v>
      </c>
      <c r="H2946" s="1" t="s">
        <v>35</v>
      </c>
      <c r="I2946" s="1" t="s">
        <v>43</v>
      </c>
      <c r="J2946" s="1" t="s">
        <v>27</v>
      </c>
      <c r="K2946" s="1" t="s">
        <v>56</v>
      </c>
      <c r="L2946" s="1">
        <v>1</v>
      </c>
      <c r="M2946" s="13">
        <v>478.65</v>
      </c>
      <c r="N2946" s="15">
        <v>0.01</v>
      </c>
      <c r="O2946" s="13">
        <v>646.28</v>
      </c>
      <c r="P2946" s="13">
        <v>61.75</v>
      </c>
      <c r="Q2946" s="13">
        <v>46.06</v>
      </c>
      <c r="R2946" s="1" t="s">
        <v>51</v>
      </c>
      <c r="S2946" s="1">
        <v>3</v>
      </c>
      <c r="T2946" s="1" t="b">
        <v>0</v>
      </c>
      <c r="U2946" s="1" t="s">
        <v>84</v>
      </c>
      <c r="V2946" s="3">
        <v>1</v>
      </c>
    </row>
    <row r="2947" spans="1:22" x14ac:dyDescent="0.3">
      <c r="A2947" s="2" t="s">
        <v>6371</v>
      </c>
      <c r="B2947" s="10">
        <v>45083</v>
      </c>
      <c r="C2947" s="22">
        <v>45083</v>
      </c>
      <c r="D2947" s="1" t="s">
        <v>6372</v>
      </c>
      <c r="E2947" s="1" t="s">
        <v>638</v>
      </c>
      <c r="F2947" s="1">
        <v>24</v>
      </c>
      <c r="G2947" s="1" t="s">
        <v>24</v>
      </c>
      <c r="H2947" s="1" t="s">
        <v>74</v>
      </c>
      <c r="I2947" s="1" t="s">
        <v>75</v>
      </c>
      <c r="J2947" s="1" t="s">
        <v>37</v>
      </c>
      <c r="K2947" s="1" t="s">
        <v>38</v>
      </c>
      <c r="L2947" s="1">
        <v>2</v>
      </c>
      <c r="M2947" s="13">
        <v>1742.14</v>
      </c>
      <c r="N2947" s="15">
        <v>0.33</v>
      </c>
      <c r="O2947" s="13">
        <v>4112.8900000000003</v>
      </c>
      <c r="P2947" s="13">
        <v>1802.05</v>
      </c>
      <c r="Q2947" s="13">
        <v>68.900000000000006</v>
      </c>
      <c r="R2947" s="1" t="s">
        <v>57</v>
      </c>
      <c r="S2947" s="1">
        <v>1</v>
      </c>
      <c r="T2947" s="1" t="b">
        <v>0</v>
      </c>
      <c r="U2947" s="1" t="s">
        <v>39</v>
      </c>
      <c r="V2947" s="3">
        <v>3</v>
      </c>
    </row>
    <row r="2948" spans="1:22" x14ac:dyDescent="0.3">
      <c r="A2948" s="2" t="s">
        <v>6373</v>
      </c>
      <c r="B2948" s="10">
        <v>45367</v>
      </c>
      <c r="C2948" s="22">
        <v>45367</v>
      </c>
      <c r="D2948" s="1" t="s">
        <v>6374</v>
      </c>
      <c r="E2948" s="1" t="s">
        <v>449</v>
      </c>
      <c r="F2948" s="1">
        <v>24</v>
      </c>
      <c r="G2948" s="1" t="s">
        <v>24</v>
      </c>
      <c r="H2948" s="1" t="s">
        <v>74</v>
      </c>
      <c r="I2948" s="1" t="s">
        <v>75</v>
      </c>
      <c r="J2948" s="1" t="s">
        <v>76</v>
      </c>
      <c r="K2948" s="1" t="s">
        <v>77</v>
      </c>
      <c r="L2948" s="1">
        <v>3</v>
      </c>
      <c r="M2948" s="13">
        <v>2335.6</v>
      </c>
      <c r="N2948" s="15">
        <v>0.24</v>
      </c>
      <c r="O2948" s="13">
        <v>6639.76</v>
      </c>
      <c r="P2948" s="13">
        <v>2659.96</v>
      </c>
      <c r="Q2948" s="13">
        <v>53.79</v>
      </c>
      <c r="R2948" s="1" t="s">
        <v>51</v>
      </c>
      <c r="S2948" s="1">
        <v>5</v>
      </c>
      <c r="T2948" s="1" t="b">
        <v>0</v>
      </c>
      <c r="U2948" s="1" t="s">
        <v>39</v>
      </c>
      <c r="V2948" s="3">
        <v>8</v>
      </c>
    </row>
    <row r="2949" spans="1:22" x14ac:dyDescent="0.3">
      <c r="A2949" s="2" t="s">
        <v>6375</v>
      </c>
      <c r="B2949" s="10">
        <v>45545</v>
      </c>
      <c r="C2949" s="22">
        <v>45545</v>
      </c>
      <c r="D2949" s="1" t="s">
        <v>6376</v>
      </c>
      <c r="E2949" s="1" t="s">
        <v>520</v>
      </c>
      <c r="F2949" s="1">
        <v>36</v>
      </c>
      <c r="G2949" s="1" t="s">
        <v>24</v>
      </c>
      <c r="H2949" s="1" t="s">
        <v>82</v>
      </c>
      <c r="I2949" s="1" t="s">
        <v>83</v>
      </c>
      <c r="J2949" s="1" t="s">
        <v>62</v>
      </c>
      <c r="K2949" s="1" t="s">
        <v>570</v>
      </c>
      <c r="L2949" s="1">
        <v>2</v>
      </c>
      <c r="M2949" s="13">
        <v>1250.6500000000001</v>
      </c>
      <c r="N2949" s="15">
        <v>0.19</v>
      </c>
      <c r="O2949" s="13">
        <v>2194.66</v>
      </c>
      <c r="P2949" s="13">
        <v>1031.95</v>
      </c>
      <c r="Q2949" s="13">
        <v>96.46</v>
      </c>
      <c r="R2949" s="1" t="s">
        <v>51</v>
      </c>
      <c r="S2949" s="1">
        <v>5</v>
      </c>
      <c r="T2949" s="1" t="b">
        <v>0</v>
      </c>
      <c r="U2949" s="1" t="s">
        <v>39</v>
      </c>
      <c r="V2949" s="3">
        <v>3</v>
      </c>
    </row>
    <row r="2950" spans="1:22" x14ac:dyDescent="0.3">
      <c r="A2950" s="2" t="s">
        <v>6377</v>
      </c>
      <c r="B2950" s="10">
        <v>44237</v>
      </c>
      <c r="C2950" s="22">
        <v>44237</v>
      </c>
      <c r="D2950" s="1" t="s">
        <v>6378</v>
      </c>
      <c r="E2950" s="1" t="s">
        <v>716</v>
      </c>
      <c r="F2950" s="1">
        <v>40</v>
      </c>
      <c r="G2950" s="1" t="s">
        <v>34</v>
      </c>
      <c r="H2950" s="1" t="s">
        <v>74</v>
      </c>
      <c r="I2950" s="1" t="s">
        <v>192</v>
      </c>
      <c r="J2950" s="1" t="s">
        <v>146</v>
      </c>
      <c r="K2950" s="1" t="s">
        <v>161</v>
      </c>
      <c r="L2950" s="1">
        <v>2</v>
      </c>
      <c r="M2950" s="13">
        <v>660.31</v>
      </c>
      <c r="N2950" s="15">
        <v>0.11</v>
      </c>
      <c r="O2950" s="13">
        <v>1039.58</v>
      </c>
      <c r="P2950" s="13">
        <v>273.10000000000002</v>
      </c>
      <c r="Q2950" s="13">
        <v>41.05</v>
      </c>
      <c r="R2950" s="1" t="s">
        <v>57</v>
      </c>
      <c r="S2950" s="1">
        <v>2</v>
      </c>
      <c r="T2950" s="1" t="b">
        <v>0</v>
      </c>
      <c r="U2950" s="1" t="s">
        <v>39</v>
      </c>
      <c r="V2950" s="3">
        <v>3</v>
      </c>
    </row>
    <row r="2951" spans="1:22" x14ac:dyDescent="0.3">
      <c r="A2951" s="2" t="s">
        <v>6379</v>
      </c>
      <c r="B2951" s="10">
        <v>45466</v>
      </c>
      <c r="C2951" s="22">
        <v>45466</v>
      </c>
      <c r="D2951" s="1" t="s">
        <v>6380</v>
      </c>
      <c r="E2951" s="1" t="s">
        <v>1050</v>
      </c>
      <c r="F2951" s="1">
        <v>18</v>
      </c>
      <c r="G2951" s="1" t="s">
        <v>34</v>
      </c>
      <c r="H2951" s="1" t="s">
        <v>35</v>
      </c>
      <c r="I2951" s="1" t="s">
        <v>43</v>
      </c>
      <c r="J2951" s="1" t="s">
        <v>44</v>
      </c>
      <c r="K2951" s="1" t="s">
        <v>45</v>
      </c>
      <c r="L2951" s="1">
        <v>3</v>
      </c>
      <c r="M2951" s="13">
        <v>34248.61</v>
      </c>
      <c r="N2951" s="15">
        <v>0.02</v>
      </c>
      <c r="O2951" s="13">
        <v>172473.24</v>
      </c>
      <c r="P2951" s="13">
        <v>48852.27</v>
      </c>
      <c r="Q2951" s="13">
        <v>59.95</v>
      </c>
      <c r="R2951" s="1" t="s">
        <v>29</v>
      </c>
      <c r="S2951" s="1">
        <v>3</v>
      </c>
      <c r="T2951" s="1" t="b">
        <v>0</v>
      </c>
      <c r="U2951" s="1" t="s">
        <v>39</v>
      </c>
      <c r="V2951" s="3">
        <v>4</v>
      </c>
    </row>
    <row r="2952" spans="1:22" x14ac:dyDescent="0.3">
      <c r="A2952" s="2" t="s">
        <v>6381</v>
      </c>
      <c r="B2952" s="10">
        <v>44845</v>
      </c>
      <c r="C2952" s="22">
        <v>44845</v>
      </c>
      <c r="D2952" s="1" t="s">
        <v>6382</v>
      </c>
      <c r="E2952" s="1" t="s">
        <v>1023</v>
      </c>
      <c r="F2952" s="1">
        <v>19</v>
      </c>
      <c r="G2952" s="1" t="s">
        <v>68</v>
      </c>
      <c r="H2952" s="1" t="s">
        <v>74</v>
      </c>
      <c r="I2952" s="1" t="s">
        <v>136</v>
      </c>
      <c r="J2952" s="1" t="s">
        <v>44</v>
      </c>
      <c r="K2952" s="1" t="s">
        <v>221</v>
      </c>
      <c r="L2952" s="1">
        <v>10</v>
      </c>
      <c r="M2952" s="13">
        <v>12399.19</v>
      </c>
      <c r="N2952" s="15">
        <v>0.23</v>
      </c>
      <c r="O2952" s="13">
        <v>113748.97</v>
      </c>
      <c r="P2952" s="13">
        <v>36698.33</v>
      </c>
      <c r="Q2952" s="13">
        <v>41.96</v>
      </c>
      <c r="R2952" s="1" t="s">
        <v>51</v>
      </c>
      <c r="S2952" s="1">
        <v>1</v>
      </c>
      <c r="T2952" s="1" t="b">
        <v>1</v>
      </c>
      <c r="U2952" s="1" t="s">
        <v>30</v>
      </c>
      <c r="V2952" s="3">
        <v>5</v>
      </c>
    </row>
    <row r="2953" spans="1:22" x14ac:dyDescent="0.3">
      <c r="A2953" s="2" t="s">
        <v>6383</v>
      </c>
      <c r="B2953" s="10">
        <v>44274</v>
      </c>
      <c r="C2953" s="22">
        <v>44274</v>
      </c>
      <c r="D2953" s="1" t="s">
        <v>6384</v>
      </c>
      <c r="E2953" s="1" t="s">
        <v>125</v>
      </c>
      <c r="F2953" s="1">
        <v>24</v>
      </c>
      <c r="G2953" s="1" t="s">
        <v>24</v>
      </c>
      <c r="H2953" s="1" t="s">
        <v>82</v>
      </c>
      <c r="I2953" s="1" t="s">
        <v>83</v>
      </c>
      <c r="J2953" s="1" t="s">
        <v>127</v>
      </c>
      <c r="K2953" s="1" t="s">
        <v>517</v>
      </c>
      <c r="L2953" s="1">
        <v>5</v>
      </c>
      <c r="M2953" s="13">
        <v>26856.73</v>
      </c>
      <c r="N2953" s="15">
        <v>0.19</v>
      </c>
      <c r="O2953" s="13">
        <v>22019.439999999999</v>
      </c>
      <c r="P2953" s="13">
        <v>3128.23</v>
      </c>
      <c r="Q2953" s="13">
        <v>65.040000000000006</v>
      </c>
      <c r="R2953" s="1" t="s">
        <v>29</v>
      </c>
      <c r="S2953" s="1">
        <v>5</v>
      </c>
      <c r="T2953" s="1" t="b">
        <v>0</v>
      </c>
      <c r="U2953" s="1" t="s">
        <v>39</v>
      </c>
      <c r="V2953" s="3">
        <v>1</v>
      </c>
    </row>
    <row r="2954" spans="1:22" x14ac:dyDescent="0.3">
      <c r="A2954" s="2" t="s">
        <v>6385</v>
      </c>
      <c r="B2954" s="10">
        <v>45304</v>
      </c>
      <c r="C2954" s="22">
        <v>45304</v>
      </c>
      <c r="D2954" s="1" t="s">
        <v>6386</v>
      </c>
      <c r="E2954" s="1" t="s">
        <v>167</v>
      </c>
      <c r="F2954" s="1">
        <v>42</v>
      </c>
      <c r="G2954" s="1" t="s">
        <v>68</v>
      </c>
      <c r="H2954" s="1" t="s">
        <v>74</v>
      </c>
      <c r="I2954" s="1" t="s">
        <v>192</v>
      </c>
      <c r="J2954" s="1" t="s">
        <v>76</v>
      </c>
      <c r="K2954" s="1" t="s">
        <v>132</v>
      </c>
      <c r="L2954" s="1">
        <v>5</v>
      </c>
      <c r="M2954" s="13">
        <v>3923.7</v>
      </c>
      <c r="N2954" s="15">
        <v>0.3</v>
      </c>
      <c r="O2954" s="13">
        <v>12054.36</v>
      </c>
      <c r="P2954" s="13">
        <v>4843.88</v>
      </c>
      <c r="Q2954" s="13">
        <v>58.27</v>
      </c>
      <c r="R2954" s="1" t="s">
        <v>57</v>
      </c>
      <c r="S2954" s="1">
        <v>3</v>
      </c>
      <c r="T2954" s="1" t="b">
        <v>0</v>
      </c>
      <c r="U2954" s="1" t="s">
        <v>39</v>
      </c>
      <c r="V2954" s="3">
        <v>3</v>
      </c>
    </row>
    <row r="2955" spans="1:22" x14ac:dyDescent="0.3">
      <c r="A2955" s="2" t="s">
        <v>6387</v>
      </c>
      <c r="B2955" s="10">
        <v>45008</v>
      </c>
      <c r="C2955" s="22">
        <v>45008</v>
      </c>
      <c r="D2955" s="1" t="s">
        <v>6388</v>
      </c>
      <c r="E2955" s="1" t="s">
        <v>1428</v>
      </c>
      <c r="F2955" s="1">
        <v>54</v>
      </c>
      <c r="G2955" s="1" t="s">
        <v>68</v>
      </c>
      <c r="H2955" s="1" t="s">
        <v>35</v>
      </c>
      <c r="I2955" s="1" t="s">
        <v>43</v>
      </c>
      <c r="J2955" s="1" t="s">
        <v>62</v>
      </c>
      <c r="K2955" s="1" t="s">
        <v>266</v>
      </c>
      <c r="L2955" s="1">
        <v>2</v>
      </c>
      <c r="M2955" s="13">
        <v>200.55</v>
      </c>
      <c r="N2955" s="15">
        <v>0.2</v>
      </c>
      <c r="O2955" s="13">
        <v>357.47</v>
      </c>
      <c r="P2955" s="13">
        <v>109.45</v>
      </c>
      <c r="Q2955" s="13">
        <v>52.35</v>
      </c>
      <c r="R2955" s="1" t="s">
        <v>70</v>
      </c>
      <c r="S2955" s="1">
        <v>3</v>
      </c>
      <c r="T2955" s="1" t="b">
        <v>1</v>
      </c>
      <c r="U2955" s="1" t="s">
        <v>30</v>
      </c>
      <c r="V2955" s="3">
        <v>2</v>
      </c>
    </row>
    <row r="2956" spans="1:22" x14ac:dyDescent="0.3">
      <c r="A2956" s="2" t="s">
        <v>6389</v>
      </c>
      <c r="B2956" s="10">
        <v>44000</v>
      </c>
      <c r="C2956" s="22">
        <v>44000</v>
      </c>
      <c r="D2956" s="1" t="s">
        <v>6390</v>
      </c>
      <c r="E2956" s="1" t="s">
        <v>210</v>
      </c>
      <c r="F2956" s="1">
        <v>39</v>
      </c>
      <c r="G2956" s="1" t="s">
        <v>34</v>
      </c>
      <c r="H2956" s="1" t="s">
        <v>74</v>
      </c>
      <c r="I2956" s="1" t="s">
        <v>136</v>
      </c>
      <c r="J2956" s="1" t="s">
        <v>27</v>
      </c>
      <c r="K2956" s="1" t="s">
        <v>97</v>
      </c>
      <c r="L2956" s="1">
        <v>2</v>
      </c>
      <c r="M2956" s="13">
        <v>99.94</v>
      </c>
      <c r="N2956" s="15">
        <v>0.39</v>
      </c>
      <c r="O2956" s="13">
        <v>144.81</v>
      </c>
      <c r="P2956" s="13">
        <v>11.4</v>
      </c>
      <c r="Q2956" s="13">
        <v>47.24</v>
      </c>
      <c r="R2956" s="1" t="s">
        <v>51</v>
      </c>
      <c r="S2956" s="1">
        <v>1</v>
      </c>
      <c r="T2956" s="1" t="b">
        <v>0</v>
      </c>
      <c r="U2956" s="1" t="s">
        <v>39</v>
      </c>
      <c r="V2956" s="3">
        <v>3</v>
      </c>
    </row>
    <row r="2957" spans="1:22" x14ac:dyDescent="0.3">
      <c r="A2957" s="2" t="s">
        <v>6391</v>
      </c>
      <c r="B2957" s="10">
        <v>45155</v>
      </c>
      <c r="C2957" s="22">
        <v>45155</v>
      </c>
      <c r="D2957" s="1" t="s">
        <v>6392</v>
      </c>
      <c r="E2957" s="1" t="s">
        <v>1327</v>
      </c>
      <c r="F2957" s="1">
        <v>32</v>
      </c>
      <c r="G2957" s="1" t="s">
        <v>68</v>
      </c>
      <c r="H2957" s="1" t="s">
        <v>25</v>
      </c>
      <c r="I2957" s="1" t="s">
        <v>170</v>
      </c>
      <c r="J2957" s="1" t="s">
        <v>37</v>
      </c>
      <c r="K2957" s="1" t="s">
        <v>182</v>
      </c>
      <c r="L2957" s="1">
        <v>7</v>
      </c>
      <c r="M2957" s="13">
        <v>2030.6</v>
      </c>
      <c r="N2957" s="15">
        <v>0.32</v>
      </c>
      <c r="O2957" s="13">
        <v>15087.35</v>
      </c>
      <c r="P2957" s="13">
        <v>5363.62</v>
      </c>
      <c r="Q2957" s="13">
        <v>45.14</v>
      </c>
      <c r="R2957" s="1" t="s">
        <v>57</v>
      </c>
      <c r="S2957" s="1">
        <v>4</v>
      </c>
      <c r="T2957" s="1" t="b">
        <v>0</v>
      </c>
      <c r="U2957" s="1" t="s">
        <v>84</v>
      </c>
      <c r="V2957" s="3">
        <v>4</v>
      </c>
    </row>
    <row r="2958" spans="1:22" x14ac:dyDescent="0.3">
      <c r="A2958" s="2" t="s">
        <v>6393</v>
      </c>
      <c r="B2958" s="10">
        <v>44003</v>
      </c>
      <c r="C2958" s="22">
        <v>44003</v>
      </c>
      <c r="D2958" s="1" t="s">
        <v>6394</v>
      </c>
      <c r="E2958" s="1" t="s">
        <v>888</v>
      </c>
      <c r="F2958" s="1">
        <v>35</v>
      </c>
      <c r="G2958" s="1" t="s">
        <v>24</v>
      </c>
      <c r="H2958" s="1" t="s">
        <v>82</v>
      </c>
      <c r="I2958" s="1" t="s">
        <v>83</v>
      </c>
      <c r="J2958" s="1" t="s">
        <v>44</v>
      </c>
      <c r="K2958" s="1" t="s">
        <v>50</v>
      </c>
      <c r="L2958" s="1">
        <v>3</v>
      </c>
      <c r="M2958" s="13">
        <v>31841.24</v>
      </c>
      <c r="N2958" s="15">
        <v>0.32</v>
      </c>
      <c r="O2958" s="13">
        <v>78919.02</v>
      </c>
      <c r="P2958" s="13">
        <v>21204.15</v>
      </c>
      <c r="Q2958" s="13">
        <v>78.260000000000005</v>
      </c>
      <c r="R2958" s="1" t="s">
        <v>64</v>
      </c>
      <c r="S2958" s="1">
        <v>4</v>
      </c>
      <c r="T2958" s="1" t="b">
        <v>1</v>
      </c>
      <c r="U2958" s="1" t="s">
        <v>30</v>
      </c>
      <c r="V2958" s="3">
        <v>6</v>
      </c>
    </row>
    <row r="2959" spans="1:22" x14ac:dyDescent="0.3">
      <c r="A2959" s="2" t="s">
        <v>6395</v>
      </c>
      <c r="B2959" s="10">
        <v>44151</v>
      </c>
      <c r="C2959" s="22">
        <v>44151</v>
      </c>
      <c r="D2959" s="1" t="s">
        <v>6396</v>
      </c>
      <c r="E2959" s="1" t="s">
        <v>1294</v>
      </c>
      <c r="F2959" s="1">
        <v>34</v>
      </c>
      <c r="G2959" s="1" t="s">
        <v>68</v>
      </c>
      <c r="H2959" s="1" t="s">
        <v>74</v>
      </c>
      <c r="I2959" s="1" t="s">
        <v>75</v>
      </c>
      <c r="J2959" s="1" t="s">
        <v>76</v>
      </c>
      <c r="K2959" s="1" t="s">
        <v>122</v>
      </c>
      <c r="L2959" s="1">
        <v>3</v>
      </c>
      <c r="M2959" s="13">
        <v>461.34</v>
      </c>
      <c r="N2959" s="15">
        <v>0.16</v>
      </c>
      <c r="O2959" s="13">
        <v>748.84</v>
      </c>
      <c r="P2959" s="13">
        <v>261</v>
      </c>
      <c r="Q2959" s="13">
        <v>36.700000000000003</v>
      </c>
      <c r="R2959" s="1" t="s">
        <v>78</v>
      </c>
      <c r="S2959" s="1">
        <v>1</v>
      </c>
      <c r="T2959" s="1" t="b">
        <v>1</v>
      </c>
      <c r="U2959" s="1" t="s">
        <v>30</v>
      </c>
      <c r="V2959" s="3">
        <v>4</v>
      </c>
    </row>
    <row r="2960" spans="1:22" x14ac:dyDescent="0.3">
      <c r="A2960" s="2" t="s">
        <v>6397</v>
      </c>
      <c r="B2960" s="10">
        <v>45415</v>
      </c>
      <c r="C2960" s="22">
        <v>45415</v>
      </c>
      <c r="D2960" s="1" t="s">
        <v>6398</v>
      </c>
      <c r="E2960" s="1" t="s">
        <v>243</v>
      </c>
      <c r="F2960" s="1">
        <v>26</v>
      </c>
      <c r="G2960" s="1" t="s">
        <v>68</v>
      </c>
      <c r="H2960" s="1" t="s">
        <v>82</v>
      </c>
      <c r="I2960" s="1" t="s">
        <v>83</v>
      </c>
      <c r="J2960" s="1" t="s">
        <v>37</v>
      </c>
      <c r="K2960" s="1" t="s">
        <v>231</v>
      </c>
      <c r="L2960" s="1">
        <v>10</v>
      </c>
      <c r="M2960" s="13">
        <v>2273.9</v>
      </c>
      <c r="N2960" s="15">
        <v>0.21</v>
      </c>
      <c r="O2960" s="13">
        <v>30023.01</v>
      </c>
      <c r="P2960" s="13">
        <v>13458.53</v>
      </c>
      <c r="Q2960" s="13">
        <v>83.41</v>
      </c>
      <c r="R2960" s="1" t="s">
        <v>51</v>
      </c>
      <c r="S2960" s="1">
        <v>1</v>
      </c>
      <c r="T2960" s="1" t="b">
        <v>0</v>
      </c>
      <c r="U2960" s="1" t="s">
        <v>39</v>
      </c>
      <c r="V2960" s="3">
        <v>10</v>
      </c>
    </row>
    <row r="2961" spans="1:22" x14ac:dyDescent="0.3">
      <c r="A2961" s="2" t="s">
        <v>6399</v>
      </c>
      <c r="B2961" s="10">
        <v>44099</v>
      </c>
      <c r="C2961" s="22">
        <v>44099</v>
      </c>
      <c r="D2961" s="1" t="s">
        <v>6400</v>
      </c>
      <c r="E2961" s="1" t="s">
        <v>1275</v>
      </c>
      <c r="F2961" s="1">
        <v>33</v>
      </c>
      <c r="G2961" s="1" t="s">
        <v>34</v>
      </c>
      <c r="H2961" s="1" t="s">
        <v>35</v>
      </c>
      <c r="I2961" s="1" t="s">
        <v>106</v>
      </c>
      <c r="J2961" s="1" t="s">
        <v>62</v>
      </c>
      <c r="K2961" s="1" t="s">
        <v>63</v>
      </c>
      <c r="L2961" s="1">
        <v>2</v>
      </c>
      <c r="M2961" s="13">
        <v>1462.19</v>
      </c>
      <c r="N2961" s="15">
        <v>0.35</v>
      </c>
      <c r="O2961" s="13">
        <v>2078.34</v>
      </c>
      <c r="P2961" s="13">
        <v>1202.05</v>
      </c>
      <c r="Q2961" s="13">
        <v>78.540000000000006</v>
      </c>
      <c r="R2961" s="1" t="s">
        <v>64</v>
      </c>
      <c r="S2961" s="1">
        <v>5</v>
      </c>
      <c r="T2961" s="1" t="b">
        <v>0</v>
      </c>
      <c r="U2961" s="1" t="s">
        <v>39</v>
      </c>
      <c r="V2961" s="3">
        <v>2</v>
      </c>
    </row>
    <row r="2962" spans="1:22" x14ac:dyDescent="0.3">
      <c r="A2962" s="2" t="s">
        <v>6401</v>
      </c>
      <c r="B2962" s="10">
        <v>44520</v>
      </c>
      <c r="C2962" s="22">
        <v>44520</v>
      </c>
      <c r="D2962" s="1" t="s">
        <v>6402</v>
      </c>
      <c r="E2962" s="1" t="s">
        <v>1996</v>
      </c>
      <c r="F2962" s="1">
        <v>49</v>
      </c>
      <c r="G2962" s="1" t="s">
        <v>68</v>
      </c>
      <c r="H2962" s="1" t="s">
        <v>111</v>
      </c>
      <c r="I2962" s="1" t="s">
        <v>112</v>
      </c>
      <c r="J2962" s="1" t="s">
        <v>127</v>
      </c>
      <c r="K2962" s="1" t="s">
        <v>142</v>
      </c>
      <c r="L2962" s="1">
        <v>5</v>
      </c>
      <c r="M2962" s="13">
        <v>40279.85</v>
      </c>
      <c r="N2962" s="15">
        <v>0.24</v>
      </c>
      <c r="O2962" s="13">
        <v>124328.85</v>
      </c>
      <c r="P2962" s="13">
        <v>18217.89</v>
      </c>
      <c r="Q2962" s="13">
        <v>89.76</v>
      </c>
      <c r="R2962" s="1" t="s">
        <v>57</v>
      </c>
      <c r="S2962" s="1">
        <v>3</v>
      </c>
      <c r="T2962" s="1" t="b">
        <v>0</v>
      </c>
      <c r="U2962" s="1" t="s">
        <v>39</v>
      </c>
      <c r="V2962" s="3">
        <v>9</v>
      </c>
    </row>
    <row r="2963" spans="1:22" x14ac:dyDescent="0.3">
      <c r="A2963" s="2" t="s">
        <v>6403</v>
      </c>
      <c r="B2963" s="10">
        <v>44984</v>
      </c>
      <c r="C2963" s="22">
        <v>44984</v>
      </c>
      <c r="D2963" s="1" t="s">
        <v>6404</v>
      </c>
      <c r="E2963" s="1" t="s">
        <v>801</v>
      </c>
      <c r="F2963" s="1">
        <v>10</v>
      </c>
      <c r="G2963" s="1" t="s">
        <v>34</v>
      </c>
      <c r="H2963" s="1" t="s">
        <v>82</v>
      </c>
      <c r="I2963" s="1" t="s">
        <v>126</v>
      </c>
      <c r="J2963" s="1" t="s">
        <v>62</v>
      </c>
      <c r="K2963" s="1" t="s">
        <v>151</v>
      </c>
      <c r="L2963" s="1">
        <v>1</v>
      </c>
      <c r="M2963" s="13">
        <v>497.24</v>
      </c>
      <c r="N2963" s="15">
        <v>7.0000000000000007E-2</v>
      </c>
      <c r="O2963" s="13">
        <v>536.5</v>
      </c>
      <c r="P2963" s="13">
        <v>255</v>
      </c>
      <c r="Q2963" s="13">
        <v>86.11</v>
      </c>
      <c r="R2963" s="1" t="s">
        <v>64</v>
      </c>
      <c r="S2963" s="1">
        <v>4</v>
      </c>
      <c r="T2963" s="1" t="b">
        <v>0</v>
      </c>
      <c r="U2963" s="1" t="s">
        <v>84</v>
      </c>
      <c r="V2963" s="3">
        <v>8</v>
      </c>
    </row>
    <row r="2964" spans="1:22" x14ac:dyDescent="0.3">
      <c r="A2964" s="2" t="s">
        <v>6405</v>
      </c>
      <c r="B2964" s="10">
        <v>44107</v>
      </c>
      <c r="C2964" s="22">
        <v>44107</v>
      </c>
      <c r="D2964" s="1" t="s">
        <v>6406</v>
      </c>
      <c r="E2964" s="1" t="s">
        <v>1211</v>
      </c>
      <c r="F2964" s="1">
        <v>37</v>
      </c>
      <c r="G2964" s="1" t="s">
        <v>68</v>
      </c>
      <c r="H2964" s="1" t="s">
        <v>35</v>
      </c>
      <c r="I2964" s="1" t="s">
        <v>49</v>
      </c>
      <c r="J2964" s="1" t="s">
        <v>27</v>
      </c>
      <c r="K2964" s="1" t="s">
        <v>28</v>
      </c>
      <c r="L2964" s="1">
        <v>1</v>
      </c>
      <c r="M2964" s="13">
        <v>128.76</v>
      </c>
      <c r="N2964" s="15">
        <v>0.28999999999999998</v>
      </c>
      <c r="O2964" s="13">
        <v>74.650000000000006</v>
      </c>
      <c r="P2964" s="13">
        <v>6.89</v>
      </c>
      <c r="Q2964" s="13">
        <v>68.06</v>
      </c>
      <c r="R2964" s="1" t="s">
        <v>51</v>
      </c>
      <c r="S2964" s="1">
        <v>2</v>
      </c>
      <c r="T2964" s="1" t="b">
        <v>0</v>
      </c>
      <c r="U2964" s="1" t="s">
        <v>39</v>
      </c>
      <c r="V2964" s="3">
        <v>1</v>
      </c>
    </row>
    <row r="2965" spans="1:22" x14ac:dyDescent="0.3">
      <c r="A2965" s="2" t="s">
        <v>6407</v>
      </c>
      <c r="B2965" s="10">
        <v>43989</v>
      </c>
      <c r="C2965" s="22">
        <v>43989</v>
      </c>
      <c r="D2965" s="1" t="s">
        <v>6408</v>
      </c>
      <c r="E2965" s="1" t="s">
        <v>552</v>
      </c>
      <c r="F2965" s="1">
        <v>42</v>
      </c>
      <c r="G2965" s="1" t="s">
        <v>34</v>
      </c>
      <c r="H2965" s="1" t="s">
        <v>111</v>
      </c>
      <c r="I2965" s="1" t="s">
        <v>121</v>
      </c>
      <c r="J2965" s="1" t="s">
        <v>37</v>
      </c>
      <c r="K2965" s="1" t="s">
        <v>231</v>
      </c>
      <c r="L2965" s="1">
        <v>1</v>
      </c>
      <c r="M2965" s="13">
        <v>304.89</v>
      </c>
      <c r="N2965" s="15">
        <v>0.26</v>
      </c>
      <c r="O2965" s="13">
        <v>259.14</v>
      </c>
      <c r="P2965" s="13">
        <v>106.14</v>
      </c>
      <c r="Q2965" s="13">
        <v>52.86</v>
      </c>
      <c r="R2965" s="1" t="s">
        <v>51</v>
      </c>
      <c r="S2965" s="1">
        <v>4</v>
      </c>
      <c r="T2965" s="1" t="b">
        <v>0</v>
      </c>
      <c r="U2965" s="1" t="s">
        <v>39</v>
      </c>
      <c r="V2965" s="3">
        <v>6</v>
      </c>
    </row>
    <row r="2966" spans="1:22" x14ac:dyDescent="0.3">
      <c r="A2966" s="2" t="s">
        <v>6409</v>
      </c>
      <c r="B2966" s="10">
        <v>44138</v>
      </c>
      <c r="C2966" s="22">
        <v>44138</v>
      </c>
      <c r="D2966" s="1" t="s">
        <v>6410</v>
      </c>
      <c r="E2966" s="1" t="s">
        <v>200</v>
      </c>
      <c r="F2966" s="1">
        <v>36</v>
      </c>
      <c r="G2966" s="1" t="s">
        <v>34</v>
      </c>
      <c r="H2966" s="1" t="s">
        <v>82</v>
      </c>
      <c r="I2966" s="1" t="s">
        <v>293</v>
      </c>
      <c r="J2966" s="1" t="s">
        <v>37</v>
      </c>
      <c r="K2966" s="1" t="s">
        <v>231</v>
      </c>
      <c r="L2966" s="1">
        <v>10</v>
      </c>
      <c r="M2966" s="13">
        <v>1113.9100000000001</v>
      </c>
      <c r="N2966" s="15">
        <v>0.25</v>
      </c>
      <c r="O2966" s="13">
        <v>5465.25</v>
      </c>
      <c r="P2966" s="13">
        <v>2411.46</v>
      </c>
      <c r="Q2966" s="13">
        <v>46.33</v>
      </c>
      <c r="R2966" s="1" t="s">
        <v>57</v>
      </c>
      <c r="S2966" s="1">
        <v>2</v>
      </c>
      <c r="T2966" s="1" t="b">
        <v>0</v>
      </c>
      <c r="U2966" s="1" t="s">
        <v>39</v>
      </c>
      <c r="V2966" s="3">
        <v>9</v>
      </c>
    </row>
    <row r="2967" spans="1:22" x14ac:dyDescent="0.3">
      <c r="A2967" s="2" t="s">
        <v>6411</v>
      </c>
      <c r="B2967" s="10">
        <v>44186</v>
      </c>
      <c r="C2967" s="22">
        <v>44186</v>
      </c>
      <c r="D2967" s="1" t="s">
        <v>6412</v>
      </c>
      <c r="E2967" s="1" t="s">
        <v>443</v>
      </c>
      <c r="F2967" s="1">
        <v>34</v>
      </c>
      <c r="G2967" s="1" t="s">
        <v>68</v>
      </c>
      <c r="H2967" s="1" t="s">
        <v>25</v>
      </c>
      <c r="I2967" s="1" t="s">
        <v>55</v>
      </c>
      <c r="J2967" s="1" t="s">
        <v>76</v>
      </c>
      <c r="K2967" s="1" t="s">
        <v>89</v>
      </c>
      <c r="L2967" s="1">
        <v>1</v>
      </c>
      <c r="M2967" s="13">
        <v>3294.44</v>
      </c>
      <c r="N2967" s="15">
        <v>0.06</v>
      </c>
      <c r="O2967" s="13">
        <v>2065.81</v>
      </c>
      <c r="P2967" s="13">
        <v>808.26</v>
      </c>
      <c r="Q2967" s="13">
        <v>41.96</v>
      </c>
      <c r="R2967" s="1" t="s">
        <v>51</v>
      </c>
      <c r="S2967" s="1">
        <v>4</v>
      </c>
      <c r="T2967" s="1" t="b">
        <v>0</v>
      </c>
      <c r="U2967" s="1" t="s">
        <v>39</v>
      </c>
      <c r="V2967" s="3">
        <v>9</v>
      </c>
    </row>
    <row r="2968" spans="1:22" x14ac:dyDescent="0.3">
      <c r="A2968" s="2" t="s">
        <v>6413</v>
      </c>
      <c r="B2968" s="10">
        <v>45561</v>
      </c>
      <c r="C2968" s="22">
        <v>45561</v>
      </c>
      <c r="D2968" s="1" t="s">
        <v>6414</v>
      </c>
      <c r="E2968" s="1" t="s">
        <v>690</v>
      </c>
      <c r="F2968" s="1">
        <v>15</v>
      </c>
      <c r="G2968" s="1" t="s">
        <v>34</v>
      </c>
      <c r="H2968" s="1" t="s">
        <v>111</v>
      </c>
      <c r="I2968" s="1" t="s">
        <v>121</v>
      </c>
      <c r="J2968" s="1" t="s">
        <v>62</v>
      </c>
      <c r="K2968" s="1" t="s">
        <v>570</v>
      </c>
      <c r="L2968" s="1">
        <v>3</v>
      </c>
      <c r="M2968" s="13">
        <v>895.77</v>
      </c>
      <c r="N2968" s="15">
        <v>0.21</v>
      </c>
      <c r="O2968" s="13">
        <v>2973.34</v>
      </c>
      <c r="P2968" s="13">
        <v>895.93</v>
      </c>
      <c r="Q2968" s="13">
        <v>71.180000000000007</v>
      </c>
      <c r="R2968" s="1" t="s">
        <v>29</v>
      </c>
      <c r="S2968" s="1">
        <v>4</v>
      </c>
      <c r="T2968" s="1" t="b">
        <v>0</v>
      </c>
      <c r="U2968" s="1" t="s">
        <v>39</v>
      </c>
      <c r="V2968" s="3">
        <v>8</v>
      </c>
    </row>
    <row r="2969" spans="1:22" x14ac:dyDescent="0.3">
      <c r="A2969" s="2" t="s">
        <v>6415</v>
      </c>
      <c r="B2969" s="10">
        <v>45300</v>
      </c>
      <c r="C2969" s="22">
        <v>45300</v>
      </c>
      <c r="D2969" s="1" t="s">
        <v>6416</v>
      </c>
      <c r="E2969" s="1" t="s">
        <v>594</v>
      </c>
      <c r="F2969" s="1">
        <v>15</v>
      </c>
      <c r="G2969" s="1" t="s">
        <v>68</v>
      </c>
      <c r="H2969" s="1" t="s">
        <v>35</v>
      </c>
      <c r="I2969" s="1" t="s">
        <v>106</v>
      </c>
      <c r="J2969" s="1" t="s">
        <v>127</v>
      </c>
      <c r="K2969" s="1" t="s">
        <v>142</v>
      </c>
      <c r="L2969" s="1">
        <v>5</v>
      </c>
      <c r="M2969" s="13">
        <v>26868.19</v>
      </c>
      <c r="N2969" s="15">
        <v>0.1</v>
      </c>
      <c r="O2969" s="13">
        <v>122902.72</v>
      </c>
      <c r="P2969" s="13">
        <v>15109.15</v>
      </c>
      <c r="Q2969" s="13">
        <v>47.85</v>
      </c>
      <c r="R2969" s="1" t="s">
        <v>70</v>
      </c>
      <c r="S2969" s="1">
        <v>2</v>
      </c>
      <c r="T2969" s="1" t="b">
        <v>0</v>
      </c>
      <c r="U2969" s="1" t="s">
        <v>39</v>
      </c>
      <c r="V2969" s="3">
        <v>7</v>
      </c>
    </row>
    <row r="2970" spans="1:22" x14ac:dyDescent="0.3">
      <c r="A2970" s="2" t="s">
        <v>6417</v>
      </c>
      <c r="B2970" s="10">
        <v>44811</v>
      </c>
      <c r="C2970" s="22">
        <v>44811</v>
      </c>
      <c r="D2970" s="1" t="s">
        <v>6418</v>
      </c>
      <c r="E2970" s="1" t="s">
        <v>983</v>
      </c>
      <c r="F2970" s="1">
        <v>47</v>
      </c>
      <c r="G2970" s="1" t="s">
        <v>34</v>
      </c>
      <c r="H2970" s="1" t="s">
        <v>35</v>
      </c>
      <c r="I2970" s="1" t="s">
        <v>43</v>
      </c>
      <c r="J2970" s="1" t="s">
        <v>146</v>
      </c>
      <c r="K2970" s="1" t="s">
        <v>147</v>
      </c>
      <c r="L2970" s="1">
        <v>2</v>
      </c>
      <c r="M2970" s="13">
        <v>14129.5</v>
      </c>
      <c r="N2970" s="15">
        <v>0.01</v>
      </c>
      <c r="O2970" s="13">
        <v>34498.58</v>
      </c>
      <c r="P2970" s="13">
        <v>6979.34</v>
      </c>
      <c r="Q2970" s="13">
        <v>74.75</v>
      </c>
      <c r="R2970" s="1" t="s">
        <v>29</v>
      </c>
      <c r="S2970" s="1">
        <v>3</v>
      </c>
      <c r="T2970" s="1" t="b">
        <v>0</v>
      </c>
      <c r="U2970" s="1" t="s">
        <v>39</v>
      </c>
      <c r="V2970" s="3">
        <v>2</v>
      </c>
    </row>
    <row r="2971" spans="1:22" x14ac:dyDescent="0.3">
      <c r="A2971" s="2" t="s">
        <v>6419</v>
      </c>
      <c r="B2971" s="10">
        <v>44428</v>
      </c>
      <c r="C2971" s="22">
        <v>44428</v>
      </c>
      <c r="D2971" s="1" t="s">
        <v>6420</v>
      </c>
      <c r="E2971" s="1" t="s">
        <v>1541</v>
      </c>
      <c r="F2971" s="1">
        <v>34</v>
      </c>
      <c r="G2971" s="1" t="s">
        <v>68</v>
      </c>
      <c r="H2971" s="1" t="s">
        <v>74</v>
      </c>
      <c r="I2971" s="1" t="s">
        <v>192</v>
      </c>
      <c r="J2971" s="1" t="s">
        <v>62</v>
      </c>
      <c r="K2971" s="1" t="s">
        <v>107</v>
      </c>
      <c r="L2971" s="1">
        <v>3</v>
      </c>
      <c r="M2971" s="13">
        <v>1298.4000000000001</v>
      </c>
      <c r="N2971" s="15">
        <v>0.14000000000000001</v>
      </c>
      <c r="O2971" s="13">
        <v>4095.91</v>
      </c>
      <c r="P2971" s="13">
        <v>1805.58</v>
      </c>
      <c r="Q2971" s="13">
        <v>57.93</v>
      </c>
      <c r="R2971" s="1" t="s">
        <v>78</v>
      </c>
      <c r="S2971" s="1">
        <v>1</v>
      </c>
      <c r="T2971" s="1" t="b">
        <v>0</v>
      </c>
      <c r="U2971" s="1" t="s">
        <v>39</v>
      </c>
      <c r="V2971" s="3">
        <v>3</v>
      </c>
    </row>
    <row r="2972" spans="1:22" x14ac:dyDescent="0.3">
      <c r="A2972" s="2" t="s">
        <v>6421</v>
      </c>
      <c r="B2972" s="10">
        <v>45167</v>
      </c>
      <c r="C2972" s="22">
        <v>45167</v>
      </c>
      <c r="D2972" s="1" t="s">
        <v>6422</v>
      </c>
      <c r="E2972" s="1" t="s">
        <v>189</v>
      </c>
      <c r="F2972" s="1">
        <v>36</v>
      </c>
      <c r="G2972" s="1" t="s">
        <v>34</v>
      </c>
      <c r="H2972" s="1" t="s">
        <v>111</v>
      </c>
      <c r="I2972" s="1" t="s">
        <v>330</v>
      </c>
      <c r="J2972" s="1" t="s">
        <v>37</v>
      </c>
      <c r="K2972" s="1" t="s">
        <v>671</v>
      </c>
      <c r="L2972" s="1">
        <v>6</v>
      </c>
      <c r="M2972" s="13">
        <v>379.51</v>
      </c>
      <c r="N2972" s="15">
        <v>0.02</v>
      </c>
      <c r="O2972" s="13">
        <v>3520.77</v>
      </c>
      <c r="P2972" s="13">
        <v>1945.96</v>
      </c>
      <c r="Q2972" s="13">
        <v>53.34</v>
      </c>
      <c r="R2972" s="1" t="s">
        <v>29</v>
      </c>
      <c r="S2972" s="1">
        <v>3</v>
      </c>
      <c r="T2972" s="1" t="b">
        <v>0</v>
      </c>
      <c r="U2972" s="1" t="s">
        <v>39</v>
      </c>
      <c r="V2972" s="3">
        <v>8</v>
      </c>
    </row>
    <row r="2973" spans="1:22" x14ac:dyDescent="0.3">
      <c r="A2973" s="2" t="s">
        <v>6423</v>
      </c>
      <c r="B2973" s="10">
        <v>44334</v>
      </c>
      <c r="C2973" s="22">
        <v>44334</v>
      </c>
      <c r="D2973" s="1" t="s">
        <v>6424</v>
      </c>
      <c r="E2973" s="1" t="s">
        <v>1983</v>
      </c>
      <c r="F2973" s="1">
        <v>35</v>
      </c>
      <c r="G2973" s="1" t="s">
        <v>24</v>
      </c>
      <c r="H2973" s="1" t="s">
        <v>35</v>
      </c>
      <c r="I2973" s="1" t="s">
        <v>49</v>
      </c>
      <c r="J2973" s="1" t="s">
        <v>27</v>
      </c>
      <c r="K2973" s="1" t="s">
        <v>400</v>
      </c>
      <c r="L2973" s="1">
        <v>6</v>
      </c>
      <c r="M2973" s="13">
        <v>190.35</v>
      </c>
      <c r="N2973" s="15">
        <v>0.38</v>
      </c>
      <c r="O2973" s="13">
        <v>951.07</v>
      </c>
      <c r="P2973" s="13">
        <v>79.430000000000007</v>
      </c>
      <c r="Q2973" s="13">
        <v>70.42</v>
      </c>
      <c r="R2973" s="1" t="s">
        <v>57</v>
      </c>
      <c r="S2973" s="1">
        <v>3</v>
      </c>
      <c r="T2973" s="1" t="b">
        <v>0</v>
      </c>
      <c r="U2973" s="1" t="s">
        <v>39</v>
      </c>
      <c r="V2973" s="3">
        <v>10</v>
      </c>
    </row>
    <row r="2974" spans="1:22" x14ac:dyDescent="0.3">
      <c r="A2974" s="2" t="s">
        <v>6425</v>
      </c>
      <c r="B2974" s="10">
        <v>45514</v>
      </c>
      <c r="C2974" s="22">
        <v>45514</v>
      </c>
      <c r="D2974" s="1" t="s">
        <v>6426</v>
      </c>
      <c r="E2974" s="1" t="s">
        <v>1404</v>
      </c>
      <c r="F2974" s="1">
        <v>34</v>
      </c>
      <c r="G2974" s="1" t="s">
        <v>24</v>
      </c>
      <c r="H2974" s="1" t="s">
        <v>35</v>
      </c>
      <c r="I2974" s="1" t="s">
        <v>43</v>
      </c>
      <c r="J2974" s="1" t="s">
        <v>44</v>
      </c>
      <c r="K2974" s="1" t="s">
        <v>117</v>
      </c>
      <c r="L2974" s="1">
        <v>10</v>
      </c>
      <c r="M2974" s="13">
        <v>2485.94</v>
      </c>
      <c r="N2974" s="15">
        <v>0.21</v>
      </c>
      <c r="O2974" s="13">
        <v>31724.99</v>
      </c>
      <c r="P2974" s="13">
        <v>8743.0499999999993</v>
      </c>
      <c r="Q2974" s="13">
        <v>48.62</v>
      </c>
      <c r="R2974" s="1" t="s">
        <v>78</v>
      </c>
      <c r="S2974" s="1">
        <v>4</v>
      </c>
      <c r="T2974" s="1" t="b">
        <v>0</v>
      </c>
      <c r="U2974" s="1" t="s">
        <v>39</v>
      </c>
      <c r="V2974" s="3">
        <v>10</v>
      </c>
    </row>
    <row r="2975" spans="1:22" x14ac:dyDescent="0.3">
      <c r="A2975" s="2" t="s">
        <v>6427</v>
      </c>
      <c r="B2975" s="10">
        <v>44038</v>
      </c>
      <c r="C2975" s="22">
        <v>44038</v>
      </c>
      <c r="D2975" s="1" t="s">
        <v>6428</v>
      </c>
      <c r="E2975" s="1" t="s">
        <v>2367</v>
      </c>
      <c r="F2975" s="1">
        <v>7</v>
      </c>
      <c r="G2975" s="1" t="s">
        <v>34</v>
      </c>
      <c r="H2975" s="1" t="s">
        <v>82</v>
      </c>
      <c r="I2975" s="1" t="s">
        <v>83</v>
      </c>
      <c r="J2975" s="1" t="s">
        <v>44</v>
      </c>
      <c r="K2975" s="1" t="s">
        <v>186</v>
      </c>
      <c r="L2975" s="1">
        <v>7</v>
      </c>
      <c r="M2975" s="13">
        <v>17299.59</v>
      </c>
      <c r="N2975" s="15">
        <v>0.09</v>
      </c>
      <c r="O2975" s="13">
        <v>138425.43</v>
      </c>
      <c r="P2975" s="13">
        <v>43383.64</v>
      </c>
      <c r="Q2975" s="13">
        <v>92.91</v>
      </c>
      <c r="R2975" s="1" t="s">
        <v>51</v>
      </c>
      <c r="S2975" s="1">
        <v>1</v>
      </c>
      <c r="T2975" s="1" t="b">
        <v>0</v>
      </c>
      <c r="U2975" s="1" t="s">
        <v>39</v>
      </c>
      <c r="V2975" s="3">
        <v>3</v>
      </c>
    </row>
    <row r="2976" spans="1:22" x14ac:dyDescent="0.3">
      <c r="A2976" s="2" t="s">
        <v>6429</v>
      </c>
      <c r="B2976" s="10">
        <v>45002</v>
      </c>
      <c r="C2976" s="22">
        <v>45002</v>
      </c>
      <c r="D2976" s="1" t="s">
        <v>6430</v>
      </c>
      <c r="E2976" s="1" t="s">
        <v>1447</v>
      </c>
      <c r="F2976" s="1">
        <v>29</v>
      </c>
      <c r="G2976" s="1" t="s">
        <v>24</v>
      </c>
      <c r="H2976" s="1" t="s">
        <v>82</v>
      </c>
      <c r="I2976" s="1" t="s">
        <v>293</v>
      </c>
      <c r="J2976" s="1" t="s">
        <v>127</v>
      </c>
      <c r="K2976" s="1" t="s">
        <v>308</v>
      </c>
      <c r="L2976" s="1">
        <v>1</v>
      </c>
      <c r="M2976" s="13">
        <v>11877.16</v>
      </c>
      <c r="N2976" s="15">
        <v>0.37</v>
      </c>
      <c r="O2976" s="13">
        <v>9956.83</v>
      </c>
      <c r="P2976" s="13">
        <v>1549.61</v>
      </c>
      <c r="Q2976" s="13">
        <v>72.81</v>
      </c>
      <c r="R2976" s="1" t="s">
        <v>70</v>
      </c>
      <c r="S2976" s="1">
        <v>4</v>
      </c>
      <c r="T2976" s="1" t="b">
        <v>0</v>
      </c>
      <c r="U2976" s="1" t="s">
        <v>39</v>
      </c>
      <c r="V2976" s="3">
        <v>8</v>
      </c>
    </row>
    <row r="2977" spans="1:22" x14ac:dyDescent="0.3">
      <c r="A2977" s="2" t="s">
        <v>6431</v>
      </c>
      <c r="B2977" s="10">
        <v>45109</v>
      </c>
      <c r="C2977" s="22">
        <v>45109</v>
      </c>
      <c r="D2977" s="1" t="s">
        <v>6432</v>
      </c>
      <c r="E2977" s="1" t="s">
        <v>1050</v>
      </c>
      <c r="F2977" s="1">
        <v>35</v>
      </c>
      <c r="G2977" s="1" t="s">
        <v>434</v>
      </c>
      <c r="H2977" s="1" t="s">
        <v>25</v>
      </c>
      <c r="I2977" s="1" t="s">
        <v>55</v>
      </c>
      <c r="J2977" s="1" t="s">
        <v>27</v>
      </c>
      <c r="K2977" s="1" t="s">
        <v>97</v>
      </c>
      <c r="L2977" s="1">
        <v>3</v>
      </c>
      <c r="M2977" s="13">
        <v>130.57</v>
      </c>
      <c r="N2977" s="15">
        <v>0.23</v>
      </c>
      <c r="O2977" s="13">
        <v>529.29999999999995</v>
      </c>
      <c r="P2977" s="13">
        <v>61.59</v>
      </c>
      <c r="Q2977" s="13">
        <v>41.29</v>
      </c>
      <c r="R2977" s="1" t="s">
        <v>57</v>
      </c>
      <c r="S2977" s="1">
        <v>1</v>
      </c>
      <c r="T2977" s="1" t="b">
        <v>0</v>
      </c>
      <c r="U2977" s="1" t="s">
        <v>84</v>
      </c>
      <c r="V2977" s="3">
        <v>8</v>
      </c>
    </row>
    <row r="2978" spans="1:22" x14ac:dyDescent="0.3">
      <c r="A2978" s="2" t="s">
        <v>6433</v>
      </c>
      <c r="B2978" s="10">
        <v>44714</v>
      </c>
      <c r="C2978" s="22">
        <v>44714</v>
      </c>
      <c r="D2978" s="1" t="s">
        <v>6434</v>
      </c>
      <c r="E2978" s="1" t="s">
        <v>520</v>
      </c>
      <c r="F2978" s="1">
        <v>24</v>
      </c>
      <c r="G2978" s="1" t="s">
        <v>24</v>
      </c>
      <c r="H2978" s="1" t="s">
        <v>25</v>
      </c>
      <c r="I2978" s="1" t="s">
        <v>26</v>
      </c>
      <c r="J2978" s="1" t="s">
        <v>127</v>
      </c>
      <c r="K2978" s="1" t="s">
        <v>308</v>
      </c>
      <c r="L2978" s="1">
        <v>7</v>
      </c>
      <c r="M2978" s="13">
        <v>72204.479999999996</v>
      </c>
      <c r="N2978" s="15">
        <v>0.06</v>
      </c>
      <c r="O2978" s="13">
        <v>746567.96</v>
      </c>
      <c r="P2978" s="13">
        <v>96807.83</v>
      </c>
      <c r="Q2978" s="13">
        <v>51.76</v>
      </c>
      <c r="R2978" s="1" t="s">
        <v>57</v>
      </c>
      <c r="S2978" s="1">
        <v>4</v>
      </c>
      <c r="T2978" s="1" t="b">
        <v>0</v>
      </c>
      <c r="U2978" s="1" t="s">
        <v>39</v>
      </c>
      <c r="V2978" s="3">
        <v>3</v>
      </c>
    </row>
    <row r="2979" spans="1:22" x14ac:dyDescent="0.3">
      <c r="A2979" s="2" t="s">
        <v>6435</v>
      </c>
      <c r="B2979" s="10">
        <v>44463</v>
      </c>
      <c r="C2979" s="22">
        <v>44463</v>
      </c>
      <c r="D2979" s="1" t="s">
        <v>6436</v>
      </c>
      <c r="E2979" s="1" t="s">
        <v>858</v>
      </c>
      <c r="F2979" s="1">
        <v>42</v>
      </c>
      <c r="G2979" s="1" t="s">
        <v>68</v>
      </c>
      <c r="H2979" s="1" t="s">
        <v>82</v>
      </c>
      <c r="I2979" s="1" t="s">
        <v>244</v>
      </c>
      <c r="J2979" s="1" t="s">
        <v>27</v>
      </c>
      <c r="K2979" s="1" t="s">
        <v>28</v>
      </c>
      <c r="L2979" s="1">
        <v>10</v>
      </c>
      <c r="M2979" s="13">
        <v>245.92</v>
      </c>
      <c r="N2979" s="15">
        <v>0.04</v>
      </c>
      <c r="O2979" s="13">
        <v>2502.84</v>
      </c>
      <c r="P2979" s="13">
        <v>183.09</v>
      </c>
      <c r="Q2979" s="13">
        <v>76.22</v>
      </c>
      <c r="R2979" s="1" t="s">
        <v>57</v>
      </c>
      <c r="S2979" s="1">
        <v>5</v>
      </c>
      <c r="T2979" s="1" t="b">
        <v>0</v>
      </c>
      <c r="U2979" s="1" t="s">
        <v>58</v>
      </c>
      <c r="V2979" s="3">
        <v>5</v>
      </c>
    </row>
    <row r="2980" spans="1:22" x14ac:dyDescent="0.3">
      <c r="A2980" s="2" t="s">
        <v>6437</v>
      </c>
      <c r="B2980" s="10">
        <v>44661</v>
      </c>
      <c r="C2980" s="22">
        <v>44661</v>
      </c>
      <c r="D2980" s="1" t="s">
        <v>6438</v>
      </c>
      <c r="E2980" s="1" t="s">
        <v>269</v>
      </c>
      <c r="F2980" s="1">
        <v>56</v>
      </c>
      <c r="G2980" s="1" t="s">
        <v>34</v>
      </c>
      <c r="H2980" s="1" t="s">
        <v>25</v>
      </c>
      <c r="I2980" s="1" t="s">
        <v>69</v>
      </c>
      <c r="J2980" s="1" t="s">
        <v>44</v>
      </c>
      <c r="K2980" s="1" t="s">
        <v>45</v>
      </c>
      <c r="L2980" s="1">
        <v>10</v>
      </c>
      <c r="M2980" s="13">
        <v>34008.99</v>
      </c>
      <c r="N2980" s="15">
        <v>0.11</v>
      </c>
      <c r="O2980" s="13">
        <v>426011.42</v>
      </c>
      <c r="P2980" s="13">
        <v>100494.87</v>
      </c>
      <c r="Q2980" s="13">
        <v>51.53</v>
      </c>
      <c r="R2980" s="1" t="s">
        <v>64</v>
      </c>
      <c r="S2980" s="1">
        <v>1</v>
      </c>
      <c r="T2980" s="1" t="b">
        <v>0</v>
      </c>
      <c r="U2980" s="1" t="s">
        <v>84</v>
      </c>
      <c r="V2980" s="3">
        <v>3</v>
      </c>
    </row>
    <row r="2981" spans="1:22" x14ac:dyDescent="0.3">
      <c r="A2981" s="2" t="s">
        <v>6439</v>
      </c>
      <c r="B2981" s="10">
        <v>45233</v>
      </c>
      <c r="C2981" s="22">
        <v>45233</v>
      </c>
      <c r="D2981" s="1" t="s">
        <v>6440</v>
      </c>
      <c r="E2981" s="1" t="s">
        <v>983</v>
      </c>
      <c r="F2981" s="1">
        <v>46</v>
      </c>
      <c r="G2981" s="1" t="s">
        <v>34</v>
      </c>
      <c r="H2981" s="1" t="s">
        <v>111</v>
      </c>
      <c r="I2981" s="1" t="s">
        <v>141</v>
      </c>
      <c r="J2981" s="1" t="s">
        <v>76</v>
      </c>
      <c r="K2981" s="1" t="s">
        <v>113</v>
      </c>
      <c r="L2981" s="1">
        <v>3</v>
      </c>
      <c r="M2981" s="13">
        <v>2706.45</v>
      </c>
      <c r="N2981" s="15">
        <v>0.39</v>
      </c>
      <c r="O2981" s="13">
        <v>4498.2299999999996</v>
      </c>
      <c r="P2981" s="13">
        <v>1415.33</v>
      </c>
      <c r="Q2981" s="13">
        <v>73.84</v>
      </c>
      <c r="R2981" s="1" t="s">
        <v>51</v>
      </c>
      <c r="S2981" s="1">
        <v>4</v>
      </c>
      <c r="T2981" s="1" t="b">
        <v>1</v>
      </c>
      <c r="U2981" s="1" t="s">
        <v>30</v>
      </c>
      <c r="V2981" s="3">
        <v>8</v>
      </c>
    </row>
    <row r="2982" spans="1:22" x14ac:dyDescent="0.3">
      <c r="A2982" s="2" t="s">
        <v>6441</v>
      </c>
      <c r="B2982" s="10">
        <v>44645</v>
      </c>
      <c r="C2982" s="22">
        <v>44645</v>
      </c>
      <c r="D2982" s="1" t="s">
        <v>6442</v>
      </c>
      <c r="E2982" s="1" t="s">
        <v>1033</v>
      </c>
      <c r="F2982" s="1">
        <v>16</v>
      </c>
      <c r="G2982" s="1" t="s">
        <v>68</v>
      </c>
      <c r="H2982" s="1" t="s">
        <v>35</v>
      </c>
      <c r="I2982" s="1" t="s">
        <v>36</v>
      </c>
      <c r="J2982" s="1" t="s">
        <v>27</v>
      </c>
      <c r="K2982" s="1" t="s">
        <v>56</v>
      </c>
      <c r="L2982" s="1">
        <v>4</v>
      </c>
      <c r="M2982" s="13">
        <v>393.16</v>
      </c>
      <c r="N2982" s="15">
        <v>0.06</v>
      </c>
      <c r="O2982" s="13">
        <v>1961.61</v>
      </c>
      <c r="P2982" s="13">
        <v>197.05</v>
      </c>
      <c r="Q2982" s="13">
        <v>79.099999999999994</v>
      </c>
      <c r="R2982" s="1" t="s">
        <v>78</v>
      </c>
      <c r="S2982" s="1">
        <v>5</v>
      </c>
      <c r="T2982" s="1" t="b">
        <v>0</v>
      </c>
      <c r="U2982" s="1" t="s">
        <v>39</v>
      </c>
      <c r="V2982" s="3">
        <v>4</v>
      </c>
    </row>
    <row r="2983" spans="1:22" x14ac:dyDescent="0.3">
      <c r="A2983" s="2" t="s">
        <v>6443</v>
      </c>
      <c r="B2983" s="10">
        <v>43972</v>
      </c>
      <c r="C2983" s="22">
        <v>43972</v>
      </c>
      <c r="D2983" s="1" t="s">
        <v>6444</v>
      </c>
      <c r="E2983" s="1" t="s">
        <v>131</v>
      </c>
      <c r="F2983" s="1">
        <v>31</v>
      </c>
      <c r="G2983" s="1" t="s">
        <v>34</v>
      </c>
      <c r="H2983" s="1" t="s">
        <v>35</v>
      </c>
      <c r="I2983" s="1" t="s">
        <v>106</v>
      </c>
      <c r="J2983" s="1" t="s">
        <v>62</v>
      </c>
      <c r="K2983" s="1" t="s">
        <v>283</v>
      </c>
      <c r="L2983" s="1">
        <v>1</v>
      </c>
      <c r="M2983" s="13">
        <v>680.85</v>
      </c>
      <c r="N2983" s="15">
        <v>0.12</v>
      </c>
      <c r="O2983" s="13">
        <v>794.6</v>
      </c>
      <c r="P2983" s="13">
        <v>338.98</v>
      </c>
      <c r="Q2983" s="13">
        <v>44.99</v>
      </c>
      <c r="R2983" s="1" t="s">
        <v>29</v>
      </c>
      <c r="S2983" s="1">
        <v>3</v>
      </c>
      <c r="T2983" s="1" t="b">
        <v>0</v>
      </c>
      <c r="U2983" s="1" t="s">
        <v>39</v>
      </c>
      <c r="V2983" s="3">
        <v>2</v>
      </c>
    </row>
    <row r="2984" spans="1:22" x14ac:dyDescent="0.3">
      <c r="A2984" s="2" t="s">
        <v>6445</v>
      </c>
      <c r="B2984" s="10">
        <v>44894</v>
      </c>
      <c r="C2984" s="22">
        <v>44894</v>
      </c>
      <c r="D2984" s="1" t="s">
        <v>6446</v>
      </c>
      <c r="E2984" s="1" t="s">
        <v>1229</v>
      </c>
      <c r="F2984" s="1">
        <v>34</v>
      </c>
      <c r="G2984" s="1" t="s">
        <v>24</v>
      </c>
      <c r="H2984" s="1" t="s">
        <v>82</v>
      </c>
      <c r="I2984" s="1" t="s">
        <v>126</v>
      </c>
      <c r="J2984" s="1" t="s">
        <v>37</v>
      </c>
      <c r="K2984" s="1" t="s">
        <v>38</v>
      </c>
      <c r="L2984" s="1">
        <v>5</v>
      </c>
      <c r="M2984" s="13">
        <v>761.94</v>
      </c>
      <c r="N2984" s="15">
        <v>0.13</v>
      </c>
      <c r="O2984" s="13">
        <v>3027.97</v>
      </c>
      <c r="P2984" s="13">
        <v>1421.12</v>
      </c>
      <c r="Q2984" s="13">
        <v>84.9</v>
      </c>
      <c r="R2984" s="1" t="s">
        <v>29</v>
      </c>
      <c r="S2984" s="1">
        <v>5</v>
      </c>
      <c r="T2984" s="1" t="b">
        <v>0</v>
      </c>
      <c r="U2984" s="1" t="s">
        <v>58</v>
      </c>
      <c r="V2984" s="3">
        <v>2</v>
      </c>
    </row>
    <row r="2985" spans="1:22" x14ac:dyDescent="0.3">
      <c r="A2985" s="2" t="s">
        <v>6447</v>
      </c>
      <c r="B2985" s="10">
        <v>44746</v>
      </c>
      <c r="C2985" s="22">
        <v>44746</v>
      </c>
      <c r="D2985" s="1" t="s">
        <v>6448</v>
      </c>
      <c r="E2985" s="1" t="s">
        <v>1492</v>
      </c>
      <c r="F2985" s="1">
        <v>30</v>
      </c>
      <c r="G2985" s="1" t="s">
        <v>24</v>
      </c>
      <c r="H2985" s="1" t="s">
        <v>25</v>
      </c>
      <c r="I2985" s="1" t="s">
        <v>170</v>
      </c>
      <c r="J2985" s="1" t="s">
        <v>76</v>
      </c>
      <c r="K2985" s="1" t="s">
        <v>77</v>
      </c>
      <c r="L2985" s="1">
        <v>10</v>
      </c>
      <c r="M2985" s="13">
        <v>456.07</v>
      </c>
      <c r="N2985" s="15">
        <v>0.37</v>
      </c>
      <c r="O2985" s="13">
        <v>3899.94</v>
      </c>
      <c r="P2985" s="13">
        <v>1169.33</v>
      </c>
      <c r="Q2985" s="13">
        <v>45</v>
      </c>
      <c r="R2985" s="1" t="s">
        <v>64</v>
      </c>
      <c r="S2985" s="1">
        <v>5</v>
      </c>
      <c r="T2985" s="1" t="b">
        <v>0</v>
      </c>
      <c r="U2985" s="1" t="s">
        <v>39</v>
      </c>
      <c r="V2985" s="3">
        <v>9</v>
      </c>
    </row>
    <row r="2986" spans="1:22" x14ac:dyDescent="0.3">
      <c r="A2986" s="2" t="s">
        <v>6449</v>
      </c>
      <c r="B2986" s="10">
        <v>43929</v>
      </c>
      <c r="C2986" s="22">
        <v>43929</v>
      </c>
      <c r="D2986" s="1" t="s">
        <v>6450</v>
      </c>
      <c r="E2986" s="1" t="s">
        <v>869</v>
      </c>
      <c r="F2986" s="1">
        <v>35</v>
      </c>
      <c r="G2986" s="1" t="s">
        <v>34</v>
      </c>
      <c r="H2986" s="1" t="s">
        <v>25</v>
      </c>
      <c r="I2986" s="1" t="s">
        <v>55</v>
      </c>
      <c r="J2986" s="1" t="s">
        <v>127</v>
      </c>
      <c r="K2986" s="1" t="s">
        <v>517</v>
      </c>
      <c r="L2986" s="1">
        <v>10</v>
      </c>
      <c r="M2986" s="13">
        <v>19136.16</v>
      </c>
      <c r="N2986" s="15">
        <v>0</v>
      </c>
      <c r="O2986" s="13">
        <v>220448.39</v>
      </c>
      <c r="P2986" s="13">
        <v>31074.73</v>
      </c>
      <c r="Q2986" s="13">
        <v>24.88</v>
      </c>
      <c r="R2986" s="1" t="s">
        <v>29</v>
      </c>
      <c r="S2986" s="1">
        <v>3</v>
      </c>
      <c r="T2986" s="1" t="b">
        <v>0</v>
      </c>
      <c r="U2986" s="1" t="s">
        <v>39</v>
      </c>
      <c r="V2986" s="3">
        <v>4</v>
      </c>
    </row>
    <row r="2987" spans="1:22" x14ac:dyDescent="0.3">
      <c r="A2987" s="2" t="s">
        <v>6451</v>
      </c>
      <c r="B2987" s="10">
        <v>44067</v>
      </c>
      <c r="C2987" s="22">
        <v>44067</v>
      </c>
      <c r="D2987" s="1" t="s">
        <v>6452</v>
      </c>
      <c r="E2987" s="1" t="s">
        <v>409</v>
      </c>
      <c r="F2987" s="1">
        <v>48</v>
      </c>
      <c r="G2987" s="1" t="s">
        <v>34</v>
      </c>
      <c r="H2987" s="1" t="s">
        <v>35</v>
      </c>
      <c r="I2987" s="1" t="s">
        <v>36</v>
      </c>
      <c r="J2987" s="1" t="s">
        <v>44</v>
      </c>
      <c r="K2987" s="1" t="s">
        <v>50</v>
      </c>
      <c r="L2987" s="1">
        <v>9</v>
      </c>
      <c r="M2987" s="13">
        <v>17744.349999999999</v>
      </c>
      <c r="N2987" s="15">
        <v>0.28999999999999998</v>
      </c>
      <c r="O2987" s="13">
        <v>136831.28</v>
      </c>
      <c r="P2987" s="13">
        <v>36127.08</v>
      </c>
      <c r="Q2987" s="13">
        <v>59.78</v>
      </c>
      <c r="R2987" s="1" t="s">
        <v>70</v>
      </c>
      <c r="S2987" s="1">
        <v>4</v>
      </c>
      <c r="T2987" s="1" t="b">
        <v>0</v>
      </c>
      <c r="U2987" s="1" t="s">
        <v>39</v>
      </c>
      <c r="V2987" s="3">
        <v>9</v>
      </c>
    </row>
    <row r="2988" spans="1:22" x14ac:dyDescent="0.3">
      <c r="A2988" s="2" t="s">
        <v>6453</v>
      </c>
      <c r="B2988" s="10">
        <v>45063</v>
      </c>
      <c r="C2988" s="22">
        <v>45063</v>
      </c>
      <c r="D2988" s="1" t="s">
        <v>6454</v>
      </c>
      <c r="E2988" s="1" t="s">
        <v>1312</v>
      </c>
      <c r="F2988" s="1">
        <v>33</v>
      </c>
      <c r="G2988" s="1" t="s">
        <v>68</v>
      </c>
      <c r="H2988" s="1" t="s">
        <v>74</v>
      </c>
      <c r="I2988" s="1" t="s">
        <v>75</v>
      </c>
      <c r="J2988" s="1" t="s">
        <v>62</v>
      </c>
      <c r="K2988" s="1" t="s">
        <v>266</v>
      </c>
      <c r="L2988" s="1">
        <v>10</v>
      </c>
      <c r="M2988" s="13">
        <v>424.8</v>
      </c>
      <c r="N2988" s="15">
        <v>0.11</v>
      </c>
      <c r="O2988" s="13">
        <v>4940.07</v>
      </c>
      <c r="P2988" s="13">
        <v>2103.38</v>
      </c>
      <c r="Q2988" s="13">
        <v>31.8</v>
      </c>
      <c r="R2988" s="1" t="s">
        <v>78</v>
      </c>
      <c r="S2988" s="1">
        <v>3</v>
      </c>
      <c r="T2988" s="1" t="b">
        <v>0</v>
      </c>
      <c r="U2988" s="1" t="s">
        <v>39</v>
      </c>
      <c r="V2988" s="3">
        <v>6</v>
      </c>
    </row>
    <row r="2989" spans="1:22" x14ac:dyDescent="0.3">
      <c r="A2989" s="2" t="s">
        <v>6455</v>
      </c>
      <c r="B2989" s="10">
        <v>44106</v>
      </c>
      <c r="C2989" s="22">
        <v>44106</v>
      </c>
      <c r="D2989" s="1" t="s">
        <v>6456</v>
      </c>
      <c r="E2989" s="1" t="s">
        <v>1266</v>
      </c>
      <c r="F2989" s="1">
        <v>40</v>
      </c>
      <c r="G2989" s="1" t="s">
        <v>24</v>
      </c>
      <c r="H2989" s="1" t="s">
        <v>35</v>
      </c>
      <c r="I2989" s="1" t="s">
        <v>43</v>
      </c>
      <c r="J2989" s="1" t="s">
        <v>27</v>
      </c>
      <c r="K2989" s="1" t="s">
        <v>450</v>
      </c>
      <c r="L2989" s="1">
        <v>3</v>
      </c>
      <c r="M2989" s="13">
        <v>219.84</v>
      </c>
      <c r="N2989" s="15">
        <v>0.1</v>
      </c>
      <c r="O2989" s="13">
        <v>463.59</v>
      </c>
      <c r="P2989" s="13">
        <v>43.04</v>
      </c>
      <c r="Q2989" s="13">
        <v>73.42</v>
      </c>
      <c r="R2989" s="1" t="s">
        <v>70</v>
      </c>
      <c r="S2989" s="1">
        <v>3</v>
      </c>
      <c r="T2989" s="1" t="b">
        <v>0</v>
      </c>
      <c r="U2989" s="1" t="s">
        <v>39</v>
      </c>
      <c r="V2989" s="3">
        <v>3</v>
      </c>
    </row>
    <row r="2990" spans="1:22" x14ac:dyDescent="0.3">
      <c r="A2990" s="2" t="s">
        <v>6457</v>
      </c>
      <c r="B2990" s="10">
        <v>44562</v>
      </c>
      <c r="C2990" s="22">
        <v>44562</v>
      </c>
      <c r="D2990" s="1" t="s">
        <v>6458</v>
      </c>
      <c r="E2990" s="1" t="s">
        <v>523</v>
      </c>
      <c r="F2990" s="1">
        <v>41</v>
      </c>
      <c r="G2990" s="1" t="s">
        <v>34</v>
      </c>
      <c r="H2990" s="1" t="s">
        <v>35</v>
      </c>
      <c r="I2990" s="1" t="s">
        <v>49</v>
      </c>
      <c r="J2990" s="1" t="s">
        <v>44</v>
      </c>
      <c r="K2990" s="1" t="s">
        <v>45</v>
      </c>
      <c r="L2990" s="1">
        <v>8</v>
      </c>
      <c r="M2990" s="13">
        <v>9398.82</v>
      </c>
      <c r="N2990" s="15">
        <v>0.31</v>
      </c>
      <c r="O2990" s="13">
        <v>49236.11</v>
      </c>
      <c r="P2990" s="13">
        <v>15030.83</v>
      </c>
      <c r="Q2990" s="13">
        <v>77.650000000000006</v>
      </c>
      <c r="R2990" s="1" t="s">
        <v>70</v>
      </c>
      <c r="S2990" s="1">
        <v>4</v>
      </c>
      <c r="T2990" s="1" t="b">
        <v>0</v>
      </c>
      <c r="U2990" s="1" t="s">
        <v>39</v>
      </c>
      <c r="V2990" s="3">
        <v>9</v>
      </c>
    </row>
    <row r="2991" spans="1:22" x14ac:dyDescent="0.3">
      <c r="A2991" s="2" t="s">
        <v>6459</v>
      </c>
      <c r="B2991" s="10">
        <v>45069</v>
      </c>
      <c r="C2991" s="22">
        <v>45069</v>
      </c>
      <c r="D2991" s="1" t="s">
        <v>6460</v>
      </c>
      <c r="E2991" s="1" t="s">
        <v>676</v>
      </c>
      <c r="F2991" s="1">
        <v>26</v>
      </c>
      <c r="G2991" s="1" t="s">
        <v>24</v>
      </c>
      <c r="H2991" s="1" t="s">
        <v>35</v>
      </c>
      <c r="I2991" s="1" t="s">
        <v>36</v>
      </c>
      <c r="J2991" s="1" t="s">
        <v>62</v>
      </c>
      <c r="K2991" s="1" t="s">
        <v>63</v>
      </c>
      <c r="L2991" s="1">
        <v>5</v>
      </c>
      <c r="M2991" s="13">
        <v>1444.85</v>
      </c>
      <c r="N2991" s="15">
        <v>0.05</v>
      </c>
      <c r="O2991" s="13">
        <v>10528.1</v>
      </c>
      <c r="P2991" s="13">
        <v>3958.13</v>
      </c>
      <c r="Q2991" s="13">
        <v>62.54</v>
      </c>
      <c r="R2991" s="1" t="s">
        <v>78</v>
      </c>
      <c r="S2991" s="1">
        <v>3</v>
      </c>
      <c r="T2991" s="1" t="b">
        <v>0</v>
      </c>
      <c r="U2991" s="1" t="s">
        <v>39</v>
      </c>
      <c r="V2991" s="3">
        <v>7</v>
      </c>
    </row>
    <row r="2992" spans="1:22" x14ac:dyDescent="0.3">
      <c r="A2992" s="2" t="s">
        <v>6461</v>
      </c>
      <c r="B2992" s="10">
        <v>44767</v>
      </c>
      <c r="C2992" s="22">
        <v>44767</v>
      </c>
      <c r="D2992" s="1" t="s">
        <v>6462</v>
      </c>
      <c r="E2992" s="1" t="s">
        <v>555</v>
      </c>
      <c r="F2992" s="1">
        <v>22</v>
      </c>
      <c r="G2992" s="1" t="s">
        <v>24</v>
      </c>
      <c r="H2992" s="1" t="s">
        <v>82</v>
      </c>
      <c r="I2992" s="1" t="s">
        <v>293</v>
      </c>
      <c r="J2992" s="1" t="s">
        <v>76</v>
      </c>
      <c r="K2992" s="1" t="s">
        <v>113</v>
      </c>
      <c r="L2992" s="1">
        <v>7</v>
      </c>
      <c r="M2992" s="13">
        <v>1729.47</v>
      </c>
      <c r="N2992" s="15">
        <v>0.05</v>
      </c>
      <c r="O2992" s="13">
        <v>17045.099999999999</v>
      </c>
      <c r="P2992" s="13">
        <v>6459.75</v>
      </c>
      <c r="Q2992" s="13">
        <v>79.27</v>
      </c>
      <c r="R2992" s="1" t="s">
        <v>64</v>
      </c>
      <c r="S2992" s="1">
        <v>1</v>
      </c>
      <c r="T2992" s="1" t="b">
        <v>1</v>
      </c>
      <c r="U2992" s="1" t="s">
        <v>30</v>
      </c>
      <c r="V2992" s="3">
        <v>8</v>
      </c>
    </row>
    <row r="2993" spans="1:22" x14ac:dyDescent="0.3">
      <c r="A2993" s="2" t="s">
        <v>6463</v>
      </c>
      <c r="B2993" s="10">
        <v>45049</v>
      </c>
      <c r="C2993" s="22">
        <v>45049</v>
      </c>
      <c r="D2993" s="1" t="s">
        <v>6464</v>
      </c>
      <c r="E2993" s="1" t="s">
        <v>2648</v>
      </c>
      <c r="F2993" s="1">
        <v>31</v>
      </c>
      <c r="G2993" s="1" t="s">
        <v>24</v>
      </c>
      <c r="H2993" s="1" t="s">
        <v>111</v>
      </c>
      <c r="I2993" s="1" t="s">
        <v>112</v>
      </c>
      <c r="J2993" s="1" t="s">
        <v>44</v>
      </c>
      <c r="K2993" s="1" t="s">
        <v>117</v>
      </c>
      <c r="L2993" s="1">
        <v>10</v>
      </c>
      <c r="M2993" s="13">
        <v>17371.93</v>
      </c>
      <c r="N2993" s="15">
        <v>0.37</v>
      </c>
      <c r="O2993" s="13">
        <v>172582.04</v>
      </c>
      <c r="P2993" s="13">
        <v>55972.36</v>
      </c>
      <c r="Q2993" s="13">
        <v>71.63</v>
      </c>
      <c r="R2993" s="1" t="s">
        <v>57</v>
      </c>
      <c r="S2993" s="1">
        <v>3</v>
      </c>
      <c r="T2993" s="1" t="b">
        <v>0</v>
      </c>
      <c r="U2993" s="1" t="s">
        <v>39</v>
      </c>
      <c r="V2993" s="3">
        <v>9</v>
      </c>
    </row>
    <row r="2994" spans="1:22" x14ac:dyDescent="0.3">
      <c r="A2994" s="2" t="s">
        <v>6465</v>
      </c>
      <c r="B2994" s="10">
        <v>44316</v>
      </c>
      <c r="C2994" s="22">
        <v>44316</v>
      </c>
      <c r="D2994" s="1" t="s">
        <v>6466</v>
      </c>
      <c r="E2994" s="1" t="s">
        <v>591</v>
      </c>
      <c r="F2994" s="1">
        <v>25</v>
      </c>
      <c r="G2994" s="1" t="s">
        <v>68</v>
      </c>
      <c r="H2994" s="1" t="s">
        <v>111</v>
      </c>
      <c r="I2994" s="1" t="s">
        <v>330</v>
      </c>
      <c r="J2994" s="1" t="s">
        <v>146</v>
      </c>
      <c r="K2994" s="1" t="s">
        <v>276</v>
      </c>
      <c r="L2994" s="1">
        <v>1</v>
      </c>
      <c r="M2994" s="13">
        <v>8254.73</v>
      </c>
      <c r="N2994" s="15">
        <v>7.0000000000000007E-2</v>
      </c>
      <c r="O2994" s="13">
        <v>9628.89</v>
      </c>
      <c r="P2994" s="13">
        <v>1995.91</v>
      </c>
      <c r="Q2994" s="13">
        <v>61.28</v>
      </c>
      <c r="R2994" s="1" t="s">
        <v>29</v>
      </c>
      <c r="S2994" s="1">
        <v>3</v>
      </c>
      <c r="T2994" s="1" t="b">
        <v>0</v>
      </c>
      <c r="U2994" s="1" t="s">
        <v>39</v>
      </c>
      <c r="V2994" s="3">
        <v>1</v>
      </c>
    </row>
    <row r="2995" spans="1:22" x14ac:dyDescent="0.3">
      <c r="A2995" s="2" t="s">
        <v>6467</v>
      </c>
      <c r="B2995" s="10">
        <v>44467</v>
      </c>
      <c r="C2995" s="22">
        <v>44467</v>
      </c>
      <c r="D2995" s="1" t="s">
        <v>6468</v>
      </c>
      <c r="E2995" s="1" t="s">
        <v>869</v>
      </c>
      <c r="F2995" s="1">
        <v>34</v>
      </c>
      <c r="G2995" s="1" t="s">
        <v>24</v>
      </c>
      <c r="H2995" s="1" t="s">
        <v>74</v>
      </c>
      <c r="I2995" s="1" t="s">
        <v>101</v>
      </c>
      <c r="J2995" s="1" t="s">
        <v>76</v>
      </c>
      <c r="K2995" s="1" t="s">
        <v>207</v>
      </c>
      <c r="L2995" s="1">
        <v>3</v>
      </c>
      <c r="M2995" s="13">
        <v>1238.9000000000001</v>
      </c>
      <c r="N2995" s="15">
        <v>0.33</v>
      </c>
      <c r="O2995" s="13">
        <v>2660.56</v>
      </c>
      <c r="P2995" s="13">
        <v>1083.58</v>
      </c>
      <c r="Q2995" s="13">
        <v>73.53</v>
      </c>
      <c r="R2995" s="1" t="s">
        <v>57</v>
      </c>
      <c r="S2995" s="1">
        <v>5</v>
      </c>
      <c r="T2995" s="1" t="b">
        <v>1</v>
      </c>
      <c r="U2995" s="1" t="s">
        <v>30</v>
      </c>
      <c r="V2995" s="3">
        <v>3</v>
      </c>
    </row>
    <row r="2996" spans="1:22" x14ac:dyDescent="0.3">
      <c r="A2996" s="2" t="s">
        <v>6469</v>
      </c>
      <c r="B2996" s="10">
        <v>44557</v>
      </c>
      <c r="C2996" s="22">
        <v>44557</v>
      </c>
      <c r="D2996" s="1" t="s">
        <v>6470</v>
      </c>
      <c r="E2996" s="1" t="s">
        <v>687</v>
      </c>
      <c r="F2996" s="1">
        <v>28</v>
      </c>
      <c r="G2996" s="1" t="s">
        <v>24</v>
      </c>
      <c r="H2996" s="1" t="s">
        <v>74</v>
      </c>
      <c r="I2996" s="1" t="s">
        <v>75</v>
      </c>
      <c r="J2996" s="1" t="s">
        <v>62</v>
      </c>
      <c r="K2996" s="1" t="s">
        <v>283</v>
      </c>
      <c r="L2996" s="1">
        <v>5</v>
      </c>
      <c r="M2996" s="13">
        <v>441.77</v>
      </c>
      <c r="N2996" s="15">
        <v>0.12</v>
      </c>
      <c r="O2996" s="13">
        <v>1538.75</v>
      </c>
      <c r="P2996" s="13">
        <v>611.16</v>
      </c>
      <c r="Q2996" s="13">
        <v>71.69</v>
      </c>
      <c r="R2996" s="1" t="s">
        <v>70</v>
      </c>
      <c r="S2996" s="1">
        <v>4</v>
      </c>
      <c r="T2996" s="1" t="b">
        <v>0</v>
      </c>
      <c r="U2996" s="1" t="s">
        <v>84</v>
      </c>
      <c r="V2996" s="3">
        <v>7</v>
      </c>
    </row>
    <row r="2997" spans="1:22" x14ac:dyDescent="0.3">
      <c r="A2997" s="2" t="s">
        <v>6471</v>
      </c>
      <c r="B2997" s="10">
        <v>45077</v>
      </c>
      <c r="C2997" s="22">
        <v>45077</v>
      </c>
      <c r="D2997" s="1" t="s">
        <v>6472</v>
      </c>
      <c r="E2997" s="1" t="s">
        <v>4150</v>
      </c>
      <c r="F2997" s="1">
        <v>31</v>
      </c>
      <c r="G2997" s="1" t="s">
        <v>24</v>
      </c>
      <c r="H2997" s="1" t="s">
        <v>35</v>
      </c>
      <c r="I2997" s="1" t="s">
        <v>106</v>
      </c>
      <c r="J2997" s="1" t="s">
        <v>127</v>
      </c>
      <c r="K2997" s="1" t="s">
        <v>171</v>
      </c>
      <c r="L2997" s="1">
        <v>2</v>
      </c>
      <c r="M2997" s="13">
        <v>44818.69</v>
      </c>
      <c r="N2997" s="15">
        <v>0.19</v>
      </c>
      <c r="O2997" s="13">
        <v>105441.04</v>
      </c>
      <c r="P2997" s="13">
        <v>12774.35</v>
      </c>
      <c r="Q2997" s="13">
        <v>73.430000000000007</v>
      </c>
      <c r="R2997" s="1" t="s">
        <v>78</v>
      </c>
      <c r="S2997" s="1">
        <v>1</v>
      </c>
      <c r="T2997" s="1" t="b">
        <v>1</v>
      </c>
      <c r="U2997" s="1" t="s">
        <v>30</v>
      </c>
      <c r="V2997" s="3">
        <v>7</v>
      </c>
    </row>
    <row r="2998" spans="1:22" x14ac:dyDescent="0.3">
      <c r="A2998" s="2" t="s">
        <v>6473</v>
      </c>
      <c r="B2998" s="10">
        <v>44494</v>
      </c>
      <c r="C2998" s="22">
        <v>44494</v>
      </c>
      <c r="D2998" s="1" t="s">
        <v>6474</v>
      </c>
      <c r="E2998" s="1" t="s">
        <v>110</v>
      </c>
      <c r="F2998" s="1">
        <v>36</v>
      </c>
      <c r="G2998" s="1" t="s">
        <v>24</v>
      </c>
      <c r="H2998" s="1" t="s">
        <v>111</v>
      </c>
      <c r="I2998" s="1" t="s">
        <v>121</v>
      </c>
      <c r="J2998" s="1" t="s">
        <v>44</v>
      </c>
      <c r="K2998" s="1" t="s">
        <v>50</v>
      </c>
      <c r="L2998" s="1">
        <v>3</v>
      </c>
      <c r="M2998" s="13">
        <v>13116.13</v>
      </c>
      <c r="N2998" s="15">
        <v>0.02</v>
      </c>
      <c r="O2998" s="13">
        <v>39642.97</v>
      </c>
      <c r="P2998" s="13">
        <v>7916.06</v>
      </c>
      <c r="Q2998" s="13">
        <v>67.37</v>
      </c>
      <c r="R2998" s="1" t="s">
        <v>70</v>
      </c>
      <c r="S2998" s="1">
        <v>3</v>
      </c>
      <c r="T2998" s="1" t="b">
        <v>0</v>
      </c>
      <c r="U2998" s="1" t="s">
        <v>39</v>
      </c>
      <c r="V2998" s="3">
        <v>4</v>
      </c>
    </row>
    <row r="2999" spans="1:22" x14ac:dyDescent="0.3">
      <c r="A2999" s="2" t="s">
        <v>6475</v>
      </c>
      <c r="B2999" s="10">
        <v>45641</v>
      </c>
      <c r="C2999" s="22">
        <v>45641</v>
      </c>
      <c r="D2999" s="1" t="s">
        <v>6476</v>
      </c>
      <c r="E2999" s="1" t="s">
        <v>4375</v>
      </c>
      <c r="F2999" s="1">
        <v>18</v>
      </c>
      <c r="G2999" s="1" t="s">
        <v>68</v>
      </c>
      <c r="H2999" s="1" t="s">
        <v>111</v>
      </c>
      <c r="I2999" s="1" t="s">
        <v>121</v>
      </c>
      <c r="J2999" s="1" t="s">
        <v>76</v>
      </c>
      <c r="K2999" s="1" t="s">
        <v>113</v>
      </c>
      <c r="L2999" s="1">
        <v>6</v>
      </c>
      <c r="M2999" s="13">
        <v>841.47</v>
      </c>
      <c r="N2999" s="15">
        <v>0.12</v>
      </c>
      <c r="O2999" s="13">
        <v>4321.42</v>
      </c>
      <c r="P2999" s="13">
        <v>1728.55</v>
      </c>
      <c r="Q2999" s="13">
        <v>70.62</v>
      </c>
      <c r="R2999" s="1" t="s">
        <v>78</v>
      </c>
      <c r="S2999" s="1">
        <v>1</v>
      </c>
      <c r="T2999" s="1" t="b">
        <v>0</v>
      </c>
      <c r="U2999" s="1" t="s">
        <v>39</v>
      </c>
      <c r="V2999" s="3">
        <v>2</v>
      </c>
    </row>
    <row r="3000" spans="1:22" x14ac:dyDescent="0.3">
      <c r="A3000" s="2" t="s">
        <v>6477</v>
      </c>
      <c r="B3000" s="10">
        <v>44276</v>
      </c>
      <c r="C3000" s="22">
        <v>44276</v>
      </c>
      <c r="D3000" s="1" t="s">
        <v>6478</v>
      </c>
      <c r="E3000" s="1" t="s">
        <v>349</v>
      </c>
      <c r="F3000" s="1">
        <v>54</v>
      </c>
      <c r="G3000" s="1" t="s">
        <v>463</v>
      </c>
      <c r="H3000" s="1" t="s">
        <v>111</v>
      </c>
      <c r="I3000" s="1" t="s">
        <v>141</v>
      </c>
      <c r="J3000" s="1" t="s">
        <v>76</v>
      </c>
      <c r="K3000" s="1" t="s">
        <v>207</v>
      </c>
      <c r="L3000" s="1">
        <v>2</v>
      </c>
      <c r="M3000" s="13">
        <v>3618.11</v>
      </c>
      <c r="N3000" s="15">
        <v>7.0000000000000007E-2</v>
      </c>
      <c r="O3000" s="13">
        <v>6573.5</v>
      </c>
      <c r="P3000" s="13">
        <v>2164.13</v>
      </c>
      <c r="Q3000" s="13">
        <v>96.19</v>
      </c>
      <c r="R3000" s="1" t="s">
        <v>70</v>
      </c>
      <c r="S3000" s="1">
        <v>2</v>
      </c>
      <c r="T3000" s="1" t="b">
        <v>0</v>
      </c>
      <c r="U3000" s="1" t="s">
        <v>39</v>
      </c>
      <c r="V3000" s="3">
        <v>8</v>
      </c>
    </row>
    <row r="3001" spans="1:22" x14ac:dyDescent="0.3">
      <c r="A3001" s="2" t="s">
        <v>6479</v>
      </c>
      <c r="B3001" s="10">
        <v>44864</v>
      </c>
      <c r="C3001" s="22">
        <v>44864</v>
      </c>
      <c r="D3001" s="1" t="s">
        <v>6480</v>
      </c>
      <c r="E3001" s="1" t="s">
        <v>1756</v>
      </c>
      <c r="F3001" s="1">
        <v>53</v>
      </c>
      <c r="G3001" s="1" t="s">
        <v>68</v>
      </c>
      <c r="H3001" s="1" t="s">
        <v>82</v>
      </c>
      <c r="I3001" s="1" t="s">
        <v>83</v>
      </c>
      <c r="J3001" s="1" t="s">
        <v>76</v>
      </c>
      <c r="K3001" s="1" t="s">
        <v>89</v>
      </c>
      <c r="L3001" s="1">
        <v>8</v>
      </c>
      <c r="M3001" s="13">
        <v>1016.23</v>
      </c>
      <c r="N3001" s="15">
        <v>0.3</v>
      </c>
      <c r="O3001" s="13">
        <v>5817.06</v>
      </c>
      <c r="P3001" s="13">
        <v>2314.7600000000002</v>
      </c>
      <c r="Q3001" s="13">
        <v>66.7</v>
      </c>
      <c r="R3001" s="1" t="s">
        <v>51</v>
      </c>
      <c r="S3001" s="1">
        <v>2</v>
      </c>
      <c r="T3001" s="1" t="b">
        <v>0</v>
      </c>
      <c r="U3001" s="1" t="s">
        <v>39</v>
      </c>
      <c r="V3001" s="3">
        <v>8</v>
      </c>
    </row>
    <row r="3002" spans="1:22" x14ac:dyDescent="0.3">
      <c r="A3002" s="2" t="s">
        <v>6481</v>
      </c>
      <c r="B3002" s="10">
        <v>44506</v>
      </c>
      <c r="C3002" s="22">
        <v>44506</v>
      </c>
      <c r="D3002" s="1" t="s">
        <v>6482</v>
      </c>
      <c r="E3002" s="1" t="s">
        <v>1243</v>
      </c>
      <c r="F3002" s="1">
        <v>32</v>
      </c>
      <c r="G3002" s="1" t="s">
        <v>24</v>
      </c>
      <c r="H3002" s="1" t="s">
        <v>35</v>
      </c>
      <c r="I3002" s="1" t="s">
        <v>43</v>
      </c>
      <c r="J3002" s="1" t="s">
        <v>44</v>
      </c>
      <c r="K3002" s="1" t="s">
        <v>186</v>
      </c>
      <c r="L3002" s="1">
        <v>3</v>
      </c>
      <c r="M3002" s="13">
        <v>7356.31</v>
      </c>
      <c r="N3002" s="15">
        <v>0.1</v>
      </c>
      <c r="O3002" s="13">
        <v>16395.88</v>
      </c>
      <c r="P3002" s="13">
        <v>5855.42</v>
      </c>
      <c r="Q3002" s="13">
        <v>78.599999999999994</v>
      </c>
      <c r="R3002" s="1" t="s">
        <v>51</v>
      </c>
      <c r="S3002" s="1">
        <v>1</v>
      </c>
      <c r="T3002" s="1" t="b">
        <v>0</v>
      </c>
      <c r="U3002" s="1" t="s">
        <v>39</v>
      </c>
      <c r="V3002" s="3">
        <v>10</v>
      </c>
    </row>
    <row r="3003" spans="1:22" x14ac:dyDescent="0.3">
      <c r="A3003" s="2" t="s">
        <v>6483</v>
      </c>
      <c r="B3003" s="10">
        <v>45385</v>
      </c>
      <c r="C3003" s="22">
        <v>45385</v>
      </c>
      <c r="D3003" s="1" t="s">
        <v>6484</v>
      </c>
      <c r="E3003" s="1" t="s">
        <v>247</v>
      </c>
      <c r="F3003" s="1">
        <v>26</v>
      </c>
      <c r="G3003" s="1" t="s">
        <v>68</v>
      </c>
      <c r="H3003" s="1" t="s">
        <v>82</v>
      </c>
      <c r="I3003" s="1" t="s">
        <v>83</v>
      </c>
      <c r="J3003" s="1" t="s">
        <v>127</v>
      </c>
      <c r="K3003" s="1" t="s">
        <v>196</v>
      </c>
      <c r="L3003" s="1">
        <v>4</v>
      </c>
      <c r="M3003" s="13">
        <v>14036.02</v>
      </c>
      <c r="N3003" s="15">
        <v>0.13</v>
      </c>
      <c r="O3003" s="13">
        <v>75324.350000000006</v>
      </c>
      <c r="P3003" s="13">
        <v>9113.01</v>
      </c>
      <c r="Q3003" s="13">
        <v>97.91</v>
      </c>
      <c r="R3003" s="1" t="s">
        <v>29</v>
      </c>
      <c r="S3003" s="1">
        <v>4</v>
      </c>
      <c r="T3003" s="1" t="b">
        <v>0</v>
      </c>
      <c r="U3003" s="1" t="s">
        <v>39</v>
      </c>
      <c r="V3003" s="3">
        <v>3</v>
      </c>
    </row>
    <row r="3004" spans="1:22" x14ac:dyDescent="0.3">
      <c r="A3004" s="2" t="s">
        <v>6485</v>
      </c>
      <c r="B3004" s="10">
        <v>45075</v>
      </c>
      <c r="C3004" s="22">
        <v>45075</v>
      </c>
      <c r="D3004" s="1" t="s">
        <v>6486</v>
      </c>
      <c r="E3004" s="1" t="s">
        <v>690</v>
      </c>
      <c r="F3004" s="1">
        <v>18</v>
      </c>
      <c r="G3004" s="1" t="s">
        <v>24</v>
      </c>
      <c r="H3004" s="1" t="s">
        <v>74</v>
      </c>
      <c r="I3004" s="1" t="s">
        <v>75</v>
      </c>
      <c r="J3004" s="1" t="s">
        <v>76</v>
      </c>
      <c r="K3004" s="1" t="s">
        <v>207</v>
      </c>
      <c r="L3004" s="1">
        <v>4</v>
      </c>
      <c r="M3004" s="13">
        <v>2095.23</v>
      </c>
      <c r="N3004" s="15">
        <v>0.14000000000000001</v>
      </c>
      <c r="O3004" s="13">
        <v>10189.48</v>
      </c>
      <c r="P3004" s="13">
        <v>2714.35</v>
      </c>
      <c r="Q3004" s="13">
        <v>59.7</v>
      </c>
      <c r="R3004" s="1" t="s">
        <v>70</v>
      </c>
      <c r="S3004" s="1">
        <v>3</v>
      </c>
      <c r="T3004" s="1" t="b">
        <v>1</v>
      </c>
      <c r="U3004" s="1" t="s">
        <v>30</v>
      </c>
      <c r="V3004" s="3">
        <v>7</v>
      </c>
    </row>
    <row r="3005" spans="1:22" x14ac:dyDescent="0.3">
      <c r="A3005" s="2" t="s">
        <v>6487</v>
      </c>
      <c r="B3005" s="10">
        <v>45492</v>
      </c>
      <c r="C3005" s="22">
        <v>45492</v>
      </c>
      <c r="D3005" s="1" t="s">
        <v>6488</v>
      </c>
      <c r="E3005" s="1" t="s">
        <v>537</v>
      </c>
      <c r="F3005" s="1">
        <v>54</v>
      </c>
      <c r="G3005" s="1" t="s">
        <v>68</v>
      </c>
      <c r="H3005" s="1" t="s">
        <v>25</v>
      </c>
      <c r="I3005" s="1" t="s">
        <v>170</v>
      </c>
      <c r="J3005" s="1" t="s">
        <v>62</v>
      </c>
      <c r="K3005" s="1" t="s">
        <v>266</v>
      </c>
      <c r="L3005" s="1">
        <v>2</v>
      </c>
      <c r="M3005" s="13">
        <v>588.66999999999996</v>
      </c>
      <c r="N3005" s="15">
        <v>0.24</v>
      </c>
      <c r="O3005" s="13">
        <v>1452.74</v>
      </c>
      <c r="P3005" s="13">
        <v>631.41</v>
      </c>
      <c r="Q3005" s="13">
        <v>78.55</v>
      </c>
      <c r="R3005" s="1" t="s">
        <v>70</v>
      </c>
      <c r="S3005" s="1">
        <v>2</v>
      </c>
      <c r="T3005" s="1" t="b">
        <v>0</v>
      </c>
      <c r="U3005" s="1" t="s">
        <v>39</v>
      </c>
      <c r="V3005" s="3">
        <v>4</v>
      </c>
    </row>
    <row r="3006" spans="1:22" x14ac:dyDescent="0.3">
      <c r="A3006" s="2" t="s">
        <v>6489</v>
      </c>
      <c r="B3006" s="10">
        <v>43924</v>
      </c>
      <c r="C3006" s="22">
        <v>43924</v>
      </c>
      <c r="D3006" s="1" t="s">
        <v>6490</v>
      </c>
      <c r="E3006" s="1" t="s">
        <v>1681</v>
      </c>
      <c r="F3006" s="1">
        <v>46</v>
      </c>
      <c r="G3006" s="1" t="s">
        <v>68</v>
      </c>
      <c r="H3006" s="1" t="s">
        <v>25</v>
      </c>
      <c r="I3006" s="1" t="s">
        <v>26</v>
      </c>
      <c r="J3006" s="1" t="s">
        <v>44</v>
      </c>
      <c r="K3006" s="1" t="s">
        <v>45</v>
      </c>
      <c r="L3006" s="1">
        <v>10</v>
      </c>
      <c r="M3006" s="13">
        <v>7854.56</v>
      </c>
      <c r="N3006" s="15">
        <v>0.3</v>
      </c>
      <c r="O3006" s="13">
        <v>69661.009999999995</v>
      </c>
      <c r="P3006" s="13">
        <v>15316.65</v>
      </c>
      <c r="Q3006" s="13">
        <v>56.25</v>
      </c>
      <c r="R3006" s="1" t="s">
        <v>51</v>
      </c>
      <c r="S3006" s="1">
        <v>1</v>
      </c>
      <c r="T3006" s="1" t="b">
        <v>0</v>
      </c>
      <c r="U3006" s="1" t="s">
        <v>39</v>
      </c>
      <c r="V3006" s="3">
        <v>3</v>
      </c>
    </row>
    <row r="3007" spans="1:22" x14ac:dyDescent="0.3">
      <c r="A3007" s="2" t="s">
        <v>6491</v>
      </c>
      <c r="B3007" s="10">
        <v>44298</v>
      </c>
      <c r="C3007" s="22">
        <v>44298</v>
      </c>
      <c r="D3007" s="1" t="s">
        <v>6492</v>
      </c>
      <c r="E3007" s="1" t="s">
        <v>1904</v>
      </c>
      <c r="F3007" s="1">
        <v>26</v>
      </c>
      <c r="G3007" s="1" t="s">
        <v>68</v>
      </c>
      <c r="H3007" s="1" t="s">
        <v>25</v>
      </c>
      <c r="I3007" s="1" t="s">
        <v>55</v>
      </c>
      <c r="J3007" s="1" t="s">
        <v>27</v>
      </c>
      <c r="K3007" s="1" t="s">
        <v>28</v>
      </c>
      <c r="L3007" s="1">
        <v>9</v>
      </c>
      <c r="M3007" s="13">
        <v>461.35</v>
      </c>
      <c r="N3007" s="15">
        <v>0.05</v>
      </c>
      <c r="O3007" s="13">
        <v>5570.95</v>
      </c>
      <c r="P3007" s="13">
        <v>481.54</v>
      </c>
      <c r="Q3007" s="13">
        <v>41.05</v>
      </c>
      <c r="R3007" s="1" t="s">
        <v>64</v>
      </c>
      <c r="S3007" s="1">
        <v>4</v>
      </c>
      <c r="T3007" s="1" t="b">
        <v>0</v>
      </c>
      <c r="U3007" s="1" t="s">
        <v>137</v>
      </c>
      <c r="V3007" s="3">
        <v>8</v>
      </c>
    </row>
    <row r="3008" spans="1:22" x14ac:dyDescent="0.3">
      <c r="A3008" s="2" t="s">
        <v>6493</v>
      </c>
      <c r="B3008" s="10">
        <v>44196</v>
      </c>
      <c r="C3008" s="22">
        <v>44196</v>
      </c>
      <c r="D3008" s="1" t="s">
        <v>6494</v>
      </c>
      <c r="E3008" s="1" t="s">
        <v>1142</v>
      </c>
      <c r="F3008" s="1">
        <v>46</v>
      </c>
      <c r="G3008" s="1" t="s">
        <v>34</v>
      </c>
      <c r="H3008" s="1" t="s">
        <v>111</v>
      </c>
      <c r="I3008" s="1" t="s">
        <v>141</v>
      </c>
      <c r="J3008" s="1" t="s">
        <v>44</v>
      </c>
      <c r="K3008" s="1" t="s">
        <v>50</v>
      </c>
      <c r="L3008" s="1">
        <v>6</v>
      </c>
      <c r="M3008" s="13">
        <v>25745.87</v>
      </c>
      <c r="N3008" s="15">
        <v>0.38</v>
      </c>
      <c r="O3008" s="13">
        <v>68168.41</v>
      </c>
      <c r="P3008" s="13">
        <v>19997.5</v>
      </c>
      <c r="Q3008" s="13">
        <v>90.91</v>
      </c>
      <c r="R3008" s="1" t="s">
        <v>57</v>
      </c>
      <c r="S3008" s="1">
        <v>2</v>
      </c>
      <c r="T3008" s="1" t="b">
        <v>0</v>
      </c>
      <c r="U3008" s="1" t="s">
        <v>39</v>
      </c>
      <c r="V3008" s="3">
        <v>3</v>
      </c>
    </row>
    <row r="3009" spans="1:22" x14ac:dyDescent="0.3">
      <c r="A3009" s="2" t="s">
        <v>6495</v>
      </c>
      <c r="B3009" s="10">
        <v>44773</v>
      </c>
      <c r="C3009" s="22">
        <v>44773</v>
      </c>
      <c r="D3009" s="1" t="s">
        <v>6496</v>
      </c>
      <c r="E3009" s="1" t="s">
        <v>908</v>
      </c>
      <c r="F3009" s="1">
        <v>37</v>
      </c>
      <c r="G3009" s="1" t="s">
        <v>34</v>
      </c>
      <c r="H3009" s="1" t="s">
        <v>82</v>
      </c>
      <c r="I3009" s="1" t="s">
        <v>126</v>
      </c>
      <c r="J3009" s="1" t="s">
        <v>27</v>
      </c>
      <c r="K3009" s="1" t="s">
        <v>400</v>
      </c>
      <c r="L3009" s="1">
        <v>5</v>
      </c>
      <c r="M3009" s="13">
        <v>421.63</v>
      </c>
      <c r="N3009" s="15">
        <v>0.36</v>
      </c>
      <c r="O3009" s="13">
        <v>1981.36</v>
      </c>
      <c r="P3009" s="13">
        <v>174.59</v>
      </c>
      <c r="Q3009" s="13">
        <v>64.86</v>
      </c>
      <c r="R3009" s="1" t="s">
        <v>78</v>
      </c>
      <c r="S3009" s="1">
        <v>5</v>
      </c>
      <c r="T3009" s="1" t="b">
        <v>0</v>
      </c>
      <c r="U3009" s="1" t="s">
        <v>39</v>
      </c>
      <c r="V3009" s="3">
        <v>1</v>
      </c>
    </row>
    <row r="3010" spans="1:22" x14ac:dyDescent="0.3">
      <c r="A3010" s="2" t="s">
        <v>6497</v>
      </c>
      <c r="B3010" s="10">
        <v>44514</v>
      </c>
      <c r="C3010" s="22">
        <v>44514</v>
      </c>
      <c r="D3010" s="1" t="s">
        <v>6498</v>
      </c>
      <c r="E3010" s="1" t="s">
        <v>611</v>
      </c>
      <c r="F3010" s="1">
        <v>22</v>
      </c>
      <c r="G3010" s="1" t="s">
        <v>68</v>
      </c>
      <c r="H3010" s="1" t="s">
        <v>111</v>
      </c>
      <c r="I3010" s="1" t="s">
        <v>121</v>
      </c>
      <c r="J3010" s="1" t="s">
        <v>27</v>
      </c>
      <c r="K3010" s="1" t="s">
        <v>97</v>
      </c>
      <c r="L3010" s="1">
        <v>10</v>
      </c>
      <c r="M3010" s="13">
        <v>90.13</v>
      </c>
      <c r="N3010" s="15">
        <v>0.25</v>
      </c>
      <c r="O3010" s="13">
        <v>507.06</v>
      </c>
      <c r="P3010" s="13">
        <v>51.46</v>
      </c>
      <c r="Q3010" s="13">
        <v>80.91</v>
      </c>
      <c r="R3010" s="1" t="s">
        <v>70</v>
      </c>
      <c r="S3010" s="1">
        <v>5</v>
      </c>
      <c r="T3010" s="1" t="b">
        <v>0</v>
      </c>
      <c r="U3010" s="1" t="s">
        <v>39</v>
      </c>
      <c r="V3010" s="3">
        <v>10</v>
      </c>
    </row>
    <row r="3011" spans="1:22" x14ac:dyDescent="0.3">
      <c r="A3011" s="2" t="s">
        <v>6499</v>
      </c>
      <c r="B3011" s="10">
        <v>44080</v>
      </c>
      <c r="C3011" s="22">
        <v>44080</v>
      </c>
      <c r="D3011" s="1" t="s">
        <v>6500</v>
      </c>
      <c r="E3011" s="1" t="s">
        <v>3077</v>
      </c>
      <c r="F3011" s="1">
        <v>19</v>
      </c>
      <c r="G3011" s="1" t="s">
        <v>24</v>
      </c>
      <c r="H3011" s="1" t="s">
        <v>82</v>
      </c>
      <c r="I3011" s="1" t="s">
        <v>293</v>
      </c>
      <c r="J3011" s="1" t="s">
        <v>44</v>
      </c>
      <c r="K3011" s="1" t="s">
        <v>186</v>
      </c>
      <c r="L3011" s="1">
        <v>5</v>
      </c>
      <c r="M3011" s="13">
        <v>26946.78</v>
      </c>
      <c r="N3011" s="15">
        <v>0.1</v>
      </c>
      <c r="O3011" s="13">
        <v>111598.98</v>
      </c>
      <c r="P3011" s="13">
        <v>37815.29</v>
      </c>
      <c r="Q3011" s="13">
        <v>80.010000000000005</v>
      </c>
      <c r="R3011" s="1" t="s">
        <v>78</v>
      </c>
      <c r="S3011" s="1">
        <v>3</v>
      </c>
      <c r="T3011" s="1" t="b">
        <v>0</v>
      </c>
      <c r="U3011" s="1" t="s">
        <v>84</v>
      </c>
      <c r="V3011" s="3">
        <v>6</v>
      </c>
    </row>
    <row r="3012" spans="1:22" x14ac:dyDescent="0.3">
      <c r="A3012" s="2" t="s">
        <v>6501</v>
      </c>
      <c r="B3012" s="10">
        <v>44560</v>
      </c>
      <c r="C3012" s="22">
        <v>44560</v>
      </c>
      <c r="D3012" s="1" t="s">
        <v>6502</v>
      </c>
      <c r="E3012" s="1" t="s">
        <v>2053</v>
      </c>
      <c r="F3012" s="1">
        <v>41</v>
      </c>
      <c r="G3012" s="1" t="s">
        <v>34</v>
      </c>
      <c r="H3012" s="1" t="s">
        <v>111</v>
      </c>
      <c r="I3012" s="1" t="s">
        <v>141</v>
      </c>
      <c r="J3012" s="1" t="s">
        <v>127</v>
      </c>
      <c r="K3012" s="1" t="s">
        <v>196</v>
      </c>
      <c r="L3012" s="1">
        <v>9</v>
      </c>
      <c r="M3012" s="13">
        <v>41722.410000000003</v>
      </c>
      <c r="N3012" s="15">
        <v>0.2</v>
      </c>
      <c r="O3012" s="13">
        <v>220158.56</v>
      </c>
      <c r="P3012" s="13">
        <v>25206.080000000002</v>
      </c>
      <c r="Q3012" s="13">
        <v>62.46</v>
      </c>
      <c r="R3012" s="1" t="s">
        <v>78</v>
      </c>
      <c r="S3012" s="1">
        <v>2</v>
      </c>
      <c r="T3012" s="1" t="b">
        <v>0</v>
      </c>
      <c r="U3012" s="1" t="s">
        <v>39</v>
      </c>
      <c r="V3012" s="3">
        <v>7</v>
      </c>
    </row>
    <row r="3013" spans="1:22" x14ac:dyDescent="0.3">
      <c r="A3013" s="2" t="s">
        <v>6503</v>
      </c>
      <c r="B3013" s="10">
        <v>45139</v>
      </c>
      <c r="C3013" s="22">
        <v>45139</v>
      </c>
      <c r="D3013" s="1" t="s">
        <v>6504</v>
      </c>
      <c r="E3013" s="1" t="s">
        <v>3402</v>
      </c>
      <c r="F3013" s="1">
        <v>9</v>
      </c>
      <c r="G3013" s="1" t="s">
        <v>24</v>
      </c>
      <c r="H3013" s="1" t="s">
        <v>74</v>
      </c>
      <c r="I3013" s="1" t="s">
        <v>192</v>
      </c>
      <c r="J3013" s="1" t="s">
        <v>76</v>
      </c>
      <c r="K3013" s="1" t="s">
        <v>77</v>
      </c>
      <c r="L3013" s="1">
        <v>3</v>
      </c>
      <c r="M3013" s="13">
        <v>3517.55</v>
      </c>
      <c r="N3013" s="15">
        <v>0.39</v>
      </c>
      <c r="O3013" s="13">
        <v>8958.7000000000007</v>
      </c>
      <c r="P3013" s="13">
        <v>4213.2</v>
      </c>
      <c r="Q3013" s="13">
        <v>33.93</v>
      </c>
      <c r="R3013" s="1" t="s">
        <v>64</v>
      </c>
      <c r="S3013" s="1">
        <v>3</v>
      </c>
      <c r="T3013" s="1" t="b">
        <v>0</v>
      </c>
      <c r="U3013" s="1" t="s">
        <v>39</v>
      </c>
      <c r="V3013" s="3">
        <v>1</v>
      </c>
    </row>
    <row r="3014" spans="1:22" x14ac:dyDescent="0.3">
      <c r="A3014" s="2" t="s">
        <v>6505</v>
      </c>
      <c r="B3014" s="10">
        <v>44730</v>
      </c>
      <c r="C3014" s="22">
        <v>44730</v>
      </c>
      <c r="D3014" s="1" t="s">
        <v>6506</v>
      </c>
      <c r="E3014" s="1" t="s">
        <v>440</v>
      </c>
      <c r="F3014" s="1">
        <v>25</v>
      </c>
      <c r="G3014" s="1" t="s">
        <v>68</v>
      </c>
      <c r="H3014" s="1" t="s">
        <v>111</v>
      </c>
      <c r="I3014" s="1" t="s">
        <v>121</v>
      </c>
      <c r="J3014" s="1" t="s">
        <v>27</v>
      </c>
      <c r="K3014" s="1" t="s">
        <v>450</v>
      </c>
      <c r="L3014" s="1">
        <v>7</v>
      </c>
      <c r="M3014" s="13">
        <v>70.02</v>
      </c>
      <c r="N3014" s="15">
        <v>0.28999999999999998</v>
      </c>
      <c r="O3014" s="13">
        <v>494.91</v>
      </c>
      <c r="P3014" s="13">
        <v>44.9</v>
      </c>
      <c r="Q3014" s="13">
        <v>75.319999999999993</v>
      </c>
      <c r="R3014" s="1" t="s">
        <v>78</v>
      </c>
      <c r="S3014" s="1">
        <v>2</v>
      </c>
      <c r="T3014" s="1" t="b">
        <v>0</v>
      </c>
      <c r="U3014" s="1" t="s">
        <v>58</v>
      </c>
      <c r="V3014" s="3">
        <v>5</v>
      </c>
    </row>
    <row r="3015" spans="1:22" x14ac:dyDescent="0.3">
      <c r="A3015" s="2" t="s">
        <v>6507</v>
      </c>
      <c r="B3015" s="10">
        <v>44530</v>
      </c>
      <c r="C3015" s="22">
        <v>44530</v>
      </c>
      <c r="D3015" s="1" t="s">
        <v>6508</v>
      </c>
      <c r="E3015" s="1" t="s">
        <v>1459</v>
      </c>
      <c r="F3015" s="1">
        <v>34</v>
      </c>
      <c r="G3015" s="1" t="s">
        <v>34</v>
      </c>
      <c r="H3015" s="1" t="s">
        <v>82</v>
      </c>
      <c r="I3015" s="1" t="s">
        <v>244</v>
      </c>
      <c r="J3015" s="1" t="s">
        <v>27</v>
      </c>
      <c r="K3015" s="1" t="s">
        <v>97</v>
      </c>
      <c r="L3015" s="1">
        <v>4</v>
      </c>
      <c r="M3015" s="13">
        <v>455.14</v>
      </c>
      <c r="N3015" s="15">
        <v>0.1</v>
      </c>
      <c r="O3015" s="13">
        <v>1283.42</v>
      </c>
      <c r="P3015" s="13">
        <v>107.49</v>
      </c>
      <c r="Q3015" s="13">
        <v>90.27</v>
      </c>
      <c r="R3015" s="1" t="s">
        <v>51</v>
      </c>
      <c r="S3015" s="1">
        <v>4</v>
      </c>
      <c r="T3015" s="1" t="b">
        <v>1</v>
      </c>
      <c r="U3015" s="1" t="s">
        <v>30</v>
      </c>
      <c r="V3015" s="3">
        <v>10</v>
      </c>
    </row>
    <row r="3016" spans="1:22" x14ac:dyDescent="0.3">
      <c r="A3016" s="2" t="s">
        <v>6509</v>
      </c>
      <c r="B3016" s="10">
        <v>44148</v>
      </c>
      <c r="C3016" s="22">
        <v>44148</v>
      </c>
      <c r="D3016" s="1" t="s">
        <v>6510</v>
      </c>
      <c r="E3016" s="1" t="s">
        <v>164</v>
      </c>
      <c r="F3016" s="1">
        <v>36</v>
      </c>
      <c r="G3016" s="1" t="s">
        <v>24</v>
      </c>
      <c r="H3016" s="1" t="s">
        <v>74</v>
      </c>
      <c r="I3016" s="1" t="s">
        <v>136</v>
      </c>
      <c r="J3016" s="1" t="s">
        <v>146</v>
      </c>
      <c r="K3016" s="1" t="s">
        <v>276</v>
      </c>
      <c r="L3016" s="1">
        <v>8</v>
      </c>
      <c r="M3016" s="13">
        <v>11002.8</v>
      </c>
      <c r="N3016" s="15">
        <v>0.15</v>
      </c>
      <c r="O3016" s="13">
        <v>60370.7</v>
      </c>
      <c r="P3016" s="13">
        <v>8455.94</v>
      </c>
      <c r="Q3016" s="13">
        <v>27.96</v>
      </c>
      <c r="R3016" s="1" t="s">
        <v>70</v>
      </c>
      <c r="S3016" s="1">
        <v>5</v>
      </c>
      <c r="T3016" s="1" t="b">
        <v>0</v>
      </c>
      <c r="U3016" s="1" t="s">
        <v>39</v>
      </c>
      <c r="V3016" s="3">
        <v>9</v>
      </c>
    </row>
    <row r="3017" spans="1:22" x14ac:dyDescent="0.3">
      <c r="A3017" s="2" t="s">
        <v>6511</v>
      </c>
      <c r="B3017" s="10">
        <v>45234</v>
      </c>
      <c r="C3017" s="22">
        <v>45234</v>
      </c>
      <c r="D3017" s="1" t="s">
        <v>6512</v>
      </c>
      <c r="E3017" s="1" t="s">
        <v>1263</v>
      </c>
      <c r="F3017" s="1">
        <v>71</v>
      </c>
      <c r="G3017" s="1" t="s">
        <v>68</v>
      </c>
      <c r="H3017" s="1" t="s">
        <v>74</v>
      </c>
      <c r="I3017" s="1" t="s">
        <v>101</v>
      </c>
      <c r="J3017" s="1" t="s">
        <v>76</v>
      </c>
      <c r="K3017" s="1" t="s">
        <v>132</v>
      </c>
      <c r="L3017" s="1">
        <v>5</v>
      </c>
      <c r="M3017" s="13">
        <v>1581.85</v>
      </c>
      <c r="N3017" s="15">
        <v>0.31</v>
      </c>
      <c r="O3017" s="13">
        <v>5298.79</v>
      </c>
      <c r="P3017" s="13">
        <v>1912.12</v>
      </c>
      <c r="Q3017" s="13">
        <v>37.369999999999997</v>
      </c>
      <c r="R3017" s="1" t="s">
        <v>64</v>
      </c>
      <c r="S3017" s="1">
        <v>3</v>
      </c>
      <c r="T3017" s="1" t="b">
        <v>0</v>
      </c>
      <c r="U3017" s="1" t="s">
        <v>39</v>
      </c>
      <c r="V3017" s="3">
        <v>3</v>
      </c>
    </row>
    <row r="3018" spans="1:22" x14ac:dyDescent="0.3">
      <c r="A3018" s="2" t="s">
        <v>6513</v>
      </c>
      <c r="B3018" s="10">
        <v>44702</v>
      </c>
      <c r="C3018" s="22">
        <v>44702</v>
      </c>
      <c r="D3018" s="1" t="s">
        <v>6514</v>
      </c>
      <c r="E3018" s="1" t="s">
        <v>324</v>
      </c>
      <c r="F3018" s="1">
        <v>28</v>
      </c>
      <c r="G3018" s="1" t="s">
        <v>34</v>
      </c>
      <c r="H3018" s="1" t="s">
        <v>74</v>
      </c>
      <c r="I3018" s="1" t="s">
        <v>136</v>
      </c>
      <c r="J3018" s="1" t="s">
        <v>44</v>
      </c>
      <c r="K3018" s="1" t="s">
        <v>221</v>
      </c>
      <c r="L3018" s="1">
        <v>9</v>
      </c>
      <c r="M3018" s="13">
        <v>25541.61</v>
      </c>
      <c r="N3018" s="15">
        <v>0.2</v>
      </c>
      <c r="O3018" s="13">
        <v>282283.64</v>
      </c>
      <c r="P3018" s="13">
        <v>106013.67</v>
      </c>
      <c r="Q3018" s="13">
        <v>68.959999999999994</v>
      </c>
      <c r="R3018" s="1" t="s">
        <v>64</v>
      </c>
      <c r="S3018" s="1">
        <v>3</v>
      </c>
      <c r="T3018" s="1" t="b">
        <v>0</v>
      </c>
      <c r="U3018" s="1" t="s">
        <v>39</v>
      </c>
      <c r="V3018" s="3">
        <v>4</v>
      </c>
    </row>
    <row r="3019" spans="1:22" x14ac:dyDescent="0.3">
      <c r="A3019" s="2" t="s">
        <v>6515</v>
      </c>
      <c r="B3019" s="10">
        <v>45509</v>
      </c>
      <c r="C3019" s="22">
        <v>45509</v>
      </c>
      <c r="D3019" s="1" t="s">
        <v>6516</v>
      </c>
      <c r="E3019" s="1" t="s">
        <v>4531</v>
      </c>
      <c r="F3019" s="1">
        <v>24</v>
      </c>
      <c r="G3019" s="1" t="s">
        <v>68</v>
      </c>
      <c r="H3019" s="1" t="s">
        <v>25</v>
      </c>
      <c r="I3019" s="1" t="s">
        <v>26</v>
      </c>
      <c r="J3019" s="1" t="s">
        <v>146</v>
      </c>
      <c r="K3019" s="1" t="s">
        <v>217</v>
      </c>
      <c r="L3019" s="1">
        <v>1</v>
      </c>
      <c r="M3019" s="13">
        <v>3037.55</v>
      </c>
      <c r="N3019" s="15">
        <v>0.19</v>
      </c>
      <c r="O3019" s="13">
        <v>3582.58</v>
      </c>
      <c r="P3019" s="13">
        <v>700.96</v>
      </c>
      <c r="Q3019" s="13">
        <v>40.82</v>
      </c>
      <c r="R3019" s="1" t="s">
        <v>70</v>
      </c>
      <c r="S3019" s="1">
        <v>4</v>
      </c>
      <c r="T3019" s="1" t="b">
        <v>0</v>
      </c>
      <c r="U3019" s="1" t="s">
        <v>39</v>
      </c>
      <c r="V3019" s="3">
        <v>3</v>
      </c>
    </row>
    <row r="3020" spans="1:22" x14ac:dyDescent="0.3">
      <c r="A3020" s="2" t="s">
        <v>6517</v>
      </c>
      <c r="B3020" s="10">
        <v>43934</v>
      </c>
      <c r="C3020" s="22">
        <v>43934</v>
      </c>
      <c r="D3020" s="1" t="s">
        <v>6518</v>
      </c>
      <c r="E3020" s="1" t="s">
        <v>1489</v>
      </c>
      <c r="F3020" s="1">
        <v>17</v>
      </c>
      <c r="G3020" s="1" t="s">
        <v>34</v>
      </c>
      <c r="H3020" s="1" t="s">
        <v>25</v>
      </c>
      <c r="I3020" s="1" t="s">
        <v>55</v>
      </c>
      <c r="J3020" s="1" t="s">
        <v>76</v>
      </c>
      <c r="K3020" s="1" t="s">
        <v>113</v>
      </c>
      <c r="L3020" s="1">
        <v>10</v>
      </c>
      <c r="M3020" s="13">
        <v>2140.31</v>
      </c>
      <c r="N3020" s="15">
        <v>0.03</v>
      </c>
      <c r="O3020" s="13">
        <v>22941.18</v>
      </c>
      <c r="P3020" s="13">
        <v>8449.7199999999993</v>
      </c>
      <c r="Q3020" s="13">
        <v>73.349999999999994</v>
      </c>
      <c r="R3020" s="1" t="s">
        <v>57</v>
      </c>
      <c r="S3020" s="1">
        <v>4</v>
      </c>
      <c r="T3020" s="1" t="b">
        <v>0</v>
      </c>
      <c r="U3020" s="1" t="s">
        <v>39</v>
      </c>
      <c r="V3020" s="3">
        <v>3</v>
      </c>
    </row>
    <row r="3021" spans="1:22" x14ac:dyDescent="0.3">
      <c r="A3021" s="2" t="s">
        <v>6519</v>
      </c>
      <c r="B3021" s="10">
        <v>44517</v>
      </c>
      <c r="C3021" s="22">
        <v>44517</v>
      </c>
      <c r="D3021" s="1" t="s">
        <v>3981</v>
      </c>
      <c r="E3021" s="1" t="s">
        <v>487</v>
      </c>
      <c r="F3021" s="1">
        <v>23</v>
      </c>
      <c r="G3021" s="1" t="s">
        <v>24</v>
      </c>
      <c r="H3021" s="1" t="s">
        <v>74</v>
      </c>
      <c r="I3021" s="1" t="s">
        <v>192</v>
      </c>
      <c r="J3021" s="1" t="s">
        <v>44</v>
      </c>
      <c r="K3021" s="1" t="s">
        <v>186</v>
      </c>
      <c r="L3021" s="1">
        <v>3</v>
      </c>
      <c r="M3021" s="13">
        <v>6001.72</v>
      </c>
      <c r="N3021" s="15">
        <v>0.23</v>
      </c>
      <c r="O3021" s="13">
        <v>11226.94</v>
      </c>
      <c r="P3021" s="13">
        <v>2265.7399999999998</v>
      </c>
      <c r="Q3021" s="13">
        <v>13.26</v>
      </c>
      <c r="R3021" s="1" t="s">
        <v>29</v>
      </c>
      <c r="S3021" s="1">
        <v>3</v>
      </c>
      <c r="T3021" s="1" t="b">
        <v>1</v>
      </c>
      <c r="U3021" s="1" t="s">
        <v>30</v>
      </c>
      <c r="V3021" s="3">
        <v>3</v>
      </c>
    </row>
    <row r="3022" spans="1:22" x14ac:dyDescent="0.3">
      <c r="A3022" s="2" t="s">
        <v>6520</v>
      </c>
      <c r="B3022" s="10">
        <v>44594</v>
      </c>
      <c r="C3022" s="22">
        <v>44594</v>
      </c>
      <c r="D3022" s="1" t="s">
        <v>6521</v>
      </c>
      <c r="E3022" s="1" t="s">
        <v>583</v>
      </c>
      <c r="F3022" s="1">
        <v>48</v>
      </c>
      <c r="G3022" s="1" t="s">
        <v>34</v>
      </c>
      <c r="H3022" s="1" t="s">
        <v>25</v>
      </c>
      <c r="I3022" s="1" t="s">
        <v>26</v>
      </c>
      <c r="J3022" s="1" t="s">
        <v>62</v>
      </c>
      <c r="K3022" s="1" t="s">
        <v>266</v>
      </c>
      <c r="L3022" s="1">
        <v>2</v>
      </c>
      <c r="M3022" s="13">
        <v>1014.61</v>
      </c>
      <c r="N3022" s="15">
        <v>0.03</v>
      </c>
      <c r="O3022" s="13">
        <v>1625.5</v>
      </c>
      <c r="P3022" s="13">
        <v>685.16</v>
      </c>
      <c r="Q3022" s="13">
        <v>49.94</v>
      </c>
      <c r="R3022" s="1" t="s">
        <v>78</v>
      </c>
      <c r="S3022" s="1">
        <v>5</v>
      </c>
      <c r="T3022" s="1" t="b">
        <v>0</v>
      </c>
      <c r="U3022" s="1" t="s">
        <v>39</v>
      </c>
      <c r="V3022" s="3">
        <v>7</v>
      </c>
    </row>
    <row r="3023" spans="1:22" x14ac:dyDescent="0.3">
      <c r="A3023" s="2" t="s">
        <v>6522</v>
      </c>
      <c r="B3023" s="10">
        <v>45474</v>
      </c>
      <c r="C3023" s="22">
        <v>45474</v>
      </c>
      <c r="D3023" s="1" t="s">
        <v>6523</v>
      </c>
      <c r="E3023" s="1" t="s">
        <v>4531</v>
      </c>
      <c r="F3023" s="1">
        <v>20</v>
      </c>
      <c r="G3023" s="1" t="s">
        <v>391</v>
      </c>
      <c r="H3023" s="1" t="s">
        <v>74</v>
      </c>
      <c r="I3023" s="1" t="s">
        <v>192</v>
      </c>
      <c r="J3023" s="1" t="s">
        <v>62</v>
      </c>
      <c r="K3023" s="1" t="s">
        <v>283</v>
      </c>
      <c r="L3023" s="1">
        <v>2</v>
      </c>
      <c r="M3023" s="13">
        <v>646.61</v>
      </c>
      <c r="N3023" s="15">
        <v>0.22</v>
      </c>
      <c r="O3023" s="13">
        <v>1668.69</v>
      </c>
      <c r="P3023" s="13">
        <v>631.70000000000005</v>
      </c>
      <c r="Q3023" s="13">
        <v>49.01</v>
      </c>
      <c r="R3023" s="1" t="s">
        <v>70</v>
      </c>
      <c r="S3023" s="1">
        <v>2</v>
      </c>
      <c r="T3023" s="1" t="b">
        <v>0</v>
      </c>
      <c r="U3023" s="1" t="s">
        <v>197</v>
      </c>
      <c r="V3023" s="3">
        <v>3</v>
      </c>
    </row>
    <row r="3024" spans="1:22" x14ac:dyDescent="0.3">
      <c r="A3024" s="2" t="s">
        <v>6524</v>
      </c>
      <c r="B3024" s="10">
        <v>45360</v>
      </c>
      <c r="C3024" s="22">
        <v>45360</v>
      </c>
      <c r="D3024" s="1" t="s">
        <v>1287</v>
      </c>
      <c r="E3024" s="1" t="s">
        <v>537</v>
      </c>
      <c r="F3024" s="1">
        <v>44</v>
      </c>
      <c r="G3024" s="1" t="s">
        <v>34</v>
      </c>
      <c r="H3024" s="1" t="s">
        <v>111</v>
      </c>
      <c r="I3024" s="1" t="s">
        <v>141</v>
      </c>
      <c r="J3024" s="1" t="s">
        <v>127</v>
      </c>
      <c r="K3024" s="1" t="s">
        <v>196</v>
      </c>
      <c r="L3024" s="1">
        <v>5</v>
      </c>
      <c r="M3024" s="13">
        <v>20577.009999999998</v>
      </c>
      <c r="N3024" s="15">
        <v>0.23</v>
      </c>
      <c r="O3024" s="13">
        <v>93594.28</v>
      </c>
      <c r="P3024" s="13">
        <v>9112.0499999999993</v>
      </c>
      <c r="Q3024" s="13">
        <v>88.2</v>
      </c>
      <c r="R3024" s="1" t="s">
        <v>78</v>
      </c>
      <c r="S3024" s="1">
        <v>2</v>
      </c>
      <c r="T3024" s="1" t="b">
        <v>0</v>
      </c>
      <c r="U3024" s="1" t="s">
        <v>39</v>
      </c>
      <c r="V3024" s="3">
        <v>6</v>
      </c>
    </row>
    <row r="3025" spans="1:22" x14ac:dyDescent="0.3">
      <c r="A3025" s="2" t="s">
        <v>6525</v>
      </c>
      <c r="B3025" s="10">
        <v>44593</v>
      </c>
      <c r="C3025" s="22">
        <v>44593</v>
      </c>
      <c r="D3025" s="1" t="s">
        <v>6526</v>
      </c>
      <c r="E3025" s="1" t="s">
        <v>1142</v>
      </c>
      <c r="F3025" s="1">
        <v>39</v>
      </c>
      <c r="G3025" s="1" t="s">
        <v>34</v>
      </c>
      <c r="H3025" s="1" t="s">
        <v>25</v>
      </c>
      <c r="I3025" s="1" t="s">
        <v>55</v>
      </c>
      <c r="J3025" s="1" t="s">
        <v>62</v>
      </c>
      <c r="K3025" s="1" t="s">
        <v>63</v>
      </c>
      <c r="L3025" s="1">
        <v>1</v>
      </c>
      <c r="M3025" s="13">
        <v>1394.93</v>
      </c>
      <c r="N3025" s="15">
        <v>0.2</v>
      </c>
      <c r="O3025" s="13">
        <v>1128.26</v>
      </c>
      <c r="P3025" s="13">
        <v>431.19</v>
      </c>
      <c r="Q3025" s="13">
        <v>99.26</v>
      </c>
      <c r="R3025" s="1" t="s">
        <v>70</v>
      </c>
      <c r="S3025" s="1">
        <v>4</v>
      </c>
      <c r="T3025" s="1" t="b">
        <v>0</v>
      </c>
      <c r="U3025" s="1" t="s">
        <v>39</v>
      </c>
      <c r="V3025" s="3">
        <v>6</v>
      </c>
    </row>
    <row r="3026" spans="1:22" x14ac:dyDescent="0.3">
      <c r="A3026" s="2" t="s">
        <v>6527</v>
      </c>
      <c r="B3026" s="10">
        <v>45268</v>
      </c>
      <c r="C3026" s="22">
        <v>45268</v>
      </c>
      <c r="D3026" s="1" t="s">
        <v>6528</v>
      </c>
      <c r="E3026" s="1" t="s">
        <v>468</v>
      </c>
      <c r="F3026" s="1">
        <v>32</v>
      </c>
      <c r="G3026" s="1" t="s">
        <v>68</v>
      </c>
      <c r="H3026" s="1" t="s">
        <v>74</v>
      </c>
      <c r="I3026" s="1" t="s">
        <v>75</v>
      </c>
      <c r="J3026" s="1" t="s">
        <v>127</v>
      </c>
      <c r="K3026" s="1" t="s">
        <v>196</v>
      </c>
      <c r="L3026" s="1">
        <v>1</v>
      </c>
      <c r="M3026" s="13">
        <v>74269.77</v>
      </c>
      <c r="N3026" s="15">
        <v>0.15</v>
      </c>
      <c r="O3026" s="13">
        <v>58489.45</v>
      </c>
      <c r="P3026" s="13">
        <v>8517.07</v>
      </c>
      <c r="Q3026" s="13">
        <v>41.46</v>
      </c>
      <c r="R3026" s="1" t="s">
        <v>57</v>
      </c>
      <c r="S3026" s="1">
        <v>5</v>
      </c>
      <c r="T3026" s="1" t="b">
        <v>0</v>
      </c>
      <c r="U3026" s="1" t="s">
        <v>58</v>
      </c>
      <c r="V3026" s="3">
        <v>1</v>
      </c>
    </row>
    <row r="3027" spans="1:22" x14ac:dyDescent="0.3">
      <c r="A3027" s="2" t="s">
        <v>6529</v>
      </c>
      <c r="B3027" s="10">
        <v>44007</v>
      </c>
      <c r="C3027" s="22">
        <v>44007</v>
      </c>
      <c r="D3027" s="1" t="s">
        <v>6530</v>
      </c>
      <c r="E3027" s="1" t="s">
        <v>732</v>
      </c>
      <c r="F3027" s="1">
        <v>66</v>
      </c>
      <c r="G3027" s="1" t="s">
        <v>34</v>
      </c>
      <c r="H3027" s="1" t="s">
        <v>35</v>
      </c>
      <c r="I3027" s="1" t="s">
        <v>43</v>
      </c>
      <c r="J3027" s="1" t="s">
        <v>127</v>
      </c>
      <c r="K3027" s="1" t="s">
        <v>128</v>
      </c>
      <c r="L3027" s="1">
        <v>5</v>
      </c>
      <c r="M3027" s="13">
        <v>46345.56</v>
      </c>
      <c r="N3027" s="15">
        <v>0.32</v>
      </c>
      <c r="O3027" s="13">
        <v>181476.52</v>
      </c>
      <c r="P3027" s="13">
        <v>25644.37</v>
      </c>
      <c r="Q3027" s="13">
        <v>77.91</v>
      </c>
      <c r="R3027" s="1" t="s">
        <v>64</v>
      </c>
      <c r="S3027" s="1">
        <v>3</v>
      </c>
      <c r="T3027" s="1" t="b">
        <v>0</v>
      </c>
      <c r="U3027" s="1" t="s">
        <v>58</v>
      </c>
      <c r="V3027" s="3">
        <v>10</v>
      </c>
    </row>
    <row r="3028" spans="1:22" x14ac:dyDescent="0.3">
      <c r="A3028" s="2" t="s">
        <v>6531</v>
      </c>
      <c r="B3028" s="10">
        <v>45426</v>
      </c>
      <c r="C3028" s="22">
        <v>45426</v>
      </c>
      <c r="D3028" s="1" t="s">
        <v>6532</v>
      </c>
      <c r="E3028" s="1" t="s">
        <v>1447</v>
      </c>
      <c r="F3028" s="1">
        <v>17</v>
      </c>
      <c r="G3028" s="1" t="s">
        <v>68</v>
      </c>
      <c r="H3028" s="1" t="s">
        <v>25</v>
      </c>
      <c r="I3028" s="1" t="s">
        <v>170</v>
      </c>
      <c r="J3028" s="1" t="s">
        <v>146</v>
      </c>
      <c r="K3028" s="1" t="s">
        <v>161</v>
      </c>
      <c r="L3028" s="1">
        <v>5</v>
      </c>
      <c r="M3028" s="13">
        <v>5318.8</v>
      </c>
      <c r="N3028" s="15">
        <v>0.18</v>
      </c>
      <c r="O3028" s="13">
        <v>6933.26</v>
      </c>
      <c r="P3028" s="13">
        <v>2061.4</v>
      </c>
      <c r="Q3028" s="13">
        <v>62.11</v>
      </c>
      <c r="R3028" s="1" t="s">
        <v>78</v>
      </c>
      <c r="S3028" s="1">
        <v>1</v>
      </c>
      <c r="T3028" s="1" t="b">
        <v>1</v>
      </c>
      <c r="U3028" s="1" t="s">
        <v>30</v>
      </c>
      <c r="V3028" s="3">
        <v>8</v>
      </c>
    </row>
    <row r="3029" spans="1:22" x14ac:dyDescent="0.3">
      <c r="A3029" s="2" t="s">
        <v>6533</v>
      </c>
      <c r="B3029" s="10">
        <v>43909</v>
      </c>
      <c r="C3029" s="22">
        <v>43909</v>
      </c>
      <c r="D3029" s="1" t="s">
        <v>6534</v>
      </c>
      <c r="E3029" s="1" t="s">
        <v>1033</v>
      </c>
      <c r="F3029" s="1">
        <v>35</v>
      </c>
      <c r="G3029" s="1" t="s">
        <v>24</v>
      </c>
      <c r="H3029" s="1" t="s">
        <v>25</v>
      </c>
      <c r="I3029" s="1" t="s">
        <v>170</v>
      </c>
      <c r="J3029" s="1" t="s">
        <v>146</v>
      </c>
      <c r="K3029" s="1" t="s">
        <v>217</v>
      </c>
      <c r="L3029" s="1">
        <v>7</v>
      </c>
      <c r="M3029" s="13">
        <v>2367.09</v>
      </c>
      <c r="N3029" s="15">
        <v>0.04</v>
      </c>
      <c r="O3029" s="13">
        <v>16292.28</v>
      </c>
      <c r="P3029" s="13">
        <v>2663.65</v>
      </c>
      <c r="Q3029" s="13">
        <v>42.41</v>
      </c>
      <c r="R3029" s="1" t="s">
        <v>70</v>
      </c>
      <c r="S3029" s="1">
        <v>1</v>
      </c>
      <c r="T3029" s="1" t="b">
        <v>0</v>
      </c>
      <c r="U3029" s="1" t="s">
        <v>137</v>
      </c>
      <c r="V3029" s="3">
        <v>8</v>
      </c>
    </row>
    <row r="3030" spans="1:22" x14ac:dyDescent="0.3">
      <c r="A3030" s="2" t="s">
        <v>6535</v>
      </c>
      <c r="B3030" s="10">
        <v>44090</v>
      </c>
      <c r="C3030" s="22">
        <v>44090</v>
      </c>
      <c r="D3030" s="1" t="s">
        <v>6536</v>
      </c>
      <c r="E3030" s="1" t="s">
        <v>1454</v>
      </c>
      <c r="F3030" s="1">
        <v>24</v>
      </c>
      <c r="G3030" s="1" t="s">
        <v>24</v>
      </c>
      <c r="H3030" s="1" t="s">
        <v>74</v>
      </c>
      <c r="I3030" s="1" t="s">
        <v>136</v>
      </c>
      <c r="J3030" s="1" t="s">
        <v>127</v>
      </c>
      <c r="K3030" s="1" t="s">
        <v>171</v>
      </c>
      <c r="L3030" s="1">
        <v>9</v>
      </c>
      <c r="M3030" s="13">
        <v>34058.9</v>
      </c>
      <c r="N3030" s="15">
        <v>0.13</v>
      </c>
      <c r="O3030" s="13">
        <v>239614.28</v>
      </c>
      <c r="P3030" s="13">
        <v>26529.360000000001</v>
      </c>
      <c r="Q3030" s="13">
        <v>35.69</v>
      </c>
      <c r="R3030" s="1" t="s">
        <v>29</v>
      </c>
      <c r="S3030" s="1">
        <v>5</v>
      </c>
      <c r="T3030" s="1" t="b">
        <v>0</v>
      </c>
      <c r="U3030" s="1" t="s">
        <v>58</v>
      </c>
      <c r="V3030" s="3">
        <v>5</v>
      </c>
    </row>
    <row r="3031" spans="1:22" x14ac:dyDescent="0.3">
      <c r="A3031" s="2" t="s">
        <v>6537</v>
      </c>
      <c r="B3031" s="10">
        <v>44342</v>
      </c>
      <c r="C3031" s="22">
        <v>44342</v>
      </c>
      <c r="D3031" s="1" t="s">
        <v>6538</v>
      </c>
      <c r="E3031" s="1" t="s">
        <v>289</v>
      </c>
      <c r="F3031" s="1">
        <v>21</v>
      </c>
      <c r="G3031" s="1" t="s">
        <v>24</v>
      </c>
      <c r="H3031" s="1" t="s">
        <v>111</v>
      </c>
      <c r="I3031" s="1" t="s">
        <v>112</v>
      </c>
      <c r="J3031" s="1" t="s">
        <v>37</v>
      </c>
      <c r="K3031" s="1" t="s">
        <v>671</v>
      </c>
      <c r="L3031" s="1">
        <v>7</v>
      </c>
      <c r="M3031" s="13">
        <v>1281.8599999999999</v>
      </c>
      <c r="N3031" s="15">
        <v>0.39</v>
      </c>
      <c r="O3031" s="13">
        <v>8031.28</v>
      </c>
      <c r="P3031" s="13">
        <v>2955.5</v>
      </c>
      <c r="Q3031" s="13">
        <v>39.19</v>
      </c>
      <c r="R3031" s="1" t="s">
        <v>70</v>
      </c>
      <c r="S3031" s="1">
        <v>2</v>
      </c>
      <c r="T3031" s="1" t="b">
        <v>0</v>
      </c>
      <c r="U3031" s="1" t="s">
        <v>39</v>
      </c>
      <c r="V3031" s="3">
        <v>7</v>
      </c>
    </row>
    <row r="3032" spans="1:22" x14ac:dyDescent="0.3">
      <c r="A3032" s="2" t="s">
        <v>6539</v>
      </c>
      <c r="B3032" s="10">
        <v>44610</v>
      </c>
      <c r="C3032" s="22">
        <v>44610</v>
      </c>
      <c r="D3032" s="1" t="s">
        <v>6540</v>
      </c>
      <c r="E3032" s="1" t="s">
        <v>157</v>
      </c>
      <c r="F3032" s="1">
        <v>24</v>
      </c>
      <c r="G3032" s="1" t="s">
        <v>68</v>
      </c>
      <c r="H3032" s="1" t="s">
        <v>35</v>
      </c>
      <c r="I3032" s="1" t="s">
        <v>43</v>
      </c>
      <c r="J3032" s="1" t="s">
        <v>62</v>
      </c>
      <c r="K3032" s="1" t="s">
        <v>266</v>
      </c>
      <c r="L3032" s="1">
        <v>5</v>
      </c>
      <c r="M3032" s="13">
        <v>433.78</v>
      </c>
      <c r="N3032" s="15">
        <v>0.16</v>
      </c>
      <c r="O3032" s="13">
        <v>1626.67</v>
      </c>
      <c r="P3032" s="13">
        <v>566.47</v>
      </c>
      <c r="Q3032" s="13">
        <v>70.39</v>
      </c>
      <c r="R3032" s="1" t="s">
        <v>64</v>
      </c>
      <c r="S3032" s="1">
        <v>5</v>
      </c>
      <c r="T3032" s="1" t="b">
        <v>0</v>
      </c>
      <c r="U3032" s="1" t="s">
        <v>39</v>
      </c>
      <c r="V3032" s="3">
        <v>9</v>
      </c>
    </row>
    <row r="3033" spans="1:22" x14ac:dyDescent="0.3">
      <c r="A3033" s="2" t="s">
        <v>6541</v>
      </c>
      <c r="B3033" s="10">
        <v>44206</v>
      </c>
      <c r="C3033" s="22">
        <v>44206</v>
      </c>
      <c r="D3033" s="1" t="s">
        <v>6542</v>
      </c>
      <c r="E3033" s="1" t="s">
        <v>460</v>
      </c>
      <c r="F3033" s="1">
        <v>21</v>
      </c>
      <c r="G3033" s="1" t="s">
        <v>34</v>
      </c>
      <c r="H3033" s="1" t="s">
        <v>111</v>
      </c>
      <c r="I3033" s="1" t="s">
        <v>141</v>
      </c>
      <c r="J3033" s="1" t="s">
        <v>37</v>
      </c>
      <c r="K3033" s="1" t="s">
        <v>454</v>
      </c>
      <c r="L3033" s="1">
        <v>9</v>
      </c>
      <c r="M3033" s="13">
        <v>1170.24</v>
      </c>
      <c r="N3033" s="15">
        <v>0.31</v>
      </c>
      <c r="O3033" s="13">
        <v>5927.64</v>
      </c>
      <c r="P3033" s="13">
        <v>3035.58</v>
      </c>
      <c r="Q3033" s="13">
        <v>41.85</v>
      </c>
      <c r="R3033" s="1" t="s">
        <v>64</v>
      </c>
      <c r="S3033" s="1">
        <v>2</v>
      </c>
      <c r="T3033" s="1" t="b">
        <v>0</v>
      </c>
      <c r="U3033" s="1" t="s">
        <v>39</v>
      </c>
      <c r="V3033" s="3">
        <v>1</v>
      </c>
    </row>
    <row r="3034" spans="1:22" x14ac:dyDescent="0.3">
      <c r="A3034" s="2" t="s">
        <v>6543</v>
      </c>
      <c r="B3034" s="10">
        <v>45079</v>
      </c>
      <c r="C3034" s="22">
        <v>45079</v>
      </c>
      <c r="D3034" s="1" t="s">
        <v>6544</v>
      </c>
      <c r="E3034" s="1" t="s">
        <v>289</v>
      </c>
      <c r="F3034" s="1">
        <v>68</v>
      </c>
      <c r="G3034" s="1" t="s">
        <v>68</v>
      </c>
      <c r="H3034" s="1" t="s">
        <v>25</v>
      </c>
      <c r="I3034" s="1" t="s">
        <v>170</v>
      </c>
      <c r="J3034" s="1" t="s">
        <v>76</v>
      </c>
      <c r="K3034" s="1" t="s">
        <v>207</v>
      </c>
      <c r="L3034" s="1">
        <v>4</v>
      </c>
      <c r="M3034" s="13">
        <v>824.79</v>
      </c>
      <c r="N3034" s="15">
        <v>0.09</v>
      </c>
      <c r="O3034" s="13">
        <v>4781.3500000000004</v>
      </c>
      <c r="P3034" s="13">
        <v>1402.58</v>
      </c>
      <c r="Q3034" s="13">
        <v>62.47</v>
      </c>
      <c r="R3034" s="1" t="s">
        <v>70</v>
      </c>
      <c r="S3034" s="1">
        <v>1</v>
      </c>
      <c r="T3034" s="1" t="b">
        <v>0</v>
      </c>
      <c r="U3034" s="1" t="s">
        <v>84</v>
      </c>
      <c r="V3034" s="3">
        <v>4</v>
      </c>
    </row>
    <row r="3035" spans="1:22" x14ac:dyDescent="0.3">
      <c r="A3035" s="2" t="s">
        <v>6545</v>
      </c>
      <c r="B3035" s="10">
        <v>45393</v>
      </c>
      <c r="C3035" s="22">
        <v>45393</v>
      </c>
      <c r="D3035" s="1" t="s">
        <v>6546</v>
      </c>
      <c r="E3035" s="1" t="s">
        <v>583</v>
      </c>
      <c r="F3035" s="1">
        <v>41</v>
      </c>
      <c r="G3035" s="1" t="s">
        <v>434</v>
      </c>
      <c r="H3035" s="1" t="s">
        <v>35</v>
      </c>
      <c r="I3035" s="1" t="s">
        <v>36</v>
      </c>
      <c r="J3035" s="1" t="s">
        <v>146</v>
      </c>
      <c r="K3035" s="1" t="s">
        <v>178</v>
      </c>
      <c r="L3035" s="1">
        <v>8</v>
      </c>
      <c r="M3035" s="13">
        <v>13545.22</v>
      </c>
      <c r="N3035" s="15">
        <v>0.22</v>
      </c>
      <c r="O3035" s="13">
        <v>148811.09</v>
      </c>
      <c r="P3035" s="13">
        <v>34910.449999999997</v>
      </c>
      <c r="Q3035" s="13">
        <v>49.35</v>
      </c>
      <c r="R3035" s="1" t="s">
        <v>70</v>
      </c>
      <c r="S3035" s="1">
        <v>5</v>
      </c>
      <c r="T3035" s="1" t="b">
        <v>0</v>
      </c>
      <c r="U3035" s="1" t="s">
        <v>39</v>
      </c>
      <c r="V3035" s="3">
        <v>1</v>
      </c>
    </row>
    <row r="3036" spans="1:22" x14ac:dyDescent="0.3">
      <c r="A3036" s="2" t="s">
        <v>6547</v>
      </c>
      <c r="B3036" s="10">
        <v>43989</v>
      </c>
      <c r="C3036" s="22">
        <v>43989</v>
      </c>
      <c r="D3036" s="1" t="s">
        <v>6548</v>
      </c>
      <c r="E3036" s="1" t="s">
        <v>2462</v>
      </c>
      <c r="F3036" s="1">
        <v>42</v>
      </c>
      <c r="G3036" s="1" t="s">
        <v>68</v>
      </c>
      <c r="H3036" s="1" t="s">
        <v>35</v>
      </c>
      <c r="I3036" s="1" t="s">
        <v>36</v>
      </c>
      <c r="J3036" s="1" t="s">
        <v>37</v>
      </c>
      <c r="K3036" s="1" t="s">
        <v>38</v>
      </c>
      <c r="L3036" s="1">
        <v>2</v>
      </c>
      <c r="M3036" s="13">
        <v>1372.94</v>
      </c>
      <c r="N3036" s="15">
        <v>0.24</v>
      </c>
      <c r="O3036" s="13">
        <v>2491.3200000000002</v>
      </c>
      <c r="P3036" s="13">
        <v>765.46</v>
      </c>
      <c r="Q3036" s="13">
        <v>51.67</v>
      </c>
      <c r="R3036" s="1" t="s">
        <v>57</v>
      </c>
      <c r="S3036" s="1">
        <v>2</v>
      </c>
      <c r="T3036" s="1" t="b">
        <v>0</v>
      </c>
      <c r="U3036" s="1" t="s">
        <v>39</v>
      </c>
      <c r="V3036" s="3">
        <v>8</v>
      </c>
    </row>
    <row r="3037" spans="1:22" x14ac:dyDescent="0.3">
      <c r="A3037" s="2" t="s">
        <v>6549</v>
      </c>
      <c r="B3037" s="10">
        <v>44846</v>
      </c>
      <c r="C3037" s="22">
        <v>44846</v>
      </c>
      <c r="D3037" s="1" t="s">
        <v>1674</v>
      </c>
      <c r="E3037" s="1" t="s">
        <v>1447</v>
      </c>
      <c r="F3037" s="1">
        <v>27</v>
      </c>
      <c r="G3037" s="1" t="s">
        <v>68</v>
      </c>
      <c r="H3037" s="1" t="s">
        <v>74</v>
      </c>
      <c r="I3037" s="1" t="s">
        <v>101</v>
      </c>
      <c r="J3037" s="1" t="s">
        <v>146</v>
      </c>
      <c r="K3037" s="1" t="s">
        <v>484</v>
      </c>
      <c r="L3037" s="1">
        <v>9</v>
      </c>
      <c r="M3037" s="13">
        <v>13142.88</v>
      </c>
      <c r="N3037" s="15">
        <v>0.37</v>
      </c>
      <c r="O3037" s="13">
        <v>69394.080000000002</v>
      </c>
      <c r="P3037" s="13">
        <v>16164.46</v>
      </c>
      <c r="Q3037" s="13">
        <v>32.880000000000003</v>
      </c>
      <c r="R3037" s="1" t="s">
        <v>78</v>
      </c>
      <c r="S3037" s="1">
        <v>5</v>
      </c>
      <c r="T3037" s="1" t="b">
        <v>1</v>
      </c>
      <c r="U3037" s="1" t="s">
        <v>30</v>
      </c>
      <c r="V3037" s="3">
        <v>1</v>
      </c>
    </row>
    <row r="3038" spans="1:22" x14ac:dyDescent="0.3">
      <c r="A3038" s="2" t="s">
        <v>6550</v>
      </c>
      <c r="B3038" s="10">
        <v>45127</v>
      </c>
      <c r="C3038" s="22">
        <v>45127</v>
      </c>
      <c r="D3038" s="1" t="s">
        <v>6551</v>
      </c>
      <c r="E3038" s="1" t="s">
        <v>131</v>
      </c>
      <c r="F3038" s="1">
        <v>27</v>
      </c>
      <c r="G3038" s="1" t="s">
        <v>68</v>
      </c>
      <c r="H3038" s="1" t="s">
        <v>111</v>
      </c>
      <c r="I3038" s="1" t="s">
        <v>330</v>
      </c>
      <c r="J3038" s="1" t="s">
        <v>127</v>
      </c>
      <c r="K3038" s="1" t="s">
        <v>171</v>
      </c>
      <c r="L3038" s="1">
        <v>8</v>
      </c>
      <c r="M3038" s="13">
        <v>77986.06</v>
      </c>
      <c r="N3038" s="15">
        <v>0.21</v>
      </c>
      <c r="O3038" s="13">
        <v>991905.81</v>
      </c>
      <c r="P3038" s="13">
        <v>116835.79</v>
      </c>
      <c r="Q3038" s="13">
        <v>63.75</v>
      </c>
      <c r="R3038" s="1" t="s">
        <v>78</v>
      </c>
      <c r="S3038" s="1">
        <v>4</v>
      </c>
      <c r="T3038" s="1" t="b">
        <v>0</v>
      </c>
      <c r="U3038" s="1" t="s">
        <v>58</v>
      </c>
      <c r="V3038" s="3">
        <v>2</v>
      </c>
    </row>
    <row r="3039" spans="1:22" x14ac:dyDescent="0.3">
      <c r="A3039" s="2" t="s">
        <v>6552</v>
      </c>
      <c r="B3039" s="10">
        <v>44068</v>
      </c>
      <c r="C3039" s="22">
        <v>44068</v>
      </c>
      <c r="D3039" s="1" t="s">
        <v>6553</v>
      </c>
      <c r="E3039" s="1" t="s">
        <v>905</v>
      </c>
      <c r="F3039" s="1">
        <v>34</v>
      </c>
      <c r="G3039" s="1" t="s">
        <v>24</v>
      </c>
      <c r="H3039" s="1" t="s">
        <v>35</v>
      </c>
      <c r="I3039" s="1" t="s">
        <v>106</v>
      </c>
      <c r="J3039" s="1" t="s">
        <v>27</v>
      </c>
      <c r="K3039" s="1" t="s">
        <v>430</v>
      </c>
      <c r="L3039" s="1">
        <v>8</v>
      </c>
      <c r="M3039" s="13">
        <v>61.46</v>
      </c>
      <c r="N3039" s="15">
        <v>0.02</v>
      </c>
      <c r="O3039" s="13">
        <v>583.26</v>
      </c>
      <c r="P3039" s="13">
        <v>59.31</v>
      </c>
      <c r="Q3039" s="13">
        <v>62.95</v>
      </c>
      <c r="R3039" s="1" t="s">
        <v>51</v>
      </c>
      <c r="S3039" s="1">
        <v>4</v>
      </c>
      <c r="T3039" s="1" t="b">
        <v>0</v>
      </c>
      <c r="U3039" s="1" t="s">
        <v>39</v>
      </c>
      <c r="V3039" s="3">
        <v>3</v>
      </c>
    </row>
    <row r="3040" spans="1:22" x14ac:dyDescent="0.3">
      <c r="A3040" s="2" t="s">
        <v>6554</v>
      </c>
      <c r="B3040" s="10">
        <v>43891</v>
      </c>
      <c r="C3040" s="22">
        <v>43891</v>
      </c>
      <c r="D3040" s="1" t="s">
        <v>6555</v>
      </c>
      <c r="E3040" s="1" t="s">
        <v>1390</v>
      </c>
      <c r="F3040" s="1">
        <v>15</v>
      </c>
      <c r="G3040" s="1" t="s">
        <v>24</v>
      </c>
      <c r="H3040" s="1" t="s">
        <v>25</v>
      </c>
      <c r="I3040" s="1" t="s">
        <v>69</v>
      </c>
      <c r="J3040" s="1" t="s">
        <v>37</v>
      </c>
      <c r="K3040" s="1" t="s">
        <v>182</v>
      </c>
      <c r="L3040" s="1">
        <v>6</v>
      </c>
      <c r="M3040" s="13">
        <v>1264.54</v>
      </c>
      <c r="N3040" s="15">
        <v>0.34</v>
      </c>
      <c r="O3040" s="13">
        <v>5200.08</v>
      </c>
      <c r="P3040" s="13">
        <v>2565.09</v>
      </c>
      <c r="Q3040" s="13">
        <v>30.54</v>
      </c>
      <c r="R3040" s="1" t="s">
        <v>78</v>
      </c>
      <c r="S3040" s="1">
        <v>2</v>
      </c>
      <c r="T3040" s="1" t="b">
        <v>0</v>
      </c>
      <c r="U3040" s="1" t="s">
        <v>39</v>
      </c>
      <c r="V3040" s="3">
        <v>5</v>
      </c>
    </row>
    <row r="3041" spans="1:22" x14ac:dyDescent="0.3">
      <c r="A3041" s="2" t="s">
        <v>6556</v>
      </c>
      <c r="B3041" s="10">
        <v>44119</v>
      </c>
      <c r="C3041" s="22">
        <v>44119</v>
      </c>
      <c r="D3041" s="1" t="s">
        <v>6557</v>
      </c>
      <c r="E3041" s="1" t="s">
        <v>2117</v>
      </c>
      <c r="F3041" s="1">
        <v>55</v>
      </c>
      <c r="G3041" s="1" t="s">
        <v>24</v>
      </c>
      <c r="H3041" s="1" t="s">
        <v>74</v>
      </c>
      <c r="I3041" s="1" t="s">
        <v>192</v>
      </c>
      <c r="J3041" s="1" t="s">
        <v>37</v>
      </c>
      <c r="K3041" s="1" t="s">
        <v>671</v>
      </c>
      <c r="L3041" s="1">
        <v>4</v>
      </c>
      <c r="M3041" s="13">
        <v>2079.0700000000002</v>
      </c>
      <c r="N3041" s="15">
        <v>0.31</v>
      </c>
      <c r="O3041" s="13">
        <v>4372.2</v>
      </c>
      <c r="P3041" s="13">
        <v>2080.88</v>
      </c>
      <c r="Q3041" s="13">
        <v>20.39</v>
      </c>
      <c r="R3041" s="1" t="s">
        <v>78</v>
      </c>
      <c r="S3041" s="1">
        <v>4</v>
      </c>
      <c r="T3041" s="1" t="b">
        <v>1</v>
      </c>
      <c r="U3041" s="1" t="s">
        <v>30</v>
      </c>
      <c r="V3041" s="3">
        <v>3</v>
      </c>
    </row>
    <row r="3042" spans="1:22" x14ac:dyDescent="0.3">
      <c r="A3042" s="2" t="s">
        <v>6558</v>
      </c>
      <c r="B3042" s="10">
        <v>45038</v>
      </c>
      <c r="C3042" s="22">
        <v>45038</v>
      </c>
      <c r="D3042" s="1" t="s">
        <v>6559</v>
      </c>
      <c r="E3042" s="1" t="s">
        <v>773</v>
      </c>
      <c r="F3042" s="1">
        <v>15</v>
      </c>
      <c r="G3042" s="1" t="s">
        <v>68</v>
      </c>
      <c r="H3042" s="1" t="s">
        <v>82</v>
      </c>
      <c r="I3042" s="1" t="s">
        <v>126</v>
      </c>
      <c r="J3042" s="1" t="s">
        <v>146</v>
      </c>
      <c r="K3042" s="1" t="s">
        <v>217</v>
      </c>
      <c r="L3042" s="1">
        <v>7</v>
      </c>
      <c r="M3042" s="13">
        <v>5879.31</v>
      </c>
      <c r="N3042" s="15">
        <v>0.05</v>
      </c>
      <c r="O3042" s="13">
        <v>56376.87</v>
      </c>
      <c r="P3042" s="13">
        <v>7011.74</v>
      </c>
      <c r="Q3042" s="13">
        <v>84.67</v>
      </c>
      <c r="R3042" s="1" t="s">
        <v>64</v>
      </c>
      <c r="S3042" s="1">
        <v>1</v>
      </c>
      <c r="T3042" s="1" t="b">
        <v>0</v>
      </c>
      <c r="U3042" s="1" t="s">
        <v>84</v>
      </c>
      <c r="V3042" s="3">
        <v>7</v>
      </c>
    </row>
    <row r="3043" spans="1:22" x14ac:dyDescent="0.3">
      <c r="A3043" s="2" t="s">
        <v>6560</v>
      </c>
      <c r="B3043" s="10">
        <v>44169</v>
      </c>
      <c r="C3043" s="22">
        <v>44169</v>
      </c>
      <c r="D3043" s="1" t="s">
        <v>6561</v>
      </c>
      <c r="E3043" s="1" t="s">
        <v>635</v>
      </c>
      <c r="F3043" s="1">
        <v>32</v>
      </c>
      <c r="G3043" s="1" t="s">
        <v>24</v>
      </c>
      <c r="H3043" s="1" t="s">
        <v>74</v>
      </c>
      <c r="I3043" s="1" t="s">
        <v>75</v>
      </c>
      <c r="J3043" s="1" t="s">
        <v>27</v>
      </c>
      <c r="K3043" s="1" t="s">
        <v>400</v>
      </c>
      <c r="L3043" s="1">
        <v>4</v>
      </c>
      <c r="M3043" s="13">
        <v>388.57</v>
      </c>
      <c r="N3043" s="15">
        <v>0.01</v>
      </c>
      <c r="O3043" s="13">
        <v>1066.73</v>
      </c>
      <c r="P3043" s="13">
        <v>70.45</v>
      </c>
      <c r="Q3043" s="13">
        <v>54.83</v>
      </c>
      <c r="R3043" s="1" t="s">
        <v>51</v>
      </c>
      <c r="S3043" s="1">
        <v>3</v>
      </c>
      <c r="T3043" s="1" t="b">
        <v>1</v>
      </c>
      <c r="U3043" s="1" t="s">
        <v>30</v>
      </c>
      <c r="V3043" s="3">
        <v>5</v>
      </c>
    </row>
    <row r="3044" spans="1:22" x14ac:dyDescent="0.3">
      <c r="A3044" s="2" t="s">
        <v>6562</v>
      </c>
      <c r="B3044" s="10">
        <v>44714</v>
      </c>
      <c r="C3044" s="22">
        <v>44714</v>
      </c>
      <c r="D3044" s="1" t="s">
        <v>6563</v>
      </c>
      <c r="E3044" s="1" t="s">
        <v>3253</v>
      </c>
      <c r="F3044" s="1">
        <v>27</v>
      </c>
      <c r="G3044" s="1" t="s">
        <v>24</v>
      </c>
      <c r="H3044" s="1" t="s">
        <v>25</v>
      </c>
      <c r="I3044" s="1" t="s">
        <v>55</v>
      </c>
      <c r="J3044" s="1" t="s">
        <v>146</v>
      </c>
      <c r="K3044" s="1" t="s">
        <v>178</v>
      </c>
      <c r="L3044" s="1">
        <v>2</v>
      </c>
      <c r="M3044" s="13">
        <v>1793.14</v>
      </c>
      <c r="N3044" s="15">
        <v>0.22</v>
      </c>
      <c r="O3044" s="13">
        <v>4474.84</v>
      </c>
      <c r="P3044" s="13">
        <v>1103.43</v>
      </c>
      <c r="Q3044" s="13">
        <v>40.65</v>
      </c>
      <c r="R3044" s="1" t="s">
        <v>64</v>
      </c>
      <c r="S3044" s="1">
        <v>2</v>
      </c>
      <c r="T3044" s="1" t="b">
        <v>1</v>
      </c>
      <c r="U3044" s="1" t="s">
        <v>30</v>
      </c>
      <c r="V3044" s="3">
        <v>9</v>
      </c>
    </row>
    <row r="3045" spans="1:22" x14ac:dyDescent="0.3">
      <c r="A3045" s="2" t="s">
        <v>6564</v>
      </c>
      <c r="B3045" s="10">
        <v>44880</v>
      </c>
      <c r="C3045" s="22">
        <v>44880</v>
      </c>
      <c r="D3045" s="1" t="s">
        <v>6565</v>
      </c>
      <c r="E3045" s="1" t="s">
        <v>1023</v>
      </c>
      <c r="F3045" s="1">
        <v>20</v>
      </c>
      <c r="G3045" s="1" t="s">
        <v>24</v>
      </c>
      <c r="H3045" s="1" t="s">
        <v>111</v>
      </c>
      <c r="I3045" s="1" t="s">
        <v>141</v>
      </c>
      <c r="J3045" s="1" t="s">
        <v>62</v>
      </c>
      <c r="K3045" s="1" t="s">
        <v>570</v>
      </c>
      <c r="L3045" s="1">
        <v>6</v>
      </c>
      <c r="M3045" s="13">
        <v>363.03</v>
      </c>
      <c r="N3045" s="15">
        <v>0</v>
      </c>
      <c r="O3045" s="13">
        <v>1819.63</v>
      </c>
      <c r="P3045" s="13">
        <v>726.19</v>
      </c>
      <c r="Q3045" s="13">
        <v>64.27</v>
      </c>
      <c r="R3045" s="1" t="s">
        <v>78</v>
      </c>
      <c r="S3045" s="1">
        <v>5</v>
      </c>
      <c r="T3045" s="1" t="b">
        <v>0</v>
      </c>
      <c r="U3045" s="1" t="s">
        <v>39</v>
      </c>
      <c r="V3045" s="3">
        <v>7</v>
      </c>
    </row>
    <row r="3046" spans="1:22" x14ac:dyDescent="0.3">
      <c r="A3046" s="2" t="s">
        <v>6566</v>
      </c>
      <c r="B3046" s="10">
        <v>44123</v>
      </c>
      <c r="C3046" s="22">
        <v>44123</v>
      </c>
      <c r="D3046" s="1" t="s">
        <v>6567</v>
      </c>
      <c r="E3046" s="1" t="s">
        <v>528</v>
      </c>
      <c r="F3046" s="1">
        <v>29</v>
      </c>
      <c r="G3046" s="1" t="s">
        <v>24</v>
      </c>
      <c r="H3046" s="1" t="s">
        <v>82</v>
      </c>
      <c r="I3046" s="1" t="s">
        <v>83</v>
      </c>
      <c r="J3046" s="1" t="s">
        <v>44</v>
      </c>
      <c r="K3046" s="1" t="s">
        <v>50</v>
      </c>
      <c r="L3046" s="1">
        <v>2</v>
      </c>
      <c r="M3046" s="13">
        <v>23933.02</v>
      </c>
      <c r="N3046" s="15">
        <v>0.38</v>
      </c>
      <c r="O3046" s="13">
        <v>26696.18</v>
      </c>
      <c r="P3046" s="13">
        <v>8116.01</v>
      </c>
      <c r="Q3046" s="13">
        <v>88.18</v>
      </c>
      <c r="R3046" s="1" t="s">
        <v>29</v>
      </c>
      <c r="S3046" s="1">
        <v>3</v>
      </c>
      <c r="T3046" s="1" t="b">
        <v>0</v>
      </c>
      <c r="U3046" s="1" t="s">
        <v>39</v>
      </c>
      <c r="V3046" s="3">
        <v>3</v>
      </c>
    </row>
    <row r="3047" spans="1:22" x14ac:dyDescent="0.3">
      <c r="A3047" s="2" t="s">
        <v>6568</v>
      </c>
      <c r="B3047" s="10">
        <v>45622</v>
      </c>
      <c r="C3047" s="22">
        <v>45622</v>
      </c>
      <c r="D3047" s="1" t="s">
        <v>6569</v>
      </c>
      <c r="E3047" s="1" t="s">
        <v>534</v>
      </c>
      <c r="F3047" s="1">
        <v>43</v>
      </c>
      <c r="G3047" s="1" t="s">
        <v>434</v>
      </c>
      <c r="H3047" s="1" t="s">
        <v>74</v>
      </c>
      <c r="I3047" s="1" t="s">
        <v>192</v>
      </c>
      <c r="J3047" s="1" t="s">
        <v>37</v>
      </c>
      <c r="K3047" s="1" t="s">
        <v>671</v>
      </c>
      <c r="L3047" s="1">
        <v>9</v>
      </c>
      <c r="M3047" s="13">
        <v>328.65</v>
      </c>
      <c r="N3047" s="15">
        <v>0.3</v>
      </c>
      <c r="O3047" s="13">
        <v>1975.97</v>
      </c>
      <c r="P3047" s="13">
        <v>543.25</v>
      </c>
      <c r="Q3047" s="13">
        <v>41.68</v>
      </c>
      <c r="R3047" s="1" t="s">
        <v>70</v>
      </c>
      <c r="S3047" s="1">
        <v>4</v>
      </c>
      <c r="T3047" s="1" t="b">
        <v>0</v>
      </c>
      <c r="U3047" s="1" t="s">
        <v>197</v>
      </c>
      <c r="V3047" s="3">
        <v>9</v>
      </c>
    </row>
    <row r="3048" spans="1:22" x14ac:dyDescent="0.3">
      <c r="A3048" s="2" t="s">
        <v>6570</v>
      </c>
      <c r="B3048" s="10">
        <v>43917</v>
      </c>
      <c r="C3048" s="22">
        <v>43917</v>
      </c>
      <c r="D3048" s="1" t="s">
        <v>6571</v>
      </c>
      <c r="E3048" s="1" t="s">
        <v>537</v>
      </c>
      <c r="F3048" s="1">
        <v>35</v>
      </c>
      <c r="G3048" s="1" t="s">
        <v>68</v>
      </c>
      <c r="H3048" s="1" t="s">
        <v>74</v>
      </c>
      <c r="I3048" s="1" t="s">
        <v>136</v>
      </c>
      <c r="J3048" s="1" t="s">
        <v>146</v>
      </c>
      <c r="K3048" s="1" t="s">
        <v>147</v>
      </c>
      <c r="L3048" s="1">
        <v>9</v>
      </c>
      <c r="M3048" s="13">
        <v>6747.04</v>
      </c>
      <c r="N3048" s="15">
        <v>7.0000000000000007E-2</v>
      </c>
      <c r="O3048" s="13">
        <v>53191.17</v>
      </c>
      <c r="P3048" s="13">
        <v>13938.07</v>
      </c>
      <c r="Q3048" s="13">
        <v>74.53</v>
      </c>
      <c r="R3048" s="1" t="s">
        <v>70</v>
      </c>
      <c r="S3048" s="1">
        <v>3</v>
      </c>
      <c r="T3048" s="1" t="b">
        <v>0</v>
      </c>
      <c r="U3048" s="1" t="s">
        <v>39</v>
      </c>
      <c r="V3048" s="3">
        <v>1</v>
      </c>
    </row>
    <row r="3049" spans="1:22" x14ac:dyDescent="0.3">
      <c r="A3049" s="2" t="s">
        <v>6572</v>
      </c>
      <c r="B3049" s="10">
        <v>44689</v>
      </c>
      <c r="C3049" s="22">
        <v>44689</v>
      </c>
      <c r="D3049" s="1" t="s">
        <v>6573</v>
      </c>
      <c r="E3049" s="1" t="s">
        <v>781</v>
      </c>
      <c r="F3049" s="1">
        <v>31</v>
      </c>
      <c r="G3049" s="1" t="s">
        <v>391</v>
      </c>
      <c r="H3049" s="1" t="s">
        <v>82</v>
      </c>
      <c r="I3049" s="1" t="s">
        <v>126</v>
      </c>
      <c r="J3049" s="1" t="s">
        <v>37</v>
      </c>
      <c r="K3049" s="1" t="s">
        <v>38</v>
      </c>
      <c r="L3049" s="1">
        <v>4</v>
      </c>
      <c r="M3049" s="13">
        <v>1176.04</v>
      </c>
      <c r="N3049" s="15">
        <v>0.18</v>
      </c>
      <c r="O3049" s="13">
        <v>6347.47</v>
      </c>
      <c r="P3049" s="13">
        <v>2342.58</v>
      </c>
      <c r="Q3049" s="13">
        <v>88.08</v>
      </c>
      <c r="R3049" s="1" t="s">
        <v>57</v>
      </c>
      <c r="S3049" s="1">
        <v>4</v>
      </c>
      <c r="T3049" s="1" t="b">
        <v>0</v>
      </c>
      <c r="U3049" s="1" t="s">
        <v>39</v>
      </c>
      <c r="V3049" s="3">
        <v>6</v>
      </c>
    </row>
    <row r="3050" spans="1:22" x14ac:dyDescent="0.3">
      <c r="A3050" s="2" t="s">
        <v>6574</v>
      </c>
      <c r="B3050" s="10">
        <v>44255</v>
      </c>
      <c r="C3050" s="22">
        <v>44255</v>
      </c>
      <c r="D3050" s="1" t="s">
        <v>6575</v>
      </c>
      <c r="E3050" s="1" t="s">
        <v>940</v>
      </c>
      <c r="F3050" s="1">
        <v>27</v>
      </c>
      <c r="G3050" s="1" t="s">
        <v>68</v>
      </c>
      <c r="H3050" s="1" t="s">
        <v>111</v>
      </c>
      <c r="I3050" s="1" t="s">
        <v>141</v>
      </c>
      <c r="J3050" s="1" t="s">
        <v>62</v>
      </c>
      <c r="K3050" s="1" t="s">
        <v>283</v>
      </c>
      <c r="L3050" s="1">
        <v>7</v>
      </c>
      <c r="M3050" s="13">
        <v>884.25</v>
      </c>
      <c r="N3050" s="15">
        <v>0.35</v>
      </c>
      <c r="O3050" s="13">
        <v>3604.7</v>
      </c>
      <c r="P3050" s="13">
        <v>1268.2</v>
      </c>
      <c r="Q3050" s="13">
        <v>55.07</v>
      </c>
      <c r="R3050" s="1" t="s">
        <v>51</v>
      </c>
      <c r="S3050" s="1">
        <v>5</v>
      </c>
      <c r="T3050" s="1" t="b">
        <v>0</v>
      </c>
      <c r="U3050" s="1" t="s">
        <v>39</v>
      </c>
      <c r="V3050" s="3">
        <v>7</v>
      </c>
    </row>
    <row r="3051" spans="1:22" x14ac:dyDescent="0.3">
      <c r="A3051" s="2" t="s">
        <v>6576</v>
      </c>
      <c r="B3051" s="10">
        <v>43903</v>
      </c>
      <c r="C3051" s="22">
        <v>43903</v>
      </c>
      <c r="D3051" s="1" t="s">
        <v>6577</v>
      </c>
      <c r="E3051" s="1" t="s">
        <v>1653</v>
      </c>
      <c r="F3051" s="1">
        <v>27</v>
      </c>
      <c r="G3051" s="1" t="s">
        <v>68</v>
      </c>
      <c r="H3051" s="1" t="s">
        <v>35</v>
      </c>
      <c r="I3051" s="1" t="s">
        <v>43</v>
      </c>
      <c r="J3051" s="1" t="s">
        <v>76</v>
      </c>
      <c r="K3051" s="1" t="s">
        <v>122</v>
      </c>
      <c r="L3051" s="1">
        <v>4</v>
      </c>
      <c r="M3051" s="13">
        <v>2696.21</v>
      </c>
      <c r="N3051" s="15">
        <v>0.22</v>
      </c>
      <c r="O3051" s="13">
        <v>8113.08</v>
      </c>
      <c r="P3051" s="13">
        <v>2313.16</v>
      </c>
      <c r="Q3051" s="13">
        <v>51.64</v>
      </c>
      <c r="R3051" s="1" t="s">
        <v>78</v>
      </c>
      <c r="S3051" s="1">
        <v>1</v>
      </c>
      <c r="T3051" s="1" t="b">
        <v>0</v>
      </c>
      <c r="U3051" s="1" t="s">
        <v>39</v>
      </c>
      <c r="V3051" s="3">
        <v>3</v>
      </c>
    </row>
    <row r="3052" spans="1:22" x14ac:dyDescent="0.3">
      <c r="A3052" s="2" t="s">
        <v>6578</v>
      </c>
      <c r="B3052" s="10">
        <v>44072</v>
      </c>
      <c r="C3052" s="22">
        <v>44072</v>
      </c>
      <c r="D3052" s="1" t="s">
        <v>6579</v>
      </c>
      <c r="E3052" s="1" t="s">
        <v>1330</v>
      </c>
      <c r="F3052" s="1">
        <v>28</v>
      </c>
      <c r="G3052" s="1" t="s">
        <v>68</v>
      </c>
      <c r="H3052" s="1" t="s">
        <v>74</v>
      </c>
      <c r="I3052" s="1" t="s">
        <v>101</v>
      </c>
      <c r="J3052" s="1" t="s">
        <v>62</v>
      </c>
      <c r="K3052" s="1" t="s">
        <v>107</v>
      </c>
      <c r="L3052" s="1">
        <v>7</v>
      </c>
      <c r="M3052" s="13">
        <v>370.56</v>
      </c>
      <c r="N3052" s="15">
        <v>0.08</v>
      </c>
      <c r="O3052" s="13">
        <v>2710.89</v>
      </c>
      <c r="P3052" s="13">
        <v>1018.66</v>
      </c>
      <c r="Q3052" s="13">
        <v>29.93</v>
      </c>
      <c r="R3052" s="1" t="s">
        <v>78</v>
      </c>
      <c r="S3052" s="1">
        <v>3</v>
      </c>
      <c r="T3052" s="1" t="b">
        <v>0</v>
      </c>
      <c r="U3052" s="1" t="s">
        <v>39</v>
      </c>
      <c r="V3052" s="3">
        <v>2</v>
      </c>
    </row>
    <row r="3053" spans="1:22" x14ac:dyDescent="0.3">
      <c r="A3053" s="2" t="s">
        <v>6580</v>
      </c>
      <c r="B3053" s="10">
        <v>44121</v>
      </c>
      <c r="C3053" s="22">
        <v>44121</v>
      </c>
      <c r="D3053" s="1" t="s">
        <v>6581</v>
      </c>
      <c r="E3053" s="1" t="s">
        <v>1447</v>
      </c>
      <c r="F3053" s="1">
        <v>26</v>
      </c>
      <c r="G3053" s="1" t="s">
        <v>34</v>
      </c>
      <c r="H3053" s="1" t="s">
        <v>82</v>
      </c>
      <c r="I3053" s="1" t="s">
        <v>83</v>
      </c>
      <c r="J3053" s="1" t="s">
        <v>127</v>
      </c>
      <c r="K3053" s="1" t="s">
        <v>308</v>
      </c>
      <c r="L3053" s="1">
        <v>7</v>
      </c>
      <c r="M3053" s="13">
        <v>45799.76</v>
      </c>
      <c r="N3053" s="15">
        <v>0.33</v>
      </c>
      <c r="O3053" s="13">
        <v>189931.59</v>
      </c>
      <c r="P3053" s="13">
        <v>22577.35</v>
      </c>
      <c r="Q3053" s="13">
        <v>42.79</v>
      </c>
      <c r="R3053" s="1" t="s">
        <v>29</v>
      </c>
      <c r="S3053" s="1">
        <v>2</v>
      </c>
      <c r="T3053" s="1" t="b">
        <v>0</v>
      </c>
      <c r="U3053" s="1" t="s">
        <v>39</v>
      </c>
      <c r="V3053" s="3">
        <v>4</v>
      </c>
    </row>
    <row r="3054" spans="1:22" x14ac:dyDescent="0.3">
      <c r="A3054" s="2" t="s">
        <v>6582</v>
      </c>
      <c r="B3054" s="10">
        <v>45055</v>
      </c>
      <c r="C3054" s="22">
        <v>45055</v>
      </c>
      <c r="D3054" s="1" t="s">
        <v>6583</v>
      </c>
      <c r="E3054" s="1" t="s">
        <v>764</v>
      </c>
      <c r="F3054" s="1">
        <v>43</v>
      </c>
      <c r="G3054" s="1" t="s">
        <v>24</v>
      </c>
      <c r="H3054" s="1" t="s">
        <v>25</v>
      </c>
      <c r="I3054" s="1" t="s">
        <v>69</v>
      </c>
      <c r="J3054" s="1" t="s">
        <v>44</v>
      </c>
      <c r="K3054" s="1" t="s">
        <v>93</v>
      </c>
      <c r="L3054" s="1">
        <v>4</v>
      </c>
      <c r="M3054" s="13">
        <v>30780.639999999999</v>
      </c>
      <c r="N3054" s="15">
        <v>0.36</v>
      </c>
      <c r="O3054" s="13">
        <v>99202.31</v>
      </c>
      <c r="P3054" s="13">
        <v>39133.54</v>
      </c>
      <c r="Q3054" s="13">
        <v>66.36</v>
      </c>
      <c r="R3054" s="1" t="s">
        <v>57</v>
      </c>
      <c r="S3054" s="1">
        <v>3</v>
      </c>
      <c r="T3054" s="1" t="b">
        <v>0</v>
      </c>
      <c r="U3054" s="1" t="s">
        <v>39</v>
      </c>
      <c r="V3054" s="3">
        <v>7</v>
      </c>
    </row>
    <row r="3055" spans="1:22" x14ac:dyDescent="0.3">
      <c r="A3055" s="2" t="s">
        <v>6584</v>
      </c>
      <c r="B3055" s="10">
        <v>44236</v>
      </c>
      <c r="C3055" s="22">
        <v>44236</v>
      </c>
      <c r="D3055" s="1" t="s">
        <v>6585</v>
      </c>
      <c r="E3055" s="1" t="s">
        <v>1404</v>
      </c>
      <c r="F3055" s="1">
        <v>41</v>
      </c>
      <c r="G3055" s="1" t="s">
        <v>24</v>
      </c>
      <c r="H3055" s="1" t="s">
        <v>111</v>
      </c>
      <c r="I3055" s="1" t="s">
        <v>330</v>
      </c>
      <c r="J3055" s="1" t="s">
        <v>37</v>
      </c>
      <c r="K3055" s="1" t="s">
        <v>38</v>
      </c>
      <c r="L3055" s="1">
        <v>10</v>
      </c>
      <c r="M3055" s="13">
        <v>1423.41</v>
      </c>
      <c r="N3055" s="15">
        <v>0.05</v>
      </c>
      <c r="O3055" s="13">
        <v>11797.89</v>
      </c>
      <c r="P3055" s="13">
        <v>5781.35</v>
      </c>
      <c r="Q3055" s="13">
        <v>78.680000000000007</v>
      </c>
      <c r="R3055" s="1" t="s">
        <v>70</v>
      </c>
      <c r="S3055" s="1">
        <v>5</v>
      </c>
      <c r="T3055" s="1" t="b">
        <v>0</v>
      </c>
      <c r="U3055" s="1" t="s">
        <v>39</v>
      </c>
      <c r="V3055" s="3">
        <v>6</v>
      </c>
    </row>
    <row r="3056" spans="1:22" x14ac:dyDescent="0.3">
      <c r="A3056" s="2" t="s">
        <v>6586</v>
      </c>
      <c r="B3056" s="10">
        <v>44113</v>
      </c>
      <c r="C3056" s="22">
        <v>44113</v>
      </c>
      <c r="D3056" s="1" t="s">
        <v>4350</v>
      </c>
      <c r="E3056" s="1" t="s">
        <v>842</v>
      </c>
      <c r="F3056" s="1">
        <v>31</v>
      </c>
      <c r="G3056" s="1" t="s">
        <v>68</v>
      </c>
      <c r="H3056" s="1" t="s">
        <v>35</v>
      </c>
      <c r="I3056" s="1" t="s">
        <v>36</v>
      </c>
      <c r="J3056" s="1" t="s">
        <v>127</v>
      </c>
      <c r="K3056" s="1" t="s">
        <v>308</v>
      </c>
      <c r="L3056" s="1">
        <v>5</v>
      </c>
      <c r="M3056" s="13">
        <v>32547.29</v>
      </c>
      <c r="N3056" s="15">
        <v>0.39</v>
      </c>
      <c r="O3056" s="13">
        <v>16855.55</v>
      </c>
      <c r="P3056" s="13">
        <v>1445.51</v>
      </c>
      <c r="Q3056" s="13">
        <v>61.78</v>
      </c>
      <c r="R3056" s="1" t="s">
        <v>78</v>
      </c>
      <c r="S3056" s="1">
        <v>3</v>
      </c>
      <c r="T3056" s="1" t="b">
        <v>0</v>
      </c>
      <c r="U3056" s="1" t="s">
        <v>39</v>
      </c>
      <c r="V3056" s="3">
        <v>10</v>
      </c>
    </row>
    <row r="3057" spans="1:22" x14ac:dyDescent="0.3">
      <c r="A3057" s="2" t="s">
        <v>6587</v>
      </c>
      <c r="B3057" s="10">
        <v>44701</v>
      </c>
      <c r="C3057" s="22">
        <v>44701</v>
      </c>
      <c r="D3057" s="1" t="s">
        <v>6588</v>
      </c>
      <c r="E3057" s="1" t="s">
        <v>3152</v>
      </c>
      <c r="F3057" s="1">
        <v>38</v>
      </c>
      <c r="G3057" s="1" t="s">
        <v>88</v>
      </c>
      <c r="H3057" s="1" t="s">
        <v>74</v>
      </c>
      <c r="I3057" s="1" t="s">
        <v>192</v>
      </c>
      <c r="J3057" s="1" t="s">
        <v>62</v>
      </c>
      <c r="K3057" s="1" t="s">
        <v>151</v>
      </c>
      <c r="L3057" s="1">
        <v>5</v>
      </c>
      <c r="M3057" s="13">
        <v>951.75</v>
      </c>
      <c r="N3057" s="15">
        <v>0.02</v>
      </c>
      <c r="O3057" s="13">
        <v>5936.18</v>
      </c>
      <c r="P3057" s="13">
        <v>2402.75</v>
      </c>
      <c r="Q3057" s="13">
        <v>54.03</v>
      </c>
      <c r="R3057" s="1" t="s">
        <v>51</v>
      </c>
      <c r="S3057" s="1">
        <v>3</v>
      </c>
      <c r="T3057" s="1" t="b">
        <v>0</v>
      </c>
      <c r="U3057" s="1" t="s">
        <v>39</v>
      </c>
      <c r="V3057" s="3">
        <v>6</v>
      </c>
    </row>
    <row r="3058" spans="1:22" x14ac:dyDescent="0.3">
      <c r="A3058" s="2" t="s">
        <v>6589</v>
      </c>
      <c r="B3058" s="10">
        <v>45356</v>
      </c>
      <c r="C3058" s="22">
        <v>45356</v>
      </c>
      <c r="D3058" s="1" t="s">
        <v>6590</v>
      </c>
      <c r="E3058" s="1" t="s">
        <v>773</v>
      </c>
      <c r="F3058" s="1">
        <v>52</v>
      </c>
      <c r="G3058" s="1" t="s">
        <v>68</v>
      </c>
      <c r="H3058" s="1" t="s">
        <v>74</v>
      </c>
      <c r="I3058" s="1" t="s">
        <v>75</v>
      </c>
      <c r="J3058" s="1" t="s">
        <v>27</v>
      </c>
      <c r="K3058" s="1" t="s">
        <v>450</v>
      </c>
      <c r="L3058" s="1">
        <v>10</v>
      </c>
      <c r="M3058" s="13">
        <v>414.16</v>
      </c>
      <c r="N3058" s="15">
        <v>0.03</v>
      </c>
      <c r="O3058" s="13">
        <v>4932.93</v>
      </c>
      <c r="P3058" s="13">
        <v>345.9</v>
      </c>
      <c r="Q3058" s="13">
        <v>47.29</v>
      </c>
      <c r="R3058" s="1" t="s">
        <v>64</v>
      </c>
      <c r="S3058" s="1">
        <v>5</v>
      </c>
      <c r="T3058" s="1" t="b">
        <v>1</v>
      </c>
      <c r="U3058" s="1" t="s">
        <v>30</v>
      </c>
      <c r="V3058" s="3">
        <v>8</v>
      </c>
    </row>
    <row r="3059" spans="1:22" x14ac:dyDescent="0.3">
      <c r="A3059" s="2" t="s">
        <v>6591</v>
      </c>
      <c r="B3059" s="10">
        <v>45652</v>
      </c>
      <c r="C3059" s="22">
        <v>45652</v>
      </c>
      <c r="D3059" s="1" t="s">
        <v>6592</v>
      </c>
      <c r="E3059" s="1" t="s">
        <v>569</v>
      </c>
      <c r="F3059" s="1">
        <v>32</v>
      </c>
      <c r="G3059" s="1" t="s">
        <v>24</v>
      </c>
      <c r="H3059" s="1" t="s">
        <v>35</v>
      </c>
      <c r="I3059" s="1" t="s">
        <v>36</v>
      </c>
      <c r="J3059" s="1" t="s">
        <v>127</v>
      </c>
      <c r="K3059" s="1" t="s">
        <v>308</v>
      </c>
      <c r="L3059" s="1">
        <v>4</v>
      </c>
      <c r="M3059" s="13">
        <v>64608.94</v>
      </c>
      <c r="N3059" s="15">
        <v>0.17</v>
      </c>
      <c r="O3059" s="13">
        <v>191352.59</v>
      </c>
      <c r="P3059" s="13">
        <v>27372.68</v>
      </c>
      <c r="Q3059" s="13">
        <v>79.41</v>
      </c>
      <c r="R3059" s="1" t="s">
        <v>70</v>
      </c>
      <c r="S3059" s="1">
        <v>4</v>
      </c>
      <c r="T3059" s="1" t="b">
        <v>1</v>
      </c>
      <c r="U3059" s="1" t="s">
        <v>30</v>
      </c>
      <c r="V3059" s="3">
        <v>5</v>
      </c>
    </row>
    <row r="3060" spans="1:22" x14ac:dyDescent="0.3">
      <c r="A3060" s="2" t="s">
        <v>6593</v>
      </c>
      <c r="B3060" s="10">
        <v>44900</v>
      </c>
      <c r="C3060" s="22">
        <v>44900</v>
      </c>
      <c r="D3060" s="1" t="s">
        <v>6594</v>
      </c>
      <c r="E3060" s="1" t="s">
        <v>578</v>
      </c>
      <c r="F3060" s="1">
        <v>26</v>
      </c>
      <c r="G3060" s="1" t="s">
        <v>463</v>
      </c>
      <c r="H3060" s="1" t="s">
        <v>25</v>
      </c>
      <c r="I3060" s="1" t="s">
        <v>170</v>
      </c>
      <c r="J3060" s="1" t="s">
        <v>76</v>
      </c>
      <c r="K3060" s="1" t="s">
        <v>89</v>
      </c>
      <c r="L3060" s="1">
        <v>8</v>
      </c>
      <c r="M3060" s="13">
        <v>2620.02</v>
      </c>
      <c r="N3060" s="15">
        <v>0.36</v>
      </c>
      <c r="O3060" s="13">
        <v>9964.39</v>
      </c>
      <c r="P3060" s="13">
        <v>3441.54</v>
      </c>
      <c r="Q3060" s="13">
        <v>41.75</v>
      </c>
      <c r="R3060" s="1" t="s">
        <v>70</v>
      </c>
      <c r="S3060" s="1">
        <v>3</v>
      </c>
      <c r="T3060" s="1" t="b">
        <v>1</v>
      </c>
      <c r="U3060" s="1" t="s">
        <v>30</v>
      </c>
      <c r="V3060" s="3">
        <v>1</v>
      </c>
    </row>
    <row r="3061" spans="1:22" x14ac:dyDescent="0.3">
      <c r="A3061" s="2" t="s">
        <v>6595</v>
      </c>
      <c r="B3061" s="10">
        <v>44024</v>
      </c>
      <c r="C3061" s="22">
        <v>44024</v>
      </c>
      <c r="D3061" s="1" t="s">
        <v>6596</v>
      </c>
      <c r="E3061" s="1" t="s">
        <v>2752</v>
      </c>
      <c r="F3061" s="1">
        <v>22</v>
      </c>
      <c r="G3061" s="1" t="s">
        <v>24</v>
      </c>
      <c r="H3061" s="1" t="s">
        <v>74</v>
      </c>
      <c r="I3061" s="1" t="s">
        <v>136</v>
      </c>
      <c r="J3061" s="1" t="s">
        <v>146</v>
      </c>
      <c r="K3061" s="1" t="s">
        <v>178</v>
      </c>
      <c r="L3061" s="1">
        <v>6</v>
      </c>
      <c r="M3061" s="13">
        <v>6916.49</v>
      </c>
      <c r="N3061" s="15">
        <v>0.38</v>
      </c>
      <c r="O3061" s="13">
        <v>37343.86</v>
      </c>
      <c r="P3061" s="13">
        <v>8968.23</v>
      </c>
      <c r="Q3061" s="13">
        <v>54.82</v>
      </c>
      <c r="R3061" s="1" t="s">
        <v>70</v>
      </c>
      <c r="S3061" s="1">
        <v>3</v>
      </c>
      <c r="T3061" s="1" t="b">
        <v>0</v>
      </c>
      <c r="U3061" s="1" t="s">
        <v>39</v>
      </c>
      <c r="V3061" s="3">
        <v>8</v>
      </c>
    </row>
    <row r="3062" spans="1:22" x14ac:dyDescent="0.3">
      <c r="A3062" s="2" t="s">
        <v>6597</v>
      </c>
      <c r="B3062" s="10">
        <v>44328</v>
      </c>
      <c r="C3062" s="22">
        <v>44328</v>
      </c>
      <c r="D3062" s="1" t="s">
        <v>6598</v>
      </c>
      <c r="E3062" s="1" t="s">
        <v>1108</v>
      </c>
      <c r="F3062" s="1">
        <v>46</v>
      </c>
      <c r="G3062" s="1" t="s">
        <v>24</v>
      </c>
      <c r="H3062" s="1" t="s">
        <v>25</v>
      </c>
      <c r="I3062" s="1" t="s">
        <v>26</v>
      </c>
      <c r="J3062" s="1" t="s">
        <v>146</v>
      </c>
      <c r="K3062" s="1" t="s">
        <v>484</v>
      </c>
      <c r="L3062" s="1">
        <v>5</v>
      </c>
      <c r="M3062" s="13">
        <v>1589.12</v>
      </c>
      <c r="N3062" s="15">
        <v>0.2</v>
      </c>
      <c r="O3062" s="13">
        <v>8606.2099999999991</v>
      </c>
      <c r="P3062" s="13">
        <v>1388.16</v>
      </c>
      <c r="Q3062" s="13">
        <v>54.57</v>
      </c>
      <c r="R3062" s="1" t="s">
        <v>51</v>
      </c>
      <c r="S3062" s="1">
        <v>3</v>
      </c>
      <c r="T3062" s="1" t="b">
        <v>0</v>
      </c>
      <c r="U3062" s="1" t="s">
        <v>39</v>
      </c>
      <c r="V3062" s="3">
        <v>4</v>
      </c>
    </row>
    <row r="3063" spans="1:22" x14ac:dyDescent="0.3">
      <c r="A3063" s="2" t="s">
        <v>6599</v>
      </c>
      <c r="B3063" s="10">
        <v>44861</v>
      </c>
      <c r="C3063" s="22">
        <v>44861</v>
      </c>
      <c r="D3063" s="1" t="s">
        <v>6600</v>
      </c>
      <c r="E3063" s="1" t="s">
        <v>591</v>
      </c>
      <c r="F3063" s="1">
        <v>12</v>
      </c>
      <c r="G3063" s="1" t="s">
        <v>68</v>
      </c>
      <c r="H3063" s="1" t="s">
        <v>82</v>
      </c>
      <c r="I3063" s="1" t="s">
        <v>293</v>
      </c>
      <c r="J3063" s="1" t="s">
        <v>27</v>
      </c>
      <c r="K3063" s="1" t="s">
        <v>430</v>
      </c>
      <c r="L3063" s="1">
        <v>6</v>
      </c>
      <c r="M3063" s="13">
        <v>473.26</v>
      </c>
      <c r="N3063" s="15">
        <v>0.33</v>
      </c>
      <c r="O3063" s="13">
        <v>1858.4</v>
      </c>
      <c r="P3063" s="13">
        <v>169.63</v>
      </c>
      <c r="Q3063" s="13">
        <v>83.38</v>
      </c>
      <c r="R3063" s="1" t="s">
        <v>64</v>
      </c>
      <c r="S3063" s="1">
        <v>1</v>
      </c>
      <c r="T3063" s="1" t="b">
        <v>0</v>
      </c>
      <c r="U3063" s="1" t="s">
        <v>39</v>
      </c>
      <c r="V3063" s="3">
        <v>1</v>
      </c>
    </row>
    <row r="3064" spans="1:22" x14ac:dyDescent="0.3">
      <c r="A3064" s="2" t="s">
        <v>6601</v>
      </c>
      <c r="B3064" s="10">
        <v>45595</v>
      </c>
      <c r="C3064" s="22">
        <v>45595</v>
      </c>
      <c r="D3064" s="1" t="s">
        <v>6602</v>
      </c>
      <c r="E3064" s="1" t="s">
        <v>801</v>
      </c>
      <c r="F3064" s="1">
        <v>6</v>
      </c>
      <c r="G3064" s="1" t="s">
        <v>68</v>
      </c>
      <c r="H3064" s="1" t="s">
        <v>111</v>
      </c>
      <c r="I3064" s="1" t="s">
        <v>121</v>
      </c>
      <c r="J3064" s="1" t="s">
        <v>44</v>
      </c>
      <c r="K3064" s="1" t="s">
        <v>50</v>
      </c>
      <c r="L3064" s="1">
        <v>0</v>
      </c>
      <c r="M3064" s="13">
        <v>16894.52</v>
      </c>
      <c r="N3064" s="15">
        <v>0.27</v>
      </c>
      <c r="O3064" s="13">
        <v>14763.33</v>
      </c>
      <c r="P3064" s="13">
        <v>5236.34</v>
      </c>
      <c r="Q3064" s="13">
        <v>80.599999999999994</v>
      </c>
      <c r="R3064" s="1" t="s">
        <v>64</v>
      </c>
      <c r="S3064" s="1">
        <v>5</v>
      </c>
      <c r="T3064" s="1" t="b">
        <v>0</v>
      </c>
      <c r="U3064" s="1" t="s">
        <v>84</v>
      </c>
      <c r="V3064" s="3">
        <v>10</v>
      </c>
    </row>
    <row r="3065" spans="1:22" x14ac:dyDescent="0.3">
      <c r="A3065" s="2" t="s">
        <v>6603</v>
      </c>
      <c r="B3065" s="10">
        <v>44990</v>
      </c>
      <c r="C3065" s="22">
        <v>44990</v>
      </c>
      <c r="D3065" s="1" t="s">
        <v>6604</v>
      </c>
      <c r="E3065" s="1" t="s">
        <v>1204</v>
      </c>
      <c r="F3065" s="1">
        <v>46</v>
      </c>
      <c r="G3065" s="1" t="s">
        <v>68</v>
      </c>
      <c r="H3065" s="1" t="s">
        <v>35</v>
      </c>
      <c r="I3065" s="1" t="s">
        <v>106</v>
      </c>
      <c r="J3065" s="1" t="s">
        <v>146</v>
      </c>
      <c r="K3065" s="1" t="s">
        <v>484</v>
      </c>
      <c r="L3065" s="1">
        <v>8</v>
      </c>
      <c r="M3065" s="13">
        <v>7037.46</v>
      </c>
      <c r="N3065" s="15">
        <v>0.21</v>
      </c>
      <c r="O3065" s="13">
        <v>66204.63</v>
      </c>
      <c r="P3065" s="13">
        <v>8522.6299999999992</v>
      </c>
      <c r="Q3065" s="13">
        <v>63.69</v>
      </c>
      <c r="R3065" s="1" t="s">
        <v>78</v>
      </c>
      <c r="S3065" s="1">
        <v>4</v>
      </c>
      <c r="T3065" s="1" t="b">
        <v>0</v>
      </c>
      <c r="U3065" s="1" t="s">
        <v>39</v>
      </c>
      <c r="V3065" s="3">
        <v>2</v>
      </c>
    </row>
    <row r="3066" spans="1:22" x14ac:dyDescent="0.3">
      <c r="A3066" s="2" t="s">
        <v>6605</v>
      </c>
      <c r="B3066" s="10">
        <v>44093</v>
      </c>
      <c r="C3066" s="22">
        <v>44093</v>
      </c>
      <c r="D3066" s="1" t="s">
        <v>6606</v>
      </c>
      <c r="E3066" s="1" t="s">
        <v>4150</v>
      </c>
      <c r="F3066" s="1">
        <v>40</v>
      </c>
      <c r="G3066" s="1" t="s">
        <v>34</v>
      </c>
      <c r="H3066" s="1" t="s">
        <v>82</v>
      </c>
      <c r="I3066" s="1" t="s">
        <v>83</v>
      </c>
      <c r="J3066" s="1" t="s">
        <v>146</v>
      </c>
      <c r="K3066" s="1" t="s">
        <v>484</v>
      </c>
      <c r="L3066" s="1">
        <v>9</v>
      </c>
      <c r="M3066" s="13">
        <v>3643.69</v>
      </c>
      <c r="N3066" s="15">
        <v>7.0000000000000007E-2</v>
      </c>
      <c r="O3066" s="13">
        <v>28799.52</v>
      </c>
      <c r="P3066" s="13">
        <v>3724.9</v>
      </c>
      <c r="Q3066" s="13">
        <v>81.760000000000005</v>
      </c>
      <c r="R3066" s="1" t="s">
        <v>70</v>
      </c>
      <c r="S3066" s="1">
        <v>4</v>
      </c>
      <c r="T3066" s="1" t="b">
        <v>0</v>
      </c>
      <c r="U3066" s="1" t="s">
        <v>39</v>
      </c>
      <c r="V3066" s="3">
        <v>8</v>
      </c>
    </row>
    <row r="3067" spans="1:22" x14ac:dyDescent="0.3">
      <c r="A3067" s="2" t="s">
        <v>6607</v>
      </c>
      <c r="B3067" s="10">
        <v>45028</v>
      </c>
      <c r="C3067" s="22">
        <v>45028</v>
      </c>
      <c r="D3067" s="1" t="s">
        <v>6608</v>
      </c>
      <c r="E3067" s="1" t="s">
        <v>406</v>
      </c>
      <c r="F3067" s="1">
        <v>36</v>
      </c>
      <c r="G3067" s="1" t="s">
        <v>34</v>
      </c>
      <c r="H3067" s="1" t="s">
        <v>111</v>
      </c>
      <c r="I3067" s="1" t="s">
        <v>330</v>
      </c>
      <c r="J3067" s="1" t="s">
        <v>37</v>
      </c>
      <c r="K3067" s="1" t="s">
        <v>454</v>
      </c>
      <c r="L3067" s="1">
        <v>1</v>
      </c>
      <c r="M3067" s="13">
        <v>1927.8</v>
      </c>
      <c r="N3067" s="15">
        <v>0.25</v>
      </c>
      <c r="O3067" s="13">
        <v>2039.37</v>
      </c>
      <c r="P3067" s="13">
        <v>829.68</v>
      </c>
      <c r="Q3067" s="13">
        <v>81.77</v>
      </c>
      <c r="R3067" s="1" t="s">
        <v>29</v>
      </c>
      <c r="S3067" s="1">
        <v>2</v>
      </c>
      <c r="T3067" s="1" t="b">
        <v>0</v>
      </c>
      <c r="U3067" s="1" t="s">
        <v>39</v>
      </c>
      <c r="V3067" s="3">
        <v>8</v>
      </c>
    </row>
    <row r="3068" spans="1:22" x14ac:dyDescent="0.3">
      <c r="A3068" s="2" t="s">
        <v>6609</v>
      </c>
      <c r="B3068" s="10">
        <v>45391</v>
      </c>
      <c r="C3068" s="22">
        <v>45391</v>
      </c>
      <c r="D3068" s="1" t="s">
        <v>6610</v>
      </c>
      <c r="E3068" s="1" t="s">
        <v>711</v>
      </c>
      <c r="F3068" s="1">
        <v>37</v>
      </c>
      <c r="G3068" s="1" t="s">
        <v>68</v>
      </c>
      <c r="H3068" s="1" t="s">
        <v>111</v>
      </c>
      <c r="I3068" s="1" t="s">
        <v>141</v>
      </c>
      <c r="J3068" s="1" t="s">
        <v>37</v>
      </c>
      <c r="K3068" s="1" t="s">
        <v>671</v>
      </c>
      <c r="L3068" s="1">
        <v>7</v>
      </c>
      <c r="M3068" s="13">
        <v>410.6</v>
      </c>
      <c r="N3068" s="15">
        <v>0.05</v>
      </c>
      <c r="O3068" s="13">
        <v>4158.82</v>
      </c>
      <c r="P3068" s="13">
        <v>1647.62</v>
      </c>
      <c r="Q3068" s="13">
        <v>74.28</v>
      </c>
      <c r="R3068" s="1" t="s">
        <v>70</v>
      </c>
      <c r="S3068" s="1">
        <v>3</v>
      </c>
      <c r="T3068" s="1" t="b">
        <v>0</v>
      </c>
      <c r="U3068" s="1" t="s">
        <v>39</v>
      </c>
      <c r="V3068" s="3">
        <v>7</v>
      </c>
    </row>
    <row r="3069" spans="1:22" x14ac:dyDescent="0.3">
      <c r="A3069" s="2" t="s">
        <v>6611</v>
      </c>
      <c r="B3069" s="10">
        <v>44408</v>
      </c>
      <c r="C3069" s="22">
        <v>44408</v>
      </c>
      <c r="D3069" s="1" t="s">
        <v>6612</v>
      </c>
      <c r="E3069" s="1" t="s">
        <v>569</v>
      </c>
      <c r="F3069" s="1">
        <v>26</v>
      </c>
      <c r="G3069" s="1" t="s">
        <v>34</v>
      </c>
      <c r="H3069" s="1" t="s">
        <v>74</v>
      </c>
      <c r="I3069" s="1" t="s">
        <v>136</v>
      </c>
      <c r="J3069" s="1" t="s">
        <v>127</v>
      </c>
      <c r="K3069" s="1" t="s">
        <v>142</v>
      </c>
      <c r="L3069" s="1">
        <v>8</v>
      </c>
      <c r="M3069" s="13">
        <v>63773.73</v>
      </c>
      <c r="N3069" s="15">
        <v>0.38</v>
      </c>
      <c r="O3069" s="13">
        <v>408398.64</v>
      </c>
      <c r="P3069" s="13">
        <v>36997.480000000003</v>
      </c>
      <c r="Q3069" s="13">
        <v>37.03</v>
      </c>
      <c r="R3069" s="1" t="s">
        <v>70</v>
      </c>
      <c r="S3069" s="1">
        <v>4</v>
      </c>
      <c r="T3069" s="1" t="b">
        <v>0</v>
      </c>
      <c r="U3069" s="1" t="s">
        <v>39</v>
      </c>
      <c r="V3069" s="3">
        <v>3</v>
      </c>
    </row>
    <row r="3070" spans="1:22" x14ac:dyDescent="0.3">
      <c r="A3070" s="2" t="s">
        <v>6613</v>
      </c>
      <c r="B3070" s="10">
        <v>43990</v>
      </c>
      <c r="C3070" s="22">
        <v>43990</v>
      </c>
      <c r="D3070" s="1" t="s">
        <v>1421</v>
      </c>
      <c r="E3070" s="1" t="s">
        <v>1447</v>
      </c>
      <c r="F3070" s="1">
        <v>26</v>
      </c>
      <c r="G3070" s="1" t="s">
        <v>24</v>
      </c>
      <c r="H3070" s="1" t="s">
        <v>111</v>
      </c>
      <c r="I3070" s="1" t="s">
        <v>112</v>
      </c>
      <c r="J3070" s="1" t="s">
        <v>127</v>
      </c>
      <c r="K3070" s="1" t="s">
        <v>128</v>
      </c>
      <c r="L3070" s="1">
        <v>3</v>
      </c>
      <c r="M3070" s="13">
        <v>74867.199999999997</v>
      </c>
      <c r="N3070" s="15">
        <v>0.22</v>
      </c>
      <c r="O3070" s="13">
        <v>239862.52</v>
      </c>
      <c r="P3070" s="13">
        <v>27646.01</v>
      </c>
      <c r="Q3070" s="13">
        <v>39.1</v>
      </c>
      <c r="R3070" s="1" t="s">
        <v>64</v>
      </c>
      <c r="S3070" s="1">
        <v>4</v>
      </c>
      <c r="T3070" s="1" t="b">
        <v>0</v>
      </c>
      <c r="U3070" s="1" t="s">
        <v>39</v>
      </c>
      <c r="V3070" s="3">
        <v>8</v>
      </c>
    </row>
    <row r="3071" spans="1:22" x14ac:dyDescent="0.3">
      <c r="A3071" s="2" t="s">
        <v>6614</v>
      </c>
      <c r="B3071" s="10">
        <v>44530</v>
      </c>
      <c r="C3071" s="22">
        <v>44530</v>
      </c>
      <c r="D3071" s="1" t="s">
        <v>6615</v>
      </c>
      <c r="E3071" s="1" t="s">
        <v>776</v>
      </c>
      <c r="F3071" s="1">
        <v>25</v>
      </c>
      <c r="G3071" s="1" t="s">
        <v>34</v>
      </c>
      <c r="H3071" s="1" t="s">
        <v>74</v>
      </c>
      <c r="I3071" s="1" t="s">
        <v>75</v>
      </c>
      <c r="J3071" s="1" t="s">
        <v>127</v>
      </c>
      <c r="K3071" s="1" t="s">
        <v>128</v>
      </c>
      <c r="L3071" s="1">
        <v>2</v>
      </c>
      <c r="M3071" s="13">
        <v>62340.2</v>
      </c>
      <c r="N3071" s="15">
        <v>0.11</v>
      </c>
      <c r="O3071" s="13">
        <v>85395.8</v>
      </c>
      <c r="P3071" s="13">
        <v>8409.34</v>
      </c>
      <c r="Q3071" s="13">
        <v>66.81</v>
      </c>
      <c r="R3071" s="1" t="s">
        <v>78</v>
      </c>
      <c r="S3071" s="1">
        <v>4</v>
      </c>
      <c r="T3071" s="1" t="b">
        <v>0</v>
      </c>
      <c r="U3071" s="1" t="s">
        <v>39</v>
      </c>
      <c r="V3071" s="3">
        <v>6</v>
      </c>
    </row>
    <row r="3072" spans="1:22" x14ac:dyDescent="0.3">
      <c r="A3072" s="2" t="s">
        <v>6616</v>
      </c>
      <c r="B3072" s="10">
        <v>45635</v>
      </c>
      <c r="C3072" s="22">
        <v>45635</v>
      </c>
      <c r="D3072" s="1" t="s">
        <v>896</v>
      </c>
      <c r="E3072" s="1" t="s">
        <v>167</v>
      </c>
      <c r="F3072" s="1">
        <v>18</v>
      </c>
      <c r="G3072" s="1" t="s">
        <v>24</v>
      </c>
      <c r="H3072" s="1" t="s">
        <v>82</v>
      </c>
      <c r="I3072" s="1" t="s">
        <v>244</v>
      </c>
      <c r="J3072" s="1" t="s">
        <v>62</v>
      </c>
      <c r="K3072" s="1" t="s">
        <v>107</v>
      </c>
      <c r="L3072" s="1">
        <v>2</v>
      </c>
      <c r="M3072" s="13">
        <v>1034.18</v>
      </c>
      <c r="N3072" s="15">
        <v>0.33</v>
      </c>
      <c r="O3072" s="13">
        <v>1184.8</v>
      </c>
      <c r="P3072" s="13">
        <v>369.59</v>
      </c>
      <c r="Q3072" s="13">
        <v>65.48</v>
      </c>
      <c r="R3072" s="1" t="s">
        <v>70</v>
      </c>
      <c r="S3072" s="1">
        <v>5</v>
      </c>
      <c r="T3072" s="1" t="b">
        <v>0</v>
      </c>
      <c r="U3072" s="1" t="s">
        <v>39</v>
      </c>
      <c r="V3072" s="3">
        <v>3</v>
      </c>
    </row>
    <row r="3073" spans="1:22" x14ac:dyDescent="0.3">
      <c r="A3073" s="2" t="s">
        <v>6617</v>
      </c>
      <c r="B3073" s="10">
        <v>44528</v>
      </c>
      <c r="C3073" s="22">
        <v>44528</v>
      </c>
      <c r="D3073" s="1" t="s">
        <v>6618</v>
      </c>
      <c r="E3073" s="1" t="s">
        <v>789</v>
      </c>
      <c r="F3073" s="1">
        <v>23</v>
      </c>
      <c r="G3073" s="1" t="s">
        <v>68</v>
      </c>
      <c r="H3073" s="1" t="s">
        <v>74</v>
      </c>
      <c r="I3073" s="1" t="s">
        <v>136</v>
      </c>
      <c r="J3073" s="1" t="s">
        <v>44</v>
      </c>
      <c r="K3073" s="1" t="s">
        <v>221</v>
      </c>
      <c r="L3073" s="1">
        <v>10</v>
      </c>
      <c r="M3073" s="13">
        <v>20890.04</v>
      </c>
      <c r="N3073" s="15">
        <v>0.04</v>
      </c>
      <c r="O3073" s="13">
        <v>147207.49</v>
      </c>
      <c r="P3073" s="13">
        <v>44130.71</v>
      </c>
      <c r="Q3073" s="13">
        <v>34.32</v>
      </c>
      <c r="R3073" s="1" t="s">
        <v>51</v>
      </c>
      <c r="S3073" s="1">
        <v>2</v>
      </c>
      <c r="T3073" s="1" t="b">
        <v>1</v>
      </c>
      <c r="U3073" s="1" t="s">
        <v>30</v>
      </c>
      <c r="V3073" s="3">
        <v>5</v>
      </c>
    </row>
    <row r="3074" spans="1:22" x14ac:dyDescent="0.3">
      <c r="A3074" s="2" t="s">
        <v>6619</v>
      </c>
      <c r="B3074" s="10">
        <v>45547</v>
      </c>
      <c r="C3074" s="22">
        <v>45547</v>
      </c>
      <c r="D3074" s="1" t="s">
        <v>6620</v>
      </c>
      <c r="E3074" s="1" t="s">
        <v>2161</v>
      </c>
      <c r="F3074" s="1">
        <v>27</v>
      </c>
      <c r="G3074" s="1" t="s">
        <v>68</v>
      </c>
      <c r="H3074" s="1" t="s">
        <v>74</v>
      </c>
      <c r="I3074" s="1" t="s">
        <v>192</v>
      </c>
      <c r="J3074" s="1" t="s">
        <v>44</v>
      </c>
      <c r="K3074" s="1" t="s">
        <v>93</v>
      </c>
      <c r="L3074" s="1">
        <v>8</v>
      </c>
      <c r="M3074" s="13">
        <v>12647.54</v>
      </c>
      <c r="N3074" s="15">
        <v>0.19</v>
      </c>
      <c r="O3074" s="13">
        <v>102341.78</v>
      </c>
      <c r="P3074" s="13">
        <v>35160.81</v>
      </c>
      <c r="Q3074" s="13">
        <v>69.62</v>
      </c>
      <c r="R3074" s="1" t="s">
        <v>29</v>
      </c>
      <c r="S3074" s="1">
        <v>5</v>
      </c>
      <c r="T3074" s="1" t="b">
        <v>0</v>
      </c>
      <c r="U3074" s="1" t="s">
        <v>197</v>
      </c>
      <c r="V3074" s="3">
        <v>6</v>
      </c>
    </row>
    <row r="3075" spans="1:22" x14ac:dyDescent="0.3">
      <c r="A3075" s="2" t="s">
        <v>6621</v>
      </c>
      <c r="B3075" s="10">
        <v>44609</v>
      </c>
      <c r="C3075" s="22">
        <v>44609</v>
      </c>
      <c r="D3075" s="1" t="s">
        <v>6622</v>
      </c>
      <c r="E3075" s="1" t="s">
        <v>1492</v>
      </c>
      <c r="F3075" s="1">
        <v>46</v>
      </c>
      <c r="G3075" s="1" t="s">
        <v>68</v>
      </c>
      <c r="H3075" s="1" t="s">
        <v>82</v>
      </c>
      <c r="I3075" s="1" t="s">
        <v>126</v>
      </c>
      <c r="J3075" s="1" t="s">
        <v>44</v>
      </c>
      <c r="K3075" s="1" t="s">
        <v>221</v>
      </c>
      <c r="L3075" s="1">
        <v>6</v>
      </c>
      <c r="M3075" s="13">
        <v>33082.65</v>
      </c>
      <c r="N3075" s="15">
        <v>0.31</v>
      </c>
      <c r="O3075" s="13">
        <v>130650.07</v>
      </c>
      <c r="P3075" s="13">
        <v>42902.13</v>
      </c>
      <c r="Q3075" s="13">
        <v>79.09</v>
      </c>
      <c r="R3075" s="1" t="s">
        <v>57</v>
      </c>
      <c r="S3075" s="1">
        <v>4</v>
      </c>
      <c r="T3075" s="1" t="b">
        <v>0</v>
      </c>
      <c r="U3075" s="1" t="s">
        <v>39</v>
      </c>
      <c r="V3075" s="3">
        <v>8</v>
      </c>
    </row>
    <row r="3076" spans="1:22" x14ac:dyDescent="0.3">
      <c r="A3076" s="2" t="s">
        <v>6623</v>
      </c>
      <c r="B3076" s="10">
        <v>44405</v>
      </c>
      <c r="C3076" s="22">
        <v>44405</v>
      </c>
      <c r="D3076" s="1" t="s">
        <v>6624</v>
      </c>
      <c r="E3076" s="1" t="s">
        <v>2257</v>
      </c>
      <c r="F3076" s="1">
        <v>20</v>
      </c>
      <c r="G3076" s="1" t="s">
        <v>34</v>
      </c>
      <c r="H3076" s="1" t="s">
        <v>82</v>
      </c>
      <c r="I3076" s="1" t="s">
        <v>126</v>
      </c>
      <c r="J3076" s="1" t="s">
        <v>37</v>
      </c>
      <c r="K3076" s="1" t="s">
        <v>102</v>
      </c>
      <c r="L3076" s="1">
        <v>2</v>
      </c>
      <c r="M3076" s="13">
        <v>1205.6199999999999</v>
      </c>
      <c r="N3076" s="15">
        <v>0.03</v>
      </c>
      <c r="O3076" s="13">
        <v>3688.61</v>
      </c>
      <c r="P3076" s="13">
        <v>769.98</v>
      </c>
      <c r="Q3076" s="13">
        <v>93.43</v>
      </c>
      <c r="R3076" s="1" t="s">
        <v>70</v>
      </c>
      <c r="S3076" s="1">
        <v>3</v>
      </c>
      <c r="T3076" s="1" t="b">
        <v>0</v>
      </c>
      <c r="U3076" s="1" t="s">
        <v>39</v>
      </c>
      <c r="V3076" s="3">
        <v>1</v>
      </c>
    </row>
    <row r="3077" spans="1:22" x14ac:dyDescent="0.3">
      <c r="A3077" s="2" t="s">
        <v>6625</v>
      </c>
      <c r="B3077" s="10">
        <v>44353</v>
      </c>
      <c r="C3077" s="22">
        <v>44353</v>
      </c>
      <c r="D3077" s="1" t="s">
        <v>6626</v>
      </c>
      <c r="E3077" s="1" t="s">
        <v>1166</v>
      </c>
      <c r="F3077" s="1">
        <v>40</v>
      </c>
      <c r="G3077" s="1" t="s">
        <v>24</v>
      </c>
      <c r="H3077" s="1" t="s">
        <v>25</v>
      </c>
      <c r="I3077" s="1" t="s">
        <v>26</v>
      </c>
      <c r="J3077" s="1" t="s">
        <v>146</v>
      </c>
      <c r="K3077" s="1" t="s">
        <v>484</v>
      </c>
      <c r="L3077" s="1">
        <v>4</v>
      </c>
      <c r="M3077" s="13">
        <v>3455.68</v>
      </c>
      <c r="N3077" s="15">
        <v>0.21</v>
      </c>
      <c r="O3077" s="13">
        <v>15734.44</v>
      </c>
      <c r="P3077" s="13">
        <v>3511.52</v>
      </c>
      <c r="Q3077" s="13">
        <v>64.63</v>
      </c>
      <c r="R3077" s="1" t="s">
        <v>70</v>
      </c>
      <c r="S3077" s="1">
        <v>2</v>
      </c>
      <c r="T3077" s="1" t="b">
        <v>1</v>
      </c>
      <c r="U3077" s="1" t="s">
        <v>30</v>
      </c>
      <c r="V3077" s="3">
        <v>3</v>
      </c>
    </row>
    <row r="3078" spans="1:22" x14ac:dyDescent="0.3">
      <c r="A3078" s="2" t="s">
        <v>6627</v>
      </c>
      <c r="B3078" s="10">
        <v>45558</v>
      </c>
      <c r="C3078" s="22">
        <v>45558</v>
      </c>
      <c r="D3078" s="1" t="s">
        <v>6628</v>
      </c>
      <c r="E3078" s="1" t="s">
        <v>1330</v>
      </c>
      <c r="F3078" s="1">
        <v>32</v>
      </c>
      <c r="G3078" s="1" t="s">
        <v>34</v>
      </c>
      <c r="H3078" s="1" t="s">
        <v>35</v>
      </c>
      <c r="I3078" s="1" t="s">
        <v>43</v>
      </c>
      <c r="J3078" s="1" t="s">
        <v>37</v>
      </c>
      <c r="K3078" s="1" t="s">
        <v>671</v>
      </c>
      <c r="L3078" s="1">
        <v>7</v>
      </c>
      <c r="M3078" s="13">
        <v>1954.05</v>
      </c>
      <c r="N3078" s="15">
        <v>0.2</v>
      </c>
      <c r="O3078" s="13">
        <v>15069.06</v>
      </c>
      <c r="P3078" s="13">
        <v>8691.86</v>
      </c>
      <c r="Q3078" s="13">
        <v>65.77</v>
      </c>
      <c r="R3078" s="1" t="s">
        <v>64</v>
      </c>
      <c r="S3078" s="1">
        <v>4</v>
      </c>
      <c r="T3078" s="1" t="b">
        <v>1</v>
      </c>
      <c r="U3078" s="1" t="s">
        <v>30</v>
      </c>
      <c r="V3078" s="3">
        <v>6</v>
      </c>
    </row>
    <row r="3079" spans="1:22" x14ac:dyDescent="0.3">
      <c r="A3079" s="2" t="s">
        <v>6629</v>
      </c>
      <c r="B3079" s="10">
        <v>43959</v>
      </c>
      <c r="C3079" s="22">
        <v>43959</v>
      </c>
      <c r="D3079" s="1" t="s">
        <v>6630</v>
      </c>
      <c r="E3079" s="1" t="s">
        <v>213</v>
      </c>
      <c r="F3079" s="1">
        <v>18</v>
      </c>
      <c r="G3079" s="1" t="s">
        <v>34</v>
      </c>
      <c r="H3079" s="1" t="s">
        <v>82</v>
      </c>
      <c r="I3079" s="1" t="s">
        <v>244</v>
      </c>
      <c r="J3079" s="1" t="s">
        <v>62</v>
      </c>
      <c r="K3079" s="1" t="s">
        <v>63</v>
      </c>
      <c r="L3079" s="1">
        <v>9</v>
      </c>
      <c r="M3079" s="13">
        <v>290.75</v>
      </c>
      <c r="N3079" s="15">
        <v>0.28000000000000003</v>
      </c>
      <c r="O3079" s="13">
        <v>2143.4</v>
      </c>
      <c r="P3079" s="13">
        <v>1071.82</v>
      </c>
      <c r="Q3079" s="13">
        <v>60.62</v>
      </c>
      <c r="R3079" s="1" t="s">
        <v>51</v>
      </c>
      <c r="S3079" s="1">
        <v>3</v>
      </c>
      <c r="T3079" s="1" t="b">
        <v>1</v>
      </c>
      <c r="U3079" s="1" t="s">
        <v>30</v>
      </c>
      <c r="V3079" s="3">
        <v>7</v>
      </c>
    </row>
    <row r="3080" spans="1:22" x14ac:dyDescent="0.3">
      <c r="A3080" s="2" t="s">
        <v>6631</v>
      </c>
      <c r="B3080" s="10">
        <v>44923</v>
      </c>
      <c r="C3080" s="22">
        <v>44923</v>
      </c>
      <c r="D3080" s="1" t="s">
        <v>6632</v>
      </c>
      <c r="E3080" s="1" t="s">
        <v>716</v>
      </c>
      <c r="F3080" s="1">
        <v>29</v>
      </c>
      <c r="G3080" s="1" t="s">
        <v>34</v>
      </c>
      <c r="H3080" s="1" t="s">
        <v>25</v>
      </c>
      <c r="I3080" s="1" t="s">
        <v>55</v>
      </c>
      <c r="J3080" s="1" t="s">
        <v>37</v>
      </c>
      <c r="K3080" s="1" t="s">
        <v>182</v>
      </c>
      <c r="L3080" s="1">
        <v>3</v>
      </c>
      <c r="M3080" s="13">
        <v>923.8</v>
      </c>
      <c r="N3080" s="15">
        <v>0.21</v>
      </c>
      <c r="O3080" s="13">
        <v>1516.74</v>
      </c>
      <c r="P3080" s="13">
        <v>651.79</v>
      </c>
      <c r="Q3080" s="13">
        <v>46.67</v>
      </c>
      <c r="R3080" s="1" t="s">
        <v>29</v>
      </c>
      <c r="S3080" s="1">
        <v>5</v>
      </c>
      <c r="T3080" s="1" t="b">
        <v>0</v>
      </c>
      <c r="U3080" s="1" t="s">
        <v>39</v>
      </c>
      <c r="V3080" s="3">
        <v>2</v>
      </c>
    </row>
    <row r="3081" spans="1:22" x14ac:dyDescent="0.3">
      <c r="A3081" s="2" t="s">
        <v>6633</v>
      </c>
      <c r="B3081" s="10">
        <v>45221</v>
      </c>
      <c r="C3081" s="22">
        <v>45221</v>
      </c>
      <c r="D3081" s="1" t="s">
        <v>6634</v>
      </c>
      <c r="E3081" s="1" t="s">
        <v>329</v>
      </c>
      <c r="F3081" s="1">
        <v>-5</v>
      </c>
      <c r="G3081" s="1" t="s">
        <v>34</v>
      </c>
      <c r="H3081" s="1" t="s">
        <v>74</v>
      </c>
      <c r="I3081" s="1" t="s">
        <v>192</v>
      </c>
      <c r="J3081" s="1" t="s">
        <v>146</v>
      </c>
      <c r="K3081" s="1" t="s">
        <v>217</v>
      </c>
      <c r="L3081" s="1">
        <v>5</v>
      </c>
      <c r="M3081" s="13">
        <v>11387.44</v>
      </c>
      <c r="N3081" s="15">
        <v>0.31</v>
      </c>
      <c r="O3081" s="13">
        <v>45950.26</v>
      </c>
      <c r="P3081" s="13">
        <v>9024.25</v>
      </c>
      <c r="Q3081" s="13">
        <v>51.52</v>
      </c>
      <c r="R3081" s="1" t="s">
        <v>78</v>
      </c>
      <c r="S3081" s="1">
        <v>3</v>
      </c>
      <c r="T3081" s="1" t="b">
        <v>0</v>
      </c>
      <c r="U3081" s="1" t="s">
        <v>39</v>
      </c>
      <c r="V3081" s="3">
        <v>3</v>
      </c>
    </row>
    <row r="3082" spans="1:22" x14ac:dyDescent="0.3">
      <c r="A3082" s="2" t="s">
        <v>6635</v>
      </c>
      <c r="B3082" s="10">
        <v>44983</v>
      </c>
      <c r="C3082" s="22">
        <v>44983</v>
      </c>
      <c r="D3082" s="1" t="s">
        <v>6636</v>
      </c>
      <c r="E3082" s="1" t="s">
        <v>858</v>
      </c>
      <c r="F3082" s="1">
        <v>16</v>
      </c>
      <c r="G3082" s="1" t="s">
        <v>34</v>
      </c>
      <c r="H3082" s="1" t="s">
        <v>82</v>
      </c>
      <c r="I3082" s="1" t="s">
        <v>293</v>
      </c>
      <c r="J3082" s="1" t="s">
        <v>44</v>
      </c>
      <c r="K3082" s="1" t="s">
        <v>221</v>
      </c>
      <c r="L3082" s="1">
        <v>3</v>
      </c>
      <c r="M3082" s="13">
        <v>2447.2199999999998</v>
      </c>
      <c r="N3082" s="15">
        <v>0.39</v>
      </c>
      <c r="O3082" s="13">
        <v>4781.3599999999997</v>
      </c>
      <c r="P3082" s="13">
        <v>589.21</v>
      </c>
      <c r="Q3082" s="13">
        <v>62.13</v>
      </c>
      <c r="R3082" s="1" t="s">
        <v>64</v>
      </c>
      <c r="S3082" s="1">
        <v>2</v>
      </c>
      <c r="T3082" s="1" t="b">
        <v>1</v>
      </c>
      <c r="U3082" s="1" t="s">
        <v>30</v>
      </c>
      <c r="V3082" s="3">
        <v>1</v>
      </c>
    </row>
    <row r="3083" spans="1:22" x14ac:dyDescent="0.3">
      <c r="A3083" s="2" t="s">
        <v>6637</v>
      </c>
      <c r="B3083" s="10">
        <v>44796</v>
      </c>
      <c r="C3083" s="22">
        <v>44796</v>
      </c>
      <c r="D3083" s="1" t="s">
        <v>6638</v>
      </c>
      <c r="E3083" s="1" t="s">
        <v>1387</v>
      </c>
      <c r="F3083" s="1">
        <v>24</v>
      </c>
      <c r="G3083" s="1" t="s">
        <v>34</v>
      </c>
      <c r="H3083" s="1" t="s">
        <v>25</v>
      </c>
      <c r="I3083" s="1" t="s">
        <v>170</v>
      </c>
      <c r="J3083" s="1" t="s">
        <v>62</v>
      </c>
      <c r="K3083" s="1" t="s">
        <v>63</v>
      </c>
      <c r="L3083" s="1">
        <v>6</v>
      </c>
      <c r="M3083" s="13">
        <v>1482.8</v>
      </c>
      <c r="N3083" s="15">
        <v>0.37</v>
      </c>
      <c r="O3083" s="13">
        <v>7222.87</v>
      </c>
      <c r="P3083" s="13">
        <v>1783.07</v>
      </c>
      <c r="Q3083" s="13">
        <v>73.5</v>
      </c>
      <c r="R3083" s="1" t="s">
        <v>70</v>
      </c>
      <c r="S3083" s="1">
        <v>2</v>
      </c>
      <c r="T3083" s="1" t="b">
        <v>0</v>
      </c>
      <c r="U3083" s="1" t="s">
        <v>39</v>
      </c>
      <c r="V3083" s="3">
        <v>7</v>
      </c>
    </row>
    <row r="3084" spans="1:22" x14ac:dyDescent="0.3">
      <c r="A3084" s="2" t="s">
        <v>6639</v>
      </c>
      <c r="B3084" s="10">
        <v>44927</v>
      </c>
      <c r="C3084" s="22">
        <v>44927</v>
      </c>
      <c r="D3084" s="1" t="s">
        <v>6640</v>
      </c>
      <c r="E3084" s="1" t="s">
        <v>1319</v>
      </c>
      <c r="F3084" s="1">
        <v>27</v>
      </c>
      <c r="G3084" s="1" t="s">
        <v>34</v>
      </c>
      <c r="H3084" s="1" t="s">
        <v>111</v>
      </c>
      <c r="I3084" s="1" t="s">
        <v>330</v>
      </c>
      <c r="J3084" s="1" t="s">
        <v>37</v>
      </c>
      <c r="K3084" s="1" t="s">
        <v>671</v>
      </c>
      <c r="L3084" s="1">
        <v>3</v>
      </c>
      <c r="M3084" s="13">
        <v>2229.56</v>
      </c>
      <c r="N3084" s="15">
        <v>0.04</v>
      </c>
      <c r="O3084" s="13">
        <v>6482.2</v>
      </c>
      <c r="P3084" s="13">
        <v>3230.67</v>
      </c>
      <c r="Q3084" s="13">
        <v>58.93</v>
      </c>
      <c r="R3084" s="1" t="s">
        <v>70</v>
      </c>
      <c r="S3084" s="1">
        <v>4</v>
      </c>
      <c r="T3084" s="1" t="b">
        <v>0</v>
      </c>
      <c r="U3084" s="1" t="s">
        <v>137</v>
      </c>
      <c r="V3084" s="3">
        <v>3</v>
      </c>
    </row>
    <row r="3085" spans="1:22" x14ac:dyDescent="0.3">
      <c r="A3085" s="2" t="s">
        <v>6641</v>
      </c>
      <c r="B3085" s="10">
        <v>45029</v>
      </c>
      <c r="C3085" s="22">
        <v>45029</v>
      </c>
      <c r="D3085" s="1" t="s">
        <v>6642</v>
      </c>
      <c r="E3085" s="1" t="s">
        <v>1312</v>
      </c>
      <c r="F3085" s="1">
        <v>18</v>
      </c>
      <c r="G3085" s="1" t="s">
        <v>68</v>
      </c>
      <c r="H3085" s="1" t="s">
        <v>25</v>
      </c>
      <c r="I3085" s="1" t="s">
        <v>69</v>
      </c>
      <c r="J3085" s="1" t="s">
        <v>37</v>
      </c>
      <c r="K3085" s="1" t="s">
        <v>38</v>
      </c>
      <c r="L3085" s="1">
        <v>9</v>
      </c>
      <c r="M3085" s="13">
        <v>933.94</v>
      </c>
      <c r="N3085" s="15">
        <v>0.02</v>
      </c>
      <c r="O3085" s="13">
        <v>12188.95</v>
      </c>
      <c r="P3085" s="13">
        <v>5789.44</v>
      </c>
      <c r="Q3085" s="13">
        <v>38.04</v>
      </c>
      <c r="R3085" s="1" t="s">
        <v>51</v>
      </c>
      <c r="S3085" s="1">
        <v>5</v>
      </c>
      <c r="T3085" s="1" t="b">
        <v>0</v>
      </c>
      <c r="U3085" s="1" t="s">
        <v>137</v>
      </c>
      <c r="V3085" s="3">
        <v>5</v>
      </c>
    </row>
    <row r="3086" spans="1:22" x14ac:dyDescent="0.3">
      <c r="A3086" s="2" t="s">
        <v>6643</v>
      </c>
      <c r="B3086" s="10">
        <v>44236</v>
      </c>
      <c r="C3086" s="22">
        <v>44236</v>
      </c>
      <c r="D3086" s="1" t="s">
        <v>6644</v>
      </c>
      <c r="E3086" s="1" t="s">
        <v>575</v>
      </c>
      <c r="F3086" s="1">
        <v>40</v>
      </c>
      <c r="G3086" s="1" t="s">
        <v>24</v>
      </c>
      <c r="H3086" s="1" t="s">
        <v>74</v>
      </c>
      <c r="I3086" s="1" t="s">
        <v>101</v>
      </c>
      <c r="J3086" s="1" t="s">
        <v>127</v>
      </c>
      <c r="K3086" s="1" t="s">
        <v>308</v>
      </c>
      <c r="L3086" s="1">
        <v>4</v>
      </c>
      <c r="M3086" s="13">
        <v>27046.33</v>
      </c>
      <c r="N3086" s="15">
        <v>0.17</v>
      </c>
      <c r="O3086" s="13">
        <v>79234.600000000006</v>
      </c>
      <c r="P3086" s="13">
        <v>9558.56</v>
      </c>
      <c r="Q3086" s="13">
        <v>39.92</v>
      </c>
      <c r="R3086" s="1" t="s">
        <v>70</v>
      </c>
      <c r="S3086" s="1">
        <v>3</v>
      </c>
      <c r="T3086" s="1" t="b">
        <v>0</v>
      </c>
      <c r="U3086" s="1" t="s">
        <v>39</v>
      </c>
      <c r="V3086" s="3">
        <v>6</v>
      </c>
    </row>
    <row r="3087" spans="1:22" x14ac:dyDescent="0.3">
      <c r="A3087" s="2" t="s">
        <v>6645</v>
      </c>
      <c r="B3087" s="10">
        <v>43973</v>
      </c>
      <c r="C3087" s="22">
        <v>43973</v>
      </c>
      <c r="D3087" s="1" t="s">
        <v>6646</v>
      </c>
      <c r="E3087" s="1" t="s">
        <v>1324</v>
      </c>
      <c r="F3087" s="1">
        <v>42</v>
      </c>
      <c r="G3087" s="1" t="s">
        <v>34</v>
      </c>
      <c r="H3087" s="1" t="s">
        <v>82</v>
      </c>
      <c r="I3087" s="1" t="s">
        <v>244</v>
      </c>
      <c r="J3087" s="1" t="s">
        <v>127</v>
      </c>
      <c r="K3087" s="1" t="s">
        <v>142</v>
      </c>
      <c r="L3087" s="1">
        <v>10</v>
      </c>
      <c r="M3087" s="13">
        <v>62652.160000000003</v>
      </c>
      <c r="N3087" s="15">
        <v>0.09</v>
      </c>
      <c r="O3087" s="13">
        <v>746724.9</v>
      </c>
      <c r="P3087" s="13">
        <v>76429.84</v>
      </c>
      <c r="Q3087" s="13">
        <v>92.64</v>
      </c>
      <c r="R3087" s="1" t="s">
        <v>57</v>
      </c>
      <c r="S3087" s="1">
        <v>3</v>
      </c>
      <c r="T3087" s="1" t="b">
        <v>0</v>
      </c>
      <c r="U3087" s="1" t="s">
        <v>39</v>
      </c>
      <c r="V3087" s="3">
        <v>5</v>
      </c>
    </row>
    <row r="3088" spans="1:22" x14ac:dyDescent="0.3">
      <c r="A3088" s="2" t="s">
        <v>6647</v>
      </c>
      <c r="B3088" s="10">
        <v>44788</v>
      </c>
      <c r="C3088" s="22">
        <v>44788</v>
      </c>
      <c r="D3088" s="1" t="s">
        <v>6648</v>
      </c>
      <c r="E3088" s="1" t="s">
        <v>1782</v>
      </c>
      <c r="F3088" s="1">
        <v>10</v>
      </c>
      <c r="G3088" s="1" t="s">
        <v>24</v>
      </c>
      <c r="H3088" s="1" t="s">
        <v>74</v>
      </c>
      <c r="I3088" s="1" t="s">
        <v>136</v>
      </c>
      <c r="J3088" s="1" t="s">
        <v>37</v>
      </c>
      <c r="K3088" s="1" t="s">
        <v>231</v>
      </c>
      <c r="L3088" s="1">
        <v>1</v>
      </c>
      <c r="M3088" s="13">
        <v>1986.59</v>
      </c>
      <c r="N3088" s="15">
        <v>0.05</v>
      </c>
      <c r="O3088" s="13">
        <v>2507.4499999999998</v>
      </c>
      <c r="P3088" s="13">
        <v>1149.6600000000001</v>
      </c>
      <c r="Q3088" s="13">
        <v>66.3</v>
      </c>
      <c r="R3088" s="1" t="s">
        <v>78</v>
      </c>
      <c r="S3088" s="1">
        <v>2</v>
      </c>
      <c r="T3088" s="1" t="b">
        <v>1</v>
      </c>
      <c r="U3088" s="1" t="s">
        <v>30</v>
      </c>
      <c r="V3088" s="3">
        <v>3</v>
      </c>
    </row>
    <row r="3089" spans="1:22" x14ac:dyDescent="0.3">
      <c r="A3089" s="2" t="s">
        <v>6649</v>
      </c>
      <c r="B3089" s="10">
        <v>44559</v>
      </c>
      <c r="C3089" s="22">
        <v>44559</v>
      </c>
      <c r="D3089" s="1" t="s">
        <v>6650</v>
      </c>
      <c r="E3089" s="1" t="s">
        <v>1681</v>
      </c>
      <c r="F3089" s="1">
        <v>35</v>
      </c>
      <c r="G3089" s="1" t="s">
        <v>68</v>
      </c>
      <c r="H3089" s="1" t="s">
        <v>82</v>
      </c>
      <c r="I3089" s="1" t="s">
        <v>126</v>
      </c>
      <c r="J3089" s="1" t="s">
        <v>37</v>
      </c>
      <c r="K3089" s="1" t="s">
        <v>182</v>
      </c>
      <c r="L3089" s="1">
        <v>1</v>
      </c>
      <c r="M3089" s="13">
        <v>987.49</v>
      </c>
      <c r="N3089" s="15">
        <v>0.03</v>
      </c>
      <c r="O3089" s="13">
        <v>649.66999999999996</v>
      </c>
      <c r="P3089" s="13">
        <v>370.21</v>
      </c>
      <c r="Q3089" s="13">
        <v>98.55</v>
      </c>
      <c r="R3089" s="1" t="s">
        <v>29</v>
      </c>
      <c r="S3089" s="1">
        <v>3</v>
      </c>
      <c r="T3089" s="1" t="b">
        <v>1</v>
      </c>
      <c r="U3089" s="1" t="s">
        <v>30</v>
      </c>
      <c r="V3089" s="3">
        <v>9</v>
      </c>
    </row>
    <row r="3090" spans="1:22" x14ac:dyDescent="0.3">
      <c r="A3090" s="2" t="s">
        <v>6651</v>
      </c>
      <c r="B3090" s="10">
        <v>44077</v>
      </c>
      <c r="C3090" s="22">
        <v>44077</v>
      </c>
      <c r="D3090" s="1" t="s">
        <v>6652</v>
      </c>
      <c r="E3090" s="1" t="s">
        <v>2137</v>
      </c>
      <c r="F3090" s="1">
        <v>14</v>
      </c>
      <c r="G3090" s="1" t="s">
        <v>24</v>
      </c>
      <c r="H3090" s="1" t="s">
        <v>111</v>
      </c>
      <c r="I3090" s="1" t="s">
        <v>330</v>
      </c>
      <c r="J3090" s="1" t="s">
        <v>127</v>
      </c>
      <c r="K3090" s="1" t="s">
        <v>171</v>
      </c>
      <c r="L3090" s="1">
        <v>5</v>
      </c>
      <c r="M3090" s="13">
        <v>53217.69</v>
      </c>
      <c r="N3090" s="15">
        <v>0.03</v>
      </c>
      <c r="O3090" s="13">
        <v>273662.44</v>
      </c>
      <c r="P3090" s="13">
        <v>33314.99</v>
      </c>
      <c r="Q3090" s="13">
        <v>79.959999999999994</v>
      </c>
      <c r="R3090" s="1" t="s">
        <v>29</v>
      </c>
      <c r="S3090" s="1">
        <v>3</v>
      </c>
      <c r="T3090" s="1" t="b">
        <v>0</v>
      </c>
      <c r="U3090" s="1" t="s">
        <v>39</v>
      </c>
      <c r="V3090" s="3">
        <v>2</v>
      </c>
    </row>
    <row r="3091" spans="1:22" x14ac:dyDescent="0.3">
      <c r="A3091" s="2" t="s">
        <v>6653</v>
      </c>
      <c r="B3091" s="10">
        <v>45354</v>
      </c>
      <c r="C3091" s="22">
        <v>45354</v>
      </c>
      <c r="D3091" s="1" t="s">
        <v>6654</v>
      </c>
      <c r="E3091" s="1" t="s">
        <v>2505</v>
      </c>
      <c r="F3091" s="1">
        <v>37</v>
      </c>
      <c r="G3091" s="1" t="s">
        <v>68</v>
      </c>
      <c r="H3091" s="1" t="s">
        <v>82</v>
      </c>
      <c r="I3091" s="1" t="s">
        <v>83</v>
      </c>
      <c r="J3091" s="1" t="s">
        <v>44</v>
      </c>
      <c r="K3091" s="1" t="s">
        <v>117</v>
      </c>
      <c r="L3091" s="1">
        <v>5</v>
      </c>
      <c r="M3091" s="13">
        <v>26731.96</v>
      </c>
      <c r="N3091" s="15">
        <v>0.21</v>
      </c>
      <c r="O3091" s="13">
        <v>170289.13</v>
      </c>
      <c r="P3091" s="13">
        <v>47525.8</v>
      </c>
      <c r="Q3091" s="13">
        <v>75.97</v>
      </c>
      <c r="R3091" s="1" t="s">
        <v>70</v>
      </c>
      <c r="S3091" s="1">
        <v>3</v>
      </c>
      <c r="T3091" s="1" t="b">
        <v>0</v>
      </c>
      <c r="U3091" s="1" t="s">
        <v>39</v>
      </c>
      <c r="V3091" s="3">
        <v>8</v>
      </c>
    </row>
    <row r="3092" spans="1:22" x14ac:dyDescent="0.3">
      <c r="A3092" s="2" t="s">
        <v>6655</v>
      </c>
      <c r="B3092" s="10">
        <v>45504</v>
      </c>
      <c r="C3092" s="22">
        <v>45504</v>
      </c>
      <c r="D3092" s="1" t="s">
        <v>6656</v>
      </c>
      <c r="E3092" s="1" t="s">
        <v>1907</v>
      </c>
      <c r="F3092" s="1">
        <v>45</v>
      </c>
      <c r="G3092" s="1" t="s">
        <v>34</v>
      </c>
      <c r="H3092" s="1" t="s">
        <v>25</v>
      </c>
      <c r="I3092" s="1" t="s">
        <v>26</v>
      </c>
      <c r="J3092" s="1" t="s">
        <v>76</v>
      </c>
      <c r="K3092" s="1" t="s">
        <v>132</v>
      </c>
      <c r="L3092" s="1">
        <v>6</v>
      </c>
      <c r="M3092" s="13">
        <v>1428.03</v>
      </c>
      <c r="N3092" s="15">
        <v>0.39</v>
      </c>
      <c r="O3092" s="13">
        <v>8541.8700000000008</v>
      </c>
      <c r="P3092" s="13">
        <v>3565.98</v>
      </c>
      <c r="Q3092" s="13">
        <v>50.49</v>
      </c>
      <c r="R3092" s="1" t="s">
        <v>64</v>
      </c>
      <c r="S3092" s="1">
        <v>2</v>
      </c>
      <c r="T3092" s="1" t="b">
        <v>0</v>
      </c>
      <c r="U3092" s="1" t="s">
        <v>84</v>
      </c>
      <c r="V3092" s="3">
        <v>9</v>
      </c>
    </row>
    <row r="3093" spans="1:22" x14ac:dyDescent="0.3">
      <c r="A3093" s="2" t="s">
        <v>6657</v>
      </c>
      <c r="B3093" s="10">
        <v>45074</v>
      </c>
      <c r="C3093" s="22">
        <v>45074</v>
      </c>
      <c r="D3093" s="1" t="s">
        <v>6658</v>
      </c>
      <c r="E3093" s="1" t="s">
        <v>629</v>
      </c>
      <c r="F3093" s="1">
        <v>20</v>
      </c>
      <c r="G3093" s="1" t="s">
        <v>34</v>
      </c>
      <c r="H3093" s="1" t="s">
        <v>74</v>
      </c>
      <c r="I3093" s="1" t="s">
        <v>75</v>
      </c>
      <c r="J3093" s="1" t="s">
        <v>76</v>
      </c>
      <c r="K3093" s="1" t="s">
        <v>132</v>
      </c>
      <c r="L3093" s="1">
        <v>3</v>
      </c>
      <c r="M3093" s="13">
        <v>484.17</v>
      </c>
      <c r="N3093" s="15">
        <v>0.23</v>
      </c>
      <c r="O3093" s="13">
        <v>1691.99</v>
      </c>
      <c r="P3093" s="13">
        <v>426.78</v>
      </c>
      <c r="Q3093" s="13">
        <v>63.91</v>
      </c>
      <c r="R3093" s="1" t="s">
        <v>78</v>
      </c>
      <c r="S3093" s="1">
        <v>4</v>
      </c>
      <c r="T3093" s="1" t="b">
        <v>0</v>
      </c>
      <c r="U3093" s="1" t="s">
        <v>39</v>
      </c>
      <c r="V3093" s="3">
        <v>9</v>
      </c>
    </row>
    <row r="3094" spans="1:22" x14ac:dyDescent="0.3">
      <c r="A3094" s="2" t="s">
        <v>6659</v>
      </c>
      <c r="B3094" s="10">
        <v>44907</v>
      </c>
      <c r="C3094" s="22">
        <v>44907</v>
      </c>
      <c r="D3094" s="1" t="s">
        <v>4257</v>
      </c>
      <c r="E3094" s="1" t="s">
        <v>1574</v>
      </c>
      <c r="F3094" s="1">
        <v>7</v>
      </c>
      <c r="G3094" s="1" t="s">
        <v>34</v>
      </c>
      <c r="H3094" s="1" t="s">
        <v>74</v>
      </c>
      <c r="I3094" s="1" t="s">
        <v>136</v>
      </c>
      <c r="J3094" s="1" t="s">
        <v>146</v>
      </c>
      <c r="K3094" s="1" t="s">
        <v>161</v>
      </c>
      <c r="L3094" s="1">
        <v>6</v>
      </c>
      <c r="M3094" s="13">
        <v>14056.09</v>
      </c>
      <c r="N3094" s="15">
        <v>0.09</v>
      </c>
      <c r="O3094" s="13">
        <v>61982.41</v>
      </c>
      <c r="P3094" s="13">
        <v>14331.53</v>
      </c>
      <c r="Q3094" s="13">
        <v>49.31</v>
      </c>
      <c r="R3094" s="1" t="s">
        <v>78</v>
      </c>
      <c r="S3094" s="1">
        <v>1</v>
      </c>
      <c r="T3094" s="1" t="b">
        <v>0</v>
      </c>
      <c r="U3094" s="1" t="s">
        <v>39</v>
      </c>
      <c r="V3094" s="3">
        <v>7</v>
      </c>
    </row>
    <row r="3095" spans="1:22" x14ac:dyDescent="0.3">
      <c r="A3095" s="2" t="s">
        <v>6660</v>
      </c>
      <c r="B3095" s="10">
        <v>44651</v>
      </c>
      <c r="C3095" s="22">
        <v>44651</v>
      </c>
      <c r="D3095" s="1" t="s">
        <v>6661</v>
      </c>
      <c r="E3095" s="1" t="s">
        <v>487</v>
      </c>
      <c r="F3095" s="1">
        <v>61</v>
      </c>
      <c r="G3095" s="1" t="s">
        <v>24</v>
      </c>
      <c r="H3095" s="1" t="s">
        <v>25</v>
      </c>
      <c r="I3095" s="1" t="s">
        <v>69</v>
      </c>
      <c r="J3095" s="1" t="s">
        <v>76</v>
      </c>
      <c r="K3095" s="1" t="s">
        <v>89</v>
      </c>
      <c r="L3095" s="1">
        <v>6</v>
      </c>
      <c r="M3095" s="13">
        <v>2927.23</v>
      </c>
      <c r="N3095" s="15">
        <v>0.17</v>
      </c>
      <c r="O3095" s="13">
        <v>15014.03</v>
      </c>
      <c r="P3095" s="13">
        <v>6682.89</v>
      </c>
      <c r="Q3095" s="13">
        <v>76.05</v>
      </c>
      <c r="R3095" s="1" t="s">
        <v>70</v>
      </c>
      <c r="S3095" s="1">
        <v>1</v>
      </c>
      <c r="T3095" s="1" t="b">
        <v>1</v>
      </c>
      <c r="U3095" s="1" t="s">
        <v>30</v>
      </c>
      <c r="V3095" s="3">
        <v>2</v>
      </c>
    </row>
    <row r="3096" spans="1:22" x14ac:dyDescent="0.3">
      <c r="A3096" s="2" t="s">
        <v>6662</v>
      </c>
      <c r="B3096" s="10">
        <v>45376</v>
      </c>
      <c r="C3096" s="22">
        <v>45376</v>
      </c>
      <c r="D3096" s="1" t="s">
        <v>6663</v>
      </c>
      <c r="E3096" s="1" t="s">
        <v>1348</v>
      </c>
      <c r="F3096" s="1">
        <v>49</v>
      </c>
      <c r="G3096" s="1" t="s">
        <v>68</v>
      </c>
      <c r="H3096" s="1" t="s">
        <v>35</v>
      </c>
      <c r="I3096" s="1" t="s">
        <v>49</v>
      </c>
      <c r="J3096" s="1" t="s">
        <v>62</v>
      </c>
      <c r="K3096" s="1" t="s">
        <v>107</v>
      </c>
      <c r="L3096" s="1">
        <v>1</v>
      </c>
      <c r="M3096" s="13">
        <v>1034.06</v>
      </c>
      <c r="N3096" s="15">
        <v>0.1</v>
      </c>
      <c r="O3096" s="13">
        <v>1187.77</v>
      </c>
      <c r="P3096" s="13">
        <v>456.36</v>
      </c>
      <c r="Q3096" s="13">
        <v>69.430000000000007</v>
      </c>
      <c r="R3096" s="1" t="s">
        <v>57</v>
      </c>
      <c r="S3096" s="1">
        <v>1</v>
      </c>
      <c r="T3096" s="1" t="b">
        <v>0</v>
      </c>
      <c r="U3096" s="1" t="s">
        <v>39</v>
      </c>
      <c r="V3096" s="3">
        <v>6</v>
      </c>
    </row>
    <row r="3097" spans="1:22" x14ac:dyDescent="0.3">
      <c r="A3097" s="2" t="s">
        <v>6664</v>
      </c>
      <c r="B3097" s="10">
        <v>45316</v>
      </c>
      <c r="C3097" s="22">
        <v>45316</v>
      </c>
      <c r="D3097" s="1" t="s">
        <v>6665</v>
      </c>
      <c r="E3097" s="1" t="s">
        <v>894</v>
      </c>
      <c r="F3097" s="1">
        <v>20</v>
      </c>
      <c r="G3097" s="1" t="s">
        <v>68</v>
      </c>
      <c r="H3097" s="1" t="s">
        <v>82</v>
      </c>
      <c r="I3097" s="1" t="s">
        <v>126</v>
      </c>
      <c r="J3097" s="1" t="s">
        <v>37</v>
      </c>
      <c r="K3097" s="1" t="s">
        <v>182</v>
      </c>
      <c r="L3097" s="1">
        <v>3</v>
      </c>
      <c r="M3097" s="13">
        <v>1606.29</v>
      </c>
      <c r="N3097" s="15">
        <v>0.23</v>
      </c>
      <c r="O3097" s="13">
        <v>3638.62</v>
      </c>
      <c r="P3097" s="13">
        <v>1014.15</v>
      </c>
      <c r="Q3097" s="13">
        <v>92.92</v>
      </c>
      <c r="R3097" s="1" t="s">
        <v>64</v>
      </c>
      <c r="S3097" s="1">
        <v>3</v>
      </c>
      <c r="T3097" s="1" t="b">
        <v>0</v>
      </c>
      <c r="U3097" s="1" t="s">
        <v>39</v>
      </c>
      <c r="V3097" s="3">
        <v>10</v>
      </c>
    </row>
    <row r="3098" spans="1:22" x14ac:dyDescent="0.3">
      <c r="A3098" s="2" t="s">
        <v>6666</v>
      </c>
      <c r="B3098" s="10">
        <v>44566</v>
      </c>
      <c r="C3098" s="22">
        <v>44566</v>
      </c>
      <c r="D3098" s="1" t="s">
        <v>6667</v>
      </c>
      <c r="E3098" s="1" t="s">
        <v>2696</v>
      </c>
      <c r="F3098" s="1">
        <v>28</v>
      </c>
      <c r="G3098" s="1" t="s">
        <v>68</v>
      </c>
      <c r="H3098" s="1" t="s">
        <v>35</v>
      </c>
      <c r="I3098" s="1" t="s">
        <v>43</v>
      </c>
      <c r="J3098" s="1" t="s">
        <v>37</v>
      </c>
      <c r="K3098" s="1" t="s">
        <v>231</v>
      </c>
      <c r="L3098" s="1">
        <v>5</v>
      </c>
      <c r="M3098" s="13">
        <v>305.51</v>
      </c>
      <c r="N3098" s="15">
        <v>0.04</v>
      </c>
      <c r="O3098" s="13">
        <v>1323.32</v>
      </c>
      <c r="P3098" s="13">
        <v>396.56</v>
      </c>
      <c r="Q3098" s="13">
        <v>77.17</v>
      </c>
      <c r="R3098" s="1" t="s">
        <v>78</v>
      </c>
      <c r="S3098" s="1">
        <v>1</v>
      </c>
      <c r="T3098" s="1" t="b">
        <v>0</v>
      </c>
      <c r="U3098" s="1" t="s">
        <v>39</v>
      </c>
      <c r="V3098" s="3">
        <v>4</v>
      </c>
    </row>
    <row r="3099" spans="1:22" x14ac:dyDescent="0.3">
      <c r="A3099" s="2" t="s">
        <v>6668</v>
      </c>
      <c r="B3099" s="10">
        <v>43957</v>
      </c>
      <c r="C3099" s="22">
        <v>43957</v>
      </c>
      <c r="D3099" s="1" t="s">
        <v>6669</v>
      </c>
      <c r="E3099" s="1" t="s">
        <v>54</v>
      </c>
      <c r="F3099" s="1">
        <v>37</v>
      </c>
      <c r="G3099" s="1" t="s">
        <v>68</v>
      </c>
      <c r="H3099" s="1" t="s">
        <v>25</v>
      </c>
      <c r="I3099" s="1" t="s">
        <v>69</v>
      </c>
      <c r="J3099" s="1" t="s">
        <v>27</v>
      </c>
      <c r="K3099" s="1" t="s">
        <v>450</v>
      </c>
      <c r="L3099" s="1">
        <v>2</v>
      </c>
      <c r="M3099" s="13">
        <v>54.6</v>
      </c>
      <c r="N3099" s="15">
        <v>0.34</v>
      </c>
      <c r="O3099" s="13">
        <v>80.84</v>
      </c>
      <c r="P3099" s="13">
        <v>6.89</v>
      </c>
      <c r="Q3099" s="13">
        <v>42.28</v>
      </c>
      <c r="R3099" s="1" t="s">
        <v>64</v>
      </c>
      <c r="S3099" s="1">
        <v>4</v>
      </c>
      <c r="T3099" s="1" t="b">
        <v>0</v>
      </c>
      <c r="U3099" s="1" t="s">
        <v>39</v>
      </c>
      <c r="V3099" s="3">
        <v>3</v>
      </c>
    </row>
    <row r="3100" spans="1:22" x14ac:dyDescent="0.3">
      <c r="A3100" s="2" t="s">
        <v>6670</v>
      </c>
      <c r="B3100" s="10">
        <v>43832</v>
      </c>
      <c r="C3100" s="22">
        <v>43832</v>
      </c>
      <c r="D3100" s="1" t="s">
        <v>6671</v>
      </c>
      <c r="E3100" s="1" t="s">
        <v>105</v>
      </c>
      <c r="F3100" s="1">
        <v>50</v>
      </c>
      <c r="G3100" s="1" t="s">
        <v>68</v>
      </c>
      <c r="H3100" s="1" t="s">
        <v>74</v>
      </c>
      <c r="I3100" s="1" t="s">
        <v>192</v>
      </c>
      <c r="J3100" s="1" t="s">
        <v>27</v>
      </c>
      <c r="K3100" s="1" t="s">
        <v>97</v>
      </c>
      <c r="L3100" s="1">
        <v>7</v>
      </c>
      <c r="M3100" s="13">
        <v>238.66</v>
      </c>
      <c r="N3100" s="15">
        <v>0.05</v>
      </c>
      <c r="O3100" s="13">
        <v>1361.86</v>
      </c>
      <c r="P3100" s="13">
        <v>110.98</v>
      </c>
      <c r="Q3100" s="13">
        <v>46.42</v>
      </c>
      <c r="R3100" s="1" t="s">
        <v>29</v>
      </c>
      <c r="S3100" s="1">
        <v>4</v>
      </c>
      <c r="T3100" s="1" t="b">
        <v>0</v>
      </c>
      <c r="U3100" s="1" t="s">
        <v>39</v>
      </c>
      <c r="V3100" s="3">
        <v>2</v>
      </c>
    </row>
    <row r="3101" spans="1:22" x14ac:dyDescent="0.3">
      <c r="A3101" s="2" t="s">
        <v>6672</v>
      </c>
      <c r="B3101" s="10">
        <v>44857</v>
      </c>
      <c r="C3101" s="22">
        <v>44857</v>
      </c>
      <c r="D3101" s="1" t="s">
        <v>6673</v>
      </c>
      <c r="E3101" s="1" t="s">
        <v>1950</v>
      </c>
      <c r="F3101" s="1">
        <v>50</v>
      </c>
      <c r="G3101" s="1" t="s">
        <v>68</v>
      </c>
      <c r="H3101" s="1" t="s">
        <v>74</v>
      </c>
      <c r="I3101" s="1" t="s">
        <v>75</v>
      </c>
      <c r="J3101" s="1" t="s">
        <v>44</v>
      </c>
      <c r="K3101" s="1" t="s">
        <v>50</v>
      </c>
      <c r="L3101" s="1">
        <v>8</v>
      </c>
      <c r="M3101" s="13">
        <v>22347.78</v>
      </c>
      <c r="N3101" s="15">
        <v>0.28999999999999998</v>
      </c>
      <c r="O3101" s="13">
        <v>121514.57</v>
      </c>
      <c r="P3101" s="13">
        <v>47789.83</v>
      </c>
      <c r="Q3101" s="13">
        <v>10.59</v>
      </c>
      <c r="R3101" s="1" t="s">
        <v>29</v>
      </c>
      <c r="S3101" s="1">
        <v>1</v>
      </c>
      <c r="T3101" s="1" t="b">
        <v>0</v>
      </c>
      <c r="U3101" s="1" t="s">
        <v>39</v>
      </c>
      <c r="V3101" s="3">
        <v>4</v>
      </c>
    </row>
    <row r="3102" spans="1:22" x14ac:dyDescent="0.3">
      <c r="A3102" s="2" t="s">
        <v>6674</v>
      </c>
      <c r="B3102" s="10">
        <v>44484</v>
      </c>
      <c r="C3102" s="22">
        <v>44484</v>
      </c>
      <c r="D3102" s="1" t="s">
        <v>6675</v>
      </c>
      <c r="E3102" s="1" t="s">
        <v>473</v>
      </c>
      <c r="F3102" s="1">
        <v>38</v>
      </c>
      <c r="G3102" s="1" t="s">
        <v>24</v>
      </c>
      <c r="H3102" s="1" t="s">
        <v>35</v>
      </c>
      <c r="I3102" s="1" t="s">
        <v>43</v>
      </c>
      <c r="J3102" s="1" t="s">
        <v>37</v>
      </c>
      <c r="K3102" s="1" t="s">
        <v>102</v>
      </c>
      <c r="L3102" s="1">
        <v>8</v>
      </c>
      <c r="M3102" s="13">
        <v>1489.85</v>
      </c>
      <c r="N3102" s="15">
        <v>0.09</v>
      </c>
      <c r="O3102" s="13">
        <v>10449.86</v>
      </c>
      <c r="P3102" s="13">
        <v>3809.88</v>
      </c>
      <c r="Q3102" s="13">
        <v>86.42</v>
      </c>
      <c r="R3102" s="1" t="s">
        <v>70</v>
      </c>
      <c r="S3102" s="1">
        <v>2</v>
      </c>
      <c r="T3102" s="1" t="b">
        <v>0</v>
      </c>
      <c r="U3102" s="1" t="s">
        <v>84</v>
      </c>
      <c r="V3102" s="3">
        <v>6</v>
      </c>
    </row>
    <row r="3103" spans="1:22" x14ac:dyDescent="0.3">
      <c r="A3103" s="2" t="s">
        <v>6676</v>
      </c>
      <c r="B3103" s="10">
        <v>44983</v>
      </c>
      <c r="C3103" s="22">
        <v>44983</v>
      </c>
      <c r="D3103" s="1" t="s">
        <v>6677</v>
      </c>
      <c r="E3103" s="1" t="s">
        <v>1004</v>
      </c>
      <c r="F3103" s="1">
        <v>38</v>
      </c>
      <c r="G3103" s="1" t="s">
        <v>68</v>
      </c>
      <c r="H3103" s="1" t="s">
        <v>74</v>
      </c>
      <c r="I3103" s="1" t="s">
        <v>136</v>
      </c>
      <c r="J3103" s="1" t="s">
        <v>44</v>
      </c>
      <c r="K3103" s="1" t="s">
        <v>117</v>
      </c>
      <c r="L3103" s="1">
        <v>1</v>
      </c>
      <c r="M3103" s="13">
        <v>23555.64</v>
      </c>
      <c r="N3103" s="15">
        <v>0.09</v>
      </c>
      <c r="O3103" s="13">
        <v>22617.77</v>
      </c>
      <c r="P3103" s="13">
        <v>5562.38</v>
      </c>
      <c r="Q3103" s="13">
        <v>65.5</v>
      </c>
      <c r="R3103" s="1" t="s">
        <v>78</v>
      </c>
      <c r="S3103" s="1">
        <v>1</v>
      </c>
      <c r="T3103" s="1" t="b">
        <v>0</v>
      </c>
      <c r="U3103" s="1" t="s">
        <v>39</v>
      </c>
      <c r="V3103" s="3">
        <v>10</v>
      </c>
    </row>
    <row r="3104" spans="1:22" x14ac:dyDescent="0.3">
      <c r="A3104" s="2" t="s">
        <v>6678</v>
      </c>
      <c r="B3104" s="10">
        <v>45611</v>
      </c>
      <c r="C3104" s="22">
        <v>45611</v>
      </c>
      <c r="D3104" s="1" t="s">
        <v>6679</v>
      </c>
      <c r="E3104" s="1" t="s">
        <v>1345</v>
      </c>
      <c r="F3104" s="1">
        <v>38</v>
      </c>
      <c r="G3104" s="1" t="s">
        <v>24</v>
      </c>
      <c r="H3104" s="1" t="s">
        <v>74</v>
      </c>
      <c r="I3104" s="1" t="s">
        <v>101</v>
      </c>
      <c r="J3104" s="1" t="s">
        <v>27</v>
      </c>
      <c r="K3104" s="1" t="s">
        <v>430</v>
      </c>
      <c r="L3104" s="1">
        <v>4</v>
      </c>
      <c r="M3104" s="13">
        <v>328.95</v>
      </c>
      <c r="N3104" s="15">
        <v>0.08</v>
      </c>
      <c r="O3104" s="13">
        <v>1116.81</v>
      </c>
      <c r="P3104" s="13">
        <v>67.2</v>
      </c>
      <c r="Q3104" s="13">
        <v>60.46</v>
      </c>
      <c r="R3104" s="1" t="s">
        <v>78</v>
      </c>
      <c r="S3104" s="1">
        <v>5</v>
      </c>
      <c r="T3104" s="1" t="b">
        <v>0</v>
      </c>
      <c r="U3104" s="1" t="s">
        <v>3106</v>
      </c>
      <c r="V3104" s="3">
        <v>3</v>
      </c>
    </row>
    <row r="3105" spans="1:22" x14ac:dyDescent="0.3">
      <c r="A3105" s="2" t="s">
        <v>6680</v>
      </c>
      <c r="B3105" s="10">
        <v>44721</v>
      </c>
      <c r="C3105" s="22">
        <v>44721</v>
      </c>
      <c r="D3105" s="1" t="s">
        <v>6681</v>
      </c>
      <c r="E3105" s="1" t="s">
        <v>2286</v>
      </c>
      <c r="F3105" s="1">
        <v>32</v>
      </c>
      <c r="G3105" s="1" t="s">
        <v>24</v>
      </c>
      <c r="H3105" s="1" t="s">
        <v>74</v>
      </c>
      <c r="I3105" s="1" t="s">
        <v>192</v>
      </c>
      <c r="J3105" s="1" t="s">
        <v>37</v>
      </c>
      <c r="K3105" s="1" t="s">
        <v>671</v>
      </c>
      <c r="L3105" s="1">
        <v>8</v>
      </c>
      <c r="M3105" s="13">
        <v>1772.53</v>
      </c>
      <c r="N3105" s="15">
        <v>0.28000000000000003</v>
      </c>
      <c r="O3105" s="13">
        <v>15579.91</v>
      </c>
      <c r="P3105" s="13">
        <v>4615.51</v>
      </c>
      <c r="Q3105" s="13">
        <v>68.180000000000007</v>
      </c>
      <c r="R3105" s="1" t="s">
        <v>51</v>
      </c>
      <c r="S3105" s="1">
        <v>1</v>
      </c>
      <c r="T3105" s="1" t="b">
        <v>1</v>
      </c>
      <c r="U3105" s="1" t="s">
        <v>30</v>
      </c>
      <c r="V3105" s="3">
        <v>3</v>
      </c>
    </row>
    <row r="3106" spans="1:22" x14ac:dyDescent="0.3">
      <c r="A3106" s="2" t="s">
        <v>6682</v>
      </c>
      <c r="B3106" s="10">
        <v>44459</v>
      </c>
      <c r="C3106" s="22">
        <v>44459</v>
      </c>
      <c r="D3106" s="1" t="s">
        <v>6683</v>
      </c>
      <c r="E3106" s="1" t="s">
        <v>2462</v>
      </c>
      <c r="F3106" s="1">
        <v>46</v>
      </c>
      <c r="G3106" s="1" t="s">
        <v>34</v>
      </c>
      <c r="H3106" s="1" t="s">
        <v>25</v>
      </c>
      <c r="I3106" s="1" t="s">
        <v>170</v>
      </c>
      <c r="J3106" s="1" t="s">
        <v>127</v>
      </c>
      <c r="K3106" s="1" t="s">
        <v>517</v>
      </c>
      <c r="L3106" s="1">
        <v>7</v>
      </c>
      <c r="M3106" s="13">
        <v>38846.9</v>
      </c>
      <c r="N3106" s="15">
        <v>0.21</v>
      </c>
      <c r="O3106" s="13">
        <v>255205.65</v>
      </c>
      <c r="P3106" s="13">
        <v>39365.879999999997</v>
      </c>
      <c r="Q3106" s="13">
        <v>50.81</v>
      </c>
      <c r="R3106" s="1" t="s">
        <v>57</v>
      </c>
      <c r="S3106" s="1">
        <v>4</v>
      </c>
      <c r="T3106" s="1" t="b">
        <v>0</v>
      </c>
      <c r="U3106" s="1" t="s">
        <v>39</v>
      </c>
      <c r="V3106" s="3">
        <v>10</v>
      </c>
    </row>
    <row r="3107" spans="1:22" x14ac:dyDescent="0.3">
      <c r="A3107" s="2" t="s">
        <v>6684</v>
      </c>
      <c r="B3107" s="10">
        <v>44137</v>
      </c>
      <c r="C3107" s="22">
        <v>44137</v>
      </c>
      <c r="D3107" s="1" t="s">
        <v>6685</v>
      </c>
      <c r="E3107" s="1" t="s">
        <v>210</v>
      </c>
      <c r="F3107" s="1">
        <v>35</v>
      </c>
      <c r="G3107" s="1" t="s">
        <v>24</v>
      </c>
      <c r="H3107" s="1" t="s">
        <v>82</v>
      </c>
      <c r="I3107" s="1" t="s">
        <v>293</v>
      </c>
      <c r="J3107" s="1" t="s">
        <v>127</v>
      </c>
      <c r="K3107" s="1" t="s">
        <v>196</v>
      </c>
      <c r="L3107" s="1">
        <v>2</v>
      </c>
      <c r="M3107" s="13">
        <v>41850.01</v>
      </c>
      <c r="N3107" s="15">
        <v>7.0000000000000007E-2</v>
      </c>
      <c r="O3107" s="13">
        <v>64764.78</v>
      </c>
      <c r="P3107" s="13">
        <v>8565.9</v>
      </c>
      <c r="Q3107" s="13">
        <v>59.88</v>
      </c>
      <c r="R3107" s="1" t="s">
        <v>78</v>
      </c>
      <c r="S3107" s="1">
        <v>1</v>
      </c>
      <c r="T3107" s="1" t="b">
        <v>0</v>
      </c>
      <c r="U3107" s="1" t="s">
        <v>699</v>
      </c>
      <c r="V3107" s="3">
        <v>8</v>
      </c>
    </row>
    <row r="3108" spans="1:22" x14ac:dyDescent="0.3">
      <c r="A3108" s="2" t="s">
        <v>6686</v>
      </c>
      <c r="B3108" s="10">
        <v>45352</v>
      </c>
      <c r="C3108" s="22">
        <v>45352</v>
      </c>
      <c r="D3108" s="1" t="s">
        <v>6687</v>
      </c>
      <c r="E3108" s="1" t="s">
        <v>145</v>
      </c>
      <c r="F3108" s="1">
        <v>24</v>
      </c>
      <c r="G3108" s="1" t="s">
        <v>34</v>
      </c>
      <c r="H3108" s="1" t="s">
        <v>25</v>
      </c>
      <c r="I3108" s="1" t="s">
        <v>26</v>
      </c>
      <c r="J3108" s="1" t="s">
        <v>44</v>
      </c>
      <c r="K3108" s="1" t="s">
        <v>186</v>
      </c>
      <c r="L3108" s="1">
        <v>5</v>
      </c>
      <c r="M3108" s="13">
        <v>25732.89</v>
      </c>
      <c r="N3108" s="15">
        <v>0.37</v>
      </c>
      <c r="O3108" s="13">
        <v>110264.78</v>
      </c>
      <c r="P3108" s="13">
        <v>26314.49</v>
      </c>
      <c r="Q3108" s="13">
        <v>67.41</v>
      </c>
      <c r="R3108" s="1" t="s">
        <v>64</v>
      </c>
      <c r="S3108" s="1">
        <v>2</v>
      </c>
      <c r="T3108" s="1" t="b">
        <v>0</v>
      </c>
      <c r="U3108" s="1" t="s">
        <v>39</v>
      </c>
      <c r="V3108" s="3">
        <v>2</v>
      </c>
    </row>
    <row r="3109" spans="1:22" x14ac:dyDescent="0.3">
      <c r="A3109" s="2" t="s">
        <v>6688</v>
      </c>
      <c r="B3109" s="10">
        <v>44774</v>
      </c>
      <c r="C3109" s="22">
        <v>44774</v>
      </c>
      <c r="D3109" s="1" t="s">
        <v>6689</v>
      </c>
      <c r="E3109" s="1" t="s">
        <v>740</v>
      </c>
      <c r="F3109" s="1">
        <v>48</v>
      </c>
      <c r="G3109" s="1" t="s">
        <v>68</v>
      </c>
      <c r="H3109" s="1" t="s">
        <v>25</v>
      </c>
      <c r="I3109" s="1" t="s">
        <v>69</v>
      </c>
      <c r="J3109" s="1" t="s">
        <v>62</v>
      </c>
      <c r="K3109" s="1" t="s">
        <v>107</v>
      </c>
      <c r="L3109" s="1">
        <v>4</v>
      </c>
      <c r="M3109" s="13">
        <v>1045.8399999999999</v>
      </c>
      <c r="N3109" s="15">
        <v>0.39</v>
      </c>
      <c r="O3109" s="13">
        <v>3553.63</v>
      </c>
      <c r="P3109" s="13">
        <v>1247.53</v>
      </c>
      <c r="Q3109" s="13">
        <v>43.68</v>
      </c>
      <c r="R3109" s="1" t="s">
        <v>29</v>
      </c>
      <c r="S3109" s="1">
        <v>5</v>
      </c>
      <c r="T3109" s="1" t="b">
        <v>0</v>
      </c>
      <c r="U3109" s="1" t="s">
        <v>137</v>
      </c>
      <c r="V3109" s="3">
        <v>3</v>
      </c>
    </row>
    <row r="3110" spans="1:22" x14ac:dyDescent="0.3">
      <c r="A3110" s="2" t="s">
        <v>6690</v>
      </c>
      <c r="B3110" s="10">
        <v>44414</v>
      </c>
      <c r="C3110" s="22">
        <v>44414</v>
      </c>
      <c r="D3110" s="1" t="s">
        <v>6691</v>
      </c>
      <c r="E3110" s="1" t="s">
        <v>789</v>
      </c>
      <c r="F3110" s="1">
        <v>30</v>
      </c>
      <c r="G3110" s="1" t="s">
        <v>24</v>
      </c>
      <c r="H3110" s="1" t="s">
        <v>111</v>
      </c>
      <c r="I3110" s="1" t="s">
        <v>121</v>
      </c>
      <c r="J3110" s="1" t="s">
        <v>27</v>
      </c>
      <c r="K3110" s="1" t="s">
        <v>400</v>
      </c>
      <c r="L3110" s="1">
        <v>8</v>
      </c>
      <c r="M3110" s="13">
        <v>278.20999999999998</v>
      </c>
      <c r="N3110" s="15">
        <v>0.22</v>
      </c>
      <c r="O3110" s="13">
        <v>2079.67</v>
      </c>
      <c r="P3110" s="13">
        <v>188.15</v>
      </c>
      <c r="Q3110" s="13">
        <v>61.34</v>
      </c>
      <c r="R3110" s="1" t="s">
        <v>70</v>
      </c>
      <c r="S3110" s="1">
        <v>2</v>
      </c>
      <c r="T3110" s="1" t="b">
        <v>0</v>
      </c>
      <c r="U3110" s="1" t="s">
        <v>197</v>
      </c>
      <c r="V3110" s="3">
        <v>5</v>
      </c>
    </row>
    <row r="3111" spans="1:22" x14ac:dyDescent="0.3">
      <c r="A3111" s="2" t="s">
        <v>6692</v>
      </c>
      <c r="B3111" s="10">
        <v>45268</v>
      </c>
      <c r="C3111" s="22">
        <v>45268</v>
      </c>
      <c r="D3111" s="1" t="s">
        <v>6693</v>
      </c>
      <c r="E3111" s="1" t="s">
        <v>2328</v>
      </c>
      <c r="F3111" s="1">
        <v>44</v>
      </c>
      <c r="G3111" s="1" t="s">
        <v>24</v>
      </c>
      <c r="H3111" s="1" t="s">
        <v>82</v>
      </c>
      <c r="I3111" s="1" t="s">
        <v>126</v>
      </c>
      <c r="J3111" s="1" t="s">
        <v>27</v>
      </c>
      <c r="K3111" s="1" t="s">
        <v>450</v>
      </c>
      <c r="L3111" s="1">
        <v>7</v>
      </c>
      <c r="M3111" s="13">
        <v>327.26</v>
      </c>
      <c r="N3111" s="15">
        <v>0.09</v>
      </c>
      <c r="O3111" s="13">
        <v>1655.16</v>
      </c>
      <c r="P3111" s="13">
        <v>157.97</v>
      </c>
      <c r="Q3111" s="13">
        <v>83.19</v>
      </c>
      <c r="R3111" s="1" t="s">
        <v>57</v>
      </c>
      <c r="S3111" s="1">
        <v>1</v>
      </c>
      <c r="T3111" s="1" t="b">
        <v>0</v>
      </c>
      <c r="U3111" s="1" t="s">
        <v>39</v>
      </c>
      <c r="V3111" s="3">
        <v>2</v>
      </c>
    </row>
    <row r="3112" spans="1:22" x14ac:dyDescent="0.3">
      <c r="A3112" s="2" t="s">
        <v>6694</v>
      </c>
      <c r="B3112" s="10">
        <v>44454</v>
      </c>
      <c r="C3112" s="22">
        <v>44454</v>
      </c>
      <c r="D3112" s="1" t="s">
        <v>6695</v>
      </c>
      <c r="E3112" s="1" t="s">
        <v>360</v>
      </c>
      <c r="F3112" s="1">
        <v>25</v>
      </c>
      <c r="G3112" s="1" t="s">
        <v>34</v>
      </c>
      <c r="H3112" s="1" t="s">
        <v>74</v>
      </c>
      <c r="I3112" s="1" t="s">
        <v>136</v>
      </c>
      <c r="J3112" s="1" t="s">
        <v>44</v>
      </c>
      <c r="K3112" s="1" t="s">
        <v>186</v>
      </c>
      <c r="L3112" s="1">
        <v>4</v>
      </c>
      <c r="M3112" s="13">
        <v>23015.5</v>
      </c>
      <c r="N3112" s="15">
        <v>0.13</v>
      </c>
      <c r="O3112" s="13">
        <v>103290.99</v>
      </c>
      <c r="P3112" s="13">
        <v>34267.22</v>
      </c>
      <c r="Q3112" s="13">
        <v>28.42</v>
      </c>
      <c r="R3112" s="1" t="s">
        <v>78</v>
      </c>
      <c r="S3112" s="1">
        <v>1</v>
      </c>
      <c r="T3112" s="1" t="b">
        <v>1</v>
      </c>
      <c r="U3112" s="1" t="s">
        <v>30</v>
      </c>
      <c r="V3112" s="3">
        <v>10</v>
      </c>
    </row>
    <row r="3113" spans="1:22" x14ac:dyDescent="0.3">
      <c r="A3113" s="2" t="s">
        <v>6696</v>
      </c>
      <c r="B3113" s="10">
        <v>44691</v>
      </c>
      <c r="C3113" s="22">
        <v>44691</v>
      </c>
      <c r="D3113" s="1" t="s">
        <v>6697</v>
      </c>
      <c r="E3113" s="1" t="s">
        <v>616</v>
      </c>
      <c r="F3113" s="1">
        <v>22</v>
      </c>
      <c r="G3113" s="1" t="s">
        <v>68</v>
      </c>
      <c r="H3113" s="1" t="s">
        <v>35</v>
      </c>
      <c r="I3113" s="1" t="s">
        <v>43</v>
      </c>
      <c r="J3113" s="1" t="s">
        <v>44</v>
      </c>
      <c r="K3113" s="1" t="s">
        <v>93</v>
      </c>
      <c r="L3113" s="1">
        <v>4</v>
      </c>
      <c r="M3113" s="13">
        <v>18771.18</v>
      </c>
      <c r="N3113" s="15">
        <v>0.12</v>
      </c>
      <c r="O3113" s="13">
        <v>90435.12</v>
      </c>
      <c r="P3113" s="13">
        <v>21095.21</v>
      </c>
      <c r="Q3113" s="13">
        <v>68.930000000000007</v>
      </c>
      <c r="R3113" s="1" t="s">
        <v>57</v>
      </c>
      <c r="S3113" s="1">
        <v>5</v>
      </c>
      <c r="T3113" s="1" t="b">
        <v>0</v>
      </c>
      <c r="U3113" s="1" t="s">
        <v>39</v>
      </c>
      <c r="V3113" s="3">
        <v>1</v>
      </c>
    </row>
    <row r="3114" spans="1:22" x14ac:dyDescent="0.3">
      <c r="A3114" s="2" t="s">
        <v>6698</v>
      </c>
      <c r="B3114" s="10">
        <v>44439</v>
      </c>
      <c r="C3114" s="22">
        <v>44439</v>
      </c>
      <c r="D3114" s="1" t="s">
        <v>6699</v>
      </c>
      <c r="E3114" s="1" t="s">
        <v>716</v>
      </c>
      <c r="F3114" s="1">
        <v>41</v>
      </c>
      <c r="G3114" s="1" t="s">
        <v>68</v>
      </c>
      <c r="H3114" s="1" t="s">
        <v>74</v>
      </c>
      <c r="I3114" s="1" t="s">
        <v>75</v>
      </c>
      <c r="J3114" s="1" t="s">
        <v>62</v>
      </c>
      <c r="K3114" s="1" t="s">
        <v>266</v>
      </c>
      <c r="L3114" s="1">
        <v>2</v>
      </c>
      <c r="M3114" s="13">
        <v>1075.45</v>
      </c>
      <c r="N3114" s="15">
        <v>0.13</v>
      </c>
      <c r="O3114" s="13">
        <v>2282.66</v>
      </c>
      <c r="P3114" s="13">
        <v>949.67</v>
      </c>
      <c r="Q3114" s="13">
        <v>47.1</v>
      </c>
      <c r="R3114" s="1" t="s">
        <v>78</v>
      </c>
      <c r="S3114" s="1">
        <v>2</v>
      </c>
      <c r="T3114" s="1" t="b">
        <v>0</v>
      </c>
      <c r="U3114" s="1" t="s">
        <v>39</v>
      </c>
      <c r="V3114" s="3">
        <v>6</v>
      </c>
    </row>
    <row r="3115" spans="1:22" x14ac:dyDescent="0.3">
      <c r="A3115" s="2" t="s">
        <v>6700</v>
      </c>
      <c r="B3115" s="10">
        <v>45466</v>
      </c>
      <c r="C3115" s="22">
        <v>45466</v>
      </c>
      <c r="D3115" s="1" t="s">
        <v>6701</v>
      </c>
      <c r="E3115" s="1" t="s">
        <v>513</v>
      </c>
      <c r="F3115" s="1">
        <v>41</v>
      </c>
      <c r="G3115" s="1" t="s">
        <v>68</v>
      </c>
      <c r="H3115" s="1" t="s">
        <v>111</v>
      </c>
      <c r="I3115" s="1" t="s">
        <v>330</v>
      </c>
      <c r="J3115" s="1" t="s">
        <v>62</v>
      </c>
      <c r="K3115" s="1" t="s">
        <v>283</v>
      </c>
      <c r="L3115" s="1">
        <v>10</v>
      </c>
      <c r="M3115" s="13">
        <v>1271.1099999999999</v>
      </c>
      <c r="N3115" s="15">
        <v>0.24</v>
      </c>
      <c r="O3115" s="13">
        <v>14356.97</v>
      </c>
      <c r="P3115" s="13">
        <v>5996.1</v>
      </c>
      <c r="Q3115" s="13">
        <v>47.57</v>
      </c>
      <c r="R3115" s="1" t="s">
        <v>57</v>
      </c>
      <c r="S3115" s="1">
        <v>5</v>
      </c>
      <c r="T3115" s="1" t="b">
        <v>0</v>
      </c>
      <c r="U3115" s="1" t="s">
        <v>39</v>
      </c>
      <c r="V3115" s="3">
        <v>1</v>
      </c>
    </row>
    <row r="3116" spans="1:22" x14ac:dyDescent="0.3">
      <c r="A3116" s="2" t="s">
        <v>6702</v>
      </c>
      <c r="B3116" s="10">
        <v>44216</v>
      </c>
      <c r="C3116" s="22">
        <v>44216</v>
      </c>
      <c r="D3116" s="1" t="s">
        <v>6703</v>
      </c>
      <c r="E3116" s="1" t="s">
        <v>872</v>
      </c>
      <c r="F3116" s="1">
        <v>20</v>
      </c>
      <c r="G3116" s="1" t="s">
        <v>68</v>
      </c>
      <c r="H3116" s="1" t="s">
        <v>35</v>
      </c>
      <c r="I3116" s="1" t="s">
        <v>43</v>
      </c>
      <c r="J3116" s="1" t="s">
        <v>44</v>
      </c>
      <c r="K3116" s="1" t="s">
        <v>186</v>
      </c>
      <c r="L3116" s="1">
        <v>10</v>
      </c>
      <c r="M3116" s="13">
        <v>7217.24</v>
      </c>
      <c r="N3116" s="15">
        <v>0.34</v>
      </c>
      <c r="O3116" s="13">
        <v>38701.839999999997</v>
      </c>
      <c r="P3116" s="13">
        <v>9777.4500000000007</v>
      </c>
      <c r="Q3116" s="13">
        <v>78.16</v>
      </c>
      <c r="R3116" s="1" t="s">
        <v>57</v>
      </c>
      <c r="S3116" s="1">
        <v>1</v>
      </c>
      <c r="T3116" s="1" t="b">
        <v>1</v>
      </c>
      <c r="U3116" s="1" t="s">
        <v>30</v>
      </c>
      <c r="V3116" s="3">
        <v>2</v>
      </c>
    </row>
    <row r="3117" spans="1:22" x14ac:dyDescent="0.3">
      <c r="A3117" s="2" t="s">
        <v>6704</v>
      </c>
      <c r="B3117" s="10">
        <v>44701</v>
      </c>
      <c r="C3117" s="22">
        <v>44701</v>
      </c>
      <c r="D3117" s="1" t="s">
        <v>6705</v>
      </c>
      <c r="E3117" s="1" t="s">
        <v>384</v>
      </c>
      <c r="F3117" s="1">
        <v>17</v>
      </c>
      <c r="G3117" s="1" t="s">
        <v>24</v>
      </c>
      <c r="H3117" s="1" t="s">
        <v>35</v>
      </c>
      <c r="I3117" s="1" t="s">
        <v>43</v>
      </c>
      <c r="J3117" s="1" t="s">
        <v>127</v>
      </c>
      <c r="K3117" s="1" t="s">
        <v>128</v>
      </c>
      <c r="L3117" s="1">
        <v>10</v>
      </c>
      <c r="M3117" s="13">
        <v>8235.1</v>
      </c>
      <c r="N3117" s="15">
        <v>0.21</v>
      </c>
      <c r="O3117" s="13">
        <v>102107.36</v>
      </c>
      <c r="P3117" s="13">
        <v>11235.34</v>
      </c>
      <c r="Q3117" s="13">
        <v>33.15</v>
      </c>
      <c r="R3117" s="1" t="s">
        <v>29</v>
      </c>
      <c r="S3117" s="1">
        <v>5</v>
      </c>
      <c r="T3117" s="1" t="b">
        <v>0</v>
      </c>
      <c r="U3117" s="1" t="s">
        <v>39</v>
      </c>
      <c r="V3117" s="3">
        <v>4</v>
      </c>
    </row>
    <row r="3118" spans="1:22" x14ac:dyDescent="0.3">
      <c r="A3118" s="2" t="s">
        <v>6706</v>
      </c>
      <c r="B3118" s="10">
        <v>43857</v>
      </c>
      <c r="C3118" s="22">
        <v>43857</v>
      </c>
      <c r="D3118" s="1" t="s">
        <v>6707</v>
      </c>
      <c r="E3118" s="1" t="s">
        <v>1084</v>
      </c>
      <c r="F3118" s="1">
        <v>24</v>
      </c>
      <c r="G3118" s="1" t="s">
        <v>68</v>
      </c>
      <c r="H3118" s="1" t="s">
        <v>35</v>
      </c>
      <c r="I3118" s="1" t="s">
        <v>106</v>
      </c>
      <c r="J3118" s="1" t="s">
        <v>62</v>
      </c>
      <c r="K3118" s="1" t="s">
        <v>570</v>
      </c>
      <c r="L3118" s="1">
        <v>8</v>
      </c>
      <c r="M3118" s="13">
        <v>493.36</v>
      </c>
      <c r="N3118" s="15">
        <v>0.34</v>
      </c>
      <c r="O3118" s="13">
        <v>1942.7</v>
      </c>
      <c r="P3118" s="13">
        <v>742.64</v>
      </c>
      <c r="Q3118" s="13">
        <v>52.85</v>
      </c>
      <c r="R3118" s="1" t="s">
        <v>70</v>
      </c>
      <c r="S3118" s="1">
        <v>4</v>
      </c>
      <c r="T3118" s="1" t="b">
        <v>0</v>
      </c>
      <c r="U3118" s="1" t="s">
        <v>39</v>
      </c>
      <c r="V3118" s="3">
        <v>6</v>
      </c>
    </row>
    <row r="3119" spans="1:22" x14ac:dyDescent="0.3">
      <c r="A3119" s="2" t="s">
        <v>6708</v>
      </c>
      <c r="B3119" s="10">
        <v>44037</v>
      </c>
      <c r="C3119" s="22">
        <v>44037</v>
      </c>
      <c r="D3119" s="1" t="s">
        <v>6709</v>
      </c>
      <c r="E3119" s="1" t="s">
        <v>1243</v>
      </c>
      <c r="F3119" s="1">
        <v>23</v>
      </c>
      <c r="G3119" s="1" t="s">
        <v>34</v>
      </c>
      <c r="H3119" s="1" t="s">
        <v>74</v>
      </c>
      <c r="I3119" s="1" t="s">
        <v>192</v>
      </c>
      <c r="J3119" s="1" t="s">
        <v>27</v>
      </c>
      <c r="K3119" s="1" t="s">
        <v>28</v>
      </c>
      <c r="L3119" s="1">
        <v>8</v>
      </c>
      <c r="M3119" s="13">
        <v>445.99</v>
      </c>
      <c r="N3119" s="15">
        <v>0.24</v>
      </c>
      <c r="O3119" s="13">
        <v>3881.14</v>
      </c>
      <c r="P3119" s="13">
        <v>281.89999999999998</v>
      </c>
      <c r="Q3119" s="13">
        <v>72.48</v>
      </c>
      <c r="R3119" s="1" t="s">
        <v>29</v>
      </c>
      <c r="S3119" s="1">
        <v>2</v>
      </c>
      <c r="T3119" s="1" t="b">
        <v>0</v>
      </c>
      <c r="U3119" s="1" t="s">
        <v>39</v>
      </c>
      <c r="V3119" s="3">
        <v>9</v>
      </c>
    </row>
    <row r="3120" spans="1:22" x14ac:dyDescent="0.3">
      <c r="A3120" s="2" t="s">
        <v>6710</v>
      </c>
      <c r="B3120" s="10">
        <v>44574</v>
      </c>
      <c r="C3120" s="22">
        <v>44574</v>
      </c>
      <c r="D3120" s="1" t="s">
        <v>6711</v>
      </c>
      <c r="E3120" s="1" t="s">
        <v>804</v>
      </c>
      <c r="F3120" s="1">
        <v>37</v>
      </c>
      <c r="G3120" s="1" t="s">
        <v>68</v>
      </c>
      <c r="H3120" s="1" t="s">
        <v>35</v>
      </c>
      <c r="I3120" s="1" t="s">
        <v>49</v>
      </c>
      <c r="J3120" s="1" t="s">
        <v>44</v>
      </c>
      <c r="K3120" s="1" t="s">
        <v>221</v>
      </c>
      <c r="L3120" s="1">
        <v>10</v>
      </c>
      <c r="M3120" s="13">
        <v>17068.89</v>
      </c>
      <c r="N3120" s="15">
        <v>0.16</v>
      </c>
      <c r="O3120" s="13">
        <v>124615.43</v>
      </c>
      <c r="P3120" s="13">
        <v>41346.800000000003</v>
      </c>
      <c r="Q3120" s="13">
        <v>81.760000000000005</v>
      </c>
      <c r="R3120" s="1" t="s">
        <v>64</v>
      </c>
      <c r="S3120" s="1">
        <v>5</v>
      </c>
      <c r="T3120" s="1" t="b">
        <v>0</v>
      </c>
      <c r="U3120" s="1" t="s">
        <v>137</v>
      </c>
      <c r="V3120" s="3">
        <v>3</v>
      </c>
    </row>
    <row r="3121" spans="1:22" x14ac:dyDescent="0.3">
      <c r="A3121" s="2" t="s">
        <v>6712</v>
      </c>
      <c r="B3121" s="10">
        <v>43849</v>
      </c>
      <c r="C3121" s="22">
        <v>43849</v>
      </c>
      <c r="D3121" s="1" t="s">
        <v>6713</v>
      </c>
      <c r="E3121" s="1" t="s">
        <v>307</v>
      </c>
      <c r="F3121" s="1">
        <v>33</v>
      </c>
      <c r="G3121" s="1" t="s">
        <v>68</v>
      </c>
      <c r="H3121" s="1" t="s">
        <v>111</v>
      </c>
      <c r="I3121" s="1" t="s">
        <v>330</v>
      </c>
      <c r="J3121" s="1" t="s">
        <v>146</v>
      </c>
      <c r="K3121" s="1" t="s">
        <v>147</v>
      </c>
      <c r="L3121" s="1">
        <v>3</v>
      </c>
      <c r="M3121" s="13">
        <v>2208.38</v>
      </c>
      <c r="N3121" s="15">
        <v>0.02</v>
      </c>
      <c r="O3121" s="13">
        <v>5472.63</v>
      </c>
      <c r="P3121" s="13">
        <v>1191.19</v>
      </c>
      <c r="Q3121" s="13">
        <v>87.33</v>
      </c>
      <c r="R3121" s="1" t="s">
        <v>57</v>
      </c>
      <c r="S3121" s="1">
        <v>2</v>
      </c>
      <c r="T3121" s="1" t="b">
        <v>0</v>
      </c>
      <c r="U3121" s="1" t="s">
        <v>39</v>
      </c>
      <c r="V3121" s="3">
        <v>5</v>
      </c>
    </row>
    <row r="3122" spans="1:22" x14ac:dyDescent="0.3">
      <c r="A3122" s="2" t="s">
        <v>6714</v>
      </c>
      <c r="B3122" s="10">
        <v>44352</v>
      </c>
      <c r="C3122" s="22">
        <v>44352</v>
      </c>
      <c r="D3122" s="1" t="s">
        <v>6715</v>
      </c>
      <c r="E3122" s="1" t="s">
        <v>164</v>
      </c>
      <c r="F3122" s="1">
        <v>26</v>
      </c>
      <c r="G3122" s="1" t="s">
        <v>24</v>
      </c>
      <c r="H3122" s="1" t="s">
        <v>82</v>
      </c>
      <c r="I3122" s="1" t="s">
        <v>126</v>
      </c>
      <c r="J3122" s="1" t="s">
        <v>37</v>
      </c>
      <c r="K3122" s="1" t="s">
        <v>231</v>
      </c>
      <c r="L3122" s="1">
        <v>5</v>
      </c>
      <c r="M3122" s="13">
        <v>1895.73</v>
      </c>
      <c r="N3122" s="15">
        <v>0.16</v>
      </c>
      <c r="O3122" s="13">
        <v>9954.8700000000008</v>
      </c>
      <c r="P3122" s="13">
        <v>5748.45</v>
      </c>
      <c r="Q3122" s="13">
        <v>53.1</v>
      </c>
      <c r="R3122" s="1" t="s">
        <v>70</v>
      </c>
      <c r="S3122" s="1">
        <v>1</v>
      </c>
      <c r="T3122" s="1" t="b">
        <v>0</v>
      </c>
      <c r="U3122" s="1" t="s">
        <v>39</v>
      </c>
      <c r="V3122" s="3">
        <v>10</v>
      </c>
    </row>
    <row r="3123" spans="1:22" x14ac:dyDescent="0.3">
      <c r="A3123" s="2" t="s">
        <v>6716</v>
      </c>
      <c r="B3123" s="10">
        <v>44003</v>
      </c>
      <c r="C3123" s="22">
        <v>44003</v>
      </c>
      <c r="D3123" s="1" t="s">
        <v>6717</v>
      </c>
      <c r="E3123" s="1" t="s">
        <v>1282</v>
      </c>
      <c r="F3123" s="1">
        <v>26</v>
      </c>
      <c r="G3123" s="1" t="s">
        <v>68</v>
      </c>
      <c r="H3123" s="1" t="s">
        <v>74</v>
      </c>
      <c r="I3123" s="1" t="s">
        <v>192</v>
      </c>
      <c r="J3123" s="1" t="s">
        <v>37</v>
      </c>
      <c r="K3123" s="1" t="s">
        <v>454</v>
      </c>
      <c r="L3123" s="1">
        <v>9</v>
      </c>
      <c r="M3123" s="13">
        <v>137.31</v>
      </c>
      <c r="N3123" s="15">
        <v>0.24</v>
      </c>
      <c r="O3123" s="13">
        <v>1114.76</v>
      </c>
      <c r="P3123" s="13">
        <v>516.91999999999996</v>
      </c>
      <c r="Q3123" s="13">
        <v>64.95</v>
      </c>
      <c r="R3123" s="1" t="s">
        <v>51</v>
      </c>
      <c r="S3123" s="1">
        <v>1</v>
      </c>
      <c r="T3123" s="1" t="b">
        <v>0</v>
      </c>
      <c r="U3123" s="1" t="s">
        <v>39</v>
      </c>
      <c r="V3123" s="3">
        <v>1</v>
      </c>
    </row>
    <row r="3124" spans="1:22" x14ac:dyDescent="0.3">
      <c r="A3124" s="2" t="s">
        <v>6718</v>
      </c>
      <c r="B3124" s="10">
        <v>45078</v>
      </c>
      <c r="C3124" s="22">
        <v>45078</v>
      </c>
      <c r="D3124" s="1" t="s">
        <v>6719</v>
      </c>
      <c r="E3124" s="1" t="s">
        <v>1084</v>
      </c>
      <c r="F3124" s="1">
        <v>17</v>
      </c>
      <c r="G3124" s="1" t="s">
        <v>34</v>
      </c>
      <c r="H3124" s="1" t="s">
        <v>74</v>
      </c>
      <c r="I3124" s="1" t="s">
        <v>75</v>
      </c>
      <c r="J3124" s="1" t="s">
        <v>146</v>
      </c>
      <c r="K3124" s="1" t="s">
        <v>217</v>
      </c>
      <c r="L3124" s="1">
        <v>10</v>
      </c>
      <c r="M3124" s="13">
        <v>9450.1299999999992</v>
      </c>
      <c r="N3124" s="15">
        <v>0.12</v>
      </c>
      <c r="O3124" s="13">
        <v>148205.85</v>
      </c>
      <c r="P3124" s="13">
        <v>22767.200000000001</v>
      </c>
      <c r="Q3124" s="13">
        <v>65.88</v>
      </c>
      <c r="R3124" s="1" t="s">
        <v>51</v>
      </c>
      <c r="S3124" s="1">
        <v>1</v>
      </c>
      <c r="T3124" s="1" t="b">
        <v>1</v>
      </c>
      <c r="U3124" s="1" t="s">
        <v>30</v>
      </c>
      <c r="V3124" s="3">
        <v>6</v>
      </c>
    </row>
    <row r="3125" spans="1:22" x14ac:dyDescent="0.3">
      <c r="A3125" s="2" t="s">
        <v>6720</v>
      </c>
      <c r="B3125" s="10">
        <v>45179</v>
      </c>
      <c r="C3125" s="22">
        <v>45179</v>
      </c>
      <c r="D3125" s="1" t="s">
        <v>6721</v>
      </c>
      <c r="E3125" s="1" t="s">
        <v>3040</v>
      </c>
      <c r="F3125" s="1">
        <v>40</v>
      </c>
      <c r="G3125" s="1" t="s">
        <v>34</v>
      </c>
      <c r="H3125" s="1" t="s">
        <v>74</v>
      </c>
      <c r="I3125" s="1" t="s">
        <v>136</v>
      </c>
      <c r="J3125" s="1" t="s">
        <v>44</v>
      </c>
      <c r="K3125" s="1" t="s">
        <v>221</v>
      </c>
      <c r="L3125" s="1">
        <v>10</v>
      </c>
      <c r="M3125" s="13">
        <v>25522.49</v>
      </c>
      <c r="N3125" s="15">
        <v>0.21</v>
      </c>
      <c r="O3125" s="13">
        <v>360814.67</v>
      </c>
      <c r="P3125" s="13">
        <v>112620.79</v>
      </c>
      <c r="Q3125" s="13">
        <v>24.03</v>
      </c>
      <c r="R3125" s="1" t="s">
        <v>64</v>
      </c>
      <c r="S3125" s="1">
        <v>1</v>
      </c>
      <c r="T3125" s="1" t="b">
        <v>0</v>
      </c>
      <c r="U3125" s="1" t="s">
        <v>39</v>
      </c>
      <c r="V3125" s="3">
        <v>10</v>
      </c>
    </row>
    <row r="3126" spans="1:22" x14ac:dyDescent="0.3">
      <c r="A3126" s="2" t="s">
        <v>6722</v>
      </c>
      <c r="B3126" s="10">
        <v>44574</v>
      </c>
      <c r="C3126" s="22">
        <v>44574</v>
      </c>
      <c r="D3126" s="1" t="s">
        <v>6723</v>
      </c>
      <c r="E3126" s="1" t="s">
        <v>1591</v>
      </c>
      <c r="F3126" s="1">
        <v>42</v>
      </c>
      <c r="G3126" s="1" t="s">
        <v>68</v>
      </c>
      <c r="H3126" s="1" t="s">
        <v>35</v>
      </c>
      <c r="I3126" s="1" t="s">
        <v>49</v>
      </c>
      <c r="J3126" s="1" t="s">
        <v>62</v>
      </c>
      <c r="K3126" s="1" t="s">
        <v>63</v>
      </c>
      <c r="L3126" s="1">
        <v>2</v>
      </c>
      <c r="M3126" s="13">
        <v>1184.8499999999999</v>
      </c>
      <c r="N3126" s="15">
        <v>0</v>
      </c>
      <c r="O3126" s="13">
        <v>1851.96</v>
      </c>
      <c r="P3126" s="13">
        <v>844.3</v>
      </c>
      <c r="Q3126" s="13">
        <v>79.06</v>
      </c>
      <c r="R3126" s="1" t="s">
        <v>57</v>
      </c>
      <c r="S3126" s="1">
        <v>3</v>
      </c>
      <c r="T3126" s="1" t="b">
        <v>0</v>
      </c>
      <c r="U3126" s="1" t="s">
        <v>39</v>
      </c>
      <c r="V3126" s="3">
        <v>5</v>
      </c>
    </row>
    <row r="3127" spans="1:22" x14ac:dyDescent="0.3">
      <c r="A3127" s="2" t="s">
        <v>6724</v>
      </c>
      <c r="B3127" s="10">
        <v>45102</v>
      </c>
      <c r="C3127" s="22">
        <v>45102</v>
      </c>
      <c r="D3127" s="1" t="s">
        <v>6725</v>
      </c>
      <c r="E3127" s="1" t="s">
        <v>406</v>
      </c>
      <c r="F3127" s="1">
        <v>17</v>
      </c>
      <c r="G3127" s="1" t="s">
        <v>24</v>
      </c>
      <c r="H3127" s="1" t="s">
        <v>74</v>
      </c>
      <c r="I3127" s="1" t="s">
        <v>75</v>
      </c>
      <c r="J3127" s="1" t="s">
        <v>44</v>
      </c>
      <c r="K3127" s="1" t="s">
        <v>93</v>
      </c>
      <c r="L3127" s="1">
        <v>8</v>
      </c>
      <c r="M3127" s="13">
        <v>11770.39</v>
      </c>
      <c r="N3127" s="15">
        <v>0.15</v>
      </c>
      <c r="O3127" s="13">
        <v>137222.95000000001</v>
      </c>
      <c r="P3127" s="13">
        <v>30354.400000000001</v>
      </c>
      <c r="Q3127" s="13">
        <v>52.08</v>
      </c>
      <c r="R3127" s="1" t="s">
        <v>57</v>
      </c>
      <c r="S3127" s="1">
        <v>3</v>
      </c>
      <c r="T3127" s="1" t="b">
        <v>0</v>
      </c>
      <c r="U3127" s="1" t="s">
        <v>137</v>
      </c>
      <c r="V3127" s="3">
        <v>10</v>
      </c>
    </row>
    <row r="3128" spans="1:22" x14ac:dyDescent="0.3">
      <c r="A3128" s="2" t="s">
        <v>6726</v>
      </c>
      <c r="B3128" s="10">
        <v>44188</v>
      </c>
      <c r="C3128" s="22">
        <v>44188</v>
      </c>
      <c r="D3128" s="1" t="s">
        <v>6727</v>
      </c>
      <c r="E3128" s="1" t="s">
        <v>1285</v>
      </c>
      <c r="F3128" s="1">
        <v>35</v>
      </c>
      <c r="G3128" s="1" t="s">
        <v>24</v>
      </c>
      <c r="H3128" s="1" t="s">
        <v>111</v>
      </c>
      <c r="I3128" s="1" t="s">
        <v>141</v>
      </c>
      <c r="J3128" s="1" t="s">
        <v>27</v>
      </c>
      <c r="K3128" s="1" t="s">
        <v>430</v>
      </c>
      <c r="L3128" s="1">
        <v>9</v>
      </c>
      <c r="M3128" s="13">
        <v>203.63</v>
      </c>
      <c r="N3128" s="15">
        <v>0.28999999999999998</v>
      </c>
      <c r="O3128" s="13">
        <v>829.37</v>
      </c>
      <c r="P3128" s="13">
        <v>75.45</v>
      </c>
      <c r="Q3128" s="13">
        <v>84.23</v>
      </c>
      <c r="R3128" s="1" t="s">
        <v>57</v>
      </c>
      <c r="S3128" s="1">
        <v>4</v>
      </c>
      <c r="T3128" s="1" t="b">
        <v>0</v>
      </c>
      <c r="U3128" s="1" t="s">
        <v>39</v>
      </c>
      <c r="V3128" s="3">
        <v>1</v>
      </c>
    </row>
    <row r="3129" spans="1:22" x14ac:dyDescent="0.3">
      <c r="A3129" s="2" t="s">
        <v>6728</v>
      </c>
      <c r="B3129" s="10">
        <v>44530</v>
      </c>
      <c r="C3129" s="22">
        <v>44530</v>
      </c>
      <c r="D3129" s="1" t="s">
        <v>6729</v>
      </c>
      <c r="E3129" s="1" t="s">
        <v>181</v>
      </c>
      <c r="F3129" s="1">
        <v>64</v>
      </c>
      <c r="G3129" s="1" t="s">
        <v>34</v>
      </c>
      <c r="H3129" s="1" t="s">
        <v>74</v>
      </c>
      <c r="I3129" s="1" t="s">
        <v>192</v>
      </c>
      <c r="J3129" s="1" t="s">
        <v>62</v>
      </c>
      <c r="K3129" s="1" t="s">
        <v>283</v>
      </c>
      <c r="L3129" s="1">
        <v>5</v>
      </c>
      <c r="M3129" s="13">
        <v>625.59</v>
      </c>
      <c r="N3129" s="15">
        <v>0.02</v>
      </c>
      <c r="O3129" s="13">
        <v>2682.13</v>
      </c>
      <c r="P3129" s="13">
        <v>910.71</v>
      </c>
      <c r="Q3129" s="13">
        <v>43.73</v>
      </c>
      <c r="R3129" s="1" t="s">
        <v>78</v>
      </c>
      <c r="S3129" s="1">
        <v>5</v>
      </c>
      <c r="T3129" s="1" t="b">
        <v>0</v>
      </c>
      <c r="U3129" s="1" t="s">
        <v>39</v>
      </c>
      <c r="V3129" s="3">
        <v>7</v>
      </c>
    </row>
    <row r="3130" spans="1:22" x14ac:dyDescent="0.3">
      <c r="A3130" s="2" t="s">
        <v>6730</v>
      </c>
      <c r="B3130" s="10">
        <v>45159</v>
      </c>
      <c r="C3130" s="22">
        <v>45159</v>
      </c>
      <c r="D3130" s="1" t="s">
        <v>6731</v>
      </c>
      <c r="E3130" s="1" t="s">
        <v>1535</v>
      </c>
      <c r="F3130" s="1">
        <v>54</v>
      </c>
      <c r="G3130" s="1" t="s">
        <v>34</v>
      </c>
      <c r="H3130" s="1" t="s">
        <v>74</v>
      </c>
      <c r="I3130" s="1" t="s">
        <v>136</v>
      </c>
      <c r="J3130" s="1" t="s">
        <v>76</v>
      </c>
      <c r="K3130" s="1" t="s">
        <v>122</v>
      </c>
      <c r="L3130" s="1">
        <v>5</v>
      </c>
      <c r="M3130" s="13">
        <v>3920.37</v>
      </c>
      <c r="N3130" s="15">
        <v>0.09</v>
      </c>
      <c r="O3130" s="13">
        <v>25064.55</v>
      </c>
      <c r="P3130" s="13">
        <v>10054.85</v>
      </c>
      <c r="Q3130" s="13">
        <v>17.84</v>
      </c>
      <c r="R3130" s="1" t="s">
        <v>29</v>
      </c>
      <c r="S3130" s="1">
        <v>3</v>
      </c>
      <c r="T3130" s="1" t="b">
        <v>0</v>
      </c>
      <c r="U3130" s="1" t="s">
        <v>39</v>
      </c>
      <c r="V3130" s="3">
        <v>6</v>
      </c>
    </row>
    <row r="3131" spans="1:22" x14ac:dyDescent="0.3">
      <c r="A3131" s="2" t="s">
        <v>6732</v>
      </c>
      <c r="B3131" s="10">
        <v>44148</v>
      </c>
      <c r="C3131" s="22">
        <v>44148</v>
      </c>
      <c r="D3131" s="1" t="s">
        <v>6733</v>
      </c>
      <c r="E3131" s="1" t="s">
        <v>3152</v>
      </c>
      <c r="F3131" s="1">
        <v>33</v>
      </c>
      <c r="G3131" s="1" t="s">
        <v>34</v>
      </c>
      <c r="H3131" s="1" t="s">
        <v>35</v>
      </c>
      <c r="I3131" s="1" t="s">
        <v>36</v>
      </c>
      <c r="J3131" s="1" t="s">
        <v>27</v>
      </c>
      <c r="K3131" s="1" t="s">
        <v>400</v>
      </c>
      <c r="L3131" s="1">
        <v>7</v>
      </c>
      <c r="M3131" s="13">
        <v>359.06</v>
      </c>
      <c r="N3131" s="15">
        <v>0.02</v>
      </c>
      <c r="O3131" s="13">
        <v>1926.06</v>
      </c>
      <c r="P3131" s="13">
        <v>153.38</v>
      </c>
      <c r="Q3131" s="13">
        <v>77.28</v>
      </c>
      <c r="R3131" s="1" t="s">
        <v>64</v>
      </c>
      <c r="S3131" s="1">
        <v>2</v>
      </c>
      <c r="T3131" s="1" t="b">
        <v>0</v>
      </c>
      <c r="U3131" s="1" t="s">
        <v>39</v>
      </c>
      <c r="V3131" s="3">
        <v>8</v>
      </c>
    </row>
    <row r="3132" spans="1:22" x14ac:dyDescent="0.3">
      <c r="A3132" s="2" t="s">
        <v>6734</v>
      </c>
      <c r="B3132" s="10">
        <v>44018</v>
      </c>
      <c r="C3132" s="22">
        <v>44018</v>
      </c>
      <c r="D3132" s="1" t="s">
        <v>6735</v>
      </c>
      <c r="E3132" s="1" t="s">
        <v>2214</v>
      </c>
      <c r="F3132" s="1">
        <v>43</v>
      </c>
      <c r="G3132" s="1" t="s">
        <v>34</v>
      </c>
      <c r="H3132" s="1" t="s">
        <v>25</v>
      </c>
      <c r="I3132" s="1" t="s">
        <v>26</v>
      </c>
      <c r="J3132" s="1" t="s">
        <v>146</v>
      </c>
      <c r="K3132" s="1" t="s">
        <v>161</v>
      </c>
      <c r="L3132" s="1">
        <v>3</v>
      </c>
      <c r="M3132" s="13">
        <v>11793.71</v>
      </c>
      <c r="N3132" s="15">
        <v>0.32</v>
      </c>
      <c r="O3132" s="13">
        <v>29262.31</v>
      </c>
      <c r="P3132" s="13">
        <v>6296.56</v>
      </c>
      <c r="Q3132" s="13">
        <v>63.2</v>
      </c>
      <c r="R3132" s="1" t="s">
        <v>70</v>
      </c>
      <c r="S3132" s="1">
        <v>4</v>
      </c>
      <c r="T3132" s="1" t="b">
        <v>0</v>
      </c>
      <c r="U3132" s="1" t="s">
        <v>39</v>
      </c>
      <c r="V3132" s="3">
        <v>9</v>
      </c>
    </row>
    <row r="3133" spans="1:22" x14ac:dyDescent="0.3">
      <c r="A3133" s="2" t="s">
        <v>6736</v>
      </c>
      <c r="B3133" s="10">
        <v>44357</v>
      </c>
      <c r="C3133" s="22">
        <v>44357</v>
      </c>
      <c r="D3133" s="1" t="s">
        <v>6737</v>
      </c>
      <c r="E3133" s="1" t="s">
        <v>3248</v>
      </c>
      <c r="F3133" s="1">
        <v>32</v>
      </c>
      <c r="G3133" s="1" t="s">
        <v>24</v>
      </c>
      <c r="H3133" s="1" t="s">
        <v>25</v>
      </c>
      <c r="I3133" s="1" t="s">
        <v>26</v>
      </c>
      <c r="J3133" s="1" t="s">
        <v>76</v>
      </c>
      <c r="K3133" s="1" t="s">
        <v>77</v>
      </c>
      <c r="L3133" s="1">
        <v>7</v>
      </c>
      <c r="M3133" s="13">
        <v>2184.88</v>
      </c>
      <c r="N3133" s="15">
        <v>0.16</v>
      </c>
      <c r="O3133" s="13">
        <v>20358.669999999998</v>
      </c>
      <c r="P3133" s="13">
        <v>4252.26</v>
      </c>
      <c r="Q3133" s="13">
        <v>49.09</v>
      </c>
      <c r="R3133" s="1" t="s">
        <v>51</v>
      </c>
      <c r="S3133" s="1">
        <v>4</v>
      </c>
      <c r="T3133" s="1" t="b">
        <v>0</v>
      </c>
      <c r="U3133" s="1" t="s">
        <v>39</v>
      </c>
      <c r="V3133" s="3">
        <v>5</v>
      </c>
    </row>
    <row r="3134" spans="1:22" x14ac:dyDescent="0.3">
      <c r="A3134" s="2" t="s">
        <v>6738</v>
      </c>
      <c r="B3134" s="10">
        <v>44249</v>
      </c>
      <c r="C3134" s="22">
        <v>44249</v>
      </c>
      <c r="D3134" s="1" t="s">
        <v>6739</v>
      </c>
      <c r="E3134" s="1" t="s">
        <v>534</v>
      </c>
      <c r="F3134" s="1">
        <v>40</v>
      </c>
      <c r="G3134" s="1" t="s">
        <v>391</v>
      </c>
      <c r="H3134" s="1" t="s">
        <v>82</v>
      </c>
      <c r="I3134" s="1" t="s">
        <v>244</v>
      </c>
      <c r="J3134" s="1" t="s">
        <v>127</v>
      </c>
      <c r="K3134" s="1" t="s">
        <v>171</v>
      </c>
      <c r="L3134" s="1">
        <v>9</v>
      </c>
      <c r="M3134" s="13">
        <v>27718.27</v>
      </c>
      <c r="N3134" s="15">
        <v>0.21</v>
      </c>
      <c r="O3134" s="13">
        <v>228875.11</v>
      </c>
      <c r="P3134" s="13">
        <v>36385.339999999997</v>
      </c>
      <c r="Q3134" s="13">
        <v>75.400000000000006</v>
      </c>
      <c r="R3134" s="1" t="s">
        <v>64</v>
      </c>
      <c r="S3134" s="1">
        <v>1</v>
      </c>
      <c r="T3134" s="1" t="b">
        <v>0</v>
      </c>
      <c r="U3134" s="1" t="s">
        <v>39</v>
      </c>
      <c r="V3134" s="3">
        <v>3</v>
      </c>
    </row>
    <row r="3135" spans="1:22" x14ac:dyDescent="0.3">
      <c r="A3135" s="2" t="s">
        <v>6740</v>
      </c>
      <c r="B3135" s="10">
        <v>45518</v>
      </c>
      <c r="C3135" s="22">
        <v>45518</v>
      </c>
      <c r="D3135" s="1" t="s">
        <v>6741</v>
      </c>
      <c r="E3135" s="1" t="s">
        <v>1495</v>
      </c>
      <c r="F3135" s="1">
        <v>34</v>
      </c>
      <c r="G3135" s="1" t="s">
        <v>24</v>
      </c>
      <c r="H3135" s="1" t="s">
        <v>25</v>
      </c>
      <c r="I3135" s="1" t="s">
        <v>170</v>
      </c>
      <c r="J3135" s="1" t="s">
        <v>37</v>
      </c>
      <c r="K3135" s="1" t="s">
        <v>38</v>
      </c>
      <c r="L3135" s="1">
        <v>3</v>
      </c>
      <c r="M3135" s="13">
        <v>720.8</v>
      </c>
      <c r="N3135" s="15">
        <v>0.24</v>
      </c>
      <c r="O3135" s="13">
        <v>2212.27</v>
      </c>
      <c r="P3135" s="13">
        <v>892.22</v>
      </c>
      <c r="Q3135" s="13">
        <v>47.4</v>
      </c>
      <c r="R3135" s="1" t="s">
        <v>64</v>
      </c>
      <c r="S3135" s="1">
        <v>1</v>
      </c>
      <c r="T3135" s="1" t="b">
        <v>0</v>
      </c>
      <c r="U3135" s="1" t="s">
        <v>39</v>
      </c>
      <c r="V3135" s="3">
        <v>2</v>
      </c>
    </row>
    <row r="3136" spans="1:22" x14ac:dyDescent="0.3">
      <c r="A3136" s="2" t="s">
        <v>6742</v>
      </c>
      <c r="B3136" s="10">
        <v>44588</v>
      </c>
      <c r="C3136" s="22">
        <v>44588</v>
      </c>
      <c r="D3136" s="1" t="s">
        <v>6743</v>
      </c>
      <c r="E3136" s="1" t="s">
        <v>390</v>
      </c>
      <c r="F3136" s="1">
        <v>19</v>
      </c>
      <c r="G3136" s="1" t="s">
        <v>68</v>
      </c>
      <c r="H3136" s="1" t="s">
        <v>111</v>
      </c>
      <c r="I3136" s="1" t="s">
        <v>112</v>
      </c>
      <c r="J3136" s="1" t="s">
        <v>127</v>
      </c>
      <c r="K3136" s="1" t="s">
        <v>308</v>
      </c>
      <c r="L3136" s="1">
        <v>6</v>
      </c>
      <c r="M3136" s="13">
        <v>20306.849999999999</v>
      </c>
      <c r="N3136" s="15">
        <v>0.36</v>
      </c>
      <c r="O3136" s="13">
        <v>67574.41</v>
      </c>
      <c r="P3136" s="13">
        <v>6252.6</v>
      </c>
      <c r="Q3136" s="13">
        <v>80.91</v>
      </c>
      <c r="R3136" s="1" t="s">
        <v>64</v>
      </c>
      <c r="S3136" s="1">
        <v>5</v>
      </c>
      <c r="T3136" s="1" t="b">
        <v>0</v>
      </c>
      <c r="U3136" s="1" t="s">
        <v>39</v>
      </c>
      <c r="V3136" s="3">
        <v>6</v>
      </c>
    </row>
    <row r="3137" spans="1:22" x14ac:dyDescent="0.3">
      <c r="A3137" s="2" t="s">
        <v>6744</v>
      </c>
      <c r="B3137" s="10">
        <v>44205</v>
      </c>
      <c r="C3137" s="22">
        <v>44205</v>
      </c>
      <c r="D3137" s="1" t="s">
        <v>515</v>
      </c>
      <c r="E3137" s="1" t="s">
        <v>502</v>
      </c>
      <c r="F3137" s="1">
        <v>42</v>
      </c>
      <c r="G3137" s="1" t="s">
        <v>68</v>
      </c>
      <c r="H3137" s="1" t="s">
        <v>74</v>
      </c>
      <c r="I3137" s="1" t="s">
        <v>136</v>
      </c>
      <c r="J3137" s="1" t="s">
        <v>127</v>
      </c>
      <c r="K3137" s="1" t="s">
        <v>517</v>
      </c>
      <c r="L3137" s="1">
        <v>10</v>
      </c>
      <c r="M3137" s="13">
        <v>55337.120000000003</v>
      </c>
      <c r="N3137" s="15">
        <v>0.24</v>
      </c>
      <c r="O3137" s="13">
        <v>299036.46000000002</v>
      </c>
      <c r="P3137" s="13">
        <v>36301.089999999997</v>
      </c>
      <c r="Q3137" s="13">
        <v>63.2</v>
      </c>
      <c r="R3137" s="1" t="s">
        <v>78</v>
      </c>
      <c r="S3137" s="1">
        <v>2</v>
      </c>
      <c r="T3137" s="1" t="b">
        <v>1</v>
      </c>
      <c r="U3137" s="1" t="s">
        <v>30</v>
      </c>
      <c r="V3137" s="3">
        <v>10</v>
      </c>
    </row>
    <row r="3138" spans="1:22" x14ac:dyDescent="0.3">
      <c r="A3138" s="2" t="s">
        <v>6745</v>
      </c>
      <c r="B3138" s="10">
        <v>44061</v>
      </c>
      <c r="C3138" s="22">
        <v>44061</v>
      </c>
      <c r="D3138" s="1" t="s">
        <v>6746</v>
      </c>
      <c r="E3138" s="1" t="s">
        <v>360</v>
      </c>
      <c r="F3138" s="1">
        <v>22</v>
      </c>
      <c r="G3138" s="1" t="s">
        <v>34</v>
      </c>
      <c r="H3138" s="1" t="s">
        <v>82</v>
      </c>
      <c r="I3138" s="1" t="s">
        <v>83</v>
      </c>
      <c r="J3138" s="1" t="s">
        <v>62</v>
      </c>
      <c r="K3138" s="1" t="s">
        <v>63</v>
      </c>
      <c r="L3138" s="1">
        <v>10</v>
      </c>
      <c r="M3138" s="13">
        <v>1445</v>
      </c>
      <c r="N3138" s="15">
        <v>0.31</v>
      </c>
      <c r="O3138" s="13">
        <v>12763.71</v>
      </c>
      <c r="P3138" s="13">
        <v>3313.53</v>
      </c>
      <c r="Q3138" s="13">
        <v>74.73</v>
      </c>
      <c r="R3138" s="1" t="s">
        <v>57</v>
      </c>
      <c r="S3138" s="1">
        <v>4</v>
      </c>
      <c r="T3138" s="1" t="b">
        <v>0</v>
      </c>
      <c r="U3138" s="1" t="s">
        <v>39</v>
      </c>
      <c r="V3138" s="3">
        <v>3</v>
      </c>
    </row>
    <row r="3139" spans="1:22" x14ac:dyDescent="0.3">
      <c r="A3139" s="2" t="s">
        <v>6747</v>
      </c>
      <c r="B3139" s="10">
        <v>45487</v>
      </c>
      <c r="C3139" s="22">
        <v>45487</v>
      </c>
      <c r="D3139" s="1" t="s">
        <v>6748</v>
      </c>
      <c r="E3139" s="1" t="s">
        <v>3518</v>
      </c>
      <c r="F3139" s="1">
        <v>40</v>
      </c>
      <c r="G3139" s="1" t="s">
        <v>34</v>
      </c>
      <c r="H3139" s="1" t="s">
        <v>35</v>
      </c>
      <c r="I3139" s="1" t="s">
        <v>36</v>
      </c>
      <c r="J3139" s="1" t="s">
        <v>62</v>
      </c>
      <c r="K3139" s="1" t="s">
        <v>151</v>
      </c>
      <c r="L3139" s="1">
        <v>8</v>
      </c>
      <c r="M3139" s="13">
        <v>526.69000000000005</v>
      </c>
      <c r="N3139" s="15">
        <v>0.25</v>
      </c>
      <c r="O3139" s="13">
        <v>5310.11</v>
      </c>
      <c r="P3139" s="13">
        <v>1871.66</v>
      </c>
      <c r="Q3139" s="13">
        <v>54.87</v>
      </c>
      <c r="R3139" s="1" t="s">
        <v>51</v>
      </c>
      <c r="S3139" s="1">
        <v>3</v>
      </c>
      <c r="T3139" s="1" t="b">
        <v>1</v>
      </c>
      <c r="U3139" s="1" t="s">
        <v>30</v>
      </c>
      <c r="V3139" s="3">
        <v>7</v>
      </c>
    </row>
    <row r="3140" spans="1:22" x14ac:dyDescent="0.3">
      <c r="A3140" s="2" t="s">
        <v>6749</v>
      </c>
      <c r="B3140" s="10">
        <v>44759</v>
      </c>
      <c r="C3140" s="22">
        <v>44759</v>
      </c>
      <c r="D3140" s="1" t="s">
        <v>6750</v>
      </c>
      <c r="E3140" s="1" t="s">
        <v>3152</v>
      </c>
      <c r="F3140" s="1">
        <v>42</v>
      </c>
      <c r="G3140" s="1" t="s">
        <v>34</v>
      </c>
      <c r="H3140" s="1" t="s">
        <v>82</v>
      </c>
      <c r="I3140" s="1" t="s">
        <v>126</v>
      </c>
      <c r="J3140" s="1" t="s">
        <v>76</v>
      </c>
      <c r="K3140" s="1" t="s">
        <v>113</v>
      </c>
      <c r="L3140" s="1">
        <v>7</v>
      </c>
      <c r="M3140" s="13">
        <v>2784.47</v>
      </c>
      <c r="N3140" s="15">
        <v>0.09</v>
      </c>
      <c r="O3140" s="13">
        <v>25867.22</v>
      </c>
      <c r="P3140" s="13">
        <v>7897.77</v>
      </c>
      <c r="Q3140" s="13">
        <v>98.75</v>
      </c>
      <c r="R3140" s="1" t="s">
        <v>70</v>
      </c>
      <c r="S3140" s="1">
        <v>3</v>
      </c>
      <c r="T3140" s="1" t="b">
        <v>1</v>
      </c>
      <c r="U3140" s="1" t="s">
        <v>30</v>
      </c>
      <c r="V3140" s="3">
        <v>8</v>
      </c>
    </row>
    <row r="3141" spans="1:22" x14ac:dyDescent="0.3">
      <c r="A3141" s="2" t="s">
        <v>6751</v>
      </c>
      <c r="B3141" s="10">
        <v>45254</v>
      </c>
      <c r="C3141" s="22">
        <v>45254</v>
      </c>
      <c r="D3141" s="1" t="s">
        <v>6752</v>
      </c>
      <c r="E3141" s="1" t="s">
        <v>1327</v>
      </c>
      <c r="F3141" s="1">
        <v>35</v>
      </c>
      <c r="G3141" s="1" t="s">
        <v>24</v>
      </c>
      <c r="H3141" s="1" t="s">
        <v>74</v>
      </c>
      <c r="I3141" s="1" t="s">
        <v>101</v>
      </c>
      <c r="J3141" s="1" t="s">
        <v>127</v>
      </c>
      <c r="K3141" s="1" t="s">
        <v>171</v>
      </c>
      <c r="L3141" s="1">
        <v>4</v>
      </c>
      <c r="M3141" s="13">
        <v>61816.92</v>
      </c>
      <c r="N3141" s="15">
        <v>0</v>
      </c>
      <c r="O3141" s="13">
        <v>227231.35</v>
      </c>
      <c r="P3141" s="13">
        <v>30169.32</v>
      </c>
      <c r="Q3141" s="13">
        <v>42.89</v>
      </c>
      <c r="R3141" s="1" t="s">
        <v>51</v>
      </c>
      <c r="S3141" s="1">
        <v>1</v>
      </c>
      <c r="T3141" s="1" t="b">
        <v>0</v>
      </c>
      <c r="U3141" s="1" t="s">
        <v>39</v>
      </c>
      <c r="V3141" s="3">
        <v>10</v>
      </c>
    </row>
    <row r="3142" spans="1:22" x14ac:dyDescent="0.3">
      <c r="A3142" s="2" t="s">
        <v>6753</v>
      </c>
      <c r="B3142" s="10">
        <v>45402</v>
      </c>
      <c r="C3142" s="22">
        <v>45402</v>
      </c>
      <c r="D3142" s="1" t="s">
        <v>6754</v>
      </c>
      <c r="E3142" s="1" t="s">
        <v>3518</v>
      </c>
      <c r="F3142" s="1">
        <v>39</v>
      </c>
      <c r="G3142" s="1" t="s">
        <v>34</v>
      </c>
      <c r="H3142" s="1" t="s">
        <v>25</v>
      </c>
      <c r="I3142" s="1" t="s">
        <v>26</v>
      </c>
      <c r="J3142" s="1" t="s">
        <v>37</v>
      </c>
      <c r="K3142" s="1" t="s">
        <v>454</v>
      </c>
      <c r="L3142" s="1">
        <v>8</v>
      </c>
      <c r="M3142" s="13">
        <v>722.26</v>
      </c>
      <c r="N3142" s="15">
        <v>0.33</v>
      </c>
      <c r="O3142" s="13">
        <v>6687.01</v>
      </c>
      <c r="P3142" s="13">
        <v>4477.03</v>
      </c>
      <c r="Q3142" s="13">
        <v>42.31</v>
      </c>
      <c r="R3142" s="1" t="s">
        <v>57</v>
      </c>
      <c r="S3142" s="1">
        <v>3</v>
      </c>
      <c r="T3142" s="1" t="b">
        <v>1</v>
      </c>
      <c r="U3142" s="1" t="s">
        <v>30</v>
      </c>
      <c r="V3142" s="3">
        <v>1</v>
      </c>
    </row>
    <row r="3143" spans="1:22" x14ac:dyDescent="0.3">
      <c r="A3143" s="2" t="s">
        <v>6755</v>
      </c>
      <c r="B3143" s="10">
        <v>45017</v>
      </c>
      <c r="C3143" s="22">
        <v>45017</v>
      </c>
      <c r="D3143" s="1" t="s">
        <v>6756</v>
      </c>
      <c r="E3143" s="1" t="s">
        <v>897</v>
      </c>
      <c r="F3143" s="1">
        <v>28</v>
      </c>
      <c r="G3143" s="1" t="s">
        <v>24</v>
      </c>
      <c r="H3143" s="1" t="s">
        <v>82</v>
      </c>
      <c r="I3143" s="1" t="s">
        <v>244</v>
      </c>
      <c r="J3143" s="1" t="s">
        <v>76</v>
      </c>
      <c r="K3143" s="1" t="s">
        <v>132</v>
      </c>
      <c r="L3143" s="1">
        <v>1</v>
      </c>
      <c r="M3143" s="13">
        <v>3896.79</v>
      </c>
      <c r="N3143" s="15">
        <v>0.36</v>
      </c>
      <c r="O3143" s="13">
        <v>3471.12</v>
      </c>
      <c r="P3143" s="13">
        <v>1531.25</v>
      </c>
      <c r="Q3143" s="13">
        <v>72.56</v>
      </c>
      <c r="R3143" s="1" t="s">
        <v>64</v>
      </c>
      <c r="S3143" s="1">
        <v>5</v>
      </c>
      <c r="T3143" s="1" t="b">
        <v>0</v>
      </c>
      <c r="U3143" s="1" t="s">
        <v>39</v>
      </c>
      <c r="V3143" s="3">
        <v>5</v>
      </c>
    </row>
    <row r="3144" spans="1:22" x14ac:dyDescent="0.3">
      <c r="A3144" s="2" t="s">
        <v>6757</v>
      </c>
      <c r="B3144" s="10">
        <v>44764</v>
      </c>
      <c r="C3144" s="22">
        <v>44764</v>
      </c>
      <c r="D3144" s="1" t="s">
        <v>6758</v>
      </c>
      <c r="E3144" s="1" t="s">
        <v>259</v>
      </c>
      <c r="F3144" s="1">
        <v>38</v>
      </c>
      <c r="G3144" s="1" t="s">
        <v>68</v>
      </c>
      <c r="H3144" s="1" t="s">
        <v>111</v>
      </c>
      <c r="I3144" s="1" t="s">
        <v>121</v>
      </c>
      <c r="J3144" s="1" t="s">
        <v>62</v>
      </c>
      <c r="K3144" s="1" t="s">
        <v>266</v>
      </c>
      <c r="L3144" s="1">
        <v>2</v>
      </c>
      <c r="M3144" s="13">
        <v>785.43</v>
      </c>
      <c r="N3144" s="15">
        <v>0.27</v>
      </c>
      <c r="O3144" s="13">
        <v>1362.3</v>
      </c>
      <c r="P3144" s="13">
        <v>594.5</v>
      </c>
      <c r="Q3144" s="13">
        <v>65.58</v>
      </c>
      <c r="R3144" s="1" t="s">
        <v>29</v>
      </c>
      <c r="S3144" s="1">
        <v>3</v>
      </c>
      <c r="T3144" s="1" t="b">
        <v>0</v>
      </c>
      <c r="U3144" s="1" t="s">
        <v>39</v>
      </c>
      <c r="V3144" s="3">
        <v>3</v>
      </c>
    </row>
    <row r="3145" spans="1:22" x14ac:dyDescent="0.3">
      <c r="A3145" s="2" t="s">
        <v>6759</v>
      </c>
      <c r="B3145" s="10">
        <v>45156</v>
      </c>
      <c r="C3145" s="22">
        <v>45156</v>
      </c>
      <c r="D3145" s="1" t="s">
        <v>6760</v>
      </c>
      <c r="E3145" s="1" t="s">
        <v>603</v>
      </c>
      <c r="F3145" s="1">
        <v>34</v>
      </c>
      <c r="G3145" s="1" t="s">
        <v>34</v>
      </c>
      <c r="H3145" s="1" t="s">
        <v>25</v>
      </c>
      <c r="I3145" s="1" t="s">
        <v>55</v>
      </c>
      <c r="J3145" s="1" t="s">
        <v>146</v>
      </c>
      <c r="K3145" s="1" t="s">
        <v>484</v>
      </c>
      <c r="L3145" s="1">
        <v>4</v>
      </c>
      <c r="M3145" s="13">
        <v>6531.91</v>
      </c>
      <c r="N3145" s="15">
        <v>0.18</v>
      </c>
      <c r="O3145" s="13">
        <v>33411.39</v>
      </c>
      <c r="P3145" s="13">
        <v>7449.38</v>
      </c>
      <c r="Q3145" s="13">
        <v>78.260000000000005</v>
      </c>
      <c r="R3145" s="1" t="s">
        <v>57</v>
      </c>
      <c r="S3145" s="1">
        <v>1</v>
      </c>
      <c r="T3145" s="1" t="b">
        <v>0</v>
      </c>
      <c r="U3145" s="1" t="s">
        <v>39</v>
      </c>
      <c r="V3145" s="3">
        <v>8</v>
      </c>
    </row>
    <row r="3146" spans="1:22" x14ac:dyDescent="0.3">
      <c r="A3146" s="2" t="s">
        <v>6761</v>
      </c>
      <c r="B3146" s="10">
        <v>44926</v>
      </c>
      <c r="C3146" s="22">
        <v>44926</v>
      </c>
      <c r="D3146" s="1" t="s">
        <v>6762</v>
      </c>
      <c r="E3146" s="1" t="s">
        <v>1899</v>
      </c>
      <c r="F3146" s="1">
        <v>26</v>
      </c>
      <c r="G3146" s="1" t="s">
        <v>68</v>
      </c>
      <c r="H3146" s="1" t="s">
        <v>35</v>
      </c>
      <c r="I3146" s="1" t="s">
        <v>106</v>
      </c>
      <c r="J3146" s="1" t="s">
        <v>62</v>
      </c>
      <c r="K3146" s="1" t="s">
        <v>266</v>
      </c>
      <c r="L3146" s="1">
        <v>6</v>
      </c>
      <c r="M3146" s="13">
        <v>1055.08</v>
      </c>
      <c r="N3146" s="15">
        <v>0.36</v>
      </c>
      <c r="O3146" s="13">
        <v>2966.43</v>
      </c>
      <c r="P3146" s="13">
        <v>1190.94</v>
      </c>
      <c r="Q3146" s="13">
        <v>62.47</v>
      </c>
      <c r="R3146" s="1" t="s">
        <v>29</v>
      </c>
      <c r="S3146" s="1">
        <v>3</v>
      </c>
      <c r="T3146" s="1" t="b">
        <v>0</v>
      </c>
      <c r="U3146" s="1" t="s">
        <v>39</v>
      </c>
      <c r="V3146" s="3">
        <v>4</v>
      </c>
    </row>
    <row r="3147" spans="1:22" x14ac:dyDescent="0.3">
      <c r="A3147" s="2" t="s">
        <v>6763</v>
      </c>
      <c r="B3147" s="10">
        <v>44544</v>
      </c>
      <c r="C3147" s="22">
        <v>44544</v>
      </c>
      <c r="D3147" s="1" t="s">
        <v>6764</v>
      </c>
      <c r="E3147" s="1" t="s">
        <v>381</v>
      </c>
      <c r="F3147" s="1">
        <v>48</v>
      </c>
      <c r="G3147" s="1" t="s">
        <v>24</v>
      </c>
      <c r="H3147" s="1" t="s">
        <v>74</v>
      </c>
      <c r="I3147" s="1" t="s">
        <v>136</v>
      </c>
      <c r="J3147" s="1" t="s">
        <v>127</v>
      </c>
      <c r="K3147" s="1" t="s">
        <v>196</v>
      </c>
      <c r="L3147" s="1">
        <v>7</v>
      </c>
      <c r="M3147" s="13">
        <v>52086.42</v>
      </c>
      <c r="N3147" s="15">
        <v>0</v>
      </c>
      <c r="O3147" s="13">
        <v>273692</v>
      </c>
      <c r="P3147" s="13">
        <v>39729.58</v>
      </c>
      <c r="Q3147" s="13">
        <v>59.26</v>
      </c>
      <c r="R3147" s="1" t="s">
        <v>29</v>
      </c>
      <c r="S3147" s="1">
        <v>5</v>
      </c>
      <c r="T3147" s="1" t="b">
        <v>1</v>
      </c>
      <c r="U3147" s="1" t="s">
        <v>30</v>
      </c>
      <c r="V3147" s="3">
        <v>3</v>
      </c>
    </row>
    <row r="3148" spans="1:22" x14ac:dyDescent="0.3">
      <c r="A3148" s="2" t="s">
        <v>6765</v>
      </c>
      <c r="B3148" s="10">
        <v>44327</v>
      </c>
      <c r="C3148" s="22">
        <v>44327</v>
      </c>
      <c r="D3148" s="1" t="s">
        <v>6766</v>
      </c>
      <c r="E3148" s="1" t="s">
        <v>324</v>
      </c>
      <c r="F3148" s="1">
        <v>23</v>
      </c>
      <c r="G3148" s="1" t="s">
        <v>68</v>
      </c>
      <c r="H3148" s="1" t="s">
        <v>82</v>
      </c>
      <c r="I3148" s="1" t="s">
        <v>244</v>
      </c>
      <c r="J3148" s="1" t="s">
        <v>27</v>
      </c>
      <c r="K3148" s="1" t="s">
        <v>97</v>
      </c>
      <c r="L3148" s="1">
        <v>5</v>
      </c>
      <c r="M3148" s="13">
        <v>176.3</v>
      </c>
      <c r="N3148" s="15">
        <v>0.32</v>
      </c>
      <c r="O3148" s="13">
        <v>725.63</v>
      </c>
      <c r="P3148" s="13">
        <v>60.81</v>
      </c>
      <c r="Q3148" s="13">
        <v>108.31</v>
      </c>
      <c r="R3148" s="1" t="s">
        <v>51</v>
      </c>
      <c r="S3148" s="1">
        <v>2</v>
      </c>
      <c r="T3148" s="1" t="b">
        <v>0</v>
      </c>
      <c r="U3148" s="1" t="s">
        <v>137</v>
      </c>
      <c r="V3148" s="3">
        <v>3</v>
      </c>
    </row>
    <row r="3149" spans="1:22" x14ac:dyDescent="0.3">
      <c r="A3149" s="2" t="s">
        <v>6767</v>
      </c>
      <c r="B3149" s="10">
        <v>44749</v>
      </c>
      <c r="C3149" s="22">
        <v>44749</v>
      </c>
      <c r="D3149" s="1" t="s">
        <v>6768</v>
      </c>
      <c r="E3149" s="1" t="s">
        <v>940</v>
      </c>
      <c r="F3149" s="1">
        <v>42</v>
      </c>
      <c r="G3149" s="1" t="s">
        <v>34</v>
      </c>
      <c r="H3149" s="1" t="s">
        <v>35</v>
      </c>
      <c r="I3149" s="1" t="s">
        <v>43</v>
      </c>
      <c r="J3149" s="1" t="s">
        <v>44</v>
      </c>
      <c r="K3149" s="1" t="s">
        <v>50</v>
      </c>
      <c r="L3149" s="1">
        <v>6</v>
      </c>
      <c r="M3149" s="13">
        <v>4221.96</v>
      </c>
      <c r="N3149" s="15">
        <v>0.25</v>
      </c>
      <c r="O3149" s="13">
        <v>27887.17</v>
      </c>
      <c r="P3149" s="13">
        <v>11561.41</v>
      </c>
      <c r="Q3149" s="13">
        <v>56.54</v>
      </c>
      <c r="R3149" s="1" t="s">
        <v>57</v>
      </c>
      <c r="S3149" s="1">
        <v>2</v>
      </c>
      <c r="T3149" s="1" t="b">
        <v>0</v>
      </c>
      <c r="U3149" s="1" t="s">
        <v>39</v>
      </c>
      <c r="V3149" s="3">
        <v>5</v>
      </c>
    </row>
    <row r="3150" spans="1:22" x14ac:dyDescent="0.3">
      <c r="A3150" s="2" t="s">
        <v>6769</v>
      </c>
      <c r="B3150" s="10">
        <v>44871</v>
      </c>
      <c r="C3150" s="22">
        <v>44871</v>
      </c>
      <c r="D3150" s="1" t="s">
        <v>6770</v>
      </c>
      <c r="E3150" s="1" t="s">
        <v>1833</v>
      </c>
      <c r="F3150" s="1">
        <v>66</v>
      </c>
      <c r="G3150" s="1" t="s">
        <v>34</v>
      </c>
      <c r="H3150" s="1" t="s">
        <v>35</v>
      </c>
      <c r="I3150" s="1" t="s">
        <v>43</v>
      </c>
      <c r="J3150" s="1" t="s">
        <v>127</v>
      </c>
      <c r="K3150" s="1" t="s">
        <v>128</v>
      </c>
      <c r="L3150" s="1">
        <v>4</v>
      </c>
      <c r="M3150" s="13">
        <v>23321.4</v>
      </c>
      <c r="N3150" s="15">
        <v>0.36</v>
      </c>
      <c r="O3150" s="13">
        <v>50337.85</v>
      </c>
      <c r="P3150" s="13">
        <v>8865.89</v>
      </c>
      <c r="Q3150" s="13">
        <v>72.319999999999993</v>
      </c>
      <c r="R3150" s="1" t="s">
        <v>29</v>
      </c>
      <c r="S3150" s="1">
        <v>1</v>
      </c>
      <c r="T3150" s="1" t="b">
        <v>1</v>
      </c>
      <c r="U3150" s="1" t="s">
        <v>30</v>
      </c>
      <c r="V3150" s="3">
        <v>7</v>
      </c>
    </row>
    <row r="3151" spans="1:22" x14ac:dyDescent="0.3">
      <c r="A3151" s="2" t="s">
        <v>6771</v>
      </c>
      <c r="B3151" s="10">
        <v>44491</v>
      </c>
      <c r="C3151" s="22">
        <v>44491</v>
      </c>
      <c r="D3151" s="1" t="s">
        <v>6772</v>
      </c>
      <c r="E3151" s="1" t="s">
        <v>496</v>
      </c>
      <c r="F3151" s="1">
        <v>30</v>
      </c>
      <c r="G3151" s="1" t="s">
        <v>24</v>
      </c>
      <c r="H3151" s="1" t="s">
        <v>35</v>
      </c>
      <c r="I3151" s="1" t="s">
        <v>49</v>
      </c>
      <c r="J3151" s="1" t="s">
        <v>62</v>
      </c>
      <c r="K3151" s="1" t="s">
        <v>63</v>
      </c>
      <c r="L3151" s="1">
        <v>9</v>
      </c>
      <c r="M3151" s="13">
        <v>601.66</v>
      </c>
      <c r="N3151" s="15">
        <v>0.04</v>
      </c>
      <c r="O3151" s="13">
        <v>5277.72</v>
      </c>
      <c r="P3151" s="13">
        <v>1862.14</v>
      </c>
      <c r="Q3151" s="13">
        <v>59.96</v>
      </c>
      <c r="R3151" s="1" t="s">
        <v>29</v>
      </c>
      <c r="S3151" s="1">
        <v>2</v>
      </c>
      <c r="T3151" s="1" t="b">
        <v>1</v>
      </c>
      <c r="U3151" s="1" t="s">
        <v>30</v>
      </c>
      <c r="V3151" s="3">
        <v>1</v>
      </c>
    </row>
    <row r="3152" spans="1:22" x14ac:dyDescent="0.3">
      <c r="A3152" s="2" t="s">
        <v>6773</v>
      </c>
      <c r="B3152" s="10">
        <v>44594</v>
      </c>
      <c r="C3152" s="22">
        <v>44594</v>
      </c>
      <c r="D3152" s="1" t="s">
        <v>6774</v>
      </c>
      <c r="E3152" s="1" t="s">
        <v>381</v>
      </c>
      <c r="F3152" s="1">
        <v>35</v>
      </c>
      <c r="G3152" s="1" t="s">
        <v>24</v>
      </c>
      <c r="H3152" s="1" t="s">
        <v>74</v>
      </c>
      <c r="I3152" s="1" t="s">
        <v>75</v>
      </c>
      <c r="J3152" s="1" t="s">
        <v>62</v>
      </c>
      <c r="K3152" s="1" t="s">
        <v>266</v>
      </c>
      <c r="L3152" s="1">
        <v>0</v>
      </c>
      <c r="M3152" s="13">
        <v>1351.01</v>
      </c>
      <c r="N3152" s="15">
        <v>0.14000000000000001</v>
      </c>
      <c r="O3152" s="13">
        <v>1116.21</v>
      </c>
      <c r="P3152" s="13">
        <v>341.54</v>
      </c>
      <c r="Q3152" s="13">
        <v>36.21</v>
      </c>
      <c r="R3152" s="1" t="s">
        <v>78</v>
      </c>
      <c r="S3152" s="1">
        <v>1</v>
      </c>
      <c r="T3152" s="1" t="b">
        <v>1</v>
      </c>
      <c r="U3152" s="1" t="s">
        <v>30</v>
      </c>
      <c r="V3152" s="3">
        <v>2</v>
      </c>
    </row>
    <row r="3153" spans="1:22" x14ac:dyDescent="0.3">
      <c r="A3153" s="2" t="s">
        <v>6775</v>
      </c>
      <c r="B3153" s="10">
        <v>44454</v>
      </c>
      <c r="C3153" s="22">
        <v>44454</v>
      </c>
      <c r="D3153" s="1" t="s">
        <v>6776</v>
      </c>
      <c r="E3153" s="1" t="s">
        <v>926</v>
      </c>
      <c r="F3153" s="1">
        <v>48</v>
      </c>
      <c r="G3153" s="1" t="s">
        <v>68</v>
      </c>
      <c r="H3153" s="1" t="s">
        <v>111</v>
      </c>
      <c r="I3153" s="1" t="s">
        <v>121</v>
      </c>
      <c r="J3153" s="1" t="s">
        <v>27</v>
      </c>
      <c r="K3153" s="1" t="s">
        <v>56</v>
      </c>
      <c r="L3153" s="1">
        <v>8</v>
      </c>
      <c r="M3153" s="13">
        <v>378.17</v>
      </c>
      <c r="N3153" s="15">
        <v>0.2</v>
      </c>
      <c r="O3153" s="13">
        <v>2714.36</v>
      </c>
      <c r="P3153" s="13">
        <v>171.58</v>
      </c>
      <c r="Q3153" s="13">
        <v>53.04</v>
      </c>
      <c r="R3153" s="1" t="s">
        <v>29</v>
      </c>
      <c r="S3153" s="1">
        <v>2</v>
      </c>
      <c r="T3153" s="1" t="b">
        <v>0</v>
      </c>
      <c r="U3153" s="1" t="s">
        <v>39</v>
      </c>
      <c r="V3153" s="3">
        <v>7</v>
      </c>
    </row>
    <row r="3154" spans="1:22" x14ac:dyDescent="0.3">
      <c r="A3154" s="2" t="s">
        <v>6777</v>
      </c>
      <c r="B3154" s="10">
        <v>45245</v>
      </c>
      <c r="C3154" s="22">
        <v>45245</v>
      </c>
      <c r="D3154" s="1" t="s">
        <v>6778</v>
      </c>
      <c r="E3154" s="1" t="s">
        <v>247</v>
      </c>
      <c r="F3154" s="1">
        <v>35</v>
      </c>
      <c r="G3154" s="1" t="s">
        <v>24</v>
      </c>
      <c r="H3154" s="1" t="s">
        <v>35</v>
      </c>
      <c r="I3154" s="1" t="s">
        <v>36</v>
      </c>
      <c r="J3154" s="1" t="s">
        <v>146</v>
      </c>
      <c r="K3154" s="1" t="s">
        <v>178</v>
      </c>
      <c r="L3154" s="1">
        <v>10</v>
      </c>
      <c r="M3154" s="13">
        <v>4317.8100000000004</v>
      </c>
      <c r="N3154" s="15">
        <v>0.2</v>
      </c>
      <c r="O3154" s="13">
        <v>32059.7</v>
      </c>
      <c r="P3154" s="13">
        <v>7938.01</v>
      </c>
      <c r="Q3154" s="13">
        <v>65.95</v>
      </c>
      <c r="R3154" s="1" t="s">
        <v>64</v>
      </c>
      <c r="S3154" s="1">
        <v>3</v>
      </c>
      <c r="T3154" s="1" t="b">
        <v>0</v>
      </c>
      <c r="U3154" s="1" t="s">
        <v>137</v>
      </c>
      <c r="V3154" s="3">
        <v>3</v>
      </c>
    </row>
    <row r="3155" spans="1:22" x14ac:dyDescent="0.3">
      <c r="A3155" s="2" t="s">
        <v>6779</v>
      </c>
      <c r="B3155" s="10">
        <v>44282</v>
      </c>
      <c r="C3155" s="22">
        <v>44282</v>
      </c>
      <c r="D3155" s="1" t="s">
        <v>6780</v>
      </c>
      <c r="E3155" s="1" t="s">
        <v>1399</v>
      </c>
      <c r="F3155" s="1">
        <v>34</v>
      </c>
      <c r="G3155" s="1" t="s">
        <v>34</v>
      </c>
      <c r="H3155" s="1" t="s">
        <v>35</v>
      </c>
      <c r="I3155" s="1" t="s">
        <v>49</v>
      </c>
      <c r="J3155" s="1" t="s">
        <v>146</v>
      </c>
      <c r="K3155" s="1" t="s">
        <v>484</v>
      </c>
      <c r="L3155" s="1">
        <v>6</v>
      </c>
      <c r="M3155" s="13">
        <v>4757.97</v>
      </c>
      <c r="N3155" s="15">
        <v>0.39</v>
      </c>
      <c r="O3155" s="13">
        <v>16398.86</v>
      </c>
      <c r="P3155" s="13">
        <v>4630.17</v>
      </c>
      <c r="Q3155" s="13">
        <v>69.73</v>
      </c>
      <c r="R3155" s="1" t="s">
        <v>64</v>
      </c>
      <c r="S3155" s="1">
        <v>1</v>
      </c>
      <c r="T3155" s="1" t="b">
        <v>0</v>
      </c>
      <c r="U3155" s="1" t="s">
        <v>39</v>
      </c>
      <c r="V3155" s="3">
        <v>6</v>
      </c>
    </row>
    <row r="3156" spans="1:22" x14ac:dyDescent="0.3">
      <c r="A3156" s="2" t="s">
        <v>6781</v>
      </c>
      <c r="B3156" s="10">
        <v>44334</v>
      </c>
      <c r="C3156" s="22">
        <v>44334</v>
      </c>
      <c r="D3156" s="1" t="s">
        <v>6782</v>
      </c>
      <c r="E3156" s="1" t="s">
        <v>1387</v>
      </c>
      <c r="F3156" s="1">
        <v>59</v>
      </c>
      <c r="G3156" s="1" t="s">
        <v>24</v>
      </c>
      <c r="H3156" s="1" t="s">
        <v>111</v>
      </c>
      <c r="I3156" s="1" t="s">
        <v>330</v>
      </c>
      <c r="J3156" s="1" t="s">
        <v>27</v>
      </c>
      <c r="K3156" s="1" t="s">
        <v>400</v>
      </c>
      <c r="L3156" s="1">
        <v>4</v>
      </c>
      <c r="M3156" s="13">
        <v>346.05</v>
      </c>
      <c r="N3156" s="15">
        <v>0.01</v>
      </c>
      <c r="O3156" s="13">
        <v>1943.15</v>
      </c>
      <c r="P3156" s="13">
        <v>156.61000000000001</v>
      </c>
      <c r="Q3156" s="13">
        <v>48.59</v>
      </c>
      <c r="R3156" s="1" t="s">
        <v>78</v>
      </c>
      <c r="S3156" s="1">
        <v>4</v>
      </c>
      <c r="T3156" s="1" t="b">
        <v>0</v>
      </c>
      <c r="U3156" s="1" t="s">
        <v>39</v>
      </c>
      <c r="V3156" s="3">
        <v>10</v>
      </c>
    </row>
    <row r="3157" spans="1:22" x14ac:dyDescent="0.3">
      <c r="A3157" s="2" t="s">
        <v>6783</v>
      </c>
      <c r="B3157" s="10">
        <v>44747</v>
      </c>
      <c r="C3157" s="22">
        <v>44747</v>
      </c>
      <c r="D3157" s="1" t="s">
        <v>6784</v>
      </c>
      <c r="E3157" s="1" t="s">
        <v>1057</v>
      </c>
      <c r="F3157" s="1">
        <v>32</v>
      </c>
      <c r="G3157" s="1" t="s">
        <v>24</v>
      </c>
      <c r="H3157" s="1" t="s">
        <v>74</v>
      </c>
      <c r="I3157" s="1" t="s">
        <v>75</v>
      </c>
      <c r="J3157" s="1" t="s">
        <v>62</v>
      </c>
      <c r="K3157" s="1" t="s">
        <v>151</v>
      </c>
      <c r="L3157" s="1">
        <v>4</v>
      </c>
      <c r="M3157" s="13">
        <v>407.5</v>
      </c>
      <c r="N3157" s="15">
        <v>0.21</v>
      </c>
      <c r="O3157" s="13">
        <v>1683.33</v>
      </c>
      <c r="P3157" s="13">
        <v>655.53</v>
      </c>
      <c r="Q3157" s="13">
        <v>64</v>
      </c>
      <c r="R3157" s="1" t="s">
        <v>57</v>
      </c>
      <c r="S3157" s="1">
        <v>2</v>
      </c>
      <c r="T3157" s="1" t="b">
        <v>0</v>
      </c>
      <c r="U3157" s="1" t="s">
        <v>39</v>
      </c>
      <c r="V3157" s="3">
        <v>8</v>
      </c>
    </row>
    <row r="3158" spans="1:22" x14ac:dyDescent="0.3">
      <c r="A3158" s="2" t="s">
        <v>6785</v>
      </c>
      <c r="B3158" s="10">
        <v>45408</v>
      </c>
      <c r="C3158" s="22">
        <v>45408</v>
      </c>
      <c r="D3158" s="1" t="s">
        <v>6786</v>
      </c>
      <c r="E3158" s="1" t="s">
        <v>105</v>
      </c>
      <c r="F3158" s="1">
        <v>15</v>
      </c>
      <c r="G3158" s="1" t="s">
        <v>34</v>
      </c>
      <c r="H3158" s="1" t="s">
        <v>74</v>
      </c>
      <c r="I3158" s="1" t="s">
        <v>192</v>
      </c>
      <c r="J3158" s="1" t="s">
        <v>37</v>
      </c>
      <c r="K3158" s="1" t="s">
        <v>231</v>
      </c>
      <c r="L3158" s="1">
        <v>6</v>
      </c>
      <c r="M3158" s="13">
        <v>2053.5300000000002</v>
      </c>
      <c r="N3158" s="15">
        <v>0.02</v>
      </c>
      <c r="O3158" s="13">
        <v>18060.12</v>
      </c>
      <c r="P3158" s="13">
        <v>7506.82</v>
      </c>
      <c r="Q3158" s="13">
        <v>54.84</v>
      </c>
      <c r="R3158" s="1" t="s">
        <v>29</v>
      </c>
      <c r="S3158" s="1">
        <v>4</v>
      </c>
      <c r="T3158" s="1" t="b">
        <v>1</v>
      </c>
      <c r="U3158" s="1" t="s">
        <v>30</v>
      </c>
      <c r="V3158" s="3">
        <v>9</v>
      </c>
    </row>
    <row r="3159" spans="1:22" x14ac:dyDescent="0.3">
      <c r="A3159" s="2" t="s">
        <v>6787</v>
      </c>
      <c r="B3159" s="10">
        <v>45396</v>
      </c>
      <c r="C3159" s="22">
        <v>45396</v>
      </c>
      <c r="D3159" s="1" t="s">
        <v>6788</v>
      </c>
      <c r="E3159" s="1" t="s">
        <v>3005</v>
      </c>
      <c r="F3159" s="1">
        <v>23</v>
      </c>
      <c r="G3159" s="1" t="s">
        <v>24</v>
      </c>
      <c r="H3159" s="1" t="s">
        <v>25</v>
      </c>
      <c r="I3159" s="1" t="s">
        <v>170</v>
      </c>
      <c r="J3159" s="1" t="s">
        <v>44</v>
      </c>
      <c r="K3159" s="1" t="s">
        <v>186</v>
      </c>
      <c r="L3159" s="1">
        <v>2</v>
      </c>
      <c r="M3159" s="13">
        <v>30615.34</v>
      </c>
      <c r="N3159" s="15">
        <v>0.21</v>
      </c>
      <c r="O3159" s="13">
        <v>88750.98</v>
      </c>
      <c r="P3159" s="13">
        <v>26460.69</v>
      </c>
      <c r="Q3159" s="13">
        <v>57.35</v>
      </c>
      <c r="R3159" s="1" t="s">
        <v>57</v>
      </c>
      <c r="S3159" s="1">
        <v>2</v>
      </c>
      <c r="T3159" s="1" t="b">
        <v>0</v>
      </c>
      <c r="U3159" s="1" t="s">
        <v>39</v>
      </c>
      <c r="V3159" s="3">
        <v>2</v>
      </c>
    </row>
    <row r="3160" spans="1:22" x14ac:dyDescent="0.3">
      <c r="A3160" s="2" t="s">
        <v>6789</v>
      </c>
      <c r="B3160" s="10">
        <v>45423</v>
      </c>
      <c r="C3160" s="22">
        <v>45423</v>
      </c>
      <c r="D3160" s="1" t="s">
        <v>6790</v>
      </c>
      <c r="E3160" s="1" t="s">
        <v>437</v>
      </c>
      <c r="F3160" s="1">
        <v>22</v>
      </c>
      <c r="G3160" s="1" t="s">
        <v>24</v>
      </c>
      <c r="H3160" s="1" t="s">
        <v>111</v>
      </c>
      <c r="I3160" s="1" t="s">
        <v>141</v>
      </c>
      <c r="J3160" s="1" t="s">
        <v>62</v>
      </c>
      <c r="K3160" s="1" t="s">
        <v>266</v>
      </c>
      <c r="L3160" s="1">
        <v>5</v>
      </c>
      <c r="M3160" s="13">
        <v>480.68</v>
      </c>
      <c r="N3160" s="15">
        <v>0.37</v>
      </c>
      <c r="O3160" s="13">
        <v>448.54</v>
      </c>
      <c r="P3160" s="13">
        <v>185.46</v>
      </c>
      <c r="Q3160" s="13">
        <v>65.84</v>
      </c>
      <c r="R3160" s="1" t="s">
        <v>57</v>
      </c>
      <c r="S3160" s="1">
        <v>1</v>
      </c>
      <c r="T3160" s="1" t="b">
        <v>0</v>
      </c>
      <c r="U3160" s="1" t="s">
        <v>39</v>
      </c>
      <c r="V3160" s="3">
        <v>7</v>
      </c>
    </row>
    <row r="3161" spans="1:22" x14ac:dyDescent="0.3">
      <c r="A3161" s="2" t="s">
        <v>6791</v>
      </c>
      <c r="B3161" s="10">
        <v>44497</v>
      </c>
      <c r="C3161" s="22">
        <v>44497</v>
      </c>
      <c r="D3161" s="1" t="s">
        <v>6792</v>
      </c>
      <c r="E3161" s="1" t="s">
        <v>1327</v>
      </c>
      <c r="F3161" s="1">
        <v>49</v>
      </c>
      <c r="G3161" s="1" t="s">
        <v>24</v>
      </c>
      <c r="H3161" s="1" t="s">
        <v>74</v>
      </c>
      <c r="I3161" s="1" t="s">
        <v>75</v>
      </c>
      <c r="J3161" s="1" t="s">
        <v>37</v>
      </c>
      <c r="K3161" s="1" t="s">
        <v>231</v>
      </c>
      <c r="L3161" s="1">
        <v>1</v>
      </c>
      <c r="M3161" s="13">
        <v>2097.9</v>
      </c>
      <c r="N3161" s="15">
        <v>0.1</v>
      </c>
      <c r="O3161" s="13">
        <v>1753.48</v>
      </c>
      <c r="P3161" s="13">
        <v>591.99</v>
      </c>
      <c r="Q3161" s="13">
        <v>41.06</v>
      </c>
      <c r="R3161" s="1" t="s">
        <v>51</v>
      </c>
      <c r="S3161" s="1">
        <v>5</v>
      </c>
      <c r="T3161" s="1" t="b">
        <v>0</v>
      </c>
      <c r="U3161" s="1" t="s">
        <v>197</v>
      </c>
      <c r="V3161" s="3">
        <v>4</v>
      </c>
    </row>
    <row r="3162" spans="1:22" x14ac:dyDescent="0.3">
      <c r="A3162" s="2" t="s">
        <v>6793</v>
      </c>
      <c r="B3162" s="10">
        <v>45405</v>
      </c>
      <c r="C3162" s="22">
        <v>45405</v>
      </c>
      <c r="D3162" s="1" t="s">
        <v>6794</v>
      </c>
      <c r="E3162" s="1" t="s">
        <v>1064</v>
      </c>
      <c r="F3162" s="1">
        <v>48</v>
      </c>
      <c r="G3162" s="1" t="s">
        <v>68</v>
      </c>
      <c r="H3162" s="1" t="s">
        <v>25</v>
      </c>
      <c r="I3162" s="1" t="s">
        <v>55</v>
      </c>
      <c r="J3162" s="1" t="s">
        <v>44</v>
      </c>
      <c r="K3162" s="1" t="s">
        <v>221</v>
      </c>
      <c r="L3162" s="1">
        <v>10</v>
      </c>
      <c r="M3162" s="13">
        <v>11308.29</v>
      </c>
      <c r="N3162" s="15">
        <v>0.28000000000000003</v>
      </c>
      <c r="O3162" s="13">
        <v>115595.29</v>
      </c>
      <c r="P3162" s="13">
        <v>35774.65</v>
      </c>
      <c r="Q3162" s="13">
        <v>57.9</v>
      </c>
      <c r="R3162" s="1" t="s">
        <v>78</v>
      </c>
      <c r="S3162" s="1">
        <v>4</v>
      </c>
      <c r="T3162" s="1" t="b">
        <v>0</v>
      </c>
      <c r="U3162" s="1" t="s">
        <v>39</v>
      </c>
      <c r="V3162" s="3">
        <v>3</v>
      </c>
    </row>
    <row r="3163" spans="1:22" x14ac:dyDescent="0.3">
      <c r="A3163" s="2" t="s">
        <v>6795</v>
      </c>
      <c r="B3163" s="10">
        <v>45404</v>
      </c>
      <c r="C3163" s="22">
        <v>45404</v>
      </c>
      <c r="D3163" s="1" t="s">
        <v>1468</v>
      </c>
      <c r="E3163" s="1" t="s">
        <v>1015</v>
      </c>
      <c r="F3163" s="1">
        <v>34</v>
      </c>
      <c r="G3163" s="1" t="s">
        <v>24</v>
      </c>
      <c r="H3163" s="1" t="s">
        <v>25</v>
      </c>
      <c r="I3163" s="1" t="s">
        <v>26</v>
      </c>
      <c r="J3163" s="1" t="s">
        <v>62</v>
      </c>
      <c r="K3163" s="1" t="s">
        <v>266</v>
      </c>
      <c r="L3163" s="1">
        <v>2</v>
      </c>
      <c r="M3163" s="13">
        <v>1290.19</v>
      </c>
      <c r="N3163" s="15">
        <v>0.11</v>
      </c>
      <c r="O3163" s="13">
        <v>3480.18</v>
      </c>
      <c r="P3163" s="13">
        <v>1141.8800000000001</v>
      </c>
      <c r="Q3163" s="13">
        <v>63.68</v>
      </c>
      <c r="R3163" s="1" t="s">
        <v>29</v>
      </c>
      <c r="S3163" s="1">
        <v>1</v>
      </c>
      <c r="T3163" s="1" t="b">
        <v>0</v>
      </c>
      <c r="U3163" s="1" t="s">
        <v>39</v>
      </c>
      <c r="V3163" s="3">
        <v>6</v>
      </c>
    </row>
    <row r="3164" spans="1:22" x14ac:dyDescent="0.3">
      <c r="A3164" s="2" t="s">
        <v>6796</v>
      </c>
      <c r="B3164" s="10">
        <v>43915</v>
      </c>
      <c r="C3164" s="22">
        <v>43915</v>
      </c>
      <c r="D3164" s="1" t="s">
        <v>6797</v>
      </c>
      <c r="E3164" s="1" t="s">
        <v>1216</v>
      </c>
      <c r="F3164" s="1">
        <v>41</v>
      </c>
      <c r="G3164" s="1" t="s">
        <v>68</v>
      </c>
      <c r="H3164" s="1" t="s">
        <v>74</v>
      </c>
      <c r="I3164" s="1" t="s">
        <v>136</v>
      </c>
      <c r="J3164" s="1" t="s">
        <v>27</v>
      </c>
      <c r="K3164" s="1" t="s">
        <v>430</v>
      </c>
      <c r="L3164" s="1">
        <v>1</v>
      </c>
      <c r="M3164" s="13">
        <v>342.62</v>
      </c>
      <c r="N3164" s="15">
        <v>0.31</v>
      </c>
      <c r="O3164" s="13">
        <v>248.22</v>
      </c>
      <c r="P3164" s="13">
        <v>14.18</v>
      </c>
      <c r="Q3164" s="13">
        <v>59.96</v>
      </c>
      <c r="R3164" s="1" t="s">
        <v>51</v>
      </c>
      <c r="S3164" s="1">
        <v>3</v>
      </c>
      <c r="T3164" s="1" t="b">
        <v>0</v>
      </c>
      <c r="U3164" s="1" t="s">
        <v>39</v>
      </c>
      <c r="V3164" s="3">
        <v>6</v>
      </c>
    </row>
    <row r="3165" spans="1:22" x14ac:dyDescent="0.3">
      <c r="A3165" s="2" t="s">
        <v>6798</v>
      </c>
      <c r="B3165" s="10">
        <v>45230</v>
      </c>
      <c r="C3165" s="22">
        <v>45230</v>
      </c>
      <c r="D3165" s="1" t="s">
        <v>6799</v>
      </c>
      <c r="E3165" s="1" t="s">
        <v>552</v>
      </c>
      <c r="F3165" s="1">
        <v>8</v>
      </c>
      <c r="G3165" s="1" t="s">
        <v>68</v>
      </c>
      <c r="H3165" s="1" t="s">
        <v>35</v>
      </c>
      <c r="I3165" s="1" t="s">
        <v>36</v>
      </c>
      <c r="J3165" s="1" t="s">
        <v>44</v>
      </c>
      <c r="K3165" s="1" t="s">
        <v>93</v>
      </c>
      <c r="L3165" s="1">
        <v>10</v>
      </c>
      <c r="M3165" s="13">
        <v>28237.47</v>
      </c>
      <c r="N3165" s="15">
        <v>0.28999999999999998</v>
      </c>
      <c r="O3165" s="13">
        <v>201146.39</v>
      </c>
      <c r="P3165" s="13">
        <v>39521.26</v>
      </c>
      <c r="Q3165" s="13">
        <v>54.08</v>
      </c>
      <c r="R3165" s="1" t="s">
        <v>64</v>
      </c>
      <c r="S3165" s="1">
        <v>5</v>
      </c>
      <c r="T3165" s="1" t="b">
        <v>0</v>
      </c>
      <c r="U3165" s="1" t="s">
        <v>39</v>
      </c>
      <c r="V3165" s="3">
        <v>2</v>
      </c>
    </row>
    <row r="3166" spans="1:22" x14ac:dyDescent="0.3">
      <c r="A3166" s="2" t="s">
        <v>6800</v>
      </c>
      <c r="B3166" s="10">
        <v>43957</v>
      </c>
      <c r="C3166" s="22">
        <v>43957</v>
      </c>
      <c r="D3166" s="1" t="s">
        <v>6801</v>
      </c>
      <c r="E3166" s="1" t="s">
        <v>611</v>
      </c>
      <c r="F3166" s="1">
        <v>46</v>
      </c>
      <c r="G3166" s="1" t="s">
        <v>34</v>
      </c>
      <c r="H3166" s="1" t="s">
        <v>82</v>
      </c>
      <c r="I3166" s="1" t="s">
        <v>244</v>
      </c>
      <c r="J3166" s="1" t="s">
        <v>37</v>
      </c>
      <c r="K3166" s="1" t="s">
        <v>454</v>
      </c>
      <c r="L3166" s="1">
        <v>4</v>
      </c>
      <c r="M3166" s="13">
        <v>1004.49</v>
      </c>
      <c r="N3166" s="15">
        <v>0.28999999999999998</v>
      </c>
      <c r="O3166" s="13">
        <v>3619.29</v>
      </c>
      <c r="P3166" s="13">
        <v>2033.39</v>
      </c>
      <c r="Q3166" s="13">
        <v>97.74</v>
      </c>
      <c r="R3166" s="1" t="s">
        <v>29</v>
      </c>
      <c r="S3166" s="1">
        <v>3</v>
      </c>
      <c r="T3166" s="1" t="b">
        <v>1</v>
      </c>
      <c r="U3166" s="1" t="s">
        <v>30</v>
      </c>
      <c r="V3166" s="3">
        <v>8</v>
      </c>
    </row>
    <row r="3167" spans="1:22" x14ac:dyDescent="0.3">
      <c r="A3167" s="2" t="s">
        <v>6802</v>
      </c>
      <c r="B3167" s="10">
        <v>45469</v>
      </c>
      <c r="C3167" s="22">
        <v>45469</v>
      </c>
      <c r="D3167" s="1" t="s">
        <v>6803</v>
      </c>
      <c r="E3167" s="1" t="s">
        <v>878</v>
      </c>
      <c r="F3167" s="1">
        <v>49</v>
      </c>
      <c r="G3167" s="1" t="s">
        <v>34</v>
      </c>
      <c r="H3167" s="1" t="s">
        <v>25</v>
      </c>
      <c r="I3167" s="1" t="s">
        <v>55</v>
      </c>
      <c r="J3167" s="1" t="s">
        <v>146</v>
      </c>
      <c r="K3167" s="1" t="s">
        <v>178</v>
      </c>
      <c r="L3167" s="1">
        <v>3</v>
      </c>
      <c r="M3167" s="13">
        <v>10144.06</v>
      </c>
      <c r="N3167" s="15">
        <v>0.02</v>
      </c>
      <c r="O3167" s="13">
        <v>54236.12</v>
      </c>
      <c r="P3167" s="13">
        <v>10158.299999999999</v>
      </c>
      <c r="Q3167" s="13">
        <v>72.680000000000007</v>
      </c>
      <c r="R3167" s="1" t="s">
        <v>29</v>
      </c>
      <c r="S3167" s="1">
        <v>1</v>
      </c>
      <c r="T3167" s="1" t="b">
        <v>1</v>
      </c>
      <c r="U3167" s="1" t="s">
        <v>30</v>
      </c>
      <c r="V3167" s="3">
        <v>1</v>
      </c>
    </row>
    <row r="3168" spans="1:22" x14ac:dyDescent="0.3">
      <c r="A3168" s="2" t="s">
        <v>6804</v>
      </c>
      <c r="B3168" s="10">
        <v>43979</v>
      </c>
      <c r="C3168" s="22">
        <v>43979</v>
      </c>
      <c r="D3168" s="1" t="s">
        <v>6805</v>
      </c>
      <c r="E3168" s="1" t="s">
        <v>262</v>
      </c>
      <c r="F3168" s="1">
        <v>40</v>
      </c>
      <c r="G3168" s="1" t="s">
        <v>68</v>
      </c>
      <c r="H3168" s="1" t="s">
        <v>35</v>
      </c>
      <c r="I3168" s="1" t="s">
        <v>106</v>
      </c>
      <c r="J3168" s="1" t="s">
        <v>27</v>
      </c>
      <c r="K3168" s="1" t="s">
        <v>28</v>
      </c>
      <c r="L3168" s="1">
        <v>5</v>
      </c>
      <c r="M3168" s="13">
        <v>447.63</v>
      </c>
      <c r="N3168" s="15">
        <v>0.3</v>
      </c>
      <c r="O3168" s="13">
        <v>1817.68</v>
      </c>
      <c r="P3168" s="13">
        <v>140.38</v>
      </c>
      <c r="Q3168" s="13">
        <v>65.87</v>
      </c>
      <c r="R3168" s="1" t="s">
        <v>64</v>
      </c>
      <c r="S3168" s="1">
        <v>1</v>
      </c>
      <c r="T3168" s="1" t="b">
        <v>0</v>
      </c>
      <c r="U3168" s="1" t="s">
        <v>84</v>
      </c>
      <c r="V3168" s="3">
        <v>10</v>
      </c>
    </row>
    <row r="3169" spans="1:22" x14ac:dyDescent="0.3">
      <c r="A3169" s="2" t="s">
        <v>6806</v>
      </c>
      <c r="B3169" s="10">
        <v>43832</v>
      </c>
      <c r="C3169" s="22">
        <v>43832</v>
      </c>
      <c r="D3169" s="1" t="s">
        <v>6807</v>
      </c>
      <c r="E3169" s="1" t="s">
        <v>262</v>
      </c>
      <c r="F3169" s="1">
        <v>45</v>
      </c>
      <c r="G3169" s="1" t="s">
        <v>34</v>
      </c>
      <c r="H3169" s="1" t="s">
        <v>82</v>
      </c>
      <c r="I3169" s="1" t="s">
        <v>83</v>
      </c>
      <c r="J3169" s="1" t="s">
        <v>62</v>
      </c>
      <c r="K3169" s="1" t="s">
        <v>107</v>
      </c>
      <c r="L3169" s="1">
        <v>2</v>
      </c>
      <c r="M3169" s="13">
        <v>435.28</v>
      </c>
      <c r="N3169" s="15">
        <v>0.32</v>
      </c>
      <c r="O3169" s="13">
        <v>400.93</v>
      </c>
      <c r="P3169" s="13">
        <v>152.9</v>
      </c>
      <c r="Q3169" s="13">
        <v>54.81</v>
      </c>
      <c r="R3169" s="1" t="s">
        <v>64</v>
      </c>
      <c r="S3169" s="1">
        <v>2</v>
      </c>
      <c r="T3169" s="1" t="b">
        <v>0</v>
      </c>
      <c r="U3169" s="1" t="s">
        <v>84</v>
      </c>
      <c r="V3169" s="3">
        <v>9</v>
      </c>
    </row>
    <row r="3170" spans="1:22" x14ac:dyDescent="0.3">
      <c r="A3170" s="2" t="s">
        <v>6808</v>
      </c>
      <c r="B3170" s="10">
        <v>44176</v>
      </c>
      <c r="C3170" s="22">
        <v>44176</v>
      </c>
      <c r="D3170" s="1" t="s">
        <v>6809</v>
      </c>
      <c r="E3170" s="1" t="s">
        <v>801</v>
      </c>
      <c r="F3170" s="1">
        <v>32</v>
      </c>
      <c r="G3170" s="1" t="s">
        <v>68</v>
      </c>
      <c r="H3170" s="1" t="s">
        <v>74</v>
      </c>
      <c r="I3170" s="1" t="s">
        <v>136</v>
      </c>
      <c r="J3170" s="1" t="s">
        <v>44</v>
      </c>
      <c r="K3170" s="1" t="s">
        <v>186</v>
      </c>
      <c r="L3170" s="1">
        <v>6</v>
      </c>
      <c r="M3170" s="13">
        <v>18877.52</v>
      </c>
      <c r="N3170" s="15">
        <v>0.28999999999999998</v>
      </c>
      <c r="O3170" s="13">
        <v>62077.82</v>
      </c>
      <c r="P3170" s="13">
        <v>21779.26</v>
      </c>
      <c r="Q3170" s="13">
        <v>27.92</v>
      </c>
      <c r="R3170" s="1" t="s">
        <v>29</v>
      </c>
      <c r="S3170" s="1">
        <v>5</v>
      </c>
      <c r="T3170" s="1" t="b">
        <v>0</v>
      </c>
      <c r="U3170" s="1" t="s">
        <v>39</v>
      </c>
      <c r="V3170" s="3">
        <v>6</v>
      </c>
    </row>
    <row r="3171" spans="1:22" x14ac:dyDescent="0.3">
      <c r="A3171" s="2" t="s">
        <v>6810</v>
      </c>
      <c r="B3171" s="10">
        <v>44740</v>
      </c>
      <c r="C3171" s="22">
        <v>44740</v>
      </c>
      <c r="D3171" s="1" t="s">
        <v>6811</v>
      </c>
      <c r="E3171" s="1" t="s">
        <v>67</v>
      </c>
      <c r="F3171" s="1">
        <v>27</v>
      </c>
      <c r="G3171" s="1" t="s">
        <v>68</v>
      </c>
      <c r="H3171" s="1" t="s">
        <v>25</v>
      </c>
      <c r="I3171" s="1" t="s">
        <v>26</v>
      </c>
      <c r="J3171" s="1" t="s">
        <v>27</v>
      </c>
      <c r="K3171" s="1" t="s">
        <v>400</v>
      </c>
      <c r="L3171" s="1">
        <v>1</v>
      </c>
      <c r="M3171" s="13">
        <v>197.09</v>
      </c>
      <c r="N3171" s="15">
        <v>0.32</v>
      </c>
      <c r="O3171" s="13">
        <v>204.25</v>
      </c>
      <c r="P3171" s="13">
        <v>20.87</v>
      </c>
      <c r="Q3171" s="13">
        <v>46.31</v>
      </c>
      <c r="R3171" s="1" t="s">
        <v>29</v>
      </c>
      <c r="S3171" s="1">
        <v>1</v>
      </c>
      <c r="T3171" s="1" t="b">
        <v>0</v>
      </c>
      <c r="U3171" s="1" t="s">
        <v>137</v>
      </c>
      <c r="V3171" s="3">
        <v>5</v>
      </c>
    </row>
    <row r="3172" spans="1:22" x14ac:dyDescent="0.3">
      <c r="A3172" s="2" t="s">
        <v>6812</v>
      </c>
      <c r="B3172" s="10">
        <v>45497</v>
      </c>
      <c r="C3172" s="22">
        <v>45497</v>
      </c>
      <c r="D3172" s="1" t="s">
        <v>6813</v>
      </c>
      <c r="E3172" s="1" t="s">
        <v>135</v>
      </c>
      <c r="F3172" s="1">
        <v>31</v>
      </c>
      <c r="G3172" s="1" t="s">
        <v>24</v>
      </c>
      <c r="H3172" s="1" t="s">
        <v>82</v>
      </c>
      <c r="I3172" s="1" t="s">
        <v>293</v>
      </c>
      <c r="J3172" s="1" t="s">
        <v>27</v>
      </c>
      <c r="K3172" s="1" t="s">
        <v>28</v>
      </c>
      <c r="L3172" s="1">
        <v>5</v>
      </c>
      <c r="M3172" s="13">
        <v>335.32</v>
      </c>
      <c r="N3172" s="15">
        <v>0.33</v>
      </c>
      <c r="O3172" s="13">
        <v>1937.67</v>
      </c>
      <c r="P3172" s="13">
        <v>171.12</v>
      </c>
      <c r="Q3172" s="13">
        <v>88.98</v>
      </c>
      <c r="R3172" s="1" t="s">
        <v>64</v>
      </c>
      <c r="S3172" s="1">
        <v>1</v>
      </c>
      <c r="T3172" s="1" t="b">
        <v>1</v>
      </c>
      <c r="U3172" s="1" t="s">
        <v>30</v>
      </c>
      <c r="V3172" s="3">
        <v>2</v>
      </c>
    </row>
    <row r="3173" spans="1:22" x14ac:dyDescent="0.3">
      <c r="A3173" s="2" t="s">
        <v>6814</v>
      </c>
      <c r="B3173" s="10">
        <v>44815</v>
      </c>
      <c r="C3173" s="22">
        <v>44815</v>
      </c>
      <c r="D3173" s="1" t="s">
        <v>6815</v>
      </c>
      <c r="E3173" s="1" t="s">
        <v>341</v>
      </c>
      <c r="F3173" s="1">
        <v>34</v>
      </c>
      <c r="G3173" s="1" t="s">
        <v>34</v>
      </c>
      <c r="H3173" s="1" t="s">
        <v>74</v>
      </c>
      <c r="I3173" s="1" t="s">
        <v>192</v>
      </c>
      <c r="J3173" s="1" t="s">
        <v>44</v>
      </c>
      <c r="K3173" s="1" t="s">
        <v>186</v>
      </c>
      <c r="L3173" s="1">
        <v>2</v>
      </c>
      <c r="M3173" s="13">
        <v>11078.6</v>
      </c>
      <c r="N3173" s="15">
        <v>0.06</v>
      </c>
      <c r="O3173" s="13">
        <v>26632.36</v>
      </c>
      <c r="P3173" s="13">
        <v>7028.83</v>
      </c>
      <c r="Q3173" s="13">
        <v>45.78</v>
      </c>
      <c r="R3173" s="1" t="s">
        <v>78</v>
      </c>
      <c r="S3173" s="1">
        <v>2</v>
      </c>
      <c r="T3173" s="1" t="b">
        <v>0</v>
      </c>
      <c r="U3173" s="1" t="s">
        <v>39</v>
      </c>
      <c r="V3173" s="3">
        <v>10</v>
      </c>
    </row>
    <row r="3174" spans="1:22" x14ac:dyDescent="0.3">
      <c r="A3174" s="2" t="s">
        <v>6816</v>
      </c>
      <c r="B3174" s="10">
        <v>44777</v>
      </c>
      <c r="C3174" s="22">
        <v>44777</v>
      </c>
      <c r="D3174" s="1" t="s">
        <v>6817</v>
      </c>
      <c r="E3174" s="1" t="s">
        <v>460</v>
      </c>
      <c r="F3174" s="1">
        <v>39</v>
      </c>
      <c r="G3174" s="1" t="s">
        <v>34</v>
      </c>
      <c r="H3174" s="1" t="s">
        <v>111</v>
      </c>
      <c r="I3174" s="1" t="s">
        <v>330</v>
      </c>
      <c r="J3174" s="1" t="s">
        <v>27</v>
      </c>
      <c r="K3174" s="1" t="s">
        <v>430</v>
      </c>
      <c r="L3174" s="1">
        <v>2</v>
      </c>
      <c r="M3174" s="13">
        <v>287.45999999999998</v>
      </c>
      <c r="N3174" s="15">
        <v>0.12</v>
      </c>
      <c r="O3174" s="13">
        <v>696.47</v>
      </c>
      <c r="P3174" s="13">
        <v>45.33</v>
      </c>
      <c r="Q3174" s="13">
        <v>63.51</v>
      </c>
      <c r="R3174" s="1" t="s">
        <v>78</v>
      </c>
      <c r="S3174" s="1">
        <v>2</v>
      </c>
      <c r="T3174" s="1" t="b">
        <v>0</v>
      </c>
      <c r="U3174" s="1" t="s">
        <v>84</v>
      </c>
      <c r="V3174" s="3">
        <v>4</v>
      </c>
    </row>
    <row r="3175" spans="1:22" x14ac:dyDescent="0.3">
      <c r="A3175" s="2" t="s">
        <v>6818</v>
      </c>
      <c r="B3175" s="10">
        <v>44486</v>
      </c>
      <c r="C3175" s="22">
        <v>44486</v>
      </c>
      <c r="D3175" s="1" t="s">
        <v>6819</v>
      </c>
      <c r="E3175" s="1" t="s">
        <v>344</v>
      </c>
      <c r="F3175" s="1">
        <v>49</v>
      </c>
      <c r="G3175" s="1" t="s">
        <v>24</v>
      </c>
      <c r="H3175" s="1" t="s">
        <v>25</v>
      </c>
      <c r="I3175" s="1" t="s">
        <v>26</v>
      </c>
      <c r="J3175" s="1" t="s">
        <v>146</v>
      </c>
      <c r="K3175" s="1" t="s">
        <v>217</v>
      </c>
      <c r="L3175" s="1">
        <v>4</v>
      </c>
      <c r="M3175" s="13">
        <v>11988.33</v>
      </c>
      <c r="N3175" s="15">
        <v>0.37</v>
      </c>
      <c r="O3175" s="13">
        <v>30419.46</v>
      </c>
      <c r="P3175" s="13">
        <v>3508.41</v>
      </c>
      <c r="Q3175" s="13">
        <v>63.72</v>
      </c>
      <c r="R3175" s="1" t="s">
        <v>78</v>
      </c>
      <c r="S3175" s="1">
        <v>2</v>
      </c>
      <c r="T3175" s="1" t="b">
        <v>0</v>
      </c>
      <c r="U3175" s="1" t="s">
        <v>39</v>
      </c>
      <c r="V3175" s="3">
        <v>5</v>
      </c>
    </row>
    <row r="3176" spans="1:22" x14ac:dyDescent="0.3">
      <c r="A3176" s="2" t="s">
        <v>6820</v>
      </c>
      <c r="B3176" s="10">
        <v>44327</v>
      </c>
      <c r="C3176" s="22">
        <v>44327</v>
      </c>
      <c r="D3176" s="1" t="s">
        <v>6821</v>
      </c>
      <c r="E3176" s="1" t="s">
        <v>953</v>
      </c>
      <c r="F3176" s="1">
        <v>48</v>
      </c>
      <c r="G3176" s="1" t="s">
        <v>68</v>
      </c>
      <c r="H3176" s="1" t="s">
        <v>35</v>
      </c>
      <c r="I3176" s="1" t="s">
        <v>43</v>
      </c>
      <c r="J3176" s="1" t="s">
        <v>44</v>
      </c>
      <c r="K3176" s="1" t="s">
        <v>117</v>
      </c>
      <c r="L3176" s="1">
        <v>7</v>
      </c>
      <c r="M3176" s="13">
        <v>30335.68</v>
      </c>
      <c r="N3176" s="15">
        <v>0.23</v>
      </c>
      <c r="O3176" s="13">
        <v>202427.42</v>
      </c>
      <c r="P3176" s="13">
        <v>47519.09</v>
      </c>
      <c r="Q3176" s="13">
        <v>63.26</v>
      </c>
      <c r="R3176" s="1" t="s">
        <v>64</v>
      </c>
      <c r="S3176" s="1">
        <v>5</v>
      </c>
      <c r="T3176" s="1" t="b">
        <v>0</v>
      </c>
      <c r="U3176" s="1" t="s">
        <v>58</v>
      </c>
      <c r="V3176" s="3">
        <v>6</v>
      </c>
    </row>
    <row r="3177" spans="1:22" x14ac:dyDescent="0.3">
      <c r="A3177" s="2" t="s">
        <v>6822</v>
      </c>
      <c r="B3177" s="10">
        <v>43851</v>
      </c>
      <c r="C3177" s="22">
        <v>43851</v>
      </c>
      <c r="D3177" s="1" t="s">
        <v>6823</v>
      </c>
      <c r="E3177" s="1" t="s">
        <v>1862</v>
      </c>
      <c r="F3177" s="1">
        <v>37</v>
      </c>
      <c r="G3177" s="1" t="s">
        <v>24</v>
      </c>
      <c r="H3177" s="1" t="s">
        <v>82</v>
      </c>
      <c r="I3177" s="1" t="s">
        <v>126</v>
      </c>
      <c r="J3177" s="1" t="s">
        <v>27</v>
      </c>
      <c r="K3177" s="1" t="s">
        <v>450</v>
      </c>
      <c r="L3177" s="1">
        <v>2</v>
      </c>
      <c r="M3177" s="13">
        <v>61.44</v>
      </c>
      <c r="N3177" s="15">
        <v>0.12</v>
      </c>
      <c r="O3177" s="13">
        <v>83.9</v>
      </c>
      <c r="P3177" s="13">
        <v>6.89</v>
      </c>
      <c r="Q3177" s="13">
        <v>72.83</v>
      </c>
      <c r="R3177" s="1" t="s">
        <v>78</v>
      </c>
      <c r="S3177" s="1">
        <v>2</v>
      </c>
      <c r="T3177" s="1" t="b">
        <v>0</v>
      </c>
      <c r="U3177" s="1" t="s">
        <v>39</v>
      </c>
      <c r="V3177" s="3">
        <v>1</v>
      </c>
    </row>
    <row r="3178" spans="1:22" x14ac:dyDescent="0.3">
      <c r="A3178" s="2" t="s">
        <v>6824</v>
      </c>
      <c r="B3178" s="10">
        <v>45586</v>
      </c>
      <c r="C3178" s="22">
        <v>45586</v>
      </c>
      <c r="D3178" s="1" t="s">
        <v>6825</v>
      </c>
      <c r="E3178" s="1" t="s">
        <v>523</v>
      </c>
      <c r="F3178" s="1">
        <v>46</v>
      </c>
      <c r="G3178" s="1" t="s">
        <v>68</v>
      </c>
      <c r="H3178" s="1" t="s">
        <v>111</v>
      </c>
      <c r="I3178" s="1" t="s">
        <v>112</v>
      </c>
      <c r="J3178" s="1" t="s">
        <v>37</v>
      </c>
      <c r="K3178" s="1" t="s">
        <v>38</v>
      </c>
      <c r="L3178" s="1">
        <v>1</v>
      </c>
      <c r="M3178" s="13">
        <v>882.32</v>
      </c>
      <c r="N3178" s="15">
        <v>0.25</v>
      </c>
      <c r="O3178" s="13">
        <v>860.81</v>
      </c>
      <c r="P3178" s="13">
        <v>531.17999999999995</v>
      </c>
      <c r="Q3178" s="13">
        <v>92.13</v>
      </c>
      <c r="R3178" s="1" t="s">
        <v>57</v>
      </c>
      <c r="S3178" s="1">
        <v>5</v>
      </c>
      <c r="T3178" s="1" t="b">
        <v>0</v>
      </c>
      <c r="U3178" s="1" t="s">
        <v>84</v>
      </c>
      <c r="V3178" s="3">
        <v>4</v>
      </c>
    </row>
    <row r="3179" spans="1:22" x14ac:dyDescent="0.3">
      <c r="A3179" s="2" t="s">
        <v>6826</v>
      </c>
      <c r="B3179" s="10">
        <v>45286</v>
      </c>
      <c r="C3179" s="22">
        <v>45286</v>
      </c>
      <c r="D3179" s="1" t="s">
        <v>6275</v>
      </c>
      <c r="E3179" s="1" t="s">
        <v>1733</v>
      </c>
      <c r="F3179" s="1">
        <v>31</v>
      </c>
      <c r="G3179" s="1" t="s">
        <v>68</v>
      </c>
      <c r="H3179" s="1" t="s">
        <v>74</v>
      </c>
      <c r="I3179" s="1" t="s">
        <v>75</v>
      </c>
      <c r="J3179" s="1" t="s">
        <v>76</v>
      </c>
      <c r="K3179" s="1" t="s">
        <v>207</v>
      </c>
      <c r="L3179" s="1">
        <v>8</v>
      </c>
      <c r="M3179" s="13">
        <v>3109.43</v>
      </c>
      <c r="N3179" s="15">
        <v>0.34</v>
      </c>
      <c r="O3179" s="13">
        <v>13768.79</v>
      </c>
      <c r="P3179" s="13">
        <v>4682.29</v>
      </c>
      <c r="Q3179" s="13">
        <v>78.430000000000007</v>
      </c>
      <c r="R3179" s="1" t="s">
        <v>78</v>
      </c>
      <c r="S3179" s="1">
        <v>2</v>
      </c>
      <c r="T3179" s="1" t="b">
        <v>0</v>
      </c>
      <c r="U3179" s="1" t="s">
        <v>39</v>
      </c>
      <c r="V3179" s="3">
        <v>1</v>
      </c>
    </row>
    <row r="3180" spans="1:22" x14ac:dyDescent="0.3">
      <c r="A3180" s="2" t="s">
        <v>6827</v>
      </c>
      <c r="B3180" s="10">
        <v>45234</v>
      </c>
      <c r="C3180" s="22">
        <v>45234</v>
      </c>
      <c r="D3180" s="1" t="s">
        <v>6828</v>
      </c>
      <c r="E3180" s="1" t="s">
        <v>1327</v>
      </c>
      <c r="F3180" s="1">
        <v>36</v>
      </c>
      <c r="G3180" s="1" t="s">
        <v>24</v>
      </c>
      <c r="H3180" s="1" t="s">
        <v>25</v>
      </c>
      <c r="I3180" s="1" t="s">
        <v>55</v>
      </c>
      <c r="J3180" s="1" t="s">
        <v>37</v>
      </c>
      <c r="K3180" s="1" t="s">
        <v>38</v>
      </c>
      <c r="L3180" s="1">
        <v>9</v>
      </c>
      <c r="M3180" s="13">
        <v>1168.75</v>
      </c>
      <c r="N3180" s="15">
        <v>0.22</v>
      </c>
      <c r="O3180" s="13">
        <v>10719.06</v>
      </c>
      <c r="P3180" s="13">
        <v>3312.86</v>
      </c>
      <c r="Q3180" s="13">
        <v>24.91</v>
      </c>
      <c r="R3180" s="1" t="s">
        <v>70</v>
      </c>
      <c r="S3180" s="1">
        <v>1</v>
      </c>
      <c r="T3180" s="1" t="b">
        <v>0</v>
      </c>
      <c r="U3180" s="1" t="s">
        <v>39</v>
      </c>
      <c r="V3180" s="3">
        <v>6</v>
      </c>
    </row>
    <row r="3181" spans="1:22" x14ac:dyDescent="0.3">
      <c r="A3181" s="2" t="s">
        <v>6829</v>
      </c>
      <c r="B3181" s="10">
        <v>44690</v>
      </c>
      <c r="C3181" s="22">
        <v>44690</v>
      </c>
      <c r="D3181" s="1" t="s">
        <v>6830</v>
      </c>
      <c r="E3181" s="1" t="s">
        <v>555</v>
      </c>
      <c r="F3181" s="1">
        <v>43</v>
      </c>
      <c r="G3181" s="1" t="s">
        <v>24</v>
      </c>
      <c r="H3181" s="1" t="s">
        <v>35</v>
      </c>
      <c r="I3181" s="1" t="s">
        <v>106</v>
      </c>
      <c r="J3181" s="1" t="s">
        <v>27</v>
      </c>
      <c r="K3181" s="1" t="s">
        <v>400</v>
      </c>
      <c r="L3181" s="1">
        <v>10</v>
      </c>
      <c r="M3181" s="13">
        <v>378.93</v>
      </c>
      <c r="N3181" s="15">
        <v>0.36</v>
      </c>
      <c r="O3181" s="13">
        <v>3399.01</v>
      </c>
      <c r="P3181" s="13">
        <v>209.1</v>
      </c>
      <c r="Q3181" s="13">
        <v>60.05</v>
      </c>
      <c r="R3181" s="1" t="s">
        <v>70</v>
      </c>
      <c r="S3181" s="1">
        <v>1</v>
      </c>
      <c r="T3181" s="1" t="b">
        <v>0</v>
      </c>
      <c r="U3181" s="1" t="s">
        <v>39</v>
      </c>
      <c r="V3181" s="3">
        <v>1</v>
      </c>
    </row>
    <row r="3182" spans="1:22" x14ac:dyDescent="0.3">
      <c r="A3182" s="2" t="s">
        <v>6831</v>
      </c>
      <c r="B3182" s="10">
        <v>45510</v>
      </c>
      <c r="C3182" s="22">
        <v>45510</v>
      </c>
      <c r="D3182" s="1" t="s">
        <v>6832</v>
      </c>
      <c r="E3182" s="1" t="s">
        <v>468</v>
      </c>
      <c r="F3182" s="1">
        <v>43</v>
      </c>
      <c r="G3182" s="1" t="s">
        <v>34</v>
      </c>
      <c r="H3182" s="1" t="s">
        <v>25</v>
      </c>
      <c r="I3182" s="1" t="s">
        <v>26</v>
      </c>
      <c r="J3182" s="1" t="s">
        <v>76</v>
      </c>
      <c r="K3182" s="1" t="s">
        <v>122</v>
      </c>
      <c r="L3182" s="1">
        <v>3</v>
      </c>
      <c r="M3182" s="13">
        <v>1773.46</v>
      </c>
      <c r="N3182" s="15">
        <v>0.35</v>
      </c>
      <c r="O3182" s="13">
        <v>5117.18</v>
      </c>
      <c r="P3182" s="13">
        <v>1728.27</v>
      </c>
      <c r="Q3182" s="13">
        <v>68.900000000000006</v>
      </c>
      <c r="R3182" s="1" t="s">
        <v>78</v>
      </c>
      <c r="S3182" s="1">
        <v>4</v>
      </c>
      <c r="T3182" s="1" t="b">
        <v>0</v>
      </c>
      <c r="U3182" s="1" t="s">
        <v>84</v>
      </c>
      <c r="V3182" s="3">
        <v>3</v>
      </c>
    </row>
    <row r="3183" spans="1:22" x14ac:dyDescent="0.3">
      <c r="A3183" s="2" t="s">
        <v>6833</v>
      </c>
      <c r="B3183" s="10">
        <v>44306</v>
      </c>
      <c r="C3183" s="22">
        <v>44306</v>
      </c>
      <c r="D3183" s="1" t="s">
        <v>6834</v>
      </c>
      <c r="E3183" s="1" t="s">
        <v>1756</v>
      </c>
      <c r="F3183" s="1">
        <v>20</v>
      </c>
      <c r="G3183" s="1" t="s">
        <v>463</v>
      </c>
      <c r="H3183" s="1" t="s">
        <v>74</v>
      </c>
      <c r="I3183" s="1" t="s">
        <v>136</v>
      </c>
      <c r="J3183" s="1" t="s">
        <v>127</v>
      </c>
      <c r="K3183" s="1" t="s">
        <v>196</v>
      </c>
      <c r="L3183" s="1">
        <v>8</v>
      </c>
      <c r="M3183" s="13">
        <v>37212.54</v>
      </c>
      <c r="N3183" s="15">
        <v>0.08</v>
      </c>
      <c r="O3183" s="13">
        <v>289349.90999999997</v>
      </c>
      <c r="P3183" s="13">
        <v>22436.74</v>
      </c>
      <c r="Q3183" s="13">
        <v>59.69</v>
      </c>
      <c r="R3183" s="1" t="s">
        <v>51</v>
      </c>
      <c r="S3183" s="1">
        <v>1</v>
      </c>
      <c r="T3183" s="1" t="b">
        <v>0</v>
      </c>
      <c r="U3183" s="1" t="s">
        <v>39</v>
      </c>
      <c r="V3183" s="3">
        <v>9</v>
      </c>
    </row>
    <row r="3184" spans="1:22" x14ac:dyDescent="0.3">
      <c r="A3184" s="2" t="s">
        <v>6835</v>
      </c>
      <c r="B3184" s="10">
        <v>45309</v>
      </c>
      <c r="C3184" s="22">
        <v>45309</v>
      </c>
      <c r="D3184" s="1" t="s">
        <v>6836</v>
      </c>
      <c r="E3184" s="1" t="s">
        <v>696</v>
      </c>
      <c r="F3184" s="1">
        <v>29</v>
      </c>
      <c r="G3184" s="1" t="s">
        <v>24</v>
      </c>
      <c r="H3184" s="1" t="s">
        <v>82</v>
      </c>
      <c r="I3184" s="1" t="s">
        <v>83</v>
      </c>
      <c r="J3184" s="1" t="s">
        <v>27</v>
      </c>
      <c r="K3184" s="1" t="s">
        <v>450</v>
      </c>
      <c r="L3184" s="1">
        <v>3</v>
      </c>
      <c r="M3184" s="13">
        <v>472.46</v>
      </c>
      <c r="N3184" s="15">
        <v>0.38</v>
      </c>
      <c r="O3184" s="13">
        <v>844.99</v>
      </c>
      <c r="P3184" s="13">
        <v>75.78</v>
      </c>
      <c r="Q3184" s="13">
        <v>90.06</v>
      </c>
      <c r="R3184" s="1" t="s">
        <v>70</v>
      </c>
      <c r="S3184" s="1">
        <v>2</v>
      </c>
      <c r="T3184" s="1" t="b">
        <v>0</v>
      </c>
      <c r="U3184" s="1" t="s">
        <v>84</v>
      </c>
      <c r="V3184" s="3">
        <v>9</v>
      </c>
    </row>
    <row r="3185" spans="1:22" x14ac:dyDescent="0.3">
      <c r="A3185" s="2" t="s">
        <v>6837</v>
      </c>
      <c r="B3185" s="10">
        <v>44820</v>
      </c>
      <c r="C3185" s="22">
        <v>44820</v>
      </c>
      <c r="D3185" s="1" t="s">
        <v>6838</v>
      </c>
      <c r="E3185" s="1" t="s">
        <v>286</v>
      </c>
      <c r="F3185" s="1">
        <v>52</v>
      </c>
      <c r="G3185" s="1" t="s">
        <v>68</v>
      </c>
      <c r="H3185" s="1" t="s">
        <v>35</v>
      </c>
      <c r="I3185" s="1" t="s">
        <v>36</v>
      </c>
      <c r="J3185" s="1" t="s">
        <v>127</v>
      </c>
      <c r="K3185" s="1" t="s">
        <v>171</v>
      </c>
      <c r="L3185" s="1">
        <v>6</v>
      </c>
      <c r="M3185" s="13">
        <v>13712.65</v>
      </c>
      <c r="N3185" s="15">
        <v>0.21</v>
      </c>
      <c r="O3185" s="13">
        <v>88050.54</v>
      </c>
      <c r="P3185" s="13">
        <v>10911.94</v>
      </c>
      <c r="Q3185" s="13">
        <v>44.8</v>
      </c>
      <c r="R3185" s="1" t="s">
        <v>29</v>
      </c>
      <c r="S3185" s="1">
        <v>2</v>
      </c>
      <c r="T3185" s="1" t="b">
        <v>0</v>
      </c>
      <c r="U3185" s="1" t="s">
        <v>39</v>
      </c>
      <c r="V3185" s="3">
        <v>5</v>
      </c>
    </row>
    <row r="3186" spans="1:22" x14ac:dyDescent="0.3">
      <c r="A3186" s="2" t="s">
        <v>6839</v>
      </c>
      <c r="B3186" s="10">
        <v>44981</v>
      </c>
      <c r="C3186" s="22">
        <v>44981</v>
      </c>
      <c r="D3186" s="1" t="s">
        <v>6840</v>
      </c>
      <c r="E3186" s="1" t="s">
        <v>1015</v>
      </c>
      <c r="F3186" s="1">
        <v>34</v>
      </c>
      <c r="G3186" s="1" t="s">
        <v>34</v>
      </c>
      <c r="H3186" s="1" t="s">
        <v>25</v>
      </c>
      <c r="I3186" s="1" t="s">
        <v>55</v>
      </c>
      <c r="J3186" s="1" t="s">
        <v>62</v>
      </c>
      <c r="K3186" s="1" t="s">
        <v>266</v>
      </c>
      <c r="L3186" s="1">
        <v>10</v>
      </c>
      <c r="M3186" s="13">
        <v>890.58</v>
      </c>
      <c r="N3186" s="15">
        <v>0.05</v>
      </c>
      <c r="O3186" s="13">
        <v>9308.3700000000008</v>
      </c>
      <c r="P3186" s="13">
        <v>3442.31</v>
      </c>
      <c r="Q3186" s="13">
        <v>77.84</v>
      </c>
      <c r="R3186" s="1" t="s">
        <v>78</v>
      </c>
      <c r="S3186" s="1">
        <v>1</v>
      </c>
      <c r="T3186" s="1" t="b">
        <v>0</v>
      </c>
      <c r="U3186" s="1" t="s">
        <v>39</v>
      </c>
      <c r="V3186" s="3">
        <v>4</v>
      </c>
    </row>
    <row r="3187" spans="1:22" x14ac:dyDescent="0.3">
      <c r="A3187" s="2" t="s">
        <v>6841</v>
      </c>
      <c r="B3187" s="10">
        <v>44939</v>
      </c>
      <c r="C3187" s="22">
        <v>44939</v>
      </c>
      <c r="D3187" s="1" t="s">
        <v>6842</v>
      </c>
      <c r="E3187" s="1" t="s">
        <v>900</v>
      </c>
      <c r="F3187" s="1">
        <v>13</v>
      </c>
      <c r="G3187" s="1" t="s">
        <v>24</v>
      </c>
      <c r="H3187" s="1" t="s">
        <v>111</v>
      </c>
      <c r="I3187" s="1" t="s">
        <v>141</v>
      </c>
      <c r="J3187" s="1" t="s">
        <v>27</v>
      </c>
      <c r="K3187" s="1" t="s">
        <v>56</v>
      </c>
      <c r="L3187" s="1">
        <v>6</v>
      </c>
      <c r="M3187" s="13">
        <v>429.91</v>
      </c>
      <c r="N3187" s="15">
        <v>0.36</v>
      </c>
      <c r="O3187" s="13">
        <v>1429.71</v>
      </c>
      <c r="P3187" s="13">
        <v>163.29</v>
      </c>
      <c r="Q3187" s="13">
        <v>71.98</v>
      </c>
      <c r="R3187" s="1" t="s">
        <v>64</v>
      </c>
      <c r="S3187" s="1">
        <v>3</v>
      </c>
      <c r="T3187" s="1" t="b">
        <v>0</v>
      </c>
      <c r="U3187" s="1" t="s">
        <v>39</v>
      </c>
      <c r="V3187" s="3">
        <v>3</v>
      </c>
    </row>
    <row r="3188" spans="1:22" x14ac:dyDescent="0.3">
      <c r="A3188" s="2" t="s">
        <v>6843</v>
      </c>
      <c r="B3188" s="10">
        <v>44900</v>
      </c>
      <c r="C3188" s="22">
        <v>44900</v>
      </c>
      <c r="D3188" s="1" t="s">
        <v>6844</v>
      </c>
      <c r="E3188" s="1" t="s">
        <v>174</v>
      </c>
      <c r="F3188" s="1">
        <v>28</v>
      </c>
      <c r="G3188" s="1" t="s">
        <v>34</v>
      </c>
      <c r="H3188" s="1" t="s">
        <v>111</v>
      </c>
      <c r="I3188" s="1" t="s">
        <v>112</v>
      </c>
      <c r="J3188" s="1" t="s">
        <v>44</v>
      </c>
      <c r="K3188" s="1" t="s">
        <v>50</v>
      </c>
      <c r="L3188" s="1">
        <v>1</v>
      </c>
      <c r="M3188" s="13">
        <v>21880.63</v>
      </c>
      <c r="N3188" s="15">
        <v>0.13</v>
      </c>
      <c r="O3188" s="13">
        <v>15482.78</v>
      </c>
      <c r="P3188" s="13">
        <v>4167.88</v>
      </c>
      <c r="Q3188" s="13">
        <v>65.81</v>
      </c>
      <c r="R3188" s="1" t="s">
        <v>29</v>
      </c>
      <c r="S3188" s="1">
        <v>5</v>
      </c>
      <c r="T3188" s="1" t="b">
        <v>0</v>
      </c>
      <c r="U3188" s="1" t="s">
        <v>39</v>
      </c>
      <c r="V3188" s="3">
        <v>7</v>
      </c>
    </row>
    <row r="3189" spans="1:22" x14ac:dyDescent="0.3">
      <c r="A3189" s="2" t="s">
        <v>6845</v>
      </c>
      <c r="B3189" s="10">
        <v>45180</v>
      </c>
      <c r="C3189" s="22">
        <v>45180</v>
      </c>
      <c r="D3189" s="1" t="s">
        <v>6846</v>
      </c>
      <c r="E3189" s="1" t="s">
        <v>1955</v>
      </c>
      <c r="F3189" s="1">
        <v>49</v>
      </c>
      <c r="G3189" s="1" t="s">
        <v>24</v>
      </c>
      <c r="H3189" s="1" t="s">
        <v>25</v>
      </c>
      <c r="I3189" s="1" t="s">
        <v>26</v>
      </c>
      <c r="J3189" s="1" t="s">
        <v>146</v>
      </c>
      <c r="K3189" s="1" t="s">
        <v>484</v>
      </c>
      <c r="L3189" s="1">
        <v>8</v>
      </c>
      <c r="M3189" s="13">
        <v>7594.18</v>
      </c>
      <c r="N3189" s="15">
        <v>0.06</v>
      </c>
      <c r="O3189" s="13">
        <v>73152.899999999994</v>
      </c>
      <c r="P3189" s="13">
        <v>14737.07</v>
      </c>
      <c r="Q3189" s="13">
        <v>75.23</v>
      </c>
      <c r="R3189" s="1" t="s">
        <v>57</v>
      </c>
      <c r="S3189" s="1">
        <v>3</v>
      </c>
      <c r="T3189" s="1" t="b">
        <v>0</v>
      </c>
      <c r="U3189" s="1" t="s">
        <v>39</v>
      </c>
      <c r="V3189" s="3">
        <v>10</v>
      </c>
    </row>
    <row r="3190" spans="1:22" x14ac:dyDescent="0.3">
      <c r="A3190" s="2" t="s">
        <v>6847</v>
      </c>
      <c r="B3190" s="10">
        <v>44935</v>
      </c>
      <c r="C3190" s="22">
        <v>44935</v>
      </c>
      <c r="D3190" s="1" t="s">
        <v>6848</v>
      </c>
      <c r="E3190" s="1" t="s">
        <v>743</v>
      </c>
      <c r="F3190" s="1">
        <v>24</v>
      </c>
      <c r="G3190" s="1" t="s">
        <v>24</v>
      </c>
      <c r="H3190" s="1" t="s">
        <v>111</v>
      </c>
      <c r="I3190" s="1" t="s">
        <v>141</v>
      </c>
      <c r="J3190" s="1" t="s">
        <v>62</v>
      </c>
      <c r="K3190" s="1" t="s">
        <v>283</v>
      </c>
      <c r="L3190" s="1">
        <v>2</v>
      </c>
      <c r="M3190" s="13">
        <v>1431.03</v>
      </c>
      <c r="N3190" s="15">
        <v>0.24</v>
      </c>
      <c r="O3190" s="13">
        <v>1789.46</v>
      </c>
      <c r="P3190" s="13">
        <v>945.9</v>
      </c>
      <c r="Q3190" s="13">
        <v>64.39</v>
      </c>
      <c r="R3190" s="1" t="s">
        <v>29</v>
      </c>
      <c r="S3190" s="1">
        <v>2</v>
      </c>
      <c r="T3190" s="1" t="b">
        <v>0</v>
      </c>
      <c r="U3190" s="1" t="s">
        <v>58</v>
      </c>
      <c r="V3190" s="3">
        <v>1</v>
      </c>
    </row>
    <row r="3191" spans="1:22" x14ac:dyDescent="0.3">
      <c r="A3191" s="2" t="s">
        <v>6849</v>
      </c>
      <c r="B3191" s="10">
        <v>45074</v>
      </c>
      <c r="C3191" s="22">
        <v>45074</v>
      </c>
      <c r="D3191" s="1" t="s">
        <v>6850</v>
      </c>
      <c r="E3191" s="1" t="s">
        <v>1229</v>
      </c>
      <c r="F3191" s="1">
        <v>27</v>
      </c>
      <c r="G3191" s="1" t="s">
        <v>24</v>
      </c>
      <c r="H3191" s="1" t="s">
        <v>25</v>
      </c>
      <c r="I3191" s="1" t="s">
        <v>69</v>
      </c>
      <c r="J3191" s="1" t="s">
        <v>127</v>
      </c>
      <c r="K3191" s="1" t="s">
        <v>517</v>
      </c>
      <c r="L3191" s="1">
        <v>2</v>
      </c>
      <c r="M3191" s="13">
        <v>16666.39</v>
      </c>
      <c r="N3191" s="15">
        <v>0.04</v>
      </c>
      <c r="O3191" s="13">
        <v>45521.34</v>
      </c>
      <c r="P3191" s="13">
        <v>6476.79</v>
      </c>
      <c r="Q3191" s="13">
        <v>54.21</v>
      </c>
      <c r="R3191" s="1" t="s">
        <v>78</v>
      </c>
      <c r="S3191" s="1">
        <v>1</v>
      </c>
      <c r="T3191" s="1" t="b">
        <v>0</v>
      </c>
      <c r="U3191" s="1" t="s">
        <v>39</v>
      </c>
      <c r="V3191" s="3">
        <v>8</v>
      </c>
    </row>
    <row r="3192" spans="1:22" x14ac:dyDescent="0.3">
      <c r="A3192" s="2" t="s">
        <v>6851</v>
      </c>
      <c r="B3192" s="10">
        <v>45440</v>
      </c>
      <c r="C3192" s="22">
        <v>45440</v>
      </c>
      <c r="D3192" s="1" t="s">
        <v>6852</v>
      </c>
      <c r="E3192" s="1" t="s">
        <v>3031</v>
      </c>
      <c r="F3192" s="1">
        <v>6</v>
      </c>
      <c r="G3192" s="1" t="s">
        <v>68</v>
      </c>
      <c r="H3192" s="1" t="s">
        <v>25</v>
      </c>
      <c r="I3192" s="1" t="s">
        <v>26</v>
      </c>
      <c r="J3192" s="1" t="s">
        <v>37</v>
      </c>
      <c r="K3192" s="1" t="s">
        <v>671</v>
      </c>
      <c r="L3192" s="1">
        <v>4</v>
      </c>
      <c r="M3192" s="13">
        <v>1243.93</v>
      </c>
      <c r="N3192" s="15">
        <v>0.34</v>
      </c>
      <c r="O3192" s="13">
        <v>5427.21</v>
      </c>
      <c r="P3192" s="13">
        <v>1521.9</v>
      </c>
      <c r="Q3192" s="13">
        <v>44.57</v>
      </c>
      <c r="R3192" s="1" t="s">
        <v>29</v>
      </c>
      <c r="S3192" s="1">
        <v>1</v>
      </c>
      <c r="T3192" s="1" t="b">
        <v>0</v>
      </c>
      <c r="U3192" s="1" t="s">
        <v>197</v>
      </c>
      <c r="V3192" s="3">
        <v>6</v>
      </c>
    </row>
    <row r="3193" spans="1:22" x14ac:dyDescent="0.3">
      <c r="A3193" s="2" t="s">
        <v>6853</v>
      </c>
      <c r="B3193" s="10">
        <v>44566</v>
      </c>
      <c r="C3193" s="22">
        <v>44566</v>
      </c>
      <c r="D3193" s="1" t="s">
        <v>6854</v>
      </c>
      <c r="E3193" s="1" t="s">
        <v>624</v>
      </c>
      <c r="F3193" s="1">
        <v>32</v>
      </c>
      <c r="G3193" s="1" t="s">
        <v>463</v>
      </c>
      <c r="H3193" s="1" t="s">
        <v>74</v>
      </c>
      <c r="I3193" s="1" t="s">
        <v>75</v>
      </c>
      <c r="J3193" s="1" t="s">
        <v>76</v>
      </c>
      <c r="K3193" s="1" t="s">
        <v>77</v>
      </c>
      <c r="L3193" s="1">
        <v>7</v>
      </c>
      <c r="M3193" s="13">
        <v>3381.19</v>
      </c>
      <c r="N3193" s="15">
        <v>0.39</v>
      </c>
      <c r="O3193" s="13">
        <v>11933.01</v>
      </c>
      <c r="P3193" s="13">
        <v>3903.15</v>
      </c>
      <c r="Q3193" s="13">
        <v>52.43</v>
      </c>
      <c r="R3193" s="1" t="s">
        <v>51</v>
      </c>
      <c r="S3193" s="1">
        <v>3</v>
      </c>
      <c r="T3193" s="1" t="b">
        <v>1</v>
      </c>
      <c r="U3193" s="1" t="s">
        <v>30</v>
      </c>
      <c r="V3193" s="3">
        <v>4</v>
      </c>
    </row>
    <row r="3194" spans="1:22" x14ac:dyDescent="0.3">
      <c r="A3194" s="2" t="s">
        <v>6855</v>
      </c>
      <c r="B3194" s="10">
        <v>44229</v>
      </c>
      <c r="C3194" s="22">
        <v>44229</v>
      </c>
      <c r="D3194" s="1" t="s">
        <v>6856</v>
      </c>
      <c r="E3194" s="1" t="s">
        <v>67</v>
      </c>
      <c r="F3194" s="1">
        <v>41</v>
      </c>
      <c r="G3194" s="1" t="s">
        <v>68</v>
      </c>
      <c r="H3194" s="1" t="s">
        <v>74</v>
      </c>
      <c r="I3194" s="1" t="s">
        <v>75</v>
      </c>
      <c r="J3194" s="1" t="s">
        <v>44</v>
      </c>
      <c r="K3194" s="1" t="s">
        <v>50</v>
      </c>
      <c r="L3194" s="1">
        <v>10</v>
      </c>
      <c r="M3194" s="13">
        <v>21056.57</v>
      </c>
      <c r="N3194" s="15">
        <v>0.24</v>
      </c>
      <c r="O3194" s="13">
        <v>131205.97</v>
      </c>
      <c r="P3194" s="13">
        <v>31712.53</v>
      </c>
      <c r="Q3194" s="13">
        <v>53.62</v>
      </c>
      <c r="R3194" s="1" t="s">
        <v>70</v>
      </c>
      <c r="S3194" s="1">
        <v>2</v>
      </c>
      <c r="T3194" s="1" t="b">
        <v>1</v>
      </c>
      <c r="U3194" s="1" t="s">
        <v>30</v>
      </c>
      <c r="V3194" s="3">
        <v>10</v>
      </c>
    </row>
    <row r="3195" spans="1:22" x14ac:dyDescent="0.3">
      <c r="A3195" s="2" t="s">
        <v>6857</v>
      </c>
      <c r="B3195" s="10">
        <v>44621</v>
      </c>
      <c r="C3195" s="22">
        <v>44621</v>
      </c>
      <c r="D3195" s="1" t="s">
        <v>6858</v>
      </c>
      <c r="E3195" s="1" t="s">
        <v>4771</v>
      </c>
      <c r="F3195" s="1">
        <v>16</v>
      </c>
      <c r="G3195" s="1" t="s">
        <v>463</v>
      </c>
      <c r="H3195" s="1" t="s">
        <v>74</v>
      </c>
      <c r="I3195" s="1" t="s">
        <v>192</v>
      </c>
      <c r="J3195" s="1" t="s">
        <v>146</v>
      </c>
      <c r="K3195" s="1" t="s">
        <v>147</v>
      </c>
      <c r="L3195" s="1">
        <v>2</v>
      </c>
      <c r="M3195" s="13">
        <v>13902.39</v>
      </c>
      <c r="N3195" s="15">
        <v>0.37</v>
      </c>
      <c r="O3195" s="13">
        <v>20309.900000000001</v>
      </c>
      <c r="P3195" s="13">
        <v>5540.98</v>
      </c>
      <c r="Q3195" s="13">
        <v>37.83</v>
      </c>
      <c r="R3195" s="1" t="s">
        <v>57</v>
      </c>
      <c r="S3195" s="1">
        <v>3</v>
      </c>
      <c r="T3195" s="1" t="b">
        <v>0</v>
      </c>
      <c r="U3195" s="1" t="s">
        <v>197</v>
      </c>
      <c r="V3195" s="3">
        <v>7</v>
      </c>
    </row>
    <row r="3196" spans="1:22" x14ac:dyDescent="0.3">
      <c r="A3196" s="2" t="s">
        <v>6859</v>
      </c>
      <c r="B3196" s="10">
        <v>44551</v>
      </c>
      <c r="C3196" s="22">
        <v>44551</v>
      </c>
      <c r="D3196" s="1" t="s">
        <v>6860</v>
      </c>
      <c r="E3196" s="1" t="s">
        <v>406</v>
      </c>
      <c r="F3196" s="1">
        <v>51</v>
      </c>
      <c r="G3196" s="1" t="s">
        <v>24</v>
      </c>
      <c r="H3196" s="1" t="s">
        <v>35</v>
      </c>
      <c r="I3196" s="1" t="s">
        <v>49</v>
      </c>
      <c r="J3196" s="1" t="s">
        <v>62</v>
      </c>
      <c r="K3196" s="1" t="s">
        <v>283</v>
      </c>
      <c r="L3196" s="1">
        <v>10</v>
      </c>
      <c r="M3196" s="13">
        <v>1181.99</v>
      </c>
      <c r="N3196" s="15">
        <v>0.01</v>
      </c>
      <c r="O3196" s="13">
        <v>8278.99</v>
      </c>
      <c r="P3196" s="13">
        <v>3933.86</v>
      </c>
      <c r="Q3196" s="13">
        <v>52.54</v>
      </c>
      <c r="R3196" s="1" t="s">
        <v>29</v>
      </c>
      <c r="S3196" s="1">
        <v>5</v>
      </c>
      <c r="T3196" s="1" t="b">
        <v>1</v>
      </c>
      <c r="U3196" s="1" t="s">
        <v>30</v>
      </c>
      <c r="V3196" s="3">
        <v>10</v>
      </c>
    </row>
    <row r="3197" spans="1:22" x14ac:dyDescent="0.3">
      <c r="A3197" s="2" t="s">
        <v>6861</v>
      </c>
      <c r="B3197" s="10">
        <v>45371</v>
      </c>
      <c r="C3197" s="22">
        <v>45371</v>
      </c>
      <c r="D3197" s="1" t="s">
        <v>6862</v>
      </c>
      <c r="E3197" s="1" t="s">
        <v>2130</v>
      </c>
      <c r="F3197" s="1">
        <v>41</v>
      </c>
      <c r="G3197" s="1" t="s">
        <v>68</v>
      </c>
      <c r="H3197" s="1" t="s">
        <v>111</v>
      </c>
      <c r="I3197" s="1" t="s">
        <v>330</v>
      </c>
      <c r="J3197" s="1" t="s">
        <v>27</v>
      </c>
      <c r="K3197" s="1" t="s">
        <v>56</v>
      </c>
      <c r="L3197" s="1">
        <v>7</v>
      </c>
      <c r="M3197" s="13">
        <v>439.78</v>
      </c>
      <c r="N3197" s="15">
        <v>0.11</v>
      </c>
      <c r="O3197" s="13">
        <v>3962.93</v>
      </c>
      <c r="P3197" s="13">
        <v>320.83</v>
      </c>
      <c r="Q3197" s="13">
        <v>64</v>
      </c>
      <c r="R3197" s="1" t="s">
        <v>78</v>
      </c>
      <c r="S3197" s="1">
        <v>1</v>
      </c>
      <c r="T3197" s="1" t="b">
        <v>0</v>
      </c>
      <c r="U3197" s="1" t="s">
        <v>58</v>
      </c>
      <c r="V3197" s="3">
        <v>9</v>
      </c>
    </row>
    <row r="3198" spans="1:22" x14ac:dyDescent="0.3">
      <c r="A3198" s="2" t="s">
        <v>6863</v>
      </c>
      <c r="B3198" s="10">
        <v>44718</v>
      </c>
      <c r="C3198" s="22">
        <v>44718</v>
      </c>
      <c r="D3198" s="1" t="s">
        <v>6864</v>
      </c>
      <c r="E3198" s="1" t="s">
        <v>588</v>
      </c>
      <c r="F3198" s="1">
        <v>35</v>
      </c>
      <c r="G3198" s="1" t="s">
        <v>34</v>
      </c>
      <c r="H3198" s="1" t="s">
        <v>74</v>
      </c>
      <c r="I3198" s="1" t="s">
        <v>75</v>
      </c>
      <c r="J3198" s="1" t="s">
        <v>37</v>
      </c>
      <c r="K3198" s="1" t="s">
        <v>182</v>
      </c>
      <c r="L3198" s="1">
        <v>3</v>
      </c>
      <c r="M3198" s="13">
        <v>151.66</v>
      </c>
      <c r="N3198" s="15">
        <v>0.28000000000000003</v>
      </c>
      <c r="O3198" s="13">
        <v>490.46</v>
      </c>
      <c r="P3198" s="13">
        <v>194.08</v>
      </c>
      <c r="Q3198" s="13">
        <v>50.29</v>
      </c>
      <c r="R3198" s="1" t="s">
        <v>78</v>
      </c>
      <c r="S3198" s="1">
        <v>3</v>
      </c>
      <c r="T3198" s="1" t="b">
        <v>0</v>
      </c>
      <c r="U3198" s="1" t="s">
        <v>39</v>
      </c>
      <c r="V3198" s="3">
        <v>1</v>
      </c>
    </row>
    <row r="3199" spans="1:22" x14ac:dyDescent="0.3">
      <c r="A3199" s="2" t="s">
        <v>6865</v>
      </c>
      <c r="B3199" s="10">
        <v>45072</v>
      </c>
      <c r="C3199" s="22">
        <v>45072</v>
      </c>
      <c r="D3199" s="1" t="s">
        <v>6866</v>
      </c>
      <c r="E3199" s="1" t="s">
        <v>4771</v>
      </c>
      <c r="F3199" s="1">
        <v>47</v>
      </c>
      <c r="G3199" s="1" t="s">
        <v>24</v>
      </c>
      <c r="H3199" s="1" t="s">
        <v>111</v>
      </c>
      <c r="I3199" s="1" t="s">
        <v>330</v>
      </c>
      <c r="J3199" s="1" t="s">
        <v>62</v>
      </c>
      <c r="K3199" s="1" t="s">
        <v>151</v>
      </c>
      <c r="L3199" s="1">
        <v>1</v>
      </c>
      <c r="M3199" s="13">
        <v>616.77</v>
      </c>
      <c r="N3199" s="15">
        <v>0.26</v>
      </c>
      <c r="O3199" s="13">
        <v>805.88</v>
      </c>
      <c r="P3199" s="13">
        <v>253.49</v>
      </c>
      <c r="Q3199" s="13">
        <v>67.819999999999993</v>
      </c>
      <c r="R3199" s="1" t="s">
        <v>57</v>
      </c>
      <c r="S3199" s="1">
        <v>3</v>
      </c>
      <c r="T3199" s="1" t="b">
        <v>1</v>
      </c>
      <c r="U3199" s="1" t="s">
        <v>30</v>
      </c>
      <c r="V3199" s="3">
        <v>5</v>
      </c>
    </row>
    <row r="3200" spans="1:22" x14ac:dyDescent="0.3">
      <c r="A3200" s="2" t="s">
        <v>6867</v>
      </c>
      <c r="B3200" s="10">
        <v>43991</v>
      </c>
      <c r="C3200" s="22">
        <v>43991</v>
      </c>
      <c r="D3200" s="1" t="s">
        <v>6868</v>
      </c>
      <c r="E3200" s="1" t="s">
        <v>174</v>
      </c>
      <c r="F3200" s="1">
        <v>43</v>
      </c>
      <c r="G3200" s="1" t="s">
        <v>68</v>
      </c>
      <c r="H3200" s="1" t="s">
        <v>35</v>
      </c>
      <c r="I3200" s="1" t="s">
        <v>36</v>
      </c>
      <c r="J3200" s="1" t="s">
        <v>146</v>
      </c>
      <c r="K3200" s="1" t="s">
        <v>147</v>
      </c>
      <c r="L3200" s="1">
        <v>10</v>
      </c>
      <c r="M3200" s="13">
        <v>7388.77</v>
      </c>
      <c r="N3200" s="15">
        <v>0.35</v>
      </c>
      <c r="O3200" s="13">
        <v>67368.649999999994</v>
      </c>
      <c r="P3200" s="13">
        <v>7907.83</v>
      </c>
      <c r="Q3200" s="13">
        <v>79.13</v>
      </c>
      <c r="R3200" s="1" t="s">
        <v>70</v>
      </c>
      <c r="S3200" s="1">
        <v>2</v>
      </c>
      <c r="T3200" s="1" t="b">
        <v>1</v>
      </c>
      <c r="U3200" s="1" t="s">
        <v>30</v>
      </c>
      <c r="V3200" s="3">
        <v>2</v>
      </c>
    </row>
    <row r="3201" spans="1:22" x14ac:dyDescent="0.3">
      <c r="A3201" s="2" t="s">
        <v>6869</v>
      </c>
      <c r="B3201" s="10">
        <v>44451</v>
      </c>
      <c r="C3201" s="22">
        <v>44451</v>
      </c>
      <c r="D3201" s="1" t="s">
        <v>6870</v>
      </c>
      <c r="E3201" s="1" t="s">
        <v>2053</v>
      </c>
      <c r="F3201" s="1">
        <v>34</v>
      </c>
      <c r="G3201" s="1" t="s">
        <v>24</v>
      </c>
      <c r="H3201" s="1" t="s">
        <v>74</v>
      </c>
      <c r="I3201" s="1" t="s">
        <v>101</v>
      </c>
      <c r="J3201" s="1" t="s">
        <v>44</v>
      </c>
      <c r="K3201" s="1" t="s">
        <v>50</v>
      </c>
      <c r="L3201" s="1">
        <v>2</v>
      </c>
      <c r="M3201" s="13">
        <v>33979.17</v>
      </c>
      <c r="N3201" s="15">
        <v>0.09</v>
      </c>
      <c r="O3201" s="13">
        <v>49388.95</v>
      </c>
      <c r="P3201" s="13">
        <v>18574.16</v>
      </c>
      <c r="Q3201" s="13">
        <v>35.89</v>
      </c>
      <c r="R3201" s="1" t="s">
        <v>70</v>
      </c>
      <c r="S3201" s="1">
        <v>4</v>
      </c>
      <c r="T3201" s="1" t="b">
        <v>1</v>
      </c>
      <c r="U3201" s="1" t="s">
        <v>30</v>
      </c>
      <c r="V3201" s="3">
        <v>4</v>
      </c>
    </row>
    <row r="3202" spans="1:22" x14ac:dyDescent="0.3">
      <c r="A3202" s="2" t="s">
        <v>6871</v>
      </c>
      <c r="B3202" s="10">
        <v>44628</v>
      </c>
      <c r="C3202" s="22">
        <v>44628</v>
      </c>
      <c r="D3202" s="1" t="s">
        <v>6872</v>
      </c>
      <c r="E3202" s="1" t="s">
        <v>905</v>
      </c>
      <c r="F3202" s="1">
        <v>35</v>
      </c>
      <c r="G3202" s="1" t="s">
        <v>24</v>
      </c>
      <c r="H3202" s="1" t="s">
        <v>82</v>
      </c>
      <c r="I3202" s="1" t="s">
        <v>293</v>
      </c>
      <c r="J3202" s="1" t="s">
        <v>37</v>
      </c>
      <c r="K3202" s="1" t="s">
        <v>182</v>
      </c>
      <c r="L3202" s="1">
        <v>1</v>
      </c>
      <c r="M3202" s="13">
        <v>2317.4899999999998</v>
      </c>
      <c r="N3202" s="15">
        <v>0.12</v>
      </c>
      <c r="O3202" s="13">
        <v>2469.09</v>
      </c>
      <c r="P3202" s="13">
        <v>1307.3699999999999</v>
      </c>
      <c r="Q3202" s="13">
        <v>92.14</v>
      </c>
      <c r="R3202" s="1" t="s">
        <v>70</v>
      </c>
      <c r="S3202" s="1">
        <v>4</v>
      </c>
      <c r="T3202" s="1" t="b">
        <v>0</v>
      </c>
      <c r="U3202" s="1" t="s">
        <v>39</v>
      </c>
      <c r="V3202" s="3">
        <v>4</v>
      </c>
    </row>
    <row r="3203" spans="1:22" x14ac:dyDescent="0.3">
      <c r="A3203" s="2" t="s">
        <v>6873</v>
      </c>
      <c r="B3203" s="10">
        <v>45584</v>
      </c>
      <c r="C3203" s="22">
        <v>45584</v>
      </c>
      <c r="D3203" s="1" t="s">
        <v>6874</v>
      </c>
      <c r="E3203" s="1" t="s">
        <v>224</v>
      </c>
      <c r="F3203" s="1">
        <v>24</v>
      </c>
      <c r="G3203" s="1" t="s">
        <v>68</v>
      </c>
      <c r="H3203" s="1" t="s">
        <v>25</v>
      </c>
      <c r="I3203" s="1" t="s">
        <v>26</v>
      </c>
      <c r="J3203" s="1" t="s">
        <v>37</v>
      </c>
      <c r="K3203" s="1" t="s">
        <v>231</v>
      </c>
      <c r="L3203" s="1">
        <v>1</v>
      </c>
      <c r="M3203" s="13">
        <v>1189.68</v>
      </c>
      <c r="N3203" s="15">
        <v>0.38</v>
      </c>
      <c r="O3203" s="13">
        <v>883.05</v>
      </c>
      <c r="P3203" s="13">
        <v>476.12</v>
      </c>
      <c r="Q3203" s="13">
        <v>61.72</v>
      </c>
      <c r="R3203" s="1" t="s">
        <v>78</v>
      </c>
      <c r="S3203" s="1">
        <v>3</v>
      </c>
      <c r="T3203" s="1" t="b">
        <v>0</v>
      </c>
      <c r="U3203" s="1" t="s">
        <v>39</v>
      </c>
      <c r="V3203" s="3">
        <v>7</v>
      </c>
    </row>
    <row r="3204" spans="1:22" x14ac:dyDescent="0.3">
      <c r="A3204" s="2" t="s">
        <v>6875</v>
      </c>
      <c r="B3204" s="10">
        <v>44432</v>
      </c>
      <c r="C3204" s="22">
        <v>44432</v>
      </c>
      <c r="D3204" s="1" t="s">
        <v>6876</v>
      </c>
      <c r="E3204" s="1" t="s">
        <v>711</v>
      </c>
      <c r="F3204" s="1">
        <v>42</v>
      </c>
      <c r="G3204" s="1" t="s">
        <v>34</v>
      </c>
      <c r="H3204" s="1" t="s">
        <v>82</v>
      </c>
      <c r="I3204" s="1" t="s">
        <v>126</v>
      </c>
      <c r="J3204" s="1" t="s">
        <v>37</v>
      </c>
      <c r="K3204" s="1" t="s">
        <v>671</v>
      </c>
      <c r="L3204" s="1">
        <v>6</v>
      </c>
      <c r="M3204" s="13">
        <v>1830.42</v>
      </c>
      <c r="N3204" s="15">
        <v>0.38</v>
      </c>
      <c r="O3204" s="13">
        <v>8090.67</v>
      </c>
      <c r="P3204" s="13">
        <v>3889.27</v>
      </c>
      <c r="Q3204" s="13">
        <v>89.06</v>
      </c>
      <c r="R3204" s="1" t="s">
        <v>51</v>
      </c>
      <c r="S3204" s="1">
        <v>5</v>
      </c>
      <c r="T3204" s="1" t="b">
        <v>0</v>
      </c>
      <c r="U3204" s="1" t="s">
        <v>58</v>
      </c>
      <c r="V3204" s="3">
        <v>7</v>
      </c>
    </row>
    <row r="3205" spans="1:22" x14ac:dyDescent="0.3">
      <c r="A3205" s="2" t="s">
        <v>6877</v>
      </c>
      <c r="B3205" s="10">
        <v>44726</v>
      </c>
      <c r="C3205" s="22">
        <v>44726</v>
      </c>
      <c r="D3205" s="1" t="s">
        <v>6878</v>
      </c>
      <c r="E3205" s="1" t="s">
        <v>508</v>
      </c>
      <c r="F3205" s="1">
        <v>31</v>
      </c>
      <c r="G3205" s="1" t="s">
        <v>68</v>
      </c>
      <c r="H3205" s="1" t="s">
        <v>74</v>
      </c>
      <c r="I3205" s="1" t="s">
        <v>192</v>
      </c>
      <c r="J3205" s="1" t="s">
        <v>146</v>
      </c>
      <c r="K3205" s="1" t="s">
        <v>147</v>
      </c>
      <c r="L3205" s="1">
        <v>1</v>
      </c>
      <c r="M3205" s="13">
        <v>9438.7900000000009</v>
      </c>
      <c r="N3205" s="15">
        <v>0.06</v>
      </c>
      <c r="O3205" s="13">
        <v>12679.99</v>
      </c>
      <c r="P3205" s="13">
        <v>2911.92</v>
      </c>
      <c r="Q3205" s="13">
        <v>48.64</v>
      </c>
      <c r="R3205" s="1" t="s">
        <v>57</v>
      </c>
      <c r="S3205" s="1">
        <v>3</v>
      </c>
      <c r="T3205" s="1" t="b">
        <v>0</v>
      </c>
      <c r="U3205" s="1" t="s">
        <v>39</v>
      </c>
      <c r="V3205" s="3">
        <v>8</v>
      </c>
    </row>
    <row r="3206" spans="1:22" x14ac:dyDescent="0.3">
      <c r="A3206" s="2" t="s">
        <v>6879</v>
      </c>
      <c r="B3206" s="10">
        <v>44573</v>
      </c>
      <c r="C3206" s="22">
        <v>44573</v>
      </c>
      <c r="D3206" s="1" t="s">
        <v>6880</v>
      </c>
      <c r="E3206" s="1" t="s">
        <v>1211</v>
      </c>
      <c r="F3206" s="1">
        <v>47</v>
      </c>
      <c r="G3206" s="1" t="s">
        <v>34</v>
      </c>
      <c r="H3206" s="1" t="s">
        <v>74</v>
      </c>
      <c r="I3206" s="1" t="s">
        <v>136</v>
      </c>
      <c r="J3206" s="1" t="s">
        <v>37</v>
      </c>
      <c r="K3206" s="1" t="s">
        <v>231</v>
      </c>
      <c r="L3206" s="1">
        <v>7</v>
      </c>
      <c r="M3206" s="13">
        <v>183.5</v>
      </c>
      <c r="N3206" s="15">
        <v>0.06</v>
      </c>
      <c r="O3206" s="13">
        <v>941.96</v>
      </c>
      <c r="P3206" s="13">
        <v>329.15</v>
      </c>
      <c r="Q3206" s="13">
        <v>81.3</v>
      </c>
      <c r="R3206" s="1" t="s">
        <v>64</v>
      </c>
      <c r="S3206" s="1">
        <v>5</v>
      </c>
      <c r="T3206" s="1" t="b">
        <v>0</v>
      </c>
      <c r="U3206" s="1" t="s">
        <v>39</v>
      </c>
      <c r="V3206" s="3">
        <v>7</v>
      </c>
    </row>
    <row r="3207" spans="1:22" x14ac:dyDescent="0.3">
      <c r="A3207" s="2" t="s">
        <v>6881</v>
      </c>
      <c r="B3207" s="10">
        <v>45581</v>
      </c>
      <c r="C3207" s="22">
        <v>45581</v>
      </c>
      <c r="D3207" s="1" t="s">
        <v>6882</v>
      </c>
      <c r="E3207" s="1" t="s">
        <v>789</v>
      </c>
      <c r="F3207" s="1">
        <v>34</v>
      </c>
      <c r="G3207" s="1" t="s">
        <v>34</v>
      </c>
      <c r="H3207" s="1" t="s">
        <v>35</v>
      </c>
      <c r="I3207" s="1" t="s">
        <v>36</v>
      </c>
      <c r="J3207" s="1" t="s">
        <v>37</v>
      </c>
      <c r="K3207" s="1" t="s">
        <v>182</v>
      </c>
      <c r="L3207" s="1">
        <v>8</v>
      </c>
      <c r="M3207" s="13">
        <v>1325.92</v>
      </c>
      <c r="N3207" s="15">
        <v>0.36</v>
      </c>
      <c r="O3207" s="13">
        <v>7101.14</v>
      </c>
      <c r="P3207" s="13">
        <v>3668.15</v>
      </c>
      <c r="Q3207" s="13">
        <v>75.44</v>
      </c>
      <c r="R3207" s="1" t="s">
        <v>70</v>
      </c>
      <c r="S3207" s="1">
        <v>2</v>
      </c>
      <c r="T3207" s="1" t="b">
        <v>0</v>
      </c>
      <c r="U3207" s="1" t="s">
        <v>39</v>
      </c>
      <c r="V3207" s="3">
        <v>10</v>
      </c>
    </row>
    <row r="3208" spans="1:22" x14ac:dyDescent="0.3">
      <c r="A3208" s="2" t="s">
        <v>6883</v>
      </c>
      <c r="B3208" s="10">
        <v>45297</v>
      </c>
      <c r="C3208" s="22">
        <v>45297</v>
      </c>
      <c r="D3208" s="1" t="s">
        <v>6884</v>
      </c>
      <c r="E3208" s="1" t="s">
        <v>1782</v>
      </c>
      <c r="F3208" s="1">
        <v>12</v>
      </c>
      <c r="G3208" s="1" t="s">
        <v>34</v>
      </c>
      <c r="H3208" s="1" t="s">
        <v>25</v>
      </c>
      <c r="I3208" s="1" t="s">
        <v>170</v>
      </c>
      <c r="J3208" s="1" t="s">
        <v>44</v>
      </c>
      <c r="K3208" s="1" t="s">
        <v>45</v>
      </c>
      <c r="L3208" s="1">
        <v>1</v>
      </c>
      <c r="M3208" s="13">
        <v>17054.150000000001</v>
      </c>
      <c r="N3208" s="15">
        <v>0.05</v>
      </c>
      <c r="O3208" s="13">
        <v>19278.169999999998</v>
      </c>
      <c r="P3208" s="13">
        <v>5809.8</v>
      </c>
      <c r="Q3208" s="13">
        <v>62.17</v>
      </c>
      <c r="R3208" s="1" t="s">
        <v>64</v>
      </c>
      <c r="S3208" s="1">
        <v>3</v>
      </c>
      <c r="T3208" s="1" t="b">
        <v>0</v>
      </c>
      <c r="U3208" s="1" t="s">
        <v>197</v>
      </c>
      <c r="V3208" s="3">
        <v>2</v>
      </c>
    </row>
    <row r="3209" spans="1:22" x14ac:dyDescent="0.3">
      <c r="A3209" s="2" t="s">
        <v>6885</v>
      </c>
      <c r="B3209" s="10">
        <v>43854</v>
      </c>
      <c r="C3209" s="22">
        <v>43854</v>
      </c>
      <c r="D3209" s="1" t="s">
        <v>6886</v>
      </c>
      <c r="E3209" s="1" t="s">
        <v>243</v>
      </c>
      <c r="F3209" s="1">
        <v>38</v>
      </c>
      <c r="G3209" s="1" t="s">
        <v>34</v>
      </c>
      <c r="H3209" s="1" t="s">
        <v>25</v>
      </c>
      <c r="I3209" s="1" t="s">
        <v>69</v>
      </c>
      <c r="J3209" s="1" t="s">
        <v>146</v>
      </c>
      <c r="K3209" s="1" t="s">
        <v>217</v>
      </c>
      <c r="L3209" s="1">
        <v>7</v>
      </c>
      <c r="M3209" s="13">
        <v>11809.1</v>
      </c>
      <c r="N3209" s="15">
        <v>0.37</v>
      </c>
      <c r="O3209" s="13">
        <v>39451.25</v>
      </c>
      <c r="P3209" s="13">
        <v>8489.59</v>
      </c>
      <c r="Q3209" s="13">
        <v>52.58</v>
      </c>
      <c r="R3209" s="1" t="s">
        <v>78</v>
      </c>
      <c r="S3209" s="1">
        <v>1</v>
      </c>
      <c r="T3209" s="1" t="b">
        <v>1</v>
      </c>
      <c r="U3209" s="1" t="s">
        <v>30</v>
      </c>
      <c r="V3209" s="3">
        <v>5</v>
      </c>
    </row>
    <row r="3210" spans="1:22" x14ac:dyDescent="0.3">
      <c r="A3210" s="2" t="s">
        <v>6887</v>
      </c>
      <c r="B3210" s="10">
        <v>44377</v>
      </c>
      <c r="C3210" s="22">
        <v>44377</v>
      </c>
      <c r="D3210" s="1" t="s">
        <v>6888</v>
      </c>
      <c r="E3210" s="1" t="s">
        <v>1526</v>
      </c>
      <c r="F3210" s="1">
        <v>55</v>
      </c>
      <c r="G3210" s="1" t="s">
        <v>68</v>
      </c>
      <c r="H3210" s="1" t="s">
        <v>35</v>
      </c>
      <c r="I3210" s="1" t="s">
        <v>36</v>
      </c>
      <c r="J3210" s="1" t="s">
        <v>27</v>
      </c>
      <c r="K3210" s="1" t="s">
        <v>97</v>
      </c>
      <c r="L3210" s="1">
        <v>1</v>
      </c>
      <c r="M3210" s="13">
        <v>92.07</v>
      </c>
      <c r="N3210" s="15">
        <v>0.24</v>
      </c>
      <c r="O3210" s="13">
        <v>92.74</v>
      </c>
      <c r="P3210" s="13">
        <v>5.66</v>
      </c>
      <c r="Q3210" s="13">
        <v>66.61</v>
      </c>
      <c r="R3210" s="1" t="s">
        <v>78</v>
      </c>
      <c r="S3210" s="1">
        <v>4</v>
      </c>
      <c r="T3210" s="1" t="b">
        <v>1</v>
      </c>
      <c r="U3210" s="1" t="s">
        <v>30</v>
      </c>
      <c r="V3210" s="3">
        <v>4</v>
      </c>
    </row>
    <row r="3211" spans="1:22" x14ac:dyDescent="0.3">
      <c r="A3211" s="2" t="s">
        <v>6889</v>
      </c>
      <c r="B3211" s="10">
        <v>45579</v>
      </c>
      <c r="C3211" s="22">
        <v>45579</v>
      </c>
      <c r="D3211" s="1" t="s">
        <v>6890</v>
      </c>
      <c r="E3211" s="1" t="s">
        <v>2214</v>
      </c>
      <c r="F3211" s="1">
        <v>72</v>
      </c>
      <c r="G3211" s="1" t="s">
        <v>34</v>
      </c>
      <c r="H3211" s="1" t="s">
        <v>25</v>
      </c>
      <c r="I3211" s="1" t="s">
        <v>170</v>
      </c>
      <c r="J3211" s="1" t="s">
        <v>62</v>
      </c>
      <c r="K3211" s="1" t="s">
        <v>570</v>
      </c>
      <c r="L3211" s="1">
        <v>8</v>
      </c>
      <c r="M3211" s="13">
        <v>953.45</v>
      </c>
      <c r="N3211" s="15">
        <v>0.12</v>
      </c>
      <c r="O3211" s="13">
        <v>6937.28</v>
      </c>
      <c r="P3211" s="13">
        <v>3146.46</v>
      </c>
      <c r="Q3211" s="13">
        <v>74.989999999999995</v>
      </c>
      <c r="R3211" s="1" t="s">
        <v>51</v>
      </c>
      <c r="S3211" s="1">
        <v>1</v>
      </c>
      <c r="T3211" s="1" t="b">
        <v>0</v>
      </c>
      <c r="U3211" s="1" t="s">
        <v>39</v>
      </c>
      <c r="V3211" s="3">
        <v>9</v>
      </c>
    </row>
    <row r="3212" spans="1:22" x14ac:dyDescent="0.3">
      <c r="A3212" s="2" t="s">
        <v>6891</v>
      </c>
      <c r="B3212" s="10">
        <v>45202</v>
      </c>
      <c r="C3212" s="22">
        <v>45202</v>
      </c>
      <c r="D3212" s="1" t="s">
        <v>6892</v>
      </c>
      <c r="E3212" s="1" t="s">
        <v>540</v>
      </c>
      <c r="F3212" s="1">
        <v>39</v>
      </c>
      <c r="G3212" s="1" t="s">
        <v>68</v>
      </c>
      <c r="H3212" s="1" t="s">
        <v>82</v>
      </c>
      <c r="I3212" s="1" t="s">
        <v>83</v>
      </c>
      <c r="J3212" s="1" t="s">
        <v>44</v>
      </c>
      <c r="K3212" s="1" t="s">
        <v>117</v>
      </c>
      <c r="L3212" s="1">
        <v>3</v>
      </c>
      <c r="M3212" s="13">
        <v>22116.52</v>
      </c>
      <c r="N3212" s="15">
        <v>0.14000000000000001</v>
      </c>
      <c r="O3212" s="13">
        <v>56634.239999999998</v>
      </c>
      <c r="P3212" s="13">
        <v>15322.58</v>
      </c>
      <c r="Q3212" s="13">
        <v>80.03</v>
      </c>
      <c r="R3212" s="1" t="s">
        <v>51</v>
      </c>
      <c r="S3212" s="1">
        <v>2</v>
      </c>
      <c r="T3212" s="1" t="b">
        <v>1</v>
      </c>
      <c r="U3212" s="1" t="s">
        <v>30</v>
      </c>
      <c r="V3212" s="3">
        <v>6</v>
      </c>
    </row>
    <row r="3213" spans="1:22" x14ac:dyDescent="0.3">
      <c r="A3213" s="2" t="s">
        <v>6893</v>
      </c>
      <c r="B3213" s="10">
        <v>44859</v>
      </c>
      <c r="C3213" s="22">
        <v>44859</v>
      </c>
      <c r="D3213" s="1" t="s">
        <v>6894</v>
      </c>
      <c r="E3213" s="1" t="s">
        <v>508</v>
      </c>
      <c r="F3213" s="1">
        <v>37</v>
      </c>
      <c r="G3213" s="1" t="s">
        <v>68</v>
      </c>
      <c r="H3213" s="1" t="s">
        <v>82</v>
      </c>
      <c r="I3213" s="1" t="s">
        <v>293</v>
      </c>
      <c r="J3213" s="1" t="s">
        <v>62</v>
      </c>
      <c r="K3213" s="1" t="s">
        <v>570</v>
      </c>
      <c r="L3213" s="1">
        <v>3</v>
      </c>
      <c r="M3213" s="13">
        <v>641.95000000000005</v>
      </c>
      <c r="N3213" s="15">
        <v>0.28999999999999998</v>
      </c>
      <c r="O3213" s="13">
        <v>1563.94</v>
      </c>
      <c r="P3213" s="13">
        <v>516.36</v>
      </c>
      <c r="Q3213" s="13">
        <v>78.510000000000005</v>
      </c>
      <c r="R3213" s="1" t="s">
        <v>78</v>
      </c>
      <c r="S3213" s="1">
        <v>1</v>
      </c>
      <c r="T3213" s="1" t="b">
        <v>0</v>
      </c>
      <c r="U3213" s="1" t="s">
        <v>39</v>
      </c>
      <c r="V3213" s="3">
        <v>8</v>
      </c>
    </row>
    <row r="3214" spans="1:22" x14ac:dyDescent="0.3">
      <c r="A3214" s="2" t="s">
        <v>6895</v>
      </c>
      <c r="B3214" s="10">
        <v>44217</v>
      </c>
      <c r="C3214" s="22">
        <v>44217</v>
      </c>
      <c r="D3214" s="1" t="s">
        <v>6896</v>
      </c>
      <c r="E3214" s="1" t="s">
        <v>1294</v>
      </c>
      <c r="F3214" s="1">
        <v>42</v>
      </c>
      <c r="G3214" s="1" t="s">
        <v>68</v>
      </c>
      <c r="H3214" s="1" t="s">
        <v>25</v>
      </c>
      <c r="I3214" s="1" t="s">
        <v>55</v>
      </c>
      <c r="J3214" s="1" t="s">
        <v>127</v>
      </c>
      <c r="K3214" s="1" t="s">
        <v>196</v>
      </c>
      <c r="L3214" s="1">
        <v>7</v>
      </c>
      <c r="M3214" s="13">
        <v>73688.740000000005</v>
      </c>
      <c r="N3214" s="15">
        <v>0.36</v>
      </c>
      <c r="O3214" s="13">
        <v>260206.81</v>
      </c>
      <c r="P3214" s="13">
        <v>15758.03</v>
      </c>
      <c r="Q3214" s="13">
        <v>63.44</v>
      </c>
      <c r="R3214" s="1" t="s">
        <v>57</v>
      </c>
      <c r="S3214" s="1">
        <v>3</v>
      </c>
      <c r="T3214" s="1" t="b">
        <v>0</v>
      </c>
      <c r="U3214" s="1" t="s">
        <v>39</v>
      </c>
      <c r="V3214" s="3">
        <v>7</v>
      </c>
    </row>
    <row r="3215" spans="1:22" x14ac:dyDescent="0.3">
      <c r="A3215" s="2" t="s">
        <v>6897</v>
      </c>
      <c r="B3215" s="10">
        <v>44880</v>
      </c>
      <c r="C3215" s="22">
        <v>44880</v>
      </c>
      <c r="D3215" s="1" t="s">
        <v>6898</v>
      </c>
      <c r="E3215" s="1" t="s">
        <v>781</v>
      </c>
      <c r="F3215" s="1">
        <v>14</v>
      </c>
      <c r="G3215" s="1" t="s">
        <v>24</v>
      </c>
      <c r="H3215" s="1" t="s">
        <v>111</v>
      </c>
      <c r="I3215" s="1" t="s">
        <v>112</v>
      </c>
      <c r="J3215" s="1" t="s">
        <v>27</v>
      </c>
      <c r="K3215" s="1" t="s">
        <v>400</v>
      </c>
      <c r="L3215" s="1">
        <v>10</v>
      </c>
      <c r="M3215" s="13">
        <v>90.88</v>
      </c>
      <c r="N3215" s="15">
        <v>0.15</v>
      </c>
      <c r="O3215" s="13">
        <v>727.71</v>
      </c>
      <c r="P3215" s="13">
        <v>64.16</v>
      </c>
      <c r="Q3215" s="13">
        <v>43</v>
      </c>
      <c r="R3215" s="1" t="s">
        <v>57</v>
      </c>
      <c r="S3215" s="1">
        <v>2</v>
      </c>
      <c r="T3215" s="1" t="b">
        <v>0</v>
      </c>
      <c r="U3215" s="1" t="s">
        <v>39</v>
      </c>
      <c r="V3215" s="3">
        <v>3</v>
      </c>
    </row>
    <row r="3216" spans="1:22" x14ac:dyDescent="0.3">
      <c r="A3216" s="2" t="s">
        <v>6899</v>
      </c>
      <c r="B3216" s="10">
        <v>45546</v>
      </c>
      <c r="C3216" s="22">
        <v>45546</v>
      </c>
      <c r="D3216" s="1" t="s">
        <v>6900</v>
      </c>
      <c r="E3216" s="1" t="s">
        <v>523</v>
      </c>
      <c r="F3216" s="1">
        <v>30</v>
      </c>
      <c r="G3216" s="1" t="s">
        <v>24</v>
      </c>
      <c r="H3216" s="1" t="s">
        <v>35</v>
      </c>
      <c r="I3216" s="1" t="s">
        <v>49</v>
      </c>
      <c r="J3216" s="1" t="s">
        <v>76</v>
      </c>
      <c r="K3216" s="1" t="s">
        <v>77</v>
      </c>
      <c r="L3216" s="1">
        <v>5</v>
      </c>
      <c r="M3216" s="13">
        <v>1833.43</v>
      </c>
      <c r="N3216" s="15">
        <v>0.25</v>
      </c>
      <c r="O3216" s="13">
        <v>9194.56</v>
      </c>
      <c r="P3216" s="13">
        <v>2732.97</v>
      </c>
      <c r="Q3216" s="13">
        <v>67.540000000000006</v>
      </c>
      <c r="R3216" s="1" t="s">
        <v>51</v>
      </c>
      <c r="S3216" s="1">
        <v>2</v>
      </c>
      <c r="T3216" s="1" t="b">
        <v>1</v>
      </c>
      <c r="U3216" s="1" t="s">
        <v>30</v>
      </c>
      <c r="V3216" s="3">
        <v>2</v>
      </c>
    </row>
    <row r="3217" spans="1:22" x14ac:dyDescent="0.3">
      <c r="A3217" s="2" t="s">
        <v>6901</v>
      </c>
      <c r="B3217" s="10">
        <v>45138</v>
      </c>
      <c r="C3217" s="22">
        <v>45138</v>
      </c>
      <c r="D3217" s="1" t="s">
        <v>6902</v>
      </c>
      <c r="E3217" s="1" t="s">
        <v>743</v>
      </c>
      <c r="F3217" s="1">
        <v>49</v>
      </c>
      <c r="G3217" s="1" t="s">
        <v>34</v>
      </c>
      <c r="H3217" s="1" t="s">
        <v>74</v>
      </c>
      <c r="I3217" s="1" t="s">
        <v>101</v>
      </c>
      <c r="J3217" s="1" t="s">
        <v>44</v>
      </c>
      <c r="K3217" s="1" t="s">
        <v>93</v>
      </c>
      <c r="L3217" s="1">
        <v>4</v>
      </c>
      <c r="M3217" s="13">
        <v>33460.25</v>
      </c>
      <c r="N3217" s="15">
        <v>0.13</v>
      </c>
      <c r="O3217" s="13">
        <v>195087.5</v>
      </c>
      <c r="P3217" s="13">
        <v>63064.44</v>
      </c>
      <c r="Q3217" s="13">
        <v>40.01</v>
      </c>
      <c r="R3217" s="1" t="s">
        <v>78</v>
      </c>
      <c r="S3217" s="1">
        <v>5</v>
      </c>
      <c r="T3217" s="1" t="b">
        <v>0</v>
      </c>
      <c r="U3217" s="1" t="s">
        <v>39</v>
      </c>
      <c r="V3217" s="3">
        <v>5</v>
      </c>
    </row>
    <row r="3218" spans="1:22" x14ac:dyDescent="0.3">
      <c r="A3218" s="2" t="s">
        <v>6903</v>
      </c>
      <c r="B3218" s="10">
        <v>44499</v>
      </c>
      <c r="C3218" s="22">
        <v>44499</v>
      </c>
      <c r="D3218" s="1" t="s">
        <v>6904</v>
      </c>
      <c r="E3218" s="1" t="s">
        <v>513</v>
      </c>
      <c r="F3218" s="1">
        <v>30</v>
      </c>
      <c r="G3218" s="1" t="s">
        <v>24</v>
      </c>
      <c r="H3218" s="1" t="s">
        <v>25</v>
      </c>
      <c r="I3218" s="1" t="s">
        <v>69</v>
      </c>
      <c r="J3218" s="1" t="s">
        <v>146</v>
      </c>
      <c r="K3218" s="1" t="s">
        <v>147</v>
      </c>
      <c r="L3218" s="1">
        <v>1</v>
      </c>
      <c r="M3218" s="13">
        <v>9205.69</v>
      </c>
      <c r="N3218" s="15">
        <v>0.13</v>
      </c>
      <c r="O3218" s="13">
        <v>7849.73</v>
      </c>
      <c r="P3218" s="13">
        <v>1902.62</v>
      </c>
      <c r="Q3218" s="13">
        <v>71.069999999999993</v>
      </c>
      <c r="R3218" s="1" t="s">
        <v>29</v>
      </c>
      <c r="S3218" s="1">
        <v>1</v>
      </c>
      <c r="T3218" s="1" t="b">
        <v>0</v>
      </c>
      <c r="U3218" s="1" t="s">
        <v>39</v>
      </c>
      <c r="V3218" s="3">
        <v>5</v>
      </c>
    </row>
    <row r="3219" spans="1:22" x14ac:dyDescent="0.3">
      <c r="A3219" s="2" t="s">
        <v>6905</v>
      </c>
      <c r="B3219" s="10">
        <v>44141</v>
      </c>
      <c r="C3219" s="22">
        <v>44141</v>
      </c>
      <c r="D3219" s="1" t="s">
        <v>6906</v>
      </c>
      <c r="E3219" s="1" t="s">
        <v>940</v>
      </c>
      <c r="F3219" s="1">
        <v>21</v>
      </c>
      <c r="G3219" s="1" t="s">
        <v>34</v>
      </c>
      <c r="H3219" s="1" t="s">
        <v>25</v>
      </c>
      <c r="I3219" s="1" t="s">
        <v>55</v>
      </c>
      <c r="J3219" s="1" t="s">
        <v>27</v>
      </c>
      <c r="K3219" s="1" t="s">
        <v>400</v>
      </c>
      <c r="L3219" s="1">
        <v>8</v>
      </c>
      <c r="M3219" s="13">
        <v>483.25</v>
      </c>
      <c r="N3219" s="15">
        <v>0.06</v>
      </c>
      <c r="O3219" s="13">
        <v>2795.81</v>
      </c>
      <c r="P3219" s="13">
        <v>207.65</v>
      </c>
      <c r="Q3219" s="13">
        <v>28.67</v>
      </c>
      <c r="R3219" s="1" t="s">
        <v>78</v>
      </c>
      <c r="S3219" s="1">
        <v>3</v>
      </c>
      <c r="T3219" s="1" t="b">
        <v>0</v>
      </c>
      <c r="U3219" s="1" t="s">
        <v>39</v>
      </c>
      <c r="V3219" s="3">
        <v>2</v>
      </c>
    </row>
    <row r="3220" spans="1:22" x14ac:dyDescent="0.3">
      <c r="A3220" s="2" t="s">
        <v>6907</v>
      </c>
      <c r="B3220" s="10">
        <v>44076</v>
      </c>
      <c r="C3220" s="22">
        <v>44076</v>
      </c>
      <c r="D3220" s="1" t="s">
        <v>6908</v>
      </c>
      <c r="E3220" s="1" t="s">
        <v>900</v>
      </c>
      <c r="F3220" s="1">
        <v>15</v>
      </c>
      <c r="G3220" s="1" t="s">
        <v>24</v>
      </c>
      <c r="H3220" s="1" t="s">
        <v>74</v>
      </c>
      <c r="I3220" s="1" t="s">
        <v>101</v>
      </c>
      <c r="J3220" s="1" t="s">
        <v>27</v>
      </c>
      <c r="K3220" s="1" t="s">
        <v>97</v>
      </c>
      <c r="L3220" s="1">
        <v>3</v>
      </c>
      <c r="M3220" s="13">
        <v>101.86</v>
      </c>
      <c r="N3220" s="15">
        <v>0.13</v>
      </c>
      <c r="O3220" s="13">
        <v>278.89999999999998</v>
      </c>
      <c r="P3220" s="13">
        <v>25.03</v>
      </c>
      <c r="Q3220" s="13">
        <v>47.2</v>
      </c>
      <c r="R3220" s="1" t="s">
        <v>57</v>
      </c>
      <c r="S3220" s="1">
        <v>5</v>
      </c>
      <c r="T3220" s="1" t="b">
        <v>0</v>
      </c>
      <c r="U3220" s="1" t="s">
        <v>39</v>
      </c>
      <c r="V3220" s="3">
        <v>7</v>
      </c>
    </row>
    <row r="3221" spans="1:22" x14ac:dyDescent="0.3">
      <c r="A3221" s="2" t="s">
        <v>6909</v>
      </c>
      <c r="B3221" s="10">
        <v>43885</v>
      </c>
      <c r="C3221" s="22">
        <v>43885</v>
      </c>
      <c r="D3221" s="1" t="s">
        <v>6910</v>
      </c>
      <c r="E3221" s="1" t="s">
        <v>200</v>
      </c>
      <c r="F3221" s="1">
        <v>43</v>
      </c>
      <c r="G3221" s="1" t="s">
        <v>68</v>
      </c>
      <c r="H3221" s="1" t="s">
        <v>111</v>
      </c>
      <c r="I3221" s="1" t="s">
        <v>141</v>
      </c>
      <c r="J3221" s="1" t="s">
        <v>62</v>
      </c>
      <c r="K3221" s="1" t="s">
        <v>151</v>
      </c>
      <c r="L3221" s="1">
        <v>5</v>
      </c>
      <c r="M3221" s="13">
        <v>1179.07</v>
      </c>
      <c r="N3221" s="15">
        <v>0.24</v>
      </c>
      <c r="O3221" s="13">
        <v>807.42</v>
      </c>
      <c r="P3221" s="13">
        <v>455.49</v>
      </c>
      <c r="Q3221" s="13">
        <v>77.92</v>
      </c>
      <c r="R3221" s="1" t="s">
        <v>64</v>
      </c>
      <c r="S3221" s="1">
        <v>1</v>
      </c>
      <c r="T3221" s="1" t="b">
        <v>0</v>
      </c>
      <c r="U3221" s="1" t="s">
        <v>84</v>
      </c>
      <c r="V3221" s="3">
        <v>3</v>
      </c>
    </row>
    <row r="3222" spans="1:22" x14ac:dyDescent="0.3">
      <c r="A3222" s="2" t="s">
        <v>6911</v>
      </c>
      <c r="B3222" s="10">
        <v>44491</v>
      </c>
      <c r="C3222" s="22">
        <v>44491</v>
      </c>
      <c r="D3222" s="1" t="s">
        <v>6912</v>
      </c>
      <c r="E3222" s="1" t="s">
        <v>1862</v>
      </c>
      <c r="F3222" s="1">
        <v>25</v>
      </c>
      <c r="G3222" s="1" t="s">
        <v>24</v>
      </c>
      <c r="H3222" s="1" t="s">
        <v>35</v>
      </c>
      <c r="I3222" s="1" t="s">
        <v>36</v>
      </c>
      <c r="J3222" s="1" t="s">
        <v>146</v>
      </c>
      <c r="K3222" s="1" t="s">
        <v>484</v>
      </c>
      <c r="L3222" s="1">
        <v>4</v>
      </c>
      <c r="M3222" s="13">
        <v>9927.75</v>
      </c>
      <c r="N3222" s="15">
        <v>0.01</v>
      </c>
      <c r="O3222" s="13">
        <v>30133.8</v>
      </c>
      <c r="P3222" s="13">
        <v>8083.5</v>
      </c>
      <c r="Q3222" s="13">
        <v>86.33</v>
      </c>
      <c r="R3222" s="1" t="s">
        <v>64</v>
      </c>
      <c r="S3222" s="1">
        <v>1</v>
      </c>
      <c r="T3222" s="1" t="b">
        <v>0</v>
      </c>
      <c r="U3222" s="1" t="s">
        <v>39</v>
      </c>
      <c r="V3222" s="3">
        <v>5</v>
      </c>
    </row>
    <row r="3223" spans="1:22" x14ac:dyDescent="0.3">
      <c r="A3223" s="2" t="s">
        <v>6913</v>
      </c>
      <c r="B3223" s="10">
        <v>44871</v>
      </c>
      <c r="C3223" s="22">
        <v>44871</v>
      </c>
      <c r="D3223" s="1" t="s">
        <v>6914</v>
      </c>
      <c r="E3223" s="1" t="s">
        <v>412</v>
      </c>
      <c r="F3223" s="1">
        <v>14</v>
      </c>
      <c r="G3223" s="1" t="s">
        <v>24</v>
      </c>
      <c r="H3223" s="1" t="s">
        <v>111</v>
      </c>
      <c r="I3223" s="1" t="s">
        <v>330</v>
      </c>
      <c r="J3223" s="1" t="s">
        <v>62</v>
      </c>
      <c r="K3223" s="1" t="s">
        <v>151</v>
      </c>
      <c r="L3223" s="1">
        <v>6</v>
      </c>
      <c r="M3223" s="13">
        <v>1290.45</v>
      </c>
      <c r="N3223" s="15">
        <v>0.14000000000000001</v>
      </c>
      <c r="O3223" s="13">
        <v>6054.97</v>
      </c>
      <c r="P3223" s="13">
        <v>2015.44</v>
      </c>
      <c r="Q3223" s="13">
        <v>72.180000000000007</v>
      </c>
      <c r="R3223" s="1" t="s">
        <v>29</v>
      </c>
      <c r="S3223" s="1">
        <v>3</v>
      </c>
      <c r="T3223" s="1" t="b">
        <v>0</v>
      </c>
      <c r="U3223" s="1" t="s">
        <v>39</v>
      </c>
      <c r="V3223" s="3">
        <v>7</v>
      </c>
    </row>
    <row r="3224" spans="1:22" x14ac:dyDescent="0.3">
      <c r="A3224" s="2" t="s">
        <v>6915</v>
      </c>
      <c r="B3224" s="10">
        <v>44044</v>
      </c>
      <c r="C3224" s="22">
        <v>44044</v>
      </c>
      <c r="D3224" s="1" t="s">
        <v>6916</v>
      </c>
      <c r="E3224" s="1" t="s">
        <v>540</v>
      </c>
      <c r="F3224" s="1">
        <v>47</v>
      </c>
      <c r="G3224" s="1" t="s">
        <v>68</v>
      </c>
      <c r="H3224" s="1" t="s">
        <v>111</v>
      </c>
      <c r="I3224" s="1" t="s">
        <v>330</v>
      </c>
      <c r="J3224" s="1" t="s">
        <v>62</v>
      </c>
      <c r="K3224" s="1" t="s">
        <v>266</v>
      </c>
      <c r="L3224" s="1">
        <v>1</v>
      </c>
      <c r="M3224" s="13">
        <v>658.73</v>
      </c>
      <c r="N3224" s="15">
        <v>0.32</v>
      </c>
      <c r="O3224" s="13">
        <v>486.04</v>
      </c>
      <c r="P3224" s="13">
        <v>224.09</v>
      </c>
      <c r="Q3224" s="13">
        <v>56.27</v>
      </c>
      <c r="R3224" s="1" t="s">
        <v>57</v>
      </c>
      <c r="S3224" s="1">
        <v>1</v>
      </c>
      <c r="T3224" s="1" t="b">
        <v>0</v>
      </c>
      <c r="U3224" s="1" t="s">
        <v>84</v>
      </c>
      <c r="V3224" s="3">
        <v>10</v>
      </c>
    </row>
    <row r="3225" spans="1:22" x14ac:dyDescent="0.3">
      <c r="A3225" s="2" t="s">
        <v>6917</v>
      </c>
      <c r="B3225" s="10">
        <v>45247</v>
      </c>
      <c r="C3225" s="22">
        <v>45247</v>
      </c>
      <c r="D3225" s="1" t="s">
        <v>6918</v>
      </c>
      <c r="E3225" s="1" t="s">
        <v>2367</v>
      </c>
      <c r="F3225" s="1">
        <v>35</v>
      </c>
      <c r="G3225" s="1" t="s">
        <v>68</v>
      </c>
      <c r="H3225" s="1" t="s">
        <v>111</v>
      </c>
      <c r="I3225" s="1" t="s">
        <v>330</v>
      </c>
      <c r="J3225" s="1" t="s">
        <v>37</v>
      </c>
      <c r="K3225" s="1" t="s">
        <v>182</v>
      </c>
      <c r="L3225" s="1">
        <v>5</v>
      </c>
      <c r="M3225" s="13">
        <v>2164.5</v>
      </c>
      <c r="N3225" s="15">
        <v>0.36</v>
      </c>
      <c r="O3225" s="13">
        <v>6849.69</v>
      </c>
      <c r="P3225" s="13">
        <v>3108.13</v>
      </c>
      <c r="Q3225" s="13">
        <v>89.26</v>
      </c>
      <c r="R3225" s="1" t="s">
        <v>51</v>
      </c>
      <c r="S3225" s="1">
        <v>1</v>
      </c>
      <c r="T3225" s="1" t="b">
        <v>0</v>
      </c>
      <c r="U3225" s="1" t="s">
        <v>39</v>
      </c>
      <c r="V3225" s="3">
        <v>5</v>
      </c>
    </row>
    <row r="3226" spans="1:22" x14ac:dyDescent="0.3">
      <c r="A3226" s="2" t="s">
        <v>6919</v>
      </c>
      <c r="B3226" s="10">
        <v>43934</v>
      </c>
      <c r="C3226" s="22">
        <v>43934</v>
      </c>
      <c r="D3226" s="1" t="s">
        <v>6920</v>
      </c>
      <c r="E3226" s="1" t="s">
        <v>988</v>
      </c>
      <c r="F3226" s="1">
        <v>35</v>
      </c>
      <c r="G3226" s="1" t="s">
        <v>24</v>
      </c>
      <c r="H3226" s="1" t="s">
        <v>74</v>
      </c>
      <c r="I3226" s="1" t="s">
        <v>75</v>
      </c>
      <c r="J3226" s="1" t="s">
        <v>62</v>
      </c>
      <c r="K3226" s="1" t="s">
        <v>63</v>
      </c>
      <c r="L3226" s="1">
        <v>5</v>
      </c>
      <c r="M3226" s="13">
        <v>966.73</v>
      </c>
      <c r="N3226" s="15">
        <v>0.32</v>
      </c>
      <c r="O3226" s="13">
        <v>4041.53</v>
      </c>
      <c r="P3226" s="13">
        <v>1436.4</v>
      </c>
      <c r="Q3226" s="13">
        <v>27.61</v>
      </c>
      <c r="R3226" s="1" t="s">
        <v>51</v>
      </c>
      <c r="S3226" s="1">
        <v>5</v>
      </c>
      <c r="T3226" s="1" t="b">
        <v>0</v>
      </c>
      <c r="U3226" s="1" t="s">
        <v>137</v>
      </c>
      <c r="V3226" s="3">
        <v>4</v>
      </c>
    </row>
    <row r="3227" spans="1:22" x14ac:dyDescent="0.3">
      <c r="A3227" s="2" t="s">
        <v>6921</v>
      </c>
      <c r="B3227" s="10">
        <v>44798</v>
      </c>
      <c r="C3227" s="22">
        <v>44798</v>
      </c>
      <c r="D3227" s="1" t="s">
        <v>6922</v>
      </c>
      <c r="E3227" s="1" t="s">
        <v>575</v>
      </c>
      <c r="F3227" s="1">
        <v>42</v>
      </c>
      <c r="G3227" s="1" t="s">
        <v>68</v>
      </c>
      <c r="H3227" s="1" t="s">
        <v>111</v>
      </c>
      <c r="I3227" s="1" t="s">
        <v>112</v>
      </c>
      <c r="J3227" s="1" t="s">
        <v>146</v>
      </c>
      <c r="K3227" s="1" t="s">
        <v>484</v>
      </c>
      <c r="L3227" s="1">
        <v>3</v>
      </c>
      <c r="M3227" s="13">
        <v>11700.18</v>
      </c>
      <c r="N3227" s="15">
        <v>0.34</v>
      </c>
      <c r="O3227" s="13">
        <v>31335.42</v>
      </c>
      <c r="P3227" s="13">
        <v>7211.28</v>
      </c>
      <c r="Q3227" s="13">
        <v>61.57</v>
      </c>
      <c r="R3227" s="1" t="s">
        <v>64</v>
      </c>
      <c r="S3227" s="1">
        <v>2</v>
      </c>
      <c r="T3227" s="1" t="b">
        <v>0</v>
      </c>
      <c r="U3227" s="1" t="s">
        <v>39</v>
      </c>
      <c r="V3227" s="3">
        <v>4</v>
      </c>
    </row>
    <row r="3228" spans="1:22" x14ac:dyDescent="0.3">
      <c r="A3228" s="2" t="s">
        <v>6923</v>
      </c>
      <c r="B3228" s="10">
        <v>44632</v>
      </c>
      <c r="C3228" s="22">
        <v>44632</v>
      </c>
      <c r="D3228" s="1" t="s">
        <v>6924</v>
      </c>
      <c r="E3228" s="1" t="s">
        <v>2481</v>
      </c>
      <c r="F3228" s="1">
        <v>37</v>
      </c>
      <c r="G3228" s="1" t="s">
        <v>24</v>
      </c>
      <c r="H3228" s="1" t="s">
        <v>111</v>
      </c>
      <c r="I3228" s="1" t="s">
        <v>330</v>
      </c>
      <c r="J3228" s="1" t="s">
        <v>76</v>
      </c>
      <c r="K3228" s="1" t="s">
        <v>77</v>
      </c>
      <c r="L3228" s="1">
        <v>2</v>
      </c>
      <c r="M3228" s="13">
        <v>3062.06</v>
      </c>
      <c r="N3228" s="15">
        <v>0</v>
      </c>
      <c r="O3228" s="13">
        <v>6405.51</v>
      </c>
      <c r="P3228" s="13">
        <v>1929.46</v>
      </c>
      <c r="Q3228" s="13">
        <v>60.97</v>
      </c>
      <c r="R3228" s="1" t="s">
        <v>70</v>
      </c>
      <c r="S3228" s="1">
        <v>4</v>
      </c>
      <c r="T3228" s="1" t="b">
        <v>0</v>
      </c>
      <c r="U3228" s="1" t="s">
        <v>39</v>
      </c>
      <c r="V3228" s="3">
        <v>6</v>
      </c>
    </row>
    <row r="3229" spans="1:22" x14ac:dyDescent="0.3">
      <c r="A3229" s="2" t="s">
        <v>6925</v>
      </c>
      <c r="B3229" s="10">
        <v>45064</v>
      </c>
      <c r="C3229" s="22">
        <v>45064</v>
      </c>
      <c r="D3229" s="1" t="s">
        <v>6926</v>
      </c>
      <c r="E3229" s="1" t="s">
        <v>528</v>
      </c>
      <c r="F3229" s="1">
        <v>46</v>
      </c>
      <c r="G3229" s="1" t="s">
        <v>34</v>
      </c>
      <c r="H3229" s="1" t="s">
        <v>74</v>
      </c>
      <c r="I3229" s="1" t="s">
        <v>101</v>
      </c>
      <c r="J3229" s="1" t="s">
        <v>62</v>
      </c>
      <c r="K3229" s="1" t="s">
        <v>570</v>
      </c>
      <c r="L3229" s="1">
        <v>2</v>
      </c>
      <c r="M3229" s="13">
        <v>922.52</v>
      </c>
      <c r="N3229" s="15">
        <v>0.02</v>
      </c>
      <c r="O3229" s="13">
        <v>2948.11</v>
      </c>
      <c r="P3229" s="13">
        <v>1106.75</v>
      </c>
      <c r="Q3229" s="13">
        <v>61.06</v>
      </c>
      <c r="R3229" s="1" t="s">
        <v>29</v>
      </c>
      <c r="S3229" s="1">
        <v>3</v>
      </c>
      <c r="T3229" s="1" t="b">
        <v>0</v>
      </c>
      <c r="U3229" s="1" t="s">
        <v>39</v>
      </c>
      <c r="V3229" s="3">
        <v>9</v>
      </c>
    </row>
    <row r="3230" spans="1:22" x14ac:dyDescent="0.3">
      <c r="A3230" s="2" t="s">
        <v>6927</v>
      </c>
      <c r="B3230" s="10">
        <v>44715</v>
      </c>
      <c r="C3230" s="22">
        <v>44715</v>
      </c>
      <c r="D3230" s="1" t="s">
        <v>6928</v>
      </c>
      <c r="E3230" s="1" t="s">
        <v>269</v>
      </c>
      <c r="F3230" s="1">
        <v>46</v>
      </c>
      <c r="G3230" s="1" t="s">
        <v>68</v>
      </c>
      <c r="H3230" s="1" t="s">
        <v>111</v>
      </c>
      <c r="I3230" s="1" t="s">
        <v>121</v>
      </c>
      <c r="J3230" s="1" t="s">
        <v>37</v>
      </c>
      <c r="K3230" s="1" t="s">
        <v>38</v>
      </c>
      <c r="L3230" s="1">
        <v>10</v>
      </c>
      <c r="M3230" s="13">
        <v>1635.87</v>
      </c>
      <c r="N3230" s="15">
        <v>0.21</v>
      </c>
      <c r="O3230" s="13">
        <v>18889.25</v>
      </c>
      <c r="P3230" s="13">
        <v>9364.27</v>
      </c>
      <c r="Q3230" s="13">
        <v>65.41</v>
      </c>
      <c r="R3230" s="1" t="s">
        <v>64</v>
      </c>
      <c r="S3230" s="1">
        <v>4</v>
      </c>
      <c r="T3230" s="1" t="b">
        <v>0</v>
      </c>
      <c r="U3230" s="1" t="s">
        <v>39</v>
      </c>
      <c r="V3230" s="3">
        <v>4</v>
      </c>
    </row>
    <row r="3231" spans="1:22" x14ac:dyDescent="0.3">
      <c r="A3231" s="2" t="s">
        <v>6929</v>
      </c>
      <c r="B3231" s="10">
        <v>45254</v>
      </c>
      <c r="C3231" s="22">
        <v>45254</v>
      </c>
      <c r="D3231" s="1" t="s">
        <v>6930</v>
      </c>
      <c r="E3231" s="1" t="s">
        <v>608</v>
      </c>
      <c r="F3231" s="1">
        <v>40</v>
      </c>
      <c r="G3231" s="1" t="s">
        <v>34</v>
      </c>
      <c r="H3231" s="1" t="s">
        <v>82</v>
      </c>
      <c r="I3231" s="1" t="s">
        <v>126</v>
      </c>
      <c r="J3231" s="1" t="s">
        <v>37</v>
      </c>
      <c r="K3231" s="1" t="s">
        <v>231</v>
      </c>
      <c r="L3231" s="1">
        <v>7</v>
      </c>
      <c r="M3231" s="13">
        <v>586.63</v>
      </c>
      <c r="N3231" s="15">
        <v>0.04</v>
      </c>
      <c r="O3231" s="13">
        <v>3416.93</v>
      </c>
      <c r="P3231" s="13">
        <v>1208.1300000000001</v>
      </c>
      <c r="Q3231" s="13">
        <v>90.59</v>
      </c>
      <c r="R3231" s="1" t="s">
        <v>57</v>
      </c>
      <c r="S3231" s="1">
        <v>2</v>
      </c>
      <c r="T3231" s="1" t="b">
        <v>0</v>
      </c>
      <c r="U3231" s="1" t="s">
        <v>58</v>
      </c>
      <c r="V3231" s="3">
        <v>8</v>
      </c>
    </row>
    <row r="3232" spans="1:22" x14ac:dyDescent="0.3">
      <c r="A3232" s="2" t="s">
        <v>6931</v>
      </c>
      <c r="B3232" s="10">
        <v>45452</v>
      </c>
      <c r="C3232" s="22">
        <v>45452</v>
      </c>
      <c r="D3232" s="1" t="s">
        <v>6932</v>
      </c>
      <c r="E3232" s="1" t="s">
        <v>259</v>
      </c>
      <c r="F3232" s="1">
        <v>37</v>
      </c>
      <c r="G3232" s="1" t="s">
        <v>34</v>
      </c>
      <c r="H3232" s="1" t="s">
        <v>111</v>
      </c>
      <c r="I3232" s="1" t="s">
        <v>330</v>
      </c>
      <c r="J3232" s="1" t="s">
        <v>146</v>
      </c>
      <c r="K3232" s="1" t="s">
        <v>161</v>
      </c>
      <c r="L3232" s="1">
        <v>4</v>
      </c>
      <c r="M3232" s="13">
        <v>969.54</v>
      </c>
      <c r="N3232" s="15">
        <v>0.1</v>
      </c>
      <c r="O3232" s="13">
        <v>6002.74</v>
      </c>
      <c r="P3232" s="13">
        <v>476.57</v>
      </c>
      <c r="Q3232" s="13">
        <v>59.53</v>
      </c>
      <c r="R3232" s="1" t="s">
        <v>57</v>
      </c>
      <c r="S3232" s="1">
        <v>4</v>
      </c>
      <c r="T3232" s="1" t="b">
        <v>0</v>
      </c>
      <c r="U3232" s="1" t="s">
        <v>39</v>
      </c>
      <c r="V3232" s="3">
        <v>5</v>
      </c>
    </row>
    <row r="3233" spans="1:22" x14ac:dyDescent="0.3">
      <c r="A3233" s="2" t="s">
        <v>6933</v>
      </c>
      <c r="B3233" s="10">
        <v>44866</v>
      </c>
      <c r="C3233" s="22">
        <v>44866</v>
      </c>
      <c r="D3233" s="1" t="s">
        <v>6934</v>
      </c>
      <c r="E3233" s="1" t="s">
        <v>665</v>
      </c>
      <c r="F3233" s="1">
        <v>34</v>
      </c>
      <c r="G3233" s="1" t="s">
        <v>24</v>
      </c>
      <c r="H3233" s="1" t="s">
        <v>35</v>
      </c>
      <c r="I3233" s="1" t="s">
        <v>36</v>
      </c>
      <c r="J3233" s="1" t="s">
        <v>127</v>
      </c>
      <c r="K3233" s="1" t="s">
        <v>517</v>
      </c>
      <c r="L3233" s="1">
        <v>5</v>
      </c>
      <c r="M3233" s="13">
        <v>17051.009999999998</v>
      </c>
      <c r="N3233" s="15">
        <v>0.02</v>
      </c>
      <c r="O3233" s="13">
        <v>72489.63</v>
      </c>
      <c r="P3233" s="13">
        <v>12014.35</v>
      </c>
      <c r="Q3233" s="13">
        <v>60.41</v>
      </c>
      <c r="R3233" s="1" t="s">
        <v>29</v>
      </c>
      <c r="S3233" s="1">
        <v>4</v>
      </c>
      <c r="T3233" s="1" t="b">
        <v>0</v>
      </c>
      <c r="U3233" s="1" t="s">
        <v>39</v>
      </c>
      <c r="V3233" s="3">
        <v>3</v>
      </c>
    </row>
    <row r="3234" spans="1:22" x14ac:dyDescent="0.3">
      <c r="A3234" s="2" t="s">
        <v>6935</v>
      </c>
      <c r="B3234" s="10">
        <v>45402</v>
      </c>
      <c r="C3234" s="22">
        <v>45402</v>
      </c>
      <c r="D3234" s="1" t="s">
        <v>6936</v>
      </c>
      <c r="E3234" s="1" t="s">
        <v>814</v>
      </c>
      <c r="F3234" s="1">
        <v>31</v>
      </c>
      <c r="G3234" s="1" t="s">
        <v>68</v>
      </c>
      <c r="H3234" s="1" t="s">
        <v>35</v>
      </c>
      <c r="I3234" s="1" t="s">
        <v>106</v>
      </c>
      <c r="J3234" s="1" t="s">
        <v>37</v>
      </c>
      <c r="K3234" s="1" t="s">
        <v>454</v>
      </c>
      <c r="L3234" s="1">
        <v>8</v>
      </c>
      <c r="M3234" s="13">
        <v>1737.06</v>
      </c>
      <c r="N3234" s="15">
        <v>0.05</v>
      </c>
      <c r="O3234" s="13">
        <v>21586.69</v>
      </c>
      <c r="P3234" s="13">
        <v>9320.24</v>
      </c>
      <c r="Q3234" s="13">
        <v>48.1</v>
      </c>
      <c r="R3234" s="1" t="s">
        <v>51</v>
      </c>
      <c r="S3234" s="1">
        <v>4</v>
      </c>
      <c r="T3234" s="1" t="b">
        <v>0</v>
      </c>
      <c r="U3234" s="1" t="s">
        <v>39</v>
      </c>
      <c r="V3234" s="3">
        <v>9</v>
      </c>
    </row>
    <row r="3235" spans="1:22" x14ac:dyDescent="0.3">
      <c r="A3235" s="2" t="s">
        <v>6937</v>
      </c>
      <c r="B3235" s="10">
        <v>44884</v>
      </c>
      <c r="C3235" s="22">
        <v>44884</v>
      </c>
      <c r="D3235" s="1" t="s">
        <v>6938</v>
      </c>
      <c r="E3235" s="1" t="s">
        <v>1555</v>
      </c>
      <c r="F3235" s="1">
        <v>40</v>
      </c>
      <c r="G3235" s="1" t="s">
        <v>68</v>
      </c>
      <c r="H3235" s="1" t="s">
        <v>74</v>
      </c>
      <c r="I3235" s="1" t="s">
        <v>136</v>
      </c>
      <c r="J3235" s="1" t="s">
        <v>146</v>
      </c>
      <c r="K3235" s="1" t="s">
        <v>276</v>
      </c>
      <c r="L3235" s="1">
        <v>9</v>
      </c>
      <c r="M3235" s="13">
        <v>10073.67</v>
      </c>
      <c r="N3235" s="15">
        <v>0.2</v>
      </c>
      <c r="O3235" s="13">
        <v>59652.6</v>
      </c>
      <c r="P3235" s="13">
        <v>18108.91</v>
      </c>
      <c r="Q3235" s="13">
        <v>53.9</v>
      </c>
      <c r="R3235" s="1" t="s">
        <v>51</v>
      </c>
      <c r="S3235" s="1">
        <v>4</v>
      </c>
      <c r="T3235" s="1" t="b">
        <v>0</v>
      </c>
      <c r="U3235" s="1" t="s">
        <v>84</v>
      </c>
      <c r="V3235" s="3">
        <v>2</v>
      </c>
    </row>
    <row r="3236" spans="1:22" x14ac:dyDescent="0.3">
      <c r="A3236" s="2" t="s">
        <v>6939</v>
      </c>
      <c r="B3236" s="10">
        <v>45022</v>
      </c>
      <c r="C3236" s="22">
        <v>45022</v>
      </c>
      <c r="D3236" s="1" t="s">
        <v>6940</v>
      </c>
      <c r="E3236" s="1" t="s">
        <v>594</v>
      </c>
      <c r="F3236" s="1">
        <v>39</v>
      </c>
      <c r="G3236" s="1" t="s">
        <v>24</v>
      </c>
      <c r="H3236" s="1" t="s">
        <v>74</v>
      </c>
      <c r="I3236" s="1" t="s">
        <v>192</v>
      </c>
      <c r="J3236" s="1" t="s">
        <v>44</v>
      </c>
      <c r="K3236" s="1" t="s">
        <v>221</v>
      </c>
      <c r="L3236" s="1">
        <v>4</v>
      </c>
      <c r="M3236" s="13">
        <v>20972.36</v>
      </c>
      <c r="N3236" s="15">
        <v>0.23</v>
      </c>
      <c r="O3236" s="13">
        <v>101498.2</v>
      </c>
      <c r="P3236" s="13">
        <v>40455.26</v>
      </c>
      <c r="Q3236" s="13">
        <v>43.34</v>
      </c>
      <c r="R3236" s="1" t="s">
        <v>78</v>
      </c>
      <c r="S3236" s="1">
        <v>1</v>
      </c>
      <c r="T3236" s="1" t="b">
        <v>0</v>
      </c>
      <c r="U3236" s="1" t="s">
        <v>39</v>
      </c>
      <c r="V3236" s="3">
        <v>4</v>
      </c>
    </row>
    <row r="3237" spans="1:22" x14ac:dyDescent="0.3">
      <c r="A3237" s="2" t="s">
        <v>6941</v>
      </c>
      <c r="B3237" s="10">
        <v>44339</v>
      </c>
      <c r="C3237" s="22">
        <v>44339</v>
      </c>
      <c r="D3237" s="1" t="s">
        <v>6942</v>
      </c>
      <c r="E3237" s="1" t="s">
        <v>1201</v>
      </c>
      <c r="F3237" s="1">
        <v>41</v>
      </c>
      <c r="G3237" s="1" t="s">
        <v>34</v>
      </c>
      <c r="H3237" s="1" t="s">
        <v>25</v>
      </c>
      <c r="I3237" s="1" t="s">
        <v>69</v>
      </c>
      <c r="J3237" s="1" t="s">
        <v>146</v>
      </c>
      <c r="K3237" s="1" t="s">
        <v>161</v>
      </c>
      <c r="L3237" s="1">
        <v>8</v>
      </c>
      <c r="M3237" s="13">
        <v>1689.13</v>
      </c>
      <c r="N3237" s="15">
        <v>0.12</v>
      </c>
      <c r="O3237" s="13">
        <v>17306.12</v>
      </c>
      <c r="P3237" s="13">
        <v>3872.78</v>
      </c>
      <c r="Q3237" s="13">
        <v>78.959999999999994</v>
      </c>
      <c r="R3237" s="1" t="s">
        <v>57</v>
      </c>
      <c r="S3237" s="1">
        <v>3</v>
      </c>
      <c r="T3237" s="1" t="b">
        <v>0</v>
      </c>
      <c r="U3237" s="1" t="s">
        <v>137</v>
      </c>
      <c r="V3237" s="3">
        <v>2</v>
      </c>
    </row>
    <row r="3238" spans="1:22" x14ac:dyDescent="0.3">
      <c r="A3238" s="2" t="s">
        <v>6943</v>
      </c>
      <c r="B3238" s="10">
        <v>44973</v>
      </c>
      <c r="C3238" s="22">
        <v>44973</v>
      </c>
      <c r="D3238" s="1" t="s">
        <v>6394</v>
      </c>
      <c r="E3238" s="1" t="s">
        <v>1495</v>
      </c>
      <c r="F3238" s="1">
        <v>37</v>
      </c>
      <c r="G3238" s="1" t="s">
        <v>34</v>
      </c>
      <c r="H3238" s="1" t="s">
        <v>111</v>
      </c>
      <c r="I3238" s="1" t="s">
        <v>112</v>
      </c>
      <c r="J3238" s="1" t="s">
        <v>44</v>
      </c>
      <c r="K3238" s="1" t="s">
        <v>186</v>
      </c>
      <c r="L3238" s="1">
        <v>5</v>
      </c>
      <c r="M3238" s="13">
        <v>26873.8</v>
      </c>
      <c r="N3238" s="15">
        <v>0.3</v>
      </c>
      <c r="O3238" s="13">
        <v>107825.45</v>
      </c>
      <c r="P3238" s="13">
        <v>33382.410000000003</v>
      </c>
      <c r="Q3238" s="13">
        <v>80.540000000000006</v>
      </c>
      <c r="R3238" s="1" t="s">
        <v>57</v>
      </c>
      <c r="S3238" s="1">
        <v>2</v>
      </c>
      <c r="T3238" s="1" t="b">
        <v>0</v>
      </c>
      <c r="U3238" s="1" t="s">
        <v>84</v>
      </c>
      <c r="V3238" s="3">
        <v>9</v>
      </c>
    </row>
    <row r="3239" spans="1:22" x14ac:dyDescent="0.3">
      <c r="A3239" s="2" t="s">
        <v>6944</v>
      </c>
      <c r="B3239" s="10">
        <v>45479</v>
      </c>
      <c r="C3239" s="22">
        <v>45479</v>
      </c>
      <c r="D3239" s="1" t="s">
        <v>6945</v>
      </c>
      <c r="E3239" s="1" t="s">
        <v>3667</v>
      </c>
      <c r="F3239" s="1">
        <v>26</v>
      </c>
      <c r="G3239" s="1" t="s">
        <v>68</v>
      </c>
      <c r="H3239" s="1" t="s">
        <v>25</v>
      </c>
      <c r="I3239" s="1" t="s">
        <v>69</v>
      </c>
      <c r="J3239" s="1" t="s">
        <v>127</v>
      </c>
      <c r="K3239" s="1" t="s">
        <v>517</v>
      </c>
      <c r="L3239" s="1">
        <v>8</v>
      </c>
      <c r="M3239" s="13">
        <v>70977.789999999994</v>
      </c>
      <c r="N3239" s="15">
        <v>0.21</v>
      </c>
      <c r="O3239" s="13">
        <v>912510.56</v>
      </c>
      <c r="P3239" s="13">
        <v>120414.48</v>
      </c>
      <c r="Q3239" s="13">
        <v>61.68</v>
      </c>
      <c r="R3239" s="1" t="s">
        <v>64</v>
      </c>
      <c r="S3239" s="1">
        <v>3</v>
      </c>
      <c r="T3239" s="1" t="b">
        <v>0</v>
      </c>
      <c r="U3239" s="1" t="s">
        <v>39</v>
      </c>
      <c r="V3239" s="3">
        <v>1</v>
      </c>
    </row>
    <row r="3240" spans="1:22" x14ac:dyDescent="0.3">
      <c r="A3240" s="2" t="s">
        <v>6946</v>
      </c>
      <c r="B3240" s="10">
        <v>44258</v>
      </c>
      <c r="C3240" s="22">
        <v>44258</v>
      </c>
      <c r="D3240" s="1" t="s">
        <v>6947</v>
      </c>
      <c r="E3240" s="1" t="s">
        <v>1596</v>
      </c>
      <c r="F3240" s="1">
        <v>14</v>
      </c>
      <c r="G3240" s="1" t="s">
        <v>24</v>
      </c>
      <c r="H3240" s="1" t="s">
        <v>35</v>
      </c>
      <c r="I3240" s="1" t="s">
        <v>43</v>
      </c>
      <c r="J3240" s="1" t="s">
        <v>146</v>
      </c>
      <c r="K3240" s="1" t="s">
        <v>484</v>
      </c>
      <c r="L3240" s="1">
        <v>4</v>
      </c>
      <c r="M3240" s="13">
        <v>7733.68</v>
      </c>
      <c r="N3240" s="15">
        <v>0.34</v>
      </c>
      <c r="O3240" s="13">
        <v>22832.43</v>
      </c>
      <c r="P3240" s="13">
        <v>3661.66</v>
      </c>
      <c r="Q3240" s="13">
        <v>56.01</v>
      </c>
      <c r="R3240" s="1" t="s">
        <v>70</v>
      </c>
      <c r="S3240" s="1">
        <v>2</v>
      </c>
      <c r="T3240" s="1" t="b">
        <v>0</v>
      </c>
      <c r="U3240" s="1" t="s">
        <v>39</v>
      </c>
      <c r="V3240" s="3">
        <v>6</v>
      </c>
    </row>
    <row r="3241" spans="1:22" x14ac:dyDescent="0.3">
      <c r="A3241" s="2" t="s">
        <v>6948</v>
      </c>
      <c r="B3241" s="10">
        <v>44442</v>
      </c>
      <c r="C3241" s="22">
        <v>44442</v>
      </c>
      <c r="D3241" s="1" t="s">
        <v>6949</v>
      </c>
      <c r="E3241" s="1" t="s">
        <v>1550</v>
      </c>
      <c r="F3241" s="1">
        <v>21</v>
      </c>
      <c r="G3241" s="1" t="s">
        <v>24</v>
      </c>
      <c r="H3241" s="1" t="s">
        <v>35</v>
      </c>
      <c r="I3241" s="1" t="s">
        <v>36</v>
      </c>
      <c r="J3241" s="1" t="s">
        <v>62</v>
      </c>
      <c r="K3241" s="1" t="s">
        <v>266</v>
      </c>
      <c r="L3241" s="1">
        <v>7</v>
      </c>
      <c r="M3241" s="13">
        <v>712.53</v>
      </c>
      <c r="N3241" s="15">
        <v>7.0000000000000007E-2</v>
      </c>
      <c r="O3241" s="13">
        <v>5107.75</v>
      </c>
      <c r="P3241" s="13">
        <v>1803.51</v>
      </c>
      <c r="Q3241" s="13">
        <v>57.42</v>
      </c>
      <c r="R3241" s="1" t="s">
        <v>70</v>
      </c>
      <c r="S3241" s="1">
        <v>1</v>
      </c>
      <c r="T3241" s="1" t="b">
        <v>1</v>
      </c>
      <c r="U3241" s="1" t="s">
        <v>30</v>
      </c>
      <c r="V3241" s="3">
        <v>10</v>
      </c>
    </row>
    <row r="3242" spans="1:22" x14ac:dyDescent="0.3">
      <c r="A3242" s="2" t="s">
        <v>6950</v>
      </c>
      <c r="B3242" s="10">
        <v>44801</v>
      </c>
      <c r="C3242" s="22">
        <v>44801</v>
      </c>
      <c r="D3242" s="1" t="s">
        <v>6951</v>
      </c>
      <c r="E3242" s="1" t="s">
        <v>354</v>
      </c>
      <c r="F3242" s="1">
        <v>25</v>
      </c>
      <c r="G3242" s="1" t="s">
        <v>68</v>
      </c>
      <c r="H3242" s="1" t="s">
        <v>35</v>
      </c>
      <c r="I3242" s="1" t="s">
        <v>49</v>
      </c>
      <c r="J3242" s="1" t="s">
        <v>146</v>
      </c>
      <c r="K3242" s="1" t="s">
        <v>276</v>
      </c>
      <c r="L3242" s="1">
        <v>7</v>
      </c>
      <c r="M3242" s="13">
        <v>8703.41</v>
      </c>
      <c r="N3242" s="15">
        <v>0.09</v>
      </c>
      <c r="O3242" s="13">
        <v>68163.649999999994</v>
      </c>
      <c r="P3242" s="13">
        <v>14340.35</v>
      </c>
      <c r="Q3242" s="13">
        <v>62</v>
      </c>
      <c r="R3242" s="1" t="s">
        <v>29</v>
      </c>
      <c r="S3242" s="1">
        <v>2</v>
      </c>
      <c r="T3242" s="1" t="b">
        <v>0</v>
      </c>
      <c r="U3242" s="1" t="s">
        <v>39</v>
      </c>
      <c r="V3242" s="3">
        <v>1</v>
      </c>
    </row>
    <row r="3243" spans="1:22" x14ac:dyDescent="0.3">
      <c r="A3243" s="2" t="s">
        <v>6952</v>
      </c>
      <c r="B3243" s="10">
        <v>44557</v>
      </c>
      <c r="C3243" s="22">
        <v>44557</v>
      </c>
      <c r="D3243" s="1" t="s">
        <v>6953</v>
      </c>
      <c r="E3243" s="1" t="s">
        <v>247</v>
      </c>
      <c r="F3243" s="1">
        <v>49</v>
      </c>
      <c r="G3243" s="1" t="s">
        <v>34</v>
      </c>
      <c r="H3243" s="1" t="s">
        <v>74</v>
      </c>
      <c r="I3243" s="1" t="s">
        <v>192</v>
      </c>
      <c r="J3243" s="1" t="s">
        <v>44</v>
      </c>
      <c r="K3243" s="1" t="s">
        <v>186</v>
      </c>
      <c r="L3243" s="1">
        <v>4</v>
      </c>
      <c r="M3243" s="13">
        <v>7533.42</v>
      </c>
      <c r="N3243" s="15">
        <v>0.13</v>
      </c>
      <c r="O3243" s="13">
        <v>23033.05</v>
      </c>
      <c r="P3243" s="13">
        <v>7287.96</v>
      </c>
      <c r="Q3243" s="13">
        <v>68.3</v>
      </c>
      <c r="R3243" s="1" t="s">
        <v>70</v>
      </c>
      <c r="S3243" s="1">
        <v>5</v>
      </c>
      <c r="T3243" s="1" t="b">
        <v>0</v>
      </c>
      <c r="U3243" s="1" t="s">
        <v>39</v>
      </c>
      <c r="V3243" s="3">
        <v>6</v>
      </c>
    </row>
    <row r="3244" spans="1:22" x14ac:dyDescent="0.3">
      <c r="A3244" s="2" t="s">
        <v>6954</v>
      </c>
      <c r="B3244" s="10">
        <v>45434</v>
      </c>
      <c r="C3244" s="22">
        <v>45434</v>
      </c>
      <c r="D3244" s="1" t="s">
        <v>6955</v>
      </c>
      <c r="E3244" s="1" t="s">
        <v>2117</v>
      </c>
      <c r="F3244" s="1">
        <v>31</v>
      </c>
      <c r="G3244" s="1" t="s">
        <v>68</v>
      </c>
      <c r="H3244" s="1" t="s">
        <v>111</v>
      </c>
      <c r="I3244" s="1" t="s">
        <v>330</v>
      </c>
      <c r="J3244" s="1" t="s">
        <v>44</v>
      </c>
      <c r="K3244" s="1" t="s">
        <v>117</v>
      </c>
      <c r="L3244" s="1">
        <v>7</v>
      </c>
      <c r="M3244" s="13">
        <v>13446.15</v>
      </c>
      <c r="N3244" s="15">
        <v>0.03</v>
      </c>
      <c r="O3244" s="13">
        <v>147194.67000000001</v>
      </c>
      <c r="P3244" s="13">
        <v>34353.53</v>
      </c>
      <c r="Q3244" s="13">
        <v>72.19</v>
      </c>
      <c r="R3244" s="1" t="s">
        <v>29</v>
      </c>
      <c r="S3244" s="1">
        <v>3</v>
      </c>
      <c r="T3244" s="1" t="b">
        <v>0</v>
      </c>
      <c r="U3244" s="1" t="s">
        <v>39</v>
      </c>
      <c r="V3244" s="3">
        <v>8</v>
      </c>
    </row>
    <row r="3245" spans="1:22" x14ac:dyDescent="0.3">
      <c r="A3245" s="2" t="s">
        <v>6956</v>
      </c>
      <c r="B3245" s="10">
        <v>44908</v>
      </c>
      <c r="C3245" s="22">
        <v>44908</v>
      </c>
      <c r="D3245" s="1" t="s">
        <v>6957</v>
      </c>
      <c r="E3245" s="1" t="s">
        <v>1390</v>
      </c>
      <c r="F3245" s="1">
        <v>20</v>
      </c>
      <c r="G3245" s="1" t="s">
        <v>24</v>
      </c>
      <c r="H3245" s="1" t="s">
        <v>25</v>
      </c>
      <c r="I3245" s="1" t="s">
        <v>26</v>
      </c>
      <c r="J3245" s="1" t="s">
        <v>76</v>
      </c>
      <c r="K3245" s="1" t="s">
        <v>77</v>
      </c>
      <c r="L3245" s="1">
        <v>4</v>
      </c>
      <c r="M3245" s="13">
        <v>630.74</v>
      </c>
      <c r="N3245" s="15">
        <v>0.04</v>
      </c>
      <c r="O3245" s="13">
        <v>1712.76</v>
      </c>
      <c r="P3245" s="13">
        <v>616.52</v>
      </c>
      <c r="Q3245" s="13">
        <v>29.52</v>
      </c>
      <c r="R3245" s="1" t="s">
        <v>29</v>
      </c>
      <c r="S3245" s="1">
        <v>2</v>
      </c>
      <c r="T3245" s="1" t="b">
        <v>0</v>
      </c>
      <c r="U3245" s="1" t="s">
        <v>39</v>
      </c>
      <c r="V3245" s="3">
        <v>9</v>
      </c>
    </row>
    <row r="3246" spans="1:22" x14ac:dyDescent="0.3">
      <c r="A3246" s="2" t="s">
        <v>6958</v>
      </c>
      <c r="B3246" s="10">
        <v>44208</v>
      </c>
      <c r="C3246" s="22">
        <v>44208</v>
      </c>
      <c r="D3246" s="1" t="s">
        <v>6959</v>
      </c>
      <c r="E3246" s="1" t="s">
        <v>412</v>
      </c>
      <c r="F3246" s="1">
        <v>48</v>
      </c>
      <c r="G3246" s="1" t="s">
        <v>34</v>
      </c>
      <c r="H3246" s="1" t="s">
        <v>35</v>
      </c>
      <c r="I3246" s="1" t="s">
        <v>106</v>
      </c>
      <c r="J3246" s="1" t="s">
        <v>37</v>
      </c>
      <c r="K3246" s="1" t="s">
        <v>38</v>
      </c>
      <c r="L3246" s="1">
        <v>1</v>
      </c>
      <c r="M3246" s="13">
        <v>1901.42</v>
      </c>
      <c r="N3246" s="15">
        <v>0.3</v>
      </c>
      <c r="O3246" s="13">
        <v>1024</v>
      </c>
      <c r="P3246" s="13">
        <v>482.79</v>
      </c>
      <c r="Q3246" s="13">
        <v>37.700000000000003</v>
      </c>
      <c r="R3246" s="1" t="s">
        <v>51</v>
      </c>
      <c r="S3246" s="1">
        <v>5</v>
      </c>
      <c r="T3246" s="1" t="b">
        <v>0</v>
      </c>
      <c r="U3246" s="1" t="s">
        <v>39</v>
      </c>
      <c r="V3246" s="3">
        <v>7</v>
      </c>
    </row>
    <row r="3247" spans="1:22" x14ac:dyDescent="0.3">
      <c r="A3247" s="2" t="s">
        <v>6960</v>
      </c>
      <c r="B3247" s="10">
        <v>44078</v>
      </c>
      <c r="C3247" s="22">
        <v>44078</v>
      </c>
      <c r="D3247" s="1" t="s">
        <v>6961</v>
      </c>
      <c r="E3247" s="1" t="s">
        <v>1672</v>
      </c>
      <c r="F3247" s="1">
        <v>34</v>
      </c>
      <c r="G3247" s="1" t="s">
        <v>34</v>
      </c>
      <c r="H3247" s="1" t="s">
        <v>82</v>
      </c>
      <c r="I3247" s="1" t="s">
        <v>244</v>
      </c>
      <c r="J3247" s="1" t="s">
        <v>62</v>
      </c>
      <c r="K3247" s="1" t="s">
        <v>63</v>
      </c>
      <c r="L3247" s="1">
        <v>6</v>
      </c>
      <c r="M3247" s="13">
        <v>821.78</v>
      </c>
      <c r="N3247" s="15">
        <v>0.16</v>
      </c>
      <c r="O3247" s="13">
        <v>3457.92</v>
      </c>
      <c r="P3247" s="13">
        <v>2079.9299999999998</v>
      </c>
      <c r="Q3247" s="13">
        <v>89.15</v>
      </c>
      <c r="R3247" s="1" t="s">
        <v>70</v>
      </c>
      <c r="S3247" s="1">
        <v>4</v>
      </c>
      <c r="T3247" s="1" t="b">
        <v>0</v>
      </c>
      <c r="U3247" s="1" t="s">
        <v>84</v>
      </c>
      <c r="V3247" s="3">
        <v>7</v>
      </c>
    </row>
    <row r="3248" spans="1:22" x14ac:dyDescent="0.3">
      <c r="A3248" s="2" t="s">
        <v>6962</v>
      </c>
      <c r="B3248" s="10">
        <v>44409</v>
      </c>
      <c r="C3248" s="22">
        <v>44409</v>
      </c>
      <c r="D3248" s="1" t="s">
        <v>6963</v>
      </c>
      <c r="E3248" s="1" t="s">
        <v>145</v>
      </c>
      <c r="F3248" s="1">
        <v>8</v>
      </c>
      <c r="G3248" s="1" t="s">
        <v>34</v>
      </c>
      <c r="H3248" s="1" t="s">
        <v>74</v>
      </c>
      <c r="I3248" s="1" t="s">
        <v>101</v>
      </c>
      <c r="J3248" s="1" t="s">
        <v>37</v>
      </c>
      <c r="K3248" s="1" t="s">
        <v>182</v>
      </c>
      <c r="L3248" s="1">
        <v>10</v>
      </c>
      <c r="M3248" s="13">
        <v>1896.08</v>
      </c>
      <c r="N3248" s="15">
        <v>0.01</v>
      </c>
      <c r="O3248" s="13">
        <v>22009.55</v>
      </c>
      <c r="P3248" s="13">
        <v>8645.2000000000007</v>
      </c>
      <c r="Q3248" s="13">
        <v>60.54</v>
      </c>
      <c r="R3248" s="1" t="s">
        <v>57</v>
      </c>
      <c r="S3248" s="1">
        <v>2</v>
      </c>
      <c r="T3248" s="1" t="b">
        <v>0</v>
      </c>
      <c r="U3248" s="1" t="s">
        <v>39</v>
      </c>
      <c r="V3248" s="3">
        <v>10</v>
      </c>
    </row>
    <row r="3249" spans="1:22" x14ac:dyDescent="0.3">
      <c r="A3249" s="2" t="s">
        <v>6964</v>
      </c>
      <c r="B3249" s="10">
        <v>43991</v>
      </c>
      <c r="C3249" s="22">
        <v>43991</v>
      </c>
      <c r="D3249" s="1" t="s">
        <v>880</v>
      </c>
      <c r="E3249" s="1" t="s">
        <v>616</v>
      </c>
      <c r="F3249" s="1">
        <v>40</v>
      </c>
      <c r="G3249" s="1" t="s">
        <v>24</v>
      </c>
      <c r="H3249" s="1" t="s">
        <v>111</v>
      </c>
      <c r="I3249" s="1" t="s">
        <v>112</v>
      </c>
      <c r="J3249" s="1" t="s">
        <v>44</v>
      </c>
      <c r="K3249" s="1" t="s">
        <v>50</v>
      </c>
      <c r="L3249" s="1">
        <v>3</v>
      </c>
      <c r="M3249" s="13">
        <v>32005.1</v>
      </c>
      <c r="N3249" s="15">
        <v>0.14000000000000001</v>
      </c>
      <c r="O3249" s="13">
        <v>111222.15</v>
      </c>
      <c r="P3249" s="13">
        <v>40250.51</v>
      </c>
      <c r="Q3249" s="13">
        <v>26.04</v>
      </c>
      <c r="R3249" s="1" t="s">
        <v>57</v>
      </c>
      <c r="S3249" s="1">
        <v>5</v>
      </c>
      <c r="T3249" s="1" t="b">
        <v>0</v>
      </c>
      <c r="U3249" s="1" t="s">
        <v>39</v>
      </c>
      <c r="V3249" s="3">
        <v>1</v>
      </c>
    </row>
    <row r="3250" spans="1:22" x14ac:dyDescent="0.3">
      <c r="A3250" s="2" t="s">
        <v>6965</v>
      </c>
      <c r="B3250" s="10">
        <v>45609</v>
      </c>
      <c r="C3250" s="22">
        <v>45609</v>
      </c>
      <c r="D3250" s="1" t="s">
        <v>6966</v>
      </c>
      <c r="E3250" s="1" t="s">
        <v>3016</v>
      </c>
      <c r="F3250" s="1">
        <v>25</v>
      </c>
      <c r="G3250" s="1" t="s">
        <v>24</v>
      </c>
      <c r="H3250" s="1" t="s">
        <v>82</v>
      </c>
      <c r="I3250" s="1" t="s">
        <v>293</v>
      </c>
      <c r="J3250" s="1" t="s">
        <v>37</v>
      </c>
      <c r="K3250" s="1" t="s">
        <v>182</v>
      </c>
      <c r="L3250" s="1">
        <v>5</v>
      </c>
      <c r="M3250" s="13">
        <v>2272.1</v>
      </c>
      <c r="N3250" s="15">
        <v>0.15</v>
      </c>
      <c r="O3250" s="13">
        <v>1972.43</v>
      </c>
      <c r="P3250" s="13">
        <v>936.13</v>
      </c>
      <c r="Q3250" s="13">
        <v>54.4</v>
      </c>
      <c r="R3250" s="1" t="s">
        <v>64</v>
      </c>
      <c r="S3250" s="1">
        <v>2</v>
      </c>
      <c r="T3250" s="1" t="b">
        <v>0</v>
      </c>
      <c r="U3250" s="1" t="s">
        <v>39</v>
      </c>
      <c r="V3250" s="3">
        <v>3</v>
      </c>
    </row>
    <row r="3251" spans="1:22" x14ac:dyDescent="0.3">
      <c r="A3251" s="2" t="s">
        <v>6967</v>
      </c>
      <c r="B3251" s="10">
        <v>45630</v>
      </c>
      <c r="C3251" s="22">
        <v>45630</v>
      </c>
      <c r="D3251" s="1" t="s">
        <v>6968</v>
      </c>
      <c r="E3251" s="1" t="s">
        <v>275</v>
      </c>
      <c r="F3251" s="1">
        <v>19</v>
      </c>
      <c r="G3251" s="1" t="s">
        <v>24</v>
      </c>
      <c r="H3251" s="1" t="s">
        <v>74</v>
      </c>
      <c r="I3251" s="1" t="s">
        <v>101</v>
      </c>
      <c r="J3251" s="1" t="s">
        <v>37</v>
      </c>
      <c r="K3251" s="1" t="s">
        <v>231</v>
      </c>
      <c r="L3251" s="1">
        <v>9</v>
      </c>
      <c r="M3251" s="13">
        <v>1593.35</v>
      </c>
      <c r="N3251" s="15">
        <v>0.06</v>
      </c>
      <c r="O3251" s="13">
        <v>10203.459999999999</v>
      </c>
      <c r="P3251" s="13">
        <v>4094.58</v>
      </c>
      <c r="Q3251" s="13">
        <v>42.17</v>
      </c>
      <c r="R3251" s="1" t="s">
        <v>70</v>
      </c>
      <c r="S3251" s="1">
        <v>3</v>
      </c>
      <c r="T3251" s="1" t="b">
        <v>0</v>
      </c>
      <c r="U3251" s="1" t="s">
        <v>39</v>
      </c>
      <c r="V3251" s="3">
        <v>2</v>
      </c>
    </row>
    <row r="3252" spans="1:22" x14ac:dyDescent="0.3">
      <c r="A3252" s="2" t="s">
        <v>6969</v>
      </c>
      <c r="B3252" s="10">
        <v>45072</v>
      </c>
      <c r="C3252" s="22">
        <v>45072</v>
      </c>
      <c r="D3252" s="1" t="s">
        <v>6970</v>
      </c>
      <c r="E3252" s="1" t="s">
        <v>4531</v>
      </c>
      <c r="F3252" s="1">
        <v>39</v>
      </c>
      <c r="G3252" s="1" t="s">
        <v>68</v>
      </c>
      <c r="H3252" s="1" t="s">
        <v>25</v>
      </c>
      <c r="I3252" s="1" t="s">
        <v>69</v>
      </c>
      <c r="J3252" s="1" t="s">
        <v>37</v>
      </c>
      <c r="K3252" s="1" t="s">
        <v>38</v>
      </c>
      <c r="L3252" s="1">
        <v>1</v>
      </c>
      <c r="M3252" s="13">
        <v>2345.65</v>
      </c>
      <c r="N3252" s="15">
        <v>7.0000000000000007E-2</v>
      </c>
      <c r="O3252" s="13">
        <v>3844.13</v>
      </c>
      <c r="P3252" s="13">
        <v>2141.87</v>
      </c>
      <c r="Q3252" s="13">
        <v>54.42</v>
      </c>
      <c r="R3252" s="1" t="s">
        <v>57</v>
      </c>
      <c r="S3252" s="1">
        <v>2</v>
      </c>
      <c r="T3252" s="1" t="b">
        <v>1</v>
      </c>
      <c r="U3252" s="1" t="s">
        <v>30</v>
      </c>
      <c r="V3252" s="3">
        <v>3</v>
      </c>
    </row>
    <row r="3253" spans="1:22" x14ac:dyDescent="0.3">
      <c r="A3253" s="2" t="s">
        <v>6971</v>
      </c>
      <c r="B3253" s="10">
        <v>45326</v>
      </c>
      <c r="C3253" s="22">
        <v>45326</v>
      </c>
      <c r="D3253" s="1" t="s">
        <v>6972</v>
      </c>
      <c r="E3253" s="1" t="s">
        <v>289</v>
      </c>
      <c r="F3253" s="1">
        <v>40</v>
      </c>
      <c r="G3253" s="1" t="s">
        <v>68</v>
      </c>
      <c r="H3253" s="1" t="s">
        <v>25</v>
      </c>
      <c r="I3253" s="1" t="s">
        <v>26</v>
      </c>
      <c r="J3253" s="1" t="s">
        <v>44</v>
      </c>
      <c r="K3253" s="1" t="s">
        <v>221</v>
      </c>
      <c r="L3253" s="1">
        <v>1</v>
      </c>
      <c r="M3253" s="13">
        <v>12690.08</v>
      </c>
      <c r="N3253" s="15">
        <v>0.16</v>
      </c>
      <c r="O3253" s="13">
        <v>13573.95</v>
      </c>
      <c r="P3253" s="13">
        <v>3348.35</v>
      </c>
      <c r="Q3253" s="13">
        <v>78.84</v>
      </c>
      <c r="R3253" s="1" t="s">
        <v>57</v>
      </c>
      <c r="S3253" s="1">
        <v>4</v>
      </c>
      <c r="T3253" s="1" t="b">
        <v>0</v>
      </c>
      <c r="U3253" s="1" t="s">
        <v>39</v>
      </c>
      <c r="V3253" s="3">
        <v>2</v>
      </c>
    </row>
    <row r="3254" spans="1:22" x14ac:dyDescent="0.3">
      <c r="A3254" s="2" t="s">
        <v>6973</v>
      </c>
      <c r="B3254" s="10">
        <v>43862</v>
      </c>
      <c r="C3254" s="22">
        <v>43862</v>
      </c>
      <c r="D3254" s="1" t="s">
        <v>6974</v>
      </c>
      <c r="E3254" s="1" t="s">
        <v>1665</v>
      </c>
      <c r="F3254" s="1">
        <v>45</v>
      </c>
      <c r="G3254" s="1" t="s">
        <v>24</v>
      </c>
      <c r="H3254" s="1" t="s">
        <v>25</v>
      </c>
      <c r="I3254" s="1" t="s">
        <v>55</v>
      </c>
      <c r="J3254" s="1" t="s">
        <v>76</v>
      </c>
      <c r="K3254" s="1" t="s">
        <v>207</v>
      </c>
      <c r="L3254" s="1">
        <v>8</v>
      </c>
      <c r="M3254" s="13">
        <v>1746.58</v>
      </c>
      <c r="N3254" s="15">
        <v>0.14000000000000001</v>
      </c>
      <c r="O3254" s="13">
        <v>9981.19</v>
      </c>
      <c r="P3254" s="13">
        <v>3692.11</v>
      </c>
      <c r="Q3254" s="13">
        <v>25.32</v>
      </c>
      <c r="R3254" s="1" t="s">
        <v>29</v>
      </c>
      <c r="S3254" s="1">
        <v>3</v>
      </c>
      <c r="T3254" s="1" t="b">
        <v>0</v>
      </c>
      <c r="U3254" s="1" t="s">
        <v>137</v>
      </c>
      <c r="V3254" s="3">
        <v>3</v>
      </c>
    </row>
    <row r="3255" spans="1:22" x14ac:dyDescent="0.3">
      <c r="A3255" s="2" t="s">
        <v>6975</v>
      </c>
      <c r="B3255" s="10">
        <v>45239</v>
      </c>
      <c r="C3255" s="22">
        <v>45239</v>
      </c>
      <c r="D3255" s="1" t="s">
        <v>6976</v>
      </c>
      <c r="E3255" s="1" t="s">
        <v>1108</v>
      </c>
      <c r="F3255" s="1">
        <v>18</v>
      </c>
      <c r="G3255" s="1" t="s">
        <v>34</v>
      </c>
      <c r="H3255" s="1" t="s">
        <v>25</v>
      </c>
      <c r="I3255" s="1" t="s">
        <v>69</v>
      </c>
      <c r="J3255" s="1" t="s">
        <v>146</v>
      </c>
      <c r="K3255" s="1" t="s">
        <v>276</v>
      </c>
      <c r="L3255" s="1">
        <v>4</v>
      </c>
      <c r="M3255" s="13">
        <v>7196.49</v>
      </c>
      <c r="N3255" s="15">
        <v>0.2</v>
      </c>
      <c r="O3255" s="13">
        <v>23291.68</v>
      </c>
      <c r="P3255" s="13">
        <v>4701.83</v>
      </c>
      <c r="Q3255" s="13">
        <v>62.08</v>
      </c>
      <c r="R3255" s="1" t="s">
        <v>57</v>
      </c>
      <c r="S3255" s="1">
        <v>1</v>
      </c>
      <c r="T3255" s="1" t="b">
        <v>1</v>
      </c>
      <c r="U3255" s="1" t="s">
        <v>30</v>
      </c>
      <c r="V3255" s="3">
        <v>10</v>
      </c>
    </row>
    <row r="3256" spans="1:22" x14ac:dyDescent="0.3">
      <c r="A3256" s="2" t="s">
        <v>6977</v>
      </c>
      <c r="B3256" s="10">
        <v>44322</v>
      </c>
      <c r="C3256" s="22">
        <v>44322</v>
      </c>
      <c r="D3256" s="1" t="s">
        <v>6978</v>
      </c>
      <c r="E3256" s="1" t="s">
        <v>1275</v>
      </c>
      <c r="F3256" s="1">
        <v>27</v>
      </c>
      <c r="G3256" s="1" t="s">
        <v>24</v>
      </c>
      <c r="H3256" s="1" t="s">
        <v>35</v>
      </c>
      <c r="I3256" s="1" t="s">
        <v>49</v>
      </c>
      <c r="J3256" s="1" t="s">
        <v>146</v>
      </c>
      <c r="K3256" s="1" t="s">
        <v>484</v>
      </c>
      <c r="L3256" s="1">
        <v>9</v>
      </c>
      <c r="M3256" s="13">
        <v>748.26</v>
      </c>
      <c r="N3256" s="15">
        <v>0.21</v>
      </c>
      <c r="O3256" s="13">
        <v>10901.11</v>
      </c>
      <c r="P3256" s="13">
        <v>3339.14</v>
      </c>
      <c r="Q3256" s="13">
        <v>48.2</v>
      </c>
      <c r="R3256" s="1" t="s">
        <v>64</v>
      </c>
      <c r="S3256" s="1">
        <v>3</v>
      </c>
      <c r="T3256" s="1" t="b">
        <v>0</v>
      </c>
      <c r="U3256" s="1" t="s">
        <v>137</v>
      </c>
      <c r="V3256" s="3">
        <v>3</v>
      </c>
    </row>
    <row r="3257" spans="1:22" x14ac:dyDescent="0.3">
      <c r="A3257" s="2" t="s">
        <v>6979</v>
      </c>
      <c r="B3257" s="10">
        <v>44024</v>
      </c>
      <c r="C3257" s="22">
        <v>44024</v>
      </c>
      <c r="D3257" s="1" t="s">
        <v>6980</v>
      </c>
      <c r="E3257" s="1" t="s">
        <v>1309</v>
      </c>
      <c r="F3257" s="1">
        <v>26</v>
      </c>
      <c r="G3257" s="1" t="s">
        <v>68</v>
      </c>
      <c r="H3257" s="1" t="s">
        <v>25</v>
      </c>
      <c r="I3257" s="1" t="s">
        <v>55</v>
      </c>
      <c r="J3257" s="1" t="s">
        <v>27</v>
      </c>
      <c r="K3257" s="1" t="s">
        <v>430</v>
      </c>
      <c r="L3257" s="1">
        <v>9</v>
      </c>
      <c r="M3257" s="13">
        <v>367.82</v>
      </c>
      <c r="N3257" s="15">
        <v>0.37</v>
      </c>
      <c r="O3257" s="13">
        <v>2214.56</v>
      </c>
      <c r="P3257" s="13">
        <v>189.16</v>
      </c>
      <c r="Q3257" s="13">
        <v>74.739999999999995</v>
      </c>
      <c r="R3257" s="1" t="s">
        <v>29</v>
      </c>
      <c r="S3257" s="1">
        <v>3</v>
      </c>
      <c r="T3257" s="1" t="b">
        <v>0</v>
      </c>
      <c r="U3257" s="1" t="s">
        <v>39</v>
      </c>
      <c r="V3257" s="3">
        <v>9</v>
      </c>
    </row>
    <row r="3258" spans="1:22" x14ac:dyDescent="0.3">
      <c r="A3258" s="2" t="s">
        <v>6981</v>
      </c>
      <c r="B3258" s="10">
        <v>44961</v>
      </c>
      <c r="C3258" s="22">
        <v>44961</v>
      </c>
      <c r="D3258" s="1" t="s">
        <v>6982</v>
      </c>
      <c r="E3258" s="1" t="s">
        <v>1285</v>
      </c>
      <c r="F3258" s="1">
        <v>48</v>
      </c>
      <c r="G3258" s="1" t="s">
        <v>24</v>
      </c>
      <c r="H3258" s="1" t="s">
        <v>82</v>
      </c>
      <c r="I3258" s="1" t="s">
        <v>126</v>
      </c>
      <c r="J3258" s="1" t="s">
        <v>127</v>
      </c>
      <c r="K3258" s="1" t="s">
        <v>308</v>
      </c>
      <c r="L3258" s="1">
        <v>6</v>
      </c>
      <c r="M3258" s="13">
        <v>27584.29</v>
      </c>
      <c r="N3258" s="15">
        <v>0.04</v>
      </c>
      <c r="O3258" s="13">
        <v>154093.5</v>
      </c>
      <c r="P3258" s="13">
        <v>18519.240000000002</v>
      </c>
      <c r="Q3258" s="13">
        <v>82.16</v>
      </c>
      <c r="R3258" s="1" t="s">
        <v>64</v>
      </c>
      <c r="S3258" s="1">
        <v>3</v>
      </c>
      <c r="T3258" s="1" t="b">
        <v>1</v>
      </c>
      <c r="U3258" s="1" t="s">
        <v>30</v>
      </c>
      <c r="V3258" s="3">
        <v>1</v>
      </c>
    </row>
    <row r="3259" spans="1:22" x14ac:dyDescent="0.3">
      <c r="A3259" s="2" t="s">
        <v>6983</v>
      </c>
      <c r="B3259" s="10">
        <v>45385</v>
      </c>
      <c r="C3259" s="22">
        <v>45385</v>
      </c>
      <c r="D3259" s="1" t="s">
        <v>6984</v>
      </c>
      <c r="E3259" s="1" t="s">
        <v>1983</v>
      </c>
      <c r="F3259" s="1">
        <v>57</v>
      </c>
      <c r="G3259" s="1" t="s">
        <v>34</v>
      </c>
      <c r="H3259" s="1" t="s">
        <v>111</v>
      </c>
      <c r="I3259" s="1" t="s">
        <v>141</v>
      </c>
      <c r="J3259" s="1" t="s">
        <v>76</v>
      </c>
      <c r="K3259" s="1" t="s">
        <v>122</v>
      </c>
      <c r="L3259" s="1">
        <v>5</v>
      </c>
      <c r="M3259" s="13">
        <v>1559.69</v>
      </c>
      <c r="N3259" s="15">
        <v>0.21</v>
      </c>
      <c r="O3259" s="13">
        <v>10091.36</v>
      </c>
      <c r="P3259" s="13">
        <v>3080.02</v>
      </c>
      <c r="Q3259" s="13">
        <v>61.62</v>
      </c>
      <c r="R3259" s="1" t="s">
        <v>78</v>
      </c>
      <c r="S3259" s="1">
        <v>3</v>
      </c>
      <c r="T3259" s="1" t="b">
        <v>0</v>
      </c>
      <c r="U3259" s="1" t="s">
        <v>39</v>
      </c>
      <c r="V3259" s="3">
        <v>3</v>
      </c>
    </row>
    <row r="3260" spans="1:22" x14ac:dyDescent="0.3">
      <c r="A3260" s="2" t="s">
        <v>6985</v>
      </c>
      <c r="B3260" s="10">
        <v>45074</v>
      </c>
      <c r="C3260" s="22">
        <v>45074</v>
      </c>
      <c r="D3260" s="1" t="s">
        <v>6986</v>
      </c>
      <c r="E3260" s="1" t="s">
        <v>591</v>
      </c>
      <c r="F3260" s="1">
        <v>32</v>
      </c>
      <c r="G3260" s="1" t="s">
        <v>34</v>
      </c>
      <c r="H3260" s="1" t="s">
        <v>25</v>
      </c>
      <c r="I3260" s="1" t="s">
        <v>69</v>
      </c>
      <c r="J3260" s="1" t="s">
        <v>146</v>
      </c>
      <c r="K3260" s="1" t="s">
        <v>147</v>
      </c>
      <c r="L3260" s="1">
        <v>5</v>
      </c>
      <c r="M3260" s="13">
        <v>2734.25</v>
      </c>
      <c r="N3260" s="15">
        <v>0.28000000000000003</v>
      </c>
      <c r="O3260" s="13">
        <v>2776.37</v>
      </c>
      <c r="P3260" s="13">
        <v>628.32000000000005</v>
      </c>
      <c r="Q3260" s="13">
        <v>40.14</v>
      </c>
      <c r="R3260" s="1" t="s">
        <v>70</v>
      </c>
      <c r="S3260" s="1">
        <v>2</v>
      </c>
      <c r="T3260" s="1" t="b">
        <v>0</v>
      </c>
      <c r="U3260" s="1" t="s">
        <v>39</v>
      </c>
      <c r="V3260" s="3">
        <v>5</v>
      </c>
    </row>
    <row r="3261" spans="1:22" x14ac:dyDescent="0.3">
      <c r="A3261" s="2" t="s">
        <v>6987</v>
      </c>
      <c r="B3261" s="10">
        <v>45194</v>
      </c>
      <c r="C3261" s="22">
        <v>45194</v>
      </c>
      <c r="D3261" s="1" t="s">
        <v>6988</v>
      </c>
      <c r="E3261" s="1" t="s">
        <v>2791</v>
      </c>
      <c r="F3261" s="1">
        <v>49</v>
      </c>
      <c r="G3261" s="1" t="s">
        <v>68</v>
      </c>
      <c r="H3261" s="1" t="s">
        <v>74</v>
      </c>
      <c r="I3261" s="1" t="s">
        <v>192</v>
      </c>
      <c r="J3261" s="1" t="s">
        <v>146</v>
      </c>
      <c r="K3261" s="1" t="s">
        <v>161</v>
      </c>
      <c r="L3261" s="1">
        <v>1</v>
      </c>
      <c r="M3261" s="13">
        <v>6693.3</v>
      </c>
      <c r="N3261" s="15">
        <v>0.11</v>
      </c>
      <c r="O3261" s="13">
        <v>7001.71</v>
      </c>
      <c r="P3261" s="13">
        <v>1485.2</v>
      </c>
      <c r="Q3261" s="13">
        <v>49.16</v>
      </c>
      <c r="R3261" s="1" t="s">
        <v>70</v>
      </c>
      <c r="S3261" s="1">
        <v>1</v>
      </c>
      <c r="T3261" s="1" t="b">
        <v>0</v>
      </c>
      <c r="U3261" s="1" t="s">
        <v>84</v>
      </c>
      <c r="V3261" s="3">
        <v>7</v>
      </c>
    </row>
    <row r="3262" spans="1:22" x14ac:dyDescent="0.3">
      <c r="A3262" s="2" t="s">
        <v>6989</v>
      </c>
      <c r="B3262" s="10">
        <v>45347</v>
      </c>
      <c r="C3262" s="22">
        <v>45347</v>
      </c>
      <c r="D3262" s="1" t="s">
        <v>6990</v>
      </c>
      <c r="E3262" s="1" t="s">
        <v>875</v>
      </c>
      <c r="F3262" s="1">
        <v>30</v>
      </c>
      <c r="G3262" s="1" t="s">
        <v>68</v>
      </c>
      <c r="H3262" s="1" t="s">
        <v>25</v>
      </c>
      <c r="I3262" s="1" t="s">
        <v>170</v>
      </c>
      <c r="J3262" s="1" t="s">
        <v>127</v>
      </c>
      <c r="K3262" s="1" t="s">
        <v>517</v>
      </c>
      <c r="L3262" s="1">
        <v>1</v>
      </c>
      <c r="M3262" s="13">
        <v>7202.38</v>
      </c>
      <c r="N3262" s="15">
        <v>0.21</v>
      </c>
      <c r="O3262" s="13">
        <v>6816.92</v>
      </c>
      <c r="P3262" s="13">
        <v>552.15</v>
      </c>
      <c r="Q3262" s="13">
        <v>67.34</v>
      </c>
      <c r="R3262" s="1" t="s">
        <v>57</v>
      </c>
      <c r="S3262" s="1">
        <v>2</v>
      </c>
      <c r="T3262" s="1" t="b">
        <v>1</v>
      </c>
      <c r="U3262" s="1" t="s">
        <v>30</v>
      </c>
      <c r="V3262" s="3">
        <v>4</v>
      </c>
    </row>
    <row r="3263" spans="1:22" x14ac:dyDescent="0.3">
      <c r="A3263" s="2" t="s">
        <v>6991</v>
      </c>
      <c r="B3263" s="10">
        <v>44331</v>
      </c>
      <c r="C3263" s="22">
        <v>44331</v>
      </c>
      <c r="D3263" s="1" t="s">
        <v>6992</v>
      </c>
      <c r="E3263" s="1" t="s">
        <v>167</v>
      </c>
      <c r="F3263" s="1">
        <v>19</v>
      </c>
      <c r="G3263" s="1" t="s">
        <v>24</v>
      </c>
      <c r="H3263" s="1" t="s">
        <v>111</v>
      </c>
      <c r="I3263" s="1" t="s">
        <v>112</v>
      </c>
      <c r="J3263" s="1" t="s">
        <v>44</v>
      </c>
      <c r="K3263" s="1" t="s">
        <v>45</v>
      </c>
      <c r="L3263" s="1">
        <v>1</v>
      </c>
      <c r="M3263" s="13">
        <v>12504.29</v>
      </c>
      <c r="N3263" s="15">
        <v>0.15</v>
      </c>
      <c r="O3263" s="13">
        <v>14133.18</v>
      </c>
      <c r="P3263" s="13">
        <v>5257.39</v>
      </c>
      <c r="Q3263" s="13">
        <v>87.69</v>
      </c>
      <c r="R3263" s="1" t="s">
        <v>51</v>
      </c>
      <c r="S3263" s="1">
        <v>4</v>
      </c>
      <c r="T3263" s="1" t="b">
        <v>0</v>
      </c>
      <c r="U3263" s="1" t="s">
        <v>39</v>
      </c>
      <c r="V3263" s="3">
        <v>8</v>
      </c>
    </row>
    <row r="3264" spans="1:22" x14ac:dyDescent="0.3">
      <c r="A3264" s="2" t="s">
        <v>6993</v>
      </c>
      <c r="B3264" s="10">
        <v>44532</v>
      </c>
      <c r="C3264" s="22">
        <v>44532</v>
      </c>
      <c r="D3264" s="1" t="s">
        <v>6994</v>
      </c>
      <c r="E3264" s="1" t="s">
        <v>1535</v>
      </c>
      <c r="F3264" s="1">
        <v>30</v>
      </c>
      <c r="G3264" s="1" t="s">
        <v>34</v>
      </c>
      <c r="H3264" s="1" t="s">
        <v>111</v>
      </c>
      <c r="I3264" s="1" t="s">
        <v>112</v>
      </c>
      <c r="J3264" s="1" t="s">
        <v>27</v>
      </c>
      <c r="K3264" s="1" t="s">
        <v>430</v>
      </c>
      <c r="L3264" s="1">
        <v>2</v>
      </c>
      <c r="M3264" s="13">
        <v>117.65</v>
      </c>
      <c r="N3264" s="15">
        <v>0.21</v>
      </c>
      <c r="O3264" s="13">
        <v>182.73</v>
      </c>
      <c r="P3264" s="13">
        <v>14.01</v>
      </c>
      <c r="Q3264" s="13">
        <v>71.510000000000005</v>
      </c>
      <c r="R3264" s="1" t="s">
        <v>57</v>
      </c>
      <c r="S3264" s="1">
        <v>4</v>
      </c>
      <c r="T3264" s="1" t="b">
        <v>0</v>
      </c>
      <c r="U3264" s="1" t="s">
        <v>39</v>
      </c>
      <c r="V3264" s="3">
        <v>4</v>
      </c>
    </row>
    <row r="3265" spans="1:22" x14ac:dyDescent="0.3">
      <c r="A3265" s="2" t="s">
        <v>6995</v>
      </c>
      <c r="B3265" s="10">
        <v>44647</v>
      </c>
      <c r="C3265" s="22">
        <v>44647</v>
      </c>
      <c r="D3265" s="1" t="s">
        <v>6996</v>
      </c>
      <c r="E3265" s="1" t="s">
        <v>314</v>
      </c>
      <c r="F3265" s="1">
        <v>27</v>
      </c>
      <c r="G3265" s="1" t="s">
        <v>391</v>
      </c>
      <c r="H3265" s="1" t="s">
        <v>82</v>
      </c>
      <c r="I3265" s="1" t="s">
        <v>126</v>
      </c>
      <c r="J3265" s="1" t="s">
        <v>127</v>
      </c>
      <c r="K3265" s="1" t="s">
        <v>517</v>
      </c>
      <c r="L3265" s="1">
        <v>7</v>
      </c>
      <c r="M3265" s="13">
        <v>49930.01</v>
      </c>
      <c r="N3265" s="15">
        <v>0.18</v>
      </c>
      <c r="O3265" s="13">
        <v>305814.52</v>
      </c>
      <c r="P3265" s="13">
        <v>52733.26</v>
      </c>
      <c r="Q3265" s="13">
        <v>87.99</v>
      </c>
      <c r="R3265" s="1" t="s">
        <v>70</v>
      </c>
      <c r="S3265" s="1">
        <v>2</v>
      </c>
      <c r="T3265" s="1" t="b">
        <v>1</v>
      </c>
      <c r="U3265" s="1" t="s">
        <v>30</v>
      </c>
      <c r="V3265" s="3">
        <v>1</v>
      </c>
    </row>
    <row r="3266" spans="1:22" x14ac:dyDescent="0.3">
      <c r="A3266" s="2" t="s">
        <v>6997</v>
      </c>
      <c r="B3266" s="10">
        <v>44460</v>
      </c>
      <c r="C3266" s="22">
        <v>44460</v>
      </c>
      <c r="D3266" s="1" t="s">
        <v>6998</v>
      </c>
      <c r="E3266" s="1" t="s">
        <v>48</v>
      </c>
      <c r="F3266" s="1">
        <v>56</v>
      </c>
      <c r="G3266" s="1" t="s">
        <v>34</v>
      </c>
      <c r="H3266" s="1" t="s">
        <v>111</v>
      </c>
      <c r="I3266" s="1" t="s">
        <v>112</v>
      </c>
      <c r="J3266" s="1" t="s">
        <v>127</v>
      </c>
      <c r="K3266" s="1" t="s">
        <v>128</v>
      </c>
      <c r="L3266" s="1">
        <v>8</v>
      </c>
      <c r="M3266" s="13">
        <v>75033.34</v>
      </c>
      <c r="N3266" s="15">
        <v>0.28000000000000003</v>
      </c>
      <c r="O3266" s="13">
        <v>506816.82</v>
      </c>
      <c r="P3266" s="13">
        <v>73937.62</v>
      </c>
      <c r="Q3266" s="13">
        <v>61.37</v>
      </c>
      <c r="R3266" s="1" t="s">
        <v>70</v>
      </c>
      <c r="S3266" s="1">
        <v>4</v>
      </c>
      <c r="T3266" s="1" t="b">
        <v>0</v>
      </c>
      <c r="U3266" s="1" t="s">
        <v>39</v>
      </c>
      <c r="V3266" s="3">
        <v>7</v>
      </c>
    </row>
    <row r="3267" spans="1:22" x14ac:dyDescent="0.3">
      <c r="A3267" s="2" t="s">
        <v>6999</v>
      </c>
      <c r="B3267" s="10">
        <v>44395</v>
      </c>
      <c r="C3267" s="22">
        <v>44395</v>
      </c>
      <c r="D3267" s="1" t="s">
        <v>7000</v>
      </c>
      <c r="E3267" s="1" t="s">
        <v>983</v>
      </c>
      <c r="F3267" s="1">
        <v>28</v>
      </c>
      <c r="G3267" s="1" t="s">
        <v>24</v>
      </c>
      <c r="H3267" s="1" t="s">
        <v>82</v>
      </c>
      <c r="I3267" s="1" t="s">
        <v>244</v>
      </c>
      <c r="J3267" s="1" t="s">
        <v>44</v>
      </c>
      <c r="K3267" s="1" t="s">
        <v>186</v>
      </c>
      <c r="L3267" s="1">
        <v>2</v>
      </c>
      <c r="M3267" s="13">
        <v>27494.42</v>
      </c>
      <c r="N3267" s="15">
        <v>0.09</v>
      </c>
      <c r="O3267" s="13">
        <v>66782.429999999993</v>
      </c>
      <c r="P3267" s="13">
        <v>17991.259999999998</v>
      </c>
      <c r="Q3267" s="13">
        <v>56.35</v>
      </c>
      <c r="R3267" s="1" t="s">
        <v>70</v>
      </c>
      <c r="S3267" s="1">
        <v>3</v>
      </c>
      <c r="T3267" s="1" t="b">
        <v>0</v>
      </c>
      <c r="U3267" s="1" t="s">
        <v>39</v>
      </c>
      <c r="V3267" s="3">
        <v>6</v>
      </c>
    </row>
    <row r="3268" spans="1:22" x14ac:dyDescent="0.3">
      <c r="A3268" s="2" t="s">
        <v>7001</v>
      </c>
      <c r="B3268" s="10">
        <v>43923</v>
      </c>
      <c r="C3268" s="22">
        <v>43923</v>
      </c>
      <c r="D3268" s="1" t="s">
        <v>7002</v>
      </c>
      <c r="E3268" s="1" t="s">
        <v>611</v>
      </c>
      <c r="F3268" s="1">
        <v>47</v>
      </c>
      <c r="G3268" s="1" t="s">
        <v>34</v>
      </c>
      <c r="H3268" s="1" t="s">
        <v>111</v>
      </c>
      <c r="I3268" s="1" t="s">
        <v>121</v>
      </c>
      <c r="J3268" s="1" t="s">
        <v>62</v>
      </c>
      <c r="K3268" s="1" t="s">
        <v>151</v>
      </c>
      <c r="L3268" s="1">
        <v>6</v>
      </c>
      <c r="M3268" s="13">
        <v>1246.19</v>
      </c>
      <c r="N3268" s="15">
        <v>0.06</v>
      </c>
      <c r="O3268" s="13">
        <v>7951.41</v>
      </c>
      <c r="P3268" s="13">
        <v>4298.8900000000003</v>
      </c>
      <c r="Q3268" s="13">
        <v>74.09</v>
      </c>
      <c r="R3268" s="1" t="s">
        <v>51</v>
      </c>
      <c r="S3268" s="1">
        <v>3</v>
      </c>
      <c r="T3268" s="1" t="b">
        <v>0</v>
      </c>
      <c r="U3268" s="1" t="s">
        <v>39</v>
      </c>
      <c r="V3268" s="3">
        <v>7</v>
      </c>
    </row>
    <row r="3269" spans="1:22" x14ac:dyDescent="0.3">
      <c r="A3269" s="2" t="s">
        <v>7003</v>
      </c>
      <c r="B3269" s="10">
        <v>44518</v>
      </c>
      <c r="C3269" s="22">
        <v>44518</v>
      </c>
      <c r="D3269" s="1" t="s">
        <v>7004</v>
      </c>
      <c r="E3269" s="1" t="s">
        <v>1216</v>
      </c>
      <c r="F3269" s="1">
        <v>30</v>
      </c>
      <c r="G3269" s="1" t="s">
        <v>34</v>
      </c>
      <c r="H3269" s="1" t="s">
        <v>25</v>
      </c>
      <c r="I3269" s="1" t="s">
        <v>170</v>
      </c>
      <c r="J3269" s="1" t="s">
        <v>76</v>
      </c>
      <c r="K3269" s="1" t="s">
        <v>77</v>
      </c>
      <c r="L3269" s="1">
        <v>7</v>
      </c>
      <c r="M3269" s="13">
        <v>1494.18</v>
      </c>
      <c r="N3269" s="15">
        <v>0.13</v>
      </c>
      <c r="O3269" s="13">
        <v>7729.55</v>
      </c>
      <c r="P3269" s="13">
        <v>3630.71</v>
      </c>
      <c r="Q3269" s="13">
        <v>80.11</v>
      </c>
      <c r="R3269" s="1" t="s">
        <v>70</v>
      </c>
      <c r="S3269" s="1">
        <v>3</v>
      </c>
      <c r="T3269" s="1" t="b">
        <v>0</v>
      </c>
      <c r="U3269" s="1" t="s">
        <v>39</v>
      </c>
      <c r="V3269" s="3">
        <v>10</v>
      </c>
    </row>
    <row r="3270" spans="1:22" x14ac:dyDescent="0.3">
      <c r="A3270" s="2" t="s">
        <v>7005</v>
      </c>
      <c r="B3270" s="10">
        <v>44554</v>
      </c>
      <c r="C3270" s="22">
        <v>44554</v>
      </c>
      <c r="D3270" s="1" t="s">
        <v>7006</v>
      </c>
      <c r="E3270" s="1" t="s">
        <v>2927</v>
      </c>
      <c r="F3270" s="1">
        <v>22</v>
      </c>
      <c r="G3270" s="1" t="s">
        <v>34</v>
      </c>
      <c r="H3270" s="1" t="s">
        <v>111</v>
      </c>
      <c r="I3270" s="1" t="s">
        <v>141</v>
      </c>
      <c r="J3270" s="1" t="s">
        <v>76</v>
      </c>
      <c r="K3270" s="1" t="s">
        <v>89</v>
      </c>
      <c r="L3270" s="1">
        <v>4</v>
      </c>
      <c r="M3270" s="13">
        <v>1566.74</v>
      </c>
      <c r="N3270" s="15">
        <v>7.0000000000000007E-2</v>
      </c>
      <c r="O3270" s="13">
        <v>3925.14</v>
      </c>
      <c r="P3270" s="13">
        <v>1682.6</v>
      </c>
      <c r="Q3270" s="13">
        <v>77.040000000000006</v>
      </c>
      <c r="R3270" s="1" t="s">
        <v>29</v>
      </c>
      <c r="S3270" s="1">
        <v>4</v>
      </c>
      <c r="T3270" s="1" t="b">
        <v>0</v>
      </c>
      <c r="U3270" s="1" t="s">
        <v>137</v>
      </c>
      <c r="V3270" s="3">
        <v>9</v>
      </c>
    </row>
    <row r="3271" spans="1:22" x14ac:dyDescent="0.3">
      <c r="A3271" s="2" t="s">
        <v>7007</v>
      </c>
      <c r="B3271" s="10">
        <v>43896</v>
      </c>
      <c r="C3271" s="22">
        <v>43896</v>
      </c>
      <c r="D3271" s="1" t="s">
        <v>7008</v>
      </c>
      <c r="E3271" s="1" t="s">
        <v>381</v>
      </c>
      <c r="F3271" s="1">
        <v>32</v>
      </c>
      <c r="G3271" s="1" t="s">
        <v>34</v>
      </c>
      <c r="H3271" s="1" t="s">
        <v>25</v>
      </c>
      <c r="I3271" s="1" t="s">
        <v>170</v>
      </c>
      <c r="J3271" s="1" t="s">
        <v>76</v>
      </c>
      <c r="K3271" s="1" t="s">
        <v>113</v>
      </c>
      <c r="L3271" s="1">
        <v>7</v>
      </c>
      <c r="M3271" s="13">
        <v>634.01</v>
      </c>
      <c r="N3271" s="15">
        <v>0.35</v>
      </c>
      <c r="O3271" s="13">
        <v>2632.38</v>
      </c>
      <c r="P3271" s="13">
        <v>1034.24</v>
      </c>
      <c r="Q3271" s="13">
        <v>76.53</v>
      </c>
      <c r="R3271" s="1" t="s">
        <v>78</v>
      </c>
      <c r="S3271" s="1">
        <v>4</v>
      </c>
      <c r="T3271" s="1" t="b">
        <v>0</v>
      </c>
      <c r="U3271" s="1" t="s">
        <v>39</v>
      </c>
      <c r="V3271" s="3">
        <v>9</v>
      </c>
    </row>
    <row r="3272" spans="1:22" x14ac:dyDescent="0.3">
      <c r="A3272" s="2" t="s">
        <v>7009</v>
      </c>
      <c r="B3272" s="10">
        <v>43885</v>
      </c>
      <c r="C3272" s="22">
        <v>43885</v>
      </c>
      <c r="D3272" s="1" t="s">
        <v>3905</v>
      </c>
      <c r="E3272" s="1" t="s">
        <v>1390</v>
      </c>
      <c r="F3272" s="1">
        <v>49</v>
      </c>
      <c r="G3272" s="1" t="s">
        <v>68</v>
      </c>
      <c r="H3272" s="1" t="s">
        <v>25</v>
      </c>
      <c r="I3272" s="1" t="s">
        <v>69</v>
      </c>
      <c r="J3272" s="1" t="s">
        <v>37</v>
      </c>
      <c r="K3272" s="1" t="s">
        <v>671</v>
      </c>
      <c r="L3272" s="1">
        <v>3</v>
      </c>
      <c r="M3272" s="13">
        <v>2127.17</v>
      </c>
      <c r="N3272" s="15">
        <v>0.32</v>
      </c>
      <c r="O3272" s="13">
        <v>3803.64</v>
      </c>
      <c r="P3272" s="13">
        <v>1419.85</v>
      </c>
      <c r="Q3272" s="13">
        <v>67.56</v>
      </c>
      <c r="R3272" s="1" t="s">
        <v>78</v>
      </c>
      <c r="S3272" s="1">
        <v>1</v>
      </c>
      <c r="T3272" s="1" t="b">
        <v>0</v>
      </c>
      <c r="U3272" s="1" t="s">
        <v>39</v>
      </c>
      <c r="V3272" s="3">
        <v>1</v>
      </c>
    </row>
    <row r="3273" spans="1:22" x14ac:dyDescent="0.3">
      <c r="A3273" s="2" t="s">
        <v>7010</v>
      </c>
      <c r="B3273" s="10">
        <v>43913</v>
      </c>
      <c r="C3273" s="22">
        <v>43913</v>
      </c>
      <c r="D3273" s="1" t="s">
        <v>7011</v>
      </c>
      <c r="E3273" s="1" t="s">
        <v>973</v>
      </c>
      <c r="F3273" s="1">
        <v>44</v>
      </c>
      <c r="G3273" s="1" t="s">
        <v>24</v>
      </c>
      <c r="H3273" s="1" t="s">
        <v>82</v>
      </c>
      <c r="I3273" s="1" t="s">
        <v>126</v>
      </c>
      <c r="J3273" s="1" t="s">
        <v>27</v>
      </c>
      <c r="K3273" s="1" t="s">
        <v>28</v>
      </c>
      <c r="L3273" s="1">
        <v>3</v>
      </c>
      <c r="M3273" s="13">
        <v>315.98</v>
      </c>
      <c r="N3273" s="15">
        <v>0.2</v>
      </c>
      <c r="O3273" s="13">
        <v>801.2</v>
      </c>
      <c r="P3273" s="13">
        <v>62.11</v>
      </c>
      <c r="Q3273" s="13">
        <v>104.89</v>
      </c>
      <c r="R3273" s="1" t="s">
        <v>70</v>
      </c>
      <c r="S3273" s="1">
        <v>4</v>
      </c>
      <c r="T3273" s="1" t="b">
        <v>0</v>
      </c>
      <c r="U3273" s="1" t="s">
        <v>39</v>
      </c>
      <c r="V3273" s="3">
        <v>3</v>
      </c>
    </row>
    <row r="3274" spans="1:22" x14ac:dyDescent="0.3">
      <c r="A3274" s="2" t="s">
        <v>7012</v>
      </c>
      <c r="B3274" s="10">
        <v>44874</v>
      </c>
      <c r="C3274" s="22">
        <v>44874</v>
      </c>
      <c r="D3274" s="1" t="s">
        <v>7013</v>
      </c>
      <c r="E3274" s="1" t="s">
        <v>429</v>
      </c>
      <c r="F3274" s="1">
        <v>41</v>
      </c>
      <c r="G3274" s="1" t="s">
        <v>68</v>
      </c>
      <c r="H3274" s="1" t="s">
        <v>35</v>
      </c>
      <c r="I3274" s="1" t="s">
        <v>36</v>
      </c>
      <c r="J3274" s="1" t="s">
        <v>146</v>
      </c>
      <c r="K3274" s="1" t="s">
        <v>147</v>
      </c>
      <c r="L3274" s="1">
        <v>10</v>
      </c>
      <c r="M3274" s="13">
        <v>5187.53</v>
      </c>
      <c r="N3274" s="15">
        <v>0.13</v>
      </c>
      <c r="O3274" s="13">
        <v>41193.61</v>
      </c>
      <c r="P3274" s="13">
        <v>8791.81</v>
      </c>
      <c r="Q3274" s="13">
        <v>49.73</v>
      </c>
      <c r="R3274" s="1" t="s">
        <v>78</v>
      </c>
      <c r="S3274" s="1">
        <v>3</v>
      </c>
      <c r="T3274" s="1" t="b">
        <v>0</v>
      </c>
      <c r="U3274" s="1" t="s">
        <v>39</v>
      </c>
      <c r="V3274" s="3">
        <v>2</v>
      </c>
    </row>
    <row r="3275" spans="1:22" x14ac:dyDescent="0.3">
      <c r="A3275" s="2" t="s">
        <v>7014</v>
      </c>
      <c r="B3275" s="10">
        <v>44916</v>
      </c>
      <c r="C3275" s="22">
        <v>44916</v>
      </c>
      <c r="D3275" s="1" t="s">
        <v>7015</v>
      </c>
      <c r="E3275" s="1" t="s">
        <v>100</v>
      </c>
      <c r="F3275" s="1">
        <v>38</v>
      </c>
      <c r="G3275" s="1" t="s">
        <v>68</v>
      </c>
      <c r="H3275" s="1" t="s">
        <v>111</v>
      </c>
      <c r="I3275" s="1" t="s">
        <v>330</v>
      </c>
      <c r="J3275" s="1" t="s">
        <v>127</v>
      </c>
      <c r="K3275" s="1" t="s">
        <v>142</v>
      </c>
      <c r="L3275" s="1">
        <v>10</v>
      </c>
      <c r="M3275" s="13">
        <v>22540.09</v>
      </c>
      <c r="N3275" s="15">
        <v>0.08</v>
      </c>
      <c r="O3275" s="13">
        <v>196931.1</v>
      </c>
      <c r="P3275" s="13">
        <v>22056.79</v>
      </c>
      <c r="Q3275" s="13">
        <v>77.63</v>
      </c>
      <c r="R3275" s="1" t="s">
        <v>64</v>
      </c>
      <c r="S3275" s="1">
        <v>4</v>
      </c>
      <c r="T3275" s="1" t="b">
        <v>0</v>
      </c>
      <c r="U3275" s="1" t="s">
        <v>39</v>
      </c>
      <c r="V3275" s="3">
        <v>6</v>
      </c>
    </row>
    <row r="3276" spans="1:22" x14ac:dyDescent="0.3">
      <c r="A3276" s="2" t="s">
        <v>7016</v>
      </c>
      <c r="B3276" s="10">
        <v>44840</v>
      </c>
      <c r="C3276" s="22">
        <v>44840</v>
      </c>
      <c r="D3276" s="1" t="s">
        <v>7017</v>
      </c>
      <c r="E3276" s="1" t="s">
        <v>81</v>
      </c>
      <c r="F3276" s="1">
        <v>27</v>
      </c>
      <c r="G3276" s="1" t="s">
        <v>68</v>
      </c>
      <c r="H3276" s="1" t="s">
        <v>111</v>
      </c>
      <c r="I3276" s="1" t="s">
        <v>330</v>
      </c>
      <c r="J3276" s="1" t="s">
        <v>44</v>
      </c>
      <c r="K3276" s="1" t="s">
        <v>186</v>
      </c>
      <c r="L3276" s="1">
        <v>9</v>
      </c>
      <c r="M3276" s="13">
        <v>22455.86</v>
      </c>
      <c r="N3276" s="15">
        <v>0.23</v>
      </c>
      <c r="O3276" s="13">
        <v>158725.76000000001</v>
      </c>
      <c r="P3276" s="13">
        <v>35481.879999999997</v>
      </c>
      <c r="Q3276" s="13">
        <v>64.83</v>
      </c>
      <c r="R3276" s="1" t="s">
        <v>70</v>
      </c>
      <c r="S3276" s="1">
        <v>4</v>
      </c>
      <c r="T3276" s="1" t="b">
        <v>0</v>
      </c>
      <c r="U3276" s="1" t="s">
        <v>39</v>
      </c>
      <c r="V3276" s="3">
        <v>4</v>
      </c>
    </row>
    <row r="3277" spans="1:22" x14ac:dyDescent="0.3">
      <c r="A3277" s="2" t="s">
        <v>7018</v>
      </c>
      <c r="B3277" s="10">
        <v>45508</v>
      </c>
      <c r="C3277" s="22">
        <v>45508</v>
      </c>
      <c r="D3277" s="1" t="s">
        <v>7019</v>
      </c>
      <c r="E3277" s="1" t="s">
        <v>1327</v>
      </c>
      <c r="F3277" s="1">
        <v>37</v>
      </c>
      <c r="G3277" s="1" t="s">
        <v>68</v>
      </c>
      <c r="H3277" s="1" t="s">
        <v>35</v>
      </c>
      <c r="I3277" s="1" t="s">
        <v>36</v>
      </c>
      <c r="J3277" s="1" t="s">
        <v>27</v>
      </c>
      <c r="K3277" s="1" t="s">
        <v>97</v>
      </c>
      <c r="L3277" s="1">
        <v>4</v>
      </c>
      <c r="M3277" s="13">
        <v>315.04000000000002</v>
      </c>
      <c r="N3277" s="15">
        <v>0.14000000000000001</v>
      </c>
      <c r="O3277" s="13">
        <v>1725.71</v>
      </c>
      <c r="P3277" s="13">
        <v>108.93</v>
      </c>
      <c r="Q3277" s="13">
        <v>49.89</v>
      </c>
      <c r="R3277" s="1" t="s">
        <v>70</v>
      </c>
      <c r="S3277" s="1">
        <v>3</v>
      </c>
      <c r="T3277" s="1" t="b">
        <v>0</v>
      </c>
      <c r="U3277" s="1" t="s">
        <v>39</v>
      </c>
      <c r="V3277" s="3">
        <v>10</v>
      </c>
    </row>
    <row r="3278" spans="1:22" x14ac:dyDescent="0.3">
      <c r="A3278" s="2" t="s">
        <v>7020</v>
      </c>
      <c r="B3278" s="10">
        <v>45301</v>
      </c>
      <c r="C3278" s="22">
        <v>45301</v>
      </c>
      <c r="D3278" s="1" t="s">
        <v>7021</v>
      </c>
      <c r="E3278" s="1" t="s">
        <v>1246</v>
      </c>
      <c r="F3278" s="1">
        <v>31</v>
      </c>
      <c r="G3278" s="1" t="s">
        <v>34</v>
      </c>
      <c r="H3278" s="1" t="s">
        <v>25</v>
      </c>
      <c r="I3278" s="1" t="s">
        <v>26</v>
      </c>
      <c r="J3278" s="1" t="s">
        <v>37</v>
      </c>
      <c r="K3278" s="1" t="s">
        <v>38</v>
      </c>
      <c r="L3278" s="1">
        <v>10</v>
      </c>
      <c r="M3278" s="13">
        <v>412.64</v>
      </c>
      <c r="N3278" s="15">
        <v>0.28000000000000003</v>
      </c>
      <c r="O3278" s="13">
        <v>2849.95</v>
      </c>
      <c r="P3278" s="13">
        <v>1648.72</v>
      </c>
      <c r="Q3278" s="13">
        <v>35.19</v>
      </c>
      <c r="R3278" s="1" t="s">
        <v>70</v>
      </c>
      <c r="S3278" s="1">
        <v>5</v>
      </c>
      <c r="T3278" s="1" t="b">
        <v>0</v>
      </c>
      <c r="U3278" s="1" t="s">
        <v>39</v>
      </c>
      <c r="V3278" s="3">
        <v>6</v>
      </c>
    </row>
    <row r="3279" spans="1:22" x14ac:dyDescent="0.3">
      <c r="A3279" s="2" t="s">
        <v>7022</v>
      </c>
      <c r="B3279" s="10">
        <v>44967</v>
      </c>
      <c r="C3279" s="22">
        <v>44967</v>
      </c>
      <c r="D3279" s="1" t="s">
        <v>7023</v>
      </c>
      <c r="E3279" s="1" t="s">
        <v>520</v>
      </c>
      <c r="F3279" s="1">
        <v>50</v>
      </c>
      <c r="G3279" s="1" t="s">
        <v>34</v>
      </c>
      <c r="H3279" s="1" t="s">
        <v>111</v>
      </c>
      <c r="I3279" s="1" t="s">
        <v>121</v>
      </c>
      <c r="J3279" s="1" t="s">
        <v>37</v>
      </c>
      <c r="K3279" s="1" t="s">
        <v>454</v>
      </c>
      <c r="L3279" s="1">
        <v>6</v>
      </c>
      <c r="M3279" s="13">
        <v>1758.55</v>
      </c>
      <c r="N3279" s="15">
        <v>0.28999999999999998</v>
      </c>
      <c r="O3279" s="13">
        <v>8300.7900000000009</v>
      </c>
      <c r="P3279" s="13">
        <v>4314.0200000000004</v>
      </c>
      <c r="Q3279" s="13">
        <v>64.459999999999994</v>
      </c>
      <c r="R3279" s="1" t="s">
        <v>57</v>
      </c>
      <c r="S3279" s="1">
        <v>4</v>
      </c>
      <c r="T3279" s="1" t="b">
        <v>0</v>
      </c>
      <c r="U3279" s="1" t="s">
        <v>39</v>
      </c>
      <c r="V3279" s="3">
        <v>1</v>
      </c>
    </row>
    <row r="3280" spans="1:22" x14ac:dyDescent="0.3">
      <c r="A3280" s="2" t="s">
        <v>7024</v>
      </c>
      <c r="B3280" s="10">
        <v>45013</v>
      </c>
      <c r="C3280" s="22">
        <v>45013</v>
      </c>
      <c r="D3280" s="1" t="s">
        <v>7025</v>
      </c>
      <c r="E3280" s="1" t="s">
        <v>1243</v>
      </c>
      <c r="F3280" s="1">
        <v>34</v>
      </c>
      <c r="G3280" s="1" t="s">
        <v>34</v>
      </c>
      <c r="H3280" s="1" t="s">
        <v>74</v>
      </c>
      <c r="I3280" s="1" t="s">
        <v>75</v>
      </c>
      <c r="J3280" s="1" t="s">
        <v>44</v>
      </c>
      <c r="K3280" s="1" t="s">
        <v>45</v>
      </c>
      <c r="L3280" s="1">
        <v>2</v>
      </c>
      <c r="M3280" s="13">
        <v>25068.04</v>
      </c>
      <c r="N3280" s="15">
        <v>7.0000000000000007E-2</v>
      </c>
      <c r="O3280" s="13">
        <v>60153.24</v>
      </c>
      <c r="P3280" s="13">
        <v>15753.38</v>
      </c>
      <c r="Q3280" s="13">
        <v>16.5</v>
      </c>
      <c r="R3280" s="1" t="s">
        <v>29</v>
      </c>
      <c r="S3280" s="1">
        <v>1</v>
      </c>
      <c r="T3280" s="1" t="b">
        <v>0</v>
      </c>
      <c r="U3280" s="1" t="s">
        <v>39</v>
      </c>
      <c r="V3280" s="3">
        <v>2</v>
      </c>
    </row>
    <row r="3281" spans="1:22" x14ac:dyDescent="0.3">
      <c r="A3281" s="2" t="s">
        <v>7026</v>
      </c>
      <c r="B3281" s="10">
        <v>45541</v>
      </c>
      <c r="C3281" s="22">
        <v>45541</v>
      </c>
      <c r="D3281" s="1" t="s">
        <v>7027</v>
      </c>
      <c r="E3281" s="1" t="s">
        <v>555</v>
      </c>
      <c r="F3281" s="1">
        <v>14</v>
      </c>
      <c r="G3281" s="1" t="s">
        <v>24</v>
      </c>
      <c r="H3281" s="1" t="s">
        <v>35</v>
      </c>
      <c r="I3281" s="1" t="s">
        <v>36</v>
      </c>
      <c r="J3281" s="1" t="s">
        <v>127</v>
      </c>
      <c r="K3281" s="1" t="s">
        <v>142</v>
      </c>
      <c r="L3281" s="1">
        <v>2</v>
      </c>
      <c r="M3281" s="13">
        <v>41228.519999999997</v>
      </c>
      <c r="N3281" s="15">
        <v>0.11</v>
      </c>
      <c r="O3281" s="13">
        <v>103175.92</v>
      </c>
      <c r="P3281" s="13">
        <v>12285.24</v>
      </c>
      <c r="Q3281" s="13">
        <v>37.79</v>
      </c>
      <c r="R3281" s="1" t="s">
        <v>29</v>
      </c>
      <c r="S3281" s="1">
        <v>4</v>
      </c>
      <c r="T3281" s="1" t="b">
        <v>1</v>
      </c>
      <c r="U3281" s="1" t="s">
        <v>30</v>
      </c>
      <c r="V3281" s="3">
        <v>8</v>
      </c>
    </row>
    <row r="3282" spans="1:22" x14ac:dyDescent="0.3">
      <c r="A3282" s="2" t="s">
        <v>7028</v>
      </c>
      <c r="B3282" s="10">
        <v>45366</v>
      </c>
      <c r="C3282" s="22">
        <v>45366</v>
      </c>
      <c r="D3282" s="1" t="s">
        <v>7029</v>
      </c>
      <c r="E3282" s="1" t="s">
        <v>237</v>
      </c>
      <c r="F3282" s="1">
        <v>40</v>
      </c>
      <c r="G3282" s="1" t="s">
        <v>34</v>
      </c>
      <c r="H3282" s="1" t="s">
        <v>82</v>
      </c>
      <c r="I3282" s="1" t="s">
        <v>293</v>
      </c>
      <c r="J3282" s="1" t="s">
        <v>127</v>
      </c>
      <c r="K3282" s="1" t="s">
        <v>171</v>
      </c>
      <c r="L3282" s="1">
        <v>4</v>
      </c>
      <c r="M3282" s="13">
        <v>12580.65</v>
      </c>
      <c r="N3282" s="15">
        <v>0.34</v>
      </c>
      <c r="O3282" s="13">
        <v>45132.09</v>
      </c>
      <c r="P3282" s="13">
        <v>5873.56</v>
      </c>
      <c r="Q3282" s="13">
        <v>101.02</v>
      </c>
      <c r="R3282" s="1" t="s">
        <v>57</v>
      </c>
      <c r="S3282" s="1">
        <v>5</v>
      </c>
      <c r="T3282" s="1" t="b">
        <v>0</v>
      </c>
      <c r="U3282" s="1" t="s">
        <v>39</v>
      </c>
      <c r="V3282" s="3">
        <v>2</v>
      </c>
    </row>
    <row r="3283" spans="1:22" x14ac:dyDescent="0.3">
      <c r="A3283" s="2" t="s">
        <v>7030</v>
      </c>
      <c r="B3283" s="10">
        <v>44227</v>
      </c>
      <c r="C3283" s="22">
        <v>44227</v>
      </c>
      <c r="D3283" s="1" t="s">
        <v>7031</v>
      </c>
      <c r="E3283" s="1" t="s">
        <v>446</v>
      </c>
      <c r="F3283" s="1">
        <v>29</v>
      </c>
      <c r="G3283" s="1" t="s">
        <v>68</v>
      </c>
      <c r="H3283" s="1" t="s">
        <v>111</v>
      </c>
      <c r="I3283" s="1" t="s">
        <v>112</v>
      </c>
      <c r="J3283" s="1" t="s">
        <v>37</v>
      </c>
      <c r="K3283" s="1" t="s">
        <v>102</v>
      </c>
      <c r="L3283" s="1">
        <v>3</v>
      </c>
      <c r="M3283" s="13">
        <v>1476.85</v>
      </c>
      <c r="N3283" s="15">
        <v>0.39</v>
      </c>
      <c r="O3283" s="13">
        <v>1955</v>
      </c>
      <c r="P3283" s="13">
        <v>946.31</v>
      </c>
      <c r="Q3283" s="13">
        <v>72.849999999999994</v>
      </c>
      <c r="R3283" s="1" t="s">
        <v>51</v>
      </c>
      <c r="S3283" s="1">
        <v>1</v>
      </c>
      <c r="T3283" s="1" t="b">
        <v>1</v>
      </c>
      <c r="U3283" s="1" t="s">
        <v>30</v>
      </c>
      <c r="V3283" s="3">
        <v>6</v>
      </c>
    </row>
    <row r="3284" spans="1:22" x14ac:dyDescent="0.3">
      <c r="A3284" s="2" t="s">
        <v>7032</v>
      </c>
      <c r="B3284" s="10">
        <v>44604</v>
      </c>
      <c r="C3284" s="22">
        <v>44604</v>
      </c>
      <c r="D3284" s="1" t="s">
        <v>7033</v>
      </c>
      <c r="E3284" s="1" t="s">
        <v>855</v>
      </c>
      <c r="F3284" s="1">
        <v>42</v>
      </c>
      <c r="G3284" s="1" t="s">
        <v>463</v>
      </c>
      <c r="H3284" s="1" t="s">
        <v>74</v>
      </c>
      <c r="I3284" s="1" t="s">
        <v>101</v>
      </c>
      <c r="J3284" s="1" t="s">
        <v>37</v>
      </c>
      <c r="K3284" s="1" t="s">
        <v>231</v>
      </c>
      <c r="L3284" s="1">
        <v>7</v>
      </c>
      <c r="M3284" s="13">
        <v>881.3</v>
      </c>
      <c r="N3284" s="15">
        <v>0.24</v>
      </c>
      <c r="O3284" s="13">
        <v>4536.6000000000004</v>
      </c>
      <c r="P3284" s="13">
        <v>2608.91</v>
      </c>
      <c r="Q3284" s="13">
        <v>49.35</v>
      </c>
      <c r="R3284" s="1" t="s">
        <v>78</v>
      </c>
      <c r="S3284" s="1">
        <v>2</v>
      </c>
      <c r="T3284" s="1" t="b">
        <v>0</v>
      </c>
      <c r="U3284" s="1" t="s">
        <v>39</v>
      </c>
      <c r="V3284" s="3">
        <v>3</v>
      </c>
    </row>
    <row r="3285" spans="1:22" x14ac:dyDescent="0.3">
      <c r="A3285" s="2" t="s">
        <v>7034</v>
      </c>
      <c r="B3285" s="10">
        <v>44719</v>
      </c>
      <c r="C3285" s="22">
        <v>44719</v>
      </c>
      <c r="D3285" s="1" t="s">
        <v>7035</v>
      </c>
      <c r="E3285" s="1" t="s">
        <v>1335</v>
      </c>
      <c r="F3285" s="1">
        <v>36</v>
      </c>
      <c r="G3285" s="1" t="s">
        <v>24</v>
      </c>
      <c r="H3285" s="1" t="s">
        <v>111</v>
      </c>
      <c r="I3285" s="1" t="s">
        <v>112</v>
      </c>
      <c r="J3285" s="1" t="s">
        <v>44</v>
      </c>
      <c r="K3285" s="1" t="s">
        <v>117</v>
      </c>
      <c r="L3285" s="1">
        <v>1</v>
      </c>
      <c r="M3285" s="13">
        <v>22337.23</v>
      </c>
      <c r="N3285" s="15">
        <v>0.08</v>
      </c>
      <c r="O3285" s="13">
        <v>24297.67</v>
      </c>
      <c r="P3285" s="13">
        <v>7115.37</v>
      </c>
      <c r="Q3285" s="13">
        <v>44.4</v>
      </c>
      <c r="R3285" s="1" t="s">
        <v>78</v>
      </c>
      <c r="S3285" s="1">
        <v>3</v>
      </c>
      <c r="T3285" s="1" t="b">
        <v>0</v>
      </c>
      <c r="U3285" s="1" t="s">
        <v>39</v>
      </c>
      <c r="V3285" s="3">
        <v>10</v>
      </c>
    </row>
    <row r="3286" spans="1:22" x14ac:dyDescent="0.3">
      <c r="A3286" s="2" t="s">
        <v>7036</v>
      </c>
      <c r="B3286" s="10">
        <v>44158</v>
      </c>
      <c r="C3286" s="22">
        <v>44158</v>
      </c>
      <c r="D3286" s="1" t="s">
        <v>7037</v>
      </c>
      <c r="E3286" s="1" t="s">
        <v>1079</v>
      </c>
      <c r="F3286" s="1">
        <v>35</v>
      </c>
      <c r="G3286" s="1" t="s">
        <v>24</v>
      </c>
      <c r="H3286" s="1" t="s">
        <v>74</v>
      </c>
      <c r="I3286" s="1" t="s">
        <v>192</v>
      </c>
      <c r="J3286" s="1" t="s">
        <v>62</v>
      </c>
      <c r="K3286" s="1" t="s">
        <v>283</v>
      </c>
      <c r="L3286" s="1">
        <v>3</v>
      </c>
      <c r="M3286" s="13">
        <v>1024.92</v>
      </c>
      <c r="N3286" s="15">
        <v>0.4</v>
      </c>
      <c r="O3286" s="13">
        <v>1275.48</v>
      </c>
      <c r="P3286" s="13">
        <v>495.89</v>
      </c>
      <c r="Q3286" s="13">
        <v>60.02</v>
      </c>
      <c r="R3286" s="1" t="s">
        <v>70</v>
      </c>
      <c r="S3286" s="1">
        <v>4</v>
      </c>
      <c r="T3286" s="1" t="b">
        <v>0</v>
      </c>
      <c r="U3286" s="1" t="s">
        <v>39</v>
      </c>
      <c r="V3286" s="3">
        <v>10</v>
      </c>
    </row>
    <row r="3287" spans="1:22" x14ac:dyDescent="0.3">
      <c r="A3287" s="2" t="s">
        <v>7038</v>
      </c>
      <c r="B3287" s="10">
        <v>44350</v>
      </c>
      <c r="C3287" s="22">
        <v>44350</v>
      </c>
      <c r="D3287" s="1" t="s">
        <v>7039</v>
      </c>
      <c r="E3287" s="1" t="s">
        <v>1131</v>
      </c>
      <c r="F3287" s="1">
        <v>40</v>
      </c>
      <c r="G3287" s="1" t="s">
        <v>68</v>
      </c>
      <c r="H3287" s="1" t="s">
        <v>74</v>
      </c>
      <c r="I3287" s="1" t="s">
        <v>75</v>
      </c>
      <c r="J3287" s="1" t="s">
        <v>62</v>
      </c>
      <c r="K3287" s="1" t="s">
        <v>283</v>
      </c>
      <c r="L3287" s="1">
        <v>7</v>
      </c>
      <c r="M3287" s="13">
        <v>775.88</v>
      </c>
      <c r="N3287" s="15">
        <v>0.38</v>
      </c>
      <c r="O3287" s="13">
        <v>4861.16</v>
      </c>
      <c r="P3287" s="13">
        <v>1295.29</v>
      </c>
      <c r="Q3287" s="13">
        <v>19.48</v>
      </c>
      <c r="R3287" s="1" t="s">
        <v>70</v>
      </c>
      <c r="S3287" s="1">
        <v>4</v>
      </c>
      <c r="T3287" s="1" t="b">
        <v>1</v>
      </c>
      <c r="U3287" s="1" t="s">
        <v>30</v>
      </c>
      <c r="V3287" s="3">
        <v>9</v>
      </c>
    </row>
    <row r="3288" spans="1:22" x14ac:dyDescent="0.3">
      <c r="A3288" s="2" t="s">
        <v>7040</v>
      </c>
      <c r="B3288" s="10">
        <v>44610</v>
      </c>
      <c r="C3288" s="22">
        <v>44610</v>
      </c>
      <c r="D3288" s="1" t="s">
        <v>7041</v>
      </c>
      <c r="E3288" s="1" t="s">
        <v>2130</v>
      </c>
      <c r="F3288" s="1">
        <v>34</v>
      </c>
      <c r="G3288" s="1" t="s">
        <v>34</v>
      </c>
      <c r="H3288" s="1" t="s">
        <v>35</v>
      </c>
      <c r="I3288" s="1" t="s">
        <v>43</v>
      </c>
      <c r="J3288" s="1" t="s">
        <v>27</v>
      </c>
      <c r="K3288" s="1" t="s">
        <v>430</v>
      </c>
      <c r="L3288" s="1">
        <v>4</v>
      </c>
      <c r="M3288" s="13">
        <v>421.19</v>
      </c>
      <c r="N3288" s="15">
        <v>0.39</v>
      </c>
      <c r="O3288" s="13">
        <v>993.67</v>
      </c>
      <c r="P3288" s="13">
        <v>79.81</v>
      </c>
      <c r="Q3288" s="13">
        <v>83.46</v>
      </c>
      <c r="R3288" s="1" t="s">
        <v>78</v>
      </c>
      <c r="S3288" s="1">
        <v>3</v>
      </c>
      <c r="T3288" s="1" t="b">
        <v>0</v>
      </c>
      <c r="U3288" s="1" t="s">
        <v>39</v>
      </c>
      <c r="V3288" s="3">
        <v>6</v>
      </c>
    </row>
    <row r="3289" spans="1:22" x14ac:dyDescent="0.3">
      <c r="A3289" s="2" t="s">
        <v>7042</v>
      </c>
      <c r="B3289" s="10">
        <v>45200</v>
      </c>
      <c r="C3289" s="22">
        <v>45200</v>
      </c>
      <c r="D3289" s="1" t="s">
        <v>7043</v>
      </c>
      <c r="E3289" s="1" t="s">
        <v>1459</v>
      </c>
      <c r="F3289" s="1">
        <v>21</v>
      </c>
      <c r="G3289" s="1" t="s">
        <v>34</v>
      </c>
      <c r="H3289" s="1" t="s">
        <v>82</v>
      </c>
      <c r="I3289" s="1" t="s">
        <v>244</v>
      </c>
      <c r="J3289" s="1" t="s">
        <v>76</v>
      </c>
      <c r="K3289" s="1" t="s">
        <v>207</v>
      </c>
      <c r="L3289" s="1">
        <v>8</v>
      </c>
      <c r="M3289" s="13">
        <v>3309.44</v>
      </c>
      <c r="N3289" s="15">
        <v>0.08</v>
      </c>
      <c r="O3289" s="13">
        <v>24146.23</v>
      </c>
      <c r="P3289" s="13">
        <v>7317.58</v>
      </c>
      <c r="Q3289" s="13">
        <v>108.32</v>
      </c>
      <c r="R3289" s="1" t="s">
        <v>57</v>
      </c>
      <c r="S3289" s="1">
        <v>2</v>
      </c>
      <c r="T3289" s="1" t="b">
        <v>0</v>
      </c>
      <c r="U3289" s="1" t="s">
        <v>137</v>
      </c>
      <c r="V3289" s="3">
        <v>8</v>
      </c>
    </row>
    <row r="3290" spans="1:22" x14ac:dyDescent="0.3">
      <c r="A3290" s="2" t="s">
        <v>7044</v>
      </c>
      <c r="B3290" s="10">
        <v>44717</v>
      </c>
      <c r="C3290" s="22">
        <v>44717</v>
      </c>
      <c r="D3290" s="1" t="s">
        <v>7045</v>
      </c>
      <c r="E3290" s="1" t="s">
        <v>265</v>
      </c>
      <c r="F3290" s="1">
        <v>24</v>
      </c>
      <c r="G3290" s="1" t="s">
        <v>68</v>
      </c>
      <c r="H3290" s="1" t="s">
        <v>35</v>
      </c>
      <c r="I3290" s="1" t="s">
        <v>106</v>
      </c>
      <c r="J3290" s="1" t="s">
        <v>127</v>
      </c>
      <c r="K3290" s="1" t="s">
        <v>128</v>
      </c>
      <c r="L3290" s="1">
        <v>6</v>
      </c>
      <c r="M3290" s="13">
        <v>29091.32</v>
      </c>
      <c r="N3290" s="15">
        <v>0.21</v>
      </c>
      <c r="O3290" s="13">
        <v>275738.69</v>
      </c>
      <c r="P3290" s="13">
        <v>35140.71</v>
      </c>
      <c r="Q3290" s="13">
        <v>35.9</v>
      </c>
      <c r="R3290" s="1" t="s">
        <v>51</v>
      </c>
      <c r="S3290" s="1">
        <v>4</v>
      </c>
      <c r="T3290" s="1" t="b">
        <v>1</v>
      </c>
      <c r="U3290" s="1" t="s">
        <v>30</v>
      </c>
      <c r="V3290" s="3">
        <v>10</v>
      </c>
    </row>
    <row r="3291" spans="1:22" x14ac:dyDescent="0.3">
      <c r="A3291" s="2" t="s">
        <v>7046</v>
      </c>
      <c r="B3291" s="10">
        <v>44721</v>
      </c>
      <c r="C3291" s="22">
        <v>44721</v>
      </c>
      <c r="D3291" s="1" t="s">
        <v>7047</v>
      </c>
      <c r="E3291" s="1" t="s">
        <v>167</v>
      </c>
      <c r="F3291" s="1">
        <v>20</v>
      </c>
      <c r="G3291" s="1" t="s">
        <v>34</v>
      </c>
      <c r="H3291" s="1" t="s">
        <v>82</v>
      </c>
      <c r="I3291" s="1" t="s">
        <v>126</v>
      </c>
      <c r="J3291" s="1" t="s">
        <v>27</v>
      </c>
      <c r="K3291" s="1" t="s">
        <v>56</v>
      </c>
      <c r="L3291" s="1">
        <v>4</v>
      </c>
      <c r="M3291" s="13">
        <v>342.63</v>
      </c>
      <c r="N3291" s="15">
        <v>0.04</v>
      </c>
      <c r="O3291" s="13">
        <v>1796.99</v>
      </c>
      <c r="P3291" s="13">
        <v>105.07</v>
      </c>
      <c r="Q3291" s="13">
        <v>65.400000000000006</v>
      </c>
      <c r="R3291" s="1" t="s">
        <v>78</v>
      </c>
      <c r="S3291" s="1">
        <v>3</v>
      </c>
      <c r="T3291" s="1" t="b">
        <v>0</v>
      </c>
      <c r="U3291" s="1" t="s">
        <v>39</v>
      </c>
      <c r="V3291" s="3">
        <v>2</v>
      </c>
    </row>
    <row r="3292" spans="1:22" x14ac:dyDescent="0.3">
      <c r="A3292" s="2" t="s">
        <v>7048</v>
      </c>
      <c r="B3292" s="10">
        <v>45599</v>
      </c>
      <c r="C3292" s="22">
        <v>45599</v>
      </c>
      <c r="D3292" s="1" t="s">
        <v>7049</v>
      </c>
      <c r="E3292" s="1" t="s">
        <v>1904</v>
      </c>
      <c r="F3292" s="1">
        <v>32</v>
      </c>
      <c r="G3292" s="1" t="s">
        <v>68</v>
      </c>
      <c r="H3292" s="1" t="s">
        <v>82</v>
      </c>
      <c r="I3292" s="1" t="s">
        <v>83</v>
      </c>
      <c r="J3292" s="1" t="s">
        <v>62</v>
      </c>
      <c r="K3292" s="1" t="s">
        <v>283</v>
      </c>
      <c r="L3292" s="1">
        <v>4</v>
      </c>
      <c r="M3292" s="13">
        <v>253.68</v>
      </c>
      <c r="N3292" s="15">
        <v>0.16</v>
      </c>
      <c r="O3292" s="13">
        <v>778.21</v>
      </c>
      <c r="P3292" s="13">
        <v>386.42</v>
      </c>
      <c r="Q3292" s="13">
        <v>76.22</v>
      </c>
      <c r="R3292" s="1" t="s">
        <v>78</v>
      </c>
      <c r="S3292" s="1">
        <v>4</v>
      </c>
      <c r="T3292" s="1" t="b">
        <v>0</v>
      </c>
      <c r="U3292" s="1" t="s">
        <v>137</v>
      </c>
      <c r="V3292" s="3">
        <v>9</v>
      </c>
    </row>
    <row r="3293" spans="1:22" x14ac:dyDescent="0.3">
      <c r="A3293" s="2" t="s">
        <v>7050</v>
      </c>
      <c r="B3293" s="10">
        <v>44096</v>
      </c>
      <c r="C3293" s="22">
        <v>44096</v>
      </c>
      <c r="D3293" s="1" t="s">
        <v>7051</v>
      </c>
      <c r="E3293" s="1" t="s">
        <v>1229</v>
      </c>
      <c r="F3293" s="1">
        <v>37</v>
      </c>
      <c r="G3293" s="1" t="s">
        <v>34</v>
      </c>
      <c r="H3293" s="1" t="s">
        <v>74</v>
      </c>
      <c r="I3293" s="1" t="s">
        <v>75</v>
      </c>
      <c r="J3293" s="1" t="s">
        <v>76</v>
      </c>
      <c r="K3293" s="1" t="s">
        <v>113</v>
      </c>
      <c r="L3293" s="1">
        <v>2</v>
      </c>
      <c r="M3293" s="13">
        <v>2579.5700000000002</v>
      </c>
      <c r="N3293" s="15">
        <v>0.02</v>
      </c>
      <c r="O3293" s="13">
        <v>5743.74</v>
      </c>
      <c r="P3293" s="13">
        <v>1991.02</v>
      </c>
      <c r="Q3293" s="13">
        <v>37.72</v>
      </c>
      <c r="R3293" s="1" t="s">
        <v>51</v>
      </c>
      <c r="S3293" s="1">
        <v>4</v>
      </c>
      <c r="T3293" s="1" t="b">
        <v>0</v>
      </c>
      <c r="U3293" s="1" t="s">
        <v>39</v>
      </c>
      <c r="V3293" s="3">
        <v>1</v>
      </c>
    </row>
    <row r="3294" spans="1:22" x14ac:dyDescent="0.3">
      <c r="A3294" s="2" t="s">
        <v>7052</v>
      </c>
      <c r="B3294" s="10">
        <v>45080</v>
      </c>
      <c r="C3294" s="22">
        <v>45080</v>
      </c>
      <c r="D3294" s="1" t="s">
        <v>7053</v>
      </c>
      <c r="E3294" s="1" t="s">
        <v>4211</v>
      </c>
      <c r="F3294" s="1">
        <v>66</v>
      </c>
      <c r="G3294" s="1" t="s">
        <v>34</v>
      </c>
      <c r="H3294" s="1" t="s">
        <v>82</v>
      </c>
      <c r="I3294" s="1" t="s">
        <v>293</v>
      </c>
      <c r="J3294" s="1" t="s">
        <v>127</v>
      </c>
      <c r="K3294" s="1" t="s">
        <v>142</v>
      </c>
      <c r="L3294" s="1">
        <v>7</v>
      </c>
      <c r="M3294" s="13">
        <v>18211.07</v>
      </c>
      <c r="N3294" s="15">
        <v>0.04</v>
      </c>
      <c r="O3294" s="13">
        <v>212071.33</v>
      </c>
      <c r="P3294" s="13">
        <v>30254.35</v>
      </c>
      <c r="Q3294" s="13">
        <v>85.57</v>
      </c>
      <c r="R3294" s="1" t="s">
        <v>70</v>
      </c>
      <c r="S3294" s="1">
        <v>1</v>
      </c>
      <c r="T3294" s="1" t="b">
        <v>0</v>
      </c>
      <c r="U3294" s="1" t="s">
        <v>39</v>
      </c>
      <c r="V3294" s="3">
        <v>10</v>
      </c>
    </row>
    <row r="3295" spans="1:22" x14ac:dyDescent="0.3">
      <c r="A3295" s="2" t="s">
        <v>7054</v>
      </c>
      <c r="B3295" s="10">
        <v>44988</v>
      </c>
      <c r="C3295" s="22">
        <v>44988</v>
      </c>
      <c r="D3295" s="1" t="s">
        <v>7055</v>
      </c>
      <c r="E3295" s="1" t="s">
        <v>437</v>
      </c>
      <c r="F3295" s="1">
        <v>27</v>
      </c>
      <c r="G3295" s="1" t="s">
        <v>34</v>
      </c>
      <c r="H3295" s="1" t="s">
        <v>111</v>
      </c>
      <c r="I3295" s="1" t="s">
        <v>121</v>
      </c>
      <c r="J3295" s="1" t="s">
        <v>62</v>
      </c>
      <c r="K3295" s="1" t="s">
        <v>266</v>
      </c>
      <c r="L3295" s="1">
        <v>1</v>
      </c>
      <c r="M3295" s="13">
        <v>948.68</v>
      </c>
      <c r="N3295" s="15">
        <v>0.05</v>
      </c>
      <c r="O3295" s="13">
        <v>1052.6300000000001</v>
      </c>
      <c r="P3295" s="13">
        <v>436.63</v>
      </c>
      <c r="Q3295" s="13">
        <v>60.66</v>
      </c>
      <c r="R3295" s="1" t="s">
        <v>57</v>
      </c>
      <c r="S3295" s="1">
        <v>3</v>
      </c>
      <c r="T3295" s="1" t="b">
        <v>0</v>
      </c>
      <c r="U3295" s="1" t="s">
        <v>39</v>
      </c>
      <c r="V3295" s="3">
        <v>4</v>
      </c>
    </row>
    <row r="3296" spans="1:22" x14ac:dyDescent="0.3">
      <c r="A3296" s="2" t="s">
        <v>7056</v>
      </c>
      <c r="B3296" s="10">
        <v>44907</v>
      </c>
      <c r="C3296" s="22">
        <v>44907</v>
      </c>
      <c r="D3296" s="1" t="s">
        <v>7057</v>
      </c>
      <c r="E3296" s="1" t="s">
        <v>638</v>
      </c>
      <c r="F3296" s="1">
        <v>25</v>
      </c>
      <c r="G3296" s="1" t="s">
        <v>34</v>
      </c>
      <c r="H3296" s="1" t="s">
        <v>111</v>
      </c>
      <c r="I3296" s="1" t="s">
        <v>330</v>
      </c>
      <c r="J3296" s="1" t="s">
        <v>127</v>
      </c>
      <c r="K3296" s="1" t="s">
        <v>196</v>
      </c>
      <c r="L3296" s="1">
        <v>7</v>
      </c>
      <c r="M3296" s="13">
        <v>78827.09</v>
      </c>
      <c r="N3296" s="15">
        <v>0.17</v>
      </c>
      <c r="O3296" s="13">
        <v>329759.69</v>
      </c>
      <c r="P3296" s="13">
        <v>33092.480000000003</v>
      </c>
      <c r="Q3296" s="13">
        <v>81.42</v>
      </c>
      <c r="R3296" s="1" t="s">
        <v>70</v>
      </c>
      <c r="S3296" s="1">
        <v>2</v>
      </c>
      <c r="T3296" s="1" t="b">
        <v>0</v>
      </c>
      <c r="U3296" s="1" t="s">
        <v>39</v>
      </c>
      <c r="V3296" s="3">
        <v>7</v>
      </c>
    </row>
    <row r="3297" spans="1:22" x14ac:dyDescent="0.3">
      <c r="A3297" s="2" t="s">
        <v>7058</v>
      </c>
      <c r="B3297" s="10">
        <v>45294</v>
      </c>
      <c r="C3297" s="22">
        <v>45294</v>
      </c>
      <c r="D3297" s="1" t="s">
        <v>7059</v>
      </c>
      <c r="E3297" s="1" t="s">
        <v>575</v>
      </c>
      <c r="F3297" s="1">
        <v>22</v>
      </c>
      <c r="G3297" s="1" t="s">
        <v>34</v>
      </c>
      <c r="H3297" s="1" t="s">
        <v>74</v>
      </c>
      <c r="I3297" s="1" t="s">
        <v>75</v>
      </c>
      <c r="J3297" s="1" t="s">
        <v>127</v>
      </c>
      <c r="K3297" s="1" t="s">
        <v>517</v>
      </c>
      <c r="L3297" s="1">
        <v>7</v>
      </c>
      <c r="M3297" s="13">
        <v>65406.74</v>
      </c>
      <c r="N3297" s="15">
        <v>0.23</v>
      </c>
      <c r="O3297" s="13">
        <v>311838.93</v>
      </c>
      <c r="P3297" s="13">
        <v>30172.94</v>
      </c>
      <c r="Q3297" s="13">
        <v>56.16</v>
      </c>
      <c r="R3297" s="1" t="s">
        <v>64</v>
      </c>
      <c r="S3297" s="1">
        <v>4</v>
      </c>
      <c r="T3297" s="1" t="b">
        <v>0</v>
      </c>
      <c r="U3297" s="1" t="s">
        <v>39</v>
      </c>
      <c r="V3297" s="3">
        <v>9</v>
      </c>
    </row>
    <row r="3298" spans="1:22" x14ac:dyDescent="0.3">
      <c r="A3298" s="2" t="s">
        <v>7060</v>
      </c>
      <c r="B3298" s="10">
        <v>44298</v>
      </c>
      <c r="C3298" s="22">
        <v>44298</v>
      </c>
      <c r="D3298" s="1" t="s">
        <v>7061</v>
      </c>
      <c r="E3298" s="1" t="s">
        <v>256</v>
      </c>
      <c r="F3298" s="1">
        <v>30</v>
      </c>
      <c r="G3298" s="1" t="s">
        <v>34</v>
      </c>
      <c r="H3298" s="1" t="s">
        <v>111</v>
      </c>
      <c r="I3298" s="1" t="s">
        <v>141</v>
      </c>
      <c r="J3298" s="1" t="s">
        <v>146</v>
      </c>
      <c r="K3298" s="1" t="s">
        <v>217</v>
      </c>
      <c r="L3298" s="1">
        <v>2</v>
      </c>
      <c r="M3298" s="13">
        <v>3848.71</v>
      </c>
      <c r="N3298" s="15">
        <v>0.13</v>
      </c>
      <c r="O3298" s="13">
        <v>7629.53</v>
      </c>
      <c r="P3298" s="13">
        <v>1845.42</v>
      </c>
      <c r="Q3298" s="13">
        <v>94.87</v>
      </c>
      <c r="R3298" s="1" t="s">
        <v>78</v>
      </c>
      <c r="S3298" s="1">
        <v>1</v>
      </c>
      <c r="T3298" s="1" t="b">
        <v>0</v>
      </c>
      <c r="U3298" s="1" t="s">
        <v>39</v>
      </c>
      <c r="V3298" s="3">
        <v>5</v>
      </c>
    </row>
    <row r="3299" spans="1:22" x14ac:dyDescent="0.3">
      <c r="A3299" s="2" t="s">
        <v>7062</v>
      </c>
      <c r="B3299" s="10">
        <v>45030</v>
      </c>
      <c r="C3299" s="22">
        <v>45030</v>
      </c>
      <c r="D3299" s="1" t="s">
        <v>7063</v>
      </c>
      <c r="E3299" s="1" t="s">
        <v>558</v>
      </c>
      <c r="F3299" s="1">
        <v>14</v>
      </c>
      <c r="G3299" s="1" t="s">
        <v>391</v>
      </c>
      <c r="H3299" s="1" t="s">
        <v>82</v>
      </c>
      <c r="I3299" s="1" t="s">
        <v>83</v>
      </c>
      <c r="J3299" s="1" t="s">
        <v>44</v>
      </c>
      <c r="K3299" s="1" t="s">
        <v>93</v>
      </c>
      <c r="L3299" s="1">
        <v>1</v>
      </c>
      <c r="M3299" s="13">
        <v>25421.93</v>
      </c>
      <c r="N3299" s="15">
        <v>0.02</v>
      </c>
      <c r="O3299" s="13">
        <v>36558.25</v>
      </c>
      <c r="P3299" s="13">
        <v>12519.52</v>
      </c>
      <c r="Q3299" s="13">
        <v>64.849999999999994</v>
      </c>
      <c r="R3299" s="1" t="s">
        <v>64</v>
      </c>
      <c r="S3299" s="1">
        <v>4</v>
      </c>
      <c r="T3299" s="1" t="b">
        <v>0</v>
      </c>
      <c r="U3299" s="1" t="s">
        <v>84</v>
      </c>
      <c r="V3299" s="3">
        <v>8</v>
      </c>
    </row>
    <row r="3300" spans="1:22" x14ac:dyDescent="0.3">
      <c r="A3300" s="2" t="s">
        <v>7064</v>
      </c>
      <c r="B3300" s="10">
        <v>43979</v>
      </c>
      <c r="C3300" s="22">
        <v>43979</v>
      </c>
      <c r="D3300" s="1" t="s">
        <v>7065</v>
      </c>
      <c r="E3300" s="1" t="s">
        <v>220</v>
      </c>
      <c r="F3300" s="1">
        <v>39</v>
      </c>
      <c r="G3300" s="1" t="s">
        <v>24</v>
      </c>
      <c r="H3300" s="1" t="s">
        <v>25</v>
      </c>
      <c r="I3300" s="1" t="s">
        <v>55</v>
      </c>
      <c r="J3300" s="1" t="s">
        <v>27</v>
      </c>
      <c r="K3300" s="1" t="s">
        <v>450</v>
      </c>
      <c r="L3300" s="1">
        <v>9</v>
      </c>
      <c r="M3300" s="13">
        <v>253.54</v>
      </c>
      <c r="N3300" s="15">
        <v>0.26</v>
      </c>
      <c r="O3300" s="13">
        <v>2172.54</v>
      </c>
      <c r="P3300" s="13">
        <v>173.86</v>
      </c>
      <c r="Q3300" s="13">
        <v>63.2</v>
      </c>
      <c r="R3300" s="1" t="s">
        <v>57</v>
      </c>
      <c r="S3300" s="1">
        <v>5</v>
      </c>
      <c r="T3300" s="1" t="b">
        <v>0</v>
      </c>
      <c r="U3300" s="1" t="s">
        <v>39</v>
      </c>
      <c r="V3300" s="3">
        <v>7</v>
      </c>
    </row>
    <row r="3301" spans="1:22" x14ac:dyDescent="0.3">
      <c r="A3301" s="2" t="s">
        <v>7066</v>
      </c>
      <c r="B3301" s="10">
        <v>45461</v>
      </c>
      <c r="C3301" s="22">
        <v>45461</v>
      </c>
      <c r="D3301" s="1" t="s">
        <v>7067</v>
      </c>
      <c r="E3301" s="1" t="s">
        <v>1519</v>
      </c>
      <c r="F3301" s="1">
        <v>36</v>
      </c>
      <c r="G3301" s="1" t="s">
        <v>24</v>
      </c>
      <c r="H3301" s="1" t="s">
        <v>82</v>
      </c>
      <c r="I3301" s="1" t="s">
        <v>126</v>
      </c>
      <c r="J3301" s="1" t="s">
        <v>76</v>
      </c>
      <c r="K3301" s="1" t="s">
        <v>77</v>
      </c>
      <c r="L3301" s="1">
        <v>2</v>
      </c>
      <c r="M3301" s="13">
        <v>419.29</v>
      </c>
      <c r="N3301" s="15">
        <v>0.4</v>
      </c>
      <c r="O3301" s="13">
        <v>977.42</v>
      </c>
      <c r="P3301" s="13">
        <v>372.17</v>
      </c>
      <c r="Q3301" s="13">
        <v>91.04</v>
      </c>
      <c r="R3301" s="1" t="s">
        <v>29</v>
      </c>
      <c r="S3301" s="1">
        <v>4</v>
      </c>
      <c r="T3301" s="1" t="b">
        <v>0</v>
      </c>
      <c r="U3301" s="1" t="s">
        <v>39</v>
      </c>
      <c r="V3301" s="3">
        <v>6</v>
      </c>
    </row>
    <row r="3302" spans="1:22" x14ac:dyDescent="0.3">
      <c r="A3302" s="2" t="s">
        <v>7068</v>
      </c>
      <c r="B3302" s="10">
        <v>45656</v>
      </c>
      <c r="C3302" s="22">
        <v>45656</v>
      </c>
      <c r="D3302" s="1" t="s">
        <v>7069</v>
      </c>
      <c r="E3302" s="1" t="s">
        <v>1541</v>
      </c>
      <c r="F3302" s="1">
        <v>22</v>
      </c>
      <c r="G3302" s="1" t="s">
        <v>24</v>
      </c>
      <c r="H3302" s="1" t="s">
        <v>111</v>
      </c>
      <c r="I3302" s="1" t="s">
        <v>121</v>
      </c>
      <c r="J3302" s="1" t="s">
        <v>44</v>
      </c>
      <c r="K3302" s="1" t="s">
        <v>45</v>
      </c>
      <c r="L3302" s="1">
        <v>6</v>
      </c>
      <c r="M3302" s="13">
        <v>5868.58</v>
      </c>
      <c r="N3302" s="15">
        <v>0.28999999999999998</v>
      </c>
      <c r="O3302" s="13">
        <v>27272.26</v>
      </c>
      <c r="P3302" s="13">
        <v>8506.9599999999991</v>
      </c>
      <c r="Q3302" s="13">
        <v>61.17</v>
      </c>
      <c r="R3302" s="1" t="s">
        <v>64</v>
      </c>
      <c r="S3302" s="1">
        <v>3</v>
      </c>
      <c r="T3302" s="1" t="b">
        <v>1</v>
      </c>
      <c r="U3302" s="1" t="s">
        <v>30</v>
      </c>
      <c r="V3302" s="3">
        <v>5</v>
      </c>
    </row>
    <row r="3303" spans="1:22" x14ac:dyDescent="0.3">
      <c r="A3303" s="2" t="s">
        <v>7070</v>
      </c>
      <c r="B3303" s="10">
        <v>45373</v>
      </c>
      <c r="C3303" s="22">
        <v>45373</v>
      </c>
      <c r="D3303" s="1" t="s">
        <v>7071</v>
      </c>
      <c r="E3303" s="1" t="s">
        <v>1108</v>
      </c>
      <c r="F3303" s="1">
        <v>42</v>
      </c>
      <c r="G3303" s="1" t="s">
        <v>24</v>
      </c>
      <c r="H3303" s="1" t="s">
        <v>35</v>
      </c>
      <c r="I3303" s="1" t="s">
        <v>106</v>
      </c>
      <c r="J3303" s="1" t="s">
        <v>44</v>
      </c>
      <c r="K3303" s="1" t="s">
        <v>45</v>
      </c>
      <c r="L3303" s="1">
        <v>8</v>
      </c>
      <c r="M3303" s="13">
        <v>8470.42</v>
      </c>
      <c r="N3303" s="15">
        <v>0.28999999999999998</v>
      </c>
      <c r="O3303" s="13">
        <v>55529.13</v>
      </c>
      <c r="P3303" s="13">
        <v>17657.48</v>
      </c>
      <c r="Q3303" s="13">
        <v>72.33</v>
      </c>
      <c r="R3303" s="1" t="s">
        <v>78</v>
      </c>
      <c r="S3303" s="1">
        <v>4</v>
      </c>
      <c r="T3303" s="1" t="b">
        <v>0</v>
      </c>
      <c r="U3303" s="1" t="s">
        <v>39</v>
      </c>
      <c r="V3303" s="3">
        <v>2</v>
      </c>
    </row>
    <row r="3304" spans="1:22" x14ac:dyDescent="0.3">
      <c r="A3304" s="2" t="s">
        <v>7072</v>
      </c>
      <c r="B3304" s="10">
        <v>45251</v>
      </c>
      <c r="C3304" s="22">
        <v>45251</v>
      </c>
      <c r="D3304" s="1" t="s">
        <v>7073</v>
      </c>
      <c r="E3304" s="1" t="s">
        <v>2900</v>
      </c>
      <c r="F3304" s="1">
        <v>13</v>
      </c>
      <c r="G3304" s="1" t="s">
        <v>24</v>
      </c>
      <c r="H3304" s="1" t="s">
        <v>111</v>
      </c>
      <c r="I3304" s="1" t="s">
        <v>112</v>
      </c>
      <c r="J3304" s="1" t="s">
        <v>76</v>
      </c>
      <c r="K3304" s="1" t="s">
        <v>113</v>
      </c>
      <c r="L3304" s="1">
        <v>9</v>
      </c>
      <c r="M3304" s="13">
        <v>2673.67</v>
      </c>
      <c r="N3304" s="15">
        <v>0.23</v>
      </c>
      <c r="O3304" s="13">
        <v>16249.74</v>
      </c>
      <c r="P3304" s="13">
        <v>5950.65</v>
      </c>
      <c r="Q3304" s="13">
        <v>80.510000000000005</v>
      </c>
      <c r="R3304" s="1" t="s">
        <v>51</v>
      </c>
      <c r="S3304" s="1">
        <v>3</v>
      </c>
      <c r="T3304" s="1" t="b">
        <v>0</v>
      </c>
      <c r="U3304" s="1" t="s">
        <v>39</v>
      </c>
      <c r="V3304" s="3">
        <v>8</v>
      </c>
    </row>
    <row r="3305" spans="1:22" x14ac:dyDescent="0.3">
      <c r="A3305" s="2" t="s">
        <v>7074</v>
      </c>
      <c r="B3305" s="10">
        <v>44903</v>
      </c>
      <c r="C3305" s="22">
        <v>44903</v>
      </c>
      <c r="D3305" s="1" t="s">
        <v>7075</v>
      </c>
      <c r="E3305" s="1" t="s">
        <v>726</v>
      </c>
      <c r="F3305" s="1">
        <v>37</v>
      </c>
      <c r="G3305" s="1" t="s">
        <v>68</v>
      </c>
      <c r="H3305" s="1" t="s">
        <v>74</v>
      </c>
      <c r="I3305" s="1" t="s">
        <v>101</v>
      </c>
      <c r="J3305" s="1" t="s">
        <v>127</v>
      </c>
      <c r="K3305" s="1" t="s">
        <v>517</v>
      </c>
      <c r="L3305" s="1">
        <v>1</v>
      </c>
      <c r="M3305" s="13">
        <v>42750.36</v>
      </c>
      <c r="N3305" s="15">
        <v>0.21</v>
      </c>
      <c r="O3305" s="13">
        <v>38016.379999999997</v>
      </c>
      <c r="P3305" s="13">
        <v>3865.32</v>
      </c>
      <c r="Q3305" s="13">
        <v>64.930000000000007</v>
      </c>
      <c r="R3305" s="1" t="s">
        <v>64</v>
      </c>
      <c r="S3305" s="1">
        <v>4</v>
      </c>
      <c r="T3305" s="1" t="b">
        <v>0</v>
      </c>
      <c r="U3305" s="1" t="s">
        <v>39</v>
      </c>
      <c r="V3305" s="3">
        <v>10</v>
      </c>
    </row>
    <row r="3306" spans="1:22" x14ac:dyDescent="0.3">
      <c r="A3306" s="2" t="s">
        <v>7076</v>
      </c>
      <c r="B3306" s="10">
        <v>44321</v>
      </c>
      <c r="C3306" s="22">
        <v>44321</v>
      </c>
      <c r="D3306" s="1" t="s">
        <v>7077</v>
      </c>
      <c r="E3306" s="1" t="s">
        <v>433</v>
      </c>
      <c r="F3306" s="1">
        <v>36</v>
      </c>
      <c r="G3306" s="1" t="s">
        <v>34</v>
      </c>
      <c r="H3306" s="1" t="s">
        <v>35</v>
      </c>
      <c r="I3306" s="1" t="s">
        <v>49</v>
      </c>
      <c r="J3306" s="1" t="s">
        <v>127</v>
      </c>
      <c r="K3306" s="1" t="s">
        <v>142</v>
      </c>
      <c r="L3306" s="1">
        <v>3</v>
      </c>
      <c r="M3306" s="13">
        <v>19106.04</v>
      </c>
      <c r="N3306" s="15">
        <v>0.28999999999999998</v>
      </c>
      <c r="O3306" s="13">
        <v>55864.82</v>
      </c>
      <c r="P3306" s="13">
        <v>5910.7</v>
      </c>
      <c r="Q3306" s="13">
        <v>48.94</v>
      </c>
      <c r="R3306" s="1" t="s">
        <v>78</v>
      </c>
      <c r="S3306" s="1">
        <v>5</v>
      </c>
      <c r="T3306" s="1" t="b">
        <v>0</v>
      </c>
      <c r="U3306" s="1" t="s">
        <v>197</v>
      </c>
      <c r="V3306" s="3">
        <v>10</v>
      </c>
    </row>
    <row r="3307" spans="1:22" x14ac:dyDescent="0.3">
      <c r="A3307" s="2" t="s">
        <v>7078</v>
      </c>
      <c r="B3307" s="10">
        <v>43851</v>
      </c>
      <c r="C3307" s="22">
        <v>43851</v>
      </c>
      <c r="D3307" s="1" t="s">
        <v>7079</v>
      </c>
      <c r="E3307" s="1" t="s">
        <v>282</v>
      </c>
      <c r="F3307" s="1">
        <v>30</v>
      </c>
      <c r="G3307" s="1" t="s">
        <v>24</v>
      </c>
      <c r="H3307" s="1" t="s">
        <v>82</v>
      </c>
      <c r="I3307" s="1" t="s">
        <v>83</v>
      </c>
      <c r="J3307" s="1" t="s">
        <v>27</v>
      </c>
      <c r="K3307" s="1" t="s">
        <v>450</v>
      </c>
      <c r="L3307" s="1">
        <v>8</v>
      </c>
      <c r="M3307" s="13">
        <v>93.43</v>
      </c>
      <c r="N3307" s="15">
        <v>0.03</v>
      </c>
      <c r="O3307" s="13">
        <v>527.34</v>
      </c>
      <c r="P3307" s="13">
        <v>58.06</v>
      </c>
      <c r="Q3307" s="13">
        <v>67.75</v>
      </c>
      <c r="R3307" s="1" t="s">
        <v>70</v>
      </c>
      <c r="S3307" s="1">
        <v>5</v>
      </c>
      <c r="T3307" s="1" t="b">
        <v>0</v>
      </c>
      <c r="U3307" s="1" t="s">
        <v>137</v>
      </c>
      <c r="V3307" s="3">
        <v>3</v>
      </c>
    </row>
    <row r="3308" spans="1:22" x14ac:dyDescent="0.3">
      <c r="A3308" s="2" t="s">
        <v>7080</v>
      </c>
      <c r="B3308" s="10">
        <v>45235</v>
      </c>
      <c r="C3308" s="22">
        <v>45235</v>
      </c>
      <c r="D3308" s="1" t="s">
        <v>7081</v>
      </c>
      <c r="E3308" s="1" t="s">
        <v>508</v>
      </c>
      <c r="F3308" s="1">
        <v>24</v>
      </c>
      <c r="G3308" s="1" t="s">
        <v>68</v>
      </c>
      <c r="H3308" s="1" t="s">
        <v>25</v>
      </c>
      <c r="I3308" s="1" t="s">
        <v>55</v>
      </c>
      <c r="J3308" s="1" t="s">
        <v>37</v>
      </c>
      <c r="K3308" s="1" t="s">
        <v>38</v>
      </c>
      <c r="L3308" s="1">
        <v>3</v>
      </c>
      <c r="M3308" s="13">
        <v>2286.34</v>
      </c>
      <c r="N3308" s="15">
        <v>0.34</v>
      </c>
      <c r="O3308" s="13">
        <v>4041.13</v>
      </c>
      <c r="P3308" s="13">
        <v>2413.02</v>
      </c>
      <c r="Q3308" s="13">
        <v>61.28</v>
      </c>
      <c r="R3308" s="1" t="s">
        <v>78</v>
      </c>
      <c r="S3308" s="1">
        <v>2</v>
      </c>
      <c r="T3308" s="1" t="b">
        <v>1</v>
      </c>
      <c r="U3308" s="1" t="s">
        <v>30</v>
      </c>
      <c r="V3308" s="3">
        <v>1</v>
      </c>
    </row>
    <row r="3309" spans="1:22" x14ac:dyDescent="0.3">
      <c r="A3309" s="2" t="s">
        <v>7082</v>
      </c>
      <c r="B3309" s="10">
        <v>44653</v>
      </c>
      <c r="C3309" s="22">
        <v>44653</v>
      </c>
      <c r="D3309" s="1" t="s">
        <v>7083</v>
      </c>
      <c r="E3309" s="1" t="s">
        <v>1243</v>
      </c>
      <c r="F3309" s="1">
        <v>44</v>
      </c>
      <c r="G3309" s="1" t="s">
        <v>34</v>
      </c>
      <c r="H3309" s="1" t="s">
        <v>82</v>
      </c>
      <c r="I3309" s="1" t="s">
        <v>126</v>
      </c>
      <c r="J3309" s="1" t="s">
        <v>76</v>
      </c>
      <c r="K3309" s="1" t="s">
        <v>132</v>
      </c>
      <c r="L3309" s="1">
        <v>8</v>
      </c>
      <c r="M3309" s="13">
        <v>2007.46</v>
      </c>
      <c r="N3309" s="15">
        <v>7.0000000000000007E-2</v>
      </c>
      <c r="O3309" s="13">
        <v>22694.82</v>
      </c>
      <c r="P3309" s="13">
        <v>8877.57</v>
      </c>
      <c r="Q3309" s="13">
        <v>29.19</v>
      </c>
      <c r="R3309" s="1" t="s">
        <v>57</v>
      </c>
      <c r="S3309" s="1">
        <v>5</v>
      </c>
      <c r="T3309" s="1" t="b">
        <v>0</v>
      </c>
      <c r="U3309" s="1" t="s">
        <v>39</v>
      </c>
      <c r="V3309" s="3">
        <v>8</v>
      </c>
    </row>
    <row r="3310" spans="1:22" x14ac:dyDescent="0.3">
      <c r="A3310" s="2" t="s">
        <v>7084</v>
      </c>
      <c r="B3310" s="10">
        <v>45411</v>
      </c>
      <c r="C3310" s="22">
        <v>45411</v>
      </c>
      <c r="D3310" s="1" t="s">
        <v>7085</v>
      </c>
      <c r="E3310" s="1" t="s">
        <v>657</v>
      </c>
      <c r="F3310" s="1">
        <v>31</v>
      </c>
      <c r="G3310" s="1" t="s">
        <v>391</v>
      </c>
      <c r="H3310" s="1" t="s">
        <v>74</v>
      </c>
      <c r="I3310" s="1" t="s">
        <v>192</v>
      </c>
      <c r="J3310" s="1" t="s">
        <v>76</v>
      </c>
      <c r="K3310" s="1" t="s">
        <v>132</v>
      </c>
      <c r="L3310" s="1">
        <v>1</v>
      </c>
      <c r="M3310" s="13">
        <v>2333.8200000000002</v>
      </c>
      <c r="N3310" s="15">
        <v>0.3</v>
      </c>
      <c r="O3310" s="13">
        <v>2311.2600000000002</v>
      </c>
      <c r="P3310" s="13">
        <v>857.57</v>
      </c>
      <c r="Q3310" s="13">
        <v>31.53</v>
      </c>
      <c r="R3310" s="1" t="s">
        <v>29</v>
      </c>
      <c r="S3310" s="1">
        <v>2</v>
      </c>
      <c r="T3310" s="1" t="b">
        <v>1</v>
      </c>
      <c r="U3310" s="1" t="s">
        <v>30</v>
      </c>
      <c r="V3310" s="3">
        <v>10</v>
      </c>
    </row>
    <row r="3311" spans="1:22" x14ac:dyDescent="0.3">
      <c r="A3311" s="2" t="s">
        <v>7086</v>
      </c>
      <c r="B3311" s="10">
        <v>44275</v>
      </c>
      <c r="C3311" s="22">
        <v>44275</v>
      </c>
      <c r="D3311" s="1" t="s">
        <v>7087</v>
      </c>
      <c r="E3311" s="1" t="s">
        <v>1243</v>
      </c>
      <c r="F3311" s="1">
        <v>30</v>
      </c>
      <c r="G3311" s="1" t="s">
        <v>34</v>
      </c>
      <c r="H3311" s="1" t="s">
        <v>111</v>
      </c>
      <c r="I3311" s="1" t="s">
        <v>112</v>
      </c>
      <c r="J3311" s="1" t="s">
        <v>146</v>
      </c>
      <c r="K3311" s="1" t="s">
        <v>178</v>
      </c>
      <c r="L3311" s="1">
        <v>8</v>
      </c>
      <c r="M3311" s="13">
        <v>1086.23</v>
      </c>
      <c r="N3311" s="15">
        <v>0.23</v>
      </c>
      <c r="O3311" s="13">
        <v>7051.86</v>
      </c>
      <c r="P3311" s="13">
        <v>1305.99</v>
      </c>
      <c r="Q3311" s="13">
        <v>55.27</v>
      </c>
      <c r="R3311" s="1" t="s">
        <v>29</v>
      </c>
      <c r="S3311" s="1">
        <v>4</v>
      </c>
      <c r="T3311" s="1" t="b">
        <v>1</v>
      </c>
      <c r="U3311" s="1" t="s">
        <v>30</v>
      </c>
      <c r="V3311" s="3">
        <v>8</v>
      </c>
    </row>
    <row r="3312" spans="1:22" x14ac:dyDescent="0.3">
      <c r="A3312" s="2" t="s">
        <v>7088</v>
      </c>
      <c r="B3312" s="10">
        <v>45017</v>
      </c>
      <c r="C3312" s="22">
        <v>45017</v>
      </c>
      <c r="D3312" s="1" t="s">
        <v>7089</v>
      </c>
      <c r="E3312" s="1" t="s">
        <v>2137</v>
      </c>
      <c r="F3312" s="1">
        <v>23</v>
      </c>
      <c r="G3312" s="1" t="s">
        <v>34</v>
      </c>
      <c r="H3312" s="1" t="s">
        <v>82</v>
      </c>
      <c r="I3312" s="1" t="s">
        <v>126</v>
      </c>
      <c r="J3312" s="1" t="s">
        <v>146</v>
      </c>
      <c r="K3312" s="1" t="s">
        <v>147</v>
      </c>
      <c r="L3312" s="1">
        <v>6</v>
      </c>
      <c r="M3312" s="13">
        <v>5555.87</v>
      </c>
      <c r="N3312" s="15">
        <v>0.31</v>
      </c>
      <c r="O3312" s="13">
        <v>34653.360000000001</v>
      </c>
      <c r="P3312" s="13">
        <v>9878.4</v>
      </c>
      <c r="Q3312" s="13">
        <v>74.61</v>
      </c>
      <c r="R3312" s="1" t="s">
        <v>29</v>
      </c>
      <c r="S3312" s="1">
        <v>5</v>
      </c>
      <c r="T3312" s="1" t="b">
        <v>0</v>
      </c>
      <c r="U3312" s="1" t="s">
        <v>39</v>
      </c>
      <c r="V3312" s="3">
        <v>4</v>
      </c>
    </row>
    <row r="3313" spans="1:22" x14ac:dyDescent="0.3">
      <c r="A3313" s="2" t="s">
        <v>7090</v>
      </c>
      <c r="B3313" s="10">
        <v>45077</v>
      </c>
      <c r="C3313" s="22">
        <v>45077</v>
      </c>
      <c r="D3313" s="1" t="s">
        <v>7091</v>
      </c>
      <c r="E3313" s="1" t="s">
        <v>611</v>
      </c>
      <c r="F3313" s="1">
        <v>17</v>
      </c>
      <c r="G3313" s="1" t="s">
        <v>68</v>
      </c>
      <c r="H3313" s="1" t="s">
        <v>111</v>
      </c>
      <c r="I3313" s="1" t="s">
        <v>121</v>
      </c>
      <c r="J3313" s="1" t="s">
        <v>127</v>
      </c>
      <c r="K3313" s="1" t="s">
        <v>196</v>
      </c>
      <c r="L3313" s="1">
        <v>8</v>
      </c>
      <c r="M3313" s="13">
        <v>74939.929999999993</v>
      </c>
      <c r="N3313" s="15">
        <v>0.31</v>
      </c>
      <c r="O3313" s="13">
        <v>626506.16</v>
      </c>
      <c r="P3313" s="13">
        <v>78957.960000000006</v>
      </c>
      <c r="Q3313" s="13">
        <v>82.61</v>
      </c>
      <c r="R3313" s="1" t="s">
        <v>64</v>
      </c>
      <c r="S3313" s="1">
        <v>2</v>
      </c>
      <c r="T3313" s="1" t="b">
        <v>0</v>
      </c>
      <c r="U3313" s="1" t="s">
        <v>58</v>
      </c>
      <c r="V3313" s="3">
        <v>3</v>
      </c>
    </row>
    <row r="3314" spans="1:22" x14ac:dyDescent="0.3">
      <c r="A3314" s="2" t="s">
        <v>7092</v>
      </c>
      <c r="B3314" s="10">
        <v>45205</v>
      </c>
      <c r="C3314" s="22">
        <v>45205</v>
      </c>
      <c r="D3314" s="1" t="s">
        <v>7093</v>
      </c>
      <c r="E3314" s="1" t="s">
        <v>809</v>
      </c>
      <c r="F3314" s="1">
        <v>24</v>
      </c>
      <c r="G3314" s="1" t="s">
        <v>68</v>
      </c>
      <c r="H3314" s="1" t="s">
        <v>74</v>
      </c>
      <c r="I3314" s="1" t="s">
        <v>192</v>
      </c>
      <c r="J3314" s="1" t="s">
        <v>146</v>
      </c>
      <c r="K3314" s="1" t="s">
        <v>217</v>
      </c>
      <c r="L3314" s="1">
        <v>6</v>
      </c>
      <c r="M3314" s="13">
        <v>4814.34</v>
      </c>
      <c r="N3314" s="15">
        <v>0.11</v>
      </c>
      <c r="O3314" s="13">
        <v>27501.279999999999</v>
      </c>
      <c r="P3314" s="13">
        <v>3795.89</v>
      </c>
      <c r="Q3314" s="13">
        <v>44.25</v>
      </c>
      <c r="R3314" s="1" t="s">
        <v>64</v>
      </c>
      <c r="S3314" s="1">
        <v>3</v>
      </c>
      <c r="T3314" s="1" t="b">
        <v>0</v>
      </c>
      <c r="U3314" s="1" t="s">
        <v>39</v>
      </c>
      <c r="V3314" s="3">
        <v>6</v>
      </c>
    </row>
    <row r="3315" spans="1:22" x14ac:dyDescent="0.3">
      <c r="A3315" s="2" t="s">
        <v>7094</v>
      </c>
      <c r="B3315" s="10">
        <v>44061</v>
      </c>
      <c r="C3315" s="22">
        <v>44061</v>
      </c>
      <c r="D3315" s="1" t="s">
        <v>7095</v>
      </c>
      <c r="E3315" s="1" t="s">
        <v>145</v>
      </c>
      <c r="F3315" s="1">
        <v>21</v>
      </c>
      <c r="G3315" s="1" t="s">
        <v>34</v>
      </c>
      <c r="H3315" s="1" t="s">
        <v>25</v>
      </c>
      <c r="I3315" s="1" t="s">
        <v>170</v>
      </c>
      <c r="J3315" s="1" t="s">
        <v>146</v>
      </c>
      <c r="K3315" s="1" t="s">
        <v>217</v>
      </c>
      <c r="L3315" s="1">
        <v>4</v>
      </c>
      <c r="M3315" s="13">
        <v>2245.2600000000002</v>
      </c>
      <c r="N3315" s="15">
        <v>0.05</v>
      </c>
      <c r="O3315" s="13">
        <v>10562.68</v>
      </c>
      <c r="P3315" s="13">
        <v>1551.12</v>
      </c>
      <c r="Q3315" s="13">
        <v>67.36</v>
      </c>
      <c r="R3315" s="1" t="s">
        <v>57</v>
      </c>
      <c r="S3315" s="1">
        <v>1</v>
      </c>
      <c r="T3315" s="1" t="b">
        <v>0</v>
      </c>
      <c r="U3315" s="1" t="s">
        <v>39</v>
      </c>
      <c r="V3315" s="3">
        <v>8</v>
      </c>
    </row>
    <row r="3316" spans="1:22" x14ac:dyDescent="0.3">
      <c r="A3316" s="2" t="s">
        <v>7096</v>
      </c>
      <c r="B3316" s="10">
        <v>45307</v>
      </c>
      <c r="C3316" s="22">
        <v>45307</v>
      </c>
      <c r="D3316" s="1" t="s">
        <v>7097</v>
      </c>
      <c r="E3316" s="1" t="s">
        <v>1583</v>
      </c>
      <c r="F3316" s="1">
        <v>35</v>
      </c>
      <c r="G3316" s="1" t="s">
        <v>24</v>
      </c>
      <c r="H3316" s="1" t="s">
        <v>111</v>
      </c>
      <c r="I3316" s="1" t="s">
        <v>112</v>
      </c>
      <c r="J3316" s="1" t="s">
        <v>76</v>
      </c>
      <c r="K3316" s="1" t="s">
        <v>207</v>
      </c>
      <c r="L3316" s="1">
        <v>2</v>
      </c>
      <c r="M3316" s="13">
        <v>2942.34</v>
      </c>
      <c r="N3316" s="15">
        <v>0.26</v>
      </c>
      <c r="O3316" s="13">
        <v>4536.4799999999996</v>
      </c>
      <c r="P3316" s="13">
        <v>1703.86</v>
      </c>
      <c r="Q3316" s="13">
        <v>54.7</v>
      </c>
      <c r="R3316" s="1" t="s">
        <v>29</v>
      </c>
      <c r="S3316" s="1">
        <v>5</v>
      </c>
      <c r="T3316" s="1" t="b">
        <v>1</v>
      </c>
      <c r="U3316" s="1" t="s">
        <v>30</v>
      </c>
      <c r="V3316" s="3">
        <v>7</v>
      </c>
    </row>
    <row r="3317" spans="1:22" x14ac:dyDescent="0.3">
      <c r="A3317" s="2" t="s">
        <v>7098</v>
      </c>
      <c r="B3317" s="10">
        <v>45519</v>
      </c>
      <c r="C3317" s="22">
        <v>45519</v>
      </c>
      <c r="D3317" s="1" t="s">
        <v>7099</v>
      </c>
      <c r="E3317" s="1" t="s">
        <v>1399</v>
      </c>
      <c r="F3317" s="1">
        <v>33</v>
      </c>
      <c r="G3317" s="1" t="s">
        <v>34</v>
      </c>
      <c r="H3317" s="1" t="s">
        <v>111</v>
      </c>
      <c r="I3317" s="1" t="s">
        <v>112</v>
      </c>
      <c r="J3317" s="1" t="s">
        <v>62</v>
      </c>
      <c r="K3317" s="1" t="s">
        <v>63</v>
      </c>
      <c r="L3317" s="1">
        <v>8</v>
      </c>
      <c r="M3317" s="13">
        <v>1226.8399999999999</v>
      </c>
      <c r="N3317" s="15">
        <v>0.23</v>
      </c>
      <c r="O3317" s="13">
        <v>11994.58</v>
      </c>
      <c r="P3317" s="13">
        <v>3912.8</v>
      </c>
      <c r="Q3317" s="13">
        <v>69.45</v>
      </c>
      <c r="R3317" s="1" t="s">
        <v>51</v>
      </c>
      <c r="S3317" s="1">
        <v>4</v>
      </c>
      <c r="T3317" s="1" t="b">
        <v>0</v>
      </c>
      <c r="U3317" s="1" t="s">
        <v>39</v>
      </c>
      <c r="V3317" s="3">
        <v>6</v>
      </c>
    </row>
    <row r="3318" spans="1:22" x14ac:dyDescent="0.3">
      <c r="A3318" s="2" t="s">
        <v>7100</v>
      </c>
      <c r="B3318" s="10">
        <v>44229</v>
      </c>
      <c r="C3318" s="22">
        <v>44229</v>
      </c>
      <c r="D3318" s="1" t="s">
        <v>7101</v>
      </c>
      <c r="E3318" s="1" t="s">
        <v>1282</v>
      </c>
      <c r="F3318" s="1">
        <v>36</v>
      </c>
      <c r="G3318" s="1" t="s">
        <v>24</v>
      </c>
      <c r="H3318" s="1" t="s">
        <v>82</v>
      </c>
      <c r="I3318" s="1" t="s">
        <v>126</v>
      </c>
      <c r="J3318" s="1" t="s">
        <v>62</v>
      </c>
      <c r="K3318" s="1" t="s">
        <v>151</v>
      </c>
      <c r="L3318" s="1">
        <v>9</v>
      </c>
      <c r="M3318" s="13">
        <v>1355.32</v>
      </c>
      <c r="N3318" s="15">
        <v>0.11</v>
      </c>
      <c r="O3318" s="13">
        <v>9672.16</v>
      </c>
      <c r="P3318" s="13">
        <v>3948.56</v>
      </c>
      <c r="Q3318" s="13">
        <v>95.05</v>
      </c>
      <c r="R3318" s="1" t="s">
        <v>29</v>
      </c>
      <c r="S3318" s="1">
        <v>4</v>
      </c>
      <c r="T3318" s="1" t="b">
        <v>0</v>
      </c>
      <c r="U3318" s="1" t="s">
        <v>39</v>
      </c>
      <c r="V3318" s="3">
        <v>4</v>
      </c>
    </row>
    <row r="3319" spans="1:22" x14ac:dyDescent="0.3">
      <c r="A3319" s="2" t="s">
        <v>7102</v>
      </c>
      <c r="B3319" s="10">
        <v>44568</v>
      </c>
      <c r="C3319" s="22">
        <v>44568</v>
      </c>
      <c r="D3319" s="1" t="s">
        <v>7103</v>
      </c>
      <c r="E3319" s="1" t="s">
        <v>1173</v>
      </c>
      <c r="F3319" s="1">
        <v>28</v>
      </c>
      <c r="G3319" s="1" t="s">
        <v>24</v>
      </c>
      <c r="H3319" s="1" t="s">
        <v>74</v>
      </c>
      <c r="I3319" s="1" t="s">
        <v>101</v>
      </c>
      <c r="J3319" s="1" t="s">
        <v>44</v>
      </c>
      <c r="K3319" s="1" t="s">
        <v>221</v>
      </c>
      <c r="L3319" s="1">
        <v>2</v>
      </c>
      <c r="M3319" s="13">
        <v>15019.51</v>
      </c>
      <c r="N3319" s="15">
        <v>0.21</v>
      </c>
      <c r="O3319" s="13">
        <v>22257.16</v>
      </c>
      <c r="P3319" s="13">
        <v>6736.14</v>
      </c>
      <c r="Q3319" s="13">
        <v>45.65</v>
      </c>
      <c r="R3319" s="1" t="s">
        <v>78</v>
      </c>
      <c r="S3319" s="1">
        <v>2</v>
      </c>
      <c r="T3319" s="1" t="b">
        <v>0</v>
      </c>
      <c r="U3319" s="1" t="s">
        <v>84</v>
      </c>
      <c r="V3319" s="3">
        <v>7</v>
      </c>
    </row>
    <row r="3320" spans="1:22" x14ac:dyDescent="0.3">
      <c r="A3320" s="2" t="s">
        <v>7104</v>
      </c>
      <c r="B3320" s="10">
        <v>44816</v>
      </c>
      <c r="C3320" s="22">
        <v>44816</v>
      </c>
      <c r="D3320" s="1" t="s">
        <v>7105</v>
      </c>
      <c r="E3320" s="1" t="s">
        <v>387</v>
      </c>
      <c r="F3320" s="1">
        <v>48</v>
      </c>
      <c r="G3320" s="1" t="s">
        <v>68</v>
      </c>
      <c r="H3320" s="1" t="s">
        <v>35</v>
      </c>
      <c r="I3320" s="1" t="s">
        <v>36</v>
      </c>
      <c r="J3320" s="1" t="s">
        <v>127</v>
      </c>
      <c r="K3320" s="1" t="s">
        <v>142</v>
      </c>
      <c r="L3320" s="1">
        <v>7</v>
      </c>
      <c r="M3320" s="13">
        <v>17875.78</v>
      </c>
      <c r="N3320" s="15">
        <v>0.39</v>
      </c>
      <c r="O3320" s="13">
        <v>88594.37</v>
      </c>
      <c r="P3320" s="13">
        <v>10922.5</v>
      </c>
      <c r="Q3320" s="13">
        <v>64.930000000000007</v>
      </c>
      <c r="R3320" s="1" t="s">
        <v>70</v>
      </c>
      <c r="S3320" s="1">
        <v>1</v>
      </c>
      <c r="T3320" s="1" t="b">
        <v>0</v>
      </c>
      <c r="U3320" s="1" t="s">
        <v>137</v>
      </c>
      <c r="V3320" s="3">
        <v>3</v>
      </c>
    </row>
    <row r="3321" spans="1:22" x14ac:dyDescent="0.3">
      <c r="A3321" s="2" t="s">
        <v>7106</v>
      </c>
      <c r="B3321" s="10">
        <v>45630</v>
      </c>
      <c r="C3321" s="22">
        <v>45630</v>
      </c>
      <c r="D3321" s="1" t="s">
        <v>7107</v>
      </c>
      <c r="E3321" s="1" t="s">
        <v>1782</v>
      </c>
      <c r="F3321" s="1">
        <v>20</v>
      </c>
      <c r="G3321" s="1" t="s">
        <v>34</v>
      </c>
      <c r="H3321" s="1" t="s">
        <v>82</v>
      </c>
      <c r="I3321" s="1" t="s">
        <v>126</v>
      </c>
      <c r="J3321" s="1" t="s">
        <v>44</v>
      </c>
      <c r="K3321" s="1" t="s">
        <v>50</v>
      </c>
      <c r="L3321" s="1">
        <v>9</v>
      </c>
      <c r="M3321" s="13">
        <v>31889.55</v>
      </c>
      <c r="N3321" s="15">
        <v>0.03</v>
      </c>
      <c r="O3321" s="13">
        <v>231659.35</v>
      </c>
      <c r="P3321" s="13">
        <v>73647.320000000007</v>
      </c>
      <c r="Q3321" s="13">
        <v>82.21</v>
      </c>
      <c r="R3321" s="1" t="s">
        <v>70</v>
      </c>
      <c r="S3321" s="1">
        <v>4</v>
      </c>
      <c r="T3321" s="1" t="b">
        <v>0</v>
      </c>
      <c r="U3321" s="1" t="s">
        <v>39</v>
      </c>
      <c r="V3321" s="3">
        <v>3</v>
      </c>
    </row>
    <row r="3322" spans="1:22" x14ac:dyDescent="0.3">
      <c r="A3322" s="2" t="s">
        <v>7108</v>
      </c>
      <c r="B3322" s="10">
        <v>44262</v>
      </c>
      <c r="C3322" s="22">
        <v>44262</v>
      </c>
      <c r="D3322" s="1" t="s">
        <v>7109</v>
      </c>
      <c r="E3322" s="1" t="s">
        <v>1899</v>
      </c>
      <c r="F3322" s="1">
        <v>51</v>
      </c>
      <c r="G3322" s="1" t="s">
        <v>34</v>
      </c>
      <c r="H3322" s="1" t="s">
        <v>35</v>
      </c>
      <c r="I3322" s="1" t="s">
        <v>36</v>
      </c>
      <c r="J3322" s="1" t="s">
        <v>27</v>
      </c>
      <c r="K3322" s="1" t="s">
        <v>28</v>
      </c>
      <c r="L3322" s="1">
        <v>8</v>
      </c>
      <c r="M3322" s="13">
        <v>304.95999999999998</v>
      </c>
      <c r="N3322" s="15">
        <v>0.05</v>
      </c>
      <c r="O3322" s="13">
        <v>2345.4</v>
      </c>
      <c r="P3322" s="13">
        <v>225.25</v>
      </c>
      <c r="Q3322" s="13">
        <v>36.35</v>
      </c>
      <c r="R3322" s="1" t="s">
        <v>64</v>
      </c>
      <c r="S3322" s="1">
        <v>2</v>
      </c>
      <c r="T3322" s="1" t="b">
        <v>0</v>
      </c>
      <c r="U3322" s="1" t="s">
        <v>39</v>
      </c>
      <c r="V3322" s="3">
        <v>3</v>
      </c>
    </row>
    <row r="3323" spans="1:22" x14ac:dyDescent="0.3">
      <c r="A3323" s="2" t="s">
        <v>7110</v>
      </c>
      <c r="B3323" s="10">
        <v>45218</v>
      </c>
      <c r="C3323" s="22">
        <v>45218</v>
      </c>
      <c r="D3323" s="1" t="s">
        <v>7111</v>
      </c>
      <c r="E3323" s="1" t="s">
        <v>1526</v>
      </c>
      <c r="F3323" s="1">
        <v>39</v>
      </c>
      <c r="G3323" s="1" t="s">
        <v>34</v>
      </c>
      <c r="H3323" s="1" t="s">
        <v>25</v>
      </c>
      <c r="I3323" s="1" t="s">
        <v>26</v>
      </c>
      <c r="J3323" s="1" t="s">
        <v>37</v>
      </c>
      <c r="K3323" s="1" t="s">
        <v>231</v>
      </c>
      <c r="L3323" s="1">
        <v>6</v>
      </c>
      <c r="M3323" s="13">
        <v>1870.67</v>
      </c>
      <c r="N3323" s="15">
        <v>0.31</v>
      </c>
      <c r="O3323" s="13">
        <v>7697.7</v>
      </c>
      <c r="P3323" s="13">
        <v>4210.6099999999997</v>
      </c>
      <c r="Q3323" s="13">
        <v>51.88</v>
      </c>
      <c r="R3323" s="1" t="s">
        <v>29</v>
      </c>
      <c r="S3323" s="1">
        <v>5</v>
      </c>
      <c r="T3323" s="1" t="b">
        <v>0</v>
      </c>
      <c r="U3323" s="1" t="s">
        <v>39</v>
      </c>
      <c r="V3323" s="3">
        <v>1</v>
      </c>
    </row>
    <row r="3324" spans="1:22" x14ac:dyDescent="0.3">
      <c r="A3324" s="2" t="s">
        <v>7112</v>
      </c>
      <c r="B3324" s="10">
        <v>45170</v>
      </c>
      <c r="C3324" s="22">
        <v>45170</v>
      </c>
      <c r="D3324" s="1" t="s">
        <v>7113</v>
      </c>
      <c r="E3324" s="1" t="s">
        <v>824</v>
      </c>
      <c r="F3324" s="1">
        <v>31</v>
      </c>
      <c r="G3324" s="1" t="s">
        <v>68</v>
      </c>
      <c r="H3324" s="1" t="s">
        <v>25</v>
      </c>
      <c r="I3324" s="1" t="s">
        <v>55</v>
      </c>
      <c r="J3324" s="1" t="s">
        <v>62</v>
      </c>
      <c r="K3324" s="1" t="s">
        <v>107</v>
      </c>
      <c r="L3324" s="1">
        <v>7</v>
      </c>
      <c r="M3324" s="13">
        <v>1057.54</v>
      </c>
      <c r="N3324" s="15">
        <v>0.2</v>
      </c>
      <c r="O3324" s="13">
        <v>6459.84</v>
      </c>
      <c r="P3324" s="13">
        <v>2620.0500000000002</v>
      </c>
      <c r="Q3324" s="13">
        <v>60.64</v>
      </c>
      <c r="R3324" s="1" t="s">
        <v>29</v>
      </c>
      <c r="S3324" s="1">
        <v>2</v>
      </c>
      <c r="T3324" s="1" t="b">
        <v>1</v>
      </c>
      <c r="U3324" s="1" t="s">
        <v>30</v>
      </c>
      <c r="V3324" s="3">
        <v>2</v>
      </c>
    </row>
    <row r="3325" spans="1:22" x14ac:dyDescent="0.3">
      <c r="A3325" s="2" t="s">
        <v>7114</v>
      </c>
      <c r="B3325" s="10">
        <v>44631</v>
      </c>
      <c r="C3325" s="22">
        <v>44631</v>
      </c>
      <c r="D3325" s="1" t="s">
        <v>7115</v>
      </c>
      <c r="E3325" s="1" t="s">
        <v>1108</v>
      </c>
      <c r="F3325" s="1">
        <v>14</v>
      </c>
      <c r="G3325" s="1" t="s">
        <v>24</v>
      </c>
      <c r="H3325" s="1" t="s">
        <v>82</v>
      </c>
      <c r="I3325" s="1" t="s">
        <v>244</v>
      </c>
      <c r="J3325" s="1" t="s">
        <v>44</v>
      </c>
      <c r="K3325" s="1" t="s">
        <v>93</v>
      </c>
      <c r="L3325" s="1">
        <v>8</v>
      </c>
      <c r="M3325" s="13">
        <v>26505.13</v>
      </c>
      <c r="N3325" s="15">
        <v>0.04</v>
      </c>
      <c r="O3325" s="13">
        <v>238656.22</v>
      </c>
      <c r="P3325" s="13">
        <v>68339.509999999995</v>
      </c>
      <c r="Q3325" s="13">
        <v>84.53</v>
      </c>
      <c r="R3325" s="1" t="s">
        <v>57</v>
      </c>
      <c r="S3325" s="1">
        <v>5</v>
      </c>
      <c r="T3325" s="1" t="b">
        <v>0</v>
      </c>
      <c r="U3325" s="1" t="s">
        <v>39</v>
      </c>
      <c r="V3325" s="3">
        <v>7</v>
      </c>
    </row>
    <row r="3326" spans="1:22" x14ac:dyDescent="0.3">
      <c r="A3326" s="2" t="s">
        <v>7116</v>
      </c>
      <c r="B3326" s="10">
        <v>45087</v>
      </c>
      <c r="C3326" s="22">
        <v>45087</v>
      </c>
      <c r="D3326" s="1" t="s">
        <v>7117</v>
      </c>
      <c r="E3326" s="1" t="s">
        <v>1076</v>
      </c>
      <c r="F3326" s="1">
        <v>19</v>
      </c>
      <c r="G3326" s="1" t="s">
        <v>34</v>
      </c>
      <c r="H3326" s="1" t="s">
        <v>35</v>
      </c>
      <c r="I3326" s="1" t="s">
        <v>43</v>
      </c>
      <c r="J3326" s="1" t="s">
        <v>146</v>
      </c>
      <c r="K3326" s="1" t="s">
        <v>276</v>
      </c>
      <c r="L3326" s="1">
        <v>5</v>
      </c>
      <c r="M3326" s="13">
        <v>13947.97</v>
      </c>
      <c r="N3326" s="15">
        <v>0.28999999999999998</v>
      </c>
      <c r="O3326" s="13">
        <v>76540.789999999994</v>
      </c>
      <c r="P3326" s="13">
        <v>25167.53</v>
      </c>
      <c r="Q3326" s="13">
        <v>78.239999999999995</v>
      </c>
      <c r="R3326" s="1" t="s">
        <v>51</v>
      </c>
      <c r="S3326" s="1">
        <v>1</v>
      </c>
      <c r="T3326" s="1" t="b">
        <v>0</v>
      </c>
      <c r="U3326" s="1" t="s">
        <v>84</v>
      </c>
      <c r="V3326" s="3">
        <v>7</v>
      </c>
    </row>
    <row r="3327" spans="1:22" x14ac:dyDescent="0.3">
      <c r="A3327" s="2" t="s">
        <v>7118</v>
      </c>
      <c r="B3327" s="10">
        <v>45371</v>
      </c>
      <c r="C3327" s="22">
        <v>45371</v>
      </c>
      <c r="D3327" s="1" t="s">
        <v>7119</v>
      </c>
      <c r="E3327" s="1" t="s">
        <v>390</v>
      </c>
      <c r="F3327" s="1">
        <v>48</v>
      </c>
      <c r="G3327" s="1" t="s">
        <v>68</v>
      </c>
      <c r="H3327" s="1" t="s">
        <v>25</v>
      </c>
      <c r="I3327" s="1" t="s">
        <v>69</v>
      </c>
      <c r="J3327" s="1" t="s">
        <v>37</v>
      </c>
      <c r="K3327" s="1" t="s">
        <v>231</v>
      </c>
      <c r="L3327" s="1">
        <v>7</v>
      </c>
      <c r="M3327" s="13">
        <v>2483.1</v>
      </c>
      <c r="N3327" s="15">
        <v>0.23</v>
      </c>
      <c r="O3327" s="13">
        <v>19141.88</v>
      </c>
      <c r="P3327" s="13">
        <v>9979.84</v>
      </c>
      <c r="Q3327" s="13">
        <v>55.38</v>
      </c>
      <c r="R3327" s="1" t="s">
        <v>57</v>
      </c>
      <c r="S3327" s="1">
        <v>3</v>
      </c>
      <c r="T3327" s="1" t="b">
        <v>0</v>
      </c>
      <c r="U3327" s="1" t="s">
        <v>39</v>
      </c>
      <c r="V3327" s="3">
        <v>10</v>
      </c>
    </row>
    <row r="3328" spans="1:22" x14ac:dyDescent="0.3">
      <c r="A3328" s="2" t="s">
        <v>7120</v>
      </c>
      <c r="B3328" s="10">
        <v>44366</v>
      </c>
      <c r="C3328" s="22">
        <v>44366</v>
      </c>
      <c r="D3328" s="1" t="s">
        <v>7121</v>
      </c>
      <c r="E3328" s="1" t="s">
        <v>632</v>
      </c>
      <c r="F3328" s="1">
        <v>24</v>
      </c>
      <c r="G3328" s="1" t="s">
        <v>34</v>
      </c>
      <c r="H3328" s="1" t="s">
        <v>74</v>
      </c>
      <c r="I3328" s="1" t="s">
        <v>192</v>
      </c>
      <c r="J3328" s="1" t="s">
        <v>27</v>
      </c>
      <c r="K3328" s="1" t="s">
        <v>97</v>
      </c>
      <c r="L3328" s="1">
        <v>8</v>
      </c>
      <c r="M3328" s="13">
        <v>134.32</v>
      </c>
      <c r="N3328" s="15">
        <v>0.04</v>
      </c>
      <c r="O3328" s="13">
        <v>1451.63</v>
      </c>
      <c r="P3328" s="13">
        <v>139.04</v>
      </c>
      <c r="Q3328" s="13">
        <v>56.65</v>
      </c>
      <c r="R3328" s="1" t="s">
        <v>29</v>
      </c>
      <c r="S3328" s="1">
        <v>2</v>
      </c>
      <c r="T3328" s="1" t="b">
        <v>0</v>
      </c>
      <c r="U3328" s="1" t="s">
        <v>39</v>
      </c>
      <c r="V3328" s="3">
        <v>5</v>
      </c>
    </row>
    <row r="3329" spans="1:22" x14ac:dyDescent="0.3">
      <c r="A3329" s="2" t="s">
        <v>7122</v>
      </c>
      <c r="B3329" s="10">
        <v>45408</v>
      </c>
      <c r="C3329" s="22">
        <v>45408</v>
      </c>
      <c r="D3329" s="1" t="s">
        <v>7123</v>
      </c>
      <c r="E3329" s="1" t="s">
        <v>140</v>
      </c>
      <c r="F3329" s="1">
        <v>37</v>
      </c>
      <c r="G3329" s="1" t="s">
        <v>34</v>
      </c>
      <c r="H3329" s="1" t="s">
        <v>82</v>
      </c>
      <c r="I3329" s="1" t="s">
        <v>126</v>
      </c>
      <c r="J3329" s="1" t="s">
        <v>76</v>
      </c>
      <c r="K3329" s="1" t="s">
        <v>113</v>
      </c>
      <c r="L3329" s="1">
        <v>2</v>
      </c>
      <c r="M3329" s="13">
        <v>336.81</v>
      </c>
      <c r="N3329" s="15">
        <v>0.23</v>
      </c>
      <c r="O3329" s="13">
        <v>928.67</v>
      </c>
      <c r="P3329" s="13">
        <v>222.36</v>
      </c>
      <c r="Q3329" s="13">
        <v>105.46</v>
      </c>
      <c r="R3329" s="1" t="s">
        <v>70</v>
      </c>
      <c r="S3329" s="1">
        <v>4</v>
      </c>
      <c r="T3329" s="1" t="b">
        <v>0</v>
      </c>
      <c r="U3329" s="1" t="s">
        <v>39</v>
      </c>
      <c r="V3329" s="3">
        <v>8</v>
      </c>
    </row>
    <row r="3330" spans="1:22" x14ac:dyDescent="0.3">
      <c r="A3330" s="2" t="s">
        <v>7124</v>
      </c>
      <c r="B3330" s="10">
        <v>44307</v>
      </c>
      <c r="C3330" s="22">
        <v>44307</v>
      </c>
      <c r="D3330" s="1" t="s">
        <v>7125</v>
      </c>
      <c r="E3330" s="1" t="s">
        <v>1204</v>
      </c>
      <c r="F3330" s="1">
        <v>18</v>
      </c>
      <c r="G3330" s="1" t="s">
        <v>24</v>
      </c>
      <c r="H3330" s="1" t="s">
        <v>82</v>
      </c>
      <c r="I3330" s="1" t="s">
        <v>293</v>
      </c>
      <c r="J3330" s="1" t="s">
        <v>27</v>
      </c>
      <c r="K3330" s="1" t="s">
        <v>400</v>
      </c>
      <c r="L3330" s="1">
        <v>2</v>
      </c>
      <c r="M3330" s="13">
        <v>94.76</v>
      </c>
      <c r="N3330" s="15">
        <v>0.39</v>
      </c>
      <c r="O3330" s="13">
        <v>140.80000000000001</v>
      </c>
      <c r="P3330" s="13">
        <v>10.16</v>
      </c>
      <c r="Q3330" s="13">
        <v>69.7</v>
      </c>
      <c r="R3330" s="1" t="s">
        <v>70</v>
      </c>
      <c r="S3330" s="1">
        <v>3</v>
      </c>
      <c r="T3330" s="1" t="b">
        <v>0</v>
      </c>
      <c r="U3330" s="1" t="s">
        <v>39</v>
      </c>
      <c r="V3330" s="3">
        <v>5</v>
      </c>
    </row>
    <row r="3331" spans="1:22" x14ac:dyDescent="0.3">
      <c r="A3331" s="2" t="s">
        <v>7126</v>
      </c>
      <c r="B3331" s="10">
        <v>45623</v>
      </c>
      <c r="C3331" s="22">
        <v>45623</v>
      </c>
      <c r="D3331" s="1" t="s">
        <v>7127</v>
      </c>
      <c r="E3331" s="1" t="s">
        <v>1186</v>
      </c>
      <c r="F3331" s="1">
        <v>21</v>
      </c>
      <c r="G3331" s="1" t="s">
        <v>24</v>
      </c>
      <c r="H3331" s="1" t="s">
        <v>111</v>
      </c>
      <c r="I3331" s="1" t="s">
        <v>112</v>
      </c>
      <c r="J3331" s="1" t="s">
        <v>127</v>
      </c>
      <c r="K3331" s="1" t="s">
        <v>196</v>
      </c>
      <c r="L3331" s="1">
        <v>10</v>
      </c>
      <c r="M3331" s="13">
        <v>78416.649999999994</v>
      </c>
      <c r="N3331" s="15">
        <v>0.19</v>
      </c>
      <c r="O3331" s="13">
        <v>598247.4</v>
      </c>
      <c r="P3331" s="13">
        <v>76981.5</v>
      </c>
      <c r="Q3331" s="13">
        <v>47.97</v>
      </c>
      <c r="R3331" s="1" t="s">
        <v>78</v>
      </c>
      <c r="S3331" s="1">
        <v>3</v>
      </c>
      <c r="T3331" s="1" t="b">
        <v>0</v>
      </c>
      <c r="U3331" s="1" t="s">
        <v>84</v>
      </c>
      <c r="V3331" s="3">
        <v>8</v>
      </c>
    </row>
    <row r="3332" spans="1:22" x14ac:dyDescent="0.3">
      <c r="A3332" s="2" t="s">
        <v>7128</v>
      </c>
      <c r="B3332" s="10">
        <v>44866</v>
      </c>
      <c r="C3332" s="22">
        <v>44866</v>
      </c>
      <c r="D3332" s="1" t="s">
        <v>7129</v>
      </c>
      <c r="E3332" s="1" t="s">
        <v>1327</v>
      </c>
      <c r="F3332" s="1">
        <v>19</v>
      </c>
      <c r="G3332" s="1" t="s">
        <v>88</v>
      </c>
      <c r="H3332" s="1" t="s">
        <v>111</v>
      </c>
      <c r="I3332" s="1" t="s">
        <v>330</v>
      </c>
      <c r="J3332" s="1" t="s">
        <v>37</v>
      </c>
      <c r="K3332" s="1" t="s">
        <v>671</v>
      </c>
      <c r="L3332" s="1">
        <v>4</v>
      </c>
      <c r="M3332" s="13">
        <v>901.35</v>
      </c>
      <c r="N3332" s="15">
        <v>0.21</v>
      </c>
      <c r="O3332" s="13">
        <v>2292.2800000000002</v>
      </c>
      <c r="P3332" s="13">
        <v>1103.3599999999999</v>
      </c>
      <c r="Q3332" s="13">
        <v>70.489999999999995</v>
      </c>
      <c r="R3332" s="1" t="s">
        <v>78</v>
      </c>
      <c r="S3332" s="1">
        <v>3</v>
      </c>
      <c r="T3332" s="1" t="b">
        <v>0</v>
      </c>
      <c r="U3332" s="1" t="s">
        <v>39</v>
      </c>
      <c r="V3332" s="3">
        <v>9</v>
      </c>
    </row>
    <row r="3333" spans="1:22" x14ac:dyDescent="0.3">
      <c r="A3333" s="2" t="s">
        <v>7130</v>
      </c>
      <c r="B3333" s="10">
        <v>44285</v>
      </c>
      <c r="C3333" s="22">
        <v>44285</v>
      </c>
      <c r="D3333" s="1" t="s">
        <v>7131</v>
      </c>
      <c r="E3333" s="1" t="s">
        <v>468</v>
      </c>
      <c r="F3333" s="1">
        <v>29</v>
      </c>
      <c r="G3333" s="1" t="s">
        <v>24</v>
      </c>
      <c r="H3333" s="1" t="s">
        <v>82</v>
      </c>
      <c r="I3333" s="1" t="s">
        <v>126</v>
      </c>
      <c r="J3333" s="1" t="s">
        <v>146</v>
      </c>
      <c r="K3333" s="1" t="s">
        <v>161</v>
      </c>
      <c r="L3333" s="1">
        <v>8</v>
      </c>
      <c r="M3333" s="13">
        <v>10920.29</v>
      </c>
      <c r="N3333" s="15">
        <v>0.06</v>
      </c>
      <c r="O3333" s="13">
        <v>83283.38</v>
      </c>
      <c r="P3333" s="13">
        <v>15878.93</v>
      </c>
      <c r="Q3333" s="13">
        <v>109.6</v>
      </c>
      <c r="R3333" s="1" t="s">
        <v>51</v>
      </c>
      <c r="S3333" s="1">
        <v>2</v>
      </c>
      <c r="T3333" s="1" t="b">
        <v>0</v>
      </c>
      <c r="U3333" s="1" t="s">
        <v>39</v>
      </c>
      <c r="V3333" s="3">
        <v>7</v>
      </c>
    </row>
    <row r="3334" spans="1:22" x14ac:dyDescent="0.3">
      <c r="A3334" s="2" t="s">
        <v>7132</v>
      </c>
      <c r="B3334" s="10">
        <v>44397</v>
      </c>
      <c r="C3334" s="22">
        <v>44397</v>
      </c>
      <c r="D3334" s="1" t="s">
        <v>7133</v>
      </c>
      <c r="E3334" s="1" t="s">
        <v>809</v>
      </c>
      <c r="F3334" s="1">
        <v>32</v>
      </c>
      <c r="G3334" s="1" t="s">
        <v>68</v>
      </c>
      <c r="H3334" s="1" t="s">
        <v>35</v>
      </c>
      <c r="I3334" s="1" t="s">
        <v>43</v>
      </c>
      <c r="J3334" s="1" t="s">
        <v>27</v>
      </c>
      <c r="K3334" s="1" t="s">
        <v>450</v>
      </c>
      <c r="L3334" s="1">
        <v>10</v>
      </c>
      <c r="M3334" s="13">
        <v>311.3</v>
      </c>
      <c r="N3334" s="15">
        <v>0.22</v>
      </c>
      <c r="O3334" s="13">
        <v>2697.43</v>
      </c>
      <c r="P3334" s="13">
        <v>192.38</v>
      </c>
      <c r="Q3334" s="13">
        <v>47.53</v>
      </c>
      <c r="R3334" s="1" t="s">
        <v>51</v>
      </c>
      <c r="S3334" s="1">
        <v>5</v>
      </c>
      <c r="T3334" s="1" t="b">
        <v>0</v>
      </c>
      <c r="U3334" s="1" t="s">
        <v>39</v>
      </c>
      <c r="V3334" s="3">
        <v>5</v>
      </c>
    </row>
    <row r="3335" spans="1:22" x14ac:dyDescent="0.3">
      <c r="A3335" s="2" t="s">
        <v>7134</v>
      </c>
      <c r="B3335" s="10">
        <v>44443</v>
      </c>
      <c r="C3335" s="22">
        <v>44443</v>
      </c>
      <c r="D3335" s="1" t="s">
        <v>7135</v>
      </c>
      <c r="E3335" s="1" t="s">
        <v>1201</v>
      </c>
      <c r="F3335" s="1">
        <v>41</v>
      </c>
      <c r="G3335" s="1" t="s">
        <v>24</v>
      </c>
      <c r="H3335" s="1" t="s">
        <v>74</v>
      </c>
      <c r="I3335" s="1" t="s">
        <v>75</v>
      </c>
      <c r="J3335" s="1" t="s">
        <v>127</v>
      </c>
      <c r="K3335" s="1" t="s">
        <v>171</v>
      </c>
      <c r="L3335" s="1">
        <v>4</v>
      </c>
      <c r="M3335" s="13">
        <v>58347.92</v>
      </c>
      <c r="N3335" s="15">
        <v>0.26</v>
      </c>
      <c r="O3335" s="13">
        <v>187775.6</v>
      </c>
      <c r="P3335" s="13">
        <v>29981.09</v>
      </c>
      <c r="Q3335" s="13">
        <v>40.020000000000003</v>
      </c>
      <c r="R3335" s="1" t="s">
        <v>64</v>
      </c>
      <c r="S3335" s="1">
        <v>5</v>
      </c>
      <c r="T3335" s="1" t="b">
        <v>1</v>
      </c>
      <c r="U3335" s="1" t="s">
        <v>30</v>
      </c>
      <c r="V3335" s="3">
        <v>1</v>
      </c>
    </row>
    <row r="3336" spans="1:22" x14ac:dyDescent="0.3">
      <c r="A3336" s="2" t="s">
        <v>7136</v>
      </c>
      <c r="B3336" s="10">
        <v>44500</v>
      </c>
      <c r="C3336" s="22">
        <v>44500</v>
      </c>
      <c r="D3336" s="1" t="s">
        <v>7137</v>
      </c>
      <c r="E3336" s="1" t="s">
        <v>1495</v>
      </c>
      <c r="F3336" s="1">
        <v>55</v>
      </c>
      <c r="G3336" s="1" t="s">
        <v>34</v>
      </c>
      <c r="H3336" s="1" t="s">
        <v>25</v>
      </c>
      <c r="I3336" s="1" t="s">
        <v>55</v>
      </c>
      <c r="J3336" s="1" t="s">
        <v>127</v>
      </c>
      <c r="K3336" s="1" t="s">
        <v>171</v>
      </c>
      <c r="L3336" s="1">
        <v>8</v>
      </c>
      <c r="M3336" s="13">
        <v>55123.63</v>
      </c>
      <c r="N3336" s="15">
        <v>0.15</v>
      </c>
      <c r="O3336" s="13">
        <v>356673.17</v>
      </c>
      <c r="P3336" s="13">
        <v>10636.55</v>
      </c>
      <c r="Q3336" s="13">
        <v>57.56</v>
      </c>
      <c r="R3336" s="1" t="s">
        <v>29</v>
      </c>
      <c r="S3336" s="1">
        <v>5</v>
      </c>
      <c r="T3336" s="1" t="b">
        <v>0</v>
      </c>
      <c r="U3336" s="1" t="s">
        <v>39</v>
      </c>
      <c r="V3336" s="3">
        <v>5</v>
      </c>
    </row>
    <row r="3337" spans="1:22" x14ac:dyDescent="0.3">
      <c r="A3337" s="2" t="s">
        <v>7138</v>
      </c>
      <c r="B3337" s="10">
        <v>44530</v>
      </c>
      <c r="C3337" s="22">
        <v>44530</v>
      </c>
      <c r="D3337" s="1" t="s">
        <v>7139</v>
      </c>
      <c r="E3337" s="1" t="s">
        <v>403</v>
      </c>
      <c r="F3337" s="1">
        <v>28</v>
      </c>
      <c r="G3337" s="1" t="s">
        <v>24</v>
      </c>
      <c r="H3337" s="1" t="s">
        <v>35</v>
      </c>
      <c r="I3337" s="1" t="s">
        <v>43</v>
      </c>
      <c r="J3337" s="1" t="s">
        <v>76</v>
      </c>
      <c r="K3337" s="1" t="s">
        <v>113</v>
      </c>
      <c r="L3337" s="1">
        <v>6</v>
      </c>
      <c r="M3337" s="13">
        <v>3969.96</v>
      </c>
      <c r="N3337" s="15">
        <v>0.03</v>
      </c>
      <c r="O3337" s="13">
        <v>17673.419999999998</v>
      </c>
      <c r="P3337" s="13">
        <v>4862.5</v>
      </c>
      <c r="Q3337" s="13">
        <v>49.67</v>
      </c>
      <c r="R3337" s="1" t="s">
        <v>51</v>
      </c>
      <c r="S3337" s="1">
        <v>2</v>
      </c>
      <c r="T3337" s="1" t="b">
        <v>0</v>
      </c>
      <c r="U3337" s="1" t="s">
        <v>137</v>
      </c>
      <c r="V3337" s="3">
        <v>2</v>
      </c>
    </row>
    <row r="3338" spans="1:22" x14ac:dyDescent="0.3">
      <c r="A3338" s="2" t="s">
        <v>7140</v>
      </c>
      <c r="B3338" s="10">
        <v>45017</v>
      </c>
      <c r="C3338" s="22">
        <v>45017</v>
      </c>
      <c r="D3338" s="1" t="s">
        <v>7141</v>
      </c>
      <c r="E3338" s="1" t="s">
        <v>1186</v>
      </c>
      <c r="F3338" s="1">
        <v>31</v>
      </c>
      <c r="G3338" s="1" t="s">
        <v>68</v>
      </c>
      <c r="H3338" s="1" t="s">
        <v>74</v>
      </c>
      <c r="I3338" s="1" t="s">
        <v>136</v>
      </c>
      <c r="J3338" s="1" t="s">
        <v>37</v>
      </c>
      <c r="K3338" s="1" t="s">
        <v>102</v>
      </c>
      <c r="L3338" s="1">
        <v>8</v>
      </c>
      <c r="M3338" s="13">
        <v>2199.06</v>
      </c>
      <c r="N3338" s="15">
        <v>0.31</v>
      </c>
      <c r="O3338" s="13">
        <v>19643.63</v>
      </c>
      <c r="P3338" s="13">
        <v>6740.03</v>
      </c>
      <c r="Q3338" s="13">
        <v>50.62</v>
      </c>
      <c r="R3338" s="1" t="s">
        <v>64</v>
      </c>
      <c r="S3338" s="1">
        <v>1</v>
      </c>
      <c r="T3338" s="1" t="b">
        <v>0</v>
      </c>
      <c r="U3338" s="1" t="s">
        <v>197</v>
      </c>
      <c r="V3338" s="3">
        <v>8</v>
      </c>
    </row>
    <row r="3339" spans="1:22" x14ac:dyDescent="0.3">
      <c r="A3339" s="2" t="s">
        <v>7142</v>
      </c>
      <c r="B3339" s="10">
        <v>45434</v>
      </c>
      <c r="C3339" s="22">
        <v>45434</v>
      </c>
      <c r="D3339" s="1" t="s">
        <v>7143</v>
      </c>
      <c r="E3339" s="1" t="s">
        <v>1047</v>
      </c>
      <c r="F3339" s="1">
        <v>45</v>
      </c>
      <c r="G3339" s="1" t="s">
        <v>34</v>
      </c>
      <c r="H3339" s="1" t="s">
        <v>111</v>
      </c>
      <c r="I3339" s="1" t="s">
        <v>121</v>
      </c>
      <c r="J3339" s="1" t="s">
        <v>62</v>
      </c>
      <c r="K3339" s="1" t="s">
        <v>266</v>
      </c>
      <c r="L3339" s="1">
        <v>4</v>
      </c>
      <c r="M3339" s="13">
        <v>1444.05</v>
      </c>
      <c r="N3339" s="15">
        <v>0.31</v>
      </c>
      <c r="O3339" s="13">
        <v>6939.46</v>
      </c>
      <c r="P3339" s="13">
        <v>2386.88</v>
      </c>
      <c r="Q3339" s="13">
        <v>95.97</v>
      </c>
      <c r="R3339" s="1" t="s">
        <v>78</v>
      </c>
      <c r="S3339" s="1">
        <v>3</v>
      </c>
      <c r="T3339" s="1" t="b">
        <v>0</v>
      </c>
      <c r="U3339" s="1" t="s">
        <v>39</v>
      </c>
      <c r="V3339" s="3">
        <v>3</v>
      </c>
    </row>
    <row r="3340" spans="1:22" x14ac:dyDescent="0.3">
      <c r="A3340" s="2" t="s">
        <v>7144</v>
      </c>
      <c r="B3340" s="10">
        <v>43958</v>
      </c>
      <c r="C3340" s="22">
        <v>43958</v>
      </c>
      <c r="D3340" s="1" t="s">
        <v>7145</v>
      </c>
      <c r="E3340" s="1" t="s">
        <v>1236</v>
      </c>
      <c r="F3340" s="1">
        <v>46</v>
      </c>
      <c r="G3340" s="1" t="s">
        <v>34</v>
      </c>
      <c r="H3340" s="1" t="s">
        <v>111</v>
      </c>
      <c r="I3340" s="1" t="s">
        <v>121</v>
      </c>
      <c r="J3340" s="1" t="s">
        <v>62</v>
      </c>
      <c r="K3340" s="1" t="s">
        <v>151</v>
      </c>
      <c r="L3340" s="1">
        <v>6</v>
      </c>
      <c r="M3340" s="13">
        <v>366.68</v>
      </c>
      <c r="N3340" s="15">
        <v>0.22</v>
      </c>
      <c r="O3340" s="13">
        <v>2435.14</v>
      </c>
      <c r="P3340" s="13">
        <v>744.83</v>
      </c>
      <c r="Q3340" s="13">
        <v>60.14</v>
      </c>
      <c r="R3340" s="1" t="s">
        <v>78</v>
      </c>
      <c r="S3340" s="1">
        <v>2</v>
      </c>
      <c r="T3340" s="1" t="b">
        <v>1</v>
      </c>
      <c r="U3340" s="1" t="s">
        <v>30</v>
      </c>
      <c r="V3340" s="3">
        <v>2</v>
      </c>
    </row>
    <row r="3341" spans="1:22" x14ac:dyDescent="0.3">
      <c r="A3341" s="2" t="s">
        <v>7146</v>
      </c>
      <c r="B3341" s="10">
        <v>45470</v>
      </c>
      <c r="C3341" s="22">
        <v>45470</v>
      </c>
      <c r="D3341" s="1" t="s">
        <v>7147</v>
      </c>
      <c r="E3341" s="1" t="s">
        <v>177</v>
      </c>
      <c r="F3341" s="1">
        <v>53</v>
      </c>
      <c r="G3341" s="1" t="s">
        <v>24</v>
      </c>
      <c r="H3341" s="1" t="s">
        <v>74</v>
      </c>
      <c r="I3341" s="1" t="s">
        <v>136</v>
      </c>
      <c r="J3341" s="1" t="s">
        <v>37</v>
      </c>
      <c r="K3341" s="1" t="s">
        <v>671</v>
      </c>
      <c r="L3341" s="1">
        <v>5</v>
      </c>
      <c r="M3341" s="13">
        <v>1527.65</v>
      </c>
      <c r="N3341" s="15">
        <v>0.37</v>
      </c>
      <c r="O3341" s="13">
        <v>1656.84</v>
      </c>
      <c r="P3341" s="13">
        <v>823.79</v>
      </c>
      <c r="Q3341" s="13">
        <v>46.45</v>
      </c>
      <c r="R3341" s="1" t="s">
        <v>51</v>
      </c>
      <c r="S3341" s="1">
        <v>4</v>
      </c>
      <c r="T3341" s="1" t="b">
        <v>0</v>
      </c>
      <c r="U3341" s="1" t="s">
        <v>39</v>
      </c>
      <c r="V3341" s="3">
        <v>2</v>
      </c>
    </row>
    <row r="3342" spans="1:22" x14ac:dyDescent="0.3">
      <c r="A3342" s="2" t="s">
        <v>7148</v>
      </c>
      <c r="B3342" s="10">
        <v>44291</v>
      </c>
      <c r="C3342" s="22">
        <v>44291</v>
      </c>
      <c r="D3342" s="1" t="s">
        <v>7149</v>
      </c>
      <c r="E3342" s="1" t="s">
        <v>621</v>
      </c>
      <c r="F3342" s="1">
        <v>30</v>
      </c>
      <c r="G3342" s="1" t="s">
        <v>34</v>
      </c>
      <c r="H3342" s="1" t="s">
        <v>25</v>
      </c>
      <c r="I3342" s="1" t="s">
        <v>55</v>
      </c>
      <c r="J3342" s="1" t="s">
        <v>27</v>
      </c>
      <c r="K3342" s="1" t="s">
        <v>430</v>
      </c>
      <c r="L3342" s="1">
        <v>10</v>
      </c>
      <c r="M3342" s="13">
        <v>140.77000000000001</v>
      </c>
      <c r="N3342" s="15">
        <v>0.04</v>
      </c>
      <c r="O3342" s="13">
        <v>1620.6</v>
      </c>
      <c r="P3342" s="13">
        <v>92.58</v>
      </c>
      <c r="Q3342" s="13">
        <v>48.86</v>
      </c>
      <c r="R3342" s="1" t="s">
        <v>51</v>
      </c>
      <c r="S3342" s="1">
        <v>5</v>
      </c>
      <c r="T3342" s="1" t="b">
        <v>0</v>
      </c>
      <c r="U3342" s="1" t="s">
        <v>39</v>
      </c>
      <c r="V3342" s="3">
        <v>5</v>
      </c>
    </row>
    <row r="3343" spans="1:22" x14ac:dyDescent="0.3">
      <c r="A3343" s="2" t="s">
        <v>7150</v>
      </c>
      <c r="B3343" s="10">
        <v>44924</v>
      </c>
      <c r="C3343" s="22">
        <v>44924</v>
      </c>
      <c r="D3343" s="1" t="s">
        <v>7151</v>
      </c>
      <c r="E3343" s="1" t="s">
        <v>224</v>
      </c>
      <c r="F3343" s="1">
        <v>61</v>
      </c>
      <c r="G3343" s="1" t="s">
        <v>68</v>
      </c>
      <c r="H3343" s="1" t="s">
        <v>111</v>
      </c>
      <c r="I3343" s="1" t="s">
        <v>112</v>
      </c>
      <c r="J3343" s="1" t="s">
        <v>27</v>
      </c>
      <c r="K3343" s="1" t="s">
        <v>430</v>
      </c>
      <c r="L3343" s="1">
        <v>10</v>
      </c>
      <c r="M3343" s="13">
        <v>477.67</v>
      </c>
      <c r="N3343" s="15">
        <v>0.38</v>
      </c>
      <c r="O3343" s="13">
        <v>2743.7</v>
      </c>
      <c r="P3343" s="13">
        <v>241.54</v>
      </c>
      <c r="Q3343" s="13">
        <v>64.260000000000005</v>
      </c>
      <c r="R3343" s="1" t="s">
        <v>29</v>
      </c>
      <c r="S3343" s="1">
        <v>3</v>
      </c>
      <c r="T3343" s="1" t="b">
        <v>0</v>
      </c>
      <c r="U3343" s="1" t="s">
        <v>39</v>
      </c>
      <c r="V3343" s="3">
        <v>2</v>
      </c>
    </row>
    <row r="3344" spans="1:22" x14ac:dyDescent="0.3">
      <c r="A3344" s="2" t="s">
        <v>7152</v>
      </c>
      <c r="B3344" s="10">
        <v>45499</v>
      </c>
      <c r="C3344" s="22">
        <v>45499</v>
      </c>
      <c r="D3344" s="1" t="s">
        <v>7153</v>
      </c>
      <c r="E3344" s="1" t="s">
        <v>1833</v>
      </c>
      <c r="F3344" s="1">
        <v>34</v>
      </c>
      <c r="G3344" s="1" t="s">
        <v>68</v>
      </c>
      <c r="H3344" s="1" t="s">
        <v>82</v>
      </c>
      <c r="I3344" s="1" t="s">
        <v>126</v>
      </c>
      <c r="J3344" s="1" t="s">
        <v>76</v>
      </c>
      <c r="K3344" s="1" t="s">
        <v>132</v>
      </c>
      <c r="L3344" s="1">
        <v>7</v>
      </c>
      <c r="M3344" s="13">
        <v>2027.9</v>
      </c>
      <c r="N3344" s="15">
        <v>0.25</v>
      </c>
      <c r="O3344" s="13">
        <v>15991.92</v>
      </c>
      <c r="P3344" s="13">
        <v>5222.33</v>
      </c>
      <c r="Q3344" s="13">
        <v>87.34</v>
      </c>
      <c r="R3344" s="1" t="s">
        <v>70</v>
      </c>
      <c r="S3344" s="1">
        <v>3</v>
      </c>
      <c r="T3344" s="1" t="b">
        <v>0</v>
      </c>
      <c r="U3344" s="1" t="s">
        <v>39</v>
      </c>
      <c r="V3344" s="3">
        <v>10</v>
      </c>
    </row>
    <row r="3345" spans="1:22" x14ac:dyDescent="0.3">
      <c r="A3345" s="2" t="s">
        <v>7154</v>
      </c>
      <c r="B3345" s="10">
        <v>43879</v>
      </c>
      <c r="C3345" s="22">
        <v>43879</v>
      </c>
      <c r="D3345" s="1" t="s">
        <v>7155</v>
      </c>
      <c r="E3345" s="1" t="s">
        <v>1459</v>
      </c>
      <c r="F3345" s="1">
        <v>48</v>
      </c>
      <c r="G3345" s="1" t="s">
        <v>68</v>
      </c>
      <c r="H3345" s="1" t="s">
        <v>111</v>
      </c>
      <c r="I3345" s="1" t="s">
        <v>141</v>
      </c>
      <c r="J3345" s="1" t="s">
        <v>146</v>
      </c>
      <c r="K3345" s="1" t="s">
        <v>178</v>
      </c>
      <c r="L3345" s="1">
        <v>10</v>
      </c>
      <c r="M3345" s="13">
        <v>14132.86</v>
      </c>
      <c r="N3345" s="15">
        <v>0.19</v>
      </c>
      <c r="O3345" s="13">
        <v>102974.46</v>
      </c>
      <c r="P3345" s="13">
        <v>27604.9</v>
      </c>
      <c r="Q3345" s="13">
        <v>90.34</v>
      </c>
      <c r="R3345" s="1" t="s">
        <v>64</v>
      </c>
      <c r="S3345" s="1">
        <v>3</v>
      </c>
      <c r="T3345" s="1" t="b">
        <v>0</v>
      </c>
      <c r="U3345" s="1" t="s">
        <v>39</v>
      </c>
      <c r="V3345" s="3">
        <v>9</v>
      </c>
    </row>
    <row r="3346" spans="1:22" x14ac:dyDescent="0.3">
      <c r="A3346" s="2" t="s">
        <v>7156</v>
      </c>
      <c r="B3346" s="10">
        <v>43987</v>
      </c>
      <c r="C3346" s="22">
        <v>43987</v>
      </c>
      <c r="D3346" s="1" t="s">
        <v>7157</v>
      </c>
      <c r="E3346" s="1" t="s">
        <v>164</v>
      </c>
      <c r="F3346" s="1">
        <v>20</v>
      </c>
      <c r="G3346" s="1" t="s">
        <v>24</v>
      </c>
      <c r="H3346" s="1" t="s">
        <v>35</v>
      </c>
      <c r="I3346" s="1" t="s">
        <v>106</v>
      </c>
      <c r="J3346" s="1" t="s">
        <v>44</v>
      </c>
      <c r="K3346" s="1" t="s">
        <v>186</v>
      </c>
      <c r="L3346" s="1">
        <v>5</v>
      </c>
      <c r="M3346" s="13">
        <v>10108.049999999999</v>
      </c>
      <c r="N3346" s="15">
        <v>0.16</v>
      </c>
      <c r="O3346" s="13">
        <v>10227.18</v>
      </c>
      <c r="P3346" s="13">
        <v>3225.54</v>
      </c>
      <c r="Q3346" s="13">
        <v>71.7</v>
      </c>
      <c r="R3346" s="1" t="s">
        <v>64</v>
      </c>
      <c r="S3346" s="1">
        <v>3</v>
      </c>
      <c r="T3346" s="1" t="b">
        <v>1</v>
      </c>
      <c r="U3346" s="1" t="s">
        <v>30</v>
      </c>
      <c r="V3346" s="3">
        <v>8</v>
      </c>
    </row>
    <row r="3347" spans="1:22" x14ac:dyDescent="0.3">
      <c r="A3347" s="2" t="s">
        <v>7158</v>
      </c>
      <c r="B3347" s="10">
        <v>45282</v>
      </c>
      <c r="C3347" s="22">
        <v>45282</v>
      </c>
      <c r="D3347" s="1" t="s">
        <v>7159</v>
      </c>
      <c r="E3347" s="1" t="s">
        <v>1001</v>
      </c>
      <c r="F3347" s="1">
        <v>26</v>
      </c>
      <c r="G3347" s="1" t="s">
        <v>34</v>
      </c>
      <c r="H3347" s="1" t="s">
        <v>111</v>
      </c>
      <c r="I3347" s="1" t="s">
        <v>141</v>
      </c>
      <c r="J3347" s="1" t="s">
        <v>62</v>
      </c>
      <c r="K3347" s="1" t="s">
        <v>283</v>
      </c>
      <c r="L3347" s="1">
        <v>4</v>
      </c>
      <c r="M3347" s="13">
        <v>1166.27</v>
      </c>
      <c r="N3347" s="15">
        <v>0.32</v>
      </c>
      <c r="O3347" s="13">
        <v>2541.06</v>
      </c>
      <c r="P3347" s="13">
        <v>740.36</v>
      </c>
      <c r="Q3347" s="13">
        <v>75.02</v>
      </c>
      <c r="R3347" s="1" t="s">
        <v>64</v>
      </c>
      <c r="S3347" s="1">
        <v>5</v>
      </c>
      <c r="T3347" s="1" t="b">
        <v>0</v>
      </c>
      <c r="U3347" s="1" t="s">
        <v>39</v>
      </c>
      <c r="V3347" s="3">
        <v>3</v>
      </c>
    </row>
    <row r="3348" spans="1:22" x14ac:dyDescent="0.3">
      <c r="A3348" s="2" t="s">
        <v>7160</v>
      </c>
      <c r="B3348" s="10">
        <v>44279</v>
      </c>
      <c r="C3348" s="22">
        <v>44279</v>
      </c>
      <c r="D3348" s="1" t="s">
        <v>7161</v>
      </c>
      <c r="E3348" s="1" t="s">
        <v>240</v>
      </c>
      <c r="F3348" s="1">
        <v>20</v>
      </c>
      <c r="G3348" s="1" t="s">
        <v>24</v>
      </c>
      <c r="H3348" s="1" t="s">
        <v>25</v>
      </c>
      <c r="I3348" s="1" t="s">
        <v>26</v>
      </c>
      <c r="J3348" s="1" t="s">
        <v>44</v>
      </c>
      <c r="K3348" s="1" t="s">
        <v>117</v>
      </c>
      <c r="L3348" s="1">
        <v>1</v>
      </c>
      <c r="M3348" s="13">
        <v>14981.98</v>
      </c>
      <c r="N3348" s="15">
        <v>0.21</v>
      </c>
      <c r="O3348" s="13">
        <v>16452.689999999999</v>
      </c>
      <c r="P3348" s="13">
        <v>6301.96</v>
      </c>
      <c r="Q3348" s="13">
        <v>80.7</v>
      </c>
      <c r="R3348" s="1" t="s">
        <v>51</v>
      </c>
      <c r="S3348" s="1">
        <v>4</v>
      </c>
      <c r="T3348" s="1" t="b">
        <v>0</v>
      </c>
      <c r="U3348" s="1" t="s">
        <v>84</v>
      </c>
      <c r="V3348" s="3">
        <v>8</v>
      </c>
    </row>
    <row r="3349" spans="1:22" x14ac:dyDescent="0.3">
      <c r="A3349" s="2" t="s">
        <v>7162</v>
      </c>
      <c r="B3349" s="10">
        <v>44329</v>
      </c>
      <c r="C3349" s="22">
        <v>44329</v>
      </c>
      <c r="D3349" s="1" t="s">
        <v>7163</v>
      </c>
      <c r="E3349" s="1" t="s">
        <v>624</v>
      </c>
      <c r="F3349" s="1">
        <v>47</v>
      </c>
      <c r="G3349" s="1" t="s">
        <v>68</v>
      </c>
      <c r="H3349" s="1" t="s">
        <v>74</v>
      </c>
      <c r="I3349" s="1" t="s">
        <v>192</v>
      </c>
      <c r="J3349" s="1" t="s">
        <v>44</v>
      </c>
      <c r="K3349" s="1" t="s">
        <v>93</v>
      </c>
      <c r="L3349" s="1">
        <v>2</v>
      </c>
      <c r="M3349" s="13">
        <v>11894.06</v>
      </c>
      <c r="N3349" s="15">
        <v>0.21</v>
      </c>
      <c r="O3349" s="13">
        <v>27604.98</v>
      </c>
      <c r="P3349" s="13">
        <v>6286.41</v>
      </c>
      <c r="Q3349" s="13">
        <v>70.91</v>
      </c>
      <c r="R3349" s="1" t="s">
        <v>51</v>
      </c>
      <c r="S3349" s="1">
        <v>4</v>
      </c>
      <c r="T3349" s="1" t="b">
        <v>0</v>
      </c>
      <c r="U3349" s="1" t="s">
        <v>84</v>
      </c>
      <c r="V3349" s="3">
        <v>4</v>
      </c>
    </row>
    <row r="3350" spans="1:22" x14ac:dyDescent="0.3">
      <c r="A3350" s="2" t="s">
        <v>7164</v>
      </c>
      <c r="B3350" s="10">
        <v>45517</v>
      </c>
      <c r="C3350" s="22">
        <v>45517</v>
      </c>
      <c r="D3350" s="1" t="s">
        <v>7165</v>
      </c>
      <c r="E3350" s="1" t="s">
        <v>2655</v>
      </c>
      <c r="F3350" s="1">
        <v>29</v>
      </c>
      <c r="G3350" s="1" t="s">
        <v>34</v>
      </c>
      <c r="H3350" s="1" t="s">
        <v>74</v>
      </c>
      <c r="I3350" s="1" t="s">
        <v>192</v>
      </c>
      <c r="J3350" s="1" t="s">
        <v>127</v>
      </c>
      <c r="K3350" s="1" t="s">
        <v>171</v>
      </c>
      <c r="L3350" s="1">
        <v>10</v>
      </c>
      <c r="M3350" s="13">
        <v>53218.559999999998</v>
      </c>
      <c r="N3350" s="15">
        <v>0.27</v>
      </c>
      <c r="O3350" s="13">
        <v>560937.53</v>
      </c>
      <c r="P3350" s="13">
        <v>68296.39</v>
      </c>
      <c r="Q3350" s="13">
        <v>20.81</v>
      </c>
      <c r="R3350" s="1" t="s">
        <v>64</v>
      </c>
      <c r="S3350" s="1">
        <v>3</v>
      </c>
      <c r="T3350" s="1" t="b">
        <v>0</v>
      </c>
      <c r="U3350" s="1" t="s">
        <v>39</v>
      </c>
      <c r="V3350" s="3">
        <v>6</v>
      </c>
    </row>
    <row r="3351" spans="1:22" x14ac:dyDescent="0.3">
      <c r="A3351" s="2" t="s">
        <v>7166</v>
      </c>
      <c r="B3351" s="10">
        <v>44517</v>
      </c>
      <c r="C3351" s="22">
        <v>44517</v>
      </c>
      <c r="D3351" s="1" t="s">
        <v>7167</v>
      </c>
      <c r="E3351" s="1" t="s">
        <v>319</v>
      </c>
      <c r="F3351" s="1">
        <v>60</v>
      </c>
      <c r="G3351" s="1" t="s">
        <v>463</v>
      </c>
      <c r="H3351" s="1" t="s">
        <v>111</v>
      </c>
      <c r="I3351" s="1" t="s">
        <v>112</v>
      </c>
      <c r="J3351" s="1" t="s">
        <v>62</v>
      </c>
      <c r="K3351" s="1" t="s">
        <v>283</v>
      </c>
      <c r="L3351" s="1">
        <v>2</v>
      </c>
      <c r="M3351" s="13">
        <v>371.2</v>
      </c>
      <c r="N3351" s="15">
        <v>0.25</v>
      </c>
      <c r="O3351" s="13">
        <v>427.53</v>
      </c>
      <c r="P3351" s="13">
        <v>199.91</v>
      </c>
      <c r="Q3351" s="13">
        <v>67.34</v>
      </c>
      <c r="R3351" s="1" t="s">
        <v>64</v>
      </c>
      <c r="S3351" s="1">
        <v>2</v>
      </c>
      <c r="T3351" s="1" t="b">
        <v>0</v>
      </c>
      <c r="U3351" s="1" t="s">
        <v>39</v>
      </c>
      <c r="V3351" s="3">
        <v>4</v>
      </c>
    </row>
    <row r="3352" spans="1:22" x14ac:dyDescent="0.3">
      <c r="A3352" s="2" t="s">
        <v>7168</v>
      </c>
      <c r="B3352" s="10">
        <v>44847</v>
      </c>
      <c r="C3352" s="22">
        <v>44847</v>
      </c>
      <c r="D3352" s="1" t="s">
        <v>7169</v>
      </c>
      <c r="E3352" s="1" t="s">
        <v>286</v>
      </c>
      <c r="F3352" s="1">
        <v>26</v>
      </c>
      <c r="G3352" s="1" t="s">
        <v>34</v>
      </c>
      <c r="H3352" s="1" t="s">
        <v>35</v>
      </c>
      <c r="I3352" s="1" t="s">
        <v>36</v>
      </c>
      <c r="J3352" s="1" t="s">
        <v>76</v>
      </c>
      <c r="K3352" s="1" t="s">
        <v>89</v>
      </c>
      <c r="L3352" s="1">
        <v>5</v>
      </c>
      <c r="M3352" s="13">
        <v>3741.86</v>
      </c>
      <c r="N3352" s="15">
        <v>0.22</v>
      </c>
      <c r="O3352" s="13">
        <v>13643.24</v>
      </c>
      <c r="P3352" s="13">
        <v>4735.93</v>
      </c>
      <c r="Q3352" s="13">
        <v>53.44</v>
      </c>
      <c r="R3352" s="1" t="s">
        <v>78</v>
      </c>
      <c r="S3352" s="1">
        <v>4</v>
      </c>
      <c r="T3352" s="1" t="b">
        <v>1</v>
      </c>
      <c r="U3352" s="1" t="s">
        <v>30</v>
      </c>
      <c r="V3352" s="3">
        <v>1</v>
      </c>
    </row>
    <row r="3353" spans="1:22" x14ac:dyDescent="0.3">
      <c r="A3353" s="2" t="s">
        <v>7170</v>
      </c>
      <c r="B3353" s="10">
        <v>44846</v>
      </c>
      <c r="C3353" s="22">
        <v>44846</v>
      </c>
      <c r="D3353" s="1" t="s">
        <v>7171</v>
      </c>
      <c r="E3353" s="1" t="s">
        <v>505</v>
      </c>
      <c r="F3353" s="1">
        <v>36</v>
      </c>
      <c r="G3353" s="1" t="s">
        <v>34</v>
      </c>
      <c r="H3353" s="1" t="s">
        <v>25</v>
      </c>
      <c r="I3353" s="1" t="s">
        <v>26</v>
      </c>
      <c r="J3353" s="1" t="s">
        <v>27</v>
      </c>
      <c r="K3353" s="1" t="s">
        <v>56</v>
      </c>
      <c r="L3353" s="1">
        <v>3</v>
      </c>
      <c r="M3353" s="13">
        <v>403.22</v>
      </c>
      <c r="N3353" s="15">
        <v>0.33</v>
      </c>
      <c r="O3353" s="13">
        <v>824.95</v>
      </c>
      <c r="P3353" s="13">
        <v>82.5</v>
      </c>
      <c r="Q3353" s="13">
        <v>62.33</v>
      </c>
      <c r="R3353" s="1" t="s">
        <v>70</v>
      </c>
      <c r="S3353" s="1">
        <v>3</v>
      </c>
      <c r="T3353" s="1" t="b">
        <v>0</v>
      </c>
      <c r="U3353" s="1" t="s">
        <v>39</v>
      </c>
      <c r="V3353" s="3">
        <v>9</v>
      </c>
    </row>
    <row r="3354" spans="1:22" x14ac:dyDescent="0.3">
      <c r="A3354" s="2" t="s">
        <v>7172</v>
      </c>
      <c r="B3354" s="10">
        <v>44953</v>
      </c>
      <c r="C3354" s="22">
        <v>44953</v>
      </c>
      <c r="D3354" s="1" t="s">
        <v>1302</v>
      </c>
      <c r="E3354" s="1" t="s">
        <v>629</v>
      </c>
      <c r="F3354" s="1">
        <v>38</v>
      </c>
      <c r="G3354" s="1" t="s">
        <v>24</v>
      </c>
      <c r="H3354" s="1" t="s">
        <v>82</v>
      </c>
      <c r="I3354" s="1" t="s">
        <v>83</v>
      </c>
      <c r="J3354" s="1" t="s">
        <v>76</v>
      </c>
      <c r="K3354" s="1" t="s">
        <v>132</v>
      </c>
      <c r="L3354" s="1">
        <v>1</v>
      </c>
      <c r="M3354" s="13">
        <v>3316.89</v>
      </c>
      <c r="N3354" s="15">
        <v>0.02</v>
      </c>
      <c r="O3354" s="13">
        <v>2808.53</v>
      </c>
      <c r="P3354" s="13">
        <v>1124.49</v>
      </c>
      <c r="Q3354" s="13">
        <v>73.41</v>
      </c>
      <c r="R3354" s="1" t="s">
        <v>78</v>
      </c>
      <c r="S3354" s="1">
        <v>5</v>
      </c>
      <c r="T3354" s="1" t="b">
        <v>0</v>
      </c>
      <c r="U3354" s="1" t="s">
        <v>84</v>
      </c>
      <c r="V3354" s="3">
        <v>10</v>
      </c>
    </row>
    <row r="3355" spans="1:22" x14ac:dyDescent="0.3">
      <c r="A3355" s="2" t="s">
        <v>7173</v>
      </c>
      <c r="B3355" s="10">
        <v>44393</v>
      </c>
      <c r="C3355" s="22">
        <v>44393</v>
      </c>
      <c r="D3355" s="1" t="s">
        <v>7174</v>
      </c>
      <c r="E3355" s="1" t="s">
        <v>2286</v>
      </c>
      <c r="F3355" s="1">
        <v>52</v>
      </c>
      <c r="G3355" s="1" t="s">
        <v>68</v>
      </c>
      <c r="H3355" s="1" t="s">
        <v>82</v>
      </c>
      <c r="I3355" s="1" t="s">
        <v>83</v>
      </c>
      <c r="J3355" s="1" t="s">
        <v>27</v>
      </c>
      <c r="K3355" s="1" t="s">
        <v>97</v>
      </c>
      <c r="L3355" s="1">
        <v>10</v>
      </c>
      <c r="M3355" s="13">
        <v>422.95</v>
      </c>
      <c r="N3355" s="15">
        <v>0.01</v>
      </c>
      <c r="O3355" s="13">
        <v>5380.7</v>
      </c>
      <c r="P3355" s="13">
        <v>403.1</v>
      </c>
      <c r="Q3355" s="13">
        <v>74.58</v>
      </c>
      <c r="R3355" s="1" t="s">
        <v>29</v>
      </c>
      <c r="S3355" s="1">
        <v>4</v>
      </c>
      <c r="T3355" s="1" t="b">
        <v>0</v>
      </c>
      <c r="U3355" s="1" t="s">
        <v>39</v>
      </c>
      <c r="V3355" s="3">
        <v>6</v>
      </c>
    </row>
    <row r="3356" spans="1:22" x14ac:dyDescent="0.3">
      <c r="A3356" s="2" t="s">
        <v>7175</v>
      </c>
      <c r="B3356" s="10">
        <v>44311</v>
      </c>
      <c r="C3356" s="22">
        <v>44311</v>
      </c>
      <c r="D3356" s="1" t="s">
        <v>7176</v>
      </c>
      <c r="E3356" s="1" t="s">
        <v>426</v>
      </c>
      <c r="F3356" s="1">
        <v>37</v>
      </c>
      <c r="G3356" s="1" t="s">
        <v>34</v>
      </c>
      <c r="H3356" s="1" t="s">
        <v>74</v>
      </c>
      <c r="I3356" s="1" t="s">
        <v>136</v>
      </c>
      <c r="J3356" s="1" t="s">
        <v>146</v>
      </c>
      <c r="K3356" s="1" t="s">
        <v>276</v>
      </c>
      <c r="L3356" s="1">
        <v>5</v>
      </c>
      <c r="M3356" s="13">
        <v>8455.8700000000008</v>
      </c>
      <c r="N3356" s="15">
        <v>0.31</v>
      </c>
      <c r="O3356" s="13">
        <v>32604.639999999999</v>
      </c>
      <c r="P3356" s="13">
        <v>8841.2900000000009</v>
      </c>
      <c r="Q3356" s="13">
        <v>51.91</v>
      </c>
      <c r="R3356" s="1" t="s">
        <v>29</v>
      </c>
      <c r="S3356" s="1">
        <v>5</v>
      </c>
      <c r="T3356" s="1" t="b">
        <v>0</v>
      </c>
      <c r="U3356" s="1" t="s">
        <v>39</v>
      </c>
      <c r="V3356" s="3">
        <v>5</v>
      </c>
    </row>
    <row r="3357" spans="1:22" x14ac:dyDescent="0.3">
      <c r="A3357" s="2" t="s">
        <v>7177</v>
      </c>
      <c r="B3357" s="10">
        <v>45623</v>
      </c>
      <c r="C3357" s="22">
        <v>45623</v>
      </c>
      <c r="D3357" s="1" t="s">
        <v>7178</v>
      </c>
      <c r="E3357" s="1" t="s">
        <v>2875</v>
      </c>
      <c r="F3357" s="1">
        <v>20</v>
      </c>
      <c r="G3357" s="1" t="s">
        <v>68</v>
      </c>
      <c r="H3357" s="1" t="s">
        <v>111</v>
      </c>
      <c r="I3357" s="1" t="s">
        <v>121</v>
      </c>
      <c r="J3357" s="1" t="s">
        <v>76</v>
      </c>
      <c r="K3357" s="1" t="s">
        <v>122</v>
      </c>
      <c r="L3357" s="1">
        <v>1</v>
      </c>
      <c r="M3357" s="13">
        <v>335.42</v>
      </c>
      <c r="N3357" s="15">
        <v>0.23</v>
      </c>
      <c r="O3357" s="13">
        <v>247.75</v>
      </c>
      <c r="P3357" s="13">
        <v>88.1</v>
      </c>
      <c r="Q3357" s="13">
        <v>73.88</v>
      </c>
      <c r="R3357" s="1" t="s">
        <v>29</v>
      </c>
      <c r="S3357" s="1">
        <v>3</v>
      </c>
      <c r="T3357" s="1" t="b">
        <v>0</v>
      </c>
      <c r="U3357" s="1" t="s">
        <v>39</v>
      </c>
      <c r="V3357" s="3">
        <v>3</v>
      </c>
    </row>
    <row r="3358" spans="1:22" x14ac:dyDescent="0.3">
      <c r="A3358" s="2" t="s">
        <v>7179</v>
      </c>
      <c r="B3358" s="10">
        <v>44094</v>
      </c>
      <c r="C3358" s="22">
        <v>44094</v>
      </c>
      <c r="D3358" s="1" t="s">
        <v>7180</v>
      </c>
      <c r="E3358" s="1" t="s">
        <v>164</v>
      </c>
      <c r="F3358" s="1">
        <v>24</v>
      </c>
      <c r="G3358" s="1" t="s">
        <v>24</v>
      </c>
      <c r="H3358" s="1" t="s">
        <v>74</v>
      </c>
      <c r="I3358" s="1" t="s">
        <v>136</v>
      </c>
      <c r="J3358" s="1" t="s">
        <v>76</v>
      </c>
      <c r="K3358" s="1" t="s">
        <v>122</v>
      </c>
      <c r="L3358" s="1">
        <v>4</v>
      </c>
      <c r="M3358" s="13">
        <v>3802.14</v>
      </c>
      <c r="N3358" s="15">
        <v>0.16</v>
      </c>
      <c r="O3358" s="13">
        <v>11713.77</v>
      </c>
      <c r="P3358" s="13">
        <v>4073.09</v>
      </c>
      <c r="Q3358" s="13">
        <v>63.7</v>
      </c>
      <c r="R3358" s="1" t="s">
        <v>70</v>
      </c>
      <c r="S3358" s="1">
        <v>4</v>
      </c>
      <c r="T3358" s="1" t="b">
        <v>0</v>
      </c>
      <c r="U3358" s="1" t="s">
        <v>197</v>
      </c>
      <c r="V3358" s="3">
        <v>10</v>
      </c>
    </row>
    <row r="3359" spans="1:22" x14ac:dyDescent="0.3">
      <c r="A3359" s="2" t="s">
        <v>7181</v>
      </c>
      <c r="B3359" s="10">
        <v>44582</v>
      </c>
      <c r="C3359" s="22">
        <v>44582</v>
      </c>
      <c r="D3359" s="1" t="s">
        <v>7182</v>
      </c>
      <c r="E3359" s="1" t="s">
        <v>1079</v>
      </c>
      <c r="F3359" s="1">
        <v>24</v>
      </c>
      <c r="G3359" s="1" t="s">
        <v>34</v>
      </c>
      <c r="H3359" s="1" t="s">
        <v>25</v>
      </c>
      <c r="I3359" s="1" t="s">
        <v>26</v>
      </c>
      <c r="J3359" s="1" t="s">
        <v>44</v>
      </c>
      <c r="K3359" s="1" t="s">
        <v>117</v>
      </c>
      <c r="L3359" s="1">
        <v>8</v>
      </c>
      <c r="M3359" s="13">
        <v>6492.13</v>
      </c>
      <c r="N3359" s="15">
        <v>0.09</v>
      </c>
      <c r="O3359" s="13">
        <v>42405.18</v>
      </c>
      <c r="P3359" s="13">
        <v>10060.56</v>
      </c>
      <c r="Q3359" s="13">
        <v>52.57</v>
      </c>
      <c r="R3359" s="1" t="s">
        <v>70</v>
      </c>
      <c r="S3359" s="1">
        <v>3</v>
      </c>
      <c r="T3359" s="1" t="b">
        <v>0</v>
      </c>
      <c r="U3359" s="1" t="s">
        <v>39</v>
      </c>
      <c r="V3359" s="3">
        <v>10</v>
      </c>
    </row>
    <row r="3360" spans="1:22" x14ac:dyDescent="0.3">
      <c r="A3360" s="2" t="s">
        <v>7183</v>
      </c>
      <c r="B3360" s="10">
        <v>44938</v>
      </c>
      <c r="C3360" s="22">
        <v>44938</v>
      </c>
      <c r="D3360" s="1" t="s">
        <v>7184</v>
      </c>
      <c r="E3360" s="1" t="s">
        <v>499</v>
      </c>
      <c r="F3360" s="1">
        <v>46</v>
      </c>
      <c r="G3360" s="1" t="s">
        <v>34</v>
      </c>
      <c r="H3360" s="1" t="s">
        <v>82</v>
      </c>
      <c r="I3360" s="1" t="s">
        <v>126</v>
      </c>
      <c r="J3360" s="1" t="s">
        <v>44</v>
      </c>
      <c r="K3360" s="1" t="s">
        <v>45</v>
      </c>
      <c r="L3360" s="1">
        <v>10</v>
      </c>
      <c r="M3360" s="13">
        <v>14207.99</v>
      </c>
      <c r="N3360" s="15">
        <v>0.06</v>
      </c>
      <c r="O3360" s="13">
        <v>135263.66</v>
      </c>
      <c r="P3360" s="13">
        <v>39842.93</v>
      </c>
      <c r="Q3360" s="13">
        <v>65.88</v>
      </c>
      <c r="R3360" s="1" t="s">
        <v>64</v>
      </c>
      <c r="S3360" s="1">
        <v>4</v>
      </c>
      <c r="T3360" s="1" t="b">
        <v>0</v>
      </c>
      <c r="U3360" s="1" t="s">
        <v>39</v>
      </c>
      <c r="V3360" s="3">
        <v>3</v>
      </c>
    </row>
    <row r="3361" spans="1:22" x14ac:dyDescent="0.3">
      <c r="A3361" s="2" t="s">
        <v>7185</v>
      </c>
      <c r="B3361" s="10">
        <v>44718</v>
      </c>
      <c r="C3361" s="22">
        <v>44718</v>
      </c>
      <c r="D3361" s="1" t="s">
        <v>7186</v>
      </c>
      <c r="E3361" s="1" t="s">
        <v>247</v>
      </c>
      <c r="F3361" s="1">
        <v>44</v>
      </c>
      <c r="G3361" s="1" t="s">
        <v>24</v>
      </c>
      <c r="H3361" s="1" t="s">
        <v>25</v>
      </c>
      <c r="I3361" s="1" t="s">
        <v>170</v>
      </c>
      <c r="J3361" s="1" t="s">
        <v>76</v>
      </c>
      <c r="K3361" s="1" t="s">
        <v>132</v>
      </c>
      <c r="L3361" s="1">
        <v>5</v>
      </c>
      <c r="M3361" s="13">
        <v>3652.79</v>
      </c>
      <c r="N3361" s="15">
        <v>0.25</v>
      </c>
      <c r="O3361" s="13">
        <v>4359.4399999999996</v>
      </c>
      <c r="P3361" s="13">
        <v>1521.23</v>
      </c>
      <c r="Q3361" s="13">
        <v>40.51</v>
      </c>
      <c r="R3361" s="1" t="s">
        <v>29</v>
      </c>
      <c r="S3361" s="1">
        <v>2</v>
      </c>
      <c r="T3361" s="1" t="b">
        <v>0</v>
      </c>
      <c r="U3361" s="1" t="s">
        <v>84</v>
      </c>
      <c r="V3361" s="3">
        <v>8</v>
      </c>
    </row>
    <row r="3362" spans="1:22" x14ac:dyDescent="0.3">
      <c r="A3362" s="2" t="s">
        <v>7187</v>
      </c>
      <c r="B3362" s="10">
        <v>44709</v>
      </c>
      <c r="C3362" s="22">
        <v>44709</v>
      </c>
      <c r="D3362" s="1" t="s">
        <v>7188</v>
      </c>
      <c r="E3362" s="1" t="s">
        <v>1425</v>
      </c>
      <c r="F3362" s="1">
        <v>30</v>
      </c>
      <c r="G3362" s="1" t="s">
        <v>68</v>
      </c>
      <c r="H3362" s="1" t="s">
        <v>74</v>
      </c>
      <c r="I3362" s="1" t="s">
        <v>101</v>
      </c>
      <c r="J3362" s="1" t="s">
        <v>76</v>
      </c>
      <c r="K3362" s="1" t="s">
        <v>207</v>
      </c>
      <c r="L3362" s="1">
        <v>2</v>
      </c>
      <c r="M3362" s="13">
        <v>3929.54</v>
      </c>
      <c r="N3362" s="15">
        <v>0.16</v>
      </c>
      <c r="O3362" s="13">
        <v>9882.86</v>
      </c>
      <c r="P3362" s="13">
        <v>4050.34</v>
      </c>
      <c r="Q3362" s="13">
        <v>67.09</v>
      </c>
      <c r="R3362" s="1" t="s">
        <v>64</v>
      </c>
      <c r="S3362" s="1">
        <v>3</v>
      </c>
      <c r="T3362" s="1" t="b">
        <v>0</v>
      </c>
      <c r="U3362" s="1" t="s">
        <v>39</v>
      </c>
      <c r="V3362" s="3">
        <v>5</v>
      </c>
    </row>
    <row r="3363" spans="1:22" x14ac:dyDescent="0.3">
      <c r="A3363" s="2" t="s">
        <v>7189</v>
      </c>
      <c r="B3363" s="10">
        <v>44418</v>
      </c>
      <c r="C3363" s="22">
        <v>44418</v>
      </c>
      <c r="D3363" s="1" t="s">
        <v>7190</v>
      </c>
      <c r="E3363" s="1" t="s">
        <v>418</v>
      </c>
      <c r="F3363" s="1">
        <v>36</v>
      </c>
      <c r="G3363" s="1" t="s">
        <v>24</v>
      </c>
      <c r="H3363" s="1" t="s">
        <v>25</v>
      </c>
      <c r="I3363" s="1" t="s">
        <v>26</v>
      </c>
      <c r="J3363" s="1" t="s">
        <v>127</v>
      </c>
      <c r="K3363" s="1" t="s">
        <v>308</v>
      </c>
      <c r="L3363" s="1">
        <v>8</v>
      </c>
      <c r="M3363" s="13">
        <v>58571.61</v>
      </c>
      <c r="N3363" s="15">
        <v>0.28000000000000003</v>
      </c>
      <c r="O3363" s="13">
        <v>475115.46</v>
      </c>
      <c r="P3363" s="13">
        <v>53027.1</v>
      </c>
      <c r="Q3363" s="13">
        <v>56.37</v>
      </c>
      <c r="R3363" s="1" t="s">
        <v>51</v>
      </c>
      <c r="S3363" s="1">
        <v>4</v>
      </c>
      <c r="T3363" s="1" t="b">
        <v>1</v>
      </c>
      <c r="U3363" s="1" t="s">
        <v>30</v>
      </c>
      <c r="V3363" s="3">
        <v>4</v>
      </c>
    </row>
    <row r="3364" spans="1:22" x14ac:dyDescent="0.3">
      <c r="A3364" s="2" t="s">
        <v>7191</v>
      </c>
      <c r="B3364" s="10">
        <v>44515</v>
      </c>
      <c r="C3364" s="22">
        <v>44515</v>
      </c>
      <c r="D3364" s="1" t="s">
        <v>7192</v>
      </c>
      <c r="E3364" s="1" t="s">
        <v>635</v>
      </c>
      <c r="F3364" s="1">
        <v>37</v>
      </c>
      <c r="G3364" s="1" t="s">
        <v>24</v>
      </c>
      <c r="H3364" s="1" t="s">
        <v>35</v>
      </c>
      <c r="I3364" s="1" t="s">
        <v>43</v>
      </c>
      <c r="J3364" s="1" t="s">
        <v>76</v>
      </c>
      <c r="K3364" s="1" t="s">
        <v>207</v>
      </c>
      <c r="L3364" s="1">
        <v>7</v>
      </c>
      <c r="M3364" s="13">
        <v>1574.54</v>
      </c>
      <c r="N3364" s="15">
        <v>0.02</v>
      </c>
      <c r="O3364" s="13">
        <v>8015.28</v>
      </c>
      <c r="P3364" s="13">
        <v>2481.62</v>
      </c>
      <c r="Q3364" s="13">
        <v>84.22</v>
      </c>
      <c r="R3364" s="1" t="s">
        <v>78</v>
      </c>
      <c r="S3364" s="1">
        <v>3</v>
      </c>
      <c r="T3364" s="1" t="b">
        <v>0</v>
      </c>
      <c r="U3364" s="1" t="s">
        <v>39</v>
      </c>
      <c r="V3364" s="3">
        <v>5</v>
      </c>
    </row>
    <row r="3365" spans="1:22" x14ac:dyDescent="0.3">
      <c r="A3365" s="2" t="s">
        <v>7193</v>
      </c>
      <c r="B3365" s="10">
        <v>44636</v>
      </c>
      <c r="C3365" s="22">
        <v>44636</v>
      </c>
      <c r="D3365" s="1" t="s">
        <v>7194</v>
      </c>
      <c r="E3365" s="1" t="s">
        <v>418</v>
      </c>
      <c r="F3365" s="1">
        <v>35</v>
      </c>
      <c r="G3365" s="1" t="s">
        <v>68</v>
      </c>
      <c r="H3365" s="1" t="s">
        <v>25</v>
      </c>
      <c r="I3365" s="1" t="s">
        <v>26</v>
      </c>
      <c r="J3365" s="1" t="s">
        <v>146</v>
      </c>
      <c r="K3365" s="1" t="s">
        <v>276</v>
      </c>
      <c r="L3365" s="1">
        <v>4</v>
      </c>
      <c r="M3365" s="13">
        <v>5236.2700000000004</v>
      </c>
      <c r="N3365" s="15">
        <v>0.09</v>
      </c>
      <c r="O3365" s="13">
        <v>24896.51</v>
      </c>
      <c r="P3365" s="13">
        <v>4435.7299999999996</v>
      </c>
      <c r="Q3365" s="13">
        <v>74.78</v>
      </c>
      <c r="R3365" s="1" t="s">
        <v>64</v>
      </c>
      <c r="S3365" s="1">
        <v>1</v>
      </c>
      <c r="T3365" s="1" t="b">
        <v>0</v>
      </c>
      <c r="U3365" s="1" t="s">
        <v>137</v>
      </c>
      <c r="V3365" s="3">
        <v>8</v>
      </c>
    </row>
    <row r="3366" spans="1:22" x14ac:dyDescent="0.3">
      <c r="A3366" s="2" t="s">
        <v>7195</v>
      </c>
      <c r="B3366" s="10">
        <v>45174</v>
      </c>
      <c r="C3366" s="22">
        <v>45174</v>
      </c>
      <c r="D3366" s="1" t="s">
        <v>7196</v>
      </c>
      <c r="E3366" s="1" t="s">
        <v>164</v>
      </c>
      <c r="F3366" s="1">
        <v>50</v>
      </c>
      <c r="G3366" s="1" t="s">
        <v>34</v>
      </c>
      <c r="H3366" s="1" t="s">
        <v>111</v>
      </c>
      <c r="I3366" s="1" t="s">
        <v>330</v>
      </c>
      <c r="J3366" s="1" t="s">
        <v>76</v>
      </c>
      <c r="K3366" s="1" t="s">
        <v>89</v>
      </c>
      <c r="L3366" s="1">
        <v>7</v>
      </c>
      <c r="M3366" s="13">
        <v>3365.93</v>
      </c>
      <c r="N3366" s="15">
        <v>0.11</v>
      </c>
      <c r="O3366" s="13">
        <v>25929.31</v>
      </c>
      <c r="P3366" s="13">
        <v>13312.04</v>
      </c>
      <c r="Q3366" s="13">
        <v>74.84</v>
      </c>
      <c r="R3366" s="1" t="s">
        <v>29</v>
      </c>
      <c r="S3366" s="1">
        <v>3</v>
      </c>
      <c r="T3366" s="1" t="b">
        <v>0</v>
      </c>
      <c r="U3366" s="1" t="s">
        <v>84</v>
      </c>
      <c r="V3366" s="3">
        <v>4</v>
      </c>
    </row>
    <row r="3367" spans="1:22" x14ac:dyDescent="0.3">
      <c r="A3367" s="2" t="s">
        <v>7197</v>
      </c>
      <c r="B3367" s="10">
        <v>45022</v>
      </c>
      <c r="C3367" s="22">
        <v>45022</v>
      </c>
      <c r="D3367" s="1" t="s">
        <v>7198</v>
      </c>
      <c r="E3367" s="1" t="s">
        <v>1211</v>
      </c>
      <c r="F3367" s="1">
        <v>46</v>
      </c>
      <c r="G3367" s="1" t="s">
        <v>34</v>
      </c>
      <c r="H3367" s="1" t="s">
        <v>74</v>
      </c>
      <c r="I3367" s="1" t="s">
        <v>192</v>
      </c>
      <c r="J3367" s="1" t="s">
        <v>62</v>
      </c>
      <c r="K3367" s="1" t="s">
        <v>570</v>
      </c>
      <c r="L3367" s="1">
        <v>9</v>
      </c>
      <c r="M3367" s="13">
        <v>421.91</v>
      </c>
      <c r="N3367" s="15">
        <v>0.16</v>
      </c>
      <c r="O3367" s="13">
        <v>4945.5200000000004</v>
      </c>
      <c r="P3367" s="13">
        <v>2326.52</v>
      </c>
      <c r="Q3367" s="13">
        <v>51.34</v>
      </c>
      <c r="R3367" s="1" t="s">
        <v>51</v>
      </c>
      <c r="S3367" s="1">
        <v>5</v>
      </c>
      <c r="T3367" s="1" t="b">
        <v>0</v>
      </c>
      <c r="U3367" s="1" t="s">
        <v>39</v>
      </c>
      <c r="V3367" s="3">
        <v>1</v>
      </c>
    </row>
    <row r="3368" spans="1:22" x14ac:dyDescent="0.3">
      <c r="A3368" s="2" t="s">
        <v>7199</v>
      </c>
      <c r="B3368" s="10">
        <v>45604</v>
      </c>
      <c r="C3368" s="22">
        <v>45604</v>
      </c>
      <c r="D3368" s="1" t="s">
        <v>7200</v>
      </c>
      <c r="E3368" s="1" t="s">
        <v>1653</v>
      </c>
      <c r="F3368" s="1">
        <v>34</v>
      </c>
      <c r="G3368" s="1" t="s">
        <v>24</v>
      </c>
      <c r="H3368" s="1" t="s">
        <v>82</v>
      </c>
      <c r="I3368" s="1" t="s">
        <v>293</v>
      </c>
      <c r="J3368" s="1" t="s">
        <v>76</v>
      </c>
      <c r="K3368" s="1" t="s">
        <v>77</v>
      </c>
      <c r="L3368" s="1">
        <v>9</v>
      </c>
      <c r="M3368" s="13">
        <v>1665.92</v>
      </c>
      <c r="N3368" s="15">
        <v>0.18</v>
      </c>
      <c r="O3368" s="13">
        <v>11063</v>
      </c>
      <c r="P3368" s="13">
        <v>2273.36</v>
      </c>
      <c r="Q3368" s="13">
        <v>91.64</v>
      </c>
      <c r="R3368" s="1" t="s">
        <v>70</v>
      </c>
      <c r="S3368" s="1">
        <v>3</v>
      </c>
      <c r="T3368" s="1" t="b">
        <v>0</v>
      </c>
      <c r="U3368" s="1" t="s">
        <v>39</v>
      </c>
      <c r="V3368" s="3">
        <v>1</v>
      </c>
    </row>
    <row r="3369" spans="1:22" x14ac:dyDescent="0.3">
      <c r="A3369" s="2" t="s">
        <v>7201</v>
      </c>
      <c r="B3369" s="10">
        <v>44512</v>
      </c>
      <c r="C3369" s="22">
        <v>44512</v>
      </c>
      <c r="D3369" s="1" t="s">
        <v>7202</v>
      </c>
      <c r="E3369" s="1" t="s">
        <v>781</v>
      </c>
      <c r="F3369" s="1">
        <v>58</v>
      </c>
      <c r="G3369" s="1" t="s">
        <v>24</v>
      </c>
      <c r="H3369" s="1" t="s">
        <v>74</v>
      </c>
      <c r="I3369" s="1" t="s">
        <v>75</v>
      </c>
      <c r="J3369" s="1" t="s">
        <v>146</v>
      </c>
      <c r="K3369" s="1" t="s">
        <v>178</v>
      </c>
      <c r="L3369" s="1">
        <v>10</v>
      </c>
      <c r="M3369" s="13">
        <v>11652.14</v>
      </c>
      <c r="N3369" s="15">
        <v>0.17</v>
      </c>
      <c r="O3369" s="13">
        <v>75606.39</v>
      </c>
      <c r="P3369" s="13">
        <v>12791.68</v>
      </c>
      <c r="Q3369" s="13">
        <v>49.96</v>
      </c>
      <c r="R3369" s="1" t="s">
        <v>51</v>
      </c>
      <c r="S3369" s="1">
        <v>1</v>
      </c>
      <c r="T3369" s="1" t="b">
        <v>0</v>
      </c>
      <c r="U3369" s="1" t="s">
        <v>39</v>
      </c>
      <c r="V3369" s="3">
        <v>10</v>
      </c>
    </row>
    <row r="3370" spans="1:22" x14ac:dyDescent="0.3">
      <c r="A3370" s="2" t="s">
        <v>7203</v>
      </c>
      <c r="B3370" s="10">
        <v>45235</v>
      </c>
      <c r="C3370" s="22">
        <v>45235</v>
      </c>
      <c r="D3370" s="1" t="s">
        <v>7204</v>
      </c>
      <c r="E3370" s="1" t="s">
        <v>3031</v>
      </c>
      <c r="F3370" s="1">
        <v>32</v>
      </c>
      <c r="G3370" s="1" t="s">
        <v>68</v>
      </c>
      <c r="H3370" s="1" t="s">
        <v>35</v>
      </c>
      <c r="I3370" s="1" t="s">
        <v>43</v>
      </c>
      <c r="J3370" s="1" t="s">
        <v>146</v>
      </c>
      <c r="K3370" s="1" t="s">
        <v>178</v>
      </c>
      <c r="L3370" s="1">
        <v>3</v>
      </c>
      <c r="M3370" s="13">
        <v>10070.36</v>
      </c>
      <c r="N3370" s="15">
        <v>0.28999999999999998</v>
      </c>
      <c r="O3370" s="13">
        <v>20450.62</v>
      </c>
      <c r="P3370" s="13">
        <v>4777.96</v>
      </c>
      <c r="Q3370" s="13">
        <v>40.78</v>
      </c>
      <c r="R3370" s="1" t="s">
        <v>78</v>
      </c>
      <c r="S3370" s="1">
        <v>4</v>
      </c>
      <c r="T3370" s="1" t="b">
        <v>0</v>
      </c>
      <c r="U3370" s="1" t="s">
        <v>39</v>
      </c>
      <c r="V3370" s="3">
        <v>3</v>
      </c>
    </row>
    <row r="3371" spans="1:22" x14ac:dyDescent="0.3">
      <c r="A3371" s="2" t="s">
        <v>7205</v>
      </c>
      <c r="B3371" s="10">
        <v>44999</v>
      </c>
      <c r="C3371" s="22">
        <v>44999</v>
      </c>
      <c r="D3371" s="1" t="s">
        <v>7206</v>
      </c>
      <c r="E3371" s="1" t="s">
        <v>1471</v>
      </c>
      <c r="F3371" s="1">
        <v>43</v>
      </c>
      <c r="G3371" s="1" t="s">
        <v>68</v>
      </c>
      <c r="H3371" s="1" t="s">
        <v>35</v>
      </c>
      <c r="I3371" s="1" t="s">
        <v>49</v>
      </c>
      <c r="J3371" s="1" t="s">
        <v>37</v>
      </c>
      <c r="K3371" s="1" t="s">
        <v>671</v>
      </c>
      <c r="L3371" s="1">
        <v>9</v>
      </c>
      <c r="M3371" s="13">
        <v>415.58</v>
      </c>
      <c r="N3371" s="15">
        <v>0.35</v>
      </c>
      <c r="O3371" s="13">
        <v>3291.09</v>
      </c>
      <c r="P3371" s="13">
        <v>1457.49</v>
      </c>
      <c r="Q3371" s="13">
        <v>93.37</v>
      </c>
      <c r="R3371" s="1" t="s">
        <v>29</v>
      </c>
      <c r="S3371" s="1">
        <v>4</v>
      </c>
      <c r="T3371" s="1" t="b">
        <v>0</v>
      </c>
      <c r="U3371" s="1" t="s">
        <v>58</v>
      </c>
      <c r="V3371" s="3">
        <v>3</v>
      </c>
    </row>
    <row r="3372" spans="1:22" x14ac:dyDescent="0.3">
      <c r="A3372" s="2" t="s">
        <v>7207</v>
      </c>
      <c r="B3372" s="10">
        <v>45204</v>
      </c>
      <c r="C3372" s="22">
        <v>45204</v>
      </c>
      <c r="D3372" s="1" t="s">
        <v>7208</v>
      </c>
      <c r="E3372" s="1" t="s">
        <v>265</v>
      </c>
      <c r="F3372" s="1">
        <v>34</v>
      </c>
      <c r="G3372" s="1" t="s">
        <v>68</v>
      </c>
      <c r="H3372" s="1" t="s">
        <v>74</v>
      </c>
      <c r="I3372" s="1" t="s">
        <v>136</v>
      </c>
      <c r="J3372" s="1" t="s">
        <v>44</v>
      </c>
      <c r="K3372" s="1" t="s">
        <v>186</v>
      </c>
      <c r="L3372" s="1">
        <v>6</v>
      </c>
      <c r="M3372" s="13">
        <v>11138.87</v>
      </c>
      <c r="N3372" s="15">
        <v>0.18</v>
      </c>
      <c r="O3372" s="13">
        <v>60174.080000000002</v>
      </c>
      <c r="P3372" s="13">
        <v>14000.74</v>
      </c>
      <c r="Q3372" s="13">
        <v>42.92</v>
      </c>
      <c r="R3372" s="1" t="s">
        <v>51</v>
      </c>
      <c r="S3372" s="1">
        <v>3</v>
      </c>
      <c r="T3372" s="1" t="b">
        <v>0</v>
      </c>
      <c r="U3372" s="1" t="s">
        <v>39</v>
      </c>
      <c r="V3372" s="3">
        <v>5</v>
      </c>
    </row>
    <row r="3373" spans="1:22" x14ac:dyDescent="0.3">
      <c r="A3373" s="2" t="s">
        <v>7209</v>
      </c>
      <c r="B3373" s="10">
        <v>45274</v>
      </c>
      <c r="C3373" s="22">
        <v>45274</v>
      </c>
      <c r="D3373" s="1" t="s">
        <v>7210</v>
      </c>
      <c r="E3373" s="1" t="s">
        <v>298</v>
      </c>
      <c r="F3373" s="1">
        <v>35</v>
      </c>
      <c r="G3373" s="1" t="s">
        <v>24</v>
      </c>
      <c r="H3373" s="1" t="s">
        <v>82</v>
      </c>
      <c r="I3373" s="1" t="s">
        <v>83</v>
      </c>
      <c r="J3373" s="1" t="s">
        <v>27</v>
      </c>
      <c r="K3373" s="1" t="s">
        <v>28</v>
      </c>
      <c r="L3373" s="1">
        <v>3</v>
      </c>
      <c r="M3373" s="13">
        <v>362.51</v>
      </c>
      <c r="N3373" s="15">
        <v>0.05</v>
      </c>
      <c r="O3373" s="13">
        <v>803.64</v>
      </c>
      <c r="P3373" s="13">
        <v>58</v>
      </c>
      <c r="Q3373" s="13">
        <v>84.62</v>
      </c>
      <c r="R3373" s="1" t="s">
        <v>29</v>
      </c>
      <c r="S3373" s="1">
        <v>3</v>
      </c>
      <c r="T3373" s="1" t="b">
        <v>0</v>
      </c>
      <c r="U3373" s="1" t="s">
        <v>84</v>
      </c>
      <c r="V3373" s="3">
        <v>10</v>
      </c>
    </row>
    <row r="3374" spans="1:22" x14ac:dyDescent="0.3">
      <c r="A3374" s="2" t="s">
        <v>7211</v>
      </c>
      <c r="B3374" s="10">
        <v>45036</v>
      </c>
      <c r="C3374" s="22">
        <v>45036</v>
      </c>
      <c r="D3374" s="1" t="s">
        <v>7212</v>
      </c>
      <c r="E3374" s="1" t="s">
        <v>423</v>
      </c>
      <c r="F3374" s="1">
        <v>23</v>
      </c>
      <c r="G3374" s="1" t="s">
        <v>24</v>
      </c>
      <c r="H3374" s="1" t="s">
        <v>35</v>
      </c>
      <c r="I3374" s="1" t="s">
        <v>49</v>
      </c>
      <c r="J3374" s="1" t="s">
        <v>146</v>
      </c>
      <c r="K3374" s="1" t="s">
        <v>147</v>
      </c>
      <c r="L3374" s="1">
        <v>6</v>
      </c>
      <c r="M3374" s="13">
        <v>3259.56</v>
      </c>
      <c r="N3374" s="15">
        <v>0.28000000000000003</v>
      </c>
      <c r="O3374" s="13">
        <v>20331.59</v>
      </c>
      <c r="P3374" s="13">
        <v>3788.35</v>
      </c>
      <c r="Q3374" s="13">
        <v>62.56</v>
      </c>
      <c r="R3374" s="1" t="s">
        <v>64</v>
      </c>
      <c r="S3374" s="1">
        <v>2</v>
      </c>
      <c r="T3374" s="1" t="b">
        <v>0</v>
      </c>
      <c r="U3374" s="1" t="s">
        <v>39</v>
      </c>
      <c r="V3374" s="3">
        <v>9</v>
      </c>
    </row>
    <row r="3375" spans="1:22" x14ac:dyDescent="0.3">
      <c r="A3375" s="2" t="s">
        <v>7213</v>
      </c>
      <c r="B3375" s="10">
        <v>45625</v>
      </c>
      <c r="C3375" s="22">
        <v>45625</v>
      </c>
      <c r="D3375" s="1" t="s">
        <v>7214</v>
      </c>
      <c r="E3375" s="1" t="s">
        <v>1335</v>
      </c>
      <c r="F3375" s="1">
        <v>57</v>
      </c>
      <c r="G3375" s="1" t="s">
        <v>24</v>
      </c>
      <c r="H3375" s="1" t="s">
        <v>111</v>
      </c>
      <c r="I3375" s="1" t="s">
        <v>330</v>
      </c>
      <c r="J3375" s="1" t="s">
        <v>76</v>
      </c>
      <c r="K3375" s="1" t="s">
        <v>77</v>
      </c>
      <c r="L3375" s="1">
        <v>7</v>
      </c>
      <c r="M3375" s="13">
        <v>2979.19</v>
      </c>
      <c r="N3375" s="15">
        <v>0.27</v>
      </c>
      <c r="O3375" s="13">
        <v>16150.97</v>
      </c>
      <c r="P3375" s="13">
        <v>6112.46</v>
      </c>
      <c r="Q3375" s="13">
        <v>84.04</v>
      </c>
      <c r="R3375" s="1" t="s">
        <v>64</v>
      </c>
      <c r="S3375" s="1">
        <v>1</v>
      </c>
      <c r="T3375" s="1" t="b">
        <v>0</v>
      </c>
      <c r="U3375" s="1" t="s">
        <v>39</v>
      </c>
      <c r="V3375" s="3">
        <v>7</v>
      </c>
    </row>
    <row r="3376" spans="1:22" x14ac:dyDescent="0.3">
      <c r="A3376" s="2" t="s">
        <v>7215</v>
      </c>
      <c r="B3376" s="10">
        <v>44347</v>
      </c>
      <c r="C3376" s="22">
        <v>44347</v>
      </c>
      <c r="D3376" s="1" t="s">
        <v>7216</v>
      </c>
      <c r="E3376" s="1" t="s">
        <v>3005</v>
      </c>
      <c r="F3376" s="1">
        <v>43</v>
      </c>
      <c r="G3376" s="1" t="s">
        <v>34</v>
      </c>
      <c r="H3376" s="1" t="s">
        <v>74</v>
      </c>
      <c r="I3376" s="1" t="s">
        <v>101</v>
      </c>
      <c r="J3376" s="1" t="s">
        <v>127</v>
      </c>
      <c r="K3376" s="1" t="s">
        <v>308</v>
      </c>
      <c r="L3376" s="1">
        <v>5</v>
      </c>
      <c r="M3376" s="13">
        <v>5211.32</v>
      </c>
      <c r="N3376" s="15">
        <v>0.21</v>
      </c>
      <c r="O3376" s="13">
        <v>37902.51</v>
      </c>
      <c r="P3376" s="13">
        <v>5270.39</v>
      </c>
      <c r="Q3376" s="13">
        <v>43.19</v>
      </c>
      <c r="R3376" s="1" t="s">
        <v>51</v>
      </c>
      <c r="S3376" s="1">
        <v>2</v>
      </c>
      <c r="T3376" s="1" t="b">
        <v>0</v>
      </c>
      <c r="U3376" s="1" t="s">
        <v>39</v>
      </c>
      <c r="V3376" s="3">
        <v>5</v>
      </c>
    </row>
    <row r="3377" spans="1:22" x14ac:dyDescent="0.3">
      <c r="A3377" s="2" t="s">
        <v>7217</v>
      </c>
      <c r="B3377" s="10">
        <v>44535</v>
      </c>
      <c r="C3377" s="22">
        <v>44535</v>
      </c>
      <c r="D3377" s="1" t="s">
        <v>7218</v>
      </c>
      <c r="E3377" s="1" t="s">
        <v>2161</v>
      </c>
      <c r="F3377" s="1">
        <v>38</v>
      </c>
      <c r="G3377" s="1" t="s">
        <v>24</v>
      </c>
      <c r="H3377" s="1" t="s">
        <v>35</v>
      </c>
      <c r="I3377" s="1" t="s">
        <v>43</v>
      </c>
      <c r="J3377" s="1" t="s">
        <v>76</v>
      </c>
      <c r="K3377" s="1" t="s">
        <v>207</v>
      </c>
      <c r="L3377" s="1">
        <v>3</v>
      </c>
      <c r="M3377" s="13">
        <v>3600.05</v>
      </c>
      <c r="N3377" s="15">
        <v>0.1</v>
      </c>
      <c r="O3377" s="13">
        <v>7315.14</v>
      </c>
      <c r="P3377" s="13">
        <v>3342.94</v>
      </c>
      <c r="Q3377" s="13">
        <v>28.05</v>
      </c>
      <c r="R3377" s="1" t="s">
        <v>70</v>
      </c>
      <c r="S3377" s="1">
        <v>3</v>
      </c>
      <c r="T3377" s="1" t="b">
        <v>1</v>
      </c>
      <c r="U3377" s="1" t="s">
        <v>30</v>
      </c>
      <c r="V3377" s="3">
        <v>1</v>
      </c>
    </row>
    <row r="3378" spans="1:22" x14ac:dyDescent="0.3">
      <c r="A3378" s="2" t="s">
        <v>7219</v>
      </c>
      <c r="B3378" s="10">
        <v>44275</v>
      </c>
      <c r="C3378" s="22">
        <v>44275</v>
      </c>
      <c r="D3378" s="1" t="s">
        <v>7220</v>
      </c>
      <c r="E3378" s="1" t="s">
        <v>1645</v>
      </c>
      <c r="F3378" s="1">
        <v>7</v>
      </c>
      <c r="G3378" s="1" t="s">
        <v>24</v>
      </c>
      <c r="H3378" s="1" t="s">
        <v>82</v>
      </c>
      <c r="I3378" s="1" t="s">
        <v>244</v>
      </c>
      <c r="J3378" s="1" t="s">
        <v>146</v>
      </c>
      <c r="K3378" s="1" t="s">
        <v>178</v>
      </c>
      <c r="L3378" s="1">
        <v>5</v>
      </c>
      <c r="M3378" s="13">
        <v>14828.68</v>
      </c>
      <c r="N3378" s="15">
        <v>0.36</v>
      </c>
      <c r="O3378" s="13">
        <v>57628.49</v>
      </c>
      <c r="P3378" s="13">
        <v>7729.24</v>
      </c>
      <c r="Q3378" s="13">
        <v>61.13</v>
      </c>
      <c r="R3378" s="1" t="s">
        <v>51</v>
      </c>
      <c r="S3378" s="1">
        <v>2</v>
      </c>
      <c r="T3378" s="1" t="b">
        <v>0</v>
      </c>
      <c r="U3378" s="1" t="s">
        <v>39</v>
      </c>
      <c r="V3378" s="3">
        <v>3</v>
      </c>
    </row>
    <row r="3379" spans="1:22" x14ac:dyDescent="0.3">
      <c r="A3379" s="2" t="s">
        <v>7221</v>
      </c>
      <c r="B3379" s="10">
        <v>45184</v>
      </c>
      <c r="C3379" s="22">
        <v>45184</v>
      </c>
      <c r="D3379" s="1" t="s">
        <v>7222</v>
      </c>
      <c r="E3379" s="1" t="s">
        <v>473</v>
      </c>
      <c r="F3379" s="1">
        <v>37</v>
      </c>
      <c r="G3379" s="1" t="s">
        <v>34</v>
      </c>
      <c r="H3379" s="1" t="s">
        <v>25</v>
      </c>
      <c r="I3379" s="1" t="s">
        <v>69</v>
      </c>
      <c r="J3379" s="1" t="s">
        <v>76</v>
      </c>
      <c r="K3379" s="1" t="s">
        <v>132</v>
      </c>
      <c r="L3379" s="1">
        <v>9</v>
      </c>
      <c r="M3379" s="13">
        <v>1920.93</v>
      </c>
      <c r="N3379" s="15">
        <v>0.04</v>
      </c>
      <c r="O3379" s="13">
        <v>18611.05</v>
      </c>
      <c r="P3379" s="13">
        <v>7106.9</v>
      </c>
      <c r="Q3379" s="13">
        <v>65.709999999999994</v>
      </c>
      <c r="R3379" s="1" t="s">
        <v>51</v>
      </c>
      <c r="S3379" s="1">
        <v>4</v>
      </c>
      <c r="T3379" s="1" t="b">
        <v>1</v>
      </c>
      <c r="U3379" s="1" t="s">
        <v>30</v>
      </c>
      <c r="V3379" s="3">
        <v>9</v>
      </c>
    </row>
    <row r="3380" spans="1:22" x14ac:dyDescent="0.3">
      <c r="A3380" s="2" t="s">
        <v>7223</v>
      </c>
      <c r="B3380" s="10">
        <v>45421</v>
      </c>
      <c r="C3380" s="22">
        <v>45421</v>
      </c>
      <c r="D3380" s="1" t="s">
        <v>7224</v>
      </c>
      <c r="E3380" s="1" t="s">
        <v>1309</v>
      </c>
      <c r="F3380" s="1">
        <v>35</v>
      </c>
      <c r="G3380" s="1" t="s">
        <v>68</v>
      </c>
      <c r="H3380" s="1" t="s">
        <v>35</v>
      </c>
      <c r="I3380" s="1" t="s">
        <v>49</v>
      </c>
      <c r="J3380" s="1" t="s">
        <v>37</v>
      </c>
      <c r="K3380" s="1" t="s">
        <v>38</v>
      </c>
      <c r="L3380" s="1">
        <v>8</v>
      </c>
      <c r="M3380" s="13">
        <v>1212.69</v>
      </c>
      <c r="N3380" s="15">
        <v>0.21</v>
      </c>
      <c r="O3380" s="13">
        <v>13771.38</v>
      </c>
      <c r="P3380" s="13">
        <v>6491.12</v>
      </c>
      <c r="Q3380" s="13">
        <v>40.26</v>
      </c>
      <c r="R3380" s="1" t="s">
        <v>70</v>
      </c>
      <c r="S3380" s="1">
        <v>3</v>
      </c>
      <c r="T3380" s="1" t="b">
        <v>0</v>
      </c>
      <c r="U3380" s="1" t="s">
        <v>39</v>
      </c>
      <c r="V3380" s="3">
        <v>8</v>
      </c>
    </row>
    <row r="3381" spans="1:22" x14ac:dyDescent="0.3">
      <c r="A3381" s="2" t="s">
        <v>7225</v>
      </c>
      <c r="B3381" s="10">
        <v>43995</v>
      </c>
      <c r="C3381" s="22">
        <v>43995</v>
      </c>
      <c r="D3381" s="1" t="s">
        <v>7226</v>
      </c>
      <c r="E3381" s="1" t="s">
        <v>991</v>
      </c>
      <c r="F3381" s="1">
        <v>16</v>
      </c>
      <c r="G3381" s="1" t="s">
        <v>24</v>
      </c>
      <c r="H3381" s="1" t="s">
        <v>25</v>
      </c>
      <c r="I3381" s="1" t="s">
        <v>69</v>
      </c>
      <c r="J3381" s="1" t="s">
        <v>127</v>
      </c>
      <c r="K3381" s="1" t="s">
        <v>517</v>
      </c>
      <c r="L3381" s="1">
        <v>3</v>
      </c>
      <c r="M3381" s="13">
        <v>71017.39</v>
      </c>
      <c r="N3381" s="15">
        <v>0.21</v>
      </c>
      <c r="O3381" s="13">
        <v>283763.46999999997</v>
      </c>
      <c r="P3381" s="13">
        <v>23611.3</v>
      </c>
      <c r="Q3381" s="13">
        <v>53.14</v>
      </c>
      <c r="R3381" s="1" t="s">
        <v>51</v>
      </c>
      <c r="S3381" s="1">
        <v>5</v>
      </c>
      <c r="T3381" s="1" t="b">
        <v>0</v>
      </c>
      <c r="U3381" s="1" t="s">
        <v>39</v>
      </c>
      <c r="V3381" s="3">
        <v>8</v>
      </c>
    </row>
    <row r="3382" spans="1:22" x14ac:dyDescent="0.3">
      <c r="A3382" s="2" t="s">
        <v>7227</v>
      </c>
      <c r="B3382" s="10">
        <v>43899</v>
      </c>
      <c r="C3382" s="22">
        <v>43899</v>
      </c>
      <c r="D3382" s="1" t="s">
        <v>4937</v>
      </c>
      <c r="E3382" s="1" t="s">
        <v>224</v>
      </c>
      <c r="F3382" s="1">
        <v>26</v>
      </c>
      <c r="G3382" s="1" t="s">
        <v>34</v>
      </c>
      <c r="H3382" s="1" t="s">
        <v>25</v>
      </c>
      <c r="I3382" s="1" t="s">
        <v>170</v>
      </c>
      <c r="J3382" s="1" t="s">
        <v>127</v>
      </c>
      <c r="K3382" s="1" t="s">
        <v>128</v>
      </c>
      <c r="L3382" s="1">
        <v>6</v>
      </c>
      <c r="M3382" s="13">
        <v>79957.919999999998</v>
      </c>
      <c r="N3382" s="15">
        <v>0.21</v>
      </c>
      <c r="O3382" s="13">
        <v>431664.73</v>
      </c>
      <c r="P3382" s="13">
        <v>54036.34</v>
      </c>
      <c r="Q3382" s="13">
        <v>51.2</v>
      </c>
      <c r="R3382" s="1" t="s">
        <v>64</v>
      </c>
      <c r="S3382" s="1">
        <v>3</v>
      </c>
      <c r="T3382" s="1" t="b">
        <v>0</v>
      </c>
      <c r="U3382" s="1" t="s">
        <v>39</v>
      </c>
      <c r="V3382" s="3">
        <v>10</v>
      </c>
    </row>
    <row r="3383" spans="1:22" x14ac:dyDescent="0.3">
      <c r="A3383" s="2" t="s">
        <v>7228</v>
      </c>
      <c r="B3383" s="10">
        <v>45087</v>
      </c>
      <c r="C3383" s="22">
        <v>45087</v>
      </c>
      <c r="D3383" s="1" t="s">
        <v>7229</v>
      </c>
      <c r="E3383" s="1" t="s">
        <v>120</v>
      </c>
      <c r="F3383" s="1">
        <v>23</v>
      </c>
      <c r="G3383" s="1" t="s">
        <v>24</v>
      </c>
      <c r="H3383" s="1" t="s">
        <v>82</v>
      </c>
      <c r="I3383" s="1" t="s">
        <v>244</v>
      </c>
      <c r="J3383" s="1" t="s">
        <v>127</v>
      </c>
      <c r="K3383" s="1" t="s">
        <v>517</v>
      </c>
      <c r="L3383" s="1">
        <v>2</v>
      </c>
      <c r="M3383" s="13">
        <v>65714.09</v>
      </c>
      <c r="N3383" s="15">
        <v>0.32</v>
      </c>
      <c r="O3383" s="13">
        <v>147617.57999999999</v>
      </c>
      <c r="P3383" s="13">
        <v>16129.94</v>
      </c>
      <c r="Q3383" s="13">
        <v>76.709999999999994</v>
      </c>
      <c r="R3383" s="1" t="s">
        <v>57</v>
      </c>
      <c r="S3383" s="1">
        <v>5</v>
      </c>
      <c r="T3383" s="1" t="b">
        <v>0</v>
      </c>
      <c r="U3383" s="1" t="s">
        <v>39</v>
      </c>
      <c r="V3383" s="3">
        <v>7</v>
      </c>
    </row>
    <row r="3384" spans="1:22" x14ac:dyDescent="0.3">
      <c r="A3384" s="2" t="s">
        <v>7230</v>
      </c>
      <c r="B3384" s="10">
        <v>45579</v>
      </c>
      <c r="C3384" s="22">
        <v>45579</v>
      </c>
      <c r="D3384" s="1" t="s">
        <v>7231</v>
      </c>
      <c r="E3384" s="1" t="s">
        <v>1324</v>
      </c>
      <c r="F3384" s="1">
        <v>20</v>
      </c>
      <c r="G3384" s="1" t="s">
        <v>34</v>
      </c>
      <c r="H3384" s="1" t="s">
        <v>74</v>
      </c>
      <c r="I3384" s="1" t="s">
        <v>192</v>
      </c>
      <c r="J3384" s="1" t="s">
        <v>27</v>
      </c>
      <c r="K3384" s="1" t="s">
        <v>450</v>
      </c>
      <c r="L3384" s="1">
        <v>10</v>
      </c>
      <c r="M3384" s="13">
        <v>171.99</v>
      </c>
      <c r="N3384" s="15">
        <v>0.18</v>
      </c>
      <c r="O3384" s="13">
        <v>1542.88</v>
      </c>
      <c r="P3384" s="13">
        <v>98.26</v>
      </c>
      <c r="Q3384" s="13">
        <v>65.88</v>
      </c>
      <c r="R3384" s="1" t="s">
        <v>29</v>
      </c>
      <c r="S3384" s="1">
        <v>4</v>
      </c>
      <c r="T3384" s="1" t="b">
        <v>1</v>
      </c>
      <c r="U3384" s="1" t="s">
        <v>30</v>
      </c>
      <c r="V3384" s="3">
        <v>3</v>
      </c>
    </row>
    <row r="3385" spans="1:22" x14ac:dyDescent="0.3">
      <c r="A3385" s="2" t="s">
        <v>7232</v>
      </c>
      <c r="B3385" s="10">
        <v>44932</v>
      </c>
      <c r="C3385" s="22">
        <v>44932</v>
      </c>
      <c r="D3385" s="1" t="s">
        <v>7233</v>
      </c>
      <c r="E3385" s="1" t="s">
        <v>3402</v>
      </c>
      <c r="F3385" s="1">
        <v>30</v>
      </c>
      <c r="G3385" s="1" t="s">
        <v>24</v>
      </c>
      <c r="H3385" s="1" t="s">
        <v>74</v>
      </c>
      <c r="I3385" s="1" t="s">
        <v>136</v>
      </c>
      <c r="J3385" s="1" t="s">
        <v>44</v>
      </c>
      <c r="K3385" s="1" t="s">
        <v>186</v>
      </c>
      <c r="L3385" s="1">
        <v>5</v>
      </c>
      <c r="M3385" s="13">
        <v>12917.23</v>
      </c>
      <c r="N3385" s="15">
        <v>0.13</v>
      </c>
      <c r="O3385" s="13">
        <v>10872.27</v>
      </c>
      <c r="P3385" s="13">
        <v>2985.89</v>
      </c>
      <c r="Q3385" s="13">
        <v>68.67</v>
      </c>
      <c r="R3385" s="1" t="s">
        <v>64</v>
      </c>
      <c r="S3385" s="1">
        <v>2</v>
      </c>
      <c r="T3385" s="1" t="b">
        <v>0</v>
      </c>
      <c r="U3385" s="1" t="s">
        <v>39</v>
      </c>
      <c r="V3385" s="3">
        <v>10</v>
      </c>
    </row>
    <row r="3386" spans="1:22" x14ac:dyDescent="0.3">
      <c r="A3386" s="2" t="s">
        <v>7234</v>
      </c>
      <c r="B3386" s="10">
        <v>45155</v>
      </c>
      <c r="C3386" s="22">
        <v>45155</v>
      </c>
      <c r="D3386" s="1" t="s">
        <v>7235</v>
      </c>
      <c r="E3386" s="1" t="s">
        <v>1459</v>
      </c>
      <c r="F3386" s="1">
        <v>34</v>
      </c>
      <c r="G3386" s="1" t="s">
        <v>34</v>
      </c>
      <c r="H3386" s="1" t="s">
        <v>25</v>
      </c>
      <c r="I3386" s="1" t="s">
        <v>170</v>
      </c>
      <c r="J3386" s="1" t="s">
        <v>44</v>
      </c>
      <c r="K3386" s="1" t="s">
        <v>45</v>
      </c>
      <c r="L3386" s="1">
        <v>9</v>
      </c>
      <c r="M3386" s="13">
        <v>19162.75</v>
      </c>
      <c r="N3386" s="15">
        <v>0.32</v>
      </c>
      <c r="O3386" s="13">
        <v>178414.75</v>
      </c>
      <c r="P3386" s="13">
        <v>35608.129999999997</v>
      </c>
      <c r="Q3386" s="13">
        <v>38.92</v>
      </c>
      <c r="R3386" s="1" t="s">
        <v>64</v>
      </c>
      <c r="S3386" s="1">
        <v>4</v>
      </c>
      <c r="T3386" s="1" t="b">
        <v>0</v>
      </c>
      <c r="U3386" s="1" t="s">
        <v>39</v>
      </c>
      <c r="V3386" s="3">
        <v>5</v>
      </c>
    </row>
    <row r="3387" spans="1:22" x14ac:dyDescent="0.3">
      <c r="A3387" s="2" t="s">
        <v>7236</v>
      </c>
      <c r="B3387" s="10">
        <v>44602</v>
      </c>
      <c r="C3387" s="22">
        <v>44602</v>
      </c>
      <c r="D3387" s="1" t="s">
        <v>7237</v>
      </c>
      <c r="E3387" s="1" t="s">
        <v>224</v>
      </c>
      <c r="F3387" s="1">
        <v>27</v>
      </c>
      <c r="G3387" s="1" t="s">
        <v>68</v>
      </c>
      <c r="H3387" s="1" t="s">
        <v>35</v>
      </c>
      <c r="I3387" s="1" t="s">
        <v>36</v>
      </c>
      <c r="J3387" s="1" t="s">
        <v>76</v>
      </c>
      <c r="K3387" s="1" t="s">
        <v>122</v>
      </c>
      <c r="L3387" s="1">
        <v>2</v>
      </c>
      <c r="M3387" s="13">
        <v>3211.68</v>
      </c>
      <c r="N3387" s="15">
        <v>0.36</v>
      </c>
      <c r="O3387" s="13">
        <v>3765.49</v>
      </c>
      <c r="P3387" s="13">
        <v>1384.04</v>
      </c>
      <c r="Q3387" s="13">
        <v>46.54</v>
      </c>
      <c r="R3387" s="1" t="s">
        <v>51</v>
      </c>
      <c r="S3387" s="1">
        <v>4</v>
      </c>
      <c r="T3387" s="1" t="b">
        <v>0</v>
      </c>
      <c r="U3387" s="1" t="s">
        <v>39</v>
      </c>
      <c r="V3387" s="3">
        <v>8</v>
      </c>
    </row>
    <row r="3388" spans="1:22" x14ac:dyDescent="0.3">
      <c r="A3388" s="2" t="s">
        <v>7238</v>
      </c>
      <c r="B3388" s="10">
        <v>44043</v>
      </c>
      <c r="C3388" s="22">
        <v>44043</v>
      </c>
      <c r="D3388" s="1" t="s">
        <v>7239</v>
      </c>
      <c r="E3388" s="1" t="s">
        <v>1555</v>
      </c>
      <c r="F3388" s="1">
        <v>43</v>
      </c>
      <c r="G3388" s="1" t="s">
        <v>24</v>
      </c>
      <c r="H3388" s="1" t="s">
        <v>35</v>
      </c>
      <c r="I3388" s="1" t="s">
        <v>106</v>
      </c>
      <c r="J3388" s="1" t="s">
        <v>76</v>
      </c>
      <c r="K3388" s="1" t="s">
        <v>113</v>
      </c>
      <c r="L3388" s="1">
        <v>10</v>
      </c>
      <c r="M3388" s="13">
        <v>2139.09</v>
      </c>
      <c r="N3388" s="15">
        <v>0.23</v>
      </c>
      <c r="O3388" s="13">
        <v>21182.67</v>
      </c>
      <c r="P3388" s="13">
        <v>8554.34</v>
      </c>
      <c r="Q3388" s="13">
        <v>72.73</v>
      </c>
      <c r="R3388" s="1" t="s">
        <v>64</v>
      </c>
      <c r="S3388" s="1">
        <v>2</v>
      </c>
      <c r="T3388" s="1" t="b">
        <v>0</v>
      </c>
      <c r="U3388" s="1" t="s">
        <v>39</v>
      </c>
      <c r="V3388" s="3">
        <v>8</v>
      </c>
    </row>
    <row r="3389" spans="1:22" x14ac:dyDescent="0.3">
      <c r="A3389" s="2" t="s">
        <v>7240</v>
      </c>
      <c r="B3389" s="10">
        <v>44627</v>
      </c>
      <c r="C3389" s="22">
        <v>44627</v>
      </c>
      <c r="D3389" s="1" t="s">
        <v>7241</v>
      </c>
      <c r="E3389" s="1" t="s">
        <v>2117</v>
      </c>
      <c r="F3389" s="1">
        <v>31</v>
      </c>
      <c r="G3389" s="1" t="s">
        <v>24</v>
      </c>
      <c r="H3389" s="1" t="s">
        <v>111</v>
      </c>
      <c r="I3389" s="1" t="s">
        <v>112</v>
      </c>
      <c r="J3389" s="1" t="s">
        <v>27</v>
      </c>
      <c r="K3389" s="1" t="s">
        <v>400</v>
      </c>
      <c r="L3389" s="1">
        <v>3</v>
      </c>
      <c r="M3389" s="13">
        <v>323.91000000000003</v>
      </c>
      <c r="N3389" s="15">
        <v>0</v>
      </c>
      <c r="O3389" s="13">
        <v>1207.23</v>
      </c>
      <c r="P3389" s="13">
        <v>88.05</v>
      </c>
      <c r="Q3389" s="13">
        <v>64.989999999999995</v>
      </c>
      <c r="R3389" s="1" t="s">
        <v>29</v>
      </c>
      <c r="S3389" s="1">
        <v>1</v>
      </c>
      <c r="T3389" s="1" t="b">
        <v>0</v>
      </c>
      <c r="U3389" s="1" t="s">
        <v>84</v>
      </c>
      <c r="V3389" s="3">
        <v>3</v>
      </c>
    </row>
    <row r="3390" spans="1:22" x14ac:dyDescent="0.3">
      <c r="A3390" s="2" t="s">
        <v>7242</v>
      </c>
      <c r="B3390" s="10">
        <v>44286</v>
      </c>
      <c r="C3390" s="22">
        <v>44286</v>
      </c>
      <c r="D3390" s="1" t="s">
        <v>7243</v>
      </c>
      <c r="E3390" s="1" t="s">
        <v>976</v>
      </c>
      <c r="F3390" s="1">
        <v>42</v>
      </c>
      <c r="G3390" s="1" t="s">
        <v>68</v>
      </c>
      <c r="H3390" s="1" t="s">
        <v>82</v>
      </c>
      <c r="I3390" s="1" t="s">
        <v>126</v>
      </c>
      <c r="J3390" s="1" t="s">
        <v>37</v>
      </c>
      <c r="K3390" s="1" t="s">
        <v>102</v>
      </c>
      <c r="L3390" s="1">
        <v>3</v>
      </c>
      <c r="M3390" s="13">
        <v>1034.33</v>
      </c>
      <c r="N3390" s="15">
        <v>0.12</v>
      </c>
      <c r="O3390" s="13">
        <v>3430.9</v>
      </c>
      <c r="P3390" s="13">
        <v>1457.51</v>
      </c>
      <c r="Q3390" s="13">
        <v>77.03</v>
      </c>
      <c r="R3390" s="1" t="s">
        <v>78</v>
      </c>
      <c r="S3390" s="1">
        <v>1</v>
      </c>
      <c r="T3390" s="1" t="b">
        <v>0</v>
      </c>
      <c r="U3390" s="1" t="s">
        <v>58</v>
      </c>
      <c r="V3390" s="3">
        <v>9</v>
      </c>
    </row>
    <row r="3391" spans="1:22" x14ac:dyDescent="0.3">
      <c r="A3391" s="2" t="s">
        <v>7244</v>
      </c>
      <c r="B3391" s="10">
        <v>44462</v>
      </c>
      <c r="C3391" s="22">
        <v>44462</v>
      </c>
      <c r="D3391" s="1" t="s">
        <v>7245</v>
      </c>
      <c r="E3391" s="1" t="s">
        <v>1627</v>
      </c>
      <c r="F3391" s="1">
        <v>25</v>
      </c>
      <c r="G3391" s="1" t="s">
        <v>24</v>
      </c>
      <c r="H3391" s="1" t="s">
        <v>82</v>
      </c>
      <c r="I3391" s="1" t="s">
        <v>126</v>
      </c>
      <c r="J3391" s="1" t="s">
        <v>44</v>
      </c>
      <c r="K3391" s="1" t="s">
        <v>221</v>
      </c>
      <c r="L3391" s="1">
        <v>8</v>
      </c>
      <c r="M3391" s="13">
        <v>19149.45</v>
      </c>
      <c r="N3391" s="15">
        <v>0.14000000000000001</v>
      </c>
      <c r="O3391" s="13">
        <v>163824.93</v>
      </c>
      <c r="P3391" s="13">
        <v>43339.07</v>
      </c>
      <c r="Q3391" s="13">
        <v>77.260000000000005</v>
      </c>
      <c r="R3391" s="1" t="s">
        <v>78</v>
      </c>
      <c r="S3391" s="1">
        <v>2</v>
      </c>
      <c r="T3391" s="1" t="b">
        <v>0</v>
      </c>
      <c r="U3391" s="1" t="s">
        <v>39</v>
      </c>
      <c r="V3391" s="3">
        <v>4</v>
      </c>
    </row>
    <row r="3392" spans="1:22" x14ac:dyDescent="0.3">
      <c r="A3392" s="2" t="s">
        <v>7246</v>
      </c>
      <c r="B3392" s="10">
        <v>44912</v>
      </c>
      <c r="C3392" s="22">
        <v>44912</v>
      </c>
      <c r="D3392" s="1" t="s">
        <v>7247</v>
      </c>
      <c r="E3392" s="1" t="s">
        <v>33</v>
      </c>
      <c r="F3392" s="1">
        <v>24</v>
      </c>
      <c r="G3392" s="1" t="s">
        <v>34</v>
      </c>
      <c r="H3392" s="1" t="s">
        <v>25</v>
      </c>
      <c r="I3392" s="1" t="s">
        <v>26</v>
      </c>
      <c r="J3392" s="1" t="s">
        <v>37</v>
      </c>
      <c r="K3392" s="1" t="s">
        <v>231</v>
      </c>
      <c r="L3392" s="1">
        <v>5</v>
      </c>
      <c r="M3392" s="13">
        <v>732.07</v>
      </c>
      <c r="N3392" s="15">
        <v>0.17</v>
      </c>
      <c r="O3392" s="13">
        <v>505.72</v>
      </c>
      <c r="P3392" s="13">
        <v>246.04</v>
      </c>
      <c r="Q3392" s="13">
        <v>48.93</v>
      </c>
      <c r="R3392" s="1" t="s">
        <v>51</v>
      </c>
      <c r="S3392" s="1">
        <v>1</v>
      </c>
      <c r="T3392" s="1" t="b">
        <v>0</v>
      </c>
      <c r="U3392" s="1" t="s">
        <v>137</v>
      </c>
      <c r="V3392" s="3">
        <v>2</v>
      </c>
    </row>
    <row r="3393" spans="1:22" x14ac:dyDescent="0.3">
      <c r="A3393" s="2" t="s">
        <v>7248</v>
      </c>
      <c r="B3393" s="10">
        <v>44114</v>
      </c>
      <c r="C3393" s="22">
        <v>44114</v>
      </c>
      <c r="D3393" s="1" t="s">
        <v>7249</v>
      </c>
      <c r="E3393" s="1" t="s">
        <v>1862</v>
      </c>
      <c r="F3393" s="1">
        <v>25</v>
      </c>
      <c r="G3393" s="1" t="s">
        <v>68</v>
      </c>
      <c r="H3393" s="1" t="s">
        <v>25</v>
      </c>
      <c r="I3393" s="1" t="s">
        <v>69</v>
      </c>
      <c r="J3393" s="1" t="s">
        <v>44</v>
      </c>
      <c r="K3393" s="1" t="s">
        <v>93</v>
      </c>
      <c r="L3393" s="1">
        <v>1</v>
      </c>
      <c r="M3393" s="13">
        <v>23097.37</v>
      </c>
      <c r="N3393" s="15">
        <v>0.34</v>
      </c>
      <c r="O3393" s="13">
        <v>12857.46</v>
      </c>
      <c r="P3393" s="13">
        <v>4344.32</v>
      </c>
      <c r="Q3393" s="13">
        <v>107.34</v>
      </c>
      <c r="R3393" s="1" t="s">
        <v>64</v>
      </c>
      <c r="S3393" s="1">
        <v>5</v>
      </c>
      <c r="T3393" s="1" t="b">
        <v>0</v>
      </c>
      <c r="U3393" s="1" t="s">
        <v>39</v>
      </c>
      <c r="V3393" s="3">
        <v>2</v>
      </c>
    </row>
    <row r="3394" spans="1:22" x14ac:dyDescent="0.3">
      <c r="A3394" s="2" t="s">
        <v>7250</v>
      </c>
      <c r="B3394" s="10">
        <v>44724</v>
      </c>
      <c r="C3394" s="22">
        <v>44724</v>
      </c>
      <c r="D3394" s="1" t="s">
        <v>7251</v>
      </c>
      <c r="E3394" s="1" t="s">
        <v>696</v>
      </c>
      <c r="F3394" s="1">
        <v>28</v>
      </c>
      <c r="G3394" s="1" t="s">
        <v>24</v>
      </c>
      <c r="H3394" s="1" t="s">
        <v>25</v>
      </c>
      <c r="I3394" s="1" t="s">
        <v>69</v>
      </c>
      <c r="J3394" s="1" t="s">
        <v>27</v>
      </c>
      <c r="K3394" s="1" t="s">
        <v>430</v>
      </c>
      <c r="L3394" s="1">
        <v>8</v>
      </c>
      <c r="M3394" s="13">
        <v>115.46</v>
      </c>
      <c r="N3394" s="15">
        <v>0.22</v>
      </c>
      <c r="O3394" s="13">
        <v>1183.48</v>
      </c>
      <c r="P3394" s="13">
        <v>105.86</v>
      </c>
      <c r="Q3394" s="13">
        <v>42.35</v>
      </c>
      <c r="R3394" s="1" t="s">
        <v>51</v>
      </c>
      <c r="S3394" s="1">
        <v>4</v>
      </c>
      <c r="T3394" s="1" t="b">
        <v>0</v>
      </c>
      <c r="U3394" s="1" t="s">
        <v>84</v>
      </c>
      <c r="V3394" s="3">
        <v>8</v>
      </c>
    </row>
    <row r="3395" spans="1:22" x14ac:dyDescent="0.3">
      <c r="A3395" s="2" t="s">
        <v>7252</v>
      </c>
      <c r="B3395" s="10">
        <v>45369</v>
      </c>
      <c r="C3395" s="22">
        <v>45369</v>
      </c>
      <c r="D3395" s="1" t="s">
        <v>7253</v>
      </c>
      <c r="E3395" s="1" t="s">
        <v>443</v>
      </c>
      <c r="F3395" s="1">
        <v>46</v>
      </c>
      <c r="G3395" s="1" t="s">
        <v>68</v>
      </c>
      <c r="H3395" s="1" t="s">
        <v>74</v>
      </c>
      <c r="I3395" s="1" t="s">
        <v>136</v>
      </c>
      <c r="J3395" s="1" t="s">
        <v>146</v>
      </c>
      <c r="K3395" s="1" t="s">
        <v>484</v>
      </c>
      <c r="L3395" s="1">
        <v>2</v>
      </c>
      <c r="M3395" s="13">
        <v>7756.42</v>
      </c>
      <c r="N3395" s="15">
        <v>0.38</v>
      </c>
      <c r="O3395" s="13">
        <v>13122.27</v>
      </c>
      <c r="P3395" s="13">
        <v>2871.65</v>
      </c>
      <c r="Q3395" s="13">
        <v>33.58</v>
      </c>
      <c r="R3395" s="1" t="s">
        <v>70</v>
      </c>
      <c r="S3395" s="1">
        <v>5</v>
      </c>
      <c r="T3395" s="1" t="b">
        <v>0</v>
      </c>
      <c r="U3395" s="1" t="s">
        <v>39</v>
      </c>
      <c r="V3395" s="3">
        <v>7</v>
      </c>
    </row>
    <row r="3396" spans="1:22" x14ac:dyDescent="0.3">
      <c r="A3396" s="2" t="s">
        <v>7254</v>
      </c>
      <c r="B3396" s="10">
        <v>45544</v>
      </c>
      <c r="C3396" s="22">
        <v>45544</v>
      </c>
      <c r="D3396" s="1" t="s">
        <v>7255</v>
      </c>
      <c r="E3396" s="1" t="s">
        <v>776</v>
      </c>
      <c r="F3396" s="1">
        <v>49</v>
      </c>
      <c r="G3396" s="1" t="s">
        <v>68</v>
      </c>
      <c r="H3396" s="1" t="s">
        <v>82</v>
      </c>
      <c r="I3396" s="1" t="s">
        <v>293</v>
      </c>
      <c r="J3396" s="1" t="s">
        <v>37</v>
      </c>
      <c r="K3396" s="1" t="s">
        <v>38</v>
      </c>
      <c r="L3396" s="1">
        <v>8</v>
      </c>
      <c r="M3396" s="13">
        <v>1184.54</v>
      </c>
      <c r="N3396" s="15">
        <v>0.21</v>
      </c>
      <c r="O3396" s="13">
        <v>9116.76</v>
      </c>
      <c r="P3396" s="13">
        <v>2742.19</v>
      </c>
      <c r="Q3396" s="13">
        <v>101.81</v>
      </c>
      <c r="R3396" s="1" t="s">
        <v>78</v>
      </c>
      <c r="S3396" s="1">
        <v>2</v>
      </c>
      <c r="T3396" s="1" t="b">
        <v>0</v>
      </c>
      <c r="U3396" s="1" t="s">
        <v>39</v>
      </c>
      <c r="V3396" s="3">
        <v>8</v>
      </c>
    </row>
    <row r="3397" spans="1:22" x14ac:dyDescent="0.3">
      <c r="A3397" s="2" t="s">
        <v>7256</v>
      </c>
      <c r="B3397" s="10">
        <v>44117</v>
      </c>
      <c r="C3397" s="22">
        <v>44117</v>
      </c>
      <c r="D3397" s="1" t="s">
        <v>7257</v>
      </c>
      <c r="E3397" s="1" t="s">
        <v>2140</v>
      </c>
      <c r="F3397" s="1">
        <v>13</v>
      </c>
      <c r="G3397" s="1" t="s">
        <v>24</v>
      </c>
      <c r="H3397" s="1" t="s">
        <v>25</v>
      </c>
      <c r="I3397" s="1" t="s">
        <v>170</v>
      </c>
      <c r="J3397" s="1" t="s">
        <v>62</v>
      </c>
      <c r="K3397" s="1" t="s">
        <v>151</v>
      </c>
      <c r="L3397" s="1">
        <v>3</v>
      </c>
      <c r="M3397" s="13">
        <v>785.45</v>
      </c>
      <c r="N3397" s="15">
        <v>0.12</v>
      </c>
      <c r="O3397" s="13">
        <v>1714.83</v>
      </c>
      <c r="P3397" s="13">
        <v>820.64</v>
      </c>
      <c r="Q3397" s="13">
        <v>65.349999999999994</v>
      </c>
      <c r="R3397" s="1" t="s">
        <v>78</v>
      </c>
      <c r="S3397" s="1">
        <v>2</v>
      </c>
      <c r="T3397" s="1" t="b">
        <v>1</v>
      </c>
      <c r="U3397" s="1" t="s">
        <v>30</v>
      </c>
      <c r="V3397" s="3">
        <v>1</v>
      </c>
    </row>
    <row r="3398" spans="1:22" x14ac:dyDescent="0.3">
      <c r="A3398" s="2" t="s">
        <v>7258</v>
      </c>
      <c r="B3398" s="10">
        <v>44515</v>
      </c>
      <c r="C3398" s="22">
        <v>44515</v>
      </c>
      <c r="D3398" s="1" t="s">
        <v>7259</v>
      </c>
      <c r="E3398" s="1" t="s">
        <v>357</v>
      </c>
      <c r="F3398" s="1">
        <v>50</v>
      </c>
      <c r="G3398" s="1" t="s">
        <v>68</v>
      </c>
      <c r="H3398" s="1" t="s">
        <v>74</v>
      </c>
      <c r="I3398" s="1" t="s">
        <v>101</v>
      </c>
      <c r="J3398" s="1" t="s">
        <v>127</v>
      </c>
      <c r="K3398" s="1" t="s">
        <v>142</v>
      </c>
      <c r="L3398" s="1">
        <v>2</v>
      </c>
      <c r="M3398" s="13">
        <v>5798.1</v>
      </c>
      <c r="N3398" s="15">
        <v>0.24</v>
      </c>
      <c r="O3398" s="13">
        <v>7334.77</v>
      </c>
      <c r="P3398" s="13">
        <v>884.69</v>
      </c>
      <c r="Q3398" s="13">
        <v>32.840000000000003</v>
      </c>
      <c r="R3398" s="1" t="s">
        <v>64</v>
      </c>
      <c r="S3398" s="1">
        <v>3</v>
      </c>
      <c r="T3398" s="1" t="b">
        <v>0</v>
      </c>
      <c r="U3398" s="1" t="s">
        <v>39</v>
      </c>
      <c r="V3398" s="3">
        <v>3</v>
      </c>
    </row>
    <row r="3399" spans="1:22" x14ac:dyDescent="0.3">
      <c r="A3399" s="2" t="s">
        <v>7260</v>
      </c>
      <c r="B3399" s="10">
        <v>45526</v>
      </c>
      <c r="C3399" s="22">
        <v>45526</v>
      </c>
      <c r="D3399" s="1" t="s">
        <v>7261</v>
      </c>
      <c r="E3399" s="1" t="s">
        <v>1803</v>
      </c>
      <c r="F3399" s="1">
        <v>47</v>
      </c>
      <c r="G3399" s="1" t="s">
        <v>34</v>
      </c>
      <c r="H3399" s="1" t="s">
        <v>35</v>
      </c>
      <c r="I3399" s="1" t="s">
        <v>106</v>
      </c>
      <c r="J3399" s="1" t="s">
        <v>76</v>
      </c>
      <c r="K3399" s="1" t="s">
        <v>122</v>
      </c>
      <c r="L3399" s="1">
        <v>5</v>
      </c>
      <c r="M3399" s="13">
        <v>2368.8200000000002</v>
      </c>
      <c r="N3399" s="15">
        <v>0.21</v>
      </c>
      <c r="O3399" s="13">
        <v>18598.330000000002</v>
      </c>
      <c r="P3399" s="13">
        <v>5184.45</v>
      </c>
      <c r="Q3399" s="13">
        <v>68.400000000000006</v>
      </c>
      <c r="R3399" s="1" t="s">
        <v>64</v>
      </c>
      <c r="S3399" s="1">
        <v>3</v>
      </c>
      <c r="T3399" s="1" t="b">
        <v>0</v>
      </c>
      <c r="U3399" s="1" t="s">
        <v>84</v>
      </c>
      <c r="V3399" s="3">
        <v>1</v>
      </c>
    </row>
    <row r="3400" spans="1:22" x14ac:dyDescent="0.3">
      <c r="A3400" s="2" t="s">
        <v>7262</v>
      </c>
      <c r="B3400" s="10">
        <v>45248</v>
      </c>
      <c r="C3400" s="22">
        <v>45248</v>
      </c>
      <c r="D3400" s="1" t="s">
        <v>7263</v>
      </c>
      <c r="E3400" s="1" t="s">
        <v>378</v>
      </c>
      <c r="F3400" s="1">
        <v>29</v>
      </c>
      <c r="G3400" s="1" t="s">
        <v>463</v>
      </c>
      <c r="H3400" s="1" t="s">
        <v>82</v>
      </c>
      <c r="I3400" s="1" t="s">
        <v>293</v>
      </c>
      <c r="J3400" s="1" t="s">
        <v>146</v>
      </c>
      <c r="K3400" s="1" t="s">
        <v>147</v>
      </c>
      <c r="L3400" s="1">
        <v>4</v>
      </c>
      <c r="M3400" s="13">
        <v>11596.28</v>
      </c>
      <c r="N3400" s="15">
        <v>0.22</v>
      </c>
      <c r="O3400" s="13">
        <v>32114.67</v>
      </c>
      <c r="P3400" s="13">
        <v>7605.77</v>
      </c>
      <c r="Q3400" s="13">
        <v>87.57</v>
      </c>
      <c r="R3400" s="1" t="s">
        <v>64</v>
      </c>
      <c r="S3400" s="1">
        <v>1</v>
      </c>
      <c r="T3400" s="1" t="b">
        <v>0</v>
      </c>
      <c r="U3400" s="1" t="s">
        <v>137</v>
      </c>
      <c r="V3400" s="3">
        <v>5</v>
      </c>
    </row>
    <row r="3401" spans="1:22" x14ac:dyDescent="0.3">
      <c r="A3401" s="2" t="s">
        <v>7264</v>
      </c>
      <c r="B3401" s="10">
        <v>44462</v>
      </c>
      <c r="C3401" s="22">
        <v>44462</v>
      </c>
      <c r="D3401" s="1" t="s">
        <v>7265</v>
      </c>
      <c r="E3401" s="1" t="s">
        <v>1064</v>
      </c>
      <c r="F3401" s="1">
        <v>34</v>
      </c>
      <c r="G3401" s="1" t="s">
        <v>24</v>
      </c>
      <c r="H3401" s="1" t="s">
        <v>35</v>
      </c>
      <c r="I3401" s="1" t="s">
        <v>36</v>
      </c>
      <c r="J3401" s="1" t="s">
        <v>27</v>
      </c>
      <c r="K3401" s="1" t="s">
        <v>450</v>
      </c>
      <c r="L3401" s="1">
        <v>5</v>
      </c>
      <c r="M3401" s="13">
        <v>69.28</v>
      </c>
      <c r="N3401" s="15">
        <v>0.31</v>
      </c>
      <c r="O3401" s="13">
        <v>257.67</v>
      </c>
      <c r="P3401" s="13">
        <v>18.670000000000002</v>
      </c>
      <c r="Q3401" s="13">
        <v>64.900000000000006</v>
      </c>
      <c r="R3401" s="1" t="s">
        <v>64</v>
      </c>
      <c r="S3401" s="1">
        <v>4</v>
      </c>
      <c r="T3401" s="1" t="b">
        <v>0</v>
      </c>
      <c r="U3401" s="1" t="s">
        <v>39</v>
      </c>
      <c r="V3401" s="3">
        <v>2</v>
      </c>
    </row>
    <row r="3402" spans="1:22" x14ac:dyDescent="0.3">
      <c r="A3402" s="2" t="s">
        <v>7266</v>
      </c>
      <c r="B3402" s="10">
        <v>45032</v>
      </c>
      <c r="C3402" s="22">
        <v>45032</v>
      </c>
      <c r="D3402" s="1" t="s">
        <v>7267</v>
      </c>
      <c r="E3402" s="1" t="s">
        <v>629</v>
      </c>
      <c r="F3402" s="1">
        <v>25</v>
      </c>
      <c r="G3402" s="1" t="s">
        <v>68</v>
      </c>
      <c r="H3402" s="1" t="s">
        <v>35</v>
      </c>
      <c r="I3402" s="1" t="s">
        <v>43</v>
      </c>
      <c r="J3402" s="1" t="s">
        <v>37</v>
      </c>
      <c r="K3402" s="1" t="s">
        <v>671</v>
      </c>
      <c r="L3402" s="1">
        <v>3</v>
      </c>
      <c r="M3402" s="13">
        <v>188.54</v>
      </c>
      <c r="N3402" s="15">
        <v>0.35</v>
      </c>
      <c r="O3402" s="13">
        <v>430.94</v>
      </c>
      <c r="P3402" s="13">
        <v>225.45</v>
      </c>
      <c r="Q3402" s="13">
        <v>38.36</v>
      </c>
      <c r="R3402" s="1" t="s">
        <v>51</v>
      </c>
      <c r="S3402" s="1">
        <v>1</v>
      </c>
      <c r="T3402" s="1" t="b">
        <v>0</v>
      </c>
      <c r="U3402" s="1" t="s">
        <v>39</v>
      </c>
      <c r="V3402" s="3">
        <v>10</v>
      </c>
    </row>
    <row r="3403" spans="1:22" x14ac:dyDescent="0.3">
      <c r="A3403" s="2" t="s">
        <v>7268</v>
      </c>
      <c r="B3403" s="10">
        <v>44290</v>
      </c>
      <c r="C3403" s="22">
        <v>44290</v>
      </c>
      <c r="D3403" s="1" t="s">
        <v>7269</v>
      </c>
      <c r="E3403" s="1" t="s">
        <v>2637</v>
      </c>
      <c r="F3403" s="1">
        <v>29</v>
      </c>
      <c r="G3403" s="1" t="s">
        <v>68</v>
      </c>
      <c r="H3403" s="1" t="s">
        <v>82</v>
      </c>
      <c r="I3403" s="1" t="s">
        <v>293</v>
      </c>
      <c r="J3403" s="1" t="s">
        <v>27</v>
      </c>
      <c r="K3403" s="1" t="s">
        <v>56</v>
      </c>
      <c r="L3403" s="1">
        <v>3</v>
      </c>
      <c r="M3403" s="13">
        <v>458.29</v>
      </c>
      <c r="N3403" s="15">
        <v>0.01</v>
      </c>
      <c r="O3403" s="13">
        <v>1674.66</v>
      </c>
      <c r="P3403" s="13">
        <v>127.44</v>
      </c>
      <c r="Q3403" s="13">
        <v>59.96</v>
      </c>
      <c r="R3403" s="1" t="s">
        <v>57</v>
      </c>
      <c r="S3403" s="1">
        <v>1</v>
      </c>
      <c r="T3403" s="1" t="b">
        <v>0</v>
      </c>
      <c r="U3403" s="1" t="s">
        <v>39</v>
      </c>
      <c r="V3403" s="3">
        <v>2</v>
      </c>
    </row>
    <row r="3404" spans="1:22" x14ac:dyDescent="0.3">
      <c r="A3404" s="2" t="s">
        <v>7270</v>
      </c>
      <c r="B3404" s="10">
        <v>44047</v>
      </c>
      <c r="C3404" s="22">
        <v>44047</v>
      </c>
      <c r="D3404" s="1" t="s">
        <v>7271</v>
      </c>
      <c r="E3404" s="1" t="s">
        <v>1015</v>
      </c>
      <c r="F3404" s="1">
        <v>34</v>
      </c>
      <c r="G3404" s="1" t="s">
        <v>34</v>
      </c>
      <c r="H3404" s="1" t="s">
        <v>35</v>
      </c>
      <c r="I3404" s="1" t="s">
        <v>106</v>
      </c>
      <c r="J3404" s="1" t="s">
        <v>62</v>
      </c>
      <c r="K3404" s="1" t="s">
        <v>63</v>
      </c>
      <c r="L3404" s="1">
        <v>3</v>
      </c>
      <c r="M3404" s="13">
        <v>679.81</v>
      </c>
      <c r="N3404" s="15">
        <v>0.14000000000000001</v>
      </c>
      <c r="O3404" s="13">
        <v>1958.24</v>
      </c>
      <c r="P3404" s="13">
        <v>663.49</v>
      </c>
      <c r="Q3404" s="13">
        <v>49.8</v>
      </c>
      <c r="R3404" s="1" t="s">
        <v>57</v>
      </c>
      <c r="S3404" s="1">
        <v>4</v>
      </c>
      <c r="T3404" s="1" t="b">
        <v>0</v>
      </c>
      <c r="U3404" s="1" t="s">
        <v>39</v>
      </c>
      <c r="V3404" s="3">
        <v>3</v>
      </c>
    </row>
    <row r="3405" spans="1:22" x14ac:dyDescent="0.3">
      <c r="A3405" s="2" t="s">
        <v>7272</v>
      </c>
      <c r="B3405" s="10">
        <v>45345</v>
      </c>
      <c r="C3405" s="22">
        <v>45345</v>
      </c>
      <c r="D3405" s="1" t="s">
        <v>7273</v>
      </c>
      <c r="E3405" s="1" t="s">
        <v>2655</v>
      </c>
      <c r="F3405" s="1">
        <v>42</v>
      </c>
      <c r="G3405" s="1" t="s">
        <v>24</v>
      </c>
      <c r="H3405" s="1" t="s">
        <v>82</v>
      </c>
      <c r="I3405" s="1" t="s">
        <v>126</v>
      </c>
      <c r="J3405" s="1" t="s">
        <v>76</v>
      </c>
      <c r="K3405" s="1" t="s">
        <v>122</v>
      </c>
      <c r="L3405" s="1">
        <v>1</v>
      </c>
      <c r="M3405" s="13">
        <v>619.66</v>
      </c>
      <c r="N3405" s="15">
        <v>0.06</v>
      </c>
      <c r="O3405" s="13">
        <v>677.46</v>
      </c>
      <c r="P3405" s="13">
        <v>198.49</v>
      </c>
      <c r="Q3405" s="13">
        <v>90.84</v>
      </c>
      <c r="R3405" s="1" t="s">
        <v>51</v>
      </c>
      <c r="S3405" s="1">
        <v>2</v>
      </c>
      <c r="T3405" s="1" t="b">
        <v>0</v>
      </c>
      <c r="U3405" s="1" t="s">
        <v>39</v>
      </c>
      <c r="V3405" s="3">
        <v>1</v>
      </c>
    </row>
    <row r="3406" spans="1:22" x14ac:dyDescent="0.3">
      <c r="A3406" s="2" t="s">
        <v>7274</v>
      </c>
      <c r="B3406" s="10">
        <v>45448</v>
      </c>
      <c r="C3406" s="22">
        <v>45448</v>
      </c>
      <c r="D3406" s="1" t="s">
        <v>7275</v>
      </c>
      <c r="E3406" s="1" t="s">
        <v>973</v>
      </c>
      <c r="F3406" s="1">
        <v>39</v>
      </c>
      <c r="G3406" s="1" t="s">
        <v>34</v>
      </c>
      <c r="H3406" s="1" t="s">
        <v>111</v>
      </c>
      <c r="I3406" s="1" t="s">
        <v>330</v>
      </c>
      <c r="J3406" s="1" t="s">
        <v>37</v>
      </c>
      <c r="K3406" s="1" t="s">
        <v>454</v>
      </c>
      <c r="L3406" s="1">
        <v>1</v>
      </c>
      <c r="M3406" s="13">
        <v>2092.15</v>
      </c>
      <c r="N3406" s="15">
        <v>0.37</v>
      </c>
      <c r="O3406" s="13">
        <v>1997.2</v>
      </c>
      <c r="P3406" s="13">
        <v>949.86</v>
      </c>
      <c r="Q3406" s="13">
        <v>60.48</v>
      </c>
      <c r="R3406" s="1" t="s">
        <v>78</v>
      </c>
      <c r="S3406" s="1">
        <v>2</v>
      </c>
      <c r="T3406" s="1" t="b">
        <v>1</v>
      </c>
      <c r="U3406" s="1" t="s">
        <v>30</v>
      </c>
      <c r="V3406" s="3">
        <v>8</v>
      </c>
    </row>
    <row r="3407" spans="1:22" x14ac:dyDescent="0.3">
      <c r="A3407" s="2" t="s">
        <v>7276</v>
      </c>
      <c r="B3407" s="10">
        <v>43873</v>
      </c>
      <c r="C3407" s="22">
        <v>43873</v>
      </c>
      <c r="D3407" s="1" t="s">
        <v>7277</v>
      </c>
      <c r="E3407" s="1" t="s">
        <v>1638</v>
      </c>
      <c r="F3407" s="1">
        <v>33</v>
      </c>
      <c r="G3407" s="1" t="s">
        <v>24</v>
      </c>
      <c r="H3407" s="1" t="s">
        <v>74</v>
      </c>
      <c r="I3407" s="1" t="s">
        <v>192</v>
      </c>
      <c r="J3407" s="1" t="s">
        <v>37</v>
      </c>
      <c r="K3407" s="1" t="s">
        <v>182</v>
      </c>
      <c r="L3407" s="1">
        <v>4</v>
      </c>
      <c r="M3407" s="13">
        <v>2389.73</v>
      </c>
      <c r="N3407" s="15">
        <v>0.01</v>
      </c>
      <c r="O3407" s="13">
        <v>8141.15</v>
      </c>
      <c r="P3407" s="13">
        <v>3856.93</v>
      </c>
      <c r="Q3407" s="13">
        <v>52.24</v>
      </c>
      <c r="R3407" s="1" t="s">
        <v>51</v>
      </c>
      <c r="S3407" s="1">
        <v>1</v>
      </c>
      <c r="T3407" s="1" t="b">
        <v>1</v>
      </c>
      <c r="U3407" s="1" t="s">
        <v>30</v>
      </c>
      <c r="V3407" s="3">
        <v>4</v>
      </c>
    </row>
    <row r="3408" spans="1:22" x14ac:dyDescent="0.3">
      <c r="A3408" s="2" t="s">
        <v>7278</v>
      </c>
      <c r="B3408" s="10">
        <v>44842</v>
      </c>
      <c r="C3408" s="22">
        <v>44842</v>
      </c>
      <c r="D3408" s="1" t="s">
        <v>7279</v>
      </c>
      <c r="E3408" s="1" t="s">
        <v>185</v>
      </c>
      <c r="F3408" s="1">
        <v>49</v>
      </c>
      <c r="G3408" s="1" t="s">
        <v>68</v>
      </c>
      <c r="H3408" s="1" t="s">
        <v>82</v>
      </c>
      <c r="I3408" s="1" t="s">
        <v>293</v>
      </c>
      <c r="J3408" s="1" t="s">
        <v>76</v>
      </c>
      <c r="K3408" s="1" t="s">
        <v>89</v>
      </c>
      <c r="L3408" s="1">
        <v>9</v>
      </c>
      <c r="M3408" s="13">
        <v>3350.21</v>
      </c>
      <c r="N3408" s="15">
        <v>0.13</v>
      </c>
      <c r="O3408" s="13">
        <v>25300.71</v>
      </c>
      <c r="P3408" s="13">
        <v>10933.1</v>
      </c>
      <c r="Q3408" s="13">
        <v>73.040000000000006</v>
      </c>
      <c r="R3408" s="1" t="s">
        <v>57</v>
      </c>
      <c r="S3408" s="1">
        <v>2</v>
      </c>
      <c r="T3408" s="1" t="b">
        <v>0</v>
      </c>
      <c r="U3408" s="1" t="s">
        <v>39</v>
      </c>
      <c r="V3408" s="3">
        <v>5</v>
      </c>
    </row>
    <row r="3409" spans="1:22" x14ac:dyDescent="0.3">
      <c r="A3409" s="2" t="s">
        <v>7280</v>
      </c>
      <c r="B3409" s="10">
        <v>45364</v>
      </c>
      <c r="C3409" s="22">
        <v>45364</v>
      </c>
      <c r="D3409" s="1" t="s">
        <v>7281</v>
      </c>
      <c r="E3409" s="1" t="s">
        <v>3031</v>
      </c>
      <c r="F3409" s="1">
        <v>40</v>
      </c>
      <c r="G3409" s="1" t="s">
        <v>34</v>
      </c>
      <c r="H3409" s="1" t="s">
        <v>74</v>
      </c>
      <c r="I3409" s="1" t="s">
        <v>136</v>
      </c>
      <c r="J3409" s="1" t="s">
        <v>146</v>
      </c>
      <c r="K3409" s="1" t="s">
        <v>276</v>
      </c>
      <c r="L3409" s="1">
        <v>5</v>
      </c>
      <c r="M3409" s="13">
        <v>11392.54</v>
      </c>
      <c r="N3409" s="15">
        <v>0.06</v>
      </c>
      <c r="O3409" s="13">
        <v>68387.61</v>
      </c>
      <c r="P3409" s="13">
        <v>13710.8</v>
      </c>
      <c r="Q3409" s="13">
        <v>63.48</v>
      </c>
      <c r="R3409" s="1" t="s">
        <v>57</v>
      </c>
      <c r="S3409" s="1">
        <v>5</v>
      </c>
      <c r="T3409" s="1" t="b">
        <v>0</v>
      </c>
      <c r="U3409" s="1" t="s">
        <v>84</v>
      </c>
      <c r="V3409" s="3">
        <v>4</v>
      </c>
    </row>
    <row r="3410" spans="1:22" x14ac:dyDescent="0.3">
      <c r="A3410" s="2" t="s">
        <v>7282</v>
      </c>
      <c r="B3410" s="10">
        <v>44323</v>
      </c>
      <c r="C3410" s="22">
        <v>44323</v>
      </c>
      <c r="D3410" s="1" t="s">
        <v>7283</v>
      </c>
      <c r="E3410" s="1" t="s">
        <v>693</v>
      </c>
      <c r="F3410" s="1">
        <v>20</v>
      </c>
      <c r="G3410" s="1" t="s">
        <v>24</v>
      </c>
      <c r="H3410" s="1" t="s">
        <v>35</v>
      </c>
      <c r="I3410" s="1" t="s">
        <v>49</v>
      </c>
      <c r="J3410" s="1" t="s">
        <v>146</v>
      </c>
      <c r="K3410" s="1" t="s">
        <v>178</v>
      </c>
      <c r="L3410" s="1">
        <v>7</v>
      </c>
      <c r="M3410" s="13">
        <v>9096.84</v>
      </c>
      <c r="N3410" s="15">
        <v>0.3</v>
      </c>
      <c r="O3410" s="13">
        <v>70055.58</v>
      </c>
      <c r="P3410" s="13">
        <v>17866.41</v>
      </c>
      <c r="Q3410" s="13">
        <v>64.48</v>
      </c>
      <c r="R3410" s="1" t="s">
        <v>70</v>
      </c>
      <c r="S3410" s="1">
        <v>3</v>
      </c>
      <c r="T3410" s="1" t="b">
        <v>0</v>
      </c>
      <c r="U3410" s="1" t="s">
        <v>39</v>
      </c>
      <c r="V3410" s="3">
        <v>3</v>
      </c>
    </row>
    <row r="3411" spans="1:22" x14ac:dyDescent="0.3">
      <c r="A3411" s="2" t="s">
        <v>7284</v>
      </c>
      <c r="B3411" s="10">
        <v>45105</v>
      </c>
      <c r="C3411" s="22">
        <v>45105</v>
      </c>
      <c r="D3411" s="1" t="s">
        <v>7285</v>
      </c>
      <c r="E3411" s="1" t="s">
        <v>513</v>
      </c>
      <c r="F3411" s="1">
        <v>33</v>
      </c>
      <c r="G3411" s="1" t="s">
        <v>34</v>
      </c>
      <c r="H3411" s="1" t="s">
        <v>111</v>
      </c>
      <c r="I3411" s="1" t="s">
        <v>121</v>
      </c>
      <c r="J3411" s="1" t="s">
        <v>44</v>
      </c>
      <c r="K3411" s="1" t="s">
        <v>45</v>
      </c>
      <c r="L3411" s="1">
        <v>7</v>
      </c>
      <c r="M3411" s="13">
        <v>20356.98</v>
      </c>
      <c r="N3411" s="15">
        <v>0.35</v>
      </c>
      <c r="O3411" s="13">
        <v>152291.21</v>
      </c>
      <c r="P3411" s="13">
        <v>54665.64</v>
      </c>
      <c r="Q3411" s="13">
        <v>53.58</v>
      </c>
      <c r="R3411" s="1" t="s">
        <v>57</v>
      </c>
      <c r="S3411" s="1">
        <v>3</v>
      </c>
      <c r="T3411" s="1" t="b">
        <v>1</v>
      </c>
      <c r="U3411" s="1" t="s">
        <v>30</v>
      </c>
      <c r="V3411" s="3">
        <v>3</v>
      </c>
    </row>
    <row r="3412" spans="1:22" x14ac:dyDescent="0.3">
      <c r="A3412" s="2" t="s">
        <v>7286</v>
      </c>
      <c r="B3412" s="10">
        <v>45405</v>
      </c>
      <c r="C3412" s="22">
        <v>45405</v>
      </c>
      <c r="D3412" s="1" t="s">
        <v>7287</v>
      </c>
      <c r="E3412" s="1" t="s">
        <v>164</v>
      </c>
      <c r="F3412" s="1">
        <v>-7</v>
      </c>
      <c r="G3412" s="1" t="s">
        <v>391</v>
      </c>
      <c r="H3412" s="1" t="s">
        <v>74</v>
      </c>
      <c r="I3412" s="1" t="s">
        <v>75</v>
      </c>
      <c r="J3412" s="1" t="s">
        <v>37</v>
      </c>
      <c r="K3412" s="1" t="s">
        <v>182</v>
      </c>
      <c r="L3412" s="1">
        <v>3</v>
      </c>
      <c r="M3412" s="13">
        <v>1353.96</v>
      </c>
      <c r="N3412" s="15">
        <v>7.0000000000000007E-2</v>
      </c>
      <c r="O3412" s="13">
        <v>5710.68</v>
      </c>
      <c r="P3412" s="13">
        <v>3585.71</v>
      </c>
      <c r="Q3412" s="13">
        <v>52.08</v>
      </c>
      <c r="R3412" s="1" t="s">
        <v>64</v>
      </c>
      <c r="S3412" s="1">
        <v>3</v>
      </c>
      <c r="T3412" s="1" t="b">
        <v>0</v>
      </c>
      <c r="U3412" s="1" t="s">
        <v>39</v>
      </c>
      <c r="V3412" s="3">
        <v>3</v>
      </c>
    </row>
    <row r="3413" spans="1:22" x14ac:dyDescent="0.3">
      <c r="A3413" s="2" t="s">
        <v>7288</v>
      </c>
      <c r="B3413" s="10">
        <v>44900</v>
      </c>
      <c r="C3413" s="22">
        <v>44900</v>
      </c>
      <c r="D3413" s="1" t="s">
        <v>7289</v>
      </c>
      <c r="E3413" s="1" t="s">
        <v>499</v>
      </c>
      <c r="F3413" s="1">
        <v>47</v>
      </c>
      <c r="G3413" s="1" t="s">
        <v>24</v>
      </c>
      <c r="H3413" s="1" t="s">
        <v>74</v>
      </c>
      <c r="I3413" s="1" t="s">
        <v>192</v>
      </c>
      <c r="J3413" s="1" t="s">
        <v>62</v>
      </c>
      <c r="K3413" s="1" t="s">
        <v>266</v>
      </c>
      <c r="L3413" s="1">
        <v>5</v>
      </c>
      <c r="M3413" s="13">
        <v>284.92</v>
      </c>
      <c r="N3413" s="15">
        <v>0.28999999999999998</v>
      </c>
      <c r="O3413" s="13">
        <v>872.63</v>
      </c>
      <c r="P3413" s="13">
        <v>345.16</v>
      </c>
      <c r="Q3413" s="13">
        <v>60.96</v>
      </c>
      <c r="R3413" s="1" t="s">
        <v>78</v>
      </c>
      <c r="S3413" s="1">
        <v>3</v>
      </c>
      <c r="T3413" s="1" t="b">
        <v>0</v>
      </c>
      <c r="U3413" s="1" t="s">
        <v>39</v>
      </c>
      <c r="V3413" s="3">
        <v>8</v>
      </c>
    </row>
    <row r="3414" spans="1:22" x14ac:dyDescent="0.3">
      <c r="A3414" s="2" t="s">
        <v>7290</v>
      </c>
      <c r="B3414" s="10">
        <v>44819</v>
      </c>
      <c r="C3414" s="22">
        <v>44819</v>
      </c>
      <c r="D3414" s="1" t="s">
        <v>7291</v>
      </c>
      <c r="E3414" s="1" t="s">
        <v>591</v>
      </c>
      <c r="F3414" s="1">
        <v>34</v>
      </c>
      <c r="G3414" s="1" t="s">
        <v>24</v>
      </c>
      <c r="H3414" s="1" t="s">
        <v>25</v>
      </c>
      <c r="I3414" s="1" t="s">
        <v>170</v>
      </c>
      <c r="J3414" s="1" t="s">
        <v>27</v>
      </c>
      <c r="K3414" s="1" t="s">
        <v>400</v>
      </c>
      <c r="L3414" s="1">
        <v>4</v>
      </c>
      <c r="M3414" s="13">
        <v>225.27</v>
      </c>
      <c r="N3414" s="15">
        <v>0.34</v>
      </c>
      <c r="O3414" s="13">
        <v>633.98</v>
      </c>
      <c r="P3414" s="13">
        <v>41.18</v>
      </c>
      <c r="Q3414" s="13">
        <v>44.3</v>
      </c>
      <c r="R3414" s="1" t="s">
        <v>29</v>
      </c>
      <c r="S3414" s="1">
        <v>4</v>
      </c>
      <c r="T3414" s="1" t="b">
        <v>1</v>
      </c>
      <c r="U3414" s="1" t="s">
        <v>30</v>
      </c>
      <c r="V3414" s="3">
        <v>9</v>
      </c>
    </row>
    <row r="3415" spans="1:22" x14ac:dyDescent="0.3">
      <c r="A3415" s="2" t="s">
        <v>7292</v>
      </c>
      <c r="B3415" s="10">
        <v>45365</v>
      </c>
      <c r="C3415" s="22">
        <v>45365</v>
      </c>
      <c r="D3415" s="1" t="s">
        <v>7293</v>
      </c>
      <c r="E3415" s="1" t="s">
        <v>1550</v>
      </c>
      <c r="F3415" s="1">
        <v>49</v>
      </c>
      <c r="G3415" s="1" t="s">
        <v>68</v>
      </c>
      <c r="H3415" s="1" t="s">
        <v>35</v>
      </c>
      <c r="I3415" s="1" t="s">
        <v>36</v>
      </c>
      <c r="J3415" s="1" t="s">
        <v>27</v>
      </c>
      <c r="K3415" s="1" t="s">
        <v>450</v>
      </c>
      <c r="L3415" s="1">
        <v>10</v>
      </c>
      <c r="M3415" s="13">
        <v>360.93</v>
      </c>
      <c r="N3415" s="15">
        <v>0.14000000000000001</v>
      </c>
      <c r="O3415" s="13">
        <v>4159.76</v>
      </c>
      <c r="P3415" s="13">
        <v>343.41</v>
      </c>
      <c r="Q3415" s="13">
        <v>73.41</v>
      </c>
      <c r="R3415" s="1" t="s">
        <v>70</v>
      </c>
      <c r="S3415" s="1">
        <v>1</v>
      </c>
      <c r="T3415" s="1" t="b">
        <v>0</v>
      </c>
      <c r="U3415" s="1" t="s">
        <v>39</v>
      </c>
      <c r="V3415" s="3">
        <v>5</v>
      </c>
    </row>
    <row r="3416" spans="1:22" x14ac:dyDescent="0.3">
      <c r="A3416" s="2" t="s">
        <v>7294</v>
      </c>
      <c r="B3416" s="10">
        <v>44180</v>
      </c>
      <c r="C3416" s="22">
        <v>44180</v>
      </c>
      <c r="D3416" s="1" t="s">
        <v>7295</v>
      </c>
      <c r="E3416" s="1" t="s">
        <v>418</v>
      </c>
      <c r="F3416" s="1">
        <v>31</v>
      </c>
      <c r="G3416" s="1" t="s">
        <v>68</v>
      </c>
      <c r="H3416" s="1" t="s">
        <v>35</v>
      </c>
      <c r="I3416" s="1" t="s">
        <v>106</v>
      </c>
      <c r="J3416" s="1" t="s">
        <v>44</v>
      </c>
      <c r="K3416" s="1" t="s">
        <v>50</v>
      </c>
      <c r="L3416" s="1">
        <v>8</v>
      </c>
      <c r="M3416" s="13">
        <v>24311.3</v>
      </c>
      <c r="N3416" s="15">
        <v>0.16</v>
      </c>
      <c r="O3416" s="13">
        <v>113486.89</v>
      </c>
      <c r="P3416" s="13">
        <v>33354.080000000002</v>
      </c>
      <c r="Q3416" s="13">
        <v>85.08</v>
      </c>
      <c r="R3416" s="1" t="s">
        <v>29</v>
      </c>
      <c r="S3416" s="1">
        <v>5</v>
      </c>
      <c r="T3416" s="1" t="b">
        <v>0</v>
      </c>
      <c r="U3416" s="1" t="s">
        <v>39</v>
      </c>
      <c r="V3416" s="3">
        <v>6</v>
      </c>
    </row>
    <row r="3417" spans="1:22" x14ac:dyDescent="0.3">
      <c r="A3417" s="2" t="s">
        <v>7296</v>
      </c>
      <c r="B3417" s="10">
        <v>45074</v>
      </c>
      <c r="C3417" s="22">
        <v>45074</v>
      </c>
      <c r="D3417" s="1" t="s">
        <v>7297</v>
      </c>
      <c r="E3417" s="1" t="s">
        <v>735</v>
      </c>
      <c r="F3417" s="1">
        <v>62</v>
      </c>
      <c r="G3417" s="1" t="s">
        <v>34</v>
      </c>
      <c r="H3417" s="1" t="s">
        <v>82</v>
      </c>
      <c r="I3417" s="1" t="s">
        <v>126</v>
      </c>
      <c r="J3417" s="1" t="s">
        <v>44</v>
      </c>
      <c r="K3417" s="1" t="s">
        <v>93</v>
      </c>
      <c r="L3417" s="1">
        <v>5</v>
      </c>
      <c r="M3417" s="13">
        <v>19873.59</v>
      </c>
      <c r="N3417" s="15">
        <v>0.26</v>
      </c>
      <c r="O3417" s="13">
        <v>109991.48</v>
      </c>
      <c r="P3417" s="13">
        <v>39055.480000000003</v>
      </c>
      <c r="Q3417" s="13">
        <v>94.68</v>
      </c>
      <c r="R3417" s="1" t="s">
        <v>57</v>
      </c>
      <c r="S3417" s="1">
        <v>1</v>
      </c>
      <c r="T3417" s="1" t="b">
        <v>0</v>
      </c>
      <c r="U3417" s="1" t="s">
        <v>39</v>
      </c>
      <c r="V3417" s="3">
        <v>5</v>
      </c>
    </row>
    <row r="3418" spans="1:22" x14ac:dyDescent="0.3">
      <c r="A3418" s="2" t="s">
        <v>7298</v>
      </c>
      <c r="B3418" s="10">
        <v>45128</v>
      </c>
      <c r="C3418" s="22">
        <v>45128</v>
      </c>
      <c r="D3418" s="1" t="s">
        <v>7299</v>
      </c>
      <c r="E3418" s="1" t="s">
        <v>1091</v>
      </c>
      <c r="F3418" s="1">
        <v>23</v>
      </c>
      <c r="G3418" s="1" t="s">
        <v>34</v>
      </c>
      <c r="H3418" s="1" t="s">
        <v>25</v>
      </c>
      <c r="I3418" s="1" t="s">
        <v>26</v>
      </c>
      <c r="J3418" s="1" t="s">
        <v>127</v>
      </c>
      <c r="K3418" s="1" t="s">
        <v>196</v>
      </c>
      <c r="L3418" s="1">
        <v>4</v>
      </c>
      <c r="M3418" s="13">
        <v>45542.32</v>
      </c>
      <c r="N3418" s="15">
        <v>0.34</v>
      </c>
      <c r="O3418" s="13">
        <v>140619.38</v>
      </c>
      <c r="P3418" s="13">
        <v>17512.78</v>
      </c>
      <c r="Q3418" s="13">
        <v>87.15</v>
      </c>
      <c r="R3418" s="1" t="s">
        <v>70</v>
      </c>
      <c r="S3418" s="1">
        <v>4</v>
      </c>
      <c r="T3418" s="1" t="b">
        <v>0</v>
      </c>
      <c r="U3418" s="1" t="s">
        <v>39</v>
      </c>
      <c r="V3418" s="3">
        <v>6</v>
      </c>
    </row>
    <row r="3419" spans="1:22" x14ac:dyDescent="0.3">
      <c r="A3419" s="2" t="s">
        <v>7300</v>
      </c>
      <c r="B3419" s="10">
        <v>45093</v>
      </c>
      <c r="C3419" s="22">
        <v>45093</v>
      </c>
      <c r="D3419" s="1" t="s">
        <v>7301</v>
      </c>
      <c r="E3419" s="1" t="s">
        <v>378</v>
      </c>
      <c r="F3419" s="1">
        <v>45</v>
      </c>
      <c r="G3419" s="1" t="s">
        <v>68</v>
      </c>
      <c r="H3419" s="1" t="s">
        <v>25</v>
      </c>
      <c r="I3419" s="1" t="s">
        <v>69</v>
      </c>
      <c r="J3419" s="1" t="s">
        <v>76</v>
      </c>
      <c r="K3419" s="1" t="s">
        <v>89</v>
      </c>
      <c r="L3419" s="1">
        <v>6</v>
      </c>
      <c r="M3419" s="13">
        <v>1810.84</v>
      </c>
      <c r="N3419" s="15">
        <v>0.19</v>
      </c>
      <c r="O3419" s="13">
        <v>14264.78</v>
      </c>
      <c r="P3419" s="13">
        <v>6053.77</v>
      </c>
      <c r="Q3419" s="13">
        <v>49.04</v>
      </c>
      <c r="R3419" s="1" t="s">
        <v>51</v>
      </c>
      <c r="S3419" s="1">
        <v>4</v>
      </c>
      <c r="T3419" s="1" t="b">
        <v>0</v>
      </c>
      <c r="U3419" s="1" t="s">
        <v>39</v>
      </c>
      <c r="V3419" s="3">
        <v>8</v>
      </c>
    </row>
    <row r="3420" spans="1:22" x14ac:dyDescent="0.3">
      <c r="A3420" s="2" t="s">
        <v>7302</v>
      </c>
      <c r="B3420" s="10">
        <v>45270</v>
      </c>
      <c r="C3420" s="22">
        <v>45270</v>
      </c>
      <c r="D3420" s="1" t="s">
        <v>7303</v>
      </c>
      <c r="E3420" s="1" t="s">
        <v>1612</v>
      </c>
      <c r="F3420" s="1">
        <v>36</v>
      </c>
      <c r="G3420" s="1" t="s">
        <v>34</v>
      </c>
      <c r="H3420" s="1" t="s">
        <v>25</v>
      </c>
      <c r="I3420" s="1" t="s">
        <v>170</v>
      </c>
      <c r="J3420" s="1" t="s">
        <v>62</v>
      </c>
      <c r="K3420" s="1" t="s">
        <v>151</v>
      </c>
      <c r="L3420" s="1">
        <v>5</v>
      </c>
      <c r="M3420" s="13">
        <v>1477.84</v>
      </c>
      <c r="N3420" s="15">
        <v>0.14000000000000001</v>
      </c>
      <c r="O3420" s="13">
        <v>6011.52</v>
      </c>
      <c r="P3420" s="13">
        <v>2592.23</v>
      </c>
      <c r="Q3420" s="13">
        <v>63.2</v>
      </c>
      <c r="R3420" s="1" t="s">
        <v>57</v>
      </c>
      <c r="S3420" s="1">
        <v>3</v>
      </c>
      <c r="T3420" s="1" t="b">
        <v>0</v>
      </c>
      <c r="U3420" s="1" t="s">
        <v>39</v>
      </c>
      <c r="V3420" s="3">
        <v>1</v>
      </c>
    </row>
    <row r="3421" spans="1:22" x14ac:dyDescent="0.3">
      <c r="A3421" s="2" t="s">
        <v>7304</v>
      </c>
      <c r="B3421" s="10">
        <v>44967</v>
      </c>
      <c r="C3421" s="22">
        <v>44967</v>
      </c>
      <c r="D3421" s="1" t="s">
        <v>7305</v>
      </c>
      <c r="E3421" s="1" t="s">
        <v>96</v>
      </c>
      <c r="F3421" s="1">
        <v>39</v>
      </c>
      <c r="G3421" s="1" t="s">
        <v>68</v>
      </c>
      <c r="H3421" s="1" t="s">
        <v>35</v>
      </c>
      <c r="I3421" s="1" t="s">
        <v>106</v>
      </c>
      <c r="J3421" s="1" t="s">
        <v>37</v>
      </c>
      <c r="K3421" s="1" t="s">
        <v>671</v>
      </c>
      <c r="L3421" s="1">
        <v>5</v>
      </c>
      <c r="M3421" s="13">
        <v>1976.24</v>
      </c>
      <c r="N3421" s="15">
        <v>0.28000000000000003</v>
      </c>
      <c r="O3421" s="13">
        <v>7356.77</v>
      </c>
      <c r="P3421" s="13">
        <v>2566.15</v>
      </c>
      <c r="Q3421" s="13">
        <v>88.96</v>
      </c>
      <c r="R3421" s="1" t="s">
        <v>57</v>
      </c>
      <c r="S3421" s="1">
        <v>4</v>
      </c>
      <c r="T3421" s="1" t="b">
        <v>0</v>
      </c>
      <c r="U3421" s="1" t="s">
        <v>1411</v>
      </c>
      <c r="V3421" s="3">
        <v>9</v>
      </c>
    </row>
    <row r="3422" spans="1:22" x14ac:dyDescent="0.3">
      <c r="A3422" s="2" t="s">
        <v>7306</v>
      </c>
      <c r="B3422" s="10">
        <v>44713</v>
      </c>
      <c r="C3422" s="22">
        <v>44713</v>
      </c>
      <c r="D3422" s="1" t="s">
        <v>7307</v>
      </c>
      <c r="E3422" s="1" t="s">
        <v>329</v>
      </c>
      <c r="F3422" s="1">
        <v>37</v>
      </c>
      <c r="G3422" s="1" t="s">
        <v>68</v>
      </c>
      <c r="H3422" s="1" t="s">
        <v>111</v>
      </c>
      <c r="I3422" s="1" t="s">
        <v>141</v>
      </c>
      <c r="J3422" s="1" t="s">
        <v>27</v>
      </c>
      <c r="K3422" s="1" t="s">
        <v>28</v>
      </c>
      <c r="L3422" s="1">
        <v>1</v>
      </c>
      <c r="M3422" s="13">
        <v>118.1</v>
      </c>
      <c r="N3422" s="15">
        <v>0.08</v>
      </c>
      <c r="O3422" s="13">
        <v>173.91</v>
      </c>
      <c r="P3422" s="13">
        <v>11.76</v>
      </c>
      <c r="Q3422" s="13">
        <v>102.62</v>
      </c>
      <c r="R3422" s="1" t="s">
        <v>51</v>
      </c>
      <c r="S3422" s="1">
        <v>3</v>
      </c>
      <c r="T3422" s="1" t="b">
        <v>0</v>
      </c>
      <c r="U3422" s="1" t="s">
        <v>39</v>
      </c>
      <c r="V3422" s="3">
        <v>3</v>
      </c>
    </row>
    <row r="3423" spans="1:22" x14ac:dyDescent="0.3">
      <c r="A3423" s="2" t="s">
        <v>7308</v>
      </c>
      <c r="B3423" s="10">
        <v>43922</v>
      </c>
      <c r="C3423" s="22">
        <v>43922</v>
      </c>
      <c r="D3423" s="1" t="s">
        <v>7309</v>
      </c>
      <c r="E3423" s="1" t="s">
        <v>1459</v>
      </c>
      <c r="F3423" s="1">
        <v>48</v>
      </c>
      <c r="G3423" s="1" t="s">
        <v>68</v>
      </c>
      <c r="H3423" s="1" t="s">
        <v>74</v>
      </c>
      <c r="I3423" s="1" t="s">
        <v>75</v>
      </c>
      <c r="J3423" s="1" t="s">
        <v>76</v>
      </c>
      <c r="K3423" s="1" t="s">
        <v>207</v>
      </c>
      <c r="L3423" s="1">
        <v>7</v>
      </c>
      <c r="M3423" s="13">
        <v>3924.19</v>
      </c>
      <c r="N3423" s="15">
        <v>0.02</v>
      </c>
      <c r="O3423" s="13">
        <v>29835.57</v>
      </c>
      <c r="P3423" s="13">
        <v>10552.45</v>
      </c>
      <c r="Q3423" s="13">
        <v>38.119999999999997</v>
      </c>
      <c r="R3423" s="1" t="s">
        <v>29</v>
      </c>
      <c r="S3423" s="1">
        <v>5</v>
      </c>
      <c r="T3423" s="1" t="b">
        <v>0</v>
      </c>
      <c r="U3423" s="1" t="s">
        <v>39</v>
      </c>
      <c r="V3423" s="3">
        <v>2</v>
      </c>
    </row>
    <row r="3424" spans="1:22" x14ac:dyDescent="0.3">
      <c r="A3424" s="2" t="s">
        <v>7310</v>
      </c>
      <c r="B3424" s="10">
        <v>44285</v>
      </c>
      <c r="C3424" s="22">
        <v>44285</v>
      </c>
      <c r="D3424" s="1" t="s">
        <v>7311</v>
      </c>
      <c r="E3424" s="1" t="s">
        <v>1047</v>
      </c>
      <c r="F3424" s="1">
        <v>0</v>
      </c>
      <c r="G3424" s="1" t="s">
        <v>34</v>
      </c>
      <c r="H3424" s="1" t="s">
        <v>74</v>
      </c>
      <c r="I3424" s="1" t="s">
        <v>75</v>
      </c>
      <c r="J3424" s="1" t="s">
        <v>146</v>
      </c>
      <c r="K3424" s="1" t="s">
        <v>276</v>
      </c>
      <c r="L3424" s="1">
        <v>4</v>
      </c>
      <c r="M3424" s="13">
        <v>9021.23</v>
      </c>
      <c r="N3424" s="15">
        <v>0.02</v>
      </c>
      <c r="O3424" s="13">
        <v>34898.86</v>
      </c>
      <c r="P3424" s="13">
        <v>8090.36</v>
      </c>
      <c r="Q3424" s="13">
        <v>36.19</v>
      </c>
      <c r="R3424" s="1" t="s">
        <v>64</v>
      </c>
      <c r="S3424" s="1">
        <v>4</v>
      </c>
      <c r="T3424" s="1" t="b">
        <v>0</v>
      </c>
      <c r="U3424" s="1" t="s">
        <v>39</v>
      </c>
      <c r="V3424" s="3">
        <v>1</v>
      </c>
    </row>
    <row r="3425" spans="1:22" x14ac:dyDescent="0.3">
      <c r="A3425" s="2" t="s">
        <v>7312</v>
      </c>
      <c r="B3425" s="10">
        <v>45546</v>
      </c>
      <c r="C3425" s="22">
        <v>45546</v>
      </c>
      <c r="D3425" s="1" t="s">
        <v>7313</v>
      </c>
      <c r="E3425" s="1" t="s">
        <v>1665</v>
      </c>
      <c r="F3425" s="1">
        <v>42</v>
      </c>
      <c r="G3425" s="1" t="s">
        <v>24</v>
      </c>
      <c r="H3425" s="1" t="s">
        <v>25</v>
      </c>
      <c r="I3425" s="1" t="s">
        <v>170</v>
      </c>
      <c r="J3425" s="1" t="s">
        <v>44</v>
      </c>
      <c r="K3425" s="1" t="s">
        <v>93</v>
      </c>
      <c r="L3425" s="1">
        <v>10</v>
      </c>
      <c r="M3425" s="13">
        <v>28835.81</v>
      </c>
      <c r="N3425" s="15">
        <v>0.22</v>
      </c>
      <c r="O3425" s="13">
        <v>303195.21999999997</v>
      </c>
      <c r="P3425" s="13">
        <v>85826.18</v>
      </c>
      <c r="Q3425" s="13">
        <v>55.16</v>
      </c>
      <c r="R3425" s="1" t="s">
        <v>78</v>
      </c>
      <c r="S3425" s="1">
        <v>2</v>
      </c>
      <c r="T3425" s="1" t="b">
        <v>1</v>
      </c>
      <c r="U3425" s="1" t="s">
        <v>30</v>
      </c>
      <c r="V3425" s="3">
        <v>3</v>
      </c>
    </row>
    <row r="3426" spans="1:22" x14ac:dyDescent="0.3">
      <c r="A3426" s="2" t="s">
        <v>7314</v>
      </c>
      <c r="B3426" s="10">
        <v>45011</v>
      </c>
      <c r="C3426" s="22">
        <v>45011</v>
      </c>
      <c r="D3426" s="1" t="s">
        <v>3485</v>
      </c>
      <c r="E3426" s="1" t="s">
        <v>611</v>
      </c>
      <c r="F3426" s="1">
        <v>41</v>
      </c>
      <c r="G3426" s="1" t="s">
        <v>391</v>
      </c>
      <c r="H3426" s="1" t="s">
        <v>82</v>
      </c>
      <c r="I3426" s="1" t="s">
        <v>293</v>
      </c>
      <c r="J3426" s="1" t="s">
        <v>127</v>
      </c>
      <c r="K3426" s="1" t="s">
        <v>142</v>
      </c>
      <c r="L3426" s="1">
        <v>10</v>
      </c>
      <c r="M3426" s="13">
        <v>66216.179999999993</v>
      </c>
      <c r="N3426" s="15">
        <v>0.12</v>
      </c>
      <c r="O3426" s="13">
        <v>680923.78</v>
      </c>
      <c r="P3426" s="13">
        <v>34980.089999999997</v>
      </c>
      <c r="Q3426" s="13">
        <v>97.06</v>
      </c>
      <c r="R3426" s="1" t="s">
        <v>64</v>
      </c>
      <c r="S3426" s="1">
        <v>4</v>
      </c>
      <c r="T3426" s="1" t="b">
        <v>0</v>
      </c>
      <c r="U3426" s="1" t="s">
        <v>39</v>
      </c>
      <c r="V3426" s="3">
        <v>5</v>
      </c>
    </row>
    <row r="3427" spans="1:22" x14ac:dyDescent="0.3">
      <c r="A3427" s="2" t="s">
        <v>7315</v>
      </c>
      <c r="B3427" s="10">
        <v>44631</v>
      </c>
      <c r="C3427" s="22">
        <v>44631</v>
      </c>
      <c r="D3427" s="1" t="s">
        <v>7316</v>
      </c>
      <c r="E3427" s="1" t="s">
        <v>213</v>
      </c>
      <c r="F3427" s="1">
        <v>44</v>
      </c>
      <c r="G3427" s="1" t="s">
        <v>24</v>
      </c>
      <c r="H3427" s="1" t="s">
        <v>25</v>
      </c>
      <c r="I3427" s="1" t="s">
        <v>170</v>
      </c>
      <c r="J3427" s="1" t="s">
        <v>127</v>
      </c>
      <c r="K3427" s="1" t="s">
        <v>517</v>
      </c>
      <c r="L3427" s="1">
        <v>7</v>
      </c>
      <c r="M3427" s="13">
        <v>73496.399999999994</v>
      </c>
      <c r="N3427" s="15">
        <v>0.28999999999999998</v>
      </c>
      <c r="O3427" s="13">
        <v>393016.21</v>
      </c>
      <c r="P3427" s="13">
        <v>42248.31</v>
      </c>
      <c r="Q3427" s="13">
        <v>47.62</v>
      </c>
      <c r="R3427" s="1" t="s">
        <v>51</v>
      </c>
      <c r="S3427" s="1">
        <v>2</v>
      </c>
      <c r="T3427" s="1" t="b">
        <v>0</v>
      </c>
      <c r="U3427" s="1" t="s">
        <v>39</v>
      </c>
      <c r="V3427" s="3">
        <v>9</v>
      </c>
    </row>
    <row r="3428" spans="1:22" x14ac:dyDescent="0.3">
      <c r="A3428" s="2" t="s">
        <v>7317</v>
      </c>
      <c r="B3428" s="10">
        <v>44003</v>
      </c>
      <c r="C3428" s="22">
        <v>44003</v>
      </c>
      <c r="D3428" s="1" t="s">
        <v>7318</v>
      </c>
      <c r="E3428" s="1" t="s">
        <v>1535</v>
      </c>
      <c r="F3428" s="1">
        <v>16</v>
      </c>
      <c r="G3428" s="1" t="s">
        <v>68</v>
      </c>
      <c r="H3428" s="1" t="s">
        <v>35</v>
      </c>
      <c r="I3428" s="1" t="s">
        <v>36</v>
      </c>
      <c r="J3428" s="1" t="s">
        <v>44</v>
      </c>
      <c r="K3428" s="1" t="s">
        <v>45</v>
      </c>
      <c r="L3428" s="1">
        <v>2</v>
      </c>
      <c r="M3428" s="13">
        <v>8336.76</v>
      </c>
      <c r="N3428" s="15">
        <v>0.19</v>
      </c>
      <c r="O3428" s="13">
        <v>19728.32</v>
      </c>
      <c r="P3428" s="13">
        <v>5843.93</v>
      </c>
      <c r="Q3428" s="13">
        <v>71.81</v>
      </c>
      <c r="R3428" s="1" t="s">
        <v>70</v>
      </c>
      <c r="S3428" s="1">
        <v>1</v>
      </c>
      <c r="T3428" s="1" t="b">
        <v>0</v>
      </c>
      <c r="U3428" s="1" t="s">
        <v>39</v>
      </c>
      <c r="V3428" s="3">
        <v>2</v>
      </c>
    </row>
    <row r="3429" spans="1:22" x14ac:dyDescent="0.3">
      <c r="A3429" s="2" t="s">
        <v>7319</v>
      </c>
      <c r="B3429" s="10">
        <v>44711</v>
      </c>
      <c r="C3429" s="22">
        <v>44711</v>
      </c>
      <c r="D3429" s="1" t="s">
        <v>1532</v>
      </c>
      <c r="E3429" s="1" t="s">
        <v>1079</v>
      </c>
      <c r="F3429" s="1">
        <v>38</v>
      </c>
      <c r="G3429" s="1" t="s">
        <v>24</v>
      </c>
      <c r="H3429" s="1" t="s">
        <v>111</v>
      </c>
      <c r="I3429" s="1" t="s">
        <v>121</v>
      </c>
      <c r="J3429" s="1" t="s">
        <v>44</v>
      </c>
      <c r="K3429" s="1" t="s">
        <v>50</v>
      </c>
      <c r="L3429" s="1">
        <v>5</v>
      </c>
      <c r="M3429" s="13">
        <v>27081.62</v>
      </c>
      <c r="N3429" s="15">
        <v>0.21</v>
      </c>
      <c r="O3429" s="13">
        <v>31673.81</v>
      </c>
      <c r="P3429" s="13">
        <v>7915.89</v>
      </c>
      <c r="Q3429" s="13">
        <v>55.71</v>
      </c>
      <c r="R3429" s="1" t="s">
        <v>70</v>
      </c>
      <c r="S3429" s="1">
        <v>3</v>
      </c>
      <c r="T3429" s="1" t="b">
        <v>0</v>
      </c>
      <c r="U3429" s="1" t="s">
        <v>39</v>
      </c>
      <c r="V3429" s="3">
        <v>6</v>
      </c>
    </row>
    <row r="3430" spans="1:22" x14ac:dyDescent="0.3">
      <c r="A3430" s="2" t="s">
        <v>7320</v>
      </c>
      <c r="B3430" s="10">
        <v>44534</v>
      </c>
      <c r="C3430" s="22">
        <v>44534</v>
      </c>
      <c r="D3430" s="1" t="s">
        <v>7321</v>
      </c>
      <c r="E3430" s="1" t="s">
        <v>2250</v>
      </c>
      <c r="F3430" s="1">
        <v>26</v>
      </c>
      <c r="G3430" s="1" t="s">
        <v>24</v>
      </c>
      <c r="H3430" s="1" t="s">
        <v>111</v>
      </c>
      <c r="I3430" s="1" t="s">
        <v>121</v>
      </c>
      <c r="J3430" s="1" t="s">
        <v>146</v>
      </c>
      <c r="K3430" s="1" t="s">
        <v>217</v>
      </c>
      <c r="L3430" s="1">
        <v>7</v>
      </c>
      <c r="M3430" s="13">
        <v>8356.94</v>
      </c>
      <c r="N3430" s="15">
        <v>0.39</v>
      </c>
      <c r="O3430" s="13">
        <v>24580.36</v>
      </c>
      <c r="P3430" s="13">
        <v>5738.36</v>
      </c>
      <c r="Q3430" s="13">
        <v>56.15</v>
      </c>
      <c r="R3430" s="1" t="s">
        <v>57</v>
      </c>
      <c r="S3430" s="1">
        <v>5</v>
      </c>
      <c r="T3430" s="1" t="b">
        <v>0</v>
      </c>
      <c r="U3430" s="1" t="s">
        <v>39</v>
      </c>
      <c r="V3430" s="3">
        <v>2</v>
      </c>
    </row>
    <row r="3431" spans="1:22" x14ac:dyDescent="0.3">
      <c r="A3431" s="2" t="s">
        <v>7322</v>
      </c>
      <c r="B3431" s="10">
        <v>44960</v>
      </c>
      <c r="C3431" s="22">
        <v>44960</v>
      </c>
      <c r="D3431" s="1" t="s">
        <v>7323</v>
      </c>
      <c r="E3431" s="1" t="s">
        <v>931</v>
      </c>
      <c r="F3431" s="1">
        <v>40</v>
      </c>
      <c r="G3431" s="1" t="s">
        <v>68</v>
      </c>
      <c r="H3431" s="1" t="s">
        <v>111</v>
      </c>
      <c r="I3431" s="1" t="s">
        <v>141</v>
      </c>
      <c r="J3431" s="1" t="s">
        <v>62</v>
      </c>
      <c r="K3431" s="1" t="s">
        <v>63</v>
      </c>
      <c r="L3431" s="1">
        <v>1</v>
      </c>
      <c r="M3431" s="13">
        <v>355.01</v>
      </c>
      <c r="N3431" s="15">
        <v>0.23</v>
      </c>
      <c r="O3431" s="13">
        <v>284.02</v>
      </c>
      <c r="P3431" s="13">
        <v>130.5</v>
      </c>
      <c r="Q3431" s="13">
        <v>51.82</v>
      </c>
      <c r="R3431" s="1" t="s">
        <v>51</v>
      </c>
      <c r="S3431" s="1">
        <v>1</v>
      </c>
      <c r="T3431" s="1" t="b">
        <v>0</v>
      </c>
      <c r="U3431" s="1" t="s">
        <v>39</v>
      </c>
      <c r="V3431" s="3">
        <v>7</v>
      </c>
    </row>
    <row r="3432" spans="1:22" x14ac:dyDescent="0.3">
      <c r="A3432" s="2" t="s">
        <v>7324</v>
      </c>
      <c r="B3432" s="10">
        <v>44371</v>
      </c>
      <c r="C3432" s="22">
        <v>44371</v>
      </c>
      <c r="D3432" s="1" t="s">
        <v>7325</v>
      </c>
      <c r="E3432" s="1" t="s">
        <v>611</v>
      </c>
      <c r="F3432" s="1">
        <v>39</v>
      </c>
      <c r="G3432" s="1" t="s">
        <v>24</v>
      </c>
      <c r="H3432" s="1" t="s">
        <v>35</v>
      </c>
      <c r="I3432" s="1" t="s">
        <v>43</v>
      </c>
      <c r="J3432" s="1" t="s">
        <v>37</v>
      </c>
      <c r="K3432" s="1" t="s">
        <v>671</v>
      </c>
      <c r="L3432" s="1">
        <v>7</v>
      </c>
      <c r="M3432" s="13">
        <v>1377.5</v>
      </c>
      <c r="N3432" s="15">
        <v>0.18</v>
      </c>
      <c r="O3432" s="13">
        <v>9978.14</v>
      </c>
      <c r="P3432" s="13">
        <v>3493.6</v>
      </c>
      <c r="Q3432" s="13">
        <v>34.58</v>
      </c>
      <c r="R3432" s="1" t="s">
        <v>51</v>
      </c>
      <c r="S3432" s="1">
        <v>4</v>
      </c>
      <c r="T3432" s="1" t="b">
        <v>0</v>
      </c>
      <c r="U3432" s="1" t="s">
        <v>39</v>
      </c>
      <c r="V3432" s="3">
        <v>6</v>
      </c>
    </row>
    <row r="3433" spans="1:22" x14ac:dyDescent="0.3">
      <c r="A3433" s="2" t="s">
        <v>7326</v>
      </c>
      <c r="B3433" s="10">
        <v>44855</v>
      </c>
      <c r="C3433" s="22">
        <v>44855</v>
      </c>
      <c r="D3433" s="1" t="s">
        <v>7327</v>
      </c>
      <c r="E3433" s="1" t="s">
        <v>547</v>
      </c>
      <c r="F3433" s="1">
        <v>6</v>
      </c>
      <c r="G3433" s="1" t="s">
        <v>68</v>
      </c>
      <c r="H3433" s="1" t="s">
        <v>82</v>
      </c>
      <c r="I3433" s="1" t="s">
        <v>244</v>
      </c>
      <c r="J3433" s="1" t="s">
        <v>127</v>
      </c>
      <c r="K3433" s="1" t="s">
        <v>517</v>
      </c>
      <c r="L3433" s="1">
        <v>3</v>
      </c>
      <c r="M3433" s="13">
        <v>37130.620000000003</v>
      </c>
      <c r="N3433" s="15">
        <v>0.18</v>
      </c>
      <c r="O3433" s="13">
        <v>79107.61</v>
      </c>
      <c r="P3433" s="13">
        <v>8678.14</v>
      </c>
      <c r="Q3433" s="13">
        <v>66.27</v>
      </c>
      <c r="R3433" s="1" t="s">
        <v>57</v>
      </c>
      <c r="S3433" s="1">
        <v>5</v>
      </c>
      <c r="T3433" s="1" t="b">
        <v>0</v>
      </c>
      <c r="U3433" s="1" t="s">
        <v>1411</v>
      </c>
      <c r="V3433" s="3">
        <v>8</v>
      </c>
    </row>
    <row r="3434" spans="1:22" x14ac:dyDescent="0.3">
      <c r="A3434" s="2" t="s">
        <v>7328</v>
      </c>
      <c r="B3434" s="10">
        <v>44038</v>
      </c>
      <c r="C3434" s="22">
        <v>44038</v>
      </c>
      <c r="D3434" s="1" t="s">
        <v>7329</v>
      </c>
      <c r="E3434" s="1" t="s">
        <v>1447</v>
      </c>
      <c r="F3434" s="1">
        <v>47</v>
      </c>
      <c r="G3434" s="1" t="s">
        <v>24</v>
      </c>
      <c r="H3434" s="1" t="s">
        <v>82</v>
      </c>
      <c r="I3434" s="1" t="s">
        <v>83</v>
      </c>
      <c r="J3434" s="1" t="s">
        <v>62</v>
      </c>
      <c r="K3434" s="1" t="s">
        <v>151</v>
      </c>
      <c r="L3434" s="1">
        <v>8</v>
      </c>
      <c r="M3434" s="13">
        <v>744.9</v>
      </c>
      <c r="N3434" s="15">
        <v>0.28000000000000003</v>
      </c>
      <c r="O3434" s="13">
        <v>6083.41</v>
      </c>
      <c r="P3434" s="13">
        <v>2337.37</v>
      </c>
      <c r="Q3434" s="13">
        <v>84.44</v>
      </c>
      <c r="R3434" s="1" t="s">
        <v>29</v>
      </c>
      <c r="S3434" s="1">
        <v>2</v>
      </c>
      <c r="T3434" s="1" t="b">
        <v>0</v>
      </c>
      <c r="U3434" s="1" t="s">
        <v>39</v>
      </c>
      <c r="V3434" s="3">
        <v>100</v>
      </c>
    </row>
    <row r="3435" spans="1:22" x14ac:dyDescent="0.3">
      <c r="A3435" s="2" t="s">
        <v>7330</v>
      </c>
      <c r="B3435" s="10">
        <v>45562</v>
      </c>
      <c r="C3435" s="22">
        <v>45562</v>
      </c>
      <c r="D3435" s="1" t="s">
        <v>1649</v>
      </c>
      <c r="E3435" s="1" t="s">
        <v>1039</v>
      </c>
      <c r="F3435" s="1">
        <v>30</v>
      </c>
      <c r="G3435" s="1" t="s">
        <v>34</v>
      </c>
      <c r="H3435" s="1" t="s">
        <v>25</v>
      </c>
      <c r="I3435" s="1" t="s">
        <v>69</v>
      </c>
      <c r="J3435" s="1" t="s">
        <v>127</v>
      </c>
      <c r="K3435" s="1" t="s">
        <v>196</v>
      </c>
      <c r="L3435" s="1">
        <v>8</v>
      </c>
      <c r="M3435" s="13">
        <v>62831.199999999997</v>
      </c>
      <c r="N3435" s="15">
        <v>0.12</v>
      </c>
      <c r="O3435" s="13">
        <v>537551.85</v>
      </c>
      <c r="P3435" s="13">
        <v>74470.320000000007</v>
      </c>
      <c r="Q3435" s="13">
        <v>76.77</v>
      </c>
      <c r="R3435" s="1" t="s">
        <v>70</v>
      </c>
      <c r="S3435" s="1">
        <v>3</v>
      </c>
      <c r="T3435" s="1" t="b">
        <v>0</v>
      </c>
      <c r="U3435" s="1" t="s">
        <v>39</v>
      </c>
      <c r="V3435" s="3">
        <v>3</v>
      </c>
    </row>
    <row r="3436" spans="1:22" x14ac:dyDescent="0.3">
      <c r="A3436" s="2" t="s">
        <v>7331</v>
      </c>
      <c r="B3436" s="10">
        <v>44223</v>
      </c>
      <c r="C3436" s="22">
        <v>44223</v>
      </c>
      <c r="D3436" s="1" t="s">
        <v>7332</v>
      </c>
      <c r="E3436" s="1" t="s">
        <v>1079</v>
      </c>
      <c r="F3436" s="1">
        <v>20</v>
      </c>
      <c r="G3436" s="1" t="s">
        <v>68</v>
      </c>
      <c r="H3436" s="1" t="s">
        <v>25</v>
      </c>
      <c r="I3436" s="1" t="s">
        <v>69</v>
      </c>
      <c r="J3436" s="1" t="s">
        <v>127</v>
      </c>
      <c r="K3436" s="1" t="s">
        <v>171</v>
      </c>
      <c r="L3436" s="1">
        <v>9</v>
      </c>
      <c r="M3436" s="13">
        <v>25178.31</v>
      </c>
      <c r="N3436" s="15">
        <v>0.33</v>
      </c>
      <c r="O3436" s="13">
        <v>123701.67</v>
      </c>
      <c r="P3436" s="13">
        <v>15332.75</v>
      </c>
      <c r="Q3436" s="13">
        <v>39.549999999999997</v>
      </c>
      <c r="R3436" s="1" t="s">
        <v>29</v>
      </c>
      <c r="S3436" s="1">
        <v>4</v>
      </c>
      <c r="T3436" s="1" t="b">
        <v>0</v>
      </c>
      <c r="U3436" s="1" t="s">
        <v>39</v>
      </c>
      <c r="V3436" s="3">
        <v>5</v>
      </c>
    </row>
    <row r="3437" spans="1:22" x14ac:dyDescent="0.3">
      <c r="A3437" s="2" t="s">
        <v>7333</v>
      </c>
      <c r="B3437" s="10">
        <v>44226</v>
      </c>
      <c r="C3437" s="22">
        <v>44226</v>
      </c>
      <c r="D3437" s="1" t="s">
        <v>4393</v>
      </c>
      <c r="E3437" s="1" t="s">
        <v>415</v>
      </c>
      <c r="F3437" s="1">
        <v>46</v>
      </c>
      <c r="G3437" s="1" t="s">
        <v>34</v>
      </c>
      <c r="H3437" s="1" t="s">
        <v>35</v>
      </c>
      <c r="I3437" s="1" t="s">
        <v>106</v>
      </c>
      <c r="J3437" s="1" t="s">
        <v>37</v>
      </c>
      <c r="K3437" s="1" t="s">
        <v>102</v>
      </c>
      <c r="L3437" s="1">
        <v>5</v>
      </c>
      <c r="M3437" s="13">
        <v>1331.3</v>
      </c>
      <c r="N3437" s="15">
        <v>0.28999999999999998</v>
      </c>
      <c r="O3437" s="13">
        <v>698.09</v>
      </c>
      <c r="P3437" s="13">
        <v>283.77</v>
      </c>
      <c r="Q3437" s="13">
        <v>47.57</v>
      </c>
      <c r="R3437" s="1" t="s">
        <v>64</v>
      </c>
      <c r="S3437" s="1">
        <v>2</v>
      </c>
      <c r="T3437" s="1" t="b">
        <v>0</v>
      </c>
      <c r="U3437" s="1" t="s">
        <v>84</v>
      </c>
      <c r="V3437" s="3">
        <v>6</v>
      </c>
    </row>
    <row r="3438" spans="1:22" x14ac:dyDescent="0.3">
      <c r="A3438" s="2" t="s">
        <v>7334</v>
      </c>
      <c r="B3438" s="10">
        <v>44957</v>
      </c>
      <c r="C3438" s="22">
        <v>44957</v>
      </c>
      <c r="D3438" s="1" t="s">
        <v>7335</v>
      </c>
      <c r="E3438" s="1" t="s">
        <v>767</v>
      </c>
      <c r="F3438" s="1">
        <v>34</v>
      </c>
      <c r="G3438" s="1" t="s">
        <v>34</v>
      </c>
      <c r="H3438" s="1" t="s">
        <v>25</v>
      </c>
      <c r="I3438" s="1" t="s">
        <v>26</v>
      </c>
      <c r="J3438" s="1" t="s">
        <v>37</v>
      </c>
      <c r="K3438" s="1" t="s">
        <v>182</v>
      </c>
      <c r="L3438" s="1">
        <v>9</v>
      </c>
      <c r="M3438" s="13">
        <v>1780.34</v>
      </c>
      <c r="N3438" s="15">
        <v>0.22</v>
      </c>
      <c r="O3438" s="13">
        <v>11475.64</v>
      </c>
      <c r="P3438" s="13">
        <v>5187.9399999999996</v>
      </c>
      <c r="Q3438" s="13">
        <v>61.88</v>
      </c>
      <c r="R3438" s="1" t="s">
        <v>57</v>
      </c>
      <c r="S3438" s="1">
        <v>4</v>
      </c>
      <c r="T3438" s="1" t="b">
        <v>1</v>
      </c>
      <c r="U3438" s="1" t="s">
        <v>30</v>
      </c>
      <c r="V3438" s="3">
        <v>1</v>
      </c>
    </row>
    <row r="3439" spans="1:22" x14ac:dyDescent="0.3">
      <c r="A3439" s="2" t="s">
        <v>7336</v>
      </c>
      <c r="B3439" s="10">
        <v>43859</v>
      </c>
      <c r="C3439" s="22">
        <v>43859</v>
      </c>
      <c r="D3439" s="1" t="s">
        <v>7337</v>
      </c>
      <c r="E3439" s="1" t="s">
        <v>406</v>
      </c>
      <c r="F3439" s="1">
        <v>63</v>
      </c>
      <c r="G3439" s="1" t="s">
        <v>68</v>
      </c>
      <c r="H3439" s="1" t="s">
        <v>25</v>
      </c>
      <c r="I3439" s="1" t="s">
        <v>26</v>
      </c>
      <c r="J3439" s="1" t="s">
        <v>76</v>
      </c>
      <c r="K3439" s="1" t="s">
        <v>89</v>
      </c>
      <c r="L3439" s="1">
        <v>8</v>
      </c>
      <c r="M3439" s="13">
        <v>2567.5300000000002</v>
      </c>
      <c r="N3439" s="15">
        <v>0.19</v>
      </c>
      <c r="O3439" s="13">
        <v>11109.98</v>
      </c>
      <c r="P3439" s="13">
        <v>3121.39</v>
      </c>
      <c r="Q3439" s="13">
        <v>65.38</v>
      </c>
      <c r="R3439" s="1" t="s">
        <v>70</v>
      </c>
      <c r="S3439" s="1">
        <v>3</v>
      </c>
      <c r="T3439" s="1" t="b">
        <v>0</v>
      </c>
      <c r="U3439" s="1" t="s">
        <v>39</v>
      </c>
      <c r="V3439" s="3">
        <v>2</v>
      </c>
    </row>
    <row r="3440" spans="1:22" x14ac:dyDescent="0.3">
      <c r="A3440" s="2" t="s">
        <v>7338</v>
      </c>
      <c r="B3440" s="10">
        <v>44066</v>
      </c>
      <c r="C3440" s="22">
        <v>44066</v>
      </c>
      <c r="D3440" s="1" t="s">
        <v>7339</v>
      </c>
      <c r="E3440" s="1" t="s">
        <v>520</v>
      </c>
      <c r="F3440" s="1">
        <v>51</v>
      </c>
      <c r="G3440" s="1" t="s">
        <v>68</v>
      </c>
      <c r="H3440" s="1" t="s">
        <v>74</v>
      </c>
      <c r="I3440" s="1" t="s">
        <v>136</v>
      </c>
      <c r="J3440" s="1" t="s">
        <v>127</v>
      </c>
      <c r="K3440" s="1" t="s">
        <v>171</v>
      </c>
      <c r="L3440" s="1">
        <v>6</v>
      </c>
      <c r="M3440" s="13">
        <v>8931.76</v>
      </c>
      <c r="N3440" s="15">
        <v>0.21</v>
      </c>
      <c r="O3440" s="13">
        <v>55813.62</v>
      </c>
      <c r="P3440" s="13">
        <v>6918.36</v>
      </c>
      <c r="Q3440" s="13">
        <v>70.53</v>
      </c>
      <c r="R3440" s="1" t="s">
        <v>78</v>
      </c>
      <c r="S3440" s="1">
        <v>5</v>
      </c>
      <c r="T3440" s="1" t="b">
        <v>0</v>
      </c>
      <c r="U3440" s="1" t="s">
        <v>1411</v>
      </c>
      <c r="V3440" s="3">
        <v>5</v>
      </c>
    </row>
    <row r="3441" spans="1:22" x14ac:dyDescent="0.3">
      <c r="A3441" s="2" t="s">
        <v>7340</v>
      </c>
      <c r="B3441" s="10">
        <v>45555</v>
      </c>
      <c r="C3441" s="22">
        <v>45555</v>
      </c>
      <c r="D3441" s="1" t="s">
        <v>7341</v>
      </c>
      <c r="E3441" s="1" t="s">
        <v>1079</v>
      </c>
      <c r="F3441" s="1">
        <v>13</v>
      </c>
      <c r="G3441" s="1" t="s">
        <v>68</v>
      </c>
      <c r="H3441" s="1" t="s">
        <v>111</v>
      </c>
      <c r="I3441" s="1" t="s">
        <v>330</v>
      </c>
      <c r="J3441" s="1" t="s">
        <v>76</v>
      </c>
      <c r="K3441" s="1" t="s">
        <v>77</v>
      </c>
      <c r="L3441" s="1">
        <v>2</v>
      </c>
      <c r="M3441" s="13">
        <v>3743.45</v>
      </c>
      <c r="N3441" s="15">
        <v>0.09</v>
      </c>
      <c r="O3441" s="13">
        <v>9311.2199999999993</v>
      </c>
      <c r="P3441" s="13">
        <v>3378.19</v>
      </c>
      <c r="Q3441" s="13">
        <v>53.74</v>
      </c>
      <c r="R3441" s="1" t="s">
        <v>78</v>
      </c>
      <c r="S3441" s="1">
        <v>5</v>
      </c>
      <c r="T3441" s="1" t="b">
        <v>0</v>
      </c>
      <c r="U3441" s="1" t="s">
        <v>39</v>
      </c>
      <c r="V3441" s="3">
        <v>7</v>
      </c>
    </row>
    <row r="3442" spans="1:22" x14ac:dyDescent="0.3">
      <c r="A3442" s="2" t="s">
        <v>7342</v>
      </c>
      <c r="B3442" s="10">
        <v>44919</v>
      </c>
      <c r="C3442" s="22">
        <v>44919</v>
      </c>
      <c r="D3442" s="1" t="s">
        <v>7343</v>
      </c>
      <c r="E3442" s="1" t="s">
        <v>1638</v>
      </c>
      <c r="F3442" s="1">
        <v>27</v>
      </c>
      <c r="G3442" s="1" t="s">
        <v>34</v>
      </c>
      <c r="H3442" s="1" t="s">
        <v>111</v>
      </c>
      <c r="I3442" s="1" t="s">
        <v>112</v>
      </c>
      <c r="J3442" s="1" t="s">
        <v>146</v>
      </c>
      <c r="K3442" s="1" t="s">
        <v>161</v>
      </c>
      <c r="L3442" s="1">
        <v>4</v>
      </c>
      <c r="M3442" s="13">
        <v>10900.56</v>
      </c>
      <c r="N3442" s="15">
        <v>0.12</v>
      </c>
      <c r="O3442" s="13">
        <v>31965.58</v>
      </c>
      <c r="P3442" s="13">
        <v>6315.42</v>
      </c>
      <c r="Q3442" s="13">
        <v>80.650000000000006</v>
      </c>
      <c r="R3442" s="1" t="s">
        <v>78</v>
      </c>
      <c r="S3442" s="1">
        <v>4</v>
      </c>
      <c r="T3442" s="1" t="b">
        <v>0</v>
      </c>
      <c r="U3442" s="1" t="s">
        <v>39</v>
      </c>
      <c r="V3442" s="3">
        <v>4</v>
      </c>
    </row>
    <row r="3443" spans="1:22" x14ac:dyDescent="0.3">
      <c r="A3443" s="2" t="s">
        <v>7344</v>
      </c>
      <c r="B3443" s="10">
        <v>44844</v>
      </c>
      <c r="C3443" s="22">
        <v>44844</v>
      </c>
      <c r="D3443" s="1" t="s">
        <v>7345</v>
      </c>
      <c r="E3443" s="1" t="s">
        <v>230</v>
      </c>
      <c r="F3443" s="1">
        <v>24</v>
      </c>
      <c r="G3443" s="1" t="s">
        <v>24</v>
      </c>
      <c r="H3443" s="1" t="s">
        <v>25</v>
      </c>
      <c r="I3443" s="1" t="s">
        <v>55</v>
      </c>
      <c r="J3443" s="1" t="s">
        <v>44</v>
      </c>
      <c r="K3443" s="1" t="s">
        <v>93</v>
      </c>
      <c r="L3443" s="1">
        <v>3</v>
      </c>
      <c r="M3443" s="13">
        <v>33100.17</v>
      </c>
      <c r="N3443" s="15">
        <v>0.31</v>
      </c>
      <c r="O3443" s="13">
        <v>61633.54</v>
      </c>
      <c r="P3443" s="13">
        <v>15026.15</v>
      </c>
      <c r="Q3443" s="13">
        <v>64.31</v>
      </c>
      <c r="R3443" s="1" t="s">
        <v>78</v>
      </c>
      <c r="S3443" s="1">
        <v>2</v>
      </c>
      <c r="T3443" s="1" t="b">
        <v>1</v>
      </c>
      <c r="U3443" s="1" t="s">
        <v>30</v>
      </c>
      <c r="V3443" s="3">
        <v>8</v>
      </c>
    </row>
    <row r="3444" spans="1:22" x14ac:dyDescent="0.3">
      <c r="A3444" s="2" t="s">
        <v>7346</v>
      </c>
      <c r="B3444" s="10">
        <v>45518</v>
      </c>
      <c r="C3444" s="22">
        <v>45518</v>
      </c>
      <c r="D3444" s="1" t="s">
        <v>7347</v>
      </c>
      <c r="E3444" s="1" t="s">
        <v>1266</v>
      </c>
      <c r="F3444" s="1">
        <v>19</v>
      </c>
      <c r="G3444" s="1" t="s">
        <v>463</v>
      </c>
      <c r="H3444" s="1" t="s">
        <v>82</v>
      </c>
      <c r="I3444" s="1" t="s">
        <v>83</v>
      </c>
      <c r="J3444" s="1" t="s">
        <v>62</v>
      </c>
      <c r="K3444" s="1" t="s">
        <v>266</v>
      </c>
      <c r="L3444" s="1">
        <v>9</v>
      </c>
      <c r="M3444" s="13">
        <v>1454.46</v>
      </c>
      <c r="N3444" s="15">
        <v>0.33</v>
      </c>
      <c r="O3444" s="13">
        <v>12482.39</v>
      </c>
      <c r="P3444" s="13">
        <v>4160.5600000000004</v>
      </c>
      <c r="Q3444" s="13">
        <v>105.23</v>
      </c>
      <c r="R3444" s="1" t="s">
        <v>29</v>
      </c>
      <c r="S3444" s="1">
        <v>3</v>
      </c>
      <c r="T3444" s="1" t="b">
        <v>0</v>
      </c>
      <c r="U3444" s="1" t="s">
        <v>137</v>
      </c>
      <c r="V3444" s="3">
        <v>1</v>
      </c>
    </row>
    <row r="3445" spans="1:22" x14ac:dyDescent="0.3">
      <c r="A3445" s="2" t="s">
        <v>7348</v>
      </c>
      <c r="B3445" s="10">
        <v>43990</v>
      </c>
      <c r="C3445" s="22">
        <v>43990</v>
      </c>
      <c r="D3445" s="1" t="s">
        <v>7349</v>
      </c>
      <c r="E3445" s="1" t="s">
        <v>4150</v>
      </c>
      <c r="F3445" s="1">
        <v>19</v>
      </c>
      <c r="G3445" s="1" t="s">
        <v>34</v>
      </c>
      <c r="H3445" s="1" t="s">
        <v>111</v>
      </c>
      <c r="I3445" s="1" t="s">
        <v>141</v>
      </c>
      <c r="J3445" s="1" t="s">
        <v>127</v>
      </c>
      <c r="K3445" s="1" t="s">
        <v>171</v>
      </c>
      <c r="L3445" s="1">
        <v>9</v>
      </c>
      <c r="M3445" s="13">
        <v>29863.15</v>
      </c>
      <c r="N3445" s="15">
        <v>0.39</v>
      </c>
      <c r="O3445" s="13">
        <v>224550.81</v>
      </c>
      <c r="P3445" s="13">
        <v>26498.37</v>
      </c>
      <c r="Q3445" s="13">
        <v>80.91</v>
      </c>
      <c r="R3445" s="1" t="s">
        <v>51</v>
      </c>
      <c r="S3445" s="1">
        <v>2</v>
      </c>
      <c r="T3445" s="1" t="b">
        <v>0</v>
      </c>
      <c r="U3445" s="1" t="s">
        <v>39</v>
      </c>
      <c r="V3445" s="3">
        <v>8</v>
      </c>
    </row>
    <row r="3446" spans="1:22" x14ac:dyDescent="0.3">
      <c r="A3446" s="2" t="s">
        <v>7350</v>
      </c>
      <c r="B3446" s="10">
        <v>43947</v>
      </c>
      <c r="C3446" s="22">
        <v>43947</v>
      </c>
      <c r="D3446" s="1" t="s">
        <v>7351</v>
      </c>
      <c r="E3446" s="1" t="s">
        <v>2637</v>
      </c>
      <c r="F3446" s="1">
        <v>16</v>
      </c>
      <c r="G3446" s="1" t="s">
        <v>34</v>
      </c>
      <c r="H3446" s="1" t="s">
        <v>111</v>
      </c>
      <c r="I3446" s="1" t="s">
        <v>121</v>
      </c>
      <c r="J3446" s="1" t="s">
        <v>62</v>
      </c>
      <c r="K3446" s="1" t="s">
        <v>151</v>
      </c>
      <c r="L3446" s="1">
        <v>10</v>
      </c>
      <c r="M3446" s="13">
        <v>1159.8399999999999</v>
      </c>
      <c r="N3446" s="15">
        <v>0.23</v>
      </c>
      <c r="O3446" s="13">
        <v>10186.879999999999</v>
      </c>
      <c r="P3446" s="13">
        <v>4652.66</v>
      </c>
      <c r="Q3446" s="13">
        <v>88.51</v>
      </c>
      <c r="R3446" s="1" t="s">
        <v>29</v>
      </c>
      <c r="S3446" s="1">
        <v>5</v>
      </c>
      <c r="T3446" s="1" t="b">
        <v>0</v>
      </c>
      <c r="U3446" s="1" t="s">
        <v>39</v>
      </c>
      <c r="V3446" s="3">
        <v>8</v>
      </c>
    </row>
    <row r="3447" spans="1:22" x14ac:dyDescent="0.3">
      <c r="A3447" s="2" t="s">
        <v>7352</v>
      </c>
      <c r="B3447" s="10">
        <v>44552</v>
      </c>
      <c r="C3447" s="22">
        <v>44552</v>
      </c>
      <c r="D3447" s="1" t="s">
        <v>7353</v>
      </c>
      <c r="E3447" s="1" t="s">
        <v>213</v>
      </c>
      <c r="F3447" s="1">
        <v>27</v>
      </c>
      <c r="G3447" s="1" t="s">
        <v>68</v>
      </c>
      <c r="H3447" s="1" t="s">
        <v>74</v>
      </c>
      <c r="I3447" s="1" t="s">
        <v>75</v>
      </c>
      <c r="J3447" s="1" t="s">
        <v>44</v>
      </c>
      <c r="K3447" s="1" t="s">
        <v>93</v>
      </c>
      <c r="L3447" s="1">
        <v>4</v>
      </c>
      <c r="M3447" s="13">
        <v>17068.97</v>
      </c>
      <c r="N3447" s="15">
        <v>0.24</v>
      </c>
      <c r="O3447" s="13">
        <v>42127.94</v>
      </c>
      <c r="P3447" s="13">
        <v>13207.2</v>
      </c>
      <c r="Q3447" s="13">
        <v>37.21</v>
      </c>
      <c r="R3447" s="1" t="s">
        <v>29</v>
      </c>
      <c r="S3447" s="1">
        <v>4</v>
      </c>
      <c r="T3447" s="1" t="b">
        <v>0</v>
      </c>
      <c r="U3447" s="1" t="s">
        <v>39</v>
      </c>
      <c r="V3447" s="3">
        <v>1</v>
      </c>
    </row>
    <row r="3448" spans="1:22" x14ac:dyDescent="0.3">
      <c r="A3448" s="2" t="s">
        <v>7354</v>
      </c>
      <c r="B3448" s="10">
        <v>44505</v>
      </c>
      <c r="C3448" s="22">
        <v>44505</v>
      </c>
      <c r="D3448" s="1" t="s">
        <v>7355</v>
      </c>
      <c r="E3448" s="1" t="s">
        <v>555</v>
      </c>
      <c r="F3448" s="1">
        <v>39</v>
      </c>
      <c r="G3448" s="1" t="s">
        <v>34</v>
      </c>
      <c r="H3448" s="1" t="s">
        <v>111</v>
      </c>
      <c r="I3448" s="1" t="s">
        <v>330</v>
      </c>
      <c r="J3448" s="1" t="s">
        <v>62</v>
      </c>
      <c r="K3448" s="1" t="s">
        <v>283</v>
      </c>
      <c r="L3448" s="1">
        <v>5</v>
      </c>
      <c r="M3448" s="13">
        <v>550.42999999999995</v>
      </c>
      <c r="N3448" s="15">
        <v>0.3</v>
      </c>
      <c r="O3448" s="13">
        <v>1613.4</v>
      </c>
      <c r="P3448" s="13">
        <v>832.54</v>
      </c>
      <c r="Q3448" s="13">
        <v>75.819999999999993</v>
      </c>
      <c r="R3448" s="1" t="s">
        <v>78</v>
      </c>
      <c r="S3448" s="1">
        <v>2</v>
      </c>
      <c r="T3448" s="1" t="b">
        <v>0</v>
      </c>
      <c r="U3448" s="1" t="s">
        <v>39</v>
      </c>
      <c r="V3448" s="3">
        <v>9</v>
      </c>
    </row>
    <row r="3449" spans="1:22" x14ac:dyDescent="0.3">
      <c r="A3449" s="2" t="s">
        <v>7356</v>
      </c>
      <c r="B3449" s="10">
        <v>45149</v>
      </c>
      <c r="C3449" s="22">
        <v>45149</v>
      </c>
      <c r="D3449" s="1" t="s">
        <v>7357</v>
      </c>
      <c r="E3449" s="1" t="s">
        <v>2752</v>
      </c>
      <c r="F3449" s="1">
        <v>30</v>
      </c>
      <c r="G3449" s="1" t="s">
        <v>34</v>
      </c>
      <c r="H3449" s="1" t="s">
        <v>25</v>
      </c>
      <c r="I3449" s="1" t="s">
        <v>26</v>
      </c>
      <c r="J3449" s="1" t="s">
        <v>127</v>
      </c>
      <c r="K3449" s="1" t="s">
        <v>142</v>
      </c>
      <c r="L3449" s="1">
        <v>5</v>
      </c>
      <c r="M3449" s="13">
        <v>26972.55</v>
      </c>
      <c r="N3449" s="15">
        <v>0.09</v>
      </c>
      <c r="O3449" s="13">
        <v>38990.550000000003</v>
      </c>
      <c r="P3449" s="13">
        <v>5130.8</v>
      </c>
      <c r="Q3449" s="13">
        <v>54.1</v>
      </c>
      <c r="R3449" s="1" t="s">
        <v>29</v>
      </c>
      <c r="S3449" s="1">
        <v>3</v>
      </c>
      <c r="T3449" s="1" t="b">
        <v>0</v>
      </c>
      <c r="U3449" s="1" t="s">
        <v>137</v>
      </c>
      <c r="V3449" s="3">
        <v>2</v>
      </c>
    </row>
    <row r="3450" spans="1:22" x14ac:dyDescent="0.3">
      <c r="A3450" s="2" t="s">
        <v>7358</v>
      </c>
      <c r="B3450" s="10">
        <v>43903</v>
      </c>
      <c r="C3450" s="22">
        <v>43903</v>
      </c>
      <c r="D3450" s="1" t="s">
        <v>7359</v>
      </c>
      <c r="E3450" s="1" t="s">
        <v>1653</v>
      </c>
      <c r="F3450" s="1">
        <v>25</v>
      </c>
      <c r="G3450" s="1" t="s">
        <v>34</v>
      </c>
      <c r="H3450" s="1" t="s">
        <v>82</v>
      </c>
      <c r="I3450" s="1" t="s">
        <v>244</v>
      </c>
      <c r="J3450" s="1" t="s">
        <v>127</v>
      </c>
      <c r="K3450" s="1" t="s">
        <v>142</v>
      </c>
      <c r="L3450" s="1">
        <v>3</v>
      </c>
      <c r="M3450" s="13">
        <v>21835.15</v>
      </c>
      <c r="N3450" s="15">
        <v>0.3</v>
      </c>
      <c r="O3450" s="13">
        <v>48564.04</v>
      </c>
      <c r="P3450" s="13">
        <v>6796.88</v>
      </c>
      <c r="Q3450" s="13">
        <v>108.99</v>
      </c>
      <c r="R3450" s="1" t="s">
        <v>57</v>
      </c>
      <c r="S3450" s="1">
        <v>1</v>
      </c>
      <c r="T3450" s="1" t="b">
        <v>1</v>
      </c>
      <c r="U3450" s="1" t="s">
        <v>30</v>
      </c>
      <c r="V3450" s="3">
        <v>3</v>
      </c>
    </row>
    <row r="3451" spans="1:22" x14ac:dyDescent="0.3">
      <c r="A3451" s="2" t="s">
        <v>7360</v>
      </c>
      <c r="B3451" s="10">
        <v>45452</v>
      </c>
      <c r="C3451" s="22">
        <v>45452</v>
      </c>
      <c r="D3451" s="1" t="s">
        <v>7361</v>
      </c>
      <c r="E3451" s="1" t="s">
        <v>1330</v>
      </c>
      <c r="F3451" s="1">
        <v>44</v>
      </c>
      <c r="G3451" s="1" t="s">
        <v>68</v>
      </c>
      <c r="H3451" s="1" t="s">
        <v>35</v>
      </c>
      <c r="I3451" s="1" t="s">
        <v>106</v>
      </c>
      <c r="J3451" s="1" t="s">
        <v>76</v>
      </c>
      <c r="K3451" s="1" t="s">
        <v>113</v>
      </c>
      <c r="L3451" s="1">
        <v>6</v>
      </c>
      <c r="M3451" s="13">
        <v>3390.52</v>
      </c>
      <c r="N3451" s="15">
        <v>0.34</v>
      </c>
      <c r="O3451" s="13">
        <v>23183.14</v>
      </c>
      <c r="P3451" s="13">
        <v>7689.47</v>
      </c>
      <c r="Q3451" s="13">
        <v>53.24</v>
      </c>
      <c r="R3451" s="1" t="s">
        <v>51</v>
      </c>
      <c r="S3451" s="1">
        <v>1</v>
      </c>
      <c r="T3451" s="1" t="b">
        <v>0</v>
      </c>
      <c r="U3451" s="1" t="s">
        <v>39</v>
      </c>
      <c r="V3451" s="3">
        <v>6</v>
      </c>
    </row>
    <row r="3452" spans="1:22" x14ac:dyDescent="0.3">
      <c r="A3452" s="2" t="s">
        <v>7362</v>
      </c>
      <c r="B3452" s="10">
        <v>45351</v>
      </c>
      <c r="C3452" s="22">
        <v>45351</v>
      </c>
      <c r="D3452" s="1" t="s">
        <v>7363</v>
      </c>
      <c r="E3452" s="1" t="s">
        <v>711</v>
      </c>
      <c r="F3452" s="1">
        <v>34</v>
      </c>
      <c r="G3452" s="1" t="s">
        <v>34</v>
      </c>
      <c r="H3452" s="1" t="s">
        <v>74</v>
      </c>
      <c r="I3452" s="1" t="s">
        <v>75</v>
      </c>
      <c r="J3452" s="1" t="s">
        <v>76</v>
      </c>
      <c r="K3452" s="1" t="s">
        <v>89</v>
      </c>
      <c r="L3452" s="1">
        <v>2</v>
      </c>
      <c r="M3452" s="13">
        <v>1408.43</v>
      </c>
      <c r="N3452" s="15">
        <v>0.15</v>
      </c>
      <c r="O3452" s="13">
        <v>2474.19</v>
      </c>
      <c r="P3452" s="13">
        <v>782.88</v>
      </c>
      <c r="Q3452" s="13">
        <v>66.92</v>
      </c>
      <c r="R3452" s="1" t="s">
        <v>29</v>
      </c>
      <c r="S3452" s="1">
        <v>5</v>
      </c>
      <c r="T3452" s="1" t="b">
        <v>0</v>
      </c>
      <c r="U3452" s="1" t="s">
        <v>39</v>
      </c>
      <c r="V3452" s="3">
        <v>2</v>
      </c>
    </row>
    <row r="3453" spans="1:22" x14ac:dyDescent="0.3">
      <c r="A3453" s="2" t="s">
        <v>7364</v>
      </c>
      <c r="B3453" s="10">
        <v>45524</v>
      </c>
      <c r="C3453" s="22">
        <v>45524</v>
      </c>
      <c r="D3453" s="1" t="s">
        <v>7365</v>
      </c>
      <c r="E3453" s="1" t="s">
        <v>2144</v>
      </c>
      <c r="F3453" s="1">
        <v>47</v>
      </c>
      <c r="G3453" s="1" t="s">
        <v>34</v>
      </c>
      <c r="H3453" s="1" t="s">
        <v>74</v>
      </c>
      <c r="I3453" s="1" t="s">
        <v>75</v>
      </c>
      <c r="J3453" s="1" t="s">
        <v>76</v>
      </c>
      <c r="K3453" s="1" t="s">
        <v>122</v>
      </c>
      <c r="L3453" s="1">
        <v>10</v>
      </c>
      <c r="M3453" s="13">
        <v>3414.65</v>
      </c>
      <c r="N3453" s="15">
        <v>0.11</v>
      </c>
      <c r="O3453" s="13">
        <v>46633.37</v>
      </c>
      <c r="P3453" s="13">
        <v>16823.060000000001</v>
      </c>
      <c r="Q3453" s="13">
        <v>54.44</v>
      </c>
      <c r="R3453" s="1" t="s">
        <v>29</v>
      </c>
      <c r="S3453" s="1">
        <v>1</v>
      </c>
      <c r="T3453" s="1" t="b">
        <v>0</v>
      </c>
      <c r="U3453" s="1" t="s">
        <v>39</v>
      </c>
      <c r="V3453" s="3">
        <v>4</v>
      </c>
    </row>
    <row r="3454" spans="1:22" x14ac:dyDescent="0.3">
      <c r="A3454" s="2" t="s">
        <v>7366</v>
      </c>
      <c r="B3454" s="10">
        <v>44040</v>
      </c>
      <c r="C3454" s="22">
        <v>44040</v>
      </c>
      <c r="D3454" s="1" t="s">
        <v>7367</v>
      </c>
      <c r="E3454" s="1" t="s">
        <v>437</v>
      </c>
      <c r="F3454" s="1">
        <v>0</v>
      </c>
      <c r="G3454" s="1" t="s">
        <v>463</v>
      </c>
      <c r="H3454" s="1" t="s">
        <v>111</v>
      </c>
      <c r="I3454" s="1" t="s">
        <v>121</v>
      </c>
      <c r="J3454" s="1" t="s">
        <v>37</v>
      </c>
      <c r="K3454" s="1" t="s">
        <v>182</v>
      </c>
      <c r="L3454" s="1">
        <v>8</v>
      </c>
      <c r="M3454" s="13">
        <v>2272.77</v>
      </c>
      <c r="N3454" s="15">
        <v>7.0000000000000007E-2</v>
      </c>
      <c r="O3454" s="13">
        <v>19727.54</v>
      </c>
      <c r="P3454" s="13">
        <v>5229.53</v>
      </c>
      <c r="Q3454" s="13">
        <v>85.45</v>
      </c>
      <c r="R3454" s="1" t="s">
        <v>29</v>
      </c>
      <c r="S3454" s="1">
        <v>1</v>
      </c>
      <c r="T3454" s="1" t="b">
        <v>0</v>
      </c>
      <c r="U3454" s="1" t="s">
        <v>137</v>
      </c>
      <c r="V3454" s="3">
        <v>6</v>
      </c>
    </row>
    <row r="3455" spans="1:22" x14ac:dyDescent="0.3">
      <c r="A3455" s="2" t="s">
        <v>7368</v>
      </c>
      <c r="B3455" s="10">
        <v>44228</v>
      </c>
      <c r="C3455" s="22">
        <v>44228</v>
      </c>
      <c r="D3455" s="1" t="s">
        <v>7369</v>
      </c>
      <c r="E3455" s="1" t="s">
        <v>983</v>
      </c>
      <c r="F3455" s="1">
        <v>36</v>
      </c>
      <c r="G3455" s="1" t="s">
        <v>34</v>
      </c>
      <c r="H3455" s="1" t="s">
        <v>111</v>
      </c>
      <c r="I3455" s="1" t="s">
        <v>330</v>
      </c>
      <c r="J3455" s="1" t="s">
        <v>37</v>
      </c>
      <c r="K3455" s="1" t="s">
        <v>231</v>
      </c>
      <c r="L3455" s="1">
        <v>7</v>
      </c>
      <c r="M3455" s="13">
        <v>260.04000000000002</v>
      </c>
      <c r="N3455" s="15">
        <v>0.16</v>
      </c>
      <c r="O3455" s="13">
        <v>1257.5999999999999</v>
      </c>
      <c r="P3455" s="13">
        <v>549.29</v>
      </c>
      <c r="Q3455" s="13">
        <v>93.31</v>
      </c>
      <c r="R3455" s="1" t="s">
        <v>57</v>
      </c>
      <c r="S3455" s="1">
        <v>2</v>
      </c>
      <c r="T3455" s="1" t="b">
        <v>0</v>
      </c>
      <c r="U3455" s="1" t="s">
        <v>197</v>
      </c>
      <c r="V3455" s="3">
        <v>1</v>
      </c>
    </row>
    <row r="3456" spans="1:22" x14ac:dyDescent="0.3">
      <c r="A3456" s="2" t="s">
        <v>7370</v>
      </c>
      <c r="B3456" s="10">
        <v>44811</v>
      </c>
      <c r="C3456" s="22">
        <v>44811</v>
      </c>
      <c r="D3456" s="1" t="s">
        <v>7371</v>
      </c>
      <c r="E3456" s="1" t="s">
        <v>341</v>
      </c>
      <c r="F3456" s="1">
        <v>31</v>
      </c>
      <c r="G3456" s="1" t="s">
        <v>68</v>
      </c>
      <c r="H3456" s="1" t="s">
        <v>111</v>
      </c>
      <c r="I3456" s="1" t="s">
        <v>141</v>
      </c>
      <c r="J3456" s="1" t="s">
        <v>37</v>
      </c>
      <c r="K3456" s="1" t="s">
        <v>182</v>
      </c>
      <c r="L3456" s="1">
        <v>3</v>
      </c>
      <c r="M3456" s="13">
        <v>1422.97</v>
      </c>
      <c r="N3456" s="15">
        <v>0.38</v>
      </c>
      <c r="O3456" s="13">
        <v>2383.6799999999998</v>
      </c>
      <c r="P3456" s="13">
        <v>815.73</v>
      </c>
      <c r="Q3456" s="13">
        <v>65.75</v>
      </c>
      <c r="R3456" s="1" t="s">
        <v>78</v>
      </c>
      <c r="S3456" s="1">
        <v>2</v>
      </c>
      <c r="T3456" s="1" t="b">
        <v>0</v>
      </c>
      <c r="U3456" s="1" t="s">
        <v>39</v>
      </c>
      <c r="V3456" s="3">
        <v>2</v>
      </c>
    </row>
    <row r="3457" spans="1:22" x14ac:dyDescent="0.3">
      <c r="A3457" s="2" t="s">
        <v>7372</v>
      </c>
      <c r="B3457" s="10">
        <v>43913</v>
      </c>
      <c r="C3457" s="22">
        <v>43913</v>
      </c>
      <c r="D3457" s="1" t="s">
        <v>7373</v>
      </c>
      <c r="E3457" s="1" t="s">
        <v>227</v>
      </c>
      <c r="F3457" s="1">
        <v>21</v>
      </c>
      <c r="G3457" s="1" t="s">
        <v>68</v>
      </c>
      <c r="H3457" s="1" t="s">
        <v>25</v>
      </c>
      <c r="I3457" s="1" t="s">
        <v>170</v>
      </c>
      <c r="J3457" s="1" t="s">
        <v>146</v>
      </c>
      <c r="K3457" s="1" t="s">
        <v>178</v>
      </c>
      <c r="L3457" s="1">
        <v>7</v>
      </c>
      <c r="M3457" s="13">
        <v>7173.46</v>
      </c>
      <c r="N3457" s="15">
        <v>0.37</v>
      </c>
      <c r="O3457" s="13">
        <v>38067.279999999999</v>
      </c>
      <c r="P3457" s="13">
        <v>7608.14</v>
      </c>
      <c r="Q3457" s="13">
        <v>52.84</v>
      </c>
      <c r="R3457" s="1" t="s">
        <v>64</v>
      </c>
      <c r="S3457" s="1">
        <v>1</v>
      </c>
      <c r="T3457" s="1" t="b">
        <v>0</v>
      </c>
      <c r="U3457" s="1" t="s">
        <v>137</v>
      </c>
      <c r="V3457" s="3">
        <v>4</v>
      </c>
    </row>
    <row r="3458" spans="1:22" x14ac:dyDescent="0.3">
      <c r="A3458" s="2" t="s">
        <v>7374</v>
      </c>
      <c r="B3458" s="10">
        <v>44781</v>
      </c>
      <c r="C3458" s="22">
        <v>44781</v>
      </c>
      <c r="D3458" s="1" t="s">
        <v>7375</v>
      </c>
      <c r="E3458" s="1" t="s">
        <v>259</v>
      </c>
      <c r="F3458" s="1">
        <v>42</v>
      </c>
      <c r="G3458" s="1" t="s">
        <v>34</v>
      </c>
      <c r="H3458" s="1" t="s">
        <v>35</v>
      </c>
      <c r="I3458" s="1" t="s">
        <v>36</v>
      </c>
      <c r="J3458" s="1" t="s">
        <v>37</v>
      </c>
      <c r="K3458" s="1" t="s">
        <v>182</v>
      </c>
      <c r="L3458" s="1">
        <v>6</v>
      </c>
      <c r="M3458" s="13">
        <v>2467.58</v>
      </c>
      <c r="N3458" s="15">
        <v>0.37</v>
      </c>
      <c r="O3458" s="13">
        <v>12318.96</v>
      </c>
      <c r="P3458" s="13">
        <v>6222.84</v>
      </c>
      <c r="Q3458" s="13">
        <v>67.89</v>
      </c>
      <c r="R3458" s="1" t="s">
        <v>29</v>
      </c>
      <c r="S3458" s="1">
        <v>2</v>
      </c>
      <c r="T3458" s="1" t="b">
        <v>0</v>
      </c>
      <c r="U3458" s="1" t="s">
        <v>39</v>
      </c>
      <c r="V3458" s="3">
        <v>10</v>
      </c>
    </row>
    <row r="3459" spans="1:22" x14ac:dyDescent="0.3">
      <c r="A3459" s="2" t="s">
        <v>7376</v>
      </c>
      <c r="B3459" s="10">
        <v>44901</v>
      </c>
      <c r="C3459" s="22">
        <v>44901</v>
      </c>
      <c r="D3459" s="1" t="s">
        <v>7377</v>
      </c>
      <c r="E3459" s="1" t="s">
        <v>2900</v>
      </c>
      <c r="F3459" s="1">
        <v>42</v>
      </c>
      <c r="G3459" s="1" t="s">
        <v>68</v>
      </c>
      <c r="H3459" s="1" t="s">
        <v>111</v>
      </c>
      <c r="I3459" s="1" t="s">
        <v>112</v>
      </c>
      <c r="J3459" s="1" t="s">
        <v>37</v>
      </c>
      <c r="K3459" s="1" t="s">
        <v>671</v>
      </c>
      <c r="L3459" s="1">
        <v>10</v>
      </c>
      <c r="M3459" s="13">
        <v>412.53</v>
      </c>
      <c r="N3459" s="15">
        <v>0.16</v>
      </c>
      <c r="O3459" s="13">
        <v>2915.31</v>
      </c>
      <c r="P3459" s="13">
        <v>1264.21</v>
      </c>
      <c r="Q3459" s="13">
        <v>48.52</v>
      </c>
      <c r="R3459" s="1" t="s">
        <v>78</v>
      </c>
      <c r="S3459" s="1">
        <v>3</v>
      </c>
      <c r="T3459" s="1" t="b">
        <v>0</v>
      </c>
      <c r="U3459" s="1" t="s">
        <v>39</v>
      </c>
      <c r="V3459" s="3">
        <v>10</v>
      </c>
    </row>
    <row r="3460" spans="1:22" x14ac:dyDescent="0.3">
      <c r="A3460" s="2" t="s">
        <v>7378</v>
      </c>
      <c r="B3460" s="10">
        <v>44494</v>
      </c>
      <c r="C3460" s="22">
        <v>44494</v>
      </c>
      <c r="D3460" s="1" t="s">
        <v>7379</v>
      </c>
      <c r="E3460" s="1" t="s">
        <v>1285</v>
      </c>
      <c r="F3460" s="1">
        <v>38</v>
      </c>
      <c r="G3460" s="1" t="s">
        <v>34</v>
      </c>
      <c r="H3460" s="1" t="s">
        <v>82</v>
      </c>
      <c r="I3460" s="1" t="s">
        <v>293</v>
      </c>
      <c r="J3460" s="1" t="s">
        <v>37</v>
      </c>
      <c r="K3460" s="1" t="s">
        <v>182</v>
      </c>
      <c r="L3460" s="1">
        <v>9</v>
      </c>
      <c r="M3460" s="13">
        <v>2217.37</v>
      </c>
      <c r="N3460" s="15">
        <v>0.4</v>
      </c>
      <c r="O3460" s="13">
        <v>12330.95</v>
      </c>
      <c r="P3460" s="13">
        <v>6416.88</v>
      </c>
      <c r="Q3460" s="13">
        <v>96.41</v>
      </c>
      <c r="R3460" s="1" t="s">
        <v>64</v>
      </c>
      <c r="S3460" s="1">
        <v>4</v>
      </c>
      <c r="T3460" s="1" t="b">
        <v>0</v>
      </c>
      <c r="U3460" s="1" t="s">
        <v>39</v>
      </c>
      <c r="V3460" s="3">
        <v>6</v>
      </c>
    </row>
    <row r="3461" spans="1:22" x14ac:dyDescent="0.3">
      <c r="A3461" s="2" t="s">
        <v>7380</v>
      </c>
      <c r="B3461" s="10">
        <v>44831</v>
      </c>
      <c r="C3461" s="22">
        <v>44831</v>
      </c>
      <c r="D3461" s="1" t="s">
        <v>7381</v>
      </c>
      <c r="E3461" s="1" t="s">
        <v>1996</v>
      </c>
      <c r="F3461" s="1">
        <v>28</v>
      </c>
      <c r="G3461" s="1" t="s">
        <v>24</v>
      </c>
      <c r="H3461" s="1" t="s">
        <v>35</v>
      </c>
      <c r="I3461" s="1" t="s">
        <v>36</v>
      </c>
      <c r="J3461" s="1" t="s">
        <v>127</v>
      </c>
      <c r="K3461" s="1" t="s">
        <v>128</v>
      </c>
      <c r="L3461" s="1">
        <v>9</v>
      </c>
      <c r="M3461" s="13">
        <v>29921.759999999998</v>
      </c>
      <c r="N3461" s="15">
        <v>0.33</v>
      </c>
      <c r="O3461" s="13">
        <v>187176.31</v>
      </c>
      <c r="P3461" s="13">
        <v>25938.95</v>
      </c>
      <c r="Q3461" s="13">
        <v>66.52</v>
      </c>
      <c r="R3461" s="1" t="s">
        <v>29</v>
      </c>
      <c r="S3461" s="1">
        <v>5</v>
      </c>
      <c r="T3461" s="1" t="b">
        <v>0</v>
      </c>
      <c r="U3461" s="1" t="s">
        <v>137</v>
      </c>
      <c r="V3461" s="3">
        <v>8</v>
      </c>
    </row>
    <row r="3462" spans="1:22" x14ac:dyDescent="0.3">
      <c r="A3462" s="2" t="s">
        <v>7382</v>
      </c>
      <c r="B3462" s="10">
        <v>43884</v>
      </c>
      <c r="C3462" s="22">
        <v>43884</v>
      </c>
      <c r="D3462" s="1" t="s">
        <v>7383</v>
      </c>
      <c r="E3462" s="1" t="s">
        <v>412</v>
      </c>
      <c r="F3462" s="1">
        <v>43</v>
      </c>
      <c r="G3462" s="1" t="s">
        <v>24</v>
      </c>
      <c r="H3462" s="1" t="s">
        <v>25</v>
      </c>
      <c r="I3462" s="1" t="s">
        <v>55</v>
      </c>
      <c r="J3462" s="1" t="s">
        <v>62</v>
      </c>
      <c r="K3462" s="1" t="s">
        <v>283</v>
      </c>
      <c r="L3462" s="1">
        <v>3</v>
      </c>
      <c r="M3462" s="13">
        <v>1198.96</v>
      </c>
      <c r="N3462" s="15">
        <v>0.03</v>
      </c>
      <c r="O3462" s="13">
        <v>2966.96</v>
      </c>
      <c r="P3462" s="13">
        <v>747.26</v>
      </c>
      <c r="Q3462" s="13">
        <v>90.86</v>
      </c>
      <c r="R3462" s="1" t="s">
        <v>70</v>
      </c>
      <c r="S3462" s="1">
        <v>3</v>
      </c>
      <c r="T3462" s="1" t="b">
        <v>0</v>
      </c>
      <c r="U3462" s="1" t="s">
        <v>84</v>
      </c>
      <c r="V3462" s="3">
        <v>5</v>
      </c>
    </row>
    <row r="3463" spans="1:22" x14ac:dyDescent="0.3">
      <c r="A3463" s="2" t="s">
        <v>7384</v>
      </c>
      <c r="B3463" s="10">
        <v>45492</v>
      </c>
      <c r="C3463" s="22">
        <v>45492</v>
      </c>
      <c r="D3463" s="1" t="s">
        <v>7385</v>
      </c>
      <c r="E3463" s="1" t="s">
        <v>2030</v>
      </c>
      <c r="F3463" s="1">
        <v>7</v>
      </c>
      <c r="G3463" s="1" t="s">
        <v>68</v>
      </c>
      <c r="H3463" s="1" t="s">
        <v>82</v>
      </c>
      <c r="I3463" s="1" t="s">
        <v>126</v>
      </c>
      <c r="J3463" s="1" t="s">
        <v>37</v>
      </c>
      <c r="K3463" s="1" t="s">
        <v>102</v>
      </c>
      <c r="L3463" s="1">
        <v>6</v>
      </c>
      <c r="M3463" s="13">
        <v>950.46</v>
      </c>
      <c r="N3463" s="15">
        <v>0.22</v>
      </c>
      <c r="O3463" s="13">
        <v>7248.48</v>
      </c>
      <c r="P3463" s="13">
        <v>2666.51</v>
      </c>
      <c r="Q3463" s="13">
        <v>78.97</v>
      </c>
      <c r="R3463" s="1" t="s">
        <v>70</v>
      </c>
      <c r="S3463" s="1">
        <v>3</v>
      </c>
      <c r="T3463" s="1" t="b">
        <v>0</v>
      </c>
      <c r="U3463" s="1" t="s">
        <v>39</v>
      </c>
      <c r="V3463" s="3">
        <v>4</v>
      </c>
    </row>
    <row r="3464" spans="1:22" x14ac:dyDescent="0.3">
      <c r="A3464" s="2" t="s">
        <v>7386</v>
      </c>
      <c r="B3464" s="10">
        <v>45402</v>
      </c>
      <c r="C3464" s="22">
        <v>45402</v>
      </c>
      <c r="D3464" s="1" t="s">
        <v>7387</v>
      </c>
      <c r="E3464" s="1" t="s">
        <v>1015</v>
      </c>
      <c r="F3464" s="1">
        <v>20</v>
      </c>
      <c r="G3464" s="1" t="s">
        <v>34</v>
      </c>
      <c r="H3464" s="1" t="s">
        <v>111</v>
      </c>
      <c r="I3464" s="1" t="s">
        <v>112</v>
      </c>
      <c r="J3464" s="1" t="s">
        <v>44</v>
      </c>
      <c r="K3464" s="1" t="s">
        <v>117</v>
      </c>
      <c r="L3464" s="1">
        <v>4</v>
      </c>
      <c r="M3464" s="13">
        <v>16418.71</v>
      </c>
      <c r="N3464" s="15">
        <v>0.03</v>
      </c>
      <c r="O3464" s="13">
        <v>100198.09</v>
      </c>
      <c r="P3464" s="13">
        <v>29085.63</v>
      </c>
      <c r="Q3464" s="13">
        <v>81.66</v>
      </c>
      <c r="R3464" s="1" t="s">
        <v>57</v>
      </c>
      <c r="S3464" s="1">
        <v>2</v>
      </c>
      <c r="T3464" s="1" t="b">
        <v>0</v>
      </c>
      <c r="U3464" s="1" t="s">
        <v>39</v>
      </c>
      <c r="V3464" s="3">
        <v>5</v>
      </c>
    </row>
    <row r="3465" spans="1:22" x14ac:dyDescent="0.3">
      <c r="A3465" s="2" t="s">
        <v>7388</v>
      </c>
      <c r="B3465" s="10">
        <v>45467</v>
      </c>
      <c r="C3465" s="22">
        <v>45467</v>
      </c>
      <c r="D3465" s="1" t="s">
        <v>7389</v>
      </c>
      <c r="E3465" s="1" t="s">
        <v>1131</v>
      </c>
      <c r="F3465" s="1">
        <v>33</v>
      </c>
      <c r="G3465" s="1" t="s">
        <v>24</v>
      </c>
      <c r="H3465" s="1" t="s">
        <v>25</v>
      </c>
      <c r="I3465" s="1" t="s">
        <v>69</v>
      </c>
      <c r="J3465" s="1" t="s">
        <v>37</v>
      </c>
      <c r="K3465" s="1" t="s">
        <v>231</v>
      </c>
      <c r="L3465" s="1">
        <v>4</v>
      </c>
      <c r="M3465" s="13">
        <v>1104.29</v>
      </c>
      <c r="N3465" s="15">
        <v>0.03</v>
      </c>
      <c r="O3465" s="13">
        <v>7265.19</v>
      </c>
      <c r="P3465" s="13">
        <v>2641.46</v>
      </c>
      <c r="Q3465" s="13">
        <v>62.74</v>
      </c>
      <c r="R3465" s="1" t="s">
        <v>29</v>
      </c>
      <c r="S3465" s="1">
        <v>5</v>
      </c>
      <c r="T3465" s="1" t="b">
        <v>0</v>
      </c>
      <c r="U3465" s="1" t="s">
        <v>137</v>
      </c>
      <c r="V3465" s="3">
        <v>2</v>
      </c>
    </row>
    <row r="3466" spans="1:22" x14ac:dyDescent="0.3">
      <c r="A3466" s="2" t="s">
        <v>7390</v>
      </c>
      <c r="B3466" s="10">
        <v>45179</v>
      </c>
      <c r="C3466" s="22">
        <v>45179</v>
      </c>
      <c r="D3466" s="1" t="s">
        <v>7391</v>
      </c>
      <c r="E3466" s="1" t="s">
        <v>324</v>
      </c>
      <c r="F3466" s="1">
        <v>25</v>
      </c>
      <c r="G3466" s="1" t="s">
        <v>34</v>
      </c>
      <c r="H3466" s="1" t="s">
        <v>111</v>
      </c>
      <c r="I3466" s="1" t="s">
        <v>121</v>
      </c>
      <c r="J3466" s="1" t="s">
        <v>44</v>
      </c>
      <c r="K3466" s="1" t="s">
        <v>117</v>
      </c>
      <c r="L3466" s="1">
        <v>6</v>
      </c>
      <c r="M3466" s="13">
        <v>15400.65</v>
      </c>
      <c r="N3466" s="15">
        <v>0.09</v>
      </c>
      <c r="O3466" s="13">
        <v>99452.17</v>
      </c>
      <c r="P3466" s="13">
        <v>26834.22</v>
      </c>
      <c r="Q3466" s="13">
        <v>79.25</v>
      </c>
      <c r="R3466" s="1" t="s">
        <v>29</v>
      </c>
      <c r="S3466" s="1">
        <v>1</v>
      </c>
      <c r="T3466" s="1" t="b">
        <v>0</v>
      </c>
      <c r="U3466" s="1" t="s">
        <v>84</v>
      </c>
      <c r="V3466" s="3">
        <v>7</v>
      </c>
    </row>
    <row r="3467" spans="1:22" x14ac:dyDescent="0.3">
      <c r="A3467" s="2" t="s">
        <v>7392</v>
      </c>
      <c r="B3467" s="10">
        <v>44651</v>
      </c>
      <c r="C3467" s="22">
        <v>44651</v>
      </c>
      <c r="D3467" s="1" t="s">
        <v>7393</v>
      </c>
      <c r="E3467" s="1" t="s">
        <v>2934</v>
      </c>
      <c r="F3467" s="1">
        <v>35</v>
      </c>
      <c r="G3467" s="1" t="s">
        <v>24</v>
      </c>
      <c r="H3467" s="1" t="s">
        <v>111</v>
      </c>
      <c r="I3467" s="1" t="s">
        <v>141</v>
      </c>
      <c r="J3467" s="1" t="s">
        <v>44</v>
      </c>
      <c r="K3467" s="1" t="s">
        <v>117</v>
      </c>
      <c r="L3467" s="1">
        <v>9</v>
      </c>
      <c r="M3467" s="13">
        <v>10240.02</v>
      </c>
      <c r="N3467" s="15">
        <v>0.33</v>
      </c>
      <c r="O3467" s="13">
        <v>76243.39</v>
      </c>
      <c r="P3467" s="13">
        <v>10430.540000000001</v>
      </c>
      <c r="Q3467" s="13">
        <v>83.76</v>
      </c>
      <c r="R3467" s="1" t="s">
        <v>57</v>
      </c>
      <c r="S3467" s="1">
        <v>3</v>
      </c>
      <c r="T3467" s="1" t="b">
        <v>0</v>
      </c>
      <c r="U3467" s="1" t="s">
        <v>39</v>
      </c>
      <c r="V3467" s="3">
        <v>4</v>
      </c>
    </row>
    <row r="3468" spans="1:22" x14ac:dyDescent="0.3">
      <c r="A3468" s="2" t="s">
        <v>7394</v>
      </c>
      <c r="B3468" s="10">
        <v>43973</v>
      </c>
      <c r="C3468" s="22">
        <v>43973</v>
      </c>
      <c r="D3468" s="1" t="s">
        <v>7395</v>
      </c>
      <c r="E3468" s="1" t="s">
        <v>693</v>
      </c>
      <c r="F3468" s="1">
        <v>21</v>
      </c>
      <c r="G3468" s="1" t="s">
        <v>68</v>
      </c>
      <c r="H3468" s="1" t="s">
        <v>25</v>
      </c>
      <c r="I3468" s="1" t="s">
        <v>170</v>
      </c>
      <c r="J3468" s="1" t="s">
        <v>127</v>
      </c>
      <c r="K3468" s="1" t="s">
        <v>517</v>
      </c>
      <c r="L3468" s="1">
        <v>4</v>
      </c>
      <c r="M3468" s="13">
        <v>62163.22</v>
      </c>
      <c r="N3468" s="15">
        <v>0.02</v>
      </c>
      <c r="O3468" s="13">
        <v>316644.27</v>
      </c>
      <c r="P3468" s="13">
        <v>39457.660000000003</v>
      </c>
      <c r="Q3468" s="13">
        <v>74.47</v>
      </c>
      <c r="R3468" s="1" t="s">
        <v>70</v>
      </c>
      <c r="S3468" s="1">
        <v>2</v>
      </c>
      <c r="T3468" s="1" t="b">
        <v>1</v>
      </c>
      <c r="U3468" s="1" t="s">
        <v>30</v>
      </c>
      <c r="V3468" s="3">
        <v>9</v>
      </c>
    </row>
    <row r="3469" spans="1:22" x14ac:dyDescent="0.3">
      <c r="A3469" s="2" t="s">
        <v>7396</v>
      </c>
      <c r="B3469" s="10">
        <v>45091</v>
      </c>
      <c r="C3469" s="22">
        <v>45091</v>
      </c>
      <c r="D3469" s="1" t="s">
        <v>7397</v>
      </c>
      <c r="E3469" s="1" t="s">
        <v>390</v>
      </c>
      <c r="F3469" s="1">
        <v>53</v>
      </c>
      <c r="G3469" s="1" t="s">
        <v>24</v>
      </c>
      <c r="H3469" s="1" t="s">
        <v>25</v>
      </c>
      <c r="I3469" s="1" t="s">
        <v>26</v>
      </c>
      <c r="J3469" s="1" t="s">
        <v>37</v>
      </c>
      <c r="K3469" s="1" t="s">
        <v>182</v>
      </c>
      <c r="L3469" s="1">
        <v>4</v>
      </c>
      <c r="M3469" s="13">
        <v>1782.42</v>
      </c>
      <c r="N3469" s="15">
        <v>0.24</v>
      </c>
      <c r="O3469" s="13">
        <v>8996.6</v>
      </c>
      <c r="P3469" s="13">
        <v>3871.86</v>
      </c>
      <c r="Q3469" s="13">
        <v>64.180000000000007</v>
      </c>
      <c r="R3469" s="1" t="s">
        <v>70</v>
      </c>
      <c r="S3469" s="1">
        <v>1</v>
      </c>
      <c r="T3469" s="1" t="b">
        <v>1</v>
      </c>
      <c r="U3469" s="1" t="s">
        <v>30</v>
      </c>
      <c r="V3469" s="3">
        <v>7</v>
      </c>
    </row>
    <row r="3470" spans="1:22" x14ac:dyDescent="0.3">
      <c r="A3470" s="2" t="s">
        <v>7398</v>
      </c>
      <c r="B3470" s="10">
        <v>43971</v>
      </c>
      <c r="C3470" s="22">
        <v>43971</v>
      </c>
      <c r="D3470" s="1" t="s">
        <v>7399</v>
      </c>
      <c r="E3470" s="1" t="s">
        <v>406</v>
      </c>
      <c r="F3470" s="1">
        <v>45</v>
      </c>
      <c r="G3470" s="1" t="s">
        <v>34</v>
      </c>
      <c r="H3470" s="1" t="s">
        <v>25</v>
      </c>
      <c r="I3470" s="1" t="s">
        <v>69</v>
      </c>
      <c r="J3470" s="1" t="s">
        <v>76</v>
      </c>
      <c r="K3470" s="1" t="s">
        <v>207</v>
      </c>
      <c r="L3470" s="1">
        <v>3</v>
      </c>
      <c r="M3470" s="13">
        <v>2323.36</v>
      </c>
      <c r="N3470" s="15">
        <v>0.25</v>
      </c>
      <c r="O3470" s="13">
        <v>7516.69</v>
      </c>
      <c r="P3470" s="13">
        <v>2847.01</v>
      </c>
      <c r="Q3470" s="13">
        <v>61.23</v>
      </c>
      <c r="R3470" s="1" t="s">
        <v>64</v>
      </c>
      <c r="S3470" s="1">
        <v>5</v>
      </c>
      <c r="T3470" s="1" t="b">
        <v>1</v>
      </c>
      <c r="U3470" s="1" t="s">
        <v>30</v>
      </c>
      <c r="V3470" s="3">
        <v>4</v>
      </c>
    </row>
    <row r="3471" spans="1:22" x14ac:dyDescent="0.3">
      <c r="A3471" s="2" t="s">
        <v>7400</v>
      </c>
      <c r="B3471" s="10">
        <v>44839</v>
      </c>
      <c r="C3471" s="22">
        <v>44839</v>
      </c>
      <c r="D3471" s="1" t="s">
        <v>7401</v>
      </c>
      <c r="E3471" s="1" t="s">
        <v>1004</v>
      </c>
      <c r="F3471" s="1">
        <v>42</v>
      </c>
      <c r="G3471" s="1" t="s">
        <v>24</v>
      </c>
      <c r="H3471" s="1" t="s">
        <v>25</v>
      </c>
      <c r="I3471" s="1" t="s">
        <v>69</v>
      </c>
      <c r="J3471" s="1" t="s">
        <v>146</v>
      </c>
      <c r="K3471" s="1" t="s">
        <v>178</v>
      </c>
      <c r="L3471" s="1">
        <v>5</v>
      </c>
      <c r="M3471" s="13">
        <v>5297.3</v>
      </c>
      <c r="N3471" s="15">
        <v>0.23</v>
      </c>
      <c r="O3471" s="13">
        <v>22206.97</v>
      </c>
      <c r="P3471" s="13">
        <v>5436.01</v>
      </c>
      <c r="Q3471" s="13">
        <v>64.510000000000005</v>
      </c>
      <c r="R3471" s="1" t="s">
        <v>78</v>
      </c>
      <c r="S3471" s="1">
        <v>3</v>
      </c>
      <c r="T3471" s="1" t="b">
        <v>0</v>
      </c>
      <c r="U3471" s="1" t="s">
        <v>39</v>
      </c>
      <c r="V3471" s="3">
        <v>2</v>
      </c>
    </row>
    <row r="3472" spans="1:22" x14ac:dyDescent="0.3">
      <c r="A3472" s="2" t="s">
        <v>7402</v>
      </c>
      <c r="B3472" s="10">
        <v>45164</v>
      </c>
      <c r="C3472" s="22">
        <v>45164</v>
      </c>
      <c r="D3472" s="1" t="s">
        <v>7403</v>
      </c>
      <c r="E3472" s="1" t="s">
        <v>1436</v>
      </c>
      <c r="F3472" s="1">
        <v>38</v>
      </c>
      <c r="G3472" s="1" t="s">
        <v>24</v>
      </c>
      <c r="H3472" s="1" t="s">
        <v>82</v>
      </c>
      <c r="I3472" s="1" t="s">
        <v>244</v>
      </c>
      <c r="J3472" s="1" t="s">
        <v>44</v>
      </c>
      <c r="K3472" s="1" t="s">
        <v>45</v>
      </c>
      <c r="L3472" s="1">
        <v>4</v>
      </c>
      <c r="M3472" s="13">
        <v>11999.53</v>
      </c>
      <c r="N3472" s="15">
        <v>0.22</v>
      </c>
      <c r="O3472" s="13">
        <v>53880.45</v>
      </c>
      <c r="P3472" s="13">
        <v>15284.4</v>
      </c>
      <c r="Q3472" s="13">
        <v>99.04</v>
      </c>
      <c r="R3472" s="1" t="s">
        <v>64</v>
      </c>
      <c r="S3472" s="1">
        <v>2</v>
      </c>
      <c r="T3472" s="1" t="b">
        <v>1</v>
      </c>
      <c r="U3472" s="1" t="s">
        <v>30</v>
      </c>
      <c r="V3472" s="3">
        <v>1</v>
      </c>
    </row>
    <row r="3473" spans="1:22" x14ac:dyDescent="0.3">
      <c r="A3473" s="2" t="s">
        <v>7404</v>
      </c>
      <c r="B3473" s="10">
        <v>45083</v>
      </c>
      <c r="C3473" s="22">
        <v>45083</v>
      </c>
      <c r="D3473" s="1" t="s">
        <v>7405</v>
      </c>
      <c r="E3473" s="1" t="s">
        <v>457</v>
      </c>
      <c r="F3473" s="1">
        <v>22</v>
      </c>
      <c r="G3473" s="1" t="s">
        <v>34</v>
      </c>
      <c r="H3473" s="1" t="s">
        <v>111</v>
      </c>
      <c r="I3473" s="1" t="s">
        <v>141</v>
      </c>
      <c r="J3473" s="1" t="s">
        <v>146</v>
      </c>
      <c r="K3473" s="1" t="s">
        <v>217</v>
      </c>
      <c r="L3473" s="1">
        <v>2</v>
      </c>
      <c r="M3473" s="13">
        <v>13875.51</v>
      </c>
      <c r="N3473" s="15">
        <v>0.32</v>
      </c>
      <c r="O3473" s="13">
        <v>30649.3</v>
      </c>
      <c r="P3473" s="13">
        <v>5955.69</v>
      </c>
      <c r="Q3473" s="13">
        <v>81.72</v>
      </c>
      <c r="R3473" s="1" t="s">
        <v>78</v>
      </c>
      <c r="S3473" s="1">
        <v>3</v>
      </c>
      <c r="T3473" s="1" t="b">
        <v>0</v>
      </c>
      <c r="U3473" s="1" t="s">
        <v>39</v>
      </c>
      <c r="V3473" s="3">
        <v>4</v>
      </c>
    </row>
    <row r="3474" spans="1:22" x14ac:dyDescent="0.3">
      <c r="A3474" s="2" t="s">
        <v>7406</v>
      </c>
      <c r="B3474" s="10">
        <v>44754</v>
      </c>
      <c r="C3474" s="22">
        <v>44754</v>
      </c>
      <c r="D3474" s="1" t="s">
        <v>7407</v>
      </c>
      <c r="E3474" s="1" t="s">
        <v>1229</v>
      </c>
      <c r="F3474" s="1">
        <v>53</v>
      </c>
      <c r="G3474" s="1" t="s">
        <v>68</v>
      </c>
      <c r="H3474" s="1" t="s">
        <v>82</v>
      </c>
      <c r="I3474" s="1" t="s">
        <v>293</v>
      </c>
      <c r="J3474" s="1" t="s">
        <v>62</v>
      </c>
      <c r="K3474" s="1" t="s">
        <v>151</v>
      </c>
      <c r="L3474" s="1">
        <v>4</v>
      </c>
      <c r="M3474" s="13">
        <v>1230.08</v>
      </c>
      <c r="N3474" s="15">
        <v>0.31</v>
      </c>
      <c r="O3474" s="13">
        <v>4786.22</v>
      </c>
      <c r="P3474" s="13">
        <v>2225.06</v>
      </c>
      <c r="Q3474" s="13">
        <v>92.84</v>
      </c>
      <c r="R3474" s="1" t="s">
        <v>57</v>
      </c>
      <c r="S3474" s="1">
        <v>1</v>
      </c>
      <c r="T3474" s="1" t="b">
        <v>0</v>
      </c>
      <c r="U3474" s="1" t="s">
        <v>39</v>
      </c>
      <c r="V3474" s="3">
        <v>3</v>
      </c>
    </row>
    <row r="3475" spans="1:22" x14ac:dyDescent="0.3">
      <c r="A3475" s="2" t="s">
        <v>7408</v>
      </c>
      <c r="B3475" s="10">
        <v>45558</v>
      </c>
      <c r="C3475" s="22">
        <v>45558</v>
      </c>
      <c r="D3475" s="1" t="s">
        <v>7409</v>
      </c>
      <c r="E3475" s="1" t="s">
        <v>1275</v>
      </c>
      <c r="F3475" s="1">
        <v>39</v>
      </c>
      <c r="G3475" s="1" t="s">
        <v>34</v>
      </c>
      <c r="H3475" s="1" t="s">
        <v>25</v>
      </c>
      <c r="I3475" s="1" t="s">
        <v>170</v>
      </c>
      <c r="J3475" s="1" t="s">
        <v>27</v>
      </c>
      <c r="K3475" s="1" t="s">
        <v>400</v>
      </c>
      <c r="L3475" s="1">
        <v>9</v>
      </c>
      <c r="M3475" s="13">
        <v>302.83</v>
      </c>
      <c r="N3475" s="15">
        <v>0.35</v>
      </c>
      <c r="O3475" s="13">
        <v>2144.87</v>
      </c>
      <c r="P3475" s="13">
        <v>127.02</v>
      </c>
      <c r="Q3475" s="13">
        <v>50.82</v>
      </c>
      <c r="R3475" s="1" t="s">
        <v>29</v>
      </c>
      <c r="S3475" s="1">
        <v>3</v>
      </c>
      <c r="T3475" s="1" t="b">
        <v>0</v>
      </c>
      <c r="U3475" s="1" t="s">
        <v>39</v>
      </c>
      <c r="V3475" s="3">
        <v>1</v>
      </c>
    </row>
    <row r="3476" spans="1:22" x14ac:dyDescent="0.3">
      <c r="A3476" s="2" t="s">
        <v>7410</v>
      </c>
      <c r="B3476" s="10">
        <v>45416</v>
      </c>
      <c r="C3476" s="22">
        <v>45416</v>
      </c>
      <c r="D3476" s="1" t="s">
        <v>7411</v>
      </c>
      <c r="E3476" s="1" t="s">
        <v>333</v>
      </c>
      <c r="F3476" s="1">
        <v>30</v>
      </c>
      <c r="G3476" s="1" t="s">
        <v>24</v>
      </c>
      <c r="H3476" s="1" t="s">
        <v>35</v>
      </c>
      <c r="I3476" s="1" t="s">
        <v>43</v>
      </c>
      <c r="J3476" s="1" t="s">
        <v>37</v>
      </c>
      <c r="K3476" s="1" t="s">
        <v>38</v>
      </c>
      <c r="L3476" s="1">
        <v>4</v>
      </c>
      <c r="M3476" s="13">
        <v>1294.0999999999999</v>
      </c>
      <c r="N3476" s="15">
        <v>0.26</v>
      </c>
      <c r="O3476" s="13">
        <v>5791.59</v>
      </c>
      <c r="P3476" s="13">
        <v>2481.7399999999998</v>
      </c>
      <c r="Q3476" s="13">
        <v>34.770000000000003</v>
      </c>
      <c r="R3476" s="1" t="s">
        <v>64</v>
      </c>
      <c r="S3476" s="1">
        <v>1</v>
      </c>
      <c r="T3476" s="1" t="b">
        <v>0</v>
      </c>
      <c r="U3476" s="1" t="s">
        <v>39</v>
      </c>
      <c r="V3476" s="3">
        <v>6</v>
      </c>
    </row>
    <row r="3477" spans="1:22" x14ac:dyDescent="0.3">
      <c r="A3477" s="2" t="s">
        <v>7412</v>
      </c>
      <c r="B3477" s="10">
        <v>44953</v>
      </c>
      <c r="C3477" s="22">
        <v>44953</v>
      </c>
      <c r="D3477" s="1" t="s">
        <v>7413</v>
      </c>
      <c r="E3477" s="1" t="s">
        <v>272</v>
      </c>
      <c r="F3477" s="1">
        <v>30</v>
      </c>
      <c r="G3477" s="1" t="s">
        <v>34</v>
      </c>
      <c r="H3477" s="1" t="s">
        <v>82</v>
      </c>
      <c r="I3477" s="1" t="s">
        <v>126</v>
      </c>
      <c r="J3477" s="1" t="s">
        <v>146</v>
      </c>
      <c r="K3477" s="1" t="s">
        <v>484</v>
      </c>
      <c r="L3477" s="1">
        <v>3</v>
      </c>
      <c r="M3477" s="13">
        <v>5115.87</v>
      </c>
      <c r="N3477" s="15">
        <v>0.03</v>
      </c>
      <c r="O3477" s="13">
        <v>15447.04</v>
      </c>
      <c r="P3477" s="13">
        <v>2902.6</v>
      </c>
      <c r="Q3477" s="13">
        <v>93.03</v>
      </c>
      <c r="R3477" s="1" t="s">
        <v>57</v>
      </c>
      <c r="S3477" s="1">
        <v>1</v>
      </c>
      <c r="T3477" s="1" t="b">
        <v>0</v>
      </c>
      <c r="U3477" s="1" t="s">
        <v>39</v>
      </c>
      <c r="V3477" s="3">
        <v>6</v>
      </c>
    </row>
    <row r="3478" spans="1:22" x14ac:dyDescent="0.3">
      <c r="A3478" s="2" t="s">
        <v>7414</v>
      </c>
      <c r="B3478" s="10">
        <v>44917</v>
      </c>
      <c r="C3478" s="22">
        <v>44917</v>
      </c>
      <c r="D3478" s="1" t="s">
        <v>7415</v>
      </c>
      <c r="E3478" s="1" t="s">
        <v>1204</v>
      </c>
      <c r="F3478" s="1">
        <v>44</v>
      </c>
      <c r="G3478" s="1" t="s">
        <v>24</v>
      </c>
      <c r="H3478" s="1" t="s">
        <v>111</v>
      </c>
      <c r="I3478" s="1" t="s">
        <v>141</v>
      </c>
      <c r="J3478" s="1" t="s">
        <v>146</v>
      </c>
      <c r="K3478" s="1" t="s">
        <v>147</v>
      </c>
      <c r="L3478" s="1">
        <v>6</v>
      </c>
      <c r="M3478" s="13">
        <v>5749.74</v>
      </c>
      <c r="N3478" s="15">
        <v>0.24</v>
      </c>
      <c r="O3478" s="13">
        <v>22681.23</v>
      </c>
      <c r="P3478" s="13">
        <v>4291.6499999999996</v>
      </c>
      <c r="Q3478" s="13">
        <v>91.35</v>
      </c>
      <c r="R3478" s="1" t="s">
        <v>70</v>
      </c>
      <c r="S3478" s="1">
        <v>1</v>
      </c>
      <c r="T3478" s="1" t="b">
        <v>1</v>
      </c>
      <c r="U3478" s="1" t="s">
        <v>30</v>
      </c>
      <c r="V3478" s="3">
        <v>10</v>
      </c>
    </row>
    <row r="3479" spans="1:22" x14ac:dyDescent="0.3">
      <c r="A3479" s="2" t="s">
        <v>7416</v>
      </c>
      <c r="B3479" s="10">
        <v>45015</v>
      </c>
      <c r="C3479" s="22">
        <v>45015</v>
      </c>
      <c r="D3479" s="1" t="s">
        <v>7417</v>
      </c>
      <c r="E3479" s="1" t="s">
        <v>206</v>
      </c>
      <c r="F3479" s="1">
        <v>38</v>
      </c>
      <c r="G3479" s="1" t="s">
        <v>434</v>
      </c>
      <c r="H3479" s="1" t="s">
        <v>25</v>
      </c>
      <c r="I3479" s="1" t="s">
        <v>26</v>
      </c>
      <c r="J3479" s="1" t="s">
        <v>76</v>
      </c>
      <c r="K3479" s="1" t="s">
        <v>77</v>
      </c>
      <c r="L3479" s="1">
        <v>2</v>
      </c>
      <c r="M3479" s="13">
        <v>2874</v>
      </c>
      <c r="N3479" s="15">
        <v>0.01</v>
      </c>
      <c r="O3479" s="13">
        <v>7504.43</v>
      </c>
      <c r="P3479" s="13">
        <v>2617.1799999999998</v>
      </c>
      <c r="Q3479" s="13">
        <v>34.9</v>
      </c>
      <c r="R3479" s="1" t="s">
        <v>78</v>
      </c>
      <c r="S3479" s="1">
        <v>1</v>
      </c>
      <c r="T3479" s="1" t="b">
        <v>0</v>
      </c>
      <c r="U3479" s="1" t="s">
        <v>39</v>
      </c>
      <c r="V3479" s="3">
        <v>8</v>
      </c>
    </row>
    <row r="3480" spans="1:22" x14ac:dyDescent="0.3">
      <c r="A3480" s="2" t="s">
        <v>7418</v>
      </c>
      <c r="B3480" s="10">
        <v>44035</v>
      </c>
      <c r="C3480" s="22">
        <v>44035</v>
      </c>
      <c r="D3480" s="1" t="s">
        <v>7419</v>
      </c>
      <c r="E3480" s="1" t="s">
        <v>534</v>
      </c>
      <c r="F3480" s="1">
        <v>44</v>
      </c>
      <c r="G3480" s="1" t="s">
        <v>24</v>
      </c>
      <c r="H3480" s="1" t="s">
        <v>25</v>
      </c>
      <c r="I3480" s="1" t="s">
        <v>26</v>
      </c>
      <c r="J3480" s="1" t="s">
        <v>37</v>
      </c>
      <c r="K3480" s="1" t="s">
        <v>454</v>
      </c>
      <c r="L3480" s="1">
        <v>2</v>
      </c>
      <c r="M3480" s="13">
        <v>988.43</v>
      </c>
      <c r="N3480" s="15">
        <v>0.35</v>
      </c>
      <c r="O3480" s="13">
        <v>1781.6</v>
      </c>
      <c r="P3480" s="13">
        <v>923.82</v>
      </c>
      <c r="Q3480" s="13">
        <v>48.48</v>
      </c>
      <c r="R3480" s="1" t="s">
        <v>70</v>
      </c>
      <c r="S3480" s="1">
        <v>1</v>
      </c>
      <c r="T3480" s="1" t="b">
        <v>0</v>
      </c>
      <c r="U3480" s="1" t="s">
        <v>84</v>
      </c>
      <c r="V3480" s="3">
        <v>5</v>
      </c>
    </row>
    <row r="3481" spans="1:22" x14ac:dyDescent="0.3">
      <c r="A3481" s="2" t="s">
        <v>7420</v>
      </c>
      <c r="B3481" s="10">
        <v>44384</v>
      </c>
      <c r="C3481" s="22">
        <v>44384</v>
      </c>
      <c r="D3481" s="1" t="s">
        <v>7421</v>
      </c>
      <c r="E3481" s="1" t="s">
        <v>140</v>
      </c>
      <c r="F3481" s="1">
        <v>22</v>
      </c>
      <c r="G3481" s="1" t="s">
        <v>68</v>
      </c>
      <c r="H3481" s="1" t="s">
        <v>25</v>
      </c>
      <c r="I3481" s="1" t="s">
        <v>26</v>
      </c>
      <c r="J3481" s="1" t="s">
        <v>76</v>
      </c>
      <c r="K3481" s="1" t="s">
        <v>207</v>
      </c>
      <c r="L3481" s="1">
        <v>8</v>
      </c>
      <c r="M3481" s="13">
        <v>789.72</v>
      </c>
      <c r="N3481" s="15">
        <v>0.39</v>
      </c>
      <c r="O3481" s="13">
        <v>5442.35</v>
      </c>
      <c r="P3481" s="13">
        <v>1627.79</v>
      </c>
      <c r="Q3481" s="13">
        <v>54.89</v>
      </c>
      <c r="R3481" s="1" t="s">
        <v>51</v>
      </c>
      <c r="S3481" s="1">
        <v>3</v>
      </c>
      <c r="T3481" s="1" t="b">
        <v>0</v>
      </c>
      <c r="U3481" s="1" t="s">
        <v>39</v>
      </c>
      <c r="V3481" s="3">
        <v>8</v>
      </c>
    </row>
    <row r="3482" spans="1:22" x14ac:dyDescent="0.3">
      <c r="A3482" s="2" t="s">
        <v>7422</v>
      </c>
      <c r="B3482" s="10">
        <v>45122</v>
      </c>
      <c r="C3482" s="22">
        <v>45122</v>
      </c>
      <c r="D3482" s="1" t="s">
        <v>7423</v>
      </c>
      <c r="E3482" s="1" t="s">
        <v>240</v>
      </c>
      <c r="F3482" s="1">
        <v>34</v>
      </c>
      <c r="G3482" s="1" t="s">
        <v>463</v>
      </c>
      <c r="H3482" s="1" t="s">
        <v>74</v>
      </c>
      <c r="I3482" s="1" t="s">
        <v>136</v>
      </c>
      <c r="J3482" s="1" t="s">
        <v>146</v>
      </c>
      <c r="K3482" s="1" t="s">
        <v>161</v>
      </c>
      <c r="L3482" s="1">
        <v>2</v>
      </c>
      <c r="M3482" s="13">
        <v>13289.2</v>
      </c>
      <c r="N3482" s="15">
        <v>0.35</v>
      </c>
      <c r="O3482" s="13">
        <v>30542.1</v>
      </c>
      <c r="P3482" s="13">
        <v>7213.39</v>
      </c>
      <c r="Q3482" s="13">
        <v>70.83</v>
      </c>
      <c r="R3482" s="1" t="s">
        <v>51</v>
      </c>
      <c r="S3482" s="1">
        <v>1</v>
      </c>
      <c r="T3482" s="1" t="b">
        <v>0</v>
      </c>
      <c r="U3482" s="1" t="s">
        <v>137</v>
      </c>
      <c r="V3482" s="3">
        <v>5</v>
      </c>
    </row>
    <row r="3483" spans="1:22" x14ac:dyDescent="0.3">
      <c r="A3483" s="2" t="s">
        <v>7424</v>
      </c>
      <c r="B3483" s="10">
        <v>45434</v>
      </c>
      <c r="C3483" s="22">
        <v>45434</v>
      </c>
      <c r="D3483" s="1" t="s">
        <v>7425</v>
      </c>
      <c r="E3483" s="1" t="s">
        <v>1131</v>
      </c>
      <c r="F3483" s="1">
        <v>26</v>
      </c>
      <c r="G3483" s="1" t="s">
        <v>34</v>
      </c>
      <c r="H3483" s="1" t="s">
        <v>35</v>
      </c>
      <c r="I3483" s="1" t="s">
        <v>43</v>
      </c>
      <c r="J3483" s="1" t="s">
        <v>37</v>
      </c>
      <c r="K3483" s="1" t="s">
        <v>38</v>
      </c>
      <c r="L3483" s="1">
        <v>8</v>
      </c>
      <c r="M3483" s="13">
        <v>1952.58</v>
      </c>
      <c r="N3483" s="15">
        <v>0.21</v>
      </c>
      <c r="O3483" s="13">
        <v>22182.07</v>
      </c>
      <c r="P3483" s="13">
        <v>9202.93</v>
      </c>
      <c r="Q3483" s="13">
        <v>51.23</v>
      </c>
      <c r="R3483" s="1" t="s">
        <v>29</v>
      </c>
      <c r="S3483" s="1">
        <v>4</v>
      </c>
      <c r="T3483" s="1" t="b">
        <v>0</v>
      </c>
      <c r="U3483" s="1" t="s">
        <v>39</v>
      </c>
      <c r="V3483" s="3">
        <v>5</v>
      </c>
    </row>
    <row r="3484" spans="1:22" x14ac:dyDescent="0.3">
      <c r="A3484" s="2" t="s">
        <v>7426</v>
      </c>
      <c r="B3484" s="10">
        <v>44450</v>
      </c>
      <c r="C3484" s="22">
        <v>44450</v>
      </c>
      <c r="D3484" s="1" t="s">
        <v>7427</v>
      </c>
      <c r="E3484" s="1" t="s">
        <v>660</v>
      </c>
      <c r="F3484" s="1">
        <v>37</v>
      </c>
      <c r="G3484" s="1" t="s">
        <v>68</v>
      </c>
      <c r="H3484" s="1" t="s">
        <v>82</v>
      </c>
      <c r="I3484" s="1" t="s">
        <v>83</v>
      </c>
      <c r="J3484" s="1" t="s">
        <v>62</v>
      </c>
      <c r="K3484" s="1" t="s">
        <v>570</v>
      </c>
      <c r="L3484" s="1">
        <v>7</v>
      </c>
      <c r="M3484" s="13">
        <v>1359.26</v>
      </c>
      <c r="N3484" s="15">
        <v>0.12</v>
      </c>
      <c r="O3484" s="13">
        <v>9165.32</v>
      </c>
      <c r="P3484" s="13">
        <v>3844.26</v>
      </c>
      <c r="Q3484" s="13">
        <v>63.94</v>
      </c>
      <c r="R3484" s="1" t="s">
        <v>64</v>
      </c>
      <c r="S3484" s="1">
        <v>4</v>
      </c>
      <c r="T3484" s="1" t="b">
        <v>0</v>
      </c>
      <c r="U3484" s="1" t="s">
        <v>58</v>
      </c>
      <c r="V3484" s="3">
        <v>6</v>
      </c>
    </row>
    <row r="3485" spans="1:22" x14ac:dyDescent="0.3">
      <c r="A3485" s="2" t="s">
        <v>7428</v>
      </c>
      <c r="B3485" s="10">
        <v>44502</v>
      </c>
      <c r="C3485" s="22">
        <v>44502</v>
      </c>
      <c r="D3485" s="1" t="s">
        <v>7429</v>
      </c>
      <c r="E3485" s="1" t="s">
        <v>154</v>
      </c>
      <c r="F3485" s="1">
        <v>44</v>
      </c>
      <c r="G3485" s="1" t="s">
        <v>24</v>
      </c>
      <c r="H3485" s="1" t="s">
        <v>82</v>
      </c>
      <c r="I3485" s="1" t="s">
        <v>83</v>
      </c>
      <c r="J3485" s="1" t="s">
        <v>127</v>
      </c>
      <c r="K3485" s="1" t="s">
        <v>142</v>
      </c>
      <c r="L3485" s="1">
        <v>5</v>
      </c>
      <c r="M3485" s="13">
        <v>44585.93</v>
      </c>
      <c r="N3485" s="15">
        <v>0.02</v>
      </c>
      <c r="O3485" s="13">
        <v>177603.4</v>
      </c>
      <c r="P3485" s="13">
        <v>13351.29</v>
      </c>
      <c r="Q3485" s="13">
        <v>59.68</v>
      </c>
      <c r="R3485" s="1" t="s">
        <v>70</v>
      </c>
      <c r="S3485" s="1">
        <v>3</v>
      </c>
      <c r="T3485" s="1" t="b">
        <v>0</v>
      </c>
      <c r="U3485" s="1" t="s">
        <v>39</v>
      </c>
      <c r="V3485" s="3">
        <v>9</v>
      </c>
    </row>
    <row r="3486" spans="1:22" x14ac:dyDescent="0.3">
      <c r="A3486" s="2" t="s">
        <v>7430</v>
      </c>
      <c r="B3486" s="10">
        <v>44119</v>
      </c>
      <c r="C3486" s="22">
        <v>44119</v>
      </c>
      <c r="D3486" s="1" t="s">
        <v>7431</v>
      </c>
      <c r="E3486" s="1" t="s">
        <v>185</v>
      </c>
      <c r="F3486" s="1">
        <v>22</v>
      </c>
      <c r="G3486" s="1" t="s">
        <v>34</v>
      </c>
      <c r="H3486" s="1" t="s">
        <v>25</v>
      </c>
      <c r="I3486" s="1" t="s">
        <v>69</v>
      </c>
      <c r="J3486" s="1" t="s">
        <v>27</v>
      </c>
      <c r="K3486" s="1" t="s">
        <v>400</v>
      </c>
      <c r="L3486" s="1">
        <v>10</v>
      </c>
      <c r="M3486" s="13">
        <v>420.55</v>
      </c>
      <c r="N3486" s="15">
        <v>0.39</v>
      </c>
      <c r="O3486" s="13">
        <v>2218.9899999999998</v>
      </c>
      <c r="P3486" s="13">
        <v>132.72</v>
      </c>
      <c r="Q3486" s="13">
        <v>44.96</v>
      </c>
      <c r="R3486" s="1" t="s">
        <v>78</v>
      </c>
      <c r="S3486" s="1">
        <v>4</v>
      </c>
      <c r="T3486" s="1" t="b">
        <v>0</v>
      </c>
      <c r="U3486" s="1" t="s">
        <v>39</v>
      </c>
      <c r="V3486" s="3">
        <v>5</v>
      </c>
    </row>
    <row r="3487" spans="1:22" x14ac:dyDescent="0.3">
      <c r="A3487" s="2" t="s">
        <v>7432</v>
      </c>
      <c r="B3487" s="10">
        <v>45524</v>
      </c>
      <c r="C3487" s="22">
        <v>45524</v>
      </c>
      <c r="D3487" s="1" t="s">
        <v>7433</v>
      </c>
      <c r="E3487" s="1" t="s">
        <v>349</v>
      </c>
      <c r="F3487" s="1">
        <v>56</v>
      </c>
      <c r="G3487" s="1" t="s">
        <v>34</v>
      </c>
      <c r="H3487" s="1" t="s">
        <v>111</v>
      </c>
      <c r="I3487" s="1" t="s">
        <v>121</v>
      </c>
      <c r="J3487" s="1" t="s">
        <v>127</v>
      </c>
      <c r="K3487" s="1" t="s">
        <v>517</v>
      </c>
      <c r="L3487" s="1">
        <v>9</v>
      </c>
      <c r="M3487" s="13">
        <v>31920.16</v>
      </c>
      <c r="N3487" s="15">
        <v>0.01</v>
      </c>
      <c r="O3487" s="13">
        <v>440371.93</v>
      </c>
      <c r="P3487" s="13">
        <v>65871.22</v>
      </c>
      <c r="Q3487" s="13">
        <v>59.99</v>
      </c>
      <c r="R3487" s="1" t="s">
        <v>57</v>
      </c>
      <c r="S3487" s="1">
        <v>3</v>
      </c>
      <c r="T3487" s="1" t="b">
        <v>0</v>
      </c>
      <c r="U3487" s="1" t="s">
        <v>197</v>
      </c>
      <c r="V3487" s="3">
        <v>9</v>
      </c>
    </row>
    <row r="3488" spans="1:22" x14ac:dyDescent="0.3">
      <c r="A3488" s="2" t="s">
        <v>7434</v>
      </c>
      <c r="B3488" s="10">
        <v>45173</v>
      </c>
      <c r="C3488" s="22">
        <v>45173</v>
      </c>
      <c r="D3488" s="1" t="s">
        <v>7435</v>
      </c>
      <c r="E3488" s="1" t="s">
        <v>1638</v>
      </c>
      <c r="F3488" s="1">
        <v>31</v>
      </c>
      <c r="G3488" s="1" t="s">
        <v>24</v>
      </c>
      <c r="H3488" s="1" t="s">
        <v>35</v>
      </c>
      <c r="I3488" s="1" t="s">
        <v>43</v>
      </c>
      <c r="J3488" s="1" t="s">
        <v>37</v>
      </c>
      <c r="K3488" s="1" t="s">
        <v>671</v>
      </c>
      <c r="L3488" s="1">
        <v>6</v>
      </c>
      <c r="M3488" s="13">
        <v>1382.04</v>
      </c>
      <c r="N3488" s="15">
        <v>0.27</v>
      </c>
      <c r="O3488" s="13">
        <v>7652.12</v>
      </c>
      <c r="P3488" s="13">
        <v>2282.9699999999998</v>
      </c>
      <c r="Q3488" s="13">
        <v>63.64</v>
      </c>
      <c r="R3488" s="1" t="s">
        <v>64</v>
      </c>
      <c r="S3488" s="1">
        <v>3</v>
      </c>
      <c r="T3488" s="1" t="b">
        <v>0</v>
      </c>
      <c r="U3488" s="1" t="s">
        <v>39</v>
      </c>
      <c r="V3488" s="3">
        <v>10</v>
      </c>
    </row>
    <row r="3489" spans="1:22" x14ac:dyDescent="0.3">
      <c r="A3489" s="2" t="s">
        <v>7436</v>
      </c>
      <c r="B3489" s="10">
        <v>45347</v>
      </c>
      <c r="C3489" s="22">
        <v>45347</v>
      </c>
      <c r="D3489" s="1" t="s">
        <v>7437</v>
      </c>
      <c r="E3489" s="1" t="s">
        <v>387</v>
      </c>
      <c r="F3489" s="1">
        <v>4</v>
      </c>
      <c r="G3489" s="1" t="s">
        <v>34</v>
      </c>
      <c r="H3489" s="1" t="s">
        <v>25</v>
      </c>
      <c r="I3489" s="1" t="s">
        <v>26</v>
      </c>
      <c r="J3489" s="1" t="s">
        <v>44</v>
      </c>
      <c r="K3489" s="1" t="s">
        <v>50</v>
      </c>
      <c r="L3489" s="1">
        <v>6</v>
      </c>
      <c r="M3489" s="13">
        <v>25605.89</v>
      </c>
      <c r="N3489" s="15">
        <v>0.22</v>
      </c>
      <c r="O3489" s="13">
        <v>136801.63</v>
      </c>
      <c r="P3489" s="13">
        <v>32672.46</v>
      </c>
      <c r="Q3489" s="13">
        <v>59.3</v>
      </c>
      <c r="R3489" s="1" t="s">
        <v>78</v>
      </c>
      <c r="S3489" s="1">
        <v>4</v>
      </c>
      <c r="T3489" s="1" t="b">
        <v>1</v>
      </c>
      <c r="U3489" s="1" t="s">
        <v>30</v>
      </c>
      <c r="V3489" s="3">
        <v>2</v>
      </c>
    </row>
    <row r="3490" spans="1:22" x14ac:dyDescent="0.3">
      <c r="A3490" s="2" t="s">
        <v>7438</v>
      </c>
      <c r="B3490" s="10">
        <v>44644</v>
      </c>
      <c r="C3490" s="22">
        <v>44644</v>
      </c>
      <c r="D3490" s="1" t="s">
        <v>7439</v>
      </c>
      <c r="E3490" s="1" t="s">
        <v>1404</v>
      </c>
      <c r="F3490" s="1">
        <v>36</v>
      </c>
      <c r="G3490" s="1" t="s">
        <v>88</v>
      </c>
      <c r="H3490" s="1" t="s">
        <v>111</v>
      </c>
      <c r="I3490" s="1" t="s">
        <v>141</v>
      </c>
      <c r="J3490" s="1" t="s">
        <v>127</v>
      </c>
      <c r="K3490" s="1" t="s">
        <v>171</v>
      </c>
      <c r="L3490" s="1">
        <v>8</v>
      </c>
      <c r="M3490" s="13">
        <v>22164.74</v>
      </c>
      <c r="N3490" s="15">
        <v>0.1</v>
      </c>
      <c r="O3490" s="13">
        <v>159491.82</v>
      </c>
      <c r="P3490" s="13">
        <v>16671.939999999999</v>
      </c>
      <c r="Q3490" s="13">
        <v>82.01</v>
      </c>
      <c r="R3490" s="1" t="s">
        <v>64</v>
      </c>
      <c r="S3490" s="1">
        <v>3</v>
      </c>
      <c r="T3490" s="1" t="b">
        <v>0</v>
      </c>
      <c r="U3490" s="1" t="s">
        <v>137</v>
      </c>
      <c r="V3490" s="3">
        <v>5</v>
      </c>
    </row>
    <row r="3491" spans="1:22" x14ac:dyDescent="0.3">
      <c r="A3491" s="2" t="s">
        <v>7440</v>
      </c>
      <c r="B3491" s="10">
        <v>44223</v>
      </c>
      <c r="C3491" s="22">
        <v>44223</v>
      </c>
      <c r="D3491" s="1" t="s">
        <v>7441</v>
      </c>
      <c r="E3491" s="1" t="s">
        <v>1583</v>
      </c>
      <c r="F3491" s="1">
        <v>42</v>
      </c>
      <c r="G3491" s="1" t="s">
        <v>68</v>
      </c>
      <c r="H3491" s="1" t="s">
        <v>74</v>
      </c>
      <c r="I3491" s="1" t="s">
        <v>101</v>
      </c>
      <c r="J3491" s="1" t="s">
        <v>76</v>
      </c>
      <c r="K3491" s="1" t="s">
        <v>77</v>
      </c>
      <c r="L3491" s="1">
        <v>2</v>
      </c>
      <c r="M3491" s="13">
        <v>2935.36</v>
      </c>
      <c r="N3491" s="15">
        <v>0.33</v>
      </c>
      <c r="O3491" s="13">
        <v>3141.45</v>
      </c>
      <c r="P3491" s="13">
        <v>1157.67</v>
      </c>
      <c r="Q3491" s="13">
        <v>60.42</v>
      </c>
      <c r="R3491" s="1" t="s">
        <v>51</v>
      </c>
      <c r="S3491" s="1">
        <v>1</v>
      </c>
      <c r="T3491" s="1" t="b">
        <v>0</v>
      </c>
      <c r="U3491" s="1" t="s">
        <v>39</v>
      </c>
      <c r="V3491" s="3">
        <v>6</v>
      </c>
    </row>
    <row r="3492" spans="1:22" x14ac:dyDescent="0.3">
      <c r="A3492" s="2" t="s">
        <v>7442</v>
      </c>
      <c r="B3492" s="10">
        <v>44827</v>
      </c>
      <c r="C3492" s="22">
        <v>44827</v>
      </c>
      <c r="D3492" s="1" t="s">
        <v>7443</v>
      </c>
      <c r="E3492" s="1" t="s">
        <v>502</v>
      </c>
      <c r="F3492" s="1">
        <v>20</v>
      </c>
      <c r="G3492" s="1" t="s">
        <v>24</v>
      </c>
      <c r="H3492" s="1" t="s">
        <v>111</v>
      </c>
      <c r="I3492" s="1" t="s">
        <v>112</v>
      </c>
      <c r="J3492" s="1" t="s">
        <v>146</v>
      </c>
      <c r="K3492" s="1" t="s">
        <v>217</v>
      </c>
      <c r="L3492" s="1">
        <v>3</v>
      </c>
      <c r="M3492" s="13">
        <v>8809.7199999999993</v>
      </c>
      <c r="N3492" s="15">
        <v>0.38</v>
      </c>
      <c r="O3492" s="13">
        <v>18286.54</v>
      </c>
      <c r="P3492" s="13">
        <v>4538.3999999999996</v>
      </c>
      <c r="Q3492" s="13">
        <v>76.08</v>
      </c>
      <c r="R3492" s="1" t="s">
        <v>29</v>
      </c>
      <c r="S3492" s="1">
        <v>5</v>
      </c>
      <c r="T3492" s="1" t="b">
        <v>1</v>
      </c>
      <c r="U3492" s="1" t="s">
        <v>30</v>
      </c>
      <c r="V3492" s="3">
        <v>9</v>
      </c>
    </row>
    <row r="3493" spans="1:22" x14ac:dyDescent="0.3">
      <c r="A3493" s="2" t="s">
        <v>7444</v>
      </c>
      <c r="B3493" s="10">
        <v>45145</v>
      </c>
      <c r="C3493" s="22">
        <v>45145</v>
      </c>
      <c r="D3493" s="1" t="s">
        <v>7445</v>
      </c>
      <c r="E3493" s="1" t="s">
        <v>157</v>
      </c>
      <c r="F3493" s="1">
        <v>33</v>
      </c>
      <c r="G3493" s="1" t="s">
        <v>34</v>
      </c>
      <c r="H3493" s="1" t="s">
        <v>74</v>
      </c>
      <c r="I3493" s="1" t="s">
        <v>75</v>
      </c>
      <c r="J3493" s="1" t="s">
        <v>146</v>
      </c>
      <c r="K3493" s="1" t="s">
        <v>484</v>
      </c>
      <c r="L3493" s="1">
        <v>5</v>
      </c>
      <c r="M3493" s="13">
        <v>10440.969999999999</v>
      </c>
      <c r="N3493" s="15">
        <v>0.03</v>
      </c>
      <c r="O3493" s="13">
        <v>76880.87</v>
      </c>
      <c r="P3493" s="13">
        <v>13536.66</v>
      </c>
      <c r="Q3493" s="13">
        <v>49.52</v>
      </c>
      <c r="R3493" s="1" t="s">
        <v>29</v>
      </c>
      <c r="S3493" s="1">
        <v>3</v>
      </c>
      <c r="T3493" s="1" t="b">
        <v>0</v>
      </c>
      <c r="U3493" s="1" t="s">
        <v>197</v>
      </c>
      <c r="V3493" s="3">
        <v>10</v>
      </c>
    </row>
    <row r="3494" spans="1:22" x14ac:dyDescent="0.3">
      <c r="A3494" s="2" t="s">
        <v>7446</v>
      </c>
      <c r="B3494" s="10">
        <v>45227</v>
      </c>
      <c r="C3494" s="22">
        <v>45227</v>
      </c>
      <c r="D3494" s="1" t="s">
        <v>7447</v>
      </c>
      <c r="E3494" s="1" t="s">
        <v>237</v>
      </c>
      <c r="F3494" s="1">
        <v>26</v>
      </c>
      <c r="G3494" s="1" t="s">
        <v>34</v>
      </c>
      <c r="H3494" s="1" t="s">
        <v>82</v>
      </c>
      <c r="I3494" s="1" t="s">
        <v>293</v>
      </c>
      <c r="J3494" s="1" t="s">
        <v>76</v>
      </c>
      <c r="K3494" s="1" t="s">
        <v>89</v>
      </c>
      <c r="L3494" s="1">
        <v>9</v>
      </c>
      <c r="M3494" s="13">
        <v>1877.39</v>
      </c>
      <c r="N3494" s="15">
        <v>0.13</v>
      </c>
      <c r="O3494" s="13">
        <v>17278.52</v>
      </c>
      <c r="P3494" s="13">
        <v>3585.58</v>
      </c>
      <c r="Q3494" s="13">
        <v>87.95</v>
      </c>
      <c r="R3494" s="1" t="s">
        <v>78</v>
      </c>
      <c r="S3494" s="1">
        <v>3</v>
      </c>
      <c r="T3494" s="1" t="b">
        <v>0</v>
      </c>
      <c r="U3494" s="1" t="s">
        <v>39</v>
      </c>
      <c r="V3494" s="3">
        <v>5</v>
      </c>
    </row>
    <row r="3495" spans="1:22" x14ac:dyDescent="0.3">
      <c r="A3495" s="2" t="s">
        <v>7448</v>
      </c>
      <c r="B3495" s="10">
        <v>44144</v>
      </c>
      <c r="C3495" s="22">
        <v>44144</v>
      </c>
      <c r="D3495" s="1" t="s">
        <v>7449</v>
      </c>
      <c r="E3495" s="1" t="s">
        <v>858</v>
      </c>
      <c r="F3495" s="1">
        <v>55</v>
      </c>
      <c r="G3495" s="1" t="s">
        <v>24</v>
      </c>
      <c r="H3495" s="1" t="s">
        <v>82</v>
      </c>
      <c r="I3495" s="1" t="s">
        <v>244</v>
      </c>
      <c r="J3495" s="1" t="s">
        <v>127</v>
      </c>
      <c r="K3495" s="1" t="s">
        <v>196</v>
      </c>
      <c r="L3495" s="1">
        <v>10</v>
      </c>
      <c r="M3495" s="13">
        <v>14628.81</v>
      </c>
      <c r="N3495" s="15">
        <v>0.21</v>
      </c>
      <c r="O3495" s="13">
        <v>101436.48</v>
      </c>
      <c r="P3495" s="13">
        <v>14366.56</v>
      </c>
      <c r="Q3495" s="13">
        <v>79.44</v>
      </c>
      <c r="R3495" s="1" t="s">
        <v>57</v>
      </c>
      <c r="S3495" s="1">
        <v>4</v>
      </c>
      <c r="T3495" s="1" t="b">
        <v>0</v>
      </c>
      <c r="U3495" s="1" t="s">
        <v>39</v>
      </c>
      <c r="V3495" s="3">
        <v>5</v>
      </c>
    </row>
    <row r="3496" spans="1:22" x14ac:dyDescent="0.3">
      <c r="A3496" s="2" t="s">
        <v>7450</v>
      </c>
      <c r="B3496" s="10">
        <v>44492</v>
      </c>
      <c r="C3496" s="22">
        <v>44492</v>
      </c>
      <c r="D3496" s="1" t="s">
        <v>7451</v>
      </c>
      <c r="E3496" s="1" t="s">
        <v>1300</v>
      </c>
      <c r="F3496" s="1">
        <v>31</v>
      </c>
      <c r="G3496" s="1" t="s">
        <v>68</v>
      </c>
      <c r="H3496" s="1" t="s">
        <v>35</v>
      </c>
      <c r="I3496" s="1" t="s">
        <v>43</v>
      </c>
      <c r="J3496" s="1" t="s">
        <v>146</v>
      </c>
      <c r="K3496" s="1" t="s">
        <v>178</v>
      </c>
      <c r="L3496" s="1">
        <v>8</v>
      </c>
      <c r="M3496" s="13">
        <v>12621.58</v>
      </c>
      <c r="N3496" s="15">
        <v>0.23</v>
      </c>
      <c r="O3496" s="13">
        <v>64120.65</v>
      </c>
      <c r="P3496" s="13">
        <v>14256.86</v>
      </c>
      <c r="Q3496" s="13">
        <v>73.599999999999994</v>
      </c>
      <c r="R3496" s="1" t="s">
        <v>29</v>
      </c>
      <c r="S3496" s="1">
        <v>4</v>
      </c>
      <c r="T3496" s="1" t="b">
        <v>0</v>
      </c>
      <c r="U3496" s="1" t="s">
        <v>39</v>
      </c>
      <c r="V3496" s="3">
        <v>2</v>
      </c>
    </row>
    <row r="3497" spans="1:22" x14ac:dyDescent="0.3">
      <c r="A3497" s="2" t="s">
        <v>7452</v>
      </c>
      <c r="B3497" s="10">
        <v>45650</v>
      </c>
      <c r="C3497" s="22">
        <v>45650</v>
      </c>
      <c r="D3497" s="1" t="s">
        <v>7453</v>
      </c>
      <c r="E3497" s="1" t="s">
        <v>181</v>
      </c>
      <c r="F3497" s="1">
        <v>60</v>
      </c>
      <c r="G3497" s="1" t="s">
        <v>68</v>
      </c>
      <c r="H3497" s="1" t="s">
        <v>25</v>
      </c>
      <c r="I3497" s="1" t="s">
        <v>170</v>
      </c>
      <c r="J3497" s="1" t="s">
        <v>62</v>
      </c>
      <c r="K3497" s="1" t="s">
        <v>570</v>
      </c>
      <c r="L3497" s="1">
        <v>1</v>
      </c>
      <c r="M3497" s="13">
        <v>1309.19</v>
      </c>
      <c r="N3497" s="15">
        <v>0.23</v>
      </c>
      <c r="O3497" s="13">
        <v>976.81</v>
      </c>
      <c r="P3497" s="13">
        <v>529.27</v>
      </c>
      <c r="Q3497" s="13">
        <v>64.44</v>
      </c>
      <c r="R3497" s="1" t="s">
        <v>29</v>
      </c>
      <c r="S3497" s="1">
        <v>2</v>
      </c>
      <c r="T3497" s="1" t="b">
        <v>0</v>
      </c>
      <c r="U3497" s="1" t="s">
        <v>39</v>
      </c>
      <c r="V3497" s="3">
        <v>7</v>
      </c>
    </row>
    <row r="3498" spans="1:22" x14ac:dyDescent="0.3">
      <c r="A3498" s="2" t="s">
        <v>7454</v>
      </c>
      <c r="B3498" s="10">
        <v>44539</v>
      </c>
      <c r="C3498" s="22">
        <v>44539</v>
      </c>
      <c r="D3498" s="1" t="s">
        <v>7455</v>
      </c>
      <c r="E3498" s="1" t="s">
        <v>1335</v>
      </c>
      <c r="F3498" s="1">
        <v>51</v>
      </c>
      <c r="G3498" s="1" t="s">
        <v>24</v>
      </c>
      <c r="H3498" s="1" t="s">
        <v>111</v>
      </c>
      <c r="I3498" s="1" t="s">
        <v>330</v>
      </c>
      <c r="J3498" s="1" t="s">
        <v>62</v>
      </c>
      <c r="K3498" s="1" t="s">
        <v>570</v>
      </c>
      <c r="L3498" s="1">
        <v>8</v>
      </c>
      <c r="M3498" s="13">
        <v>1131.49</v>
      </c>
      <c r="N3498" s="15">
        <v>0.18</v>
      </c>
      <c r="O3498" s="13">
        <v>4640.1000000000004</v>
      </c>
      <c r="P3498" s="13">
        <v>1566.98</v>
      </c>
      <c r="Q3498" s="13">
        <v>88.17</v>
      </c>
      <c r="R3498" s="1" t="s">
        <v>29</v>
      </c>
      <c r="S3498" s="1">
        <v>5</v>
      </c>
      <c r="T3498" s="1" t="b">
        <v>0</v>
      </c>
      <c r="U3498" s="1" t="s">
        <v>39</v>
      </c>
      <c r="V3498" s="3">
        <v>4</v>
      </c>
    </row>
    <row r="3499" spans="1:22" x14ac:dyDescent="0.3">
      <c r="A3499" s="2" t="s">
        <v>7456</v>
      </c>
      <c r="B3499" s="10">
        <v>44725</v>
      </c>
      <c r="C3499" s="22">
        <v>44725</v>
      </c>
      <c r="D3499" s="1" t="s">
        <v>7457</v>
      </c>
      <c r="E3499" s="1" t="s">
        <v>1001</v>
      </c>
      <c r="F3499" s="1">
        <v>49</v>
      </c>
      <c r="G3499" s="1" t="s">
        <v>24</v>
      </c>
      <c r="H3499" s="1" t="s">
        <v>82</v>
      </c>
      <c r="I3499" s="1" t="s">
        <v>244</v>
      </c>
      <c r="J3499" s="1" t="s">
        <v>127</v>
      </c>
      <c r="K3499" s="1" t="s">
        <v>517</v>
      </c>
      <c r="L3499" s="1">
        <v>2</v>
      </c>
      <c r="M3499" s="13">
        <v>67980.100000000006</v>
      </c>
      <c r="N3499" s="15">
        <v>0.22</v>
      </c>
      <c r="O3499" s="13">
        <v>166434.21</v>
      </c>
      <c r="P3499" s="13">
        <v>17621.96</v>
      </c>
      <c r="Q3499" s="13">
        <v>84.59</v>
      </c>
      <c r="R3499" s="1" t="s">
        <v>57</v>
      </c>
      <c r="S3499" s="1">
        <v>3</v>
      </c>
      <c r="T3499" s="1" t="b">
        <v>0</v>
      </c>
      <c r="U3499" s="1" t="s">
        <v>39</v>
      </c>
      <c r="V3499" s="3">
        <v>9</v>
      </c>
    </row>
    <row r="3500" spans="1:22" x14ac:dyDescent="0.3">
      <c r="A3500" s="2" t="s">
        <v>7458</v>
      </c>
      <c r="B3500" s="10">
        <v>43925</v>
      </c>
      <c r="C3500" s="22">
        <v>43925</v>
      </c>
      <c r="D3500" s="1" t="s">
        <v>7459</v>
      </c>
      <c r="E3500" s="1" t="s">
        <v>275</v>
      </c>
      <c r="F3500" s="1">
        <v>34</v>
      </c>
      <c r="G3500" s="1" t="s">
        <v>34</v>
      </c>
      <c r="H3500" s="1" t="s">
        <v>74</v>
      </c>
      <c r="I3500" s="1" t="s">
        <v>192</v>
      </c>
      <c r="J3500" s="1" t="s">
        <v>76</v>
      </c>
      <c r="K3500" s="1" t="s">
        <v>132</v>
      </c>
      <c r="L3500" s="1">
        <v>4</v>
      </c>
      <c r="M3500" s="13">
        <v>3945.85</v>
      </c>
      <c r="N3500" s="15">
        <v>0.34</v>
      </c>
      <c r="O3500" s="13">
        <v>11190.58</v>
      </c>
      <c r="P3500" s="13">
        <v>5301.46</v>
      </c>
      <c r="Q3500" s="13">
        <v>63.9</v>
      </c>
      <c r="R3500" s="1" t="s">
        <v>64</v>
      </c>
      <c r="S3500" s="1">
        <v>4</v>
      </c>
      <c r="T3500" s="1" t="b">
        <v>0</v>
      </c>
      <c r="U3500" s="1" t="s">
        <v>84</v>
      </c>
      <c r="V3500" s="3">
        <v>7</v>
      </c>
    </row>
    <row r="3501" spans="1:22" x14ac:dyDescent="0.3">
      <c r="A3501" s="2" t="s">
        <v>7460</v>
      </c>
      <c r="B3501" s="10">
        <v>44824</v>
      </c>
      <c r="C3501" s="22">
        <v>44824</v>
      </c>
      <c r="D3501" s="1" t="s">
        <v>7461</v>
      </c>
      <c r="E3501" s="1" t="s">
        <v>1510</v>
      </c>
      <c r="F3501" s="1">
        <v>24</v>
      </c>
      <c r="G3501" s="1" t="s">
        <v>34</v>
      </c>
      <c r="H3501" s="1" t="s">
        <v>111</v>
      </c>
      <c r="I3501" s="1" t="s">
        <v>121</v>
      </c>
      <c r="J3501" s="1" t="s">
        <v>27</v>
      </c>
      <c r="K3501" s="1" t="s">
        <v>430</v>
      </c>
      <c r="L3501" s="1">
        <v>3</v>
      </c>
      <c r="M3501" s="13">
        <v>191.26</v>
      </c>
      <c r="N3501" s="15">
        <v>0.21</v>
      </c>
      <c r="O3501" s="13">
        <v>663.86</v>
      </c>
      <c r="P3501" s="13">
        <v>53.03</v>
      </c>
      <c r="Q3501" s="13">
        <v>74</v>
      </c>
      <c r="R3501" s="1" t="s">
        <v>57</v>
      </c>
      <c r="S3501" s="1">
        <v>4</v>
      </c>
      <c r="T3501" s="1" t="b">
        <v>0</v>
      </c>
      <c r="U3501" s="1" t="s">
        <v>39</v>
      </c>
      <c r="V3501" s="3">
        <v>6</v>
      </c>
    </row>
    <row r="3502" spans="1:22" x14ac:dyDescent="0.3">
      <c r="A3502" s="2" t="s">
        <v>7462</v>
      </c>
      <c r="B3502" s="10">
        <v>44407</v>
      </c>
      <c r="C3502" s="22">
        <v>44407</v>
      </c>
      <c r="D3502" s="1" t="s">
        <v>7463</v>
      </c>
      <c r="E3502" s="1" t="s">
        <v>1263</v>
      </c>
      <c r="F3502" s="1">
        <v>50</v>
      </c>
      <c r="G3502" s="1" t="s">
        <v>24</v>
      </c>
      <c r="H3502" s="1" t="s">
        <v>74</v>
      </c>
      <c r="I3502" s="1" t="s">
        <v>101</v>
      </c>
      <c r="J3502" s="1" t="s">
        <v>62</v>
      </c>
      <c r="K3502" s="1" t="s">
        <v>266</v>
      </c>
      <c r="L3502" s="1">
        <v>4</v>
      </c>
      <c r="M3502" s="13">
        <v>307.81</v>
      </c>
      <c r="N3502" s="15">
        <v>0.35</v>
      </c>
      <c r="O3502" s="13">
        <v>1054.94</v>
      </c>
      <c r="P3502" s="13">
        <v>466.48</v>
      </c>
      <c r="Q3502" s="13">
        <v>57.12</v>
      </c>
      <c r="R3502" s="1" t="s">
        <v>29</v>
      </c>
      <c r="S3502" s="1">
        <v>3</v>
      </c>
      <c r="T3502" s="1" t="b">
        <v>0</v>
      </c>
      <c r="U3502" s="1" t="s">
        <v>39</v>
      </c>
      <c r="V3502" s="3">
        <v>6</v>
      </c>
    </row>
    <row r="3503" spans="1:22" x14ac:dyDescent="0.3">
      <c r="A3503" s="2" t="s">
        <v>7464</v>
      </c>
      <c r="B3503" s="10">
        <v>44072</v>
      </c>
      <c r="C3503" s="22">
        <v>44072</v>
      </c>
      <c r="D3503" s="1" t="s">
        <v>7465</v>
      </c>
      <c r="E3503" s="1" t="s">
        <v>476</v>
      </c>
      <c r="F3503" s="1">
        <v>14</v>
      </c>
      <c r="G3503" s="1" t="s">
        <v>24</v>
      </c>
      <c r="H3503" s="1" t="s">
        <v>74</v>
      </c>
      <c r="I3503" s="1" t="s">
        <v>101</v>
      </c>
      <c r="J3503" s="1" t="s">
        <v>127</v>
      </c>
      <c r="K3503" s="1" t="s">
        <v>171</v>
      </c>
      <c r="L3503" s="1">
        <v>2</v>
      </c>
      <c r="M3503" s="13">
        <v>15493.36</v>
      </c>
      <c r="N3503" s="15">
        <v>0.01</v>
      </c>
      <c r="O3503" s="13">
        <v>34301.93</v>
      </c>
      <c r="P3503" s="13">
        <v>4274.1099999999997</v>
      </c>
      <c r="Q3503" s="13">
        <v>76.48</v>
      </c>
      <c r="R3503" s="1" t="s">
        <v>57</v>
      </c>
      <c r="S3503" s="1">
        <v>3</v>
      </c>
      <c r="T3503" s="1" t="b">
        <v>0</v>
      </c>
      <c r="U3503" s="1" t="s">
        <v>39</v>
      </c>
      <c r="V3503" s="3">
        <v>9</v>
      </c>
    </row>
    <row r="3504" spans="1:22" x14ac:dyDescent="0.3">
      <c r="A3504" s="2" t="s">
        <v>7466</v>
      </c>
      <c r="B3504" s="10">
        <v>45025</v>
      </c>
      <c r="C3504" s="22">
        <v>45025</v>
      </c>
      <c r="D3504" s="1" t="s">
        <v>7467</v>
      </c>
      <c r="E3504" s="1" t="s">
        <v>1862</v>
      </c>
      <c r="F3504" s="1">
        <v>48</v>
      </c>
      <c r="G3504" s="1" t="s">
        <v>68</v>
      </c>
      <c r="H3504" s="1" t="s">
        <v>82</v>
      </c>
      <c r="I3504" s="1" t="s">
        <v>293</v>
      </c>
      <c r="J3504" s="1" t="s">
        <v>76</v>
      </c>
      <c r="K3504" s="1" t="s">
        <v>77</v>
      </c>
      <c r="L3504" s="1">
        <v>4</v>
      </c>
      <c r="M3504" s="13">
        <v>2774.33</v>
      </c>
      <c r="N3504" s="15">
        <v>0.19</v>
      </c>
      <c r="O3504" s="13">
        <v>11734.39</v>
      </c>
      <c r="P3504" s="13">
        <v>5152.2</v>
      </c>
      <c r="Q3504" s="13">
        <v>71.400000000000006</v>
      </c>
      <c r="R3504" s="1" t="s">
        <v>64</v>
      </c>
      <c r="S3504" s="1">
        <v>2</v>
      </c>
      <c r="T3504" s="1" t="b">
        <v>0</v>
      </c>
      <c r="U3504" s="1" t="s">
        <v>137</v>
      </c>
      <c r="V3504" s="3">
        <v>6</v>
      </c>
    </row>
    <row r="3505" spans="1:22" x14ac:dyDescent="0.3">
      <c r="A3505" s="2" t="s">
        <v>7468</v>
      </c>
      <c r="B3505" s="10">
        <v>45380</v>
      </c>
      <c r="C3505" s="22">
        <v>45380</v>
      </c>
      <c r="D3505" s="1" t="s">
        <v>7469</v>
      </c>
      <c r="E3505" s="1" t="s">
        <v>569</v>
      </c>
      <c r="F3505" s="1">
        <v>41</v>
      </c>
      <c r="G3505" s="1" t="s">
        <v>34</v>
      </c>
      <c r="H3505" s="1" t="s">
        <v>82</v>
      </c>
      <c r="I3505" s="1" t="s">
        <v>83</v>
      </c>
      <c r="J3505" s="1" t="s">
        <v>37</v>
      </c>
      <c r="K3505" s="1" t="s">
        <v>182</v>
      </c>
      <c r="L3505" s="1">
        <v>9</v>
      </c>
      <c r="M3505" s="13">
        <v>1290.81</v>
      </c>
      <c r="N3505" s="15">
        <v>0.38</v>
      </c>
      <c r="O3505" s="13">
        <v>10137.870000000001</v>
      </c>
      <c r="P3505" s="13">
        <v>4065.85</v>
      </c>
      <c r="Q3505" s="13">
        <v>94.19</v>
      </c>
      <c r="R3505" s="1" t="s">
        <v>51</v>
      </c>
      <c r="S3505" s="1">
        <v>2</v>
      </c>
      <c r="T3505" s="1" t="b">
        <v>1</v>
      </c>
      <c r="U3505" s="1" t="s">
        <v>30</v>
      </c>
      <c r="V3505" s="3">
        <v>8</v>
      </c>
    </row>
    <row r="3506" spans="1:22" x14ac:dyDescent="0.3">
      <c r="A3506" s="2" t="s">
        <v>7470</v>
      </c>
      <c r="B3506" s="10">
        <v>44731</v>
      </c>
      <c r="C3506" s="22">
        <v>44731</v>
      </c>
      <c r="D3506" s="1" t="s">
        <v>7471</v>
      </c>
      <c r="E3506" s="1" t="s">
        <v>1173</v>
      </c>
      <c r="F3506" s="1">
        <v>22</v>
      </c>
      <c r="G3506" s="1" t="s">
        <v>68</v>
      </c>
      <c r="H3506" s="1" t="s">
        <v>25</v>
      </c>
      <c r="I3506" s="1" t="s">
        <v>26</v>
      </c>
      <c r="J3506" s="1" t="s">
        <v>127</v>
      </c>
      <c r="K3506" s="1" t="s">
        <v>171</v>
      </c>
      <c r="L3506" s="1">
        <v>1</v>
      </c>
      <c r="M3506" s="13">
        <v>40586.06</v>
      </c>
      <c r="N3506" s="15">
        <v>0.03</v>
      </c>
      <c r="O3506" s="13">
        <v>56057.11</v>
      </c>
      <c r="P3506" s="13">
        <v>7068.43</v>
      </c>
      <c r="Q3506" s="13">
        <v>52.63</v>
      </c>
      <c r="R3506" s="1" t="s">
        <v>29</v>
      </c>
      <c r="S3506" s="1">
        <v>4</v>
      </c>
      <c r="T3506" s="1" t="b">
        <v>0</v>
      </c>
      <c r="U3506" s="1" t="s">
        <v>39</v>
      </c>
      <c r="V3506" s="3">
        <v>10</v>
      </c>
    </row>
    <row r="3507" spans="1:22" x14ac:dyDescent="0.3">
      <c r="A3507" s="2" t="s">
        <v>7472</v>
      </c>
      <c r="B3507" s="10">
        <v>44500</v>
      </c>
      <c r="C3507" s="22">
        <v>44500</v>
      </c>
      <c r="D3507" s="1" t="s">
        <v>7473</v>
      </c>
      <c r="E3507" s="1" t="s">
        <v>476</v>
      </c>
      <c r="F3507" s="1">
        <v>38</v>
      </c>
      <c r="G3507" s="1" t="s">
        <v>34</v>
      </c>
      <c r="H3507" s="1" t="s">
        <v>35</v>
      </c>
      <c r="I3507" s="1" t="s">
        <v>36</v>
      </c>
      <c r="J3507" s="1" t="s">
        <v>127</v>
      </c>
      <c r="K3507" s="1" t="s">
        <v>142</v>
      </c>
      <c r="L3507" s="1">
        <v>10</v>
      </c>
      <c r="M3507" s="13">
        <v>42792.45</v>
      </c>
      <c r="N3507" s="15">
        <v>0.21</v>
      </c>
      <c r="O3507" s="13">
        <v>409543.23</v>
      </c>
      <c r="P3507" s="13">
        <v>52367.87</v>
      </c>
      <c r="Q3507" s="13">
        <v>70.739999999999995</v>
      </c>
      <c r="R3507" s="1" t="s">
        <v>51</v>
      </c>
      <c r="S3507" s="1">
        <v>3</v>
      </c>
      <c r="T3507" s="1" t="b">
        <v>0</v>
      </c>
      <c r="U3507" s="1" t="s">
        <v>39</v>
      </c>
      <c r="V3507" s="3">
        <v>6</v>
      </c>
    </row>
    <row r="3508" spans="1:22" x14ac:dyDescent="0.3">
      <c r="A3508" s="2" t="s">
        <v>7474</v>
      </c>
      <c r="B3508" s="10">
        <v>45331</v>
      </c>
      <c r="C3508" s="22">
        <v>45331</v>
      </c>
      <c r="D3508" s="1" t="s">
        <v>7475</v>
      </c>
      <c r="E3508" s="1" t="s">
        <v>125</v>
      </c>
      <c r="F3508" s="1">
        <v>40</v>
      </c>
      <c r="G3508" s="1" t="s">
        <v>24</v>
      </c>
      <c r="H3508" s="1" t="s">
        <v>35</v>
      </c>
      <c r="I3508" s="1" t="s">
        <v>36</v>
      </c>
      <c r="J3508" s="1" t="s">
        <v>44</v>
      </c>
      <c r="K3508" s="1" t="s">
        <v>50</v>
      </c>
      <c r="L3508" s="1">
        <v>7</v>
      </c>
      <c r="M3508" s="13">
        <v>31279</v>
      </c>
      <c r="N3508" s="15">
        <v>0.14000000000000001</v>
      </c>
      <c r="O3508" s="13">
        <v>193192.92</v>
      </c>
      <c r="P3508" s="13">
        <v>59242.7</v>
      </c>
      <c r="Q3508" s="13">
        <v>61.6</v>
      </c>
      <c r="R3508" s="1" t="s">
        <v>57</v>
      </c>
      <c r="S3508" s="1">
        <v>3</v>
      </c>
      <c r="T3508" s="1" t="b">
        <v>0</v>
      </c>
      <c r="U3508" s="1" t="s">
        <v>39</v>
      </c>
      <c r="V3508" s="3">
        <v>9</v>
      </c>
    </row>
    <row r="3509" spans="1:22" x14ac:dyDescent="0.3">
      <c r="A3509" s="2" t="s">
        <v>7476</v>
      </c>
      <c r="B3509" s="10">
        <v>44581</v>
      </c>
      <c r="C3509" s="22">
        <v>44581</v>
      </c>
      <c r="D3509" s="1" t="s">
        <v>7477</v>
      </c>
      <c r="E3509" s="1" t="s">
        <v>2214</v>
      </c>
      <c r="F3509" s="1">
        <v>31</v>
      </c>
      <c r="G3509" s="1" t="s">
        <v>434</v>
      </c>
      <c r="H3509" s="1" t="s">
        <v>74</v>
      </c>
      <c r="I3509" s="1" t="s">
        <v>101</v>
      </c>
      <c r="J3509" s="1" t="s">
        <v>146</v>
      </c>
      <c r="K3509" s="1" t="s">
        <v>161</v>
      </c>
      <c r="L3509" s="1">
        <v>8</v>
      </c>
      <c r="M3509" s="13">
        <v>4915.8500000000004</v>
      </c>
      <c r="N3509" s="15">
        <v>0.4</v>
      </c>
      <c r="O3509" s="13">
        <v>20462.27</v>
      </c>
      <c r="P3509" s="13">
        <v>3522.42</v>
      </c>
      <c r="Q3509" s="13">
        <v>71.09</v>
      </c>
      <c r="R3509" s="1" t="s">
        <v>29</v>
      </c>
      <c r="S3509" s="1">
        <v>2</v>
      </c>
      <c r="T3509" s="1" t="b">
        <v>0</v>
      </c>
      <c r="U3509" s="1" t="s">
        <v>39</v>
      </c>
      <c r="V3509" s="3">
        <v>10</v>
      </c>
    </row>
    <row r="3510" spans="1:22" x14ac:dyDescent="0.3">
      <c r="A3510" s="2" t="s">
        <v>7478</v>
      </c>
      <c r="B3510" s="10">
        <v>44910</v>
      </c>
      <c r="C3510" s="22">
        <v>44910</v>
      </c>
      <c r="D3510" s="1" t="s">
        <v>7479</v>
      </c>
      <c r="E3510" s="1" t="s">
        <v>897</v>
      </c>
      <c r="F3510" s="1">
        <v>58</v>
      </c>
      <c r="G3510" s="1" t="s">
        <v>68</v>
      </c>
      <c r="H3510" s="1" t="s">
        <v>74</v>
      </c>
      <c r="I3510" s="1" t="s">
        <v>192</v>
      </c>
      <c r="J3510" s="1" t="s">
        <v>37</v>
      </c>
      <c r="K3510" s="1" t="s">
        <v>38</v>
      </c>
      <c r="L3510" s="1">
        <v>2</v>
      </c>
      <c r="M3510" s="13">
        <v>197.14</v>
      </c>
      <c r="N3510" s="15">
        <v>0.08</v>
      </c>
      <c r="O3510" s="13">
        <v>304.99</v>
      </c>
      <c r="P3510" s="13">
        <v>162.97</v>
      </c>
      <c r="Q3510" s="13">
        <v>48.37</v>
      </c>
      <c r="R3510" s="1" t="s">
        <v>51</v>
      </c>
      <c r="S3510" s="1">
        <v>4</v>
      </c>
      <c r="T3510" s="1" t="b">
        <v>1</v>
      </c>
      <c r="U3510" s="1" t="s">
        <v>30</v>
      </c>
      <c r="V3510" s="3">
        <v>8</v>
      </c>
    </row>
    <row r="3511" spans="1:22" x14ac:dyDescent="0.3">
      <c r="A3511" s="2" t="s">
        <v>7480</v>
      </c>
      <c r="B3511" s="10">
        <v>45507</v>
      </c>
      <c r="C3511" s="22">
        <v>45507</v>
      </c>
      <c r="D3511" s="1" t="s">
        <v>7481</v>
      </c>
      <c r="E3511" s="1" t="s">
        <v>767</v>
      </c>
      <c r="F3511" s="1">
        <v>61</v>
      </c>
      <c r="G3511" s="1" t="s">
        <v>68</v>
      </c>
      <c r="H3511" s="1" t="s">
        <v>82</v>
      </c>
      <c r="I3511" s="1" t="s">
        <v>83</v>
      </c>
      <c r="J3511" s="1" t="s">
        <v>146</v>
      </c>
      <c r="K3511" s="1" t="s">
        <v>161</v>
      </c>
      <c r="L3511" s="1">
        <v>6</v>
      </c>
      <c r="M3511" s="13">
        <v>5613.7</v>
      </c>
      <c r="N3511" s="15">
        <v>0.28000000000000003</v>
      </c>
      <c r="O3511" s="13">
        <v>38639.599999999999</v>
      </c>
      <c r="P3511" s="13">
        <v>7893.42</v>
      </c>
      <c r="Q3511" s="13">
        <v>61.84</v>
      </c>
      <c r="R3511" s="1" t="s">
        <v>29</v>
      </c>
      <c r="S3511" s="1">
        <v>3</v>
      </c>
      <c r="T3511" s="1" t="b">
        <v>0</v>
      </c>
      <c r="U3511" s="1" t="s">
        <v>39</v>
      </c>
      <c r="V3511" s="3">
        <v>6</v>
      </c>
    </row>
    <row r="3512" spans="1:22" x14ac:dyDescent="0.3">
      <c r="A3512" s="2" t="s">
        <v>7482</v>
      </c>
      <c r="B3512" s="10">
        <v>44708</v>
      </c>
      <c r="C3512" s="22">
        <v>44708</v>
      </c>
      <c r="D3512" s="1" t="s">
        <v>7483</v>
      </c>
      <c r="E3512" s="1" t="s">
        <v>216</v>
      </c>
      <c r="F3512" s="1">
        <v>22</v>
      </c>
      <c r="G3512" s="1" t="s">
        <v>34</v>
      </c>
      <c r="H3512" s="1" t="s">
        <v>35</v>
      </c>
      <c r="I3512" s="1" t="s">
        <v>49</v>
      </c>
      <c r="J3512" s="1" t="s">
        <v>27</v>
      </c>
      <c r="K3512" s="1" t="s">
        <v>430</v>
      </c>
      <c r="L3512" s="1">
        <v>2</v>
      </c>
      <c r="M3512" s="13">
        <v>190.58</v>
      </c>
      <c r="N3512" s="15">
        <v>0.32</v>
      </c>
      <c r="O3512" s="13">
        <v>399.58</v>
      </c>
      <c r="P3512" s="13">
        <v>33.130000000000003</v>
      </c>
      <c r="Q3512" s="13">
        <v>70.16</v>
      </c>
      <c r="R3512" s="1" t="s">
        <v>64</v>
      </c>
      <c r="S3512" s="1">
        <v>4</v>
      </c>
      <c r="T3512" s="1" t="b">
        <v>0</v>
      </c>
      <c r="U3512" s="1" t="s">
        <v>39</v>
      </c>
      <c r="V3512" s="3">
        <v>8</v>
      </c>
    </row>
    <row r="3513" spans="1:22" x14ac:dyDescent="0.3">
      <c r="A3513" s="2" t="s">
        <v>7484</v>
      </c>
      <c r="B3513" s="10">
        <v>44404</v>
      </c>
      <c r="C3513" s="22">
        <v>44404</v>
      </c>
      <c r="D3513" s="1" t="s">
        <v>7485</v>
      </c>
      <c r="E3513" s="1" t="s">
        <v>2281</v>
      </c>
      <c r="F3513" s="1">
        <v>53</v>
      </c>
      <c r="G3513" s="1" t="s">
        <v>34</v>
      </c>
      <c r="H3513" s="1" t="s">
        <v>74</v>
      </c>
      <c r="I3513" s="1" t="s">
        <v>192</v>
      </c>
      <c r="J3513" s="1" t="s">
        <v>127</v>
      </c>
      <c r="K3513" s="1" t="s">
        <v>308</v>
      </c>
      <c r="L3513" s="1">
        <v>10</v>
      </c>
      <c r="M3513" s="13">
        <v>16086.67</v>
      </c>
      <c r="N3513" s="15">
        <v>0.09</v>
      </c>
      <c r="O3513" s="13">
        <v>194593.37</v>
      </c>
      <c r="P3513" s="13">
        <v>28383.360000000001</v>
      </c>
      <c r="Q3513" s="13">
        <v>48.31</v>
      </c>
      <c r="R3513" s="1" t="s">
        <v>70</v>
      </c>
      <c r="S3513" s="1">
        <v>2</v>
      </c>
      <c r="T3513" s="1" t="b">
        <v>0</v>
      </c>
      <c r="U3513" s="1" t="s">
        <v>39</v>
      </c>
      <c r="V3513" s="3">
        <v>3</v>
      </c>
    </row>
    <row r="3514" spans="1:22" x14ac:dyDescent="0.3">
      <c r="A3514" s="2" t="s">
        <v>7486</v>
      </c>
      <c r="B3514" s="10">
        <v>45087</v>
      </c>
      <c r="C3514" s="22">
        <v>45087</v>
      </c>
      <c r="D3514" s="1" t="s">
        <v>7487</v>
      </c>
      <c r="E3514" s="1" t="s">
        <v>3152</v>
      </c>
      <c r="F3514" s="1">
        <v>37</v>
      </c>
      <c r="G3514" s="1" t="s">
        <v>68</v>
      </c>
      <c r="H3514" s="1" t="s">
        <v>111</v>
      </c>
      <c r="I3514" s="1" t="s">
        <v>141</v>
      </c>
      <c r="J3514" s="1" t="s">
        <v>76</v>
      </c>
      <c r="K3514" s="1" t="s">
        <v>113</v>
      </c>
      <c r="L3514" s="1">
        <v>5</v>
      </c>
      <c r="M3514" s="13">
        <v>2719.24</v>
      </c>
      <c r="N3514" s="15">
        <v>0.37</v>
      </c>
      <c r="O3514" s="13">
        <v>14617.3</v>
      </c>
      <c r="P3514" s="13">
        <v>4858.0600000000004</v>
      </c>
      <c r="Q3514" s="13">
        <v>78.069999999999993</v>
      </c>
      <c r="R3514" s="1" t="s">
        <v>78</v>
      </c>
      <c r="S3514" s="1">
        <v>5</v>
      </c>
      <c r="T3514" s="1" t="b">
        <v>0</v>
      </c>
      <c r="U3514" s="1" t="s">
        <v>39</v>
      </c>
      <c r="V3514" s="3">
        <v>6</v>
      </c>
    </row>
    <row r="3515" spans="1:22" x14ac:dyDescent="0.3">
      <c r="A3515" s="2" t="s">
        <v>7488</v>
      </c>
      <c r="B3515" s="10">
        <v>45129</v>
      </c>
      <c r="C3515" s="22">
        <v>45129</v>
      </c>
      <c r="D3515" s="1" t="s">
        <v>7489</v>
      </c>
      <c r="E3515" s="1" t="s">
        <v>265</v>
      </c>
      <c r="F3515" s="1">
        <v>47</v>
      </c>
      <c r="G3515" s="1" t="s">
        <v>24</v>
      </c>
      <c r="H3515" s="1" t="s">
        <v>111</v>
      </c>
      <c r="I3515" s="1" t="s">
        <v>141</v>
      </c>
      <c r="J3515" s="1" t="s">
        <v>44</v>
      </c>
      <c r="K3515" s="1" t="s">
        <v>221</v>
      </c>
      <c r="L3515" s="1">
        <v>4</v>
      </c>
      <c r="M3515" s="13">
        <v>17215.86</v>
      </c>
      <c r="N3515" s="15">
        <v>0.38</v>
      </c>
      <c r="O3515" s="13">
        <v>69333.08</v>
      </c>
      <c r="P3515" s="13">
        <v>21312.1</v>
      </c>
      <c r="Q3515" s="13">
        <v>63.55</v>
      </c>
      <c r="R3515" s="1" t="s">
        <v>51</v>
      </c>
      <c r="S3515" s="1">
        <v>1</v>
      </c>
      <c r="T3515" s="1" t="b">
        <v>0</v>
      </c>
      <c r="U3515" s="1" t="s">
        <v>39</v>
      </c>
      <c r="V3515" s="3">
        <v>2</v>
      </c>
    </row>
    <row r="3516" spans="1:22" x14ac:dyDescent="0.3">
      <c r="A3516" s="2" t="s">
        <v>7490</v>
      </c>
      <c r="B3516" s="10">
        <v>44859</v>
      </c>
      <c r="C3516" s="22">
        <v>44859</v>
      </c>
      <c r="D3516" s="1" t="s">
        <v>7491</v>
      </c>
      <c r="E3516" s="1" t="s">
        <v>1803</v>
      </c>
      <c r="F3516" s="1">
        <v>32</v>
      </c>
      <c r="G3516" s="1" t="s">
        <v>68</v>
      </c>
      <c r="H3516" s="1" t="s">
        <v>74</v>
      </c>
      <c r="I3516" s="1" t="s">
        <v>101</v>
      </c>
      <c r="J3516" s="1" t="s">
        <v>76</v>
      </c>
      <c r="K3516" s="1" t="s">
        <v>77</v>
      </c>
      <c r="L3516" s="1">
        <v>8</v>
      </c>
      <c r="M3516" s="13">
        <v>1627.94</v>
      </c>
      <c r="N3516" s="15">
        <v>0.21</v>
      </c>
      <c r="O3516" s="13">
        <v>10875.63</v>
      </c>
      <c r="P3516" s="13">
        <v>3552.18</v>
      </c>
      <c r="Q3516" s="13">
        <v>57.07</v>
      </c>
      <c r="R3516" s="1" t="s">
        <v>57</v>
      </c>
      <c r="S3516" s="1">
        <v>4</v>
      </c>
      <c r="T3516" s="1" t="b">
        <v>0</v>
      </c>
      <c r="U3516" s="1" t="s">
        <v>39</v>
      </c>
      <c r="V3516" s="3">
        <v>10</v>
      </c>
    </row>
    <row r="3517" spans="1:22" x14ac:dyDescent="0.3">
      <c r="A3517" s="2" t="s">
        <v>7492</v>
      </c>
      <c r="B3517" s="10">
        <v>43929</v>
      </c>
      <c r="C3517" s="22">
        <v>43929</v>
      </c>
      <c r="D3517" s="1" t="s">
        <v>7493</v>
      </c>
      <c r="E3517" s="1" t="s">
        <v>1653</v>
      </c>
      <c r="F3517" s="1">
        <v>22</v>
      </c>
      <c r="G3517" s="1" t="s">
        <v>34</v>
      </c>
      <c r="H3517" s="1" t="s">
        <v>35</v>
      </c>
      <c r="I3517" s="1" t="s">
        <v>49</v>
      </c>
      <c r="J3517" s="1" t="s">
        <v>146</v>
      </c>
      <c r="K3517" s="1" t="s">
        <v>147</v>
      </c>
      <c r="L3517" s="1">
        <v>9</v>
      </c>
      <c r="M3517" s="13">
        <v>3135.91</v>
      </c>
      <c r="N3517" s="15">
        <v>0.3</v>
      </c>
      <c r="O3517" s="13">
        <v>17571.72</v>
      </c>
      <c r="P3517" s="13">
        <v>2904.35</v>
      </c>
      <c r="Q3517" s="13">
        <v>58.58</v>
      </c>
      <c r="R3517" s="1" t="s">
        <v>78</v>
      </c>
      <c r="S3517" s="1">
        <v>3</v>
      </c>
      <c r="T3517" s="1" t="b">
        <v>0</v>
      </c>
      <c r="U3517" s="1" t="s">
        <v>39</v>
      </c>
      <c r="V3517" s="3">
        <v>2</v>
      </c>
    </row>
    <row r="3518" spans="1:22" x14ac:dyDescent="0.3">
      <c r="A3518" s="2" t="s">
        <v>7494</v>
      </c>
      <c r="B3518" s="10">
        <v>45623</v>
      </c>
      <c r="C3518" s="22">
        <v>45623</v>
      </c>
      <c r="D3518" s="1" t="s">
        <v>7495</v>
      </c>
      <c r="E3518" s="1" t="s">
        <v>2505</v>
      </c>
      <c r="F3518" s="1">
        <v>14</v>
      </c>
      <c r="G3518" s="1" t="s">
        <v>68</v>
      </c>
      <c r="H3518" s="1" t="s">
        <v>82</v>
      </c>
      <c r="I3518" s="1" t="s">
        <v>126</v>
      </c>
      <c r="J3518" s="1" t="s">
        <v>76</v>
      </c>
      <c r="K3518" s="1" t="s">
        <v>77</v>
      </c>
      <c r="L3518" s="1">
        <v>8</v>
      </c>
      <c r="M3518" s="13">
        <v>612.16</v>
      </c>
      <c r="N3518" s="15">
        <v>0.05</v>
      </c>
      <c r="O3518" s="13">
        <v>4471.04</v>
      </c>
      <c r="P3518" s="13">
        <v>845.36</v>
      </c>
      <c r="Q3518" s="13">
        <v>119.57</v>
      </c>
      <c r="R3518" s="1" t="s">
        <v>78</v>
      </c>
      <c r="S3518" s="1">
        <v>2</v>
      </c>
      <c r="T3518" s="1" t="b">
        <v>0</v>
      </c>
      <c r="U3518" s="1" t="s">
        <v>39</v>
      </c>
      <c r="V3518" s="3">
        <v>3</v>
      </c>
    </row>
    <row r="3519" spans="1:22" x14ac:dyDescent="0.3">
      <c r="A3519" s="2" t="s">
        <v>7496</v>
      </c>
      <c r="B3519" s="10">
        <v>45368</v>
      </c>
      <c r="C3519" s="22">
        <v>45368</v>
      </c>
      <c r="D3519" s="1" t="s">
        <v>4300</v>
      </c>
      <c r="E3519" s="1" t="s">
        <v>1067</v>
      </c>
      <c r="F3519" s="1">
        <v>43</v>
      </c>
      <c r="G3519" s="1" t="s">
        <v>68</v>
      </c>
      <c r="H3519" s="1" t="s">
        <v>35</v>
      </c>
      <c r="I3519" s="1" t="s">
        <v>106</v>
      </c>
      <c r="J3519" s="1" t="s">
        <v>127</v>
      </c>
      <c r="K3519" s="1" t="s">
        <v>196</v>
      </c>
      <c r="L3519" s="1">
        <v>10</v>
      </c>
      <c r="M3519" s="13">
        <v>37177.589999999997</v>
      </c>
      <c r="N3519" s="15">
        <v>0.24</v>
      </c>
      <c r="O3519" s="13">
        <v>380113.28</v>
      </c>
      <c r="P3519" s="13">
        <v>54735.8</v>
      </c>
      <c r="Q3519" s="13">
        <v>107.23</v>
      </c>
      <c r="R3519" s="1" t="s">
        <v>64</v>
      </c>
      <c r="S3519" s="1">
        <v>1</v>
      </c>
      <c r="T3519" s="1" t="b">
        <v>0</v>
      </c>
      <c r="U3519" s="1" t="s">
        <v>39</v>
      </c>
      <c r="V3519" s="3">
        <v>3</v>
      </c>
    </row>
    <row r="3520" spans="1:22" x14ac:dyDescent="0.3">
      <c r="A3520" s="2" t="s">
        <v>7497</v>
      </c>
      <c r="B3520" s="10">
        <v>44077</v>
      </c>
      <c r="C3520" s="22">
        <v>44077</v>
      </c>
      <c r="D3520" s="1" t="s">
        <v>7498</v>
      </c>
      <c r="E3520" s="1" t="s">
        <v>344</v>
      </c>
      <c r="F3520" s="1">
        <v>25</v>
      </c>
      <c r="G3520" s="1" t="s">
        <v>24</v>
      </c>
      <c r="H3520" s="1" t="s">
        <v>74</v>
      </c>
      <c r="I3520" s="1" t="s">
        <v>75</v>
      </c>
      <c r="J3520" s="1" t="s">
        <v>37</v>
      </c>
      <c r="K3520" s="1" t="s">
        <v>102</v>
      </c>
      <c r="L3520" s="1">
        <v>9</v>
      </c>
      <c r="M3520" s="13">
        <v>644.98</v>
      </c>
      <c r="N3520" s="15">
        <v>0.25</v>
      </c>
      <c r="O3520" s="13">
        <v>4487.87</v>
      </c>
      <c r="P3520" s="13">
        <v>1995.62</v>
      </c>
      <c r="Q3520" s="13">
        <v>37.32</v>
      </c>
      <c r="R3520" s="1" t="s">
        <v>70</v>
      </c>
      <c r="S3520" s="1">
        <v>5</v>
      </c>
      <c r="T3520" s="1" t="b">
        <v>0</v>
      </c>
      <c r="U3520" s="1" t="s">
        <v>39</v>
      </c>
      <c r="V3520" s="3">
        <v>5</v>
      </c>
    </row>
    <row r="3521" spans="1:22" x14ac:dyDescent="0.3">
      <c r="A3521" s="2" t="s">
        <v>7499</v>
      </c>
      <c r="B3521" s="10">
        <v>43853</v>
      </c>
      <c r="C3521" s="22">
        <v>43853</v>
      </c>
      <c r="D3521" s="1" t="s">
        <v>7500</v>
      </c>
      <c r="E3521" s="1" t="s">
        <v>1282</v>
      </c>
      <c r="F3521" s="1">
        <v>37</v>
      </c>
      <c r="G3521" s="1" t="s">
        <v>68</v>
      </c>
      <c r="H3521" s="1" t="s">
        <v>74</v>
      </c>
      <c r="I3521" s="1" t="s">
        <v>136</v>
      </c>
      <c r="J3521" s="1" t="s">
        <v>146</v>
      </c>
      <c r="K3521" s="1" t="s">
        <v>161</v>
      </c>
      <c r="L3521" s="1">
        <v>1</v>
      </c>
      <c r="M3521" s="13">
        <v>2554.77</v>
      </c>
      <c r="N3521" s="15">
        <v>7.0000000000000007E-2</v>
      </c>
      <c r="O3521" s="13">
        <v>1705.43</v>
      </c>
      <c r="P3521" s="13">
        <v>376.62</v>
      </c>
      <c r="Q3521" s="13">
        <v>65.44</v>
      </c>
      <c r="R3521" s="1" t="s">
        <v>70</v>
      </c>
      <c r="S3521" s="1">
        <v>2</v>
      </c>
      <c r="T3521" s="1" t="b">
        <v>0</v>
      </c>
      <c r="U3521" s="1" t="s">
        <v>39</v>
      </c>
      <c r="V3521" s="3">
        <v>2</v>
      </c>
    </row>
    <row r="3522" spans="1:22" x14ac:dyDescent="0.3">
      <c r="A3522" s="2" t="s">
        <v>7501</v>
      </c>
      <c r="B3522" s="10">
        <v>45104</v>
      </c>
      <c r="C3522" s="22">
        <v>45104</v>
      </c>
      <c r="D3522" s="1" t="s">
        <v>7502</v>
      </c>
      <c r="E3522" s="1" t="s">
        <v>875</v>
      </c>
      <c r="F3522" s="1">
        <v>46</v>
      </c>
      <c r="G3522" s="1" t="s">
        <v>68</v>
      </c>
      <c r="H3522" s="1" t="s">
        <v>25</v>
      </c>
      <c r="I3522" s="1" t="s">
        <v>69</v>
      </c>
      <c r="J3522" s="1" t="s">
        <v>62</v>
      </c>
      <c r="K3522" s="1" t="s">
        <v>266</v>
      </c>
      <c r="L3522" s="1">
        <v>10</v>
      </c>
      <c r="M3522" s="13">
        <v>1124.31</v>
      </c>
      <c r="N3522" s="15">
        <v>0.12</v>
      </c>
      <c r="O3522" s="13">
        <v>18133.14</v>
      </c>
      <c r="P3522" s="13">
        <v>7672.21</v>
      </c>
      <c r="Q3522" s="13">
        <v>80.41</v>
      </c>
      <c r="R3522" s="1" t="s">
        <v>51</v>
      </c>
      <c r="S3522" s="1">
        <v>2</v>
      </c>
      <c r="T3522" s="1" t="b">
        <v>0</v>
      </c>
      <c r="U3522" s="1" t="s">
        <v>197</v>
      </c>
      <c r="V3522" s="3">
        <v>2</v>
      </c>
    </row>
    <row r="3523" spans="1:22" x14ac:dyDescent="0.3">
      <c r="A3523" s="2" t="s">
        <v>7503</v>
      </c>
      <c r="B3523" s="10">
        <v>44483</v>
      </c>
      <c r="C3523" s="22">
        <v>44483</v>
      </c>
      <c r="D3523" s="1" t="s">
        <v>7504</v>
      </c>
      <c r="E3523" s="1" t="s">
        <v>676</v>
      </c>
      <c r="F3523" s="1">
        <v>48</v>
      </c>
      <c r="G3523" s="1" t="s">
        <v>34</v>
      </c>
      <c r="H3523" s="1" t="s">
        <v>74</v>
      </c>
      <c r="I3523" s="1" t="s">
        <v>136</v>
      </c>
      <c r="J3523" s="1" t="s">
        <v>37</v>
      </c>
      <c r="K3523" s="1" t="s">
        <v>454</v>
      </c>
      <c r="L3523" s="1">
        <v>5</v>
      </c>
      <c r="M3523" s="13">
        <v>314.26</v>
      </c>
      <c r="N3523" s="15">
        <v>0.28000000000000003</v>
      </c>
      <c r="O3523" s="13">
        <v>1186.73</v>
      </c>
      <c r="P3523" s="13">
        <v>376.78</v>
      </c>
      <c r="Q3523" s="13">
        <v>62.97</v>
      </c>
      <c r="R3523" s="1" t="s">
        <v>29</v>
      </c>
      <c r="S3523" s="1">
        <v>5</v>
      </c>
      <c r="T3523" s="1" t="b">
        <v>0</v>
      </c>
      <c r="U3523" s="1" t="s">
        <v>39</v>
      </c>
      <c r="V3523" s="3">
        <v>6</v>
      </c>
    </row>
    <row r="3524" spans="1:22" x14ac:dyDescent="0.3">
      <c r="A3524" s="2" t="s">
        <v>7505</v>
      </c>
      <c r="B3524" s="10">
        <v>45518</v>
      </c>
      <c r="C3524" s="22">
        <v>45518</v>
      </c>
      <c r="D3524" s="1" t="s">
        <v>7506</v>
      </c>
      <c r="E3524" s="1" t="s">
        <v>915</v>
      </c>
      <c r="F3524" s="1">
        <v>52</v>
      </c>
      <c r="G3524" s="1" t="s">
        <v>68</v>
      </c>
      <c r="H3524" s="1" t="s">
        <v>111</v>
      </c>
      <c r="I3524" s="1" t="s">
        <v>121</v>
      </c>
      <c r="J3524" s="1" t="s">
        <v>44</v>
      </c>
      <c r="K3524" s="1" t="s">
        <v>45</v>
      </c>
      <c r="L3524" s="1">
        <v>10</v>
      </c>
      <c r="M3524" s="13">
        <v>5838.04</v>
      </c>
      <c r="N3524" s="15">
        <v>7.0000000000000007E-2</v>
      </c>
      <c r="O3524" s="13">
        <v>82953.5</v>
      </c>
      <c r="P3524" s="13">
        <v>23848.22</v>
      </c>
      <c r="Q3524" s="13">
        <v>71.75</v>
      </c>
      <c r="R3524" s="1" t="s">
        <v>29</v>
      </c>
      <c r="S3524" s="1">
        <v>4</v>
      </c>
      <c r="T3524" s="1" t="b">
        <v>1</v>
      </c>
      <c r="U3524" s="1" t="s">
        <v>30</v>
      </c>
      <c r="V3524" s="3">
        <v>3</v>
      </c>
    </row>
    <row r="3525" spans="1:22" x14ac:dyDescent="0.3">
      <c r="A3525" s="2" t="s">
        <v>7507</v>
      </c>
      <c r="B3525" s="10">
        <v>44601</v>
      </c>
      <c r="C3525" s="22">
        <v>44601</v>
      </c>
      <c r="D3525" s="1" t="s">
        <v>4900</v>
      </c>
      <c r="E3525" s="1" t="s">
        <v>608</v>
      </c>
      <c r="F3525" s="1">
        <v>18</v>
      </c>
      <c r="G3525" s="1" t="s">
        <v>88</v>
      </c>
      <c r="H3525" s="1" t="s">
        <v>82</v>
      </c>
      <c r="I3525" s="1" t="s">
        <v>83</v>
      </c>
      <c r="J3525" s="1" t="s">
        <v>146</v>
      </c>
      <c r="K3525" s="1" t="s">
        <v>161</v>
      </c>
      <c r="L3525" s="1">
        <v>10</v>
      </c>
      <c r="M3525" s="13">
        <v>10915.19</v>
      </c>
      <c r="N3525" s="15">
        <v>0.25</v>
      </c>
      <c r="O3525" s="13">
        <v>82310.8</v>
      </c>
      <c r="P3525" s="13">
        <v>19642.68</v>
      </c>
      <c r="Q3525" s="13">
        <v>96.46</v>
      </c>
      <c r="R3525" s="1" t="s">
        <v>29</v>
      </c>
      <c r="S3525" s="1">
        <v>3</v>
      </c>
      <c r="T3525" s="1" t="b">
        <v>0</v>
      </c>
      <c r="U3525" s="1" t="s">
        <v>39</v>
      </c>
      <c r="V3525" s="3">
        <v>10</v>
      </c>
    </row>
    <row r="3526" spans="1:22" x14ac:dyDescent="0.3">
      <c r="A3526" s="2" t="s">
        <v>7508</v>
      </c>
      <c r="B3526" s="10">
        <v>44739</v>
      </c>
      <c r="C3526" s="22">
        <v>44739</v>
      </c>
      <c r="D3526" s="1" t="s">
        <v>7509</v>
      </c>
      <c r="E3526" s="1" t="s">
        <v>869</v>
      </c>
      <c r="F3526" s="1">
        <v>36</v>
      </c>
      <c r="G3526" s="1" t="s">
        <v>34</v>
      </c>
      <c r="H3526" s="1" t="s">
        <v>25</v>
      </c>
      <c r="I3526" s="1" t="s">
        <v>55</v>
      </c>
      <c r="J3526" s="1" t="s">
        <v>44</v>
      </c>
      <c r="K3526" s="1" t="s">
        <v>93</v>
      </c>
      <c r="L3526" s="1">
        <v>10</v>
      </c>
      <c r="M3526" s="13">
        <v>30431.62</v>
      </c>
      <c r="N3526" s="15">
        <v>0.19</v>
      </c>
      <c r="O3526" s="13">
        <v>346543.18</v>
      </c>
      <c r="P3526" s="13">
        <v>123711.59</v>
      </c>
      <c r="Q3526" s="13">
        <v>58.75</v>
      </c>
      <c r="R3526" s="1" t="s">
        <v>29</v>
      </c>
      <c r="S3526" s="1">
        <v>4</v>
      </c>
      <c r="T3526" s="1" t="b">
        <v>0</v>
      </c>
      <c r="U3526" s="1" t="s">
        <v>39</v>
      </c>
      <c r="V3526" s="3">
        <v>10</v>
      </c>
    </row>
    <row r="3527" spans="1:22" x14ac:dyDescent="0.3">
      <c r="A3527" s="2" t="s">
        <v>7510</v>
      </c>
      <c r="B3527" s="10">
        <v>44722</v>
      </c>
      <c r="C3527" s="22">
        <v>44722</v>
      </c>
      <c r="D3527" s="1" t="s">
        <v>7511</v>
      </c>
      <c r="E3527" s="1" t="s">
        <v>2367</v>
      </c>
      <c r="F3527" s="1">
        <v>33</v>
      </c>
      <c r="G3527" s="1" t="s">
        <v>34</v>
      </c>
      <c r="H3527" s="1" t="s">
        <v>82</v>
      </c>
      <c r="I3527" s="1" t="s">
        <v>244</v>
      </c>
      <c r="J3527" s="1" t="s">
        <v>62</v>
      </c>
      <c r="K3527" s="1" t="s">
        <v>266</v>
      </c>
      <c r="L3527" s="1">
        <v>3</v>
      </c>
      <c r="M3527" s="13">
        <v>1203.8900000000001</v>
      </c>
      <c r="N3527" s="15">
        <v>0.21</v>
      </c>
      <c r="O3527" s="13">
        <v>5485.01</v>
      </c>
      <c r="P3527" s="13">
        <v>1744.9</v>
      </c>
      <c r="Q3527" s="13">
        <v>74.42</v>
      </c>
      <c r="R3527" s="1" t="s">
        <v>57</v>
      </c>
      <c r="S3527" s="1">
        <v>3</v>
      </c>
      <c r="T3527" s="1" t="b">
        <v>0</v>
      </c>
      <c r="U3527" s="1" t="s">
        <v>699</v>
      </c>
      <c r="V3527" s="3">
        <v>4</v>
      </c>
    </row>
    <row r="3528" spans="1:22" x14ac:dyDescent="0.3">
      <c r="A3528" s="2" t="s">
        <v>7512</v>
      </c>
      <c r="B3528" s="10">
        <v>44792</v>
      </c>
      <c r="C3528" s="22">
        <v>44792</v>
      </c>
      <c r="D3528" s="1" t="s">
        <v>7513</v>
      </c>
      <c r="E3528" s="1" t="s">
        <v>594</v>
      </c>
      <c r="F3528" s="1">
        <v>40</v>
      </c>
      <c r="G3528" s="1" t="s">
        <v>24</v>
      </c>
      <c r="H3528" s="1" t="s">
        <v>74</v>
      </c>
      <c r="I3528" s="1" t="s">
        <v>101</v>
      </c>
      <c r="J3528" s="1" t="s">
        <v>62</v>
      </c>
      <c r="K3528" s="1" t="s">
        <v>570</v>
      </c>
      <c r="L3528" s="1">
        <v>3</v>
      </c>
      <c r="M3528" s="13">
        <v>692.33</v>
      </c>
      <c r="N3528" s="15">
        <v>0.14000000000000001</v>
      </c>
      <c r="O3528" s="13">
        <v>2204.16</v>
      </c>
      <c r="P3528" s="13">
        <v>747.75</v>
      </c>
      <c r="Q3528" s="13">
        <v>48.08</v>
      </c>
      <c r="R3528" s="1" t="s">
        <v>29</v>
      </c>
      <c r="S3528" s="1">
        <v>4</v>
      </c>
      <c r="T3528" s="1" t="b">
        <v>0</v>
      </c>
      <c r="U3528" s="1" t="s">
        <v>197</v>
      </c>
      <c r="V3528" s="3">
        <v>4</v>
      </c>
    </row>
    <row r="3529" spans="1:22" x14ac:dyDescent="0.3">
      <c r="A3529" s="2" t="s">
        <v>7514</v>
      </c>
      <c r="B3529" s="10">
        <v>45596</v>
      </c>
      <c r="C3529" s="22">
        <v>45596</v>
      </c>
      <c r="D3529" s="1" t="s">
        <v>7515</v>
      </c>
      <c r="E3529" s="1" t="s">
        <v>855</v>
      </c>
      <c r="F3529" s="1">
        <v>31</v>
      </c>
      <c r="G3529" s="1" t="s">
        <v>24</v>
      </c>
      <c r="H3529" s="1" t="s">
        <v>82</v>
      </c>
      <c r="I3529" s="1" t="s">
        <v>126</v>
      </c>
      <c r="J3529" s="1" t="s">
        <v>146</v>
      </c>
      <c r="K3529" s="1" t="s">
        <v>147</v>
      </c>
      <c r="L3529" s="1">
        <v>9</v>
      </c>
      <c r="M3529" s="13">
        <v>9910.8700000000008</v>
      </c>
      <c r="N3529" s="15">
        <v>0.36</v>
      </c>
      <c r="O3529" s="13">
        <v>65829.48</v>
      </c>
      <c r="P3529" s="13">
        <v>17622.75</v>
      </c>
      <c r="Q3529" s="13">
        <v>89.02</v>
      </c>
      <c r="R3529" s="1" t="s">
        <v>29</v>
      </c>
      <c r="S3529" s="1">
        <v>4</v>
      </c>
      <c r="T3529" s="1" t="b">
        <v>0</v>
      </c>
      <c r="U3529" s="1" t="s">
        <v>39</v>
      </c>
      <c r="V3529" s="3">
        <v>9</v>
      </c>
    </row>
    <row r="3530" spans="1:22" x14ac:dyDescent="0.3">
      <c r="A3530" s="2" t="s">
        <v>7516</v>
      </c>
      <c r="B3530" s="10">
        <v>45533</v>
      </c>
      <c r="C3530" s="22">
        <v>45533</v>
      </c>
      <c r="D3530" s="1" t="s">
        <v>7517</v>
      </c>
      <c r="E3530" s="1" t="s">
        <v>4129</v>
      </c>
      <c r="F3530" s="1">
        <v>35</v>
      </c>
      <c r="G3530" s="1" t="s">
        <v>24</v>
      </c>
      <c r="H3530" s="1" t="s">
        <v>25</v>
      </c>
      <c r="I3530" s="1" t="s">
        <v>26</v>
      </c>
      <c r="J3530" s="1" t="s">
        <v>27</v>
      </c>
      <c r="K3530" s="1" t="s">
        <v>28</v>
      </c>
      <c r="L3530" s="1">
        <v>3</v>
      </c>
      <c r="M3530" s="13">
        <v>109.12</v>
      </c>
      <c r="N3530" s="15">
        <v>0.03</v>
      </c>
      <c r="O3530" s="13">
        <v>524.34</v>
      </c>
      <c r="P3530" s="13">
        <v>36.82</v>
      </c>
      <c r="Q3530" s="13">
        <v>55.62</v>
      </c>
      <c r="R3530" s="1" t="s">
        <v>64</v>
      </c>
      <c r="S3530" s="1">
        <v>4</v>
      </c>
      <c r="T3530" s="1" t="b">
        <v>0</v>
      </c>
      <c r="U3530" s="1" t="s">
        <v>39</v>
      </c>
      <c r="V3530" s="3">
        <v>9</v>
      </c>
    </row>
    <row r="3531" spans="1:22" x14ac:dyDescent="0.3">
      <c r="A3531" s="2" t="s">
        <v>7518</v>
      </c>
      <c r="B3531" s="10">
        <v>44646</v>
      </c>
      <c r="C3531" s="22">
        <v>44646</v>
      </c>
      <c r="D3531" s="1" t="s">
        <v>7519</v>
      </c>
      <c r="E3531" s="1" t="s">
        <v>206</v>
      </c>
      <c r="F3531" s="1">
        <v>34</v>
      </c>
      <c r="G3531" s="1" t="s">
        <v>68</v>
      </c>
      <c r="H3531" s="1" t="s">
        <v>25</v>
      </c>
      <c r="I3531" s="1" t="s">
        <v>170</v>
      </c>
      <c r="J3531" s="1" t="s">
        <v>44</v>
      </c>
      <c r="K3531" s="1" t="s">
        <v>117</v>
      </c>
      <c r="L3531" s="1">
        <v>4</v>
      </c>
      <c r="M3531" s="13">
        <v>31307.38</v>
      </c>
      <c r="N3531" s="15">
        <v>0.26</v>
      </c>
      <c r="O3531" s="13">
        <v>105074.92</v>
      </c>
      <c r="P3531" s="13">
        <v>26306.21</v>
      </c>
      <c r="Q3531" s="13">
        <v>72.12</v>
      </c>
      <c r="R3531" s="1" t="s">
        <v>64</v>
      </c>
      <c r="S3531" s="1">
        <v>4</v>
      </c>
      <c r="T3531" s="1" t="b">
        <v>0</v>
      </c>
      <c r="U3531" s="1" t="s">
        <v>39</v>
      </c>
      <c r="V3531" s="3">
        <v>4</v>
      </c>
    </row>
    <row r="3532" spans="1:22" x14ac:dyDescent="0.3">
      <c r="A3532" s="2" t="s">
        <v>7520</v>
      </c>
      <c r="B3532" s="10">
        <v>45595</v>
      </c>
      <c r="C3532" s="22">
        <v>45595</v>
      </c>
      <c r="D3532" s="1" t="s">
        <v>7521</v>
      </c>
      <c r="E3532" s="1" t="s">
        <v>1023</v>
      </c>
      <c r="F3532" s="1">
        <v>68</v>
      </c>
      <c r="G3532" s="1" t="s">
        <v>68</v>
      </c>
      <c r="H3532" s="1" t="s">
        <v>111</v>
      </c>
      <c r="I3532" s="1" t="s">
        <v>112</v>
      </c>
      <c r="J3532" s="1" t="s">
        <v>76</v>
      </c>
      <c r="K3532" s="1" t="s">
        <v>113</v>
      </c>
      <c r="L3532" s="1">
        <v>6</v>
      </c>
      <c r="M3532" s="13">
        <v>974.77</v>
      </c>
      <c r="N3532" s="15">
        <v>0.36</v>
      </c>
      <c r="O3532" s="13">
        <v>4398.5600000000004</v>
      </c>
      <c r="P3532" s="13">
        <v>1906.51</v>
      </c>
      <c r="Q3532" s="13">
        <v>61.51</v>
      </c>
      <c r="R3532" s="1" t="s">
        <v>78</v>
      </c>
      <c r="S3532" s="1">
        <v>2</v>
      </c>
      <c r="T3532" s="1" t="b">
        <v>0</v>
      </c>
      <c r="U3532" s="1" t="s">
        <v>39</v>
      </c>
      <c r="V3532" s="3">
        <v>10</v>
      </c>
    </row>
    <row r="3533" spans="1:22" x14ac:dyDescent="0.3">
      <c r="A3533" s="2" t="s">
        <v>7522</v>
      </c>
      <c r="B3533" s="10">
        <v>45614</v>
      </c>
      <c r="C3533" s="22">
        <v>45614</v>
      </c>
      <c r="D3533" s="1" t="s">
        <v>7523</v>
      </c>
      <c r="E3533" s="1" t="s">
        <v>926</v>
      </c>
      <c r="F3533" s="1">
        <v>57</v>
      </c>
      <c r="G3533" s="1" t="s">
        <v>68</v>
      </c>
      <c r="H3533" s="1" t="s">
        <v>74</v>
      </c>
      <c r="I3533" s="1" t="s">
        <v>101</v>
      </c>
      <c r="J3533" s="1" t="s">
        <v>146</v>
      </c>
      <c r="K3533" s="1" t="s">
        <v>276</v>
      </c>
      <c r="L3533" s="1">
        <v>6</v>
      </c>
      <c r="M3533" s="13">
        <v>8448.34</v>
      </c>
      <c r="N3533" s="15">
        <v>0.28999999999999998</v>
      </c>
      <c r="O3533" s="13">
        <v>37263.519999999997</v>
      </c>
      <c r="P3533" s="13">
        <v>8591.2000000000007</v>
      </c>
      <c r="Q3533" s="13">
        <v>72.430000000000007</v>
      </c>
      <c r="R3533" s="1" t="s">
        <v>64</v>
      </c>
      <c r="S3533" s="1">
        <v>5</v>
      </c>
      <c r="T3533" s="1" t="b">
        <v>0</v>
      </c>
      <c r="U3533" s="1" t="s">
        <v>39</v>
      </c>
      <c r="V3533" s="3">
        <v>10</v>
      </c>
    </row>
    <row r="3534" spans="1:22" x14ac:dyDescent="0.3">
      <c r="A3534" s="2" t="s">
        <v>7524</v>
      </c>
      <c r="B3534" s="10">
        <v>45418</v>
      </c>
      <c r="C3534" s="22">
        <v>45418</v>
      </c>
      <c r="D3534" s="1" t="s">
        <v>7525</v>
      </c>
      <c r="E3534" s="1" t="s">
        <v>991</v>
      </c>
      <c r="F3534" s="1">
        <v>35</v>
      </c>
      <c r="G3534" s="1" t="s">
        <v>68</v>
      </c>
      <c r="H3534" s="1" t="s">
        <v>111</v>
      </c>
      <c r="I3534" s="1" t="s">
        <v>330</v>
      </c>
      <c r="J3534" s="1" t="s">
        <v>76</v>
      </c>
      <c r="K3534" s="1" t="s">
        <v>89</v>
      </c>
      <c r="L3534" s="1">
        <v>2</v>
      </c>
      <c r="M3534" s="13">
        <v>1717.4</v>
      </c>
      <c r="N3534" s="15">
        <v>0.17</v>
      </c>
      <c r="O3534" s="13">
        <v>4468.9799999999996</v>
      </c>
      <c r="P3534" s="13">
        <v>1161.98</v>
      </c>
      <c r="Q3534" s="13">
        <v>84.39</v>
      </c>
      <c r="R3534" s="1" t="s">
        <v>70</v>
      </c>
      <c r="S3534" s="1">
        <v>5</v>
      </c>
      <c r="T3534" s="1" t="b">
        <v>1</v>
      </c>
      <c r="U3534" s="1" t="s">
        <v>30</v>
      </c>
      <c r="V3534" s="3">
        <v>5</v>
      </c>
    </row>
    <row r="3535" spans="1:22" x14ac:dyDescent="0.3">
      <c r="A3535" s="2" t="s">
        <v>7526</v>
      </c>
      <c r="B3535" s="10">
        <v>45321</v>
      </c>
      <c r="C3535" s="22">
        <v>45321</v>
      </c>
      <c r="D3535" s="1" t="s">
        <v>7527</v>
      </c>
      <c r="E3535" s="1" t="s">
        <v>603</v>
      </c>
      <c r="F3535" s="1">
        <v>23</v>
      </c>
      <c r="G3535" s="1" t="s">
        <v>24</v>
      </c>
      <c r="H3535" s="1" t="s">
        <v>111</v>
      </c>
      <c r="I3535" s="1" t="s">
        <v>330</v>
      </c>
      <c r="J3535" s="1" t="s">
        <v>127</v>
      </c>
      <c r="K3535" s="1" t="s">
        <v>171</v>
      </c>
      <c r="L3535" s="1">
        <v>2</v>
      </c>
      <c r="M3535" s="13">
        <v>59225.94</v>
      </c>
      <c r="N3535" s="15">
        <v>0.08</v>
      </c>
      <c r="O3535" s="13">
        <v>111005.02</v>
      </c>
      <c r="P3535" s="13">
        <v>9990.2199999999993</v>
      </c>
      <c r="Q3535" s="13">
        <v>76.36</v>
      </c>
      <c r="R3535" s="1" t="s">
        <v>70</v>
      </c>
      <c r="S3535" s="1">
        <v>3</v>
      </c>
      <c r="T3535" s="1" t="b">
        <v>0</v>
      </c>
      <c r="U3535" s="1" t="s">
        <v>39</v>
      </c>
      <c r="V3535" s="3">
        <v>10</v>
      </c>
    </row>
    <row r="3536" spans="1:22" x14ac:dyDescent="0.3">
      <c r="A3536" s="2" t="s">
        <v>7528</v>
      </c>
      <c r="B3536" s="10">
        <v>44132</v>
      </c>
      <c r="C3536" s="22">
        <v>44132</v>
      </c>
      <c r="D3536" s="1" t="s">
        <v>7529</v>
      </c>
      <c r="E3536" s="1" t="s">
        <v>1555</v>
      </c>
      <c r="F3536" s="1">
        <v>9</v>
      </c>
      <c r="G3536" s="1" t="s">
        <v>24</v>
      </c>
      <c r="H3536" s="1" t="s">
        <v>35</v>
      </c>
      <c r="I3536" s="1" t="s">
        <v>106</v>
      </c>
      <c r="J3536" s="1" t="s">
        <v>37</v>
      </c>
      <c r="K3536" s="1" t="s">
        <v>38</v>
      </c>
      <c r="L3536" s="1">
        <v>10</v>
      </c>
      <c r="M3536" s="13">
        <v>2019.64</v>
      </c>
      <c r="N3536" s="15">
        <v>0.36</v>
      </c>
      <c r="O3536" s="13">
        <v>11026.28</v>
      </c>
      <c r="P3536" s="13">
        <v>6282.66</v>
      </c>
      <c r="Q3536" s="13">
        <v>64.790000000000006</v>
      </c>
      <c r="R3536" s="1" t="s">
        <v>70</v>
      </c>
      <c r="S3536" s="1">
        <v>5</v>
      </c>
      <c r="T3536" s="1" t="b">
        <v>0</v>
      </c>
      <c r="U3536" s="1" t="s">
        <v>39</v>
      </c>
      <c r="V3536" s="3">
        <v>6</v>
      </c>
    </row>
    <row r="3537" spans="1:22" x14ac:dyDescent="0.3">
      <c r="A3537" s="2" t="s">
        <v>7530</v>
      </c>
      <c r="B3537" s="10">
        <v>44560</v>
      </c>
      <c r="C3537" s="22">
        <v>44560</v>
      </c>
      <c r="D3537" s="1" t="s">
        <v>7531</v>
      </c>
      <c r="E3537" s="1" t="s">
        <v>1462</v>
      </c>
      <c r="F3537" s="1">
        <v>41</v>
      </c>
      <c r="G3537" s="1" t="s">
        <v>68</v>
      </c>
      <c r="H3537" s="1" t="s">
        <v>111</v>
      </c>
      <c r="I3537" s="1" t="s">
        <v>141</v>
      </c>
      <c r="J3537" s="1" t="s">
        <v>76</v>
      </c>
      <c r="K3537" s="1" t="s">
        <v>77</v>
      </c>
      <c r="L3537" s="1">
        <v>7</v>
      </c>
      <c r="M3537" s="13">
        <v>691.98</v>
      </c>
      <c r="N3537" s="15">
        <v>0.26</v>
      </c>
      <c r="O3537" s="13">
        <v>2427.4699999999998</v>
      </c>
      <c r="P3537" s="13">
        <v>740.52</v>
      </c>
      <c r="Q3537" s="13">
        <v>59.13</v>
      </c>
      <c r="R3537" s="1" t="s">
        <v>64</v>
      </c>
      <c r="S3537" s="1">
        <v>1</v>
      </c>
      <c r="T3537" s="1" t="b">
        <v>0</v>
      </c>
      <c r="U3537" s="1" t="s">
        <v>39</v>
      </c>
      <c r="V3537" s="3">
        <v>1</v>
      </c>
    </row>
    <row r="3538" spans="1:22" x14ac:dyDescent="0.3">
      <c r="A3538" s="2" t="s">
        <v>7532</v>
      </c>
      <c r="B3538" s="10">
        <v>43981</v>
      </c>
      <c r="C3538" s="22">
        <v>43981</v>
      </c>
      <c r="D3538" s="1" t="s">
        <v>7533</v>
      </c>
      <c r="E3538" s="1" t="s">
        <v>1294</v>
      </c>
      <c r="F3538" s="1">
        <v>15</v>
      </c>
      <c r="G3538" s="1" t="s">
        <v>24</v>
      </c>
      <c r="H3538" s="1" t="s">
        <v>111</v>
      </c>
      <c r="I3538" s="1" t="s">
        <v>141</v>
      </c>
      <c r="J3538" s="1" t="s">
        <v>76</v>
      </c>
      <c r="K3538" s="1" t="s">
        <v>89</v>
      </c>
      <c r="L3538" s="1">
        <v>8</v>
      </c>
      <c r="M3538" s="13">
        <v>1005.57</v>
      </c>
      <c r="N3538" s="15">
        <v>0.3</v>
      </c>
      <c r="O3538" s="13">
        <v>8249.16</v>
      </c>
      <c r="P3538" s="13">
        <v>3467.63</v>
      </c>
      <c r="Q3538" s="13">
        <v>54.2</v>
      </c>
      <c r="R3538" s="1" t="s">
        <v>57</v>
      </c>
      <c r="S3538" s="1">
        <v>4</v>
      </c>
      <c r="T3538" s="1" t="b">
        <v>0</v>
      </c>
      <c r="U3538" s="1" t="s">
        <v>39</v>
      </c>
      <c r="V3538" s="3">
        <v>7</v>
      </c>
    </row>
    <row r="3539" spans="1:22" x14ac:dyDescent="0.3">
      <c r="A3539" s="2" t="s">
        <v>7534</v>
      </c>
      <c r="B3539" s="10">
        <v>44534</v>
      </c>
      <c r="C3539" s="22">
        <v>44534</v>
      </c>
      <c r="D3539" s="1" t="s">
        <v>7535</v>
      </c>
      <c r="E3539" s="1" t="s">
        <v>177</v>
      </c>
      <c r="F3539" s="1">
        <v>35</v>
      </c>
      <c r="G3539" s="1" t="s">
        <v>68</v>
      </c>
      <c r="H3539" s="1" t="s">
        <v>35</v>
      </c>
      <c r="I3539" s="1" t="s">
        <v>43</v>
      </c>
      <c r="J3539" s="1" t="s">
        <v>62</v>
      </c>
      <c r="K3539" s="1" t="s">
        <v>283</v>
      </c>
      <c r="L3539" s="1">
        <v>4</v>
      </c>
      <c r="M3539" s="13">
        <v>505.02</v>
      </c>
      <c r="N3539" s="15">
        <v>0.2</v>
      </c>
      <c r="O3539" s="13">
        <v>1347.72</v>
      </c>
      <c r="P3539" s="13">
        <v>718.98</v>
      </c>
      <c r="Q3539" s="13">
        <v>63.47</v>
      </c>
      <c r="R3539" s="1" t="s">
        <v>78</v>
      </c>
      <c r="S3539" s="1">
        <v>2</v>
      </c>
      <c r="T3539" s="1" t="b">
        <v>0</v>
      </c>
      <c r="U3539" s="1" t="s">
        <v>39</v>
      </c>
      <c r="V3539" s="3">
        <v>7</v>
      </c>
    </row>
    <row r="3540" spans="1:22" x14ac:dyDescent="0.3">
      <c r="A3540" s="2" t="s">
        <v>7536</v>
      </c>
      <c r="B3540" s="10">
        <v>43961</v>
      </c>
      <c r="C3540" s="22">
        <v>43961</v>
      </c>
      <c r="D3540" s="1" t="s">
        <v>7537</v>
      </c>
      <c r="E3540" s="1" t="s">
        <v>558</v>
      </c>
      <c r="F3540" s="1">
        <v>25</v>
      </c>
      <c r="G3540" s="1" t="s">
        <v>34</v>
      </c>
      <c r="H3540" s="1" t="s">
        <v>82</v>
      </c>
      <c r="I3540" s="1" t="s">
        <v>244</v>
      </c>
      <c r="J3540" s="1" t="s">
        <v>127</v>
      </c>
      <c r="K3540" s="1" t="s">
        <v>142</v>
      </c>
      <c r="L3540" s="1">
        <v>1</v>
      </c>
      <c r="M3540" s="13">
        <v>66715.81</v>
      </c>
      <c r="N3540" s="15">
        <v>0.34</v>
      </c>
      <c r="O3540" s="13">
        <v>54095.7</v>
      </c>
      <c r="P3540" s="13">
        <v>5606.38</v>
      </c>
      <c r="Q3540" s="13">
        <v>96.92</v>
      </c>
      <c r="R3540" s="1" t="s">
        <v>57</v>
      </c>
      <c r="S3540" s="1">
        <v>5</v>
      </c>
      <c r="T3540" s="1" t="b">
        <v>0</v>
      </c>
      <c r="U3540" s="1" t="s">
        <v>699</v>
      </c>
      <c r="V3540" s="3">
        <v>10</v>
      </c>
    </row>
    <row r="3541" spans="1:22" x14ac:dyDescent="0.3">
      <c r="A3541" s="2" t="s">
        <v>7538</v>
      </c>
      <c r="B3541" s="10">
        <v>44798</v>
      </c>
      <c r="C3541" s="22">
        <v>44798</v>
      </c>
      <c r="D3541" s="1" t="s">
        <v>7539</v>
      </c>
      <c r="E3541" s="1" t="s">
        <v>446</v>
      </c>
      <c r="F3541" s="1">
        <v>32</v>
      </c>
      <c r="G3541" s="1" t="s">
        <v>34</v>
      </c>
      <c r="H3541" s="1" t="s">
        <v>82</v>
      </c>
      <c r="I3541" s="1" t="s">
        <v>126</v>
      </c>
      <c r="J3541" s="1" t="s">
        <v>27</v>
      </c>
      <c r="K3541" s="1" t="s">
        <v>400</v>
      </c>
      <c r="L3541" s="1">
        <v>5</v>
      </c>
      <c r="M3541" s="13">
        <v>285.26</v>
      </c>
      <c r="N3541" s="15">
        <v>0.18</v>
      </c>
      <c r="O3541" s="13">
        <v>1618.63</v>
      </c>
      <c r="P3541" s="13">
        <v>120.43</v>
      </c>
      <c r="Q3541" s="13">
        <v>93.11</v>
      </c>
      <c r="R3541" s="1" t="s">
        <v>78</v>
      </c>
      <c r="S3541" s="1">
        <v>5</v>
      </c>
      <c r="T3541" s="1" t="b">
        <v>0</v>
      </c>
      <c r="U3541" s="1" t="s">
        <v>39</v>
      </c>
      <c r="V3541" s="3">
        <v>5</v>
      </c>
    </row>
    <row r="3542" spans="1:22" x14ac:dyDescent="0.3">
      <c r="A3542" s="2" t="s">
        <v>7540</v>
      </c>
      <c r="B3542" s="10">
        <v>44661</v>
      </c>
      <c r="C3542" s="22">
        <v>44661</v>
      </c>
      <c r="D3542" s="1" t="s">
        <v>7541</v>
      </c>
      <c r="E3542" s="1" t="s">
        <v>513</v>
      </c>
      <c r="F3542" s="1">
        <v>36</v>
      </c>
      <c r="G3542" s="1" t="s">
        <v>34</v>
      </c>
      <c r="H3542" s="1" t="s">
        <v>35</v>
      </c>
      <c r="I3542" s="1" t="s">
        <v>43</v>
      </c>
      <c r="J3542" s="1" t="s">
        <v>127</v>
      </c>
      <c r="K3542" s="1" t="s">
        <v>171</v>
      </c>
      <c r="L3542" s="1">
        <v>5</v>
      </c>
      <c r="M3542" s="13">
        <v>65974.789999999994</v>
      </c>
      <c r="N3542" s="15">
        <v>0.28999999999999998</v>
      </c>
      <c r="O3542" s="13">
        <v>52941.94</v>
      </c>
      <c r="P3542" s="13">
        <v>7317.9</v>
      </c>
      <c r="Q3542" s="13">
        <v>57.21</v>
      </c>
      <c r="R3542" s="1" t="s">
        <v>51</v>
      </c>
      <c r="S3542" s="1">
        <v>1</v>
      </c>
      <c r="T3542" s="1" t="b">
        <v>0</v>
      </c>
      <c r="U3542" s="1" t="s">
        <v>39</v>
      </c>
      <c r="V3542" s="3">
        <v>8</v>
      </c>
    </row>
    <row r="3543" spans="1:22" x14ac:dyDescent="0.3">
      <c r="A3543" s="2" t="s">
        <v>7542</v>
      </c>
      <c r="B3543" s="10">
        <v>45543</v>
      </c>
      <c r="C3543" s="22">
        <v>45543</v>
      </c>
      <c r="D3543" s="1" t="s">
        <v>7543</v>
      </c>
      <c r="E3543" s="1" t="s">
        <v>776</v>
      </c>
      <c r="F3543" s="1">
        <v>20</v>
      </c>
      <c r="G3543" s="1" t="s">
        <v>34</v>
      </c>
      <c r="H3543" s="1" t="s">
        <v>35</v>
      </c>
      <c r="I3543" s="1" t="s">
        <v>106</v>
      </c>
      <c r="J3543" s="1" t="s">
        <v>27</v>
      </c>
      <c r="K3543" s="1" t="s">
        <v>430</v>
      </c>
      <c r="L3543" s="1">
        <v>3</v>
      </c>
      <c r="M3543" s="13">
        <v>339.07</v>
      </c>
      <c r="N3543" s="15">
        <v>0.26</v>
      </c>
      <c r="O3543" s="13">
        <v>997.35</v>
      </c>
      <c r="P3543" s="13">
        <v>101.3</v>
      </c>
      <c r="Q3543" s="13">
        <v>52.75</v>
      </c>
      <c r="R3543" s="1" t="s">
        <v>57</v>
      </c>
      <c r="S3543" s="1">
        <v>2</v>
      </c>
      <c r="T3543" s="1" t="b">
        <v>0</v>
      </c>
      <c r="U3543" s="1" t="s">
        <v>39</v>
      </c>
      <c r="V3543" s="3">
        <v>2</v>
      </c>
    </row>
    <row r="3544" spans="1:22" x14ac:dyDescent="0.3">
      <c r="A3544" s="2" t="s">
        <v>7544</v>
      </c>
      <c r="B3544" s="10">
        <v>44954</v>
      </c>
      <c r="C3544" s="22">
        <v>44954</v>
      </c>
      <c r="D3544" s="1" t="s">
        <v>7545</v>
      </c>
      <c r="E3544" s="1" t="s">
        <v>259</v>
      </c>
      <c r="F3544" s="1">
        <v>31</v>
      </c>
      <c r="G3544" s="1" t="s">
        <v>68</v>
      </c>
      <c r="H3544" s="1" t="s">
        <v>74</v>
      </c>
      <c r="I3544" s="1" t="s">
        <v>75</v>
      </c>
      <c r="J3544" s="1" t="s">
        <v>62</v>
      </c>
      <c r="K3544" s="1" t="s">
        <v>266</v>
      </c>
      <c r="L3544" s="1">
        <v>5</v>
      </c>
      <c r="M3544" s="13">
        <v>1098.6400000000001</v>
      </c>
      <c r="N3544" s="15">
        <v>0.36</v>
      </c>
      <c r="O3544" s="13">
        <v>770.95</v>
      </c>
      <c r="P3544" s="13">
        <v>261.79000000000002</v>
      </c>
      <c r="Q3544" s="13">
        <v>27.79</v>
      </c>
      <c r="R3544" s="1" t="s">
        <v>51</v>
      </c>
      <c r="S3544" s="1">
        <v>4</v>
      </c>
      <c r="T3544" s="1" t="b">
        <v>0</v>
      </c>
      <c r="U3544" s="1" t="s">
        <v>39</v>
      </c>
      <c r="V3544" s="3">
        <v>9</v>
      </c>
    </row>
    <row r="3545" spans="1:22" x14ac:dyDescent="0.3">
      <c r="A3545" s="2" t="s">
        <v>7546</v>
      </c>
      <c r="B3545" s="10">
        <v>43921</v>
      </c>
      <c r="C3545" s="22">
        <v>43921</v>
      </c>
      <c r="D3545" s="1" t="s">
        <v>7547</v>
      </c>
      <c r="E3545" s="1" t="s">
        <v>2257</v>
      </c>
      <c r="F3545" s="1">
        <v>24</v>
      </c>
      <c r="G3545" s="1" t="s">
        <v>68</v>
      </c>
      <c r="H3545" s="1" t="s">
        <v>25</v>
      </c>
      <c r="I3545" s="1" t="s">
        <v>69</v>
      </c>
      <c r="J3545" s="1" t="s">
        <v>27</v>
      </c>
      <c r="K3545" s="1" t="s">
        <v>450</v>
      </c>
      <c r="L3545" s="1">
        <v>9</v>
      </c>
      <c r="M3545" s="13">
        <v>122.54</v>
      </c>
      <c r="N3545" s="15">
        <v>0.04</v>
      </c>
      <c r="O3545" s="13">
        <v>928.75</v>
      </c>
      <c r="P3545" s="13">
        <v>82.76</v>
      </c>
      <c r="Q3545" s="13">
        <v>60.82</v>
      </c>
      <c r="R3545" s="1" t="s">
        <v>78</v>
      </c>
      <c r="S3545" s="1">
        <v>3</v>
      </c>
      <c r="T3545" s="1" t="b">
        <v>0</v>
      </c>
      <c r="U3545" s="1" t="s">
        <v>39</v>
      </c>
      <c r="V3545" s="3">
        <v>1</v>
      </c>
    </row>
    <row r="3546" spans="1:22" x14ac:dyDescent="0.3">
      <c r="A3546" s="2" t="s">
        <v>7548</v>
      </c>
      <c r="B3546" s="10">
        <v>45405</v>
      </c>
      <c r="C3546" s="22">
        <v>45405</v>
      </c>
      <c r="D3546" s="1" t="s">
        <v>7549</v>
      </c>
      <c r="E3546" s="1" t="s">
        <v>2053</v>
      </c>
      <c r="F3546" s="1">
        <v>42</v>
      </c>
      <c r="G3546" s="1" t="s">
        <v>34</v>
      </c>
      <c r="H3546" s="1" t="s">
        <v>25</v>
      </c>
      <c r="I3546" s="1" t="s">
        <v>55</v>
      </c>
      <c r="J3546" s="1" t="s">
        <v>76</v>
      </c>
      <c r="K3546" s="1" t="s">
        <v>207</v>
      </c>
      <c r="L3546" s="1">
        <v>8</v>
      </c>
      <c r="M3546" s="13">
        <v>1645.72</v>
      </c>
      <c r="N3546" s="15">
        <v>0.24</v>
      </c>
      <c r="O3546" s="13">
        <v>16304.49</v>
      </c>
      <c r="P3546" s="13">
        <v>5514.74</v>
      </c>
      <c r="Q3546" s="13">
        <v>71.7</v>
      </c>
      <c r="R3546" s="1" t="s">
        <v>29</v>
      </c>
      <c r="S3546" s="1">
        <v>2</v>
      </c>
      <c r="T3546" s="1" t="b">
        <v>0</v>
      </c>
      <c r="U3546" s="1" t="s">
        <v>137</v>
      </c>
      <c r="V3546" s="3">
        <v>5</v>
      </c>
    </row>
    <row r="3547" spans="1:22" x14ac:dyDescent="0.3">
      <c r="A3547" s="2" t="s">
        <v>7550</v>
      </c>
      <c r="B3547" s="10">
        <v>44601</v>
      </c>
      <c r="C3547" s="22">
        <v>44601</v>
      </c>
      <c r="D3547" s="1" t="s">
        <v>7551</v>
      </c>
      <c r="E3547" s="1" t="s">
        <v>3077</v>
      </c>
      <c r="F3547" s="1">
        <v>39</v>
      </c>
      <c r="G3547" s="1" t="s">
        <v>34</v>
      </c>
      <c r="H3547" s="1" t="s">
        <v>74</v>
      </c>
      <c r="I3547" s="1" t="s">
        <v>136</v>
      </c>
      <c r="J3547" s="1" t="s">
        <v>127</v>
      </c>
      <c r="K3547" s="1" t="s">
        <v>196</v>
      </c>
      <c r="L3547" s="1">
        <v>3</v>
      </c>
      <c r="M3547" s="13">
        <v>40157.94</v>
      </c>
      <c r="N3547" s="15">
        <v>0.22</v>
      </c>
      <c r="O3547" s="13">
        <v>102283.92</v>
      </c>
      <c r="P3547" s="13">
        <v>10891.28</v>
      </c>
      <c r="Q3547" s="13">
        <v>9.92</v>
      </c>
      <c r="R3547" s="1" t="s">
        <v>78</v>
      </c>
      <c r="S3547" s="1">
        <v>3</v>
      </c>
      <c r="T3547" s="1" t="b">
        <v>0</v>
      </c>
      <c r="U3547" s="1" t="s">
        <v>39</v>
      </c>
      <c r="V3547" s="3">
        <v>3</v>
      </c>
    </row>
    <row r="3548" spans="1:22" x14ac:dyDescent="0.3">
      <c r="A3548" s="2" t="s">
        <v>7552</v>
      </c>
      <c r="B3548" s="10">
        <v>44237</v>
      </c>
      <c r="C3548" s="22">
        <v>44237</v>
      </c>
      <c r="D3548" s="1" t="s">
        <v>7553</v>
      </c>
      <c r="E3548" s="1" t="s">
        <v>423</v>
      </c>
      <c r="F3548" s="1">
        <v>45</v>
      </c>
      <c r="G3548" s="1" t="s">
        <v>68</v>
      </c>
      <c r="H3548" s="1" t="s">
        <v>111</v>
      </c>
      <c r="I3548" s="1" t="s">
        <v>330</v>
      </c>
      <c r="J3548" s="1" t="s">
        <v>44</v>
      </c>
      <c r="K3548" s="1" t="s">
        <v>221</v>
      </c>
      <c r="L3548" s="1">
        <v>10</v>
      </c>
      <c r="M3548" s="13">
        <v>12241.28</v>
      </c>
      <c r="N3548" s="15">
        <v>0.02</v>
      </c>
      <c r="O3548" s="13">
        <v>97580.65</v>
      </c>
      <c r="P3548" s="13">
        <v>23149.32</v>
      </c>
      <c r="Q3548" s="13">
        <v>45.07</v>
      </c>
      <c r="R3548" s="1" t="s">
        <v>70</v>
      </c>
      <c r="S3548" s="1">
        <v>5</v>
      </c>
      <c r="T3548" s="1" t="b">
        <v>1</v>
      </c>
      <c r="U3548" s="1" t="s">
        <v>30</v>
      </c>
      <c r="V3548" s="3">
        <v>8</v>
      </c>
    </row>
    <row r="3549" spans="1:22" x14ac:dyDescent="0.3">
      <c r="A3549" s="2" t="s">
        <v>7554</v>
      </c>
      <c r="B3549" s="10">
        <v>44243</v>
      </c>
      <c r="C3549" s="22">
        <v>44243</v>
      </c>
      <c r="D3549" s="1" t="s">
        <v>7555</v>
      </c>
      <c r="E3549" s="1" t="s">
        <v>801</v>
      </c>
      <c r="F3549" s="1">
        <v>41</v>
      </c>
      <c r="G3549" s="1" t="s">
        <v>68</v>
      </c>
      <c r="H3549" s="1" t="s">
        <v>35</v>
      </c>
      <c r="I3549" s="1" t="s">
        <v>43</v>
      </c>
      <c r="J3549" s="1" t="s">
        <v>146</v>
      </c>
      <c r="K3549" s="1" t="s">
        <v>484</v>
      </c>
      <c r="L3549" s="1">
        <v>6</v>
      </c>
      <c r="M3549" s="13">
        <v>4631.4399999999996</v>
      </c>
      <c r="N3549" s="15">
        <v>0.05</v>
      </c>
      <c r="O3549" s="13">
        <v>23451.19</v>
      </c>
      <c r="P3549" s="13">
        <v>4924.6899999999996</v>
      </c>
      <c r="Q3549" s="13">
        <v>43.93</v>
      </c>
      <c r="R3549" s="1" t="s">
        <v>70</v>
      </c>
      <c r="S3549" s="1">
        <v>3</v>
      </c>
      <c r="T3549" s="1" t="b">
        <v>1</v>
      </c>
      <c r="U3549" s="1" t="s">
        <v>30</v>
      </c>
      <c r="V3549" s="3">
        <v>4</v>
      </c>
    </row>
    <row r="3550" spans="1:22" x14ac:dyDescent="0.3">
      <c r="A3550" s="2" t="s">
        <v>7556</v>
      </c>
      <c r="B3550" s="10">
        <v>44870</v>
      </c>
      <c r="C3550" s="22">
        <v>44870</v>
      </c>
      <c r="D3550" s="1" t="s">
        <v>7557</v>
      </c>
      <c r="E3550" s="1" t="s">
        <v>292</v>
      </c>
      <c r="F3550" s="1">
        <v>58</v>
      </c>
      <c r="G3550" s="1" t="s">
        <v>34</v>
      </c>
      <c r="H3550" s="1" t="s">
        <v>82</v>
      </c>
      <c r="I3550" s="1" t="s">
        <v>293</v>
      </c>
      <c r="J3550" s="1" t="s">
        <v>76</v>
      </c>
      <c r="K3550" s="1" t="s">
        <v>132</v>
      </c>
      <c r="L3550" s="1">
        <v>9</v>
      </c>
      <c r="M3550" s="13">
        <v>1523.81</v>
      </c>
      <c r="N3550" s="15">
        <v>0.17</v>
      </c>
      <c r="O3550" s="13">
        <v>10204.549999999999</v>
      </c>
      <c r="P3550" s="13">
        <v>3848.37</v>
      </c>
      <c r="Q3550" s="13">
        <v>99.28</v>
      </c>
      <c r="R3550" s="1" t="s">
        <v>57</v>
      </c>
      <c r="S3550" s="1">
        <v>2</v>
      </c>
      <c r="T3550" s="1" t="b">
        <v>0</v>
      </c>
      <c r="U3550" s="1" t="s">
        <v>1411</v>
      </c>
      <c r="V3550" s="3">
        <v>8</v>
      </c>
    </row>
    <row r="3551" spans="1:22" x14ac:dyDescent="0.3">
      <c r="A3551" s="2" t="s">
        <v>7558</v>
      </c>
      <c r="B3551" s="10">
        <v>44805</v>
      </c>
      <c r="C3551" s="22">
        <v>44805</v>
      </c>
      <c r="D3551" s="1" t="s">
        <v>7559</v>
      </c>
      <c r="E3551" s="1" t="s">
        <v>329</v>
      </c>
      <c r="F3551" s="1">
        <v>16</v>
      </c>
      <c r="G3551" s="1" t="s">
        <v>68</v>
      </c>
      <c r="H3551" s="1" t="s">
        <v>111</v>
      </c>
      <c r="I3551" s="1" t="s">
        <v>121</v>
      </c>
      <c r="J3551" s="1" t="s">
        <v>62</v>
      </c>
      <c r="K3551" s="1" t="s">
        <v>570</v>
      </c>
      <c r="L3551" s="1">
        <v>5</v>
      </c>
      <c r="M3551" s="13">
        <v>950.08</v>
      </c>
      <c r="N3551" s="15">
        <v>0.25</v>
      </c>
      <c r="O3551" s="13">
        <v>768.38</v>
      </c>
      <c r="P3551" s="13">
        <v>264.5</v>
      </c>
      <c r="Q3551" s="13">
        <v>51.2</v>
      </c>
      <c r="R3551" s="1" t="s">
        <v>51</v>
      </c>
      <c r="S3551" s="1">
        <v>5</v>
      </c>
      <c r="T3551" s="1" t="b">
        <v>0</v>
      </c>
      <c r="U3551" s="1" t="s">
        <v>137</v>
      </c>
      <c r="V3551" s="3">
        <v>1</v>
      </c>
    </row>
    <row r="3552" spans="1:22" x14ac:dyDescent="0.3">
      <c r="A3552" s="2" t="s">
        <v>7560</v>
      </c>
      <c r="B3552" s="10">
        <v>45060</v>
      </c>
      <c r="C3552" s="22">
        <v>45060</v>
      </c>
      <c r="D3552" s="1" t="s">
        <v>7561</v>
      </c>
      <c r="E3552" s="1" t="s">
        <v>855</v>
      </c>
      <c r="F3552" s="1">
        <v>18</v>
      </c>
      <c r="G3552" s="1" t="s">
        <v>34</v>
      </c>
      <c r="H3552" s="1" t="s">
        <v>74</v>
      </c>
      <c r="I3552" s="1" t="s">
        <v>192</v>
      </c>
      <c r="J3552" s="1" t="s">
        <v>127</v>
      </c>
      <c r="K3552" s="1" t="s">
        <v>196</v>
      </c>
      <c r="L3552" s="1">
        <v>8</v>
      </c>
      <c r="M3552" s="13">
        <v>72567.78</v>
      </c>
      <c r="N3552" s="15">
        <v>0.22</v>
      </c>
      <c r="O3552" s="13">
        <v>695130.09</v>
      </c>
      <c r="P3552" s="13">
        <v>91039.07</v>
      </c>
      <c r="Q3552" s="13">
        <v>44.56</v>
      </c>
      <c r="R3552" s="1" t="s">
        <v>51</v>
      </c>
      <c r="S3552" s="1">
        <v>2</v>
      </c>
      <c r="T3552" s="1" t="b">
        <v>0</v>
      </c>
      <c r="U3552" s="1" t="s">
        <v>39</v>
      </c>
      <c r="V3552" s="3">
        <v>3</v>
      </c>
    </row>
    <row r="3553" spans="1:22" x14ac:dyDescent="0.3">
      <c r="A3553" s="2" t="s">
        <v>7562</v>
      </c>
      <c r="B3553" s="10">
        <v>43949</v>
      </c>
      <c r="C3553" s="22">
        <v>43949</v>
      </c>
      <c r="D3553" s="1" t="s">
        <v>7563</v>
      </c>
      <c r="E3553" s="1" t="s">
        <v>240</v>
      </c>
      <c r="F3553" s="1">
        <v>3</v>
      </c>
      <c r="G3553" s="1" t="s">
        <v>34</v>
      </c>
      <c r="H3553" s="1" t="s">
        <v>25</v>
      </c>
      <c r="I3553" s="1" t="s">
        <v>26</v>
      </c>
      <c r="J3553" s="1" t="s">
        <v>76</v>
      </c>
      <c r="K3553" s="1" t="s">
        <v>113</v>
      </c>
      <c r="L3553" s="1">
        <v>1</v>
      </c>
      <c r="M3553" s="13">
        <v>1990.76</v>
      </c>
      <c r="N3553" s="15">
        <v>0.12</v>
      </c>
      <c r="O3553" s="13">
        <v>2195.65</v>
      </c>
      <c r="P3553" s="13">
        <v>834.05</v>
      </c>
      <c r="Q3553" s="13">
        <v>42.24</v>
      </c>
      <c r="R3553" s="1" t="s">
        <v>78</v>
      </c>
      <c r="S3553" s="1">
        <v>1</v>
      </c>
      <c r="T3553" s="1" t="b">
        <v>0</v>
      </c>
      <c r="U3553" s="1" t="s">
        <v>39</v>
      </c>
      <c r="V3553" s="3">
        <v>4</v>
      </c>
    </row>
    <row r="3554" spans="1:22" x14ac:dyDescent="0.3">
      <c r="A3554" s="2" t="s">
        <v>7564</v>
      </c>
      <c r="B3554" s="10">
        <v>44975</v>
      </c>
      <c r="C3554" s="22">
        <v>44975</v>
      </c>
      <c r="D3554" s="1" t="s">
        <v>7565</v>
      </c>
      <c r="E3554" s="1" t="s">
        <v>240</v>
      </c>
      <c r="F3554" s="1">
        <v>31</v>
      </c>
      <c r="G3554" s="1" t="s">
        <v>68</v>
      </c>
      <c r="H3554" s="1" t="s">
        <v>82</v>
      </c>
      <c r="I3554" s="1" t="s">
        <v>83</v>
      </c>
      <c r="J3554" s="1" t="s">
        <v>62</v>
      </c>
      <c r="K3554" s="1" t="s">
        <v>63</v>
      </c>
      <c r="L3554" s="1">
        <v>10</v>
      </c>
      <c r="M3554" s="13">
        <v>431.41</v>
      </c>
      <c r="N3554" s="15">
        <v>0.34</v>
      </c>
      <c r="O3554" s="13">
        <v>2656.58</v>
      </c>
      <c r="P3554" s="13">
        <v>1442.99</v>
      </c>
      <c r="Q3554" s="13">
        <v>89.87</v>
      </c>
      <c r="R3554" s="1" t="s">
        <v>70</v>
      </c>
      <c r="S3554" s="1">
        <v>4</v>
      </c>
      <c r="T3554" s="1" t="b">
        <v>0</v>
      </c>
      <c r="U3554" s="1" t="s">
        <v>39</v>
      </c>
      <c r="V3554" s="3">
        <v>10</v>
      </c>
    </row>
    <row r="3555" spans="1:22" x14ac:dyDescent="0.3">
      <c r="A3555" s="2" t="s">
        <v>7566</v>
      </c>
      <c r="B3555" s="10">
        <v>44299</v>
      </c>
      <c r="C3555" s="22">
        <v>44299</v>
      </c>
      <c r="D3555" s="1" t="s">
        <v>7567</v>
      </c>
      <c r="E3555" s="1" t="s">
        <v>875</v>
      </c>
      <c r="F3555" s="1">
        <v>41</v>
      </c>
      <c r="G3555" s="1" t="s">
        <v>463</v>
      </c>
      <c r="H3555" s="1" t="s">
        <v>35</v>
      </c>
      <c r="I3555" s="1" t="s">
        <v>43</v>
      </c>
      <c r="J3555" s="1" t="s">
        <v>44</v>
      </c>
      <c r="K3555" s="1" t="s">
        <v>50</v>
      </c>
      <c r="L3555" s="1">
        <v>7</v>
      </c>
      <c r="M3555" s="13">
        <v>9355.68</v>
      </c>
      <c r="N3555" s="15">
        <v>0.1</v>
      </c>
      <c r="O3555" s="13">
        <v>71596.039999999994</v>
      </c>
      <c r="P3555" s="13">
        <v>22032.09</v>
      </c>
      <c r="Q3555" s="13">
        <v>59.02</v>
      </c>
      <c r="R3555" s="1" t="s">
        <v>29</v>
      </c>
      <c r="S3555" s="1">
        <v>2</v>
      </c>
      <c r="T3555" s="1" t="b">
        <v>0</v>
      </c>
      <c r="U3555" s="1" t="s">
        <v>39</v>
      </c>
      <c r="V3555" s="3">
        <v>2</v>
      </c>
    </row>
    <row r="3556" spans="1:22" x14ac:dyDescent="0.3">
      <c r="A3556" s="2" t="s">
        <v>7568</v>
      </c>
      <c r="B3556" s="10">
        <v>44739</v>
      </c>
      <c r="C3556" s="22">
        <v>44739</v>
      </c>
      <c r="D3556" s="1" t="s">
        <v>7569</v>
      </c>
      <c r="E3556" s="1" t="s">
        <v>272</v>
      </c>
      <c r="F3556" s="1">
        <v>48</v>
      </c>
      <c r="G3556" s="1" t="s">
        <v>34</v>
      </c>
      <c r="H3556" s="1" t="s">
        <v>35</v>
      </c>
      <c r="I3556" s="1" t="s">
        <v>106</v>
      </c>
      <c r="J3556" s="1" t="s">
        <v>27</v>
      </c>
      <c r="K3556" s="1" t="s">
        <v>28</v>
      </c>
      <c r="L3556" s="1">
        <v>3</v>
      </c>
      <c r="M3556" s="13">
        <v>357.08</v>
      </c>
      <c r="N3556" s="15">
        <v>0.33</v>
      </c>
      <c r="O3556" s="13">
        <v>1019.24</v>
      </c>
      <c r="P3556" s="13">
        <v>100.4</v>
      </c>
      <c r="Q3556" s="13">
        <v>57.72</v>
      </c>
      <c r="R3556" s="1" t="s">
        <v>29</v>
      </c>
      <c r="S3556" s="1">
        <v>4</v>
      </c>
      <c r="T3556" s="1" t="b">
        <v>0</v>
      </c>
      <c r="U3556" s="1" t="s">
        <v>39</v>
      </c>
      <c r="V3556" s="3">
        <v>8</v>
      </c>
    </row>
    <row r="3557" spans="1:22" x14ac:dyDescent="0.3">
      <c r="A3557" s="2" t="s">
        <v>7570</v>
      </c>
      <c r="B3557" s="10">
        <v>44418</v>
      </c>
      <c r="C3557" s="22">
        <v>44418</v>
      </c>
      <c r="D3557" s="1" t="s">
        <v>7571</v>
      </c>
      <c r="E3557" s="1" t="s">
        <v>603</v>
      </c>
      <c r="F3557" s="1">
        <v>47</v>
      </c>
      <c r="G3557" s="1" t="s">
        <v>34</v>
      </c>
      <c r="H3557" s="1" t="s">
        <v>111</v>
      </c>
      <c r="I3557" s="1" t="s">
        <v>330</v>
      </c>
      <c r="J3557" s="1" t="s">
        <v>37</v>
      </c>
      <c r="K3557" s="1" t="s">
        <v>38</v>
      </c>
      <c r="L3557" s="1">
        <v>2</v>
      </c>
      <c r="M3557" s="13">
        <v>1000.16</v>
      </c>
      <c r="N3557" s="15">
        <v>0.16</v>
      </c>
      <c r="O3557" s="13">
        <v>2110.52</v>
      </c>
      <c r="P3557" s="13">
        <v>712.46</v>
      </c>
      <c r="Q3557" s="13">
        <v>67.430000000000007</v>
      </c>
      <c r="R3557" s="1" t="s">
        <v>64</v>
      </c>
      <c r="S3557" s="1">
        <v>1</v>
      </c>
      <c r="T3557" s="1" t="b">
        <v>0</v>
      </c>
      <c r="U3557" s="1" t="s">
        <v>39</v>
      </c>
      <c r="V3557" s="3">
        <v>5</v>
      </c>
    </row>
    <row r="3558" spans="1:22" x14ac:dyDescent="0.3">
      <c r="A3558" s="2" t="s">
        <v>7572</v>
      </c>
      <c r="B3558" s="10">
        <v>44615</v>
      </c>
      <c r="C3558" s="22">
        <v>44615</v>
      </c>
      <c r="D3558" s="1" t="s">
        <v>7573</v>
      </c>
      <c r="E3558" s="1" t="s">
        <v>220</v>
      </c>
      <c r="F3558" s="1">
        <v>29</v>
      </c>
      <c r="G3558" s="1" t="s">
        <v>24</v>
      </c>
      <c r="H3558" s="1" t="s">
        <v>111</v>
      </c>
      <c r="I3558" s="1" t="s">
        <v>121</v>
      </c>
      <c r="J3558" s="1" t="s">
        <v>62</v>
      </c>
      <c r="K3558" s="1" t="s">
        <v>266</v>
      </c>
      <c r="L3558" s="1">
        <v>5</v>
      </c>
      <c r="M3558" s="13">
        <v>911.92</v>
      </c>
      <c r="N3558" s="15">
        <v>0.33</v>
      </c>
      <c r="O3558" s="13">
        <v>503.6</v>
      </c>
      <c r="P3558" s="13">
        <v>215.7</v>
      </c>
      <c r="Q3558" s="13">
        <v>83.81</v>
      </c>
      <c r="R3558" s="1" t="s">
        <v>29</v>
      </c>
      <c r="S3558" s="1">
        <v>2</v>
      </c>
      <c r="T3558" s="1" t="b">
        <v>0</v>
      </c>
      <c r="U3558" s="1" t="s">
        <v>39</v>
      </c>
      <c r="V3558" s="3">
        <v>6</v>
      </c>
    </row>
    <row r="3559" spans="1:22" x14ac:dyDescent="0.3">
      <c r="A3559" s="2" t="s">
        <v>7574</v>
      </c>
      <c r="B3559" s="10">
        <v>44388</v>
      </c>
      <c r="C3559" s="22">
        <v>44388</v>
      </c>
      <c r="D3559" s="1" t="s">
        <v>7575</v>
      </c>
      <c r="E3559" s="1" t="s">
        <v>516</v>
      </c>
      <c r="F3559" s="1">
        <v>26</v>
      </c>
      <c r="G3559" s="1" t="s">
        <v>34</v>
      </c>
      <c r="H3559" s="1" t="s">
        <v>35</v>
      </c>
      <c r="I3559" s="1" t="s">
        <v>43</v>
      </c>
      <c r="J3559" s="1" t="s">
        <v>37</v>
      </c>
      <c r="K3559" s="1" t="s">
        <v>102</v>
      </c>
      <c r="L3559" s="1">
        <v>9</v>
      </c>
      <c r="M3559" s="13">
        <v>2103.23</v>
      </c>
      <c r="N3559" s="15">
        <v>0.21</v>
      </c>
      <c r="O3559" s="13">
        <v>17656.62</v>
      </c>
      <c r="P3559" s="13">
        <v>8778.09</v>
      </c>
      <c r="Q3559" s="13">
        <v>74.94</v>
      </c>
      <c r="R3559" s="1" t="s">
        <v>51</v>
      </c>
      <c r="S3559" s="1">
        <v>1</v>
      </c>
      <c r="T3559" s="1" t="b">
        <v>0</v>
      </c>
      <c r="U3559" s="1" t="s">
        <v>39</v>
      </c>
      <c r="V3559" s="3">
        <v>6</v>
      </c>
    </row>
    <row r="3560" spans="1:22" x14ac:dyDescent="0.3">
      <c r="A3560" s="2" t="s">
        <v>7576</v>
      </c>
      <c r="B3560" s="10">
        <v>45362</v>
      </c>
      <c r="C3560" s="22">
        <v>45362</v>
      </c>
      <c r="D3560" s="1" t="s">
        <v>7577</v>
      </c>
      <c r="E3560" s="1" t="s">
        <v>1459</v>
      </c>
      <c r="F3560" s="1">
        <v>31</v>
      </c>
      <c r="G3560" s="1" t="s">
        <v>24</v>
      </c>
      <c r="H3560" s="1" t="s">
        <v>82</v>
      </c>
      <c r="I3560" s="1" t="s">
        <v>126</v>
      </c>
      <c r="J3560" s="1" t="s">
        <v>44</v>
      </c>
      <c r="K3560" s="1" t="s">
        <v>221</v>
      </c>
      <c r="L3560" s="1">
        <v>8</v>
      </c>
      <c r="M3560" s="13">
        <v>29867.23</v>
      </c>
      <c r="N3560" s="15">
        <v>0.2</v>
      </c>
      <c r="O3560" s="13">
        <v>199689.27</v>
      </c>
      <c r="P3560" s="13">
        <v>42863.03</v>
      </c>
      <c r="Q3560" s="13">
        <v>81.97</v>
      </c>
      <c r="R3560" s="1" t="s">
        <v>70</v>
      </c>
      <c r="S3560" s="1">
        <v>2</v>
      </c>
      <c r="T3560" s="1" t="b">
        <v>1</v>
      </c>
      <c r="U3560" s="1" t="s">
        <v>30</v>
      </c>
      <c r="V3560" s="3">
        <v>6</v>
      </c>
    </row>
    <row r="3561" spans="1:22" x14ac:dyDescent="0.3">
      <c r="A3561" s="2" t="s">
        <v>7578</v>
      </c>
      <c r="B3561" s="10">
        <v>44962</v>
      </c>
      <c r="C3561" s="22">
        <v>44962</v>
      </c>
      <c r="D3561" s="1" t="s">
        <v>7579</v>
      </c>
      <c r="E3561" s="1" t="s">
        <v>301</v>
      </c>
      <c r="F3561" s="1">
        <v>41</v>
      </c>
      <c r="G3561" s="1" t="s">
        <v>24</v>
      </c>
      <c r="H3561" s="1" t="s">
        <v>82</v>
      </c>
      <c r="I3561" s="1" t="s">
        <v>244</v>
      </c>
      <c r="J3561" s="1" t="s">
        <v>146</v>
      </c>
      <c r="K3561" s="1" t="s">
        <v>276</v>
      </c>
      <c r="L3561" s="1">
        <v>6</v>
      </c>
      <c r="M3561" s="13">
        <v>10564.85</v>
      </c>
      <c r="N3561" s="15">
        <v>0.34</v>
      </c>
      <c r="O3561" s="13">
        <v>41618.68</v>
      </c>
      <c r="P3561" s="13">
        <v>10694.73</v>
      </c>
      <c r="Q3561" s="13">
        <v>90.4</v>
      </c>
      <c r="R3561" s="1" t="s">
        <v>57</v>
      </c>
      <c r="S3561" s="1">
        <v>3</v>
      </c>
      <c r="T3561" s="1" t="b">
        <v>1</v>
      </c>
      <c r="U3561" s="1" t="s">
        <v>30</v>
      </c>
      <c r="V3561" s="3">
        <v>4</v>
      </c>
    </row>
    <row r="3562" spans="1:22" x14ac:dyDescent="0.3">
      <c r="A3562" s="2" t="s">
        <v>7580</v>
      </c>
      <c r="B3562" s="10">
        <v>44844</v>
      </c>
      <c r="C3562" s="22">
        <v>44844</v>
      </c>
      <c r="D3562" s="1" t="s">
        <v>7581</v>
      </c>
      <c r="E3562" s="1" t="s">
        <v>537</v>
      </c>
      <c r="F3562" s="1">
        <v>60</v>
      </c>
      <c r="G3562" s="1" t="s">
        <v>24</v>
      </c>
      <c r="H3562" s="1" t="s">
        <v>82</v>
      </c>
      <c r="I3562" s="1" t="s">
        <v>126</v>
      </c>
      <c r="J3562" s="1" t="s">
        <v>127</v>
      </c>
      <c r="K3562" s="1" t="s">
        <v>517</v>
      </c>
      <c r="L3562" s="1">
        <v>8</v>
      </c>
      <c r="M3562" s="13">
        <v>29640.05</v>
      </c>
      <c r="N3562" s="15">
        <v>0.34</v>
      </c>
      <c r="O3562" s="13">
        <v>154607.71</v>
      </c>
      <c r="P3562" s="13">
        <v>15304.08</v>
      </c>
      <c r="Q3562" s="13">
        <v>53.3</v>
      </c>
      <c r="R3562" s="1" t="s">
        <v>51</v>
      </c>
      <c r="S3562" s="1">
        <v>5</v>
      </c>
      <c r="T3562" s="1" t="b">
        <v>0</v>
      </c>
      <c r="U3562" s="1" t="s">
        <v>137</v>
      </c>
      <c r="V3562" s="3">
        <v>9</v>
      </c>
    </row>
    <row r="3563" spans="1:22" x14ac:dyDescent="0.3">
      <c r="A3563" s="2" t="s">
        <v>7582</v>
      </c>
      <c r="B3563" s="10">
        <v>44905</v>
      </c>
      <c r="C3563" s="22">
        <v>44905</v>
      </c>
      <c r="D3563" s="1" t="s">
        <v>7583</v>
      </c>
      <c r="E3563" s="1" t="s">
        <v>641</v>
      </c>
      <c r="F3563" s="1">
        <v>42</v>
      </c>
      <c r="G3563" s="1" t="s">
        <v>24</v>
      </c>
      <c r="H3563" s="1" t="s">
        <v>35</v>
      </c>
      <c r="I3563" s="1" t="s">
        <v>36</v>
      </c>
      <c r="J3563" s="1" t="s">
        <v>27</v>
      </c>
      <c r="K3563" s="1" t="s">
        <v>56</v>
      </c>
      <c r="L3563" s="1">
        <v>2</v>
      </c>
      <c r="M3563" s="13">
        <v>228.14</v>
      </c>
      <c r="N3563" s="15">
        <v>0.19</v>
      </c>
      <c r="O3563" s="13">
        <v>317.31</v>
      </c>
      <c r="P3563" s="13">
        <v>21.59</v>
      </c>
      <c r="Q3563" s="13">
        <v>38.619999999999997</v>
      </c>
      <c r="R3563" s="1" t="s">
        <v>78</v>
      </c>
      <c r="S3563" s="1">
        <v>5</v>
      </c>
      <c r="T3563" s="1" t="b">
        <v>0</v>
      </c>
      <c r="U3563" s="1" t="s">
        <v>39</v>
      </c>
      <c r="V3563" s="3">
        <v>1</v>
      </c>
    </row>
    <row r="3564" spans="1:22" x14ac:dyDescent="0.3">
      <c r="A3564" s="2" t="s">
        <v>7584</v>
      </c>
      <c r="B3564" s="10">
        <v>44540</v>
      </c>
      <c r="C3564" s="22">
        <v>44540</v>
      </c>
      <c r="D3564" s="1" t="s">
        <v>7585</v>
      </c>
      <c r="E3564" s="1" t="s">
        <v>1201</v>
      </c>
      <c r="F3564" s="1">
        <v>32</v>
      </c>
      <c r="G3564" s="1" t="s">
        <v>24</v>
      </c>
      <c r="H3564" s="1" t="s">
        <v>74</v>
      </c>
      <c r="I3564" s="1" t="s">
        <v>192</v>
      </c>
      <c r="J3564" s="1" t="s">
        <v>146</v>
      </c>
      <c r="K3564" s="1" t="s">
        <v>217</v>
      </c>
      <c r="L3564" s="1">
        <v>8</v>
      </c>
      <c r="M3564" s="13">
        <v>8526.34</v>
      </c>
      <c r="N3564" s="15">
        <v>0.2</v>
      </c>
      <c r="O3564" s="13">
        <v>43308.39</v>
      </c>
      <c r="P3564" s="13">
        <v>15373.18</v>
      </c>
      <c r="Q3564" s="13">
        <v>43.24</v>
      </c>
      <c r="R3564" s="1" t="s">
        <v>78</v>
      </c>
      <c r="S3564" s="1">
        <v>1</v>
      </c>
      <c r="T3564" s="1" t="b">
        <v>0</v>
      </c>
      <c r="U3564" s="1" t="s">
        <v>84</v>
      </c>
      <c r="V3564" s="3">
        <v>4</v>
      </c>
    </row>
    <row r="3565" spans="1:22" x14ac:dyDescent="0.3">
      <c r="A3565" s="2" t="s">
        <v>7586</v>
      </c>
      <c r="B3565" s="10">
        <v>44635</v>
      </c>
      <c r="C3565" s="22">
        <v>44635</v>
      </c>
      <c r="D3565" s="1" t="s">
        <v>7587</v>
      </c>
      <c r="E3565" s="1" t="s">
        <v>1404</v>
      </c>
      <c r="F3565" s="1">
        <v>40</v>
      </c>
      <c r="G3565" s="1" t="s">
        <v>24</v>
      </c>
      <c r="H3565" s="1" t="s">
        <v>35</v>
      </c>
      <c r="I3565" s="1" t="s">
        <v>36</v>
      </c>
      <c r="J3565" s="1" t="s">
        <v>127</v>
      </c>
      <c r="K3565" s="1" t="s">
        <v>517</v>
      </c>
      <c r="L3565" s="1">
        <v>7</v>
      </c>
      <c r="M3565" s="13">
        <v>62327.01</v>
      </c>
      <c r="N3565" s="15">
        <v>0.11</v>
      </c>
      <c r="O3565" s="13">
        <v>437292.1</v>
      </c>
      <c r="P3565" s="13">
        <v>49721.96</v>
      </c>
      <c r="Q3565" s="13">
        <v>38.92</v>
      </c>
      <c r="R3565" s="1" t="s">
        <v>70</v>
      </c>
      <c r="S3565" s="1">
        <v>2</v>
      </c>
      <c r="T3565" s="1" t="b">
        <v>0</v>
      </c>
      <c r="U3565" s="1" t="s">
        <v>39</v>
      </c>
      <c r="V3565" s="3">
        <v>5</v>
      </c>
    </row>
    <row r="3566" spans="1:22" x14ac:dyDescent="0.3">
      <c r="A3566" s="2" t="s">
        <v>7588</v>
      </c>
      <c r="B3566" s="10">
        <v>44691</v>
      </c>
      <c r="C3566" s="22">
        <v>44691</v>
      </c>
      <c r="D3566" s="1" t="s">
        <v>7589</v>
      </c>
      <c r="E3566" s="1" t="s">
        <v>804</v>
      </c>
      <c r="F3566" s="1">
        <v>35</v>
      </c>
      <c r="G3566" s="1" t="s">
        <v>34</v>
      </c>
      <c r="H3566" s="1" t="s">
        <v>111</v>
      </c>
      <c r="I3566" s="1" t="s">
        <v>112</v>
      </c>
      <c r="J3566" s="1" t="s">
        <v>146</v>
      </c>
      <c r="K3566" s="1" t="s">
        <v>217</v>
      </c>
      <c r="L3566" s="1">
        <v>3</v>
      </c>
      <c r="M3566" s="13">
        <v>9576.43</v>
      </c>
      <c r="N3566" s="15">
        <v>0.23</v>
      </c>
      <c r="O3566" s="13">
        <v>35621.919999999998</v>
      </c>
      <c r="P3566" s="13">
        <v>9543.5</v>
      </c>
      <c r="Q3566" s="13">
        <v>20.04</v>
      </c>
      <c r="R3566" s="1" t="s">
        <v>78</v>
      </c>
      <c r="S3566" s="1">
        <v>2</v>
      </c>
      <c r="T3566" s="1" t="b">
        <v>0</v>
      </c>
      <c r="U3566" s="1" t="s">
        <v>39</v>
      </c>
      <c r="V3566" s="3">
        <v>2</v>
      </c>
    </row>
    <row r="3567" spans="1:22" x14ac:dyDescent="0.3">
      <c r="A3567" s="2" t="s">
        <v>7590</v>
      </c>
      <c r="B3567" s="10">
        <v>44769</v>
      </c>
      <c r="C3567" s="22">
        <v>44769</v>
      </c>
      <c r="D3567" s="1" t="s">
        <v>7591</v>
      </c>
      <c r="E3567" s="1" t="s">
        <v>953</v>
      </c>
      <c r="F3567" s="1">
        <v>49</v>
      </c>
      <c r="G3567" s="1" t="s">
        <v>24</v>
      </c>
      <c r="H3567" s="1" t="s">
        <v>35</v>
      </c>
      <c r="I3567" s="1" t="s">
        <v>43</v>
      </c>
      <c r="J3567" s="1" t="s">
        <v>127</v>
      </c>
      <c r="K3567" s="1" t="s">
        <v>171</v>
      </c>
      <c r="L3567" s="1">
        <v>5</v>
      </c>
      <c r="M3567" s="13">
        <v>69337.89</v>
      </c>
      <c r="N3567" s="15">
        <v>0.18</v>
      </c>
      <c r="O3567" s="13">
        <v>362912.13</v>
      </c>
      <c r="P3567" s="13">
        <v>39925.800000000003</v>
      </c>
      <c r="Q3567" s="13">
        <v>31.5</v>
      </c>
      <c r="R3567" s="1" t="s">
        <v>29</v>
      </c>
      <c r="S3567" s="1">
        <v>4</v>
      </c>
      <c r="T3567" s="1" t="b">
        <v>0</v>
      </c>
      <c r="U3567" s="1" t="s">
        <v>197</v>
      </c>
      <c r="V3567" s="3">
        <v>4</v>
      </c>
    </row>
    <row r="3568" spans="1:22" x14ac:dyDescent="0.3">
      <c r="A3568" s="2" t="s">
        <v>7592</v>
      </c>
      <c r="B3568" s="10">
        <v>45290</v>
      </c>
      <c r="C3568" s="22">
        <v>45290</v>
      </c>
      <c r="D3568" s="1" t="s">
        <v>7593</v>
      </c>
      <c r="E3568" s="1" t="s">
        <v>3152</v>
      </c>
      <c r="F3568" s="1">
        <v>36</v>
      </c>
      <c r="G3568" s="1" t="s">
        <v>24</v>
      </c>
      <c r="H3568" s="1" t="s">
        <v>25</v>
      </c>
      <c r="I3568" s="1" t="s">
        <v>69</v>
      </c>
      <c r="J3568" s="1" t="s">
        <v>27</v>
      </c>
      <c r="K3568" s="1" t="s">
        <v>430</v>
      </c>
      <c r="L3568" s="1">
        <v>8</v>
      </c>
      <c r="M3568" s="13">
        <v>60.17</v>
      </c>
      <c r="N3568" s="15">
        <v>0.13</v>
      </c>
      <c r="O3568" s="13">
        <v>389.42</v>
      </c>
      <c r="P3568" s="13">
        <v>26.13</v>
      </c>
      <c r="Q3568" s="13">
        <v>33.6</v>
      </c>
      <c r="R3568" s="1" t="s">
        <v>29</v>
      </c>
      <c r="S3568" s="1">
        <v>2</v>
      </c>
      <c r="T3568" s="1" t="b">
        <v>0</v>
      </c>
      <c r="U3568" s="1" t="s">
        <v>39</v>
      </c>
      <c r="V3568" s="3">
        <v>6</v>
      </c>
    </row>
    <row r="3569" spans="1:22" x14ac:dyDescent="0.3">
      <c r="A3569" s="2" t="s">
        <v>7594</v>
      </c>
      <c r="B3569" s="10">
        <v>44541</v>
      </c>
      <c r="C3569" s="22">
        <v>44541</v>
      </c>
      <c r="D3569" s="1" t="s">
        <v>7595</v>
      </c>
      <c r="E3569" s="1" t="s">
        <v>801</v>
      </c>
      <c r="F3569" s="1">
        <v>25</v>
      </c>
      <c r="G3569" s="1" t="s">
        <v>68</v>
      </c>
      <c r="H3569" s="1" t="s">
        <v>25</v>
      </c>
      <c r="I3569" s="1" t="s">
        <v>26</v>
      </c>
      <c r="J3569" s="1" t="s">
        <v>76</v>
      </c>
      <c r="K3569" s="1" t="s">
        <v>207</v>
      </c>
      <c r="L3569" s="1">
        <v>5</v>
      </c>
      <c r="M3569" s="13">
        <v>3611.23</v>
      </c>
      <c r="N3569" s="15">
        <v>0.37</v>
      </c>
      <c r="O3569" s="13">
        <v>8343.34</v>
      </c>
      <c r="P3569" s="13">
        <v>2810.97</v>
      </c>
      <c r="Q3569" s="13">
        <v>31.7</v>
      </c>
      <c r="R3569" s="1" t="s">
        <v>29</v>
      </c>
      <c r="S3569" s="1">
        <v>3</v>
      </c>
      <c r="T3569" s="1" t="b">
        <v>1</v>
      </c>
      <c r="U3569" s="1" t="s">
        <v>30</v>
      </c>
      <c r="V3569" s="3">
        <v>5</v>
      </c>
    </row>
    <row r="3570" spans="1:22" x14ac:dyDescent="0.3">
      <c r="A3570" s="2" t="s">
        <v>7596</v>
      </c>
      <c r="B3570" s="10">
        <v>43877</v>
      </c>
      <c r="C3570" s="22">
        <v>43877</v>
      </c>
      <c r="D3570" s="1" t="s">
        <v>7597</v>
      </c>
      <c r="E3570" s="1" t="s">
        <v>994</v>
      </c>
      <c r="F3570" s="1">
        <v>37</v>
      </c>
      <c r="G3570" s="1" t="s">
        <v>34</v>
      </c>
      <c r="H3570" s="1" t="s">
        <v>35</v>
      </c>
      <c r="I3570" s="1" t="s">
        <v>49</v>
      </c>
      <c r="J3570" s="1" t="s">
        <v>62</v>
      </c>
      <c r="K3570" s="1" t="s">
        <v>107</v>
      </c>
      <c r="L3570" s="1">
        <v>7</v>
      </c>
      <c r="M3570" s="13">
        <v>1374.83</v>
      </c>
      <c r="N3570" s="15">
        <v>0.21</v>
      </c>
      <c r="O3570" s="13">
        <v>7510.29</v>
      </c>
      <c r="P3570" s="13">
        <v>3464.94</v>
      </c>
      <c r="Q3570" s="13">
        <v>67.73</v>
      </c>
      <c r="R3570" s="1" t="s">
        <v>57</v>
      </c>
      <c r="S3570" s="1">
        <v>5</v>
      </c>
      <c r="T3570" s="1" t="b">
        <v>0</v>
      </c>
      <c r="U3570" s="1" t="s">
        <v>39</v>
      </c>
      <c r="V3570" s="3">
        <v>7</v>
      </c>
    </row>
    <row r="3571" spans="1:22" x14ac:dyDescent="0.3">
      <c r="A3571" s="2" t="s">
        <v>7598</v>
      </c>
      <c r="B3571" s="10">
        <v>44126</v>
      </c>
      <c r="C3571" s="22">
        <v>44126</v>
      </c>
      <c r="D3571" s="1" t="s">
        <v>7599</v>
      </c>
      <c r="E3571" s="1" t="s">
        <v>206</v>
      </c>
      <c r="F3571" s="1">
        <v>38</v>
      </c>
      <c r="G3571" s="1" t="s">
        <v>68</v>
      </c>
      <c r="H3571" s="1" t="s">
        <v>111</v>
      </c>
      <c r="I3571" s="1" t="s">
        <v>112</v>
      </c>
      <c r="J3571" s="1" t="s">
        <v>76</v>
      </c>
      <c r="K3571" s="1" t="s">
        <v>77</v>
      </c>
      <c r="L3571" s="1">
        <v>5</v>
      </c>
      <c r="M3571" s="13">
        <v>1598.2</v>
      </c>
      <c r="N3571" s="15">
        <v>0.1</v>
      </c>
      <c r="O3571" s="13">
        <v>5437.53</v>
      </c>
      <c r="P3571" s="13">
        <v>588.35</v>
      </c>
      <c r="Q3571" s="13">
        <v>57.89</v>
      </c>
      <c r="R3571" s="1" t="s">
        <v>57</v>
      </c>
      <c r="S3571" s="1">
        <v>4</v>
      </c>
      <c r="T3571" s="1" t="b">
        <v>0</v>
      </c>
      <c r="U3571" s="1" t="s">
        <v>39</v>
      </c>
      <c r="V3571" s="3">
        <v>3</v>
      </c>
    </row>
    <row r="3572" spans="1:22" x14ac:dyDescent="0.3">
      <c r="A3572" s="2" t="s">
        <v>7600</v>
      </c>
      <c r="B3572" s="10">
        <v>45477</v>
      </c>
      <c r="C3572" s="22">
        <v>45477</v>
      </c>
      <c r="D3572" s="1" t="s">
        <v>7601</v>
      </c>
      <c r="E3572" s="1" t="s">
        <v>360</v>
      </c>
      <c r="F3572" s="1">
        <v>26</v>
      </c>
      <c r="G3572" s="1" t="s">
        <v>24</v>
      </c>
      <c r="H3572" s="1" t="s">
        <v>82</v>
      </c>
      <c r="I3572" s="1" t="s">
        <v>126</v>
      </c>
      <c r="J3572" s="1" t="s">
        <v>127</v>
      </c>
      <c r="K3572" s="1" t="s">
        <v>128</v>
      </c>
      <c r="L3572" s="1">
        <v>1</v>
      </c>
      <c r="M3572" s="13">
        <v>47324.800000000003</v>
      </c>
      <c r="N3572" s="15">
        <v>0.16</v>
      </c>
      <c r="O3572" s="13">
        <v>68357.31</v>
      </c>
      <c r="P3572" s="13">
        <v>9570.1200000000008</v>
      </c>
      <c r="Q3572" s="13">
        <v>90.13</v>
      </c>
      <c r="R3572" s="1" t="s">
        <v>70</v>
      </c>
      <c r="S3572" s="1">
        <v>5</v>
      </c>
      <c r="T3572" s="1" t="b">
        <v>1</v>
      </c>
      <c r="U3572" s="1" t="s">
        <v>30</v>
      </c>
      <c r="V3572" s="3">
        <v>9</v>
      </c>
    </row>
    <row r="3573" spans="1:22" x14ac:dyDescent="0.3">
      <c r="A3573" s="2" t="s">
        <v>7602</v>
      </c>
      <c r="B3573" s="10">
        <v>44625</v>
      </c>
      <c r="C3573" s="22">
        <v>44625</v>
      </c>
      <c r="D3573" s="1" t="s">
        <v>7603</v>
      </c>
      <c r="E3573" s="1" t="s">
        <v>1340</v>
      </c>
      <c r="F3573" s="1">
        <v>57</v>
      </c>
      <c r="G3573" s="1" t="s">
        <v>24</v>
      </c>
      <c r="H3573" s="1" t="s">
        <v>111</v>
      </c>
      <c r="I3573" s="1" t="s">
        <v>141</v>
      </c>
      <c r="J3573" s="1" t="s">
        <v>127</v>
      </c>
      <c r="K3573" s="1" t="s">
        <v>128</v>
      </c>
      <c r="L3573" s="1">
        <v>1</v>
      </c>
      <c r="M3573" s="13">
        <v>19912.96</v>
      </c>
      <c r="N3573" s="15">
        <v>0.27</v>
      </c>
      <c r="O3573" s="13">
        <v>19091.830000000002</v>
      </c>
      <c r="P3573" s="13">
        <v>2309.9</v>
      </c>
      <c r="Q3573" s="13">
        <v>49.5</v>
      </c>
      <c r="R3573" s="1" t="s">
        <v>64</v>
      </c>
      <c r="S3573" s="1">
        <v>3</v>
      </c>
      <c r="T3573" s="1" t="b">
        <v>0</v>
      </c>
      <c r="U3573" s="1" t="s">
        <v>39</v>
      </c>
      <c r="V3573" s="3">
        <v>5</v>
      </c>
    </row>
    <row r="3574" spans="1:22" x14ac:dyDescent="0.3">
      <c r="A3574" s="2" t="s">
        <v>7604</v>
      </c>
      <c r="B3574" s="10">
        <v>44790</v>
      </c>
      <c r="C3574" s="22">
        <v>44790</v>
      </c>
      <c r="D3574" s="1" t="s">
        <v>7605</v>
      </c>
      <c r="E3574" s="1" t="s">
        <v>1672</v>
      </c>
      <c r="F3574" s="1">
        <v>33</v>
      </c>
      <c r="G3574" s="1" t="s">
        <v>24</v>
      </c>
      <c r="H3574" s="1" t="s">
        <v>25</v>
      </c>
      <c r="I3574" s="1" t="s">
        <v>55</v>
      </c>
      <c r="J3574" s="1" t="s">
        <v>76</v>
      </c>
      <c r="K3574" s="1" t="s">
        <v>89</v>
      </c>
      <c r="L3574" s="1">
        <v>9</v>
      </c>
      <c r="M3574" s="13">
        <v>3159.45</v>
      </c>
      <c r="N3574" s="15">
        <v>0.11</v>
      </c>
      <c r="O3574" s="13">
        <v>29757.86</v>
      </c>
      <c r="P3574" s="13">
        <v>9057.31</v>
      </c>
      <c r="Q3574" s="13">
        <v>53.6</v>
      </c>
      <c r="R3574" s="1" t="s">
        <v>64</v>
      </c>
      <c r="S3574" s="1">
        <v>3</v>
      </c>
      <c r="T3574" s="1" t="b">
        <v>0</v>
      </c>
      <c r="U3574" s="1" t="s">
        <v>197</v>
      </c>
      <c r="V3574" s="3">
        <v>3</v>
      </c>
    </row>
    <row r="3575" spans="1:22" x14ac:dyDescent="0.3">
      <c r="A3575" s="2" t="s">
        <v>7606</v>
      </c>
      <c r="B3575" s="10">
        <v>45635</v>
      </c>
      <c r="C3575" s="22">
        <v>45635</v>
      </c>
      <c r="D3575" s="1" t="s">
        <v>7607</v>
      </c>
      <c r="E3575" s="1" t="s">
        <v>988</v>
      </c>
      <c r="F3575" s="1">
        <v>49</v>
      </c>
      <c r="G3575" s="1" t="s">
        <v>24</v>
      </c>
      <c r="H3575" s="1" t="s">
        <v>25</v>
      </c>
      <c r="I3575" s="1" t="s">
        <v>170</v>
      </c>
      <c r="J3575" s="1" t="s">
        <v>37</v>
      </c>
      <c r="K3575" s="1" t="s">
        <v>102</v>
      </c>
      <c r="L3575" s="1">
        <v>7</v>
      </c>
      <c r="M3575" s="13">
        <v>2138.83</v>
      </c>
      <c r="N3575" s="15">
        <v>0.26</v>
      </c>
      <c r="O3575" s="13">
        <v>10637.74</v>
      </c>
      <c r="P3575" s="13">
        <v>4567.68</v>
      </c>
      <c r="Q3575" s="13">
        <v>39.39</v>
      </c>
      <c r="R3575" s="1" t="s">
        <v>29</v>
      </c>
      <c r="S3575" s="1">
        <v>2</v>
      </c>
      <c r="T3575" s="1" t="b">
        <v>0</v>
      </c>
      <c r="U3575" s="1" t="s">
        <v>84</v>
      </c>
      <c r="V3575" s="3">
        <v>7</v>
      </c>
    </row>
    <row r="3576" spans="1:22" x14ac:dyDescent="0.3">
      <c r="A3576" s="2" t="s">
        <v>7608</v>
      </c>
      <c r="B3576" s="10">
        <v>45208</v>
      </c>
      <c r="C3576" s="22">
        <v>45208</v>
      </c>
      <c r="D3576" s="1" t="s">
        <v>7609</v>
      </c>
      <c r="E3576" s="1" t="s">
        <v>789</v>
      </c>
      <c r="F3576" s="1">
        <v>45</v>
      </c>
      <c r="G3576" s="1" t="s">
        <v>391</v>
      </c>
      <c r="H3576" s="1" t="s">
        <v>35</v>
      </c>
      <c r="I3576" s="1" t="s">
        <v>43</v>
      </c>
      <c r="J3576" s="1" t="s">
        <v>146</v>
      </c>
      <c r="K3576" s="1" t="s">
        <v>161</v>
      </c>
      <c r="L3576" s="1">
        <v>2</v>
      </c>
      <c r="M3576" s="13">
        <v>14208.99</v>
      </c>
      <c r="N3576" s="15">
        <v>0.13</v>
      </c>
      <c r="O3576" s="13">
        <v>26208.02</v>
      </c>
      <c r="P3576" s="13">
        <v>7074.23</v>
      </c>
      <c r="Q3576" s="13">
        <v>73.52</v>
      </c>
      <c r="R3576" s="1" t="s">
        <v>51</v>
      </c>
      <c r="S3576" s="1">
        <v>3</v>
      </c>
      <c r="T3576" s="1" t="b">
        <v>0</v>
      </c>
      <c r="U3576" s="1" t="s">
        <v>39</v>
      </c>
      <c r="V3576" s="3">
        <v>7</v>
      </c>
    </row>
    <row r="3577" spans="1:22" x14ac:dyDescent="0.3">
      <c r="A3577" s="2" t="s">
        <v>7610</v>
      </c>
      <c r="B3577" s="10">
        <v>44759</v>
      </c>
      <c r="C3577" s="22">
        <v>44759</v>
      </c>
      <c r="D3577" s="1" t="s">
        <v>7611</v>
      </c>
      <c r="E3577" s="1" t="s">
        <v>789</v>
      </c>
      <c r="F3577" s="1">
        <v>44</v>
      </c>
      <c r="G3577" s="1" t="s">
        <v>34</v>
      </c>
      <c r="H3577" s="1" t="s">
        <v>35</v>
      </c>
      <c r="I3577" s="1" t="s">
        <v>49</v>
      </c>
      <c r="J3577" s="1" t="s">
        <v>44</v>
      </c>
      <c r="K3577" s="1" t="s">
        <v>50</v>
      </c>
      <c r="L3577" s="1">
        <v>5</v>
      </c>
      <c r="M3577" s="13">
        <v>7769.34</v>
      </c>
      <c r="N3577" s="15">
        <v>0.25</v>
      </c>
      <c r="O3577" s="13">
        <v>39143.379999999997</v>
      </c>
      <c r="P3577" s="13">
        <v>11912.85</v>
      </c>
      <c r="Q3577" s="13">
        <v>60.21</v>
      </c>
      <c r="R3577" s="1" t="s">
        <v>78</v>
      </c>
      <c r="S3577" s="1">
        <v>2</v>
      </c>
      <c r="T3577" s="1" t="b">
        <v>0</v>
      </c>
      <c r="U3577" s="1" t="s">
        <v>197</v>
      </c>
      <c r="V3577" s="3">
        <v>8</v>
      </c>
    </row>
    <row r="3578" spans="1:22" x14ac:dyDescent="0.3">
      <c r="A3578" s="2" t="s">
        <v>7612</v>
      </c>
      <c r="B3578" s="10">
        <v>44668</v>
      </c>
      <c r="C3578" s="22">
        <v>44668</v>
      </c>
      <c r="D3578" s="1" t="s">
        <v>1629</v>
      </c>
      <c r="E3578" s="1" t="s">
        <v>1131</v>
      </c>
      <c r="F3578" s="1">
        <v>35</v>
      </c>
      <c r="G3578" s="1" t="s">
        <v>24</v>
      </c>
      <c r="H3578" s="1" t="s">
        <v>35</v>
      </c>
      <c r="I3578" s="1" t="s">
        <v>49</v>
      </c>
      <c r="J3578" s="1" t="s">
        <v>37</v>
      </c>
      <c r="K3578" s="1" t="s">
        <v>671</v>
      </c>
      <c r="L3578" s="1">
        <v>2</v>
      </c>
      <c r="M3578" s="13">
        <v>1778.44</v>
      </c>
      <c r="N3578" s="15">
        <v>0.11</v>
      </c>
      <c r="O3578" s="13">
        <v>3512.3</v>
      </c>
      <c r="P3578" s="13">
        <v>1648.35</v>
      </c>
      <c r="Q3578" s="13">
        <v>93.12</v>
      </c>
      <c r="R3578" s="1" t="s">
        <v>29</v>
      </c>
      <c r="S3578" s="1">
        <v>1</v>
      </c>
      <c r="T3578" s="1" t="b">
        <v>1</v>
      </c>
      <c r="U3578" s="1" t="s">
        <v>30</v>
      </c>
      <c r="V3578" s="3">
        <v>7</v>
      </c>
    </row>
    <row r="3579" spans="1:22" x14ac:dyDescent="0.3">
      <c r="A3579" s="2" t="s">
        <v>7613</v>
      </c>
      <c r="B3579" s="10">
        <v>44686</v>
      </c>
      <c r="C3579" s="22">
        <v>44686</v>
      </c>
      <c r="D3579" s="1" t="s">
        <v>7614</v>
      </c>
      <c r="E3579" s="1" t="s">
        <v>3040</v>
      </c>
      <c r="F3579" s="1">
        <v>18</v>
      </c>
      <c r="G3579" s="1" t="s">
        <v>68</v>
      </c>
      <c r="H3579" s="1" t="s">
        <v>25</v>
      </c>
      <c r="I3579" s="1" t="s">
        <v>26</v>
      </c>
      <c r="J3579" s="1" t="s">
        <v>62</v>
      </c>
      <c r="K3579" s="1" t="s">
        <v>107</v>
      </c>
      <c r="L3579" s="1">
        <v>3</v>
      </c>
      <c r="M3579" s="13">
        <v>536.6</v>
      </c>
      <c r="N3579" s="15">
        <v>0.21</v>
      </c>
      <c r="O3579" s="13">
        <v>2368.96</v>
      </c>
      <c r="P3579" s="13">
        <v>1137.0999999999999</v>
      </c>
      <c r="Q3579" s="13">
        <v>73.3</v>
      </c>
      <c r="R3579" s="1" t="s">
        <v>57</v>
      </c>
      <c r="S3579" s="1">
        <v>3</v>
      </c>
      <c r="T3579" s="1" t="b">
        <v>0</v>
      </c>
      <c r="U3579" s="1" t="s">
        <v>58</v>
      </c>
      <c r="V3579" s="3">
        <v>6</v>
      </c>
    </row>
    <row r="3580" spans="1:22" x14ac:dyDescent="0.3">
      <c r="A3580" s="2" t="s">
        <v>7615</v>
      </c>
      <c r="B3580" s="10">
        <v>45378</v>
      </c>
      <c r="C3580" s="22">
        <v>45378</v>
      </c>
      <c r="D3580" s="1" t="s">
        <v>7616</v>
      </c>
      <c r="E3580" s="1" t="s">
        <v>657</v>
      </c>
      <c r="F3580" s="1">
        <v>42</v>
      </c>
      <c r="G3580" s="1" t="s">
        <v>68</v>
      </c>
      <c r="H3580" s="1" t="s">
        <v>35</v>
      </c>
      <c r="I3580" s="1" t="s">
        <v>43</v>
      </c>
      <c r="J3580" s="1" t="s">
        <v>62</v>
      </c>
      <c r="K3580" s="1" t="s">
        <v>63</v>
      </c>
      <c r="L3580" s="1">
        <v>4</v>
      </c>
      <c r="M3580" s="13">
        <v>335.65</v>
      </c>
      <c r="N3580" s="15">
        <v>0.2</v>
      </c>
      <c r="O3580" s="13">
        <v>1393.82</v>
      </c>
      <c r="P3580" s="13">
        <v>425.54</v>
      </c>
      <c r="Q3580" s="13">
        <v>35.659999999999997</v>
      </c>
      <c r="R3580" s="1" t="s">
        <v>70</v>
      </c>
      <c r="S3580" s="1">
        <v>3</v>
      </c>
      <c r="T3580" s="1" t="b">
        <v>0</v>
      </c>
      <c r="U3580" s="1" t="s">
        <v>39</v>
      </c>
      <c r="V3580" s="3">
        <v>6</v>
      </c>
    </row>
    <row r="3581" spans="1:22" x14ac:dyDescent="0.3">
      <c r="A3581" s="2" t="s">
        <v>7617</v>
      </c>
      <c r="B3581" s="10">
        <v>43881</v>
      </c>
      <c r="C3581" s="22">
        <v>43881</v>
      </c>
      <c r="D3581" s="1" t="s">
        <v>7618</v>
      </c>
      <c r="E3581" s="1" t="s">
        <v>547</v>
      </c>
      <c r="F3581" s="1">
        <v>24</v>
      </c>
      <c r="G3581" s="1" t="s">
        <v>68</v>
      </c>
      <c r="H3581" s="1" t="s">
        <v>74</v>
      </c>
      <c r="I3581" s="1" t="s">
        <v>136</v>
      </c>
      <c r="J3581" s="1" t="s">
        <v>27</v>
      </c>
      <c r="K3581" s="1" t="s">
        <v>400</v>
      </c>
      <c r="L3581" s="1">
        <v>10</v>
      </c>
      <c r="M3581" s="13">
        <v>378.08</v>
      </c>
      <c r="N3581" s="15">
        <v>0.08</v>
      </c>
      <c r="O3581" s="13">
        <v>2872.67</v>
      </c>
      <c r="P3581" s="13">
        <v>204.71</v>
      </c>
      <c r="Q3581" s="13">
        <v>40.81</v>
      </c>
      <c r="R3581" s="1" t="s">
        <v>29</v>
      </c>
      <c r="S3581" s="1">
        <v>1</v>
      </c>
      <c r="T3581" s="1" t="b">
        <v>0</v>
      </c>
      <c r="U3581" s="1" t="s">
        <v>84</v>
      </c>
      <c r="V3581" s="3">
        <v>2</v>
      </c>
    </row>
    <row r="3582" spans="1:22" x14ac:dyDescent="0.3">
      <c r="A3582" s="2" t="s">
        <v>7619</v>
      </c>
      <c r="B3582" s="10">
        <v>44498</v>
      </c>
      <c r="C3582" s="22">
        <v>44498</v>
      </c>
      <c r="D3582" s="1" t="s">
        <v>7620</v>
      </c>
      <c r="E3582" s="1" t="s">
        <v>81</v>
      </c>
      <c r="F3582" s="1">
        <v>25</v>
      </c>
      <c r="G3582" s="1" t="s">
        <v>34</v>
      </c>
      <c r="H3582" s="1" t="s">
        <v>111</v>
      </c>
      <c r="I3582" s="1" t="s">
        <v>121</v>
      </c>
      <c r="J3582" s="1" t="s">
        <v>127</v>
      </c>
      <c r="K3582" s="1" t="s">
        <v>171</v>
      </c>
      <c r="L3582" s="1">
        <v>9</v>
      </c>
      <c r="M3582" s="13">
        <v>55078.73</v>
      </c>
      <c r="N3582" s="15">
        <v>0.36</v>
      </c>
      <c r="O3582" s="13">
        <v>312236</v>
      </c>
      <c r="P3582" s="13">
        <v>41096.21</v>
      </c>
      <c r="Q3582" s="13">
        <v>50.4</v>
      </c>
      <c r="R3582" s="1" t="s">
        <v>64</v>
      </c>
      <c r="S3582" s="1">
        <v>3</v>
      </c>
      <c r="T3582" s="1" t="b">
        <v>0</v>
      </c>
      <c r="U3582" s="1" t="s">
        <v>39</v>
      </c>
      <c r="V3582" s="3">
        <v>3</v>
      </c>
    </row>
    <row r="3583" spans="1:22" x14ac:dyDescent="0.3">
      <c r="A3583" s="2" t="s">
        <v>7621</v>
      </c>
      <c r="B3583" s="10">
        <v>44597</v>
      </c>
      <c r="C3583" s="22">
        <v>44597</v>
      </c>
      <c r="D3583" s="1" t="s">
        <v>7622</v>
      </c>
      <c r="E3583" s="1" t="s">
        <v>230</v>
      </c>
      <c r="F3583" s="1">
        <v>51</v>
      </c>
      <c r="G3583" s="1" t="s">
        <v>24</v>
      </c>
      <c r="H3583" s="1" t="s">
        <v>111</v>
      </c>
      <c r="I3583" s="1" t="s">
        <v>141</v>
      </c>
      <c r="J3583" s="1" t="s">
        <v>62</v>
      </c>
      <c r="K3583" s="1" t="s">
        <v>151</v>
      </c>
      <c r="L3583" s="1">
        <v>2</v>
      </c>
      <c r="M3583" s="13">
        <v>429.2</v>
      </c>
      <c r="N3583" s="15">
        <v>0.19</v>
      </c>
      <c r="O3583" s="13">
        <v>650.28</v>
      </c>
      <c r="P3583" s="13">
        <v>159.72</v>
      </c>
      <c r="Q3583" s="13">
        <v>70.44</v>
      </c>
      <c r="R3583" s="1" t="s">
        <v>78</v>
      </c>
      <c r="S3583" s="1">
        <v>1</v>
      </c>
      <c r="T3583" s="1" t="b">
        <v>0</v>
      </c>
      <c r="U3583" s="1" t="s">
        <v>39</v>
      </c>
      <c r="V3583" s="3">
        <v>1</v>
      </c>
    </row>
    <row r="3584" spans="1:22" x14ac:dyDescent="0.3">
      <c r="A3584" s="2" t="s">
        <v>7623</v>
      </c>
      <c r="B3584" s="10">
        <v>45084</v>
      </c>
      <c r="C3584" s="22">
        <v>45084</v>
      </c>
      <c r="D3584" s="1" t="s">
        <v>7624</v>
      </c>
      <c r="E3584" s="1" t="s">
        <v>824</v>
      </c>
      <c r="F3584" s="1">
        <v>43</v>
      </c>
      <c r="G3584" s="1" t="s">
        <v>34</v>
      </c>
      <c r="H3584" s="1" t="s">
        <v>25</v>
      </c>
      <c r="I3584" s="1" t="s">
        <v>170</v>
      </c>
      <c r="J3584" s="1" t="s">
        <v>27</v>
      </c>
      <c r="K3584" s="1" t="s">
        <v>28</v>
      </c>
      <c r="L3584" s="1">
        <v>8</v>
      </c>
      <c r="M3584" s="13">
        <v>165.82</v>
      </c>
      <c r="N3584" s="15">
        <v>0.26</v>
      </c>
      <c r="O3584" s="13">
        <v>1805.69</v>
      </c>
      <c r="P3584" s="13">
        <v>135.43</v>
      </c>
      <c r="Q3584" s="13">
        <v>36.72</v>
      </c>
      <c r="R3584" s="1" t="s">
        <v>29</v>
      </c>
      <c r="S3584" s="1">
        <v>5</v>
      </c>
      <c r="T3584" s="1" t="b">
        <v>0</v>
      </c>
      <c r="U3584" s="1" t="s">
        <v>39</v>
      </c>
      <c r="V3584" s="3">
        <v>2</v>
      </c>
    </row>
    <row r="3585" spans="1:22" x14ac:dyDescent="0.3">
      <c r="A3585" s="2" t="s">
        <v>7625</v>
      </c>
      <c r="B3585" s="10">
        <v>43883</v>
      </c>
      <c r="C3585" s="22">
        <v>43883</v>
      </c>
      <c r="D3585" s="1" t="s">
        <v>7626</v>
      </c>
      <c r="E3585" s="1" t="s">
        <v>2655</v>
      </c>
      <c r="F3585" s="1">
        <v>45</v>
      </c>
      <c r="G3585" s="1" t="s">
        <v>68</v>
      </c>
      <c r="H3585" s="1" t="s">
        <v>74</v>
      </c>
      <c r="I3585" s="1" t="s">
        <v>192</v>
      </c>
      <c r="J3585" s="1" t="s">
        <v>76</v>
      </c>
      <c r="K3585" s="1" t="s">
        <v>132</v>
      </c>
      <c r="L3585" s="1">
        <v>5</v>
      </c>
      <c r="M3585" s="13">
        <v>1949.23</v>
      </c>
      <c r="N3585" s="15">
        <v>0.3</v>
      </c>
      <c r="O3585" s="13">
        <v>6061.73</v>
      </c>
      <c r="P3585" s="13">
        <v>1667.61</v>
      </c>
      <c r="Q3585" s="13">
        <v>64.709999999999994</v>
      </c>
      <c r="R3585" s="1" t="s">
        <v>29</v>
      </c>
      <c r="S3585" s="1">
        <v>5</v>
      </c>
      <c r="T3585" s="1" t="b">
        <v>0</v>
      </c>
      <c r="U3585" s="1" t="s">
        <v>39</v>
      </c>
      <c r="V3585" s="3">
        <v>9</v>
      </c>
    </row>
    <row r="3586" spans="1:22" x14ac:dyDescent="0.3">
      <c r="A3586" s="2" t="s">
        <v>7627</v>
      </c>
      <c r="B3586" s="10">
        <v>43831</v>
      </c>
      <c r="C3586" s="22">
        <v>43831</v>
      </c>
      <c r="D3586" s="1" t="s">
        <v>7628</v>
      </c>
      <c r="E3586" s="1" t="s">
        <v>1653</v>
      </c>
      <c r="F3586" s="1">
        <v>67</v>
      </c>
      <c r="G3586" s="1" t="s">
        <v>68</v>
      </c>
      <c r="H3586" s="1" t="s">
        <v>25</v>
      </c>
      <c r="I3586" s="1" t="s">
        <v>170</v>
      </c>
      <c r="J3586" s="1" t="s">
        <v>146</v>
      </c>
      <c r="K3586" s="1" t="s">
        <v>178</v>
      </c>
      <c r="L3586" s="1">
        <v>4</v>
      </c>
      <c r="M3586" s="13">
        <v>2355.25</v>
      </c>
      <c r="N3586" s="15">
        <v>0.33</v>
      </c>
      <c r="O3586" s="13">
        <v>5079.04</v>
      </c>
      <c r="P3586" s="13">
        <v>1080.08</v>
      </c>
      <c r="Q3586" s="13">
        <v>44.79</v>
      </c>
      <c r="R3586" s="1" t="s">
        <v>70</v>
      </c>
      <c r="S3586" s="1">
        <v>3</v>
      </c>
      <c r="T3586" s="1" t="b">
        <v>0</v>
      </c>
      <c r="U3586" s="1" t="s">
        <v>39</v>
      </c>
      <c r="V3586" s="3">
        <v>8</v>
      </c>
    </row>
    <row r="3587" spans="1:22" x14ac:dyDescent="0.3">
      <c r="A3587" s="2" t="s">
        <v>7629</v>
      </c>
      <c r="B3587" s="10">
        <v>44924</v>
      </c>
      <c r="C3587" s="22">
        <v>44924</v>
      </c>
      <c r="D3587" s="1" t="s">
        <v>7630</v>
      </c>
      <c r="E3587" s="1" t="s">
        <v>2137</v>
      </c>
      <c r="F3587" s="1">
        <v>30</v>
      </c>
      <c r="G3587" s="1" t="s">
        <v>34</v>
      </c>
      <c r="H3587" s="1" t="s">
        <v>82</v>
      </c>
      <c r="I3587" s="1" t="s">
        <v>244</v>
      </c>
      <c r="J3587" s="1" t="s">
        <v>146</v>
      </c>
      <c r="K3587" s="1" t="s">
        <v>178</v>
      </c>
      <c r="L3587" s="1">
        <v>2</v>
      </c>
      <c r="M3587" s="13">
        <v>11228.63</v>
      </c>
      <c r="N3587" s="15">
        <v>0.34</v>
      </c>
      <c r="O3587" s="13">
        <v>11870.38</v>
      </c>
      <c r="P3587" s="13">
        <v>2694.57</v>
      </c>
      <c r="Q3587" s="13">
        <v>54.4</v>
      </c>
      <c r="R3587" s="1" t="s">
        <v>70</v>
      </c>
      <c r="S3587" s="1">
        <v>5</v>
      </c>
      <c r="T3587" s="1" t="b">
        <v>0</v>
      </c>
      <c r="U3587" s="1" t="s">
        <v>39</v>
      </c>
      <c r="V3587" s="3">
        <v>2</v>
      </c>
    </row>
    <row r="3588" spans="1:22" x14ac:dyDescent="0.3">
      <c r="A3588" s="2" t="s">
        <v>7631</v>
      </c>
      <c r="B3588" s="10">
        <v>43942</v>
      </c>
      <c r="C3588" s="22">
        <v>43942</v>
      </c>
      <c r="D3588" s="1" t="s">
        <v>7632</v>
      </c>
      <c r="E3588" s="1" t="s">
        <v>2229</v>
      </c>
      <c r="F3588" s="1">
        <v>29</v>
      </c>
      <c r="G3588" s="1" t="s">
        <v>24</v>
      </c>
      <c r="H3588" s="1" t="s">
        <v>74</v>
      </c>
      <c r="I3588" s="1" t="s">
        <v>136</v>
      </c>
      <c r="J3588" s="1" t="s">
        <v>37</v>
      </c>
      <c r="K3588" s="1" t="s">
        <v>671</v>
      </c>
      <c r="L3588" s="1">
        <v>6</v>
      </c>
      <c r="M3588" s="13">
        <v>802.39</v>
      </c>
      <c r="N3588" s="15">
        <v>0.36</v>
      </c>
      <c r="O3588" s="13">
        <v>3040.88</v>
      </c>
      <c r="P3588" s="13">
        <v>993.67</v>
      </c>
      <c r="Q3588" s="13">
        <v>47.04</v>
      </c>
      <c r="R3588" s="1" t="s">
        <v>29</v>
      </c>
      <c r="S3588" s="1">
        <v>3</v>
      </c>
      <c r="T3588" s="1" t="b">
        <v>0</v>
      </c>
      <c r="U3588" s="1" t="s">
        <v>39</v>
      </c>
      <c r="V3588" s="3">
        <v>6</v>
      </c>
    </row>
    <row r="3589" spans="1:22" x14ac:dyDescent="0.3">
      <c r="A3589" s="2" t="s">
        <v>7633</v>
      </c>
      <c r="B3589" s="10">
        <v>44315</v>
      </c>
      <c r="C3589" s="22">
        <v>44315</v>
      </c>
      <c r="D3589" s="1" t="s">
        <v>7634</v>
      </c>
      <c r="E3589" s="1" t="s">
        <v>42</v>
      </c>
      <c r="F3589" s="1">
        <v>16</v>
      </c>
      <c r="G3589" s="1" t="s">
        <v>24</v>
      </c>
      <c r="H3589" s="1" t="s">
        <v>74</v>
      </c>
      <c r="I3589" s="1" t="s">
        <v>192</v>
      </c>
      <c r="J3589" s="1" t="s">
        <v>37</v>
      </c>
      <c r="K3589" s="1" t="s">
        <v>671</v>
      </c>
      <c r="L3589" s="1">
        <v>1</v>
      </c>
      <c r="M3589" s="13">
        <v>1408.28</v>
      </c>
      <c r="N3589" s="15">
        <v>0.13</v>
      </c>
      <c r="O3589" s="13">
        <v>1449.46</v>
      </c>
      <c r="P3589" s="13">
        <v>752.5</v>
      </c>
      <c r="Q3589" s="13">
        <v>53.14</v>
      </c>
      <c r="R3589" s="1" t="s">
        <v>57</v>
      </c>
      <c r="S3589" s="1">
        <v>2</v>
      </c>
      <c r="T3589" s="1" t="b">
        <v>1</v>
      </c>
      <c r="U3589" s="1" t="s">
        <v>30</v>
      </c>
      <c r="V3589" s="3">
        <v>6</v>
      </c>
    </row>
    <row r="3590" spans="1:22" x14ac:dyDescent="0.3">
      <c r="A3590" s="2" t="s">
        <v>7635</v>
      </c>
      <c r="B3590" s="10">
        <v>44665</v>
      </c>
      <c r="C3590" s="22">
        <v>44665</v>
      </c>
      <c r="D3590" s="1" t="s">
        <v>7636</v>
      </c>
      <c r="E3590" s="1" t="s">
        <v>292</v>
      </c>
      <c r="F3590" s="1">
        <v>38</v>
      </c>
      <c r="G3590" s="1" t="s">
        <v>68</v>
      </c>
      <c r="H3590" s="1" t="s">
        <v>35</v>
      </c>
      <c r="I3590" s="1" t="s">
        <v>49</v>
      </c>
      <c r="J3590" s="1" t="s">
        <v>27</v>
      </c>
      <c r="K3590" s="1" t="s">
        <v>28</v>
      </c>
      <c r="L3590" s="1">
        <v>7</v>
      </c>
      <c r="M3590" s="13">
        <v>366.53</v>
      </c>
      <c r="N3590" s="15">
        <v>0.01</v>
      </c>
      <c r="O3590" s="13">
        <v>3649.29</v>
      </c>
      <c r="P3590" s="13">
        <v>335.94</v>
      </c>
      <c r="Q3590" s="13">
        <v>46.6</v>
      </c>
      <c r="R3590" s="1" t="s">
        <v>64</v>
      </c>
      <c r="S3590" s="1">
        <v>2</v>
      </c>
      <c r="T3590" s="1" t="b">
        <v>0</v>
      </c>
      <c r="U3590" s="1" t="s">
        <v>39</v>
      </c>
      <c r="V3590" s="3">
        <v>2</v>
      </c>
    </row>
    <row r="3591" spans="1:22" x14ac:dyDescent="0.3">
      <c r="A3591" s="2" t="s">
        <v>7637</v>
      </c>
      <c r="B3591" s="10">
        <v>44148</v>
      </c>
      <c r="C3591" s="22">
        <v>44148</v>
      </c>
      <c r="D3591" s="1" t="s">
        <v>7638</v>
      </c>
      <c r="E3591" s="1" t="s">
        <v>1665</v>
      </c>
      <c r="F3591" s="1">
        <v>17</v>
      </c>
      <c r="G3591" s="1" t="s">
        <v>34</v>
      </c>
      <c r="H3591" s="1" t="s">
        <v>74</v>
      </c>
      <c r="I3591" s="1" t="s">
        <v>192</v>
      </c>
      <c r="J3591" s="1" t="s">
        <v>27</v>
      </c>
      <c r="K3591" s="1" t="s">
        <v>56</v>
      </c>
      <c r="L3591" s="1">
        <v>10</v>
      </c>
      <c r="M3591" s="13">
        <v>434.1</v>
      </c>
      <c r="N3591" s="15">
        <v>0.35</v>
      </c>
      <c r="O3591" s="13">
        <v>2188.9699999999998</v>
      </c>
      <c r="P3591" s="13">
        <v>191.3</v>
      </c>
      <c r="Q3591" s="13">
        <v>61.51</v>
      </c>
      <c r="R3591" s="1" t="s">
        <v>78</v>
      </c>
      <c r="S3591" s="1">
        <v>1</v>
      </c>
      <c r="T3591" s="1" t="b">
        <v>1</v>
      </c>
      <c r="U3591" s="1" t="s">
        <v>30</v>
      </c>
      <c r="V3591" s="3">
        <v>6</v>
      </c>
    </row>
    <row r="3592" spans="1:22" x14ac:dyDescent="0.3">
      <c r="A3592" s="2" t="s">
        <v>7639</v>
      </c>
      <c r="B3592" s="10">
        <v>45479</v>
      </c>
      <c r="C3592" s="22">
        <v>45479</v>
      </c>
      <c r="D3592" s="1" t="s">
        <v>7640</v>
      </c>
      <c r="E3592" s="1" t="s">
        <v>1447</v>
      </c>
      <c r="F3592" s="1">
        <v>25</v>
      </c>
      <c r="G3592" s="1" t="s">
        <v>34</v>
      </c>
      <c r="H3592" s="1" t="s">
        <v>111</v>
      </c>
      <c r="I3592" s="1" t="s">
        <v>121</v>
      </c>
      <c r="J3592" s="1" t="s">
        <v>127</v>
      </c>
      <c r="K3592" s="1" t="s">
        <v>142</v>
      </c>
      <c r="L3592" s="1">
        <v>10</v>
      </c>
      <c r="M3592" s="13">
        <v>63505.68</v>
      </c>
      <c r="N3592" s="15">
        <v>0.16</v>
      </c>
      <c r="O3592" s="13">
        <v>1033433.55</v>
      </c>
      <c r="P3592" s="13">
        <v>141319.32</v>
      </c>
      <c r="Q3592" s="13">
        <v>64.819999999999993</v>
      </c>
      <c r="R3592" s="1" t="s">
        <v>29</v>
      </c>
      <c r="S3592" s="1">
        <v>3</v>
      </c>
      <c r="T3592" s="1" t="b">
        <v>0</v>
      </c>
      <c r="U3592" s="1" t="s">
        <v>39</v>
      </c>
      <c r="V3592" s="3">
        <v>5</v>
      </c>
    </row>
    <row r="3593" spans="1:22" x14ac:dyDescent="0.3">
      <c r="A3593" s="2" t="s">
        <v>7641</v>
      </c>
      <c r="B3593" s="10">
        <v>45448</v>
      </c>
      <c r="C3593" s="22">
        <v>45448</v>
      </c>
      <c r="D3593" s="1" t="s">
        <v>7642</v>
      </c>
      <c r="E3593" s="1" t="s">
        <v>3143</v>
      </c>
      <c r="F3593" s="1">
        <v>3</v>
      </c>
      <c r="G3593" s="1" t="s">
        <v>34</v>
      </c>
      <c r="H3593" s="1" t="s">
        <v>35</v>
      </c>
      <c r="I3593" s="1" t="s">
        <v>36</v>
      </c>
      <c r="J3593" s="1" t="s">
        <v>62</v>
      </c>
      <c r="K3593" s="1" t="s">
        <v>151</v>
      </c>
      <c r="L3593" s="1">
        <v>7</v>
      </c>
      <c r="M3593" s="13">
        <v>753.13</v>
      </c>
      <c r="N3593" s="15">
        <v>0.03</v>
      </c>
      <c r="O3593" s="13">
        <v>8678.5</v>
      </c>
      <c r="P3593" s="13">
        <v>4965.83</v>
      </c>
      <c r="Q3593" s="13">
        <v>51.61</v>
      </c>
      <c r="R3593" s="1" t="s">
        <v>51</v>
      </c>
      <c r="S3593" s="1">
        <v>1</v>
      </c>
      <c r="T3593" s="1" t="b">
        <v>0</v>
      </c>
      <c r="U3593" s="1" t="s">
        <v>39</v>
      </c>
      <c r="V3593" s="3">
        <v>4</v>
      </c>
    </row>
    <row r="3594" spans="1:22" x14ac:dyDescent="0.3">
      <c r="A3594" s="2" t="s">
        <v>7643</v>
      </c>
      <c r="B3594" s="10">
        <v>45191</v>
      </c>
      <c r="C3594" s="22">
        <v>45191</v>
      </c>
      <c r="D3594" s="1" t="s">
        <v>7644</v>
      </c>
      <c r="E3594" s="1" t="s">
        <v>994</v>
      </c>
      <c r="F3594" s="1">
        <v>23</v>
      </c>
      <c r="G3594" s="1" t="s">
        <v>34</v>
      </c>
      <c r="H3594" s="1" t="s">
        <v>35</v>
      </c>
      <c r="I3594" s="1" t="s">
        <v>106</v>
      </c>
      <c r="J3594" s="1" t="s">
        <v>76</v>
      </c>
      <c r="K3594" s="1" t="s">
        <v>89</v>
      </c>
      <c r="L3594" s="1">
        <v>2</v>
      </c>
      <c r="M3594" s="13">
        <v>2227.31</v>
      </c>
      <c r="N3594" s="15">
        <v>0.04</v>
      </c>
      <c r="O3594" s="13">
        <v>5919.86</v>
      </c>
      <c r="P3594" s="13">
        <v>2748</v>
      </c>
      <c r="Q3594" s="13">
        <v>71.3</v>
      </c>
      <c r="R3594" s="1" t="s">
        <v>78</v>
      </c>
      <c r="S3594" s="1">
        <v>1</v>
      </c>
      <c r="T3594" s="1" t="b">
        <v>0</v>
      </c>
      <c r="U3594" s="1" t="s">
        <v>39</v>
      </c>
      <c r="V3594" s="3">
        <v>10</v>
      </c>
    </row>
    <row r="3595" spans="1:22" x14ac:dyDescent="0.3">
      <c r="A3595" s="2" t="s">
        <v>7645</v>
      </c>
      <c r="B3595" s="10">
        <v>43935</v>
      </c>
      <c r="C3595" s="22">
        <v>43935</v>
      </c>
      <c r="D3595" s="1" t="s">
        <v>7646</v>
      </c>
      <c r="E3595" s="1" t="s">
        <v>2791</v>
      </c>
      <c r="F3595" s="1">
        <v>18</v>
      </c>
      <c r="G3595" s="1" t="s">
        <v>391</v>
      </c>
      <c r="H3595" s="1" t="s">
        <v>35</v>
      </c>
      <c r="I3595" s="1" t="s">
        <v>49</v>
      </c>
      <c r="J3595" s="1" t="s">
        <v>44</v>
      </c>
      <c r="K3595" s="1" t="s">
        <v>186</v>
      </c>
      <c r="L3595" s="1">
        <v>9</v>
      </c>
      <c r="M3595" s="13">
        <v>32644.01</v>
      </c>
      <c r="N3595" s="15">
        <v>0.28000000000000003</v>
      </c>
      <c r="O3595" s="13">
        <v>229301.96</v>
      </c>
      <c r="P3595" s="13">
        <v>68294.460000000006</v>
      </c>
      <c r="Q3595" s="13">
        <v>41.37</v>
      </c>
      <c r="R3595" s="1" t="s">
        <v>78</v>
      </c>
      <c r="S3595" s="1">
        <v>4</v>
      </c>
      <c r="T3595" s="1" t="b">
        <v>0</v>
      </c>
      <c r="U3595" s="1" t="s">
        <v>137</v>
      </c>
      <c r="V3595" s="3">
        <v>7</v>
      </c>
    </row>
    <row r="3596" spans="1:22" x14ac:dyDescent="0.3">
      <c r="A3596" s="2" t="s">
        <v>7647</v>
      </c>
      <c r="B3596" s="10">
        <v>44478</v>
      </c>
      <c r="C3596" s="22">
        <v>44478</v>
      </c>
      <c r="D3596" s="1" t="s">
        <v>7648</v>
      </c>
      <c r="E3596" s="1" t="s">
        <v>684</v>
      </c>
      <c r="F3596" s="1">
        <v>47</v>
      </c>
      <c r="G3596" s="1" t="s">
        <v>34</v>
      </c>
      <c r="H3596" s="1" t="s">
        <v>74</v>
      </c>
      <c r="I3596" s="1" t="s">
        <v>192</v>
      </c>
      <c r="J3596" s="1" t="s">
        <v>76</v>
      </c>
      <c r="K3596" s="1" t="s">
        <v>122</v>
      </c>
      <c r="L3596" s="1">
        <v>2</v>
      </c>
      <c r="M3596" s="13">
        <v>3097.01</v>
      </c>
      <c r="N3596" s="15">
        <v>0.13</v>
      </c>
      <c r="O3596" s="13">
        <v>5016.33</v>
      </c>
      <c r="P3596" s="13">
        <v>2443.96</v>
      </c>
      <c r="Q3596" s="13">
        <v>50.68</v>
      </c>
      <c r="R3596" s="1" t="s">
        <v>57</v>
      </c>
      <c r="S3596" s="1">
        <v>3</v>
      </c>
      <c r="T3596" s="1" t="b">
        <v>0</v>
      </c>
      <c r="U3596" s="1" t="s">
        <v>39</v>
      </c>
      <c r="V3596" s="3">
        <v>6</v>
      </c>
    </row>
    <row r="3597" spans="1:22" x14ac:dyDescent="0.3">
      <c r="A3597" s="2" t="s">
        <v>7649</v>
      </c>
      <c r="B3597" s="10">
        <v>44855</v>
      </c>
      <c r="C3597" s="22">
        <v>44855</v>
      </c>
      <c r="D3597" s="1" t="s">
        <v>7650</v>
      </c>
      <c r="E3597" s="1" t="s">
        <v>684</v>
      </c>
      <c r="F3597" s="1">
        <v>25</v>
      </c>
      <c r="G3597" s="1" t="s">
        <v>68</v>
      </c>
      <c r="H3597" s="1" t="s">
        <v>111</v>
      </c>
      <c r="I3597" s="1" t="s">
        <v>330</v>
      </c>
      <c r="J3597" s="1" t="s">
        <v>37</v>
      </c>
      <c r="K3597" s="1" t="s">
        <v>102</v>
      </c>
      <c r="L3597" s="1">
        <v>6</v>
      </c>
      <c r="M3597" s="13">
        <v>253.65</v>
      </c>
      <c r="N3597" s="15">
        <v>0.18</v>
      </c>
      <c r="O3597" s="13">
        <v>1411.81</v>
      </c>
      <c r="P3597" s="13">
        <v>436.8</v>
      </c>
      <c r="Q3597" s="13">
        <v>47.29</v>
      </c>
      <c r="R3597" s="1" t="s">
        <v>64</v>
      </c>
      <c r="S3597" s="1">
        <v>5</v>
      </c>
      <c r="T3597" s="1" t="b">
        <v>0</v>
      </c>
      <c r="U3597" s="1" t="s">
        <v>39</v>
      </c>
      <c r="V3597" s="3">
        <v>3</v>
      </c>
    </row>
    <row r="3598" spans="1:22" x14ac:dyDescent="0.3">
      <c r="A3598" s="2" t="s">
        <v>7651</v>
      </c>
      <c r="B3598" s="10">
        <v>44733</v>
      </c>
      <c r="C3598" s="22">
        <v>44733</v>
      </c>
      <c r="D3598" s="1" t="s">
        <v>7652</v>
      </c>
      <c r="E3598" s="1" t="s">
        <v>1099</v>
      </c>
      <c r="F3598" s="1">
        <v>23</v>
      </c>
      <c r="G3598" s="1" t="s">
        <v>34</v>
      </c>
      <c r="H3598" s="1" t="s">
        <v>35</v>
      </c>
      <c r="I3598" s="1" t="s">
        <v>36</v>
      </c>
      <c r="J3598" s="1" t="s">
        <v>76</v>
      </c>
      <c r="K3598" s="1" t="s">
        <v>122</v>
      </c>
      <c r="L3598" s="1">
        <v>3</v>
      </c>
      <c r="M3598" s="13">
        <v>1462.24</v>
      </c>
      <c r="N3598" s="15">
        <v>0.05</v>
      </c>
      <c r="O3598" s="13">
        <v>6441.47</v>
      </c>
      <c r="P3598" s="13">
        <v>2494.41</v>
      </c>
      <c r="Q3598" s="13">
        <v>69.709999999999994</v>
      </c>
      <c r="R3598" s="1" t="s">
        <v>70</v>
      </c>
      <c r="S3598" s="1">
        <v>3</v>
      </c>
      <c r="T3598" s="1" t="b">
        <v>0</v>
      </c>
      <c r="U3598" s="1" t="s">
        <v>137</v>
      </c>
      <c r="V3598" s="3">
        <v>7</v>
      </c>
    </row>
    <row r="3599" spans="1:22" x14ac:dyDescent="0.3">
      <c r="A3599" s="2" t="s">
        <v>7653</v>
      </c>
      <c r="B3599" s="10">
        <v>45464</v>
      </c>
      <c r="C3599" s="22">
        <v>45464</v>
      </c>
      <c r="D3599" s="1" t="s">
        <v>7654</v>
      </c>
      <c r="E3599" s="1" t="s">
        <v>1015</v>
      </c>
      <c r="F3599" s="1">
        <v>9</v>
      </c>
      <c r="G3599" s="1" t="s">
        <v>24</v>
      </c>
      <c r="H3599" s="1" t="s">
        <v>35</v>
      </c>
      <c r="I3599" s="1" t="s">
        <v>106</v>
      </c>
      <c r="J3599" s="1" t="s">
        <v>127</v>
      </c>
      <c r="K3599" s="1" t="s">
        <v>142</v>
      </c>
      <c r="L3599" s="1">
        <v>5</v>
      </c>
      <c r="M3599" s="13">
        <v>21665.65</v>
      </c>
      <c r="N3599" s="15">
        <v>0.39</v>
      </c>
      <c r="O3599" s="13">
        <v>111295.67999999999</v>
      </c>
      <c r="P3599" s="13">
        <v>16051.87</v>
      </c>
      <c r="Q3599" s="13">
        <v>62.8</v>
      </c>
      <c r="R3599" s="1" t="s">
        <v>57</v>
      </c>
      <c r="S3599" s="1">
        <v>2</v>
      </c>
      <c r="T3599" s="1" t="b">
        <v>0</v>
      </c>
      <c r="U3599" s="1" t="s">
        <v>58</v>
      </c>
      <c r="V3599" s="3">
        <v>9</v>
      </c>
    </row>
    <row r="3600" spans="1:22" x14ac:dyDescent="0.3">
      <c r="A3600" s="2" t="s">
        <v>7655</v>
      </c>
      <c r="B3600" s="10">
        <v>45355</v>
      </c>
      <c r="C3600" s="22">
        <v>45355</v>
      </c>
      <c r="D3600" s="1" t="s">
        <v>7656</v>
      </c>
      <c r="E3600" s="1" t="s">
        <v>1047</v>
      </c>
      <c r="F3600" s="1">
        <v>31</v>
      </c>
      <c r="G3600" s="1" t="s">
        <v>68</v>
      </c>
      <c r="H3600" s="1" t="s">
        <v>35</v>
      </c>
      <c r="I3600" s="1" t="s">
        <v>43</v>
      </c>
      <c r="J3600" s="1" t="s">
        <v>76</v>
      </c>
      <c r="K3600" s="1" t="s">
        <v>122</v>
      </c>
      <c r="L3600" s="1">
        <v>4</v>
      </c>
      <c r="M3600" s="13">
        <v>1975.33</v>
      </c>
      <c r="N3600" s="15">
        <v>0.05</v>
      </c>
      <c r="O3600" s="13">
        <v>9791.75</v>
      </c>
      <c r="P3600" s="13">
        <v>3033.4</v>
      </c>
      <c r="Q3600" s="13">
        <v>27.67</v>
      </c>
      <c r="R3600" s="1" t="s">
        <v>57</v>
      </c>
      <c r="S3600" s="1">
        <v>1</v>
      </c>
      <c r="T3600" s="1" t="b">
        <v>0</v>
      </c>
      <c r="U3600" s="1" t="s">
        <v>39</v>
      </c>
      <c r="V3600" s="3">
        <v>6</v>
      </c>
    </row>
    <row r="3601" spans="1:22" x14ac:dyDescent="0.3">
      <c r="A3601" s="2" t="s">
        <v>7657</v>
      </c>
      <c r="B3601" s="10">
        <v>44265</v>
      </c>
      <c r="C3601" s="22">
        <v>44265</v>
      </c>
      <c r="D3601" s="1" t="s">
        <v>7658</v>
      </c>
      <c r="E3601" s="1" t="s">
        <v>513</v>
      </c>
      <c r="F3601" s="1">
        <v>45</v>
      </c>
      <c r="G3601" s="1" t="s">
        <v>34</v>
      </c>
      <c r="H3601" s="1" t="s">
        <v>35</v>
      </c>
      <c r="I3601" s="1" t="s">
        <v>49</v>
      </c>
      <c r="J3601" s="1" t="s">
        <v>127</v>
      </c>
      <c r="K3601" s="1" t="s">
        <v>142</v>
      </c>
      <c r="L3601" s="1">
        <v>8</v>
      </c>
      <c r="M3601" s="13">
        <v>35444.35</v>
      </c>
      <c r="N3601" s="15">
        <v>0.36</v>
      </c>
      <c r="O3601" s="13">
        <v>184024.19</v>
      </c>
      <c r="P3601" s="13">
        <v>25280.12</v>
      </c>
      <c r="Q3601" s="13">
        <v>40.75</v>
      </c>
      <c r="R3601" s="1" t="s">
        <v>64</v>
      </c>
      <c r="S3601" s="1">
        <v>4</v>
      </c>
      <c r="T3601" s="1" t="b">
        <v>0</v>
      </c>
      <c r="U3601" s="1" t="s">
        <v>39</v>
      </c>
      <c r="V3601" s="3">
        <v>8</v>
      </c>
    </row>
    <row r="3602" spans="1:22" x14ac:dyDescent="0.3">
      <c r="A3602" s="2" t="s">
        <v>7659</v>
      </c>
      <c r="B3602" s="10">
        <v>44494</v>
      </c>
      <c r="C3602" s="22">
        <v>44494</v>
      </c>
      <c r="D3602" s="1" t="s">
        <v>7660</v>
      </c>
      <c r="E3602" s="1" t="s">
        <v>1340</v>
      </c>
      <c r="F3602" s="1">
        <v>47</v>
      </c>
      <c r="G3602" s="1" t="s">
        <v>24</v>
      </c>
      <c r="H3602" s="1" t="s">
        <v>35</v>
      </c>
      <c r="I3602" s="1" t="s">
        <v>106</v>
      </c>
      <c r="J3602" s="1" t="s">
        <v>37</v>
      </c>
      <c r="K3602" s="1" t="s">
        <v>671</v>
      </c>
      <c r="L3602" s="1">
        <v>4</v>
      </c>
      <c r="M3602" s="13">
        <v>2037.17</v>
      </c>
      <c r="N3602" s="15">
        <v>0.05</v>
      </c>
      <c r="O3602" s="13">
        <v>6659.78</v>
      </c>
      <c r="P3602" s="13">
        <v>3811.89</v>
      </c>
      <c r="Q3602" s="13">
        <v>53.93</v>
      </c>
      <c r="R3602" s="1" t="s">
        <v>78</v>
      </c>
      <c r="S3602" s="1">
        <v>3</v>
      </c>
      <c r="T3602" s="1" t="b">
        <v>0</v>
      </c>
      <c r="U3602" s="1" t="s">
        <v>137</v>
      </c>
      <c r="V3602" s="3">
        <v>4</v>
      </c>
    </row>
    <row r="3603" spans="1:22" x14ac:dyDescent="0.3">
      <c r="A3603" s="2" t="s">
        <v>7661</v>
      </c>
      <c r="B3603" s="10">
        <v>44312</v>
      </c>
      <c r="C3603" s="22">
        <v>44312</v>
      </c>
      <c r="D3603" s="1" t="s">
        <v>7662</v>
      </c>
      <c r="E3603" s="1" t="s">
        <v>1047</v>
      </c>
      <c r="F3603" s="1">
        <v>45</v>
      </c>
      <c r="G3603" s="1" t="s">
        <v>24</v>
      </c>
      <c r="H3603" s="1" t="s">
        <v>82</v>
      </c>
      <c r="I3603" s="1" t="s">
        <v>244</v>
      </c>
      <c r="J3603" s="1" t="s">
        <v>127</v>
      </c>
      <c r="K3603" s="1" t="s">
        <v>517</v>
      </c>
      <c r="L3603" s="1">
        <v>4</v>
      </c>
      <c r="M3603" s="13">
        <v>9948.67</v>
      </c>
      <c r="N3603" s="15">
        <v>0.03</v>
      </c>
      <c r="O3603" s="13">
        <v>50592.2</v>
      </c>
      <c r="P3603" s="13">
        <v>5774.74</v>
      </c>
      <c r="Q3603" s="13">
        <v>85.65</v>
      </c>
      <c r="R3603" s="1" t="s">
        <v>78</v>
      </c>
      <c r="S3603" s="1">
        <v>1</v>
      </c>
      <c r="T3603" s="1" t="b">
        <v>1</v>
      </c>
      <c r="U3603" s="1" t="s">
        <v>30</v>
      </c>
      <c r="V3603" s="3">
        <v>10</v>
      </c>
    </row>
    <row r="3604" spans="1:22" x14ac:dyDescent="0.3">
      <c r="A3604" s="2" t="s">
        <v>7663</v>
      </c>
      <c r="B3604" s="10">
        <v>44803</v>
      </c>
      <c r="C3604" s="22">
        <v>44803</v>
      </c>
      <c r="D3604" s="1" t="s">
        <v>7664</v>
      </c>
      <c r="E3604" s="1" t="s">
        <v>705</v>
      </c>
      <c r="F3604" s="1">
        <v>49</v>
      </c>
      <c r="G3604" s="1" t="s">
        <v>68</v>
      </c>
      <c r="H3604" s="1" t="s">
        <v>111</v>
      </c>
      <c r="I3604" s="1" t="s">
        <v>121</v>
      </c>
      <c r="J3604" s="1" t="s">
        <v>76</v>
      </c>
      <c r="K3604" s="1" t="s">
        <v>113</v>
      </c>
      <c r="L3604" s="1">
        <v>10</v>
      </c>
      <c r="M3604" s="13">
        <v>3789.09</v>
      </c>
      <c r="N3604" s="15">
        <v>0.2</v>
      </c>
      <c r="O3604" s="13">
        <v>42644.14</v>
      </c>
      <c r="P3604" s="13">
        <v>11567.08</v>
      </c>
      <c r="Q3604" s="13">
        <v>53.05</v>
      </c>
      <c r="R3604" s="1" t="s">
        <v>78</v>
      </c>
      <c r="S3604" s="1">
        <v>5</v>
      </c>
      <c r="T3604" s="1" t="b">
        <v>0</v>
      </c>
      <c r="U3604" s="1" t="s">
        <v>58</v>
      </c>
      <c r="V3604" s="3">
        <v>1</v>
      </c>
    </row>
    <row r="3605" spans="1:22" x14ac:dyDescent="0.3">
      <c r="A3605" s="2" t="s">
        <v>7665</v>
      </c>
      <c r="B3605" s="10">
        <v>44695</v>
      </c>
      <c r="C3605" s="22">
        <v>44695</v>
      </c>
      <c r="D3605" s="1" t="s">
        <v>7666</v>
      </c>
      <c r="E3605" s="1" t="s">
        <v>2030</v>
      </c>
      <c r="F3605" s="1">
        <v>29</v>
      </c>
      <c r="G3605" s="1" t="s">
        <v>24</v>
      </c>
      <c r="H3605" s="1" t="s">
        <v>35</v>
      </c>
      <c r="I3605" s="1" t="s">
        <v>43</v>
      </c>
      <c r="J3605" s="1" t="s">
        <v>27</v>
      </c>
      <c r="K3605" s="1" t="s">
        <v>430</v>
      </c>
      <c r="L3605" s="1">
        <v>5</v>
      </c>
      <c r="M3605" s="13">
        <v>218.21</v>
      </c>
      <c r="N3605" s="15">
        <v>0.33</v>
      </c>
      <c r="O3605" s="13">
        <v>1300.18</v>
      </c>
      <c r="P3605" s="13">
        <v>113.46</v>
      </c>
      <c r="Q3605" s="13">
        <v>55.11</v>
      </c>
      <c r="R3605" s="1" t="s">
        <v>70</v>
      </c>
      <c r="S3605" s="1">
        <v>5</v>
      </c>
      <c r="T3605" s="1" t="b">
        <v>0</v>
      </c>
      <c r="U3605" s="1" t="s">
        <v>137</v>
      </c>
      <c r="V3605" s="3">
        <v>9</v>
      </c>
    </row>
    <row r="3606" spans="1:22" x14ac:dyDescent="0.3">
      <c r="A3606" s="2" t="s">
        <v>7667</v>
      </c>
      <c r="B3606" s="10">
        <v>44672</v>
      </c>
      <c r="C3606" s="22">
        <v>44672</v>
      </c>
      <c r="D3606" s="1" t="s">
        <v>7668</v>
      </c>
      <c r="E3606" s="1" t="s">
        <v>748</v>
      </c>
      <c r="F3606" s="1">
        <v>31</v>
      </c>
      <c r="G3606" s="1" t="s">
        <v>24</v>
      </c>
      <c r="H3606" s="1" t="s">
        <v>82</v>
      </c>
      <c r="I3606" s="1" t="s">
        <v>126</v>
      </c>
      <c r="J3606" s="1" t="s">
        <v>127</v>
      </c>
      <c r="K3606" s="1" t="s">
        <v>128</v>
      </c>
      <c r="L3606" s="1">
        <v>5</v>
      </c>
      <c r="M3606" s="13">
        <v>7801.31</v>
      </c>
      <c r="N3606" s="15">
        <v>0.4</v>
      </c>
      <c r="O3606" s="13">
        <v>32476.66</v>
      </c>
      <c r="P3606" s="13">
        <v>4169.84</v>
      </c>
      <c r="Q3606" s="13">
        <v>72.94</v>
      </c>
      <c r="R3606" s="1" t="s">
        <v>70</v>
      </c>
      <c r="S3606" s="1">
        <v>5</v>
      </c>
      <c r="T3606" s="1" t="b">
        <v>0</v>
      </c>
      <c r="U3606" s="1" t="s">
        <v>39</v>
      </c>
      <c r="V3606" s="3">
        <v>7</v>
      </c>
    </row>
    <row r="3607" spans="1:22" x14ac:dyDescent="0.3">
      <c r="A3607" s="2" t="s">
        <v>7669</v>
      </c>
      <c r="B3607" s="10">
        <v>45253</v>
      </c>
      <c r="C3607" s="22">
        <v>45253</v>
      </c>
      <c r="D3607" s="1" t="s">
        <v>7670</v>
      </c>
      <c r="E3607" s="1" t="s">
        <v>1275</v>
      </c>
      <c r="F3607" s="1">
        <v>47</v>
      </c>
      <c r="G3607" s="1" t="s">
        <v>24</v>
      </c>
      <c r="H3607" s="1" t="s">
        <v>35</v>
      </c>
      <c r="I3607" s="1" t="s">
        <v>36</v>
      </c>
      <c r="J3607" s="1" t="s">
        <v>27</v>
      </c>
      <c r="K3607" s="1" t="s">
        <v>430</v>
      </c>
      <c r="L3607" s="1">
        <v>6</v>
      </c>
      <c r="M3607" s="13">
        <v>481.93</v>
      </c>
      <c r="N3607" s="15">
        <v>0.39</v>
      </c>
      <c r="O3607" s="13">
        <v>1558.52</v>
      </c>
      <c r="P3607" s="13">
        <v>135.01</v>
      </c>
      <c r="Q3607" s="13">
        <v>54.04</v>
      </c>
      <c r="R3607" s="1" t="s">
        <v>51</v>
      </c>
      <c r="S3607" s="1">
        <v>2</v>
      </c>
      <c r="T3607" s="1" t="b">
        <v>0</v>
      </c>
      <c r="U3607" s="1" t="s">
        <v>39</v>
      </c>
      <c r="V3607" s="3">
        <v>2</v>
      </c>
    </row>
    <row r="3608" spans="1:22" x14ac:dyDescent="0.3">
      <c r="A3608" s="2" t="s">
        <v>7671</v>
      </c>
      <c r="B3608" s="10">
        <v>45455</v>
      </c>
      <c r="C3608" s="22">
        <v>45455</v>
      </c>
      <c r="D3608" s="1" t="s">
        <v>7672</v>
      </c>
      <c r="E3608" s="1" t="s">
        <v>994</v>
      </c>
      <c r="F3608" s="1">
        <v>48</v>
      </c>
      <c r="G3608" s="1" t="s">
        <v>68</v>
      </c>
      <c r="H3608" s="1" t="s">
        <v>35</v>
      </c>
      <c r="I3608" s="1" t="s">
        <v>49</v>
      </c>
      <c r="J3608" s="1" t="s">
        <v>146</v>
      </c>
      <c r="K3608" s="1" t="s">
        <v>217</v>
      </c>
      <c r="L3608" s="1">
        <v>6</v>
      </c>
      <c r="M3608" s="13">
        <v>701.76</v>
      </c>
      <c r="N3608" s="15">
        <v>0.12</v>
      </c>
      <c r="O3608" s="13">
        <v>6443.54</v>
      </c>
      <c r="P3608" s="13">
        <v>1409.13</v>
      </c>
      <c r="Q3608" s="13">
        <v>70.25</v>
      </c>
      <c r="R3608" s="1" t="s">
        <v>57</v>
      </c>
      <c r="S3608" s="1">
        <v>4</v>
      </c>
      <c r="T3608" s="1" t="b">
        <v>0</v>
      </c>
      <c r="U3608" s="1" t="s">
        <v>39</v>
      </c>
      <c r="V3608" s="3">
        <v>7</v>
      </c>
    </row>
    <row r="3609" spans="1:22" x14ac:dyDescent="0.3">
      <c r="A3609" s="2" t="s">
        <v>7673</v>
      </c>
      <c r="B3609" s="10">
        <v>45535</v>
      </c>
      <c r="C3609" s="22">
        <v>45535</v>
      </c>
      <c r="D3609" s="1" t="s">
        <v>7674</v>
      </c>
      <c r="E3609" s="1" t="s">
        <v>157</v>
      </c>
      <c r="F3609" s="1">
        <v>49</v>
      </c>
      <c r="G3609" s="1" t="s">
        <v>68</v>
      </c>
      <c r="H3609" s="1" t="s">
        <v>35</v>
      </c>
      <c r="I3609" s="1" t="s">
        <v>36</v>
      </c>
      <c r="J3609" s="1" t="s">
        <v>37</v>
      </c>
      <c r="K3609" s="1" t="s">
        <v>231</v>
      </c>
      <c r="L3609" s="1">
        <v>7</v>
      </c>
      <c r="M3609" s="13">
        <v>981.95</v>
      </c>
      <c r="N3609" s="15">
        <v>0.06</v>
      </c>
      <c r="O3609" s="13">
        <v>9774.56</v>
      </c>
      <c r="P3609" s="13">
        <v>4480.42</v>
      </c>
      <c r="Q3609" s="13">
        <v>63.36</v>
      </c>
      <c r="R3609" s="1" t="s">
        <v>78</v>
      </c>
      <c r="S3609" s="1">
        <v>5</v>
      </c>
      <c r="T3609" s="1" t="b">
        <v>0</v>
      </c>
      <c r="U3609" s="1" t="s">
        <v>39</v>
      </c>
      <c r="V3609" s="3">
        <v>9</v>
      </c>
    </row>
    <row r="3610" spans="1:22" x14ac:dyDescent="0.3">
      <c r="A3610" s="2" t="s">
        <v>7675</v>
      </c>
      <c r="B3610" s="10">
        <v>44659</v>
      </c>
      <c r="C3610" s="22">
        <v>44659</v>
      </c>
      <c r="D3610" s="1" t="s">
        <v>7676</v>
      </c>
      <c r="E3610" s="1" t="s">
        <v>96</v>
      </c>
      <c r="F3610" s="1">
        <v>18</v>
      </c>
      <c r="G3610" s="1" t="s">
        <v>68</v>
      </c>
      <c r="H3610" s="1" t="s">
        <v>74</v>
      </c>
      <c r="I3610" s="1" t="s">
        <v>75</v>
      </c>
      <c r="J3610" s="1" t="s">
        <v>27</v>
      </c>
      <c r="K3610" s="1" t="s">
        <v>400</v>
      </c>
      <c r="L3610" s="1">
        <v>6</v>
      </c>
      <c r="M3610" s="13">
        <v>160.93</v>
      </c>
      <c r="N3610" s="15">
        <v>0.38</v>
      </c>
      <c r="O3610" s="13">
        <v>746</v>
      </c>
      <c r="P3610" s="13">
        <v>49.52</v>
      </c>
      <c r="Q3610" s="13">
        <v>43.23</v>
      </c>
      <c r="R3610" s="1" t="s">
        <v>78</v>
      </c>
      <c r="S3610" s="1">
        <v>4</v>
      </c>
      <c r="T3610" s="1" t="b">
        <v>0</v>
      </c>
      <c r="U3610" s="1" t="s">
        <v>39</v>
      </c>
      <c r="V3610" s="3">
        <v>5</v>
      </c>
    </row>
    <row r="3611" spans="1:22" x14ac:dyDescent="0.3">
      <c r="A3611" s="2" t="s">
        <v>7677</v>
      </c>
      <c r="B3611" s="10">
        <v>44850</v>
      </c>
      <c r="C3611" s="22">
        <v>44850</v>
      </c>
      <c r="D3611" s="1" t="s">
        <v>7678</v>
      </c>
      <c r="E3611" s="1" t="s">
        <v>1404</v>
      </c>
      <c r="F3611" s="1">
        <v>31</v>
      </c>
      <c r="G3611" s="1" t="s">
        <v>24</v>
      </c>
      <c r="H3611" s="1" t="s">
        <v>25</v>
      </c>
      <c r="I3611" s="1" t="s">
        <v>170</v>
      </c>
      <c r="J3611" s="1" t="s">
        <v>146</v>
      </c>
      <c r="K3611" s="1" t="s">
        <v>484</v>
      </c>
      <c r="L3611" s="1">
        <v>2</v>
      </c>
      <c r="M3611" s="13">
        <v>963.86</v>
      </c>
      <c r="N3611" s="15">
        <v>0.4</v>
      </c>
      <c r="O3611" s="13">
        <v>1234.93</v>
      </c>
      <c r="P3611" s="13">
        <v>250.23</v>
      </c>
      <c r="Q3611" s="13">
        <v>44.87</v>
      </c>
      <c r="R3611" s="1" t="s">
        <v>70</v>
      </c>
      <c r="S3611" s="1">
        <v>4</v>
      </c>
      <c r="T3611" s="1" t="b">
        <v>0</v>
      </c>
      <c r="U3611" s="1" t="s">
        <v>137</v>
      </c>
      <c r="V3611" s="3">
        <v>7</v>
      </c>
    </row>
    <row r="3612" spans="1:22" x14ac:dyDescent="0.3">
      <c r="A3612" s="2" t="s">
        <v>7679</v>
      </c>
      <c r="B3612" s="10">
        <v>44165</v>
      </c>
      <c r="C3612" s="22">
        <v>44165</v>
      </c>
      <c r="D3612" s="1" t="s">
        <v>7680</v>
      </c>
      <c r="E3612" s="1" t="s">
        <v>575</v>
      </c>
      <c r="F3612" s="1">
        <v>37</v>
      </c>
      <c r="G3612" s="1" t="s">
        <v>68</v>
      </c>
      <c r="H3612" s="1" t="s">
        <v>35</v>
      </c>
      <c r="I3612" s="1" t="s">
        <v>36</v>
      </c>
      <c r="J3612" s="1" t="s">
        <v>44</v>
      </c>
      <c r="K3612" s="1" t="s">
        <v>117</v>
      </c>
      <c r="L3612" s="1">
        <v>8</v>
      </c>
      <c r="M3612" s="13">
        <v>18836.47</v>
      </c>
      <c r="N3612" s="15">
        <v>0.39</v>
      </c>
      <c r="O3612" s="13">
        <v>61854.03</v>
      </c>
      <c r="P3612" s="13">
        <v>18480.41</v>
      </c>
      <c r="Q3612" s="13">
        <v>25.75</v>
      </c>
      <c r="R3612" s="1" t="s">
        <v>57</v>
      </c>
      <c r="S3612" s="1">
        <v>4</v>
      </c>
      <c r="T3612" s="1" t="b">
        <v>0</v>
      </c>
      <c r="U3612" s="1" t="s">
        <v>39</v>
      </c>
      <c r="V3612" s="3">
        <v>7</v>
      </c>
    </row>
    <row r="3613" spans="1:22" x14ac:dyDescent="0.3">
      <c r="A3613" s="2" t="s">
        <v>7681</v>
      </c>
      <c r="B3613" s="10">
        <v>44492</v>
      </c>
      <c r="C3613" s="22">
        <v>44492</v>
      </c>
      <c r="D3613" s="1" t="s">
        <v>7682</v>
      </c>
      <c r="E3613" s="1" t="s">
        <v>817</v>
      </c>
      <c r="F3613" s="1">
        <v>42</v>
      </c>
      <c r="G3613" s="1" t="s">
        <v>24</v>
      </c>
      <c r="H3613" s="1" t="s">
        <v>74</v>
      </c>
      <c r="I3613" s="1" t="s">
        <v>192</v>
      </c>
      <c r="J3613" s="1" t="s">
        <v>44</v>
      </c>
      <c r="K3613" s="1" t="s">
        <v>117</v>
      </c>
      <c r="L3613" s="1">
        <v>2</v>
      </c>
      <c r="M3613" s="13">
        <v>31609.279999999999</v>
      </c>
      <c r="N3613" s="15">
        <v>0.3</v>
      </c>
      <c r="O3613" s="13">
        <v>37776.019999999997</v>
      </c>
      <c r="P3613" s="13">
        <v>8697.26</v>
      </c>
      <c r="Q3613" s="13">
        <v>37.83</v>
      </c>
      <c r="R3613" s="1" t="s">
        <v>64</v>
      </c>
      <c r="S3613" s="1">
        <v>3</v>
      </c>
      <c r="T3613" s="1" t="b">
        <v>0</v>
      </c>
      <c r="U3613" s="1" t="s">
        <v>39</v>
      </c>
      <c r="V3613" s="3">
        <v>5</v>
      </c>
    </row>
    <row r="3614" spans="1:22" x14ac:dyDescent="0.3">
      <c r="A3614" s="2" t="s">
        <v>7683</v>
      </c>
      <c r="B3614" s="10">
        <v>44287</v>
      </c>
      <c r="C3614" s="22">
        <v>44287</v>
      </c>
      <c r="D3614" s="1" t="s">
        <v>7684</v>
      </c>
      <c r="E3614" s="1" t="s">
        <v>2696</v>
      </c>
      <c r="F3614" s="1">
        <v>39</v>
      </c>
      <c r="G3614" s="1" t="s">
        <v>24</v>
      </c>
      <c r="H3614" s="1" t="s">
        <v>25</v>
      </c>
      <c r="I3614" s="1" t="s">
        <v>69</v>
      </c>
      <c r="J3614" s="1" t="s">
        <v>62</v>
      </c>
      <c r="K3614" s="1" t="s">
        <v>107</v>
      </c>
      <c r="L3614" s="1">
        <v>3</v>
      </c>
      <c r="M3614" s="13">
        <v>748.48</v>
      </c>
      <c r="N3614" s="15">
        <v>0.39</v>
      </c>
      <c r="O3614" s="13">
        <v>1567.84</v>
      </c>
      <c r="P3614" s="13">
        <v>545.32000000000005</v>
      </c>
      <c r="Q3614" s="13">
        <v>53.58</v>
      </c>
      <c r="R3614" s="1" t="s">
        <v>64</v>
      </c>
      <c r="S3614" s="1">
        <v>4</v>
      </c>
      <c r="T3614" s="1" t="b">
        <v>0</v>
      </c>
      <c r="U3614" s="1" t="s">
        <v>39</v>
      </c>
      <c r="V3614" s="3">
        <v>4</v>
      </c>
    </row>
    <row r="3615" spans="1:22" x14ac:dyDescent="0.3">
      <c r="A3615" s="2" t="s">
        <v>7685</v>
      </c>
      <c r="B3615" s="10">
        <v>44074</v>
      </c>
      <c r="C3615" s="22">
        <v>44074</v>
      </c>
      <c r="D3615" s="1" t="s">
        <v>7686</v>
      </c>
      <c r="E3615" s="1" t="s">
        <v>1404</v>
      </c>
      <c r="F3615" s="1">
        <v>55</v>
      </c>
      <c r="G3615" s="1" t="s">
        <v>34</v>
      </c>
      <c r="H3615" s="1" t="s">
        <v>111</v>
      </c>
      <c r="I3615" s="1" t="s">
        <v>330</v>
      </c>
      <c r="J3615" s="1" t="s">
        <v>146</v>
      </c>
      <c r="K3615" s="1" t="s">
        <v>147</v>
      </c>
      <c r="L3615" s="1">
        <v>4</v>
      </c>
      <c r="M3615" s="13">
        <v>9806.3700000000008</v>
      </c>
      <c r="N3615" s="15">
        <v>7.0000000000000007E-2</v>
      </c>
      <c r="O3615" s="13">
        <v>42952.69</v>
      </c>
      <c r="P3615" s="13">
        <v>11804.27</v>
      </c>
      <c r="Q3615" s="13">
        <v>84.11</v>
      </c>
      <c r="R3615" s="1" t="s">
        <v>70</v>
      </c>
      <c r="S3615" s="1">
        <v>2</v>
      </c>
      <c r="T3615" s="1" t="b">
        <v>0</v>
      </c>
      <c r="U3615" s="1" t="s">
        <v>39</v>
      </c>
      <c r="V3615" s="3">
        <v>3</v>
      </c>
    </row>
    <row r="3616" spans="1:22" x14ac:dyDescent="0.3">
      <c r="A3616" s="2" t="s">
        <v>7687</v>
      </c>
      <c r="B3616" s="10">
        <v>44432</v>
      </c>
      <c r="C3616" s="22">
        <v>44432</v>
      </c>
      <c r="D3616" s="1" t="s">
        <v>7688</v>
      </c>
      <c r="E3616" s="1" t="s">
        <v>508</v>
      </c>
      <c r="F3616" s="1">
        <v>43</v>
      </c>
      <c r="G3616" s="1" t="s">
        <v>34</v>
      </c>
      <c r="H3616" s="1" t="s">
        <v>111</v>
      </c>
      <c r="I3616" s="1" t="s">
        <v>112</v>
      </c>
      <c r="J3616" s="1" t="s">
        <v>44</v>
      </c>
      <c r="K3616" s="1" t="s">
        <v>45</v>
      </c>
      <c r="L3616" s="1">
        <v>10</v>
      </c>
      <c r="M3616" s="13">
        <v>19934.48</v>
      </c>
      <c r="N3616" s="15">
        <v>0.04</v>
      </c>
      <c r="O3616" s="13">
        <v>222948.05</v>
      </c>
      <c r="P3616" s="13">
        <v>85875.92</v>
      </c>
      <c r="Q3616" s="13">
        <v>55.37</v>
      </c>
      <c r="R3616" s="1" t="s">
        <v>29</v>
      </c>
      <c r="S3616" s="1">
        <v>2</v>
      </c>
      <c r="T3616" s="1" t="b">
        <v>0</v>
      </c>
      <c r="U3616" s="1" t="s">
        <v>39</v>
      </c>
      <c r="V3616" s="3">
        <v>3</v>
      </c>
    </row>
    <row r="3617" spans="1:22" x14ac:dyDescent="0.3">
      <c r="A3617" s="2" t="s">
        <v>7689</v>
      </c>
      <c r="B3617" s="10">
        <v>44273</v>
      </c>
      <c r="C3617" s="22">
        <v>44273</v>
      </c>
      <c r="D3617" s="1" t="s">
        <v>7690</v>
      </c>
      <c r="E3617" s="1" t="s">
        <v>3248</v>
      </c>
      <c r="F3617" s="1">
        <v>44</v>
      </c>
      <c r="G3617" s="1" t="s">
        <v>24</v>
      </c>
      <c r="H3617" s="1" t="s">
        <v>82</v>
      </c>
      <c r="I3617" s="1" t="s">
        <v>293</v>
      </c>
      <c r="J3617" s="1" t="s">
        <v>127</v>
      </c>
      <c r="K3617" s="1" t="s">
        <v>171</v>
      </c>
      <c r="L3617" s="1">
        <v>6</v>
      </c>
      <c r="M3617" s="13">
        <v>40340.61</v>
      </c>
      <c r="N3617" s="15">
        <v>0.36</v>
      </c>
      <c r="O3617" s="13">
        <v>166691.57999999999</v>
      </c>
      <c r="P3617" s="13">
        <v>15451.73</v>
      </c>
      <c r="Q3617" s="13">
        <v>92.09</v>
      </c>
      <c r="R3617" s="1" t="s">
        <v>29</v>
      </c>
      <c r="S3617" s="1">
        <v>2</v>
      </c>
      <c r="T3617" s="1" t="b">
        <v>0</v>
      </c>
      <c r="U3617" s="1" t="s">
        <v>39</v>
      </c>
      <c r="V3617" s="3">
        <v>10</v>
      </c>
    </row>
    <row r="3618" spans="1:22" x14ac:dyDescent="0.3">
      <c r="A3618" s="2" t="s">
        <v>7691</v>
      </c>
      <c r="B3618" s="10">
        <v>44443</v>
      </c>
      <c r="C3618" s="22">
        <v>44443</v>
      </c>
      <c r="D3618" s="1" t="s">
        <v>7692</v>
      </c>
      <c r="E3618" s="1" t="s">
        <v>743</v>
      </c>
      <c r="F3618" s="1">
        <v>46</v>
      </c>
      <c r="G3618" s="1" t="s">
        <v>34</v>
      </c>
      <c r="H3618" s="1" t="s">
        <v>74</v>
      </c>
      <c r="I3618" s="1" t="s">
        <v>75</v>
      </c>
      <c r="J3618" s="1" t="s">
        <v>27</v>
      </c>
      <c r="K3618" s="1" t="s">
        <v>430</v>
      </c>
      <c r="L3618" s="1">
        <v>9</v>
      </c>
      <c r="M3618" s="13">
        <v>259.89999999999998</v>
      </c>
      <c r="N3618" s="15">
        <v>0.13</v>
      </c>
      <c r="O3618" s="13">
        <v>2235.73</v>
      </c>
      <c r="P3618" s="13">
        <v>151.85</v>
      </c>
      <c r="Q3618" s="13">
        <v>60.98</v>
      </c>
      <c r="R3618" s="1" t="s">
        <v>64</v>
      </c>
      <c r="S3618" s="1">
        <v>1</v>
      </c>
      <c r="T3618" s="1" t="b">
        <v>0</v>
      </c>
      <c r="U3618" s="1" t="s">
        <v>39</v>
      </c>
      <c r="V3618" s="3">
        <v>7</v>
      </c>
    </row>
    <row r="3619" spans="1:22" x14ac:dyDescent="0.3">
      <c r="A3619" s="2" t="s">
        <v>7693</v>
      </c>
      <c r="B3619" s="10">
        <v>44599</v>
      </c>
      <c r="C3619" s="22">
        <v>44599</v>
      </c>
      <c r="D3619" s="1" t="s">
        <v>7694</v>
      </c>
      <c r="E3619" s="1" t="s">
        <v>1131</v>
      </c>
      <c r="F3619" s="1">
        <v>3</v>
      </c>
      <c r="G3619" s="1" t="s">
        <v>68</v>
      </c>
      <c r="H3619" s="1" t="s">
        <v>25</v>
      </c>
      <c r="I3619" s="1" t="s">
        <v>26</v>
      </c>
      <c r="J3619" s="1" t="s">
        <v>44</v>
      </c>
      <c r="K3619" s="1" t="s">
        <v>45</v>
      </c>
      <c r="L3619" s="1">
        <v>5</v>
      </c>
      <c r="M3619" s="13">
        <v>26645.279999999999</v>
      </c>
      <c r="N3619" s="15">
        <v>0.03</v>
      </c>
      <c r="O3619" s="13">
        <v>122381.62</v>
      </c>
      <c r="P3619" s="13">
        <v>47367.72</v>
      </c>
      <c r="Q3619" s="13">
        <v>56.14</v>
      </c>
      <c r="R3619" s="1" t="s">
        <v>29</v>
      </c>
      <c r="S3619" s="1">
        <v>4</v>
      </c>
      <c r="T3619" s="1" t="b">
        <v>0</v>
      </c>
      <c r="U3619" s="1" t="s">
        <v>39</v>
      </c>
      <c r="V3619" s="3">
        <v>2</v>
      </c>
    </row>
    <row r="3620" spans="1:22" x14ac:dyDescent="0.3">
      <c r="A3620" s="2" t="s">
        <v>7695</v>
      </c>
      <c r="B3620" s="10">
        <v>45304</v>
      </c>
      <c r="C3620" s="22">
        <v>45304</v>
      </c>
      <c r="D3620" s="1" t="s">
        <v>7696</v>
      </c>
      <c r="E3620" s="1" t="s">
        <v>1955</v>
      </c>
      <c r="F3620" s="1">
        <v>30</v>
      </c>
      <c r="G3620" s="1" t="s">
        <v>24</v>
      </c>
      <c r="H3620" s="1" t="s">
        <v>74</v>
      </c>
      <c r="I3620" s="1" t="s">
        <v>192</v>
      </c>
      <c r="J3620" s="1" t="s">
        <v>27</v>
      </c>
      <c r="K3620" s="1" t="s">
        <v>56</v>
      </c>
      <c r="L3620" s="1">
        <v>4</v>
      </c>
      <c r="M3620" s="13">
        <v>252.07</v>
      </c>
      <c r="N3620" s="15">
        <v>0.15</v>
      </c>
      <c r="O3620" s="13">
        <v>798.95</v>
      </c>
      <c r="P3620" s="13">
        <v>72.2</v>
      </c>
      <c r="Q3620" s="13">
        <v>40.96</v>
      </c>
      <c r="R3620" s="1" t="s">
        <v>29</v>
      </c>
      <c r="S3620" s="1">
        <v>2</v>
      </c>
      <c r="T3620" s="1" t="b">
        <v>0</v>
      </c>
      <c r="U3620" s="1" t="s">
        <v>39</v>
      </c>
      <c r="V3620" s="3">
        <v>1</v>
      </c>
    </row>
    <row r="3621" spans="1:22" x14ac:dyDescent="0.3">
      <c r="A3621" s="2" t="s">
        <v>7697</v>
      </c>
      <c r="B3621" s="10">
        <v>45174</v>
      </c>
      <c r="C3621" s="22">
        <v>45174</v>
      </c>
      <c r="D3621" s="1" t="s">
        <v>7698</v>
      </c>
      <c r="E3621" s="1" t="s">
        <v>513</v>
      </c>
      <c r="F3621" s="1">
        <v>35</v>
      </c>
      <c r="G3621" s="1" t="s">
        <v>24</v>
      </c>
      <c r="H3621" s="1" t="s">
        <v>35</v>
      </c>
      <c r="I3621" s="1" t="s">
        <v>36</v>
      </c>
      <c r="J3621" s="1" t="s">
        <v>62</v>
      </c>
      <c r="K3621" s="1" t="s">
        <v>283</v>
      </c>
      <c r="L3621" s="1">
        <v>3</v>
      </c>
      <c r="M3621" s="13">
        <v>482.83</v>
      </c>
      <c r="N3621" s="15">
        <v>0.14000000000000001</v>
      </c>
      <c r="O3621" s="13">
        <v>1565.69</v>
      </c>
      <c r="P3621" s="13">
        <v>752.92</v>
      </c>
      <c r="Q3621" s="13">
        <v>50.18</v>
      </c>
      <c r="R3621" s="1" t="s">
        <v>64</v>
      </c>
      <c r="S3621" s="1">
        <v>4</v>
      </c>
      <c r="T3621" s="1" t="b">
        <v>0</v>
      </c>
      <c r="U3621" s="1" t="s">
        <v>58</v>
      </c>
      <c r="V3621" s="3">
        <v>4</v>
      </c>
    </row>
    <row r="3622" spans="1:22" x14ac:dyDescent="0.3">
      <c r="A3622" s="2" t="s">
        <v>7699</v>
      </c>
      <c r="B3622" s="10">
        <v>43871</v>
      </c>
      <c r="C3622" s="22">
        <v>43871</v>
      </c>
      <c r="D3622" s="1" t="s">
        <v>7700</v>
      </c>
      <c r="E3622" s="1" t="s">
        <v>578</v>
      </c>
      <c r="F3622" s="1">
        <v>67</v>
      </c>
      <c r="G3622" s="1" t="s">
        <v>68</v>
      </c>
      <c r="H3622" s="1" t="s">
        <v>82</v>
      </c>
      <c r="I3622" s="1" t="s">
        <v>126</v>
      </c>
      <c r="J3622" s="1" t="s">
        <v>44</v>
      </c>
      <c r="K3622" s="1" t="s">
        <v>117</v>
      </c>
      <c r="L3622" s="1">
        <v>7</v>
      </c>
      <c r="M3622" s="13">
        <v>2426.56</v>
      </c>
      <c r="N3622" s="15">
        <v>0.27</v>
      </c>
      <c r="O3622" s="13">
        <v>10073.57</v>
      </c>
      <c r="P3622" s="13">
        <v>2367.69</v>
      </c>
      <c r="Q3622" s="13">
        <v>93.56</v>
      </c>
      <c r="R3622" s="1" t="s">
        <v>70</v>
      </c>
      <c r="S3622" s="1">
        <v>3</v>
      </c>
      <c r="T3622" s="1" t="b">
        <v>0</v>
      </c>
      <c r="U3622" s="1" t="s">
        <v>39</v>
      </c>
      <c r="V3622" s="3">
        <v>8</v>
      </c>
    </row>
    <row r="3623" spans="1:22" x14ac:dyDescent="0.3">
      <c r="A3623" s="2" t="s">
        <v>7701</v>
      </c>
      <c r="B3623" s="10">
        <v>43898</v>
      </c>
      <c r="C3623" s="22">
        <v>43898</v>
      </c>
      <c r="D3623" s="1" t="s">
        <v>7702</v>
      </c>
      <c r="E3623" s="1" t="s">
        <v>250</v>
      </c>
      <c r="F3623" s="1">
        <v>35</v>
      </c>
      <c r="G3623" s="1" t="s">
        <v>68</v>
      </c>
      <c r="H3623" s="1" t="s">
        <v>111</v>
      </c>
      <c r="I3623" s="1" t="s">
        <v>112</v>
      </c>
      <c r="J3623" s="1" t="s">
        <v>27</v>
      </c>
      <c r="K3623" s="1" t="s">
        <v>400</v>
      </c>
      <c r="L3623" s="1">
        <v>1</v>
      </c>
      <c r="M3623" s="13">
        <v>430.25</v>
      </c>
      <c r="N3623" s="15">
        <v>0.17</v>
      </c>
      <c r="O3623" s="13">
        <v>361.14</v>
      </c>
      <c r="P3623" s="13">
        <v>25.31</v>
      </c>
      <c r="Q3623" s="13">
        <v>56.91</v>
      </c>
      <c r="R3623" s="1" t="s">
        <v>70</v>
      </c>
      <c r="S3623" s="1">
        <v>2</v>
      </c>
      <c r="T3623" s="1" t="b">
        <v>1</v>
      </c>
      <c r="U3623" s="1" t="s">
        <v>30</v>
      </c>
      <c r="V3623" s="3">
        <v>5</v>
      </c>
    </row>
    <row r="3624" spans="1:22" x14ac:dyDescent="0.3">
      <c r="A3624" s="2" t="s">
        <v>7703</v>
      </c>
      <c r="B3624" s="10">
        <v>45105</v>
      </c>
      <c r="C3624" s="22">
        <v>45105</v>
      </c>
      <c r="D3624" s="1" t="s">
        <v>7704</v>
      </c>
      <c r="E3624" s="1" t="s">
        <v>406</v>
      </c>
      <c r="F3624" s="1">
        <v>49</v>
      </c>
      <c r="G3624" s="1" t="s">
        <v>68</v>
      </c>
      <c r="H3624" s="1" t="s">
        <v>82</v>
      </c>
      <c r="I3624" s="1" t="s">
        <v>126</v>
      </c>
      <c r="J3624" s="1" t="s">
        <v>127</v>
      </c>
      <c r="K3624" s="1" t="s">
        <v>308</v>
      </c>
      <c r="L3624" s="1">
        <v>10</v>
      </c>
      <c r="M3624" s="13">
        <v>13230.15</v>
      </c>
      <c r="N3624" s="15">
        <v>0.38</v>
      </c>
      <c r="O3624" s="13">
        <v>122855.89</v>
      </c>
      <c r="P3624" s="13">
        <v>16653.59</v>
      </c>
      <c r="Q3624" s="13">
        <v>74.38</v>
      </c>
      <c r="R3624" s="1" t="s">
        <v>51</v>
      </c>
      <c r="S3624" s="1">
        <v>5</v>
      </c>
      <c r="T3624" s="1" t="b">
        <v>0</v>
      </c>
      <c r="U3624" s="1" t="s">
        <v>39</v>
      </c>
      <c r="V3624" s="3">
        <v>10</v>
      </c>
    </row>
    <row r="3625" spans="1:22" x14ac:dyDescent="0.3">
      <c r="A3625" s="2" t="s">
        <v>7705</v>
      </c>
      <c r="B3625" s="10">
        <v>44103</v>
      </c>
      <c r="C3625" s="22">
        <v>44103</v>
      </c>
      <c r="D3625" s="1" t="s">
        <v>7706</v>
      </c>
      <c r="E3625" s="1" t="s">
        <v>329</v>
      </c>
      <c r="F3625" s="1">
        <v>31</v>
      </c>
      <c r="G3625" s="1" t="s">
        <v>34</v>
      </c>
      <c r="H3625" s="1" t="s">
        <v>111</v>
      </c>
      <c r="I3625" s="1" t="s">
        <v>141</v>
      </c>
      <c r="J3625" s="1" t="s">
        <v>37</v>
      </c>
      <c r="K3625" s="1" t="s">
        <v>38</v>
      </c>
      <c r="L3625" s="1">
        <v>6</v>
      </c>
      <c r="M3625" s="13">
        <v>1767.5</v>
      </c>
      <c r="N3625" s="15">
        <v>0.05</v>
      </c>
      <c r="O3625" s="13">
        <v>10129.66</v>
      </c>
      <c r="P3625" s="13">
        <v>6354.06</v>
      </c>
      <c r="Q3625" s="13">
        <v>91.71</v>
      </c>
      <c r="R3625" s="1" t="s">
        <v>64</v>
      </c>
      <c r="S3625" s="1">
        <v>3</v>
      </c>
      <c r="T3625" s="1" t="b">
        <v>0</v>
      </c>
      <c r="U3625" s="1" t="s">
        <v>39</v>
      </c>
      <c r="V3625" s="3">
        <v>10</v>
      </c>
    </row>
    <row r="3626" spans="1:22" x14ac:dyDescent="0.3">
      <c r="A3626" s="2" t="s">
        <v>7707</v>
      </c>
      <c r="B3626" s="10">
        <v>44244</v>
      </c>
      <c r="C3626" s="22">
        <v>44244</v>
      </c>
      <c r="D3626" s="1" t="s">
        <v>3058</v>
      </c>
      <c r="E3626" s="1" t="s">
        <v>460</v>
      </c>
      <c r="F3626" s="1">
        <v>44</v>
      </c>
      <c r="G3626" s="1" t="s">
        <v>34</v>
      </c>
      <c r="H3626" s="1" t="s">
        <v>111</v>
      </c>
      <c r="I3626" s="1" t="s">
        <v>141</v>
      </c>
      <c r="J3626" s="1" t="s">
        <v>27</v>
      </c>
      <c r="K3626" s="1" t="s">
        <v>28</v>
      </c>
      <c r="L3626" s="1">
        <v>7</v>
      </c>
      <c r="M3626" s="13">
        <v>245.03</v>
      </c>
      <c r="N3626" s="15">
        <v>0.09</v>
      </c>
      <c r="O3626" s="13">
        <v>1547.66</v>
      </c>
      <c r="P3626" s="13">
        <v>97.99</v>
      </c>
      <c r="Q3626" s="13">
        <v>69.709999999999994</v>
      </c>
      <c r="R3626" s="1" t="s">
        <v>78</v>
      </c>
      <c r="S3626" s="1">
        <v>3</v>
      </c>
      <c r="T3626" s="1" t="b">
        <v>0</v>
      </c>
      <c r="U3626" s="1" t="s">
        <v>39</v>
      </c>
      <c r="V3626" s="3">
        <v>7</v>
      </c>
    </row>
    <row r="3627" spans="1:22" x14ac:dyDescent="0.3">
      <c r="A3627" s="2" t="s">
        <v>7708</v>
      </c>
      <c r="B3627" s="10">
        <v>43959</v>
      </c>
      <c r="C3627" s="22">
        <v>43959</v>
      </c>
      <c r="D3627" s="1" t="s">
        <v>7709</v>
      </c>
      <c r="E3627" s="1" t="s">
        <v>131</v>
      </c>
      <c r="F3627" s="1">
        <v>43</v>
      </c>
      <c r="G3627" s="1" t="s">
        <v>34</v>
      </c>
      <c r="H3627" s="1" t="s">
        <v>74</v>
      </c>
      <c r="I3627" s="1" t="s">
        <v>192</v>
      </c>
      <c r="J3627" s="1" t="s">
        <v>37</v>
      </c>
      <c r="K3627" s="1" t="s">
        <v>454</v>
      </c>
      <c r="L3627" s="1">
        <v>1</v>
      </c>
      <c r="M3627" s="13">
        <v>258.67</v>
      </c>
      <c r="N3627" s="15">
        <v>0.13</v>
      </c>
      <c r="O3627" s="13">
        <v>241.29</v>
      </c>
      <c r="P3627" s="13">
        <v>82.38</v>
      </c>
      <c r="Q3627" s="13">
        <v>62.33</v>
      </c>
      <c r="R3627" s="1" t="s">
        <v>57</v>
      </c>
      <c r="S3627" s="1">
        <v>5</v>
      </c>
      <c r="T3627" s="1" t="b">
        <v>0</v>
      </c>
      <c r="U3627" s="1" t="s">
        <v>39</v>
      </c>
      <c r="V3627" s="3">
        <v>5</v>
      </c>
    </row>
    <row r="3628" spans="1:22" x14ac:dyDescent="0.3">
      <c r="A3628" s="2" t="s">
        <v>7710</v>
      </c>
      <c r="B3628" s="10">
        <v>45118</v>
      </c>
      <c r="C3628" s="22">
        <v>45118</v>
      </c>
      <c r="D3628" s="1" t="s">
        <v>7711</v>
      </c>
      <c r="E3628" s="1" t="s">
        <v>1650</v>
      </c>
      <c r="F3628" s="1">
        <v>27</v>
      </c>
      <c r="G3628" s="1" t="s">
        <v>34</v>
      </c>
      <c r="H3628" s="1" t="s">
        <v>35</v>
      </c>
      <c r="I3628" s="1" t="s">
        <v>106</v>
      </c>
      <c r="J3628" s="1" t="s">
        <v>146</v>
      </c>
      <c r="K3628" s="1" t="s">
        <v>161</v>
      </c>
      <c r="L3628" s="1">
        <v>1</v>
      </c>
      <c r="M3628" s="13">
        <v>8472.58</v>
      </c>
      <c r="N3628" s="15">
        <v>0.37</v>
      </c>
      <c r="O3628" s="13">
        <v>7626.2</v>
      </c>
      <c r="P3628" s="13">
        <v>1056.58</v>
      </c>
      <c r="Q3628" s="13">
        <v>42.85</v>
      </c>
      <c r="R3628" s="1" t="s">
        <v>78</v>
      </c>
      <c r="S3628" s="1">
        <v>5</v>
      </c>
      <c r="T3628" s="1" t="b">
        <v>0</v>
      </c>
      <c r="U3628" s="1" t="s">
        <v>39</v>
      </c>
      <c r="V3628" s="3">
        <v>10</v>
      </c>
    </row>
    <row r="3629" spans="1:22" x14ac:dyDescent="0.3">
      <c r="A3629" s="2" t="s">
        <v>7712</v>
      </c>
      <c r="B3629" s="10">
        <v>44170</v>
      </c>
      <c r="C3629" s="22">
        <v>44170</v>
      </c>
      <c r="D3629" s="1" t="s">
        <v>7713</v>
      </c>
      <c r="E3629" s="1" t="s">
        <v>1459</v>
      </c>
      <c r="F3629" s="1">
        <v>52</v>
      </c>
      <c r="G3629" s="1" t="s">
        <v>24</v>
      </c>
      <c r="H3629" s="1" t="s">
        <v>35</v>
      </c>
      <c r="I3629" s="1" t="s">
        <v>106</v>
      </c>
      <c r="J3629" s="1" t="s">
        <v>127</v>
      </c>
      <c r="K3629" s="1" t="s">
        <v>517</v>
      </c>
      <c r="L3629" s="1">
        <v>1</v>
      </c>
      <c r="M3629" s="13">
        <v>55374.2</v>
      </c>
      <c r="N3629" s="15">
        <v>0.03</v>
      </c>
      <c r="O3629" s="13">
        <v>37343.19</v>
      </c>
      <c r="P3629" s="13">
        <v>4332.6899999999996</v>
      </c>
      <c r="Q3629" s="13">
        <v>42.92</v>
      </c>
      <c r="R3629" s="1" t="s">
        <v>57</v>
      </c>
      <c r="S3629" s="1">
        <v>4</v>
      </c>
      <c r="T3629" s="1" t="b">
        <v>1</v>
      </c>
      <c r="U3629" s="1" t="s">
        <v>30</v>
      </c>
      <c r="V3629" s="3">
        <v>9</v>
      </c>
    </row>
    <row r="3630" spans="1:22" x14ac:dyDescent="0.3">
      <c r="A3630" s="2" t="s">
        <v>7714</v>
      </c>
      <c r="B3630" s="10">
        <v>45497</v>
      </c>
      <c r="C3630" s="22">
        <v>45497</v>
      </c>
      <c r="D3630" s="1" t="s">
        <v>7715</v>
      </c>
      <c r="E3630" s="1" t="s">
        <v>632</v>
      </c>
      <c r="F3630" s="1">
        <v>31</v>
      </c>
      <c r="G3630" s="1" t="s">
        <v>24</v>
      </c>
      <c r="H3630" s="1" t="s">
        <v>74</v>
      </c>
      <c r="I3630" s="1" t="s">
        <v>136</v>
      </c>
      <c r="J3630" s="1" t="s">
        <v>62</v>
      </c>
      <c r="K3630" s="1" t="s">
        <v>266</v>
      </c>
      <c r="L3630" s="1">
        <v>9</v>
      </c>
      <c r="M3630" s="13">
        <v>592.57000000000005</v>
      </c>
      <c r="N3630" s="15">
        <v>0.31</v>
      </c>
      <c r="O3630" s="13">
        <v>5565.17</v>
      </c>
      <c r="P3630" s="13">
        <v>2593.15</v>
      </c>
      <c r="Q3630" s="13">
        <v>60.15</v>
      </c>
      <c r="R3630" s="1" t="s">
        <v>57</v>
      </c>
      <c r="S3630" s="1">
        <v>4</v>
      </c>
      <c r="T3630" s="1" t="b">
        <v>1</v>
      </c>
      <c r="U3630" s="1" t="s">
        <v>30</v>
      </c>
      <c r="V3630" s="3">
        <v>10</v>
      </c>
    </row>
    <row r="3631" spans="1:22" x14ac:dyDescent="0.3">
      <c r="A3631" s="2" t="s">
        <v>7716</v>
      </c>
      <c r="B3631" s="10">
        <v>44183</v>
      </c>
      <c r="C3631" s="22">
        <v>44183</v>
      </c>
      <c r="D3631" s="1" t="s">
        <v>7717</v>
      </c>
      <c r="E3631" s="1" t="s">
        <v>429</v>
      </c>
      <c r="F3631" s="1">
        <v>60</v>
      </c>
      <c r="G3631" s="1" t="s">
        <v>24</v>
      </c>
      <c r="H3631" s="1" t="s">
        <v>82</v>
      </c>
      <c r="I3631" s="1" t="s">
        <v>244</v>
      </c>
      <c r="J3631" s="1" t="s">
        <v>62</v>
      </c>
      <c r="K3631" s="1" t="s">
        <v>283</v>
      </c>
      <c r="L3631" s="1">
        <v>4</v>
      </c>
      <c r="M3631" s="13">
        <v>1126.1199999999999</v>
      </c>
      <c r="N3631" s="15">
        <v>0.11</v>
      </c>
      <c r="O3631" s="13">
        <v>2407.39</v>
      </c>
      <c r="P3631" s="13">
        <v>1167.52</v>
      </c>
      <c r="Q3631" s="13">
        <v>87.28</v>
      </c>
      <c r="R3631" s="1" t="s">
        <v>64</v>
      </c>
      <c r="S3631" s="1">
        <v>3</v>
      </c>
      <c r="T3631" s="1" t="b">
        <v>0</v>
      </c>
      <c r="U3631" s="1" t="s">
        <v>137</v>
      </c>
      <c r="V3631" s="3">
        <v>5</v>
      </c>
    </row>
    <row r="3632" spans="1:22" x14ac:dyDescent="0.3">
      <c r="A3632" s="2" t="s">
        <v>7718</v>
      </c>
      <c r="B3632" s="10">
        <v>45477</v>
      </c>
      <c r="C3632" s="22">
        <v>45477</v>
      </c>
      <c r="D3632" s="1" t="s">
        <v>7719</v>
      </c>
      <c r="E3632" s="1" t="s">
        <v>1638</v>
      </c>
      <c r="F3632" s="1">
        <v>42</v>
      </c>
      <c r="G3632" s="1" t="s">
        <v>24</v>
      </c>
      <c r="H3632" s="1" t="s">
        <v>25</v>
      </c>
      <c r="I3632" s="1" t="s">
        <v>69</v>
      </c>
      <c r="J3632" s="1" t="s">
        <v>76</v>
      </c>
      <c r="K3632" s="1" t="s">
        <v>113</v>
      </c>
      <c r="L3632" s="1">
        <v>4</v>
      </c>
      <c r="M3632" s="13">
        <v>766.4</v>
      </c>
      <c r="N3632" s="15">
        <v>0.12</v>
      </c>
      <c r="O3632" s="13">
        <v>4071.69</v>
      </c>
      <c r="P3632" s="13">
        <v>1156.28</v>
      </c>
      <c r="Q3632" s="13">
        <v>41.96</v>
      </c>
      <c r="R3632" s="1" t="s">
        <v>57</v>
      </c>
      <c r="S3632" s="1">
        <v>3</v>
      </c>
      <c r="T3632" s="1" t="b">
        <v>0</v>
      </c>
      <c r="U3632" s="1" t="s">
        <v>39</v>
      </c>
      <c r="V3632" s="3">
        <v>10</v>
      </c>
    </row>
    <row r="3633" spans="1:22" x14ac:dyDescent="0.3">
      <c r="A3633" s="2" t="s">
        <v>7720</v>
      </c>
      <c r="B3633" s="10">
        <v>45157</v>
      </c>
      <c r="C3633" s="22">
        <v>45157</v>
      </c>
      <c r="D3633" s="1" t="s">
        <v>4336</v>
      </c>
      <c r="E3633" s="1" t="s">
        <v>1327</v>
      </c>
      <c r="F3633" s="1">
        <v>52</v>
      </c>
      <c r="G3633" s="1" t="s">
        <v>24</v>
      </c>
      <c r="H3633" s="1" t="s">
        <v>35</v>
      </c>
      <c r="I3633" s="1" t="s">
        <v>36</v>
      </c>
      <c r="J3633" s="1" t="s">
        <v>62</v>
      </c>
      <c r="K3633" s="1" t="s">
        <v>283</v>
      </c>
      <c r="L3633" s="1">
        <v>8</v>
      </c>
      <c r="M3633" s="13">
        <v>1135.99</v>
      </c>
      <c r="N3633" s="15">
        <v>0.33</v>
      </c>
      <c r="O3633" s="13">
        <v>8820.52</v>
      </c>
      <c r="P3633" s="13">
        <v>3707.82</v>
      </c>
      <c r="Q3633" s="13">
        <v>66.97</v>
      </c>
      <c r="R3633" s="1" t="s">
        <v>64</v>
      </c>
      <c r="S3633" s="1">
        <v>4</v>
      </c>
      <c r="T3633" s="1" t="b">
        <v>1</v>
      </c>
      <c r="U3633" s="1" t="s">
        <v>30</v>
      </c>
      <c r="V3633" s="3">
        <v>6</v>
      </c>
    </row>
    <row r="3634" spans="1:22" x14ac:dyDescent="0.3">
      <c r="A3634" s="2" t="s">
        <v>7721</v>
      </c>
      <c r="B3634" s="10">
        <v>44089</v>
      </c>
      <c r="C3634" s="22">
        <v>44089</v>
      </c>
      <c r="D3634" s="1" t="s">
        <v>7722</v>
      </c>
      <c r="E3634" s="1" t="s">
        <v>1471</v>
      </c>
      <c r="F3634" s="1">
        <v>43</v>
      </c>
      <c r="G3634" s="1" t="s">
        <v>88</v>
      </c>
      <c r="H3634" s="1" t="s">
        <v>82</v>
      </c>
      <c r="I3634" s="1" t="s">
        <v>126</v>
      </c>
      <c r="J3634" s="1" t="s">
        <v>37</v>
      </c>
      <c r="K3634" s="1" t="s">
        <v>454</v>
      </c>
      <c r="L3634" s="1">
        <v>8</v>
      </c>
      <c r="M3634" s="13">
        <v>590.22</v>
      </c>
      <c r="N3634" s="15">
        <v>0.03</v>
      </c>
      <c r="O3634" s="13">
        <v>4644.4399999999996</v>
      </c>
      <c r="P3634" s="13">
        <v>1500.51</v>
      </c>
      <c r="Q3634" s="13">
        <v>63.44</v>
      </c>
      <c r="R3634" s="1" t="s">
        <v>51</v>
      </c>
      <c r="S3634" s="1">
        <v>3</v>
      </c>
      <c r="T3634" s="1" t="b">
        <v>0</v>
      </c>
      <c r="U3634" s="1" t="s">
        <v>39</v>
      </c>
      <c r="V3634" s="3">
        <v>9</v>
      </c>
    </row>
    <row r="3635" spans="1:22" x14ac:dyDescent="0.3">
      <c r="A3635" s="2" t="s">
        <v>7723</v>
      </c>
      <c r="B3635" s="10">
        <v>44491</v>
      </c>
      <c r="C3635" s="22">
        <v>44491</v>
      </c>
      <c r="D3635" s="1" t="s">
        <v>7724</v>
      </c>
      <c r="E3635" s="1" t="s">
        <v>363</v>
      </c>
      <c r="F3635" s="1">
        <v>27</v>
      </c>
      <c r="G3635" s="1" t="s">
        <v>24</v>
      </c>
      <c r="H3635" s="1" t="s">
        <v>25</v>
      </c>
      <c r="I3635" s="1" t="s">
        <v>69</v>
      </c>
      <c r="J3635" s="1" t="s">
        <v>127</v>
      </c>
      <c r="K3635" s="1" t="s">
        <v>196</v>
      </c>
      <c r="L3635" s="1">
        <v>7</v>
      </c>
      <c r="M3635" s="13">
        <v>38149.199999999997</v>
      </c>
      <c r="N3635" s="15">
        <v>0.2</v>
      </c>
      <c r="O3635" s="13">
        <v>183278.19</v>
      </c>
      <c r="P3635" s="13">
        <v>21290.22</v>
      </c>
      <c r="Q3635" s="13">
        <v>53.93</v>
      </c>
      <c r="R3635" s="1" t="s">
        <v>64</v>
      </c>
      <c r="S3635" s="1">
        <v>4</v>
      </c>
      <c r="T3635" s="1" t="b">
        <v>1</v>
      </c>
      <c r="U3635" s="1" t="s">
        <v>30</v>
      </c>
      <c r="V3635" s="3">
        <v>8</v>
      </c>
    </row>
    <row r="3636" spans="1:22" x14ac:dyDescent="0.3">
      <c r="A3636" s="2" t="s">
        <v>7725</v>
      </c>
      <c r="B3636" s="10">
        <v>45230</v>
      </c>
      <c r="C3636" s="22">
        <v>45230</v>
      </c>
      <c r="D3636" s="1" t="s">
        <v>7726</v>
      </c>
      <c r="E3636" s="1" t="s">
        <v>87</v>
      </c>
      <c r="F3636" s="1">
        <v>28</v>
      </c>
      <c r="G3636" s="1" t="s">
        <v>34</v>
      </c>
      <c r="H3636" s="1" t="s">
        <v>25</v>
      </c>
      <c r="I3636" s="1" t="s">
        <v>69</v>
      </c>
      <c r="J3636" s="1" t="s">
        <v>146</v>
      </c>
      <c r="K3636" s="1" t="s">
        <v>147</v>
      </c>
      <c r="L3636" s="1">
        <v>3</v>
      </c>
      <c r="M3636" s="13">
        <v>3481.8</v>
      </c>
      <c r="N3636" s="15">
        <v>0.38</v>
      </c>
      <c r="O3636" s="13">
        <v>7463.99</v>
      </c>
      <c r="P3636" s="13">
        <v>1681.91</v>
      </c>
      <c r="Q3636" s="13">
        <v>55.2</v>
      </c>
      <c r="R3636" s="1" t="s">
        <v>78</v>
      </c>
      <c r="S3636" s="1">
        <v>5</v>
      </c>
      <c r="T3636" s="1" t="b">
        <v>0</v>
      </c>
      <c r="U3636" s="1" t="s">
        <v>39</v>
      </c>
      <c r="V3636" s="3">
        <v>8</v>
      </c>
    </row>
    <row r="3637" spans="1:22" x14ac:dyDescent="0.3">
      <c r="A3637" s="2" t="s">
        <v>7727</v>
      </c>
      <c r="B3637" s="10">
        <v>43947</v>
      </c>
      <c r="C3637" s="22">
        <v>43947</v>
      </c>
      <c r="D3637" s="1" t="s">
        <v>7728</v>
      </c>
      <c r="E3637" s="1" t="s">
        <v>496</v>
      </c>
      <c r="F3637" s="1">
        <v>14</v>
      </c>
      <c r="G3637" s="1" t="s">
        <v>24</v>
      </c>
      <c r="H3637" s="1" t="s">
        <v>111</v>
      </c>
      <c r="I3637" s="1" t="s">
        <v>112</v>
      </c>
      <c r="J3637" s="1" t="s">
        <v>27</v>
      </c>
      <c r="K3637" s="1" t="s">
        <v>97</v>
      </c>
      <c r="L3637" s="1">
        <v>2</v>
      </c>
      <c r="M3637" s="13">
        <v>208.29</v>
      </c>
      <c r="N3637" s="15">
        <v>0.04</v>
      </c>
      <c r="O3637" s="13">
        <v>498.65</v>
      </c>
      <c r="P3637" s="13">
        <v>50.37</v>
      </c>
      <c r="Q3637" s="13">
        <v>77.650000000000006</v>
      </c>
      <c r="R3637" s="1" t="s">
        <v>64</v>
      </c>
      <c r="S3637" s="1">
        <v>3</v>
      </c>
      <c r="T3637" s="1" t="b">
        <v>1</v>
      </c>
      <c r="U3637" s="1" t="s">
        <v>30</v>
      </c>
      <c r="V3637" s="3">
        <v>6</v>
      </c>
    </row>
    <row r="3638" spans="1:22" x14ac:dyDescent="0.3">
      <c r="A3638" s="2" t="s">
        <v>7729</v>
      </c>
      <c r="B3638" s="10">
        <v>44397</v>
      </c>
      <c r="C3638" s="22">
        <v>44397</v>
      </c>
      <c r="D3638" s="1" t="s">
        <v>7730</v>
      </c>
      <c r="E3638" s="1" t="s">
        <v>2328</v>
      </c>
      <c r="F3638" s="1">
        <v>50</v>
      </c>
      <c r="G3638" s="1" t="s">
        <v>68</v>
      </c>
      <c r="H3638" s="1" t="s">
        <v>74</v>
      </c>
      <c r="I3638" s="1" t="s">
        <v>101</v>
      </c>
      <c r="J3638" s="1" t="s">
        <v>146</v>
      </c>
      <c r="K3638" s="1" t="s">
        <v>178</v>
      </c>
      <c r="L3638" s="1">
        <v>10</v>
      </c>
      <c r="M3638" s="13">
        <v>8620.94</v>
      </c>
      <c r="N3638" s="15">
        <v>0.04</v>
      </c>
      <c r="O3638" s="13">
        <v>126401.53</v>
      </c>
      <c r="P3638" s="13">
        <v>29243.759999999998</v>
      </c>
      <c r="Q3638" s="13">
        <v>63.69</v>
      </c>
      <c r="R3638" s="1" t="s">
        <v>51</v>
      </c>
      <c r="S3638" s="1">
        <v>1</v>
      </c>
      <c r="T3638" s="1" t="b">
        <v>0</v>
      </c>
      <c r="U3638" s="1" t="s">
        <v>84</v>
      </c>
      <c r="V3638" s="3">
        <v>3</v>
      </c>
    </row>
    <row r="3639" spans="1:22" x14ac:dyDescent="0.3">
      <c r="A3639" s="2" t="s">
        <v>7731</v>
      </c>
      <c r="B3639" s="10">
        <v>43962</v>
      </c>
      <c r="C3639" s="22">
        <v>43962</v>
      </c>
      <c r="D3639" s="1" t="s">
        <v>7732</v>
      </c>
      <c r="E3639" s="1" t="s">
        <v>1018</v>
      </c>
      <c r="F3639" s="1">
        <v>34</v>
      </c>
      <c r="G3639" s="1" t="s">
        <v>34</v>
      </c>
      <c r="H3639" s="1" t="s">
        <v>74</v>
      </c>
      <c r="I3639" s="1" t="s">
        <v>101</v>
      </c>
      <c r="J3639" s="1" t="s">
        <v>27</v>
      </c>
      <c r="K3639" s="1" t="s">
        <v>97</v>
      </c>
      <c r="L3639" s="1">
        <v>4</v>
      </c>
      <c r="M3639" s="13">
        <v>87.62</v>
      </c>
      <c r="N3639" s="15">
        <v>0.26</v>
      </c>
      <c r="O3639" s="13">
        <v>338.94</v>
      </c>
      <c r="P3639" s="13">
        <v>30.3</v>
      </c>
      <c r="Q3639" s="13">
        <v>56.98</v>
      </c>
      <c r="R3639" s="1" t="s">
        <v>57</v>
      </c>
      <c r="S3639" s="1">
        <v>3</v>
      </c>
      <c r="T3639" s="1" t="b">
        <v>1</v>
      </c>
      <c r="U3639" s="1" t="s">
        <v>30</v>
      </c>
      <c r="V3639" s="3">
        <v>4</v>
      </c>
    </row>
    <row r="3640" spans="1:22" x14ac:dyDescent="0.3">
      <c r="A3640" s="2" t="s">
        <v>7733</v>
      </c>
      <c r="B3640" s="10">
        <v>44615</v>
      </c>
      <c r="C3640" s="22">
        <v>44615</v>
      </c>
      <c r="D3640" s="1" t="s">
        <v>1743</v>
      </c>
      <c r="E3640" s="1" t="s">
        <v>468</v>
      </c>
      <c r="F3640" s="1">
        <v>36</v>
      </c>
      <c r="G3640" s="1" t="s">
        <v>24</v>
      </c>
      <c r="H3640" s="1" t="s">
        <v>111</v>
      </c>
      <c r="I3640" s="1" t="s">
        <v>141</v>
      </c>
      <c r="J3640" s="1" t="s">
        <v>76</v>
      </c>
      <c r="K3640" s="1" t="s">
        <v>113</v>
      </c>
      <c r="L3640" s="1">
        <v>4</v>
      </c>
      <c r="M3640" s="13">
        <v>3567.47</v>
      </c>
      <c r="N3640" s="15">
        <v>0.14000000000000001</v>
      </c>
      <c r="O3640" s="13">
        <v>11439.79</v>
      </c>
      <c r="P3640" s="13">
        <v>2952.33</v>
      </c>
      <c r="Q3640" s="13">
        <v>90.15</v>
      </c>
      <c r="R3640" s="1" t="s">
        <v>64</v>
      </c>
      <c r="S3640" s="1">
        <v>4</v>
      </c>
      <c r="T3640" s="1" t="b">
        <v>0</v>
      </c>
      <c r="U3640" s="1" t="s">
        <v>84</v>
      </c>
      <c r="V3640" s="3">
        <v>4</v>
      </c>
    </row>
    <row r="3641" spans="1:22" x14ac:dyDescent="0.3">
      <c r="A3641" s="2" t="s">
        <v>7734</v>
      </c>
      <c r="B3641" s="10">
        <v>45118</v>
      </c>
      <c r="C3641" s="22">
        <v>45118</v>
      </c>
      <c r="D3641" s="1" t="s">
        <v>7735</v>
      </c>
      <c r="E3641" s="1" t="s">
        <v>855</v>
      </c>
      <c r="F3641" s="1">
        <v>-2</v>
      </c>
      <c r="G3641" s="1" t="s">
        <v>34</v>
      </c>
      <c r="H3641" s="1" t="s">
        <v>82</v>
      </c>
      <c r="I3641" s="1" t="s">
        <v>293</v>
      </c>
      <c r="J3641" s="1" t="s">
        <v>127</v>
      </c>
      <c r="K3641" s="1" t="s">
        <v>128</v>
      </c>
      <c r="L3641" s="1">
        <v>10</v>
      </c>
      <c r="M3641" s="13">
        <v>46486.3</v>
      </c>
      <c r="N3641" s="15">
        <v>0.35</v>
      </c>
      <c r="O3641" s="13">
        <v>435101.24</v>
      </c>
      <c r="P3641" s="13">
        <v>46106.98</v>
      </c>
      <c r="Q3641" s="13">
        <v>68.33</v>
      </c>
      <c r="R3641" s="1" t="s">
        <v>51</v>
      </c>
      <c r="S3641" s="1">
        <v>2</v>
      </c>
      <c r="T3641" s="1" t="b">
        <v>0</v>
      </c>
      <c r="U3641" s="1" t="s">
        <v>39</v>
      </c>
      <c r="V3641" s="3">
        <v>10</v>
      </c>
    </row>
    <row r="3642" spans="1:22" x14ac:dyDescent="0.3">
      <c r="A3642" s="2" t="s">
        <v>7736</v>
      </c>
      <c r="B3642" s="10">
        <v>44372</v>
      </c>
      <c r="C3642" s="22">
        <v>44372</v>
      </c>
      <c r="D3642" s="1" t="s">
        <v>7737</v>
      </c>
      <c r="E3642" s="1" t="s">
        <v>92</v>
      </c>
      <c r="F3642" s="1">
        <v>32</v>
      </c>
      <c r="G3642" s="1" t="s">
        <v>68</v>
      </c>
      <c r="H3642" s="1" t="s">
        <v>82</v>
      </c>
      <c r="I3642" s="1" t="s">
        <v>293</v>
      </c>
      <c r="J3642" s="1" t="s">
        <v>27</v>
      </c>
      <c r="K3642" s="1" t="s">
        <v>97</v>
      </c>
      <c r="L3642" s="1">
        <v>8</v>
      </c>
      <c r="M3642" s="13">
        <v>243.87</v>
      </c>
      <c r="N3642" s="15">
        <v>0.24</v>
      </c>
      <c r="O3642" s="13">
        <v>2091.15</v>
      </c>
      <c r="P3642" s="13">
        <v>159.38</v>
      </c>
      <c r="Q3642" s="13">
        <v>107.16</v>
      </c>
      <c r="R3642" s="1" t="s">
        <v>51</v>
      </c>
      <c r="S3642" s="1">
        <v>4</v>
      </c>
      <c r="T3642" s="1" t="b">
        <v>0</v>
      </c>
      <c r="U3642" s="1" t="s">
        <v>39</v>
      </c>
      <c r="V3642" s="3">
        <v>8</v>
      </c>
    </row>
    <row r="3643" spans="1:22" x14ac:dyDescent="0.3">
      <c r="A3643" s="2" t="s">
        <v>7738</v>
      </c>
      <c r="B3643" s="10">
        <v>45536</v>
      </c>
      <c r="C3643" s="22">
        <v>45536</v>
      </c>
      <c r="D3643" s="1" t="s">
        <v>7739</v>
      </c>
      <c r="E3643" s="1" t="s">
        <v>743</v>
      </c>
      <c r="F3643" s="1">
        <v>-7</v>
      </c>
      <c r="G3643" s="1" t="s">
        <v>68</v>
      </c>
      <c r="H3643" s="1" t="s">
        <v>35</v>
      </c>
      <c r="I3643" s="1" t="s">
        <v>36</v>
      </c>
      <c r="J3643" s="1" t="s">
        <v>146</v>
      </c>
      <c r="K3643" s="1" t="s">
        <v>178</v>
      </c>
      <c r="L3643" s="1">
        <v>1</v>
      </c>
      <c r="M3643" s="13">
        <v>14106.55</v>
      </c>
      <c r="N3643" s="15">
        <v>0.03</v>
      </c>
      <c r="O3643" s="13">
        <v>17029.82</v>
      </c>
      <c r="P3643" s="13">
        <v>4828.67</v>
      </c>
      <c r="Q3643" s="13">
        <v>41.95</v>
      </c>
      <c r="R3643" s="1" t="s">
        <v>29</v>
      </c>
      <c r="S3643" s="1">
        <v>2</v>
      </c>
      <c r="T3643" s="1" t="b">
        <v>0</v>
      </c>
      <c r="U3643" s="1" t="s">
        <v>39</v>
      </c>
      <c r="V3643" s="3">
        <v>10</v>
      </c>
    </row>
    <row r="3644" spans="1:22" x14ac:dyDescent="0.3">
      <c r="A3644" s="2" t="s">
        <v>7740</v>
      </c>
      <c r="B3644" s="10">
        <v>43892</v>
      </c>
      <c r="C3644" s="22">
        <v>43892</v>
      </c>
      <c r="D3644" s="1" t="s">
        <v>5830</v>
      </c>
      <c r="E3644" s="1" t="s">
        <v>540</v>
      </c>
      <c r="F3644" s="1">
        <v>28</v>
      </c>
      <c r="G3644" s="1" t="s">
        <v>24</v>
      </c>
      <c r="H3644" s="1" t="s">
        <v>74</v>
      </c>
      <c r="I3644" s="1" t="s">
        <v>136</v>
      </c>
      <c r="J3644" s="1" t="s">
        <v>37</v>
      </c>
      <c r="K3644" s="1" t="s">
        <v>671</v>
      </c>
      <c r="L3644" s="1">
        <v>8</v>
      </c>
      <c r="M3644" s="13">
        <v>2402.3000000000002</v>
      </c>
      <c r="N3644" s="15">
        <v>0.14000000000000001</v>
      </c>
      <c r="O3644" s="13">
        <v>17325.759999999998</v>
      </c>
      <c r="P3644" s="13">
        <v>7864.22</v>
      </c>
      <c r="Q3644" s="13">
        <v>28.34</v>
      </c>
      <c r="R3644" s="1" t="s">
        <v>70</v>
      </c>
      <c r="S3644" s="1">
        <v>2</v>
      </c>
      <c r="T3644" s="1" t="b">
        <v>0</v>
      </c>
      <c r="U3644" s="1" t="s">
        <v>39</v>
      </c>
      <c r="V3644" s="3">
        <v>5</v>
      </c>
    </row>
    <row r="3645" spans="1:22" x14ac:dyDescent="0.3">
      <c r="A3645" s="2" t="s">
        <v>7741</v>
      </c>
      <c r="B3645" s="10">
        <v>45350</v>
      </c>
      <c r="C3645" s="22">
        <v>45350</v>
      </c>
      <c r="D3645" s="1" t="s">
        <v>7742</v>
      </c>
      <c r="E3645" s="1" t="s">
        <v>247</v>
      </c>
      <c r="F3645" s="1">
        <v>57</v>
      </c>
      <c r="G3645" s="1" t="s">
        <v>24</v>
      </c>
      <c r="H3645" s="1" t="s">
        <v>74</v>
      </c>
      <c r="I3645" s="1" t="s">
        <v>192</v>
      </c>
      <c r="J3645" s="1" t="s">
        <v>44</v>
      </c>
      <c r="K3645" s="1" t="s">
        <v>93</v>
      </c>
      <c r="L3645" s="1">
        <v>10</v>
      </c>
      <c r="M3645" s="13">
        <v>7864.24</v>
      </c>
      <c r="N3645" s="15">
        <v>7.0000000000000007E-2</v>
      </c>
      <c r="O3645" s="13">
        <v>79635.39</v>
      </c>
      <c r="P3645" s="13">
        <v>26334.69</v>
      </c>
      <c r="Q3645" s="13">
        <v>41.39</v>
      </c>
      <c r="R3645" s="1" t="s">
        <v>78</v>
      </c>
      <c r="S3645" s="1">
        <v>3</v>
      </c>
      <c r="T3645" s="1" t="b">
        <v>0</v>
      </c>
      <c r="U3645" s="1" t="s">
        <v>39</v>
      </c>
      <c r="V3645" s="3">
        <v>8</v>
      </c>
    </row>
    <row r="3646" spans="1:22" x14ac:dyDescent="0.3">
      <c r="A3646" s="2" t="s">
        <v>7743</v>
      </c>
      <c r="B3646" s="10">
        <v>44204</v>
      </c>
      <c r="C3646" s="22">
        <v>44204</v>
      </c>
      <c r="D3646" s="1" t="s">
        <v>7744</v>
      </c>
      <c r="E3646" s="1" t="s">
        <v>381</v>
      </c>
      <c r="F3646" s="1">
        <v>29</v>
      </c>
      <c r="G3646" s="1" t="s">
        <v>68</v>
      </c>
      <c r="H3646" s="1" t="s">
        <v>35</v>
      </c>
      <c r="I3646" s="1" t="s">
        <v>49</v>
      </c>
      <c r="J3646" s="1" t="s">
        <v>27</v>
      </c>
      <c r="K3646" s="1" t="s">
        <v>430</v>
      </c>
      <c r="L3646" s="1">
        <v>3</v>
      </c>
      <c r="M3646" s="13">
        <v>124.54</v>
      </c>
      <c r="N3646" s="15">
        <v>0.06</v>
      </c>
      <c r="O3646" s="13">
        <v>312.48</v>
      </c>
      <c r="P3646" s="13">
        <v>27.23</v>
      </c>
      <c r="Q3646" s="13">
        <v>67.180000000000007</v>
      </c>
      <c r="R3646" s="1" t="s">
        <v>70</v>
      </c>
      <c r="S3646" s="1">
        <v>1</v>
      </c>
      <c r="T3646" s="1" t="b">
        <v>0</v>
      </c>
      <c r="U3646" s="1" t="s">
        <v>137</v>
      </c>
      <c r="V3646" s="3">
        <v>10</v>
      </c>
    </row>
    <row r="3647" spans="1:22" x14ac:dyDescent="0.3">
      <c r="A3647" s="2" t="s">
        <v>7745</v>
      </c>
      <c r="B3647" s="10">
        <v>43858</v>
      </c>
      <c r="C3647" s="22">
        <v>43858</v>
      </c>
      <c r="D3647" s="1" t="s">
        <v>7746</v>
      </c>
      <c r="E3647" s="1" t="s">
        <v>894</v>
      </c>
      <c r="F3647" s="1">
        <v>35</v>
      </c>
      <c r="G3647" s="1" t="s">
        <v>34</v>
      </c>
      <c r="H3647" s="1" t="s">
        <v>111</v>
      </c>
      <c r="I3647" s="1" t="s">
        <v>121</v>
      </c>
      <c r="J3647" s="1" t="s">
        <v>37</v>
      </c>
      <c r="K3647" s="1" t="s">
        <v>182</v>
      </c>
      <c r="L3647" s="1">
        <v>3</v>
      </c>
      <c r="M3647" s="13">
        <v>464.07</v>
      </c>
      <c r="N3647" s="15">
        <v>0.37</v>
      </c>
      <c r="O3647" s="13">
        <v>595.39</v>
      </c>
      <c r="P3647" s="13">
        <v>342.46</v>
      </c>
      <c r="Q3647" s="13">
        <v>60.75</v>
      </c>
      <c r="R3647" s="1" t="s">
        <v>78</v>
      </c>
      <c r="S3647" s="1">
        <v>5</v>
      </c>
      <c r="T3647" s="1" t="b">
        <v>0</v>
      </c>
      <c r="U3647" s="1" t="s">
        <v>39</v>
      </c>
      <c r="V3647" s="3">
        <v>5</v>
      </c>
    </row>
    <row r="3648" spans="1:22" x14ac:dyDescent="0.3">
      <c r="A3648" s="2" t="s">
        <v>7747</v>
      </c>
      <c r="B3648" s="10">
        <v>44917</v>
      </c>
      <c r="C3648" s="22">
        <v>44917</v>
      </c>
      <c r="D3648" s="1" t="s">
        <v>7748</v>
      </c>
      <c r="E3648" s="1" t="s">
        <v>1459</v>
      </c>
      <c r="F3648" s="1">
        <v>53</v>
      </c>
      <c r="G3648" s="1" t="s">
        <v>24</v>
      </c>
      <c r="H3648" s="1" t="s">
        <v>82</v>
      </c>
      <c r="I3648" s="1" t="s">
        <v>293</v>
      </c>
      <c r="J3648" s="1" t="s">
        <v>127</v>
      </c>
      <c r="K3648" s="1" t="s">
        <v>142</v>
      </c>
      <c r="L3648" s="1">
        <v>8</v>
      </c>
      <c r="M3648" s="13">
        <v>77398.42</v>
      </c>
      <c r="N3648" s="15">
        <v>0.26</v>
      </c>
      <c r="O3648" s="13">
        <v>353697.54</v>
      </c>
      <c r="P3648" s="13">
        <v>33920.050000000003</v>
      </c>
      <c r="Q3648" s="13">
        <v>94.39</v>
      </c>
      <c r="R3648" s="1" t="s">
        <v>57</v>
      </c>
      <c r="S3648" s="1">
        <v>3</v>
      </c>
      <c r="T3648" s="1" t="b">
        <v>0</v>
      </c>
      <c r="U3648" s="1" t="s">
        <v>84</v>
      </c>
      <c r="V3648" s="3">
        <v>10</v>
      </c>
    </row>
    <row r="3649" spans="1:22" x14ac:dyDescent="0.3">
      <c r="A3649" s="2" t="s">
        <v>7749</v>
      </c>
      <c r="B3649" s="10">
        <v>43953</v>
      </c>
      <c r="C3649" s="22">
        <v>43953</v>
      </c>
      <c r="D3649" s="1" t="s">
        <v>7750</v>
      </c>
      <c r="E3649" s="1" t="s">
        <v>314</v>
      </c>
      <c r="F3649" s="1">
        <v>34</v>
      </c>
      <c r="G3649" s="1" t="s">
        <v>68</v>
      </c>
      <c r="H3649" s="1" t="s">
        <v>82</v>
      </c>
      <c r="I3649" s="1" t="s">
        <v>83</v>
      </c>
      <c r="J3649" s="1" t="s">
        <v>76</v>
      </c>
      <c r="K3649" s="1" t="s">
        <v>89</v>
      </c>
      <c r="L3649" s="1">
        <v>7</v>
      </c>
      <c r="M3649" s="13">
        <v>1318.24</v>
      </c>
      <c r="N3649" s="15">
        <v>0.06</v>
      </c>
      <c r="O3649" s="13">
        <v>6767.09</v>
      </c>
      <c r="P3649" s="13">
        <v>2866.08</v>
      </c>
      <c r="Q3649" s="13">
        <v>77.900000000000006</v>
      </c>
      <c r="R3649" s="1" t="s">
        <v>57</v>
      </c>
      <c r="S3649" s="1">
        <v>5</v>
      </c>
      <c r="T3649" s="1" t="b">
        <v>0</v>
      </c>
      <c r="U3649" s="1" t="s">
        <v>39</v>
      </c>
      <c r="V3649" s="3">
        <v>3</v>
      </c>
    </row>
    <row r="3650" spans="1:22" x14ac:dyDescent="0.3">
      <c r="A3650" s="2" t="s">
        <v>7751</v>
      </c>
      <c r="B3650" s="10">
        <v>43873</v>
      </c>
      <c r="C3650" s="22">
        <v>43873</v>
      </c>
      <c r="D3650" s="1" t="s">
        <v>7752</v>
      </c>
      <c r="E3650" s="1" t="s">
        <v>1550</v>
      </c>
      <c r="F3650" s="1">
        <v>32</v>
      </c>
      <c r="G3650" s="1" t="s">
        <v>68</v>
      </c>
      <c r="H3650" s="1" t="s">
        <v>74</v>
      </c>
      <c r="I3650" s="1" t="s">
        <v>192</v>
      </c>
      <c r="J3650" s="1" t="s">
        <v>146</v>
      </c>
      <c r="K3650" s="1" t="s">
        <v>178</v>
      </c>
      <c r="L3650" s="1">
        <v>2</v>
      </c>
      <c r="M3650" s="13">
        <v>9059.9699999999993</v>
      </c>
      <c r="N3650" s="15">
        <v>0.28000000000000003</v>
      </c>
      <c r="O3650" s="13">
        <v>10634.92</v>
      </c>
      <c r="P3650" s="13">
        <v>2775.6</v>
      </c>
      <c r="Q3650" s="13">
        <v>59.56</v>
      </c>
      <c r="R3650" s="1" t="s">
        <v>51</v>
      </c>
      <c r="S3650" s="1">
        <v>3</v>
      </c>
      <c r="T3650" s="1" t="b">
        <v>0</v>
      </c>
      <c r="U3650" s="1" t="s">
        <v>39</v>
      </c>
      <c r="V3650" s="3">
        <v>7</v>
      </c>
    </row>
    <row r="3651" spans="1:22" x14ac:dyDescent="0.3">
      <c r="A3651" s="2" t="s">
        <v>7753</v>
      </c>
      <c r="B3651" s="10">
        <v>44512</v>
      </c>
      <c r="C3651" s="22">
        <v>44512</v>
      </c>
      <c r="D3651" s="1" t="s">
        <v>7754</v>
      </c>
      <c r="E3651" s="1" t="s">
        <v>1399</v>
      </c>
      <c r="F3651" s="1">
        <v>19</v>
      </c>
      <c r="G3651" s="1" t="s">
        <v>68</v>
      </c>
      <c r="H3651" s="1" t="s">
        <v>25</v>
      </c>
      <c r="I3651" s="1" t="s">
        <v>55</v>
      </c>
      <c r="J3651" s="1" t="s">
        <v>76</v>
      </c>
      <c r="K3651" s="1" t="s">
        <v>77</v>
      </c>
      <c r="L3651" s="1">
        <v>7</v>
      </c>
      <c r="M3651" s="13">
        <v>2886.34</v>
      </c>
      <c r="N3651" s="15">
        <v>0.25</v>
      </c>
      <c r="O3651" s="13">
        <v>9941.0499999999993</v>
      </c>
      <c r="P3651" s="13">
        <v>3851.17</v>
      </c>
      <c r="Q3651" s="13">
        <v>58.88</v>
      </c>
      <c r="R3651" s="1" t="s">
        <v>29</v>
      </c>
      <c r="S3651" s="1">
        <v>4</v>
      </c>
      <c r="T3651" s="1" t="b">
        <v>0</v>
      </c>
      <c r="U3651" s="1" t="s">
        <v>39</v>
      </c>
      <c r="V3651" s="3">
        <v>3</v>
      </c>
    </row>
    <row r="3652" spans="1:22" x14ac:dyDescent="0.3">
      <c r="A3652" s="2" t="s">
        <v>7755</v>
      </c>
      <c r="B3652" s="10">
        <v>44855</v>
      </c>
      <c r="C3652" s="22">
        <v>44855</v>
      </c>
      <c r="D3652" s="1" t="s">
        <v>7756</v>
      </c>
      <c r="E3652" s="1" t="s">
        <v>1001</v>
      </c>
      <c r="F3652" s="1">
        <v>28</v>
      </c>
      <c r="G3652" s="1" t="s">
        <v>24</v>
      </c>
      <c r="H3652" s="1" t="s">
        <v>74</v>
      </c>
      <c r="I3652" s="1" t="s">
        <v>101</v>
      </c>
      <c r="J3652" s="1" t="s">
        <v>146</v>
      </c>
      <c r="K3652" s="1" t="s">
        <v>217</v>
      </c>
      <c r="L3652" s="1">
        <v>3</v>
      </c>
      <c r="M3652" s="13">
        <v>10631.58</v>
      </c>
      <c r="N3652" s="15">
        <v>0.1</v>
      </c>
      <c r="O3652" s="13">
        <v>23303.040000000001</v>
      </c>
      <c r="P3652" s="13">
        <v>4472.16</v>
      </c>
      <c r="Q3652" s="13">
        <v>31.86</v>
      </c>
      <c r="R3652" s="1" t="s">
        <v>29</v>
      </c>
      <c r="S3652" s="1">
        <v>4</v>
      </c>
      <c r="T3652" s="1" t="b">
        <v>0</v>
      </c>
      <c r="U3652" s="1" t="s">
        <v>39</v>
      </c>
      <c r="V3652" s="3">
        <v>5</v>
      </c>
    </row>
    <row r="3653" spans="1:22" x14ac:dyDescent="0.3">
      <c r="A3653" s="2" t="s">
        <v>7757</v>
      </c>
      <c r="B3653" s="10">
        <v>45643</v>
      </c>
      <c r="C3653" s="22">
        <v>45643</v>
      </c>
      <c r="D3653" s="1" t="s">
        <v>7758</v>
      </c>
      <c r="E3653" s="1" t="s">
        <v>4771</v>
      </c>
      <c r="F3653" s="1">
        <v>18</v>
      </c>
      <c r="G3653" s="1" t="s">
        <v>68</v>
      </c>
      <c r="H3653" s="1" t="s">
        <v>74</v>
      </c>
      <c r="I3653" s="1" t="s">
        <v>101</v>
      </c>
      <c r="J3653" s="1" t="s">
        <v>44</v>
      </c>
      <c r="K3653" s="1" t="s">
        <v>45</v>
      </c>
      <c r="L3653" s="1">
        <v>6</v>
      </c>
      <c r="M3653" s="13">
        <v>29938.75</v>
      </c>
      <c r="N3653" s="15">
        <v>0.17</v>
      </c>
      <c r="O3653" s="13">
        <v>139138.9</v>
      </c>
      <c r="P3653" s="13">
        <v>44922.96</v>
      </c>
      <c r="Q3653" s="13">
        <v>34.46</v>
      </c>
      <c r="R3653" s="1" t="s">
        <v>64</v>
      </c>
      <c r="S3653" s="1">
        <v>1</v>
      </c>
      <c r="T3653" s="1" t="b">
        <v>0</v>
      </c>
      <c r="U3653" s="1" t="s">
        <v>39</v>
      </c>
      <c r="V3653" s="3">
        <v>9</v>
      </c>
    </row>
    <row r="3654" spans="1:22" x14ac:dyDescent="0.3">
      <c r="A3654" s="2" t="s">
        <v>7759</v>
      </c>
      <c r="B3654" s="10">
        <v>45582</v>
      </c>
      <c r="C3654" s="22">
        <v>45582</v>
      </c>
      <c r="D3654" s="1" t="s">
        <v>7760</v>
      </c>
      <c r="E3654" s="1" t="s">
        <v>116</v>
      </c>
      <c r="F3654" s="1">
        <v>7</v>
      </c>
      <c r="G3654" s="1" t="s">
        <v>24</v>
      </c>
      <c r="H3654" s="1" t="s">
        <v>111</v>
      </c>
      <c r="I3654" s="1" t="s">
        <v>141</v>
      </c>
      <c r="J3654" s="1" t="s">
        <v>146</v>
      </c>
      <c r="K3654" s="1" t="s">
        <v>276</v>
      </c>
      <c r="L3654" s="1">
        <v>5</v>
      </c>
      <c r="M3654" s="13">
        <v>8321.61</v>
      </c>
      <c r="N3654" s="15">
        <v>0.28999999999999998</v>
      </c>
      <c r="O3654" s="13">
        <v>32551.279999999999</v>
      </c>
      <c r="P3654" s="13">
        <v>7415.49</v>
      </c>
      <c r="Q3654" s="13">
        <v>82.48</v>
      </c>
      <c r="R3654" s="1" t="s">
        <v>51</v>
      </c>
      <c r="S3654" s="1">
        <v>2</v>
      </c>
      <c r="T3654" s="1" t="b">
        <v>0</v>
      </c>
      <c r="U3654" s="1" t="s">
        <v>39</v>
      </c>
      <c r="V3654" s="3">
        <v>2</v>
      </c>
    </row>
    <row r="3655" spans="1:22" x14ac:dyDescent="0.3">
      <c r="A3655" s="2" t="s">
        <v>7761</v>
      </c>
      <c r="B3655" s="10">
        <v>44033</v>
      </c>
      <c r="C3655" s="22">
        <v>44033</v>
      </c>
      <c r="D3655" s="1" t="s">
        <v>7762</v>
      </c>
      <c r="E3655" s="1" t="s">
        <v>1067</v>
      </c>
      <c r="F3655" s="1">
        <v>41</v>
      </c>
      <c r="G3655" s="1" t="s">
        <v>68</v>
      </c>
      <c r="H3655" s="1" t="s">
        <v>74</v>
      </c>
      <c r="I3655" s="1" t="s">
        <v>136</v>
      </c>
      <c r="J3655" s="1" t="s">
        <v>146</v>
      </c>
      <c r="K3655" s="1" t="s">
        <v>276</v>
      </c>
      <c r="L3655" s="1">
        <v>5</v>
      </c>
      <c r="M3655" s="13">
        <v>14409.79</v>
      </c>
      <c r="N3655" s="15">
        <v>0.06</v>
      </c>
      <c r="O3655" s="13">
        <v>88266</v>
      </c>
      <c r="P3655" s="13">
        <v>14684.99</v>
      </c>
      <c r="Q3655" s="13">
        <v>44.5</v>
      </c>
      <c r="R3655" s="1" t="s">
        <v>51</v>
      </c>
      <c r="S3655" s="1">
        <v>5</v>
      </c>
      <c r="T3655" s="1" t="b">
        <v>0</v>
      </c>
      <c r="U3655" s="1" t="s">
        <v>39</v>
      </c>
      <c r="V3655" s="3">
        <v>8</v>
      </c>
    </row>
    <row r="3656" spans="1:22" x14ac:dyDescent="0.3">
      <c r="A3656" s="2" t="s">
        <v>7763</v>
      </c>
      <c r="B3656" s="10">
        <v>44799</v>
      </c>
      <c r="C3656" s="22">
        <v>44799</v>
      </c>
      <c r="D3656" s="1" t="s">
        <v>7764</v>
      </c>
      <c r="E3656" s="1" t="s">
        <v>1384</v>
      </c>
      <c r="F3656" s="1">
        <v>33</v>
      </c>
      <c r="G3656" s="1" t="s">
        <v>24</v>
      </c>
      <c r="H3656" s="1" t="s">
        <v>111</v>
      </c>
      <c r="I3656" s="1" t="s">
        <v>141</v>
      </c>
      <c r="J3656" s="1" t="s">
        <v>146</v>
      </c>
      <c r="K3656" s="1" t="s">
        <v>161</v>
      </c>
      <c r="L3656" s="1">
        <v>3</v>
      </c>
      <c r="M3656" s="13">
        <v>4765.92</v>
      </c>
      <c r="N3656" s="15">
        <v>0.05</v>
      </c>
      <c r="O3656" s="13">
        <v>17857.419999999998</v>
      </c>
      <c r="P3656" s="13">
        <v>4889.4399999999996</v>
      </c>
      <c r="Q3656" s="13">
        <v>59.58</v>
      </c>
      <c r="R3656" s="1" t="s">
        <v>57</v>
      </c>
      <c r="S3656" s="1">
        <v>2</v>
      </c>
      <c r="T3656" s="1" t="b">
        <v>0</v>
      </c>
      <c r="U3656" s="1" t="s">
        <v>39</v>
      </c>
      <c r="V3656" s="3">
        <v>9</v>
      </c>
    </row>
    <row r="3657" spans="1:22" x14ac:dyDescent="0.3">
      <c r="A3657" s="2" t="s">
        <v>7765</v>
      </c>
      <c r="B3657" s="10">
        <v>45513</v>
      </c>
      <c r="C3657" s="22">
        <v>45513</v>
      </c>
      <c r="D3657" s="1" t="s">
        <v>7766</v>
      </c>
      <c r="E3657" s="1" t="s">
        <v>253</v>
      </c>
      <c r="F3657" s="1">
        <v>36</v>
      </c>
      <c r="G3657" s="1" t="s">
        <v>24</v>
      </c>
      <c r="H3657" s="1" t="s">
        <v>25</v>
      </c>
      <c r="I3657" s="1" t="s">
        <v>26</v>
      </c>
      <c r="J3657" s="1" t="s">
        <v>27</v>
      </c>
      <c r="K3657" s="1" t="s">
        <v>56</v>
      </c>
      <c r="L3657" s="1">
        <v>5</v>
      </c>
      <c r="M3657" s="13">
        <v>230.1</v>
      </c>
      <c r="N3657" s="15">
        <v>0.23</v>
      </c>
      <c r="O3657" s="13">
        <v>1261.3800000000001</v>
      </c>
      <c r="P3657" s="13">
        <v>74.150000000000006</v>
      </c>
      <c r="Q3657" s="13">
        <v>44.66</v>
      </c>
      <c r="R3657" s="1" t="s">
        <v>29</v>
      </c>
      <c r="S3657" s="1">
        <v>5</v>
      </c>
      <c r="T3657" s="1" t="b">
        <v>0</v>
      </c>
      <c r="U3657" s="1" t="s">
        <v>39</v>
      </c>
      <c r="V3657" s="3">
        <v>1</v>
      </c>
    </row>
    <row r="3658" spans="1:22" x14ac:dyDescent="0.3">
      <c r="A3658" s="2" t="s">
        <v>7767</v>
      </c>
      <c r="B3658" s="10">
        <v>45416</v>
      </c>
      <c r="C3658" s="22">
        <v>45416</v>
      </c>
      <c r="D3658" s="1" t="s">
        <v>7768</v>
      </c>
      <c r="E3658" s="1" t="s">
        <v>105</v>
      </c>
      <c r="F3658" s="1">
        <v>52</v>
      </c>
      <c r="G3658" s="1" t="s">
        <v>68</v>
      </c>
      <c r="H3658" s="1" t="s">
        <v>111</v>
      </c>
      <c r="I3658" s="1" t="s">
        <v>112</v>
      </c>
      <c r="J3658" s="1" t="s">
        <v>76</v>
      </c>
      <c r="K3658" s="1" t="s">
        <v>207</v>
      </c>
      <c r="L3658" s="1">
        <v>3</v>
      </c>
      <c r="M3658" s="13">
        <v>2490.42</v>
      </c>
      <c r="N3658" s="15">
        <v>0.12</v>
      </c>
      <c r="O3658" s="13">
        <v>9565</v>
      </c>
      <c r="P3658" s="13">
        <v>4135.1499999999996</v>
      </c>
      <c r="Q3658" s="13">
        <v>56.66</v>
      </c>
      <c r="R3658" s="1" t="s">
        <v>29</v>
      </c>
      <c r="S3658" s="1">
        <v>5</v>
      </c>
      <c r="T3658" s="1" t="b">
        <v>0</v>
      </c>
      <c r="U3658" s="1" t="s">
        <v>84</v>
      </c>
      <c r="V3658" s="3">
        <v>8</v>
      </c>
    </row>
    <row r="3659" spans="1:22" x14ac:dyDescent="0.3">
      <c r="A3659" s="2" t="s">
        <v>7769</v>
      </c>
      <c r="B3659" s="10">
        <v>43936</v>
      </c>
      <c r="C3659" s="22">
        <v>43936</v>
      </c>
      <c r="D3659" s="1" t="s">
        <v>7770</v>
      </c>
      <c r="E3659" s="1" t="s">
        <v>1535</v>
      </c>
      <c r="F3659" s="1">
        <v>31</v>
      </c>
      <c r="G3659" s="1" t="s">
        <v>34</v>
      </c>
      <c r="H3659" s="1" t="s">
        <v>25</v>
      </c>
      <c r="I3659" s="1" t="s">
        <v>55</v>
      </c>
      <c r="J3659" s="1" t="s">
        <v>44</v>
      </c>
      <c r="K3659" s="1" t="s">
        <v>221</v>
      </c>
      <c r="L3659" s="1">
        <v>3</v>
      </c>
      <c r="M3659" s="13">
        <v>14067.89</v>
      </c>
      <c r="N3659" s="15">
        <v>0.13</v>
      </c>
      <c r="O3659" s="13">
        <v>40312.78</v>
      </c>
      <c r="P3659" s="13">
        <v>8649.34</v>
      </c>
      <c r="Q3659" s="13">
        <v>64.02</v>
      </c>
      <c r="R3659" s="1" t="s">
        <v>51</v>
      </c>
      <c r="S3659" s="1">
        <v>1</v>
      </c>
      <c r="T3659" s="1" t="b">
        <v>0</v>
      </c>
      <c r="U3659" s="1" t="s">
        <v>39</v>
      </c>
      <c r="V3659" s="3">
        <v>10</v>
      </c>
    </row>
    <row r="3660" spans="1:22" x14ac:dyDescent="0.3">
      <c r="A3660" s="2" t="s">
        <v>7771</v>
      </c>
      <c r="B3660" s="10">
        <v>45020</v>
      </c>
      <c r="C3660" s="22">
        <v>45020</v>
      </c>
      <c r="D3660" s="1" t="s">
        <v>7772</v>
      </c>
      <c r="E3660" s="1" t="s">
        <v>33</v>
      </c>
      <c r="F3660" s="1">
        <v>21</v>
      </c>
      <c r="G3660" s="1" t="s">
        <v>34</v>
      </c>
      <c r="H3660" s="1" t="s">
        <v>111</v>
      </c>
      <c r="I3660" s="1" t="s">
        <v>330</v>
      </c>
      <c r="J3660" s="1" t="s">
        <v>37</v>
      </c>
      <c r="K3660" s="1" t="s">
        <v>102</v>
      </c>
      <c r="L3660" s="1">
        <v>9</v>
      </c>
      <c r="M3660" s="13">
        <v>1568.38</v>
      </c>
      <c r="N3660" s="15">
        <v>0.02</v>
      </c>
      <c r="O3660" s="13">
        <v>21256.5</v>
      </c>
      <c r="P3660" s="13">
        <v>9913.18</v>
      </c>
      <c r="Q3660" s="13">
        <v>96.17</v>
      </c>
      <c r="R3660" s="1" t="s">
        <v>29</v>
      </c>
      <c r="S3660" s="1">
        <v>5</v>
      </c>
      <c r="T3660" s="1" t="b">
        <v>0</v>
      </c>
      <c r="U3660" s="1" t="s">
        <v>39</v>
      </c>
      <c r="V3660" s="3">
        <v>7</v>
      </c>
    </row>
    <row r="3661" spans="1:22" x14ac:dyDescent="0.3">
      <c r="A3661" s="2" t="s">
        <v>7773</v>
      </c>
      <c r="B3661" s="10">
        <v>44216</v>
      </c>
      <c r="C3661" s="22">
        <v>44216</v>
      </c>
      <c r="D3661" s="1" t="s">
        <v>7774</v>
      </c>
      <c r="E3661" s="1" t="s">
        <v>1186</v>
      </c>
      <c r="F3661" s="1">
        <v>35</v>
      </c>
      <c r="G3661" s="1" t="s">
        <v>68</v>
      </c>
      <c r="H3661" s="1" t="s">
        <v>74</v>
      </c>
      <c r="I3661" s="1" t="s">
        <v>101</v>
      </c>
      <c r="J3661" s="1" t="s">
        <v>44</v>
      </c>
      <c r="K3661" s="1" t="s">
        <v>221</v>
      </c>
      <c r="L3661" s="1">
        <v>6</v>
      </c>
      <c r="M3661" s="13">
        <v>10881.01</v>
      </c>
      <c r="N3661" s="15">
        <v>0.28000000000000003</v>
      </c>
      <c r="O3661" s="13">
        <v>36305.93</v>
      </c>
      <c r="P3661" s="13">
        <v>13223.63</v>
      </c>
      <c r="Q3661" s="13">
        <v>78.19</v>
      </c>
      <c r="R3661" s="1" t="s">
        <v>29</v>
      </c>
      <c r="S3661" s="1">
        <v>3</v>
      </c>
      <c r="T3661" s="1" t="b">
        <v>0</v>
      </c>
      <c r="U3661" s="1" t="s">
        <v>84</v>
      </c>
      <c r="V3661" s="3">
        <v>5</v>
      </c>
    </row>
    <row r="3662" spans="1:22" x14ac:dyDescent="0.3">
      <c r="A3662" s="2" t="s">
        <v>7775</v>
      </c>
      <c r="B3662" s="10">
        <v>44686</v>
      </c>
      <c r="C3662" s="22">
        <v>44686</v>
      </c>
      <c r="D3662" s="1" t="s">
        <v>7776</v>
      </c>
      <c r="E3662" s="1" t="s">
        <v>502</v>
      </c>
      <c r="F3662" s="1">
        <v>42</v>
      </c>
      <c r="G3662" s="1" t="s">
        <v>68</v>
      </c>
      <c r="H3662" s="1" t="s">
        <v>25</v>
      </c>
      <c r="I3662" s="1" t="s">
        <v>170</v>
      </c>
      <c r="J3662" s="1" t="s">
        <v>62</v>
      </c>
      <c r="K3662" s="1" t="s">
        <v>266</v>
      </c>
      <c r="L3662" s="1">
        <v>7</v>
      </c>
      <c r="M3662" s="13">
        <v>1019.7</v>
      </c>
      <c r="N3662" s="15">
        <v>0.33</v>
      </c>
      <c r="O3662" s="13">
        <v>6327.55</v>
      </c>
      <c r="P3662" s="13">
        <v>3242.6</v>
      </c>
      <c r="Q3662" s="13">
        <v>49.01</v>
      </c>
      <c r="R3662" s="1" t="s">
        <v>70</v>
      </c>
      <c r="S3662" s="1">
        <v>5</v>
      </c>
      <c r="T3662" s="1" t="b">
        <v>0</v>
      </c>
      <c r="U3662" s="1" t="s">
        <v>39</v>
      </c>
      <c r="V3662" s="3">
        <v>6</v>
      </c>
    </row>
    <row r="3663" spans="1:22" x14ac:dyDescent="0.3">
      <c r="A3663" s="2" t="s">
        <v>7777</v>
      </c>
      <c r="B3663" s="10">
        <v>44169</v>
      </c>
      <c r="C3663" s="22">
        <v>44169</v>
      </c>
      <c r="D3663" s="1" t="s">
        <v>7778</v>
      </c>
      <c r="E3663" s="1" t="s">
        <v>804</v>
      </c>
      <c r="F3663" s="1">
        <v>32</v>
      </c>
      <c r="G3663" s="1" t="s">
        <v>34</v>
      </c>
      <c r="H3663" s="1" t="s">
        <v>35</v>
      </c>
      <c r="I3663" s="1" t="s">
        <v>36</v>
      </c>
      <c r="J3663" s="1" t="s">
        <v>127</v>
      </c>
      <c r="K3663" s="1" t="s">
        <v>128</v>
      </c>
      <c r="L3663" s="1">
        <v>7</v>
      </c>
      <c r="M3663" s="13">
        <v>63547.4</v>
      </c>
      <c r="N3663" s="15">
        <v>0.18</v>
      </c>
      <c r="O3663" s="13">
        <v>260057.28</v>
      </c>
      <c r="P3663" s="13">
        <v>44746.11</v>
      </c>
      <c r="Q3663" s="13">
        <v>73.72</v>
      </c>
      <c r="R3663" s="1" t="s">
        <v>29</v>
      </c>
      <c r="S3663" s="1">
        <v>1</v>
      </c>
      <c r="T3663" s="1" t="b">
        <v>0</v>
      </c>
      <c r="U3663" s="1" t="s">
        <v>137</v>
      </c>
      <c r="V3663" s="3">
        <v>7</v>
      </c>
    </row>
    <row r="3664" spans="1:22" x14ac:dyDescent="0.3">
      <c r="A3664" s="2" t="s">
        <v>7779</v>
      </c>
      <c r="B3664" s="10">
        <v>45022</v>
      </c>
      <c r="C3664" s="22">
        <v>45022</v>
      </c>
      <c r="D3664" s="1" t="s">
        <v>7780</v>
      </c>
      <c r="E3664" s="1" t="s">
        <v>279</v>
      </c>
      <c r="F3664" s="1">
        <v>58</v>
      </c>
      <c r="G3664" s="1" t="s">
        <v>34</v>
      </c>
      <c r="H3664" s="1" t="s">
        <v>25</v>
      </c>
      <c r="I3664" s="1" t="s">
        <v>26</v>
      </c>
      <c r="J3664" s="1" t="s">
        <v>44</v>
      </c>
      <c r="K3664" s="1" t="s">
        <v>45</v>
      </c>
      <c r="L3664" s="1">
        <v>7</v>
      </c>
      <c r="M3664" s="13">
        <v>21084.54</v>
      </c>
      <c r="N3664" s="15">
        <v>0.39</v>
      </c>
      <c r="O3664" s="13">
        <v>140156.32</v>
      </c>
      <c r="P3664" s="13">
        <v>29805.11</v>
      </c>
      <c r="Q3664" s="13">
        <v>42.37</v>
      </c>
      <c r="R3664" s="1" t="s">
        <v>51</v>
      </c>
      <c r="S3664" s="1">
        <v>5</v>
      </c>
      <c r="T3664" s="1" t="b">
        <v>1</v>
      </c>
      <c r="U3664" s="1" t="s">
        <v>30</v>
      </c>
      <c r="V3664" s="3">
        <v>8</v>
      </c>
    </row>
    <row r="3665" spans="1:22" x14ac:dyDescent="0.3">
      <c r="A3665" s="2" t="s">
        <v>7781</v>
      </c>
      <c r="B3665" s="10">
        <v>45131</v>
      </c>
      <c r="C3665" s="22">
        <v>45131</v>
      </c>
      <c r="D3665" s="1" t="s">
        <v>7782</v>
      </c>
      <c r="E3665" s="1" t="s">
        <v>304</v>
      </c>
      <c r="F3665" s="1">
        <v>24</v>
      </c>
      <c r="G3665" s="1" t="s">
        <v>68</v>
      </c>
      <c r="H3665" s="1" t="s">
        <v>25</v>
      </c>
      <c r="I3665" s="1" t="s">
        <v>69</v>
      </c>
      <c r="J3665" s="1" t="s">
        <v>27</v>
      </c>
      <c r="K3665" s="1" t="s">
        <v>28</v>
      </c>
      <c r="L3665" s="1">
        <v>7</v>
      </c>
      <c r="M3665" s="13">
        <v>223.54</v>
      </c>
      <c r="N3665" s="15">
        <v>0.05</v>
      </c>
      <c r="O3665" s="13">
        <v>2428.4299999999998</v>
      </c>
      <c r="P3665" s="13">
        <v>183.01</v>
      </c>
      <c r="Q3665" s="13">
        <v>54.19</v>
      </c>
      <c r="R3665" s="1" t="s">
        <v>29</v>
      </c>
      <c r="S3665" s="1">
        <v>1</v>
      </c>
      <c r="T3665" s="1" t="b">
        <v>0</v>
      </c>
      <c r="U3665" s="1" t="s">
        <v>39</v>
      </c>
      <c r="V3665" s="3">
        <v>10</v>
      </c>
    </row>
    <row r="3666" spans="1:22" x14ac:dyDescent="0.3">
      <c r="A3666" s="2" t="s">
        <v>7783</v>
      </c>
      <c r="B3666" s="10">
        <v>44972</v>
      </c>
      <c r="C3666" s="22">
        <v>44972</v>
      </c>
      <c r="D3666" s="1" t="s">
        <v>7784</v>
      </c>
      <c r="E3666" s="1" t="s">
        <v>1345</v>
      </c>
      <c r="F3666" s="1">
        <v>34</v>
      </c>
      <c r="G3666" s="1" t="s">
        <v>34</v>
      </c>
      <c r="H3666" s="1" t="s">
        <v>25</v>
      </c>
      <c r="I3666" s="1" t="s">
        <v>170</v>
      </c>
      <c r="J3666" s="1" t="s">
        <v>146</v>
      </c>
      <c r="K3666" s="1" t="s">
        <v>276</v>
      </c>
      <c r="L3666" s="1">
        <v>7</v>
      </c>
      <c r="M3666" s="13">
        <v>8623.2000000000007</v>
      </c>
      <c r="N3666" s="15">
        <v>0.21</v>
      </c>
      <c r="O3666" s="13">
        <v>64006.89</v>
      </c>
      <c r="P3666" s="13">
        <v>15740.76</v>
      </c>
      <c r="Q3666" s="13">
        <v>32.22</v>
      </c>
      <c r="R3666" s="1" t="s">
        <v>64</v>
      </c>
      <c r="S3666" s="1">
        <v>1</v>
      </c>
      <c r="T3666" s="1" t="b">
        <v>1</v>
      </c>
      <c r="U3666" s="1" t="s">
        <v>30</v>
      </c>
      <c r="V3666" s="3">
        <v>1</v>
      </c>
    </row>
    <row r="3667" spans="1:22" x14ac:dyDescent="0.3">
      <c r="A3667" s="2" t="s">
        <v>7785</v>
      </c>
      <c r="B3667" s="10">
        <v>45142</v>
      </c>
      <c r="C3667" s="22">
        <v>45142</v>
      </c>
      <c r="D3667" s="1" t="s">
        <v>7786</v>
      </c>
      <c r="E3667" s="1" t="s">
        <v>1159</v>
      </c>
      <c r="F3667" s="1">
        <v>31</v>
      </c>
      <c r="G3667" s="1" t="s">
        <v>68</v>
      </c>
      <c r="H3667" s="1" t="s">
        <v>35</v>
      </c>
      <c r="I3667" s="1" t="s">
        <v>36</v>
      </c>
      <c r="J3667" s="1" t="s">
        <v>62</v>
      </c>
      <c r="K3667" s="1" t="s">
        <v>107</v>
      </c>
      <c r="L3667" s="1">
        <v>6</v>
      </c>
      <c r="M3667" s="13">
        <v>210.75</v>
      </c>
      <c r="N3667" s="15">
        <v>0.19</v>
      </c>
      <c r="O3667" s="13">
        <v>1487.4</v>
      </c>
      <c r="P3667" s="13">
        <v>408.37</v>
      </c>
      <c r="Q3667" s="13">
        <v>45.71</v>
      </c>
      <c r="R3667" s="1" t="s">
        <v>64</v>
      </c>
      <c r="S3667" s="1">
        <v>4</v>
      </c>
      <c r="T3667" s="1" t="b">
        <v>0</v>
      </c>
      <c r="U3667" s="1" t="s">
        <v>39</v>
      </c>
      <c r="V3667" s="3">
        <v>2</v>
      </c>
    </row>
    <row r="3668" spans="1:22" x14ac:dyDescent="0.3">
      <c r="A3668" s="2" t="s">
        <v>7787</v>
      </c>
      <c r="B3668" s="10">
        <v>44839</v>
      </c>
      <c r="C3668" s="22">
        <v>44839</v>
      </c>
      <c r="D3668" s="1" t="s">
        <v>7788</v>
      </c>
      <c r="E3668" s="1" t="s">
        <v>1039</v>
      </c>
      <c r="F3668" s="1">
        <v>24</v>
      </c>
      <c r="G3668" s="1" t="s">
        <v>24</v>
      </c>
      <c r="H3668" s="1" t="s">
        <v>25</v>
      </c>
      <c r="I3668" s="1" t="s">
        <v>26</v>
      </c>
      <c r="J3668" s="1" t="s">
        <v>146</v>
      </c>
      <c r="K3668" s="1" t="s">
        <v>484</v>
      </c>
      <c r="L3668" s="1">
        <v>2</v>
      </c>
      <c r="M3668" s="13">
        <v>14531.26</v>
      </c>
      <c r="N3668" s="15">
        <v>0.22</v>
      </c>
      <c r="O3668" s="13">
        <v>19868.59</v>
      </c>
      <c r="P3668" s="13">
        <v>2388.6</v>
      </c>
      <c r="Q3668" s="13">
        <v>58.71</v>
      </c>
      <c r="R3668" s="1" t="s">
        <v>78</v>
      </c>
      <c r="S3668" s="1">
        <v>5</v>
      </c>
      <c r="T3668" s="1" t="b">
        <v>0</v>
      </c>
      <c r="U3668" s="1" t="s">
        <v>39</v>
      </c>
      <c r="V3668" s="3">
        <v>1</v>
      </c>
    </row>
    <row r="3669" spans="1:22" x14ac:dyDescent="0.3">
      <c r="A3669" s="2" t="s">
        <v>7789</v>
      </c>
      <c r="B3669" s="10">
        <v>45207</v>
      </c>
      <c r="C3669" s="22">
        <v>45207</v>
      </c>
      <c r="D3669" s="1" t="s">
        <v>7790</v>
      </c>
      <c r="E3669" s="1" t="s">
        <v>496</v>
      </c>
      <c r="F3669" s="1">
        <v>60</v>
      </c>
      <c r="G3669" s="1" t="s">
        <v>24</v>
      </c>
      <c r="H3669" s="1" t="s">
        <v>74</v>
      </c>
      <c r="I3669" s="1" t="s">
        <v>192</v>
      </c>
      <c r="J3669" s="1" t="s">
        <v>62</v>
      </c>
      <c r="K3669" s="1" t="s">
        <v>570</v>
      </c>
      <c r="L3669" s="1">
        <v>5</v>
      </c>
      <c r="M3669" s="13">
        <v>652.44000000000005</v>
      </c>
      <c r="N3669" s="15">
        <v>0.01</v>
      </c>
      <c r="O3669" s="13">
        <v>2663.55</v>
      </c>
      <c r="P3669" s="13">
        <v>1220.8499999999999</v>
      </c>
      <c r="Q3669" s="13">
        <v>35.83</v>
      </c>
      <c r="R3669" s="1" t="s">
        <v>29</v>
      </c>
      <c r="S3669" s="1">
        <v>1</v>
      </c>
      <c r="T3669" s="1" t="b">
        <v>0</v>
      </c>
      <c r="U3669" s="1" t="s">
        <v>39</v>
      </c>
      <c r="V3669" s="3">
        <v>9</v>
      </c>
    </row>
    <row r="3670" spans="1:22" x14ac:dyDescent="0.3">
      <c r="A3670" s="2" t="s">
        <v>7791</v>
      </c>
      <c r="B3670" s="10">
        <v>44974</v>
      </c>
      <c r="C3670" s="22">
        <v>44974</v>
      </c>
      <c r="D3670" s="1" t="s">
        <v>7792</v>
      </c>
      <c r="E3670" s="1" t="s">
        <v>189</v>
      </c>
      <c r="F3670" s="1">
        <v>23</v>
      </c>
      <c r="G3670" s="1" t="s">
        <v>34</v>
      </c>
      <c r="H3670" s="1" t="s">
        <v>74</v>
      </c>
      <c r="I3670" s="1" t="s">
        <v>75</v>
      </c>
      <c r="J3670" s="1" t="s">
        <v>37</v>
      </c>
      <c r="K3670" s="1" t="s">
        <v>38</v>
      </c>
      <c r="L3670" s="1">
        <v>4</v>
      </c>
      <c r="M3670" s="13">
        <v>800.18</v>
      </c>
      <c r="N3670" s="15">
        <v>0.19</v>
      </c>
      <c r="O3670" s="13">
        <v>2969.81</v>
      </c>
      <c r="P3670" s="13">
        <v>1136.8399999999999</v>
      </c>
      <c r="Q3670" s="13">
        <v>57.24</v>
      </c>
      <c r="R3670" s="1" t="s">
        <v>57</v>
      </c>
      <c r="S3670" s="1">
        <v>5</v>
      </c>
      <c r="T3670" s="1" t="b">
        <v>0</v>
      </c>
      <c r="U3670" s="1" t="s">
        <v>58</v>
      </c>
      <c r="V3670" s="3">
        <v>10</v>
      </c>
    </row>
    <row r="3671" spans="1:22" x14ac:dyDescent="0.3">
      <c r="A3671" s="2" t="s">
        <v>7793</v>
      </c>
      <c r="B3671" s="10">
        <v>44190</v>
      </c>
      <c r="C3671" s="22">
        <v>44190</v>
      </c>
      <c r="D3671" s="1" t="s">
        <v>7794</v>
      </c>
      <c r="E3671" s="1" t="s">
        <v>616</v>
      </c>
      <c r="F3671" s="1">
        <v>47</v>
      </c>
      <c r="G3671" s="1" t="s">
        <v>68</v>
      </c>
      <c r="H3671" s="1" t="s">
        <v>25</v>
      </c>
      <c r="I3671" s="1" t="s">
        <v>26</v>
      </c>
      <c r="J3671" s="1" t="s">
        <v>44</v>
      </c>
      <c r="K3671" s="1" t="s">
        <v>50</v>
      </c>
      <c r="L3671" s="1">
        <v>5</v>
      </c>
      <c r="M3671" s="13">
        <v>4377.66</v>
      </c>
      <c r="N3671" s="15">
        <v>0.24</v>
      </c>
      <c r="O3671" s="13">
        <v>12728.48</v>
      </c>
      <c r="P3671" s="13">
        <v>2557.64</v>
      </c>
      <c r="Q3671" s="13">
        <v>49.31</v>
      </c>
      <c r="R3671" s="1" t="s">
        <v>29</v>
      </c>
      <c r="S3671" s="1">
        <v>5</v>
      </c>
      <c r="T3671" s="1" t="b">
        <v>0</v>
      </c>
      <c r="U3671" s="1" t="s">
        <v>39</v>
      </c>
      <c r="V3671" s="3">
        <v>7</v>
      </c>
    </row>
    <row r="3672" spans="1:22" x14ac:dyDescent="0.3">
      <c r="A3672" s="2" t="s">
        <v>7795</v>
      </c>
      <c r="B3672" s="10">
        <v>45392</v>
      </c>
      <c r="C3672" s="22">
        <v>45392</v>
      </c>
      <c r="D3672" s="1" t="s">
        <v>7796</v>
      </c>
      <c r="E3672" s="1" t="s">
        <v>440</v>
      </c>
      <c r="F3672" s="1">
        <v>23</v>
      </c>
      <c r="G3672" s="1" t="s">
        <v>68</v>
      </c>
      <c r="H3672" s="1" t="s">
        <v>111</v>
      </c>
      <c r="I3672" s="1" t="s">
        <v>121</v>
      </c>
      <c r="J3672" s="1" t="s">
        <v>76</v>
      </c>
      <c r="K3672" s="1" t="s">
        <v>89</v>
      </c>
      <c r="L3672" s="1">
        <v>10</v>
      </c>
      <c r="M3672" s="13">
        <v>2503.17</v>
      </c>
      <c r="N3672" s="15">
        <v>0.04</v>
      </c>
      <c r="O3672" s="13">
        <v>37794.25</v>
      </c>
      <c r="P3672" s="13">
        <v>12461.38</v>
      </c>
      <c r="Q3672" s="13">
        <v>67.3</v>
      </c>
      <c r="R3672" s="1" t="s">
        <v>78</v>
      </c>
      <c r="S3672" s="1">
        <v>4</v>
      </c>
      <c r="T3672" s="1" t="b">
        <v>0</v>
      </c>
      <c r="U3672" s="1" t="s">
        <v>39</v>
      </c>
      <c r="V3672" s="3">
        <v>3</v>
      </c>
    </row>
    <row r="3673" spans="1:22" x14ac:dyDescent="0.3">
      <c r="A3673" s="2" t="s">
        <v>7797</v>
      </c>
      <c r="B3673" s="10">
        <v>45257</v>
      </c>
      <c r="C3673" s="22">
        <v>45257</v>
      </c>
      <c r="D3673" s="1" t="s">
        <v>7798</v>
      </c>
      <c r="E3673" s="1" t="s">
        <v>3402</v>
      </c>
      <c r="F3673" s="1">
        <v>45</v>
      </c>
      <c r="G3673" s="1" t="s">
        <v>24</v>
      </c>
      <c r="H3673" s="1" t="s">
        <v>35</v>
      </c>
      <c r="I3673" s="1" t="s">
        <v>36</v>
      </c>
      <c r="J3673" s="1" t="s">
        <v>76</v>
      </c>
      <c r="K3673" s="1" t="s">
        <v>122</v>
      </c>
      <c r="L3673" s="1">
        <v>10</v>
      </c>
      <c r="M3673" s="13">
        <v>1349.67</v>
      </c>
      <c r="N3673" s="15">
        <v>0.11</v>
      </c>
      <c r="O3673" s="13">
        <v>12320.37</v>
      </c>
      <c r="P3673" s="13">
        <v>4637.25</v>
      </c>
      <c r="Q3673" s="13">
        <v>55.35</v>
      </c>
      <c r="R3673" s="1" t="s">
        <v>29</v>
      </c>
      <c r="S3673" s="1">
        <v>3</v>
      </c>
      <c r="T3673" s="1" t="b">
        <v>0</v>
      </c>
      <c r="U3673" s="1" t="s">
        <v>39</v>
      </c>
      <c r="V3673" s="3">
        <v>10</v>
      </c>
    </row>
    <row r="3674" spans="1:22" x14ac:dyDescent="0.3">
      <c r="A3674" s="2" t="s">
        <v>7799</v>
      </c>
      <c r="B3674" s="10">
        <v>44048</v>
      </c>
      <c r="C3674" s="22">
        <v>44048</v>
      </c>
      <c r="D3674" s="1" t="s">
        <v>7800</v>
      </c>
      <c r="E3674" s="1" t="s">
        <v>958</v>
      </c>
      <c r="F3674" s="1">
        <v>22</v>
      </c>
      <c r="G3674" s="1" t="s">
        <v>34</v>
      </c>
      <c r="H3674" s="1" t="s">
        <v>25</v>
      </c>
      <c r="I3674" s="1" t="s">
        <v>170</v>
      </c>
      <c r="J3674" s="1" t="s">
        <v>44</v>
      </c>
      <c r="K3674" s="1" t="s">
        <v>93</v>
      </c>
      <c r="L3674" s="1">
        <v>9</v>
      </c>
      <c r="M3674" s="13">
        <v>9703.4699999999993</v>
      </c>
      <c r="N3674" s="15">
        <v>0.12</v>
      </c>
      <c r="O3674" s="13">
        <v>91868.53</v>
      </c>
      <c r="P3674" s="13">
        <v>20614.96</v>
      </c>
      <c r="Q3674" s="13">
        <v>74.73</v>
      </c>
      <c r="R3674" s="1" t="s">
        <v>70</v>
      </c>
      <c r="S3674" s="1">
        <v>1</v>
      </c>
      <c r="T3674" s="1" t="b">
        <v>0</v>
      </c>
      <c r="U3674" s="1" t="s">
        <v>39</v>
      </c>
      <c r="V3674" s="3">
        <v>7</v>
      </c>
    </row>
    <row r="3675" spans="1:22" x14ac:dyDescent="0.3">
      <c r="A3675" s="2" t="s">
        <v>7801</v>
      </c>
      <c r="B3675" s="10">
        <v>44654</v>
      </c>
      <c r="C3675" s="22">
        <v>44654</v>
      </c>
      <c r="D3675" s="1" t="s">
        <v>7802</v>
      </c>
      <c r="E3675" s="1" t="s">
        <v>265</v>
      </c>
      <c r="F3675" s="1">
        <v>29</v>
      </c>
      <c r="G3675" s="1" t="s">
        <v>68</v>
      </c>
      <c r="H3675" s="1" t="s">
        <v>35</v>
      </c>
      <c r="I3675" s="1" t="s">
        <v>106</v>
      </c>
      <c r="J3675" s="1" t="s">
        <v>127</v>
      </c>
      <c r="K3675" s="1" t="s">
        <v>171</v>
      </c>
      <c r="L3675" s="1">
        <v>7</v>
      </c>
      <c r="M3675" s="13">
        <v>64794.43</v>
      </c>
      <c r="N3675" s="15">
        <v>0.05</v>
      </c>
      <c r="O3675" s="13">
        <v>532883.15</v>
      </c>
      <c r="P3675" s="13">
        <v>75066.289999999994</v>
      </c>
      <c r="Q3675" s="13">
        <v>73.84</v>
      </c>
      <c r="R3675" s="1" t="s">
        <v>29</v>
      </c>
      <c r="S3675" s="1">
        <v>2</v>
      </c>
      <c r="T3675" s="1" t="b">
        <v>1</v>
      </c>
      <c r="U3675" s="1" t="s">
        <v>30</v>
      </c>
      <c r="V3675" s="3">
        <v>5</v>
      </c>
    </row>
    <row r="3676" spans="1:22" x14ac:dyDescent="0.3">
      <c r="A3676" s="2" t="s">
        <v>7803</v>
      </c>
      <c r="B3676" s="10">
        <v>44516</v>
      </c>
      <c r="C3676" s="22">
        <v>44516</v>
      </c>
      <c r="D3676" s="1" t="s">
        <v>7804</v>
      </c>
      <c r="E3676" s="1" t="s">
        <v>2137</v>
      </c>
      <c r="F3676" s="1">
        <v>51</v>
      </c>
      <c r="G3676" s="1" t="s">
        <v>34</v>
      </c>
      <c r="H3676" s="1" t="s">
        <v>25</v>
      </c>
      <c r="I3676" s="1" t="s">
        <v>69</v>
      </c>
      <c r="J3676" s="1" t="s">
        <v>127</v>
      </c>
      <c r="K3676" s="1" t="s">
        <v>308</v>
      </c>
      <c r="L3676" s="1">
        <v>6</v>
      </c>
      <c r="M3676" s="13">
        <v>17253.71</v>
      </c>
      <c r="N3676" s="15">
        <v>0.18</v>
      </c>
      <c r="O3676" s="13">
        <v>63164.34</v>
      </c>
      <c r="P3676" s="13">
        <v>9312.1</v>
      </c>
      <c r="Q3676" s="13">
        <v>57.28</v>
      </c>
      <c r="R3676" s="1" t="s">
        <v>64</v>
      </c>
      <c r="S3676" s="1">
        <v>3</v>
      </c>
      <c r="T3676" s="1" t="b">
        <v>0</v>
      </c>
      <c r="U3676" s="1" t="s">
        <v>39</v>
      </c>
      <c r="V3676" s="3">
        <v>1</v>
      </c>
    </row>
    <row r="3677" spans="1:22" x14ac:dyDescent="0.3">
      <c r="A3677" s="2" t="s">
        <v>7805</v>
      </c>
      <c r="B3677" s="10">
        <v>43926</v>
      </c>
      <c r="C3677" s="22">
        <v>43926</v>
      </c>
      <c r="D3677" s="1" t="s">
        <v>7806</v>
      </c>
      <c r="E3677" s="1" t="s">
        <v>505</v>
      </c>
      <c r="F3677" s="1">
        <v>19</v>
      </c>
      <c r="G3677" s="1" t="s">
        <v>34</v>
      </c>
      <c r="H3677" s="1" t="s">
        <v>82</v>
      </c>
      <c r="I3677" s="1" t="s">
        <v>83</v>
      </c>
      <c r="J3677" s="1" t="s">
        <v>146</v>
      </c>
      <c r="K3677" s="1" t="s">
        <v>178</v>
      </c>
      <c r="L3677" s="1">
        <v>3</v>
      </c>
      <c r="M3677" s="13">
        <v>10399.299999999999</v>
      </c>
      <c r="N3677" s="15">
        <v>0.02</v>
      </c>
      <c r="O3677" s="13">
        <v>32336.400000000001</v>
      </c>
      <c r="P3677" s="13">
        <v>7236.11</v>
      </c>
      <c r="Q3677" s="13">
        <v>59.2</v>
      </c>
      <c r="R3677" s="1" t="s">
        <v>29</v>
      </c>
      <c r="S3677" s="1">
        <v>5</v>
      </c>
      <c r="T3677" s="1" t="b">
        <v>0</v>
      </c>
      <c r="U3677" s="1" t="s">
        <v>39</v>
      </c>
      <c r="V3677" s="3">
        <v>2</v>
      </c>
    </row>
    <row r="3678" spans="1:22" x14ac:dyDescent="0.3">
      <c r="A3678" s="2" t="s">
        <v>7807</v>
      </c>
      <c r="B3678" s="10">
        <v>44007</v>
      </c>
      <c r="C3678" s="22">
        <v>44007</v>
      </c>
      <c r="D3678" s="1" t="s">
        <v>7808</v>
      </c>
      <c r="E3678" s="1" t="s">
        <v>100</v>
      </c>
      <c r="F3678" s="1">
        <v>58</v>
      </c>
      <c r="G3678" s="1" t="s">
        <v>68</v>
      </c>
      <c r="H3678" s="1" t="s">
        <v>74</v>
      </c>
      <c r="I3678" s="1" t="s">
        <v>101</v>
      </c>
      <c r="J3678" s="1" t="s">
        <v>27</v>
      </c>
      <c r="K3678" s="1" t="s">
        <v>56</v>
      </c>
      <c r="L3678" s="1">
        <v>2</v>
      </c>
      <c r="M3678" s="13">
        <v>68.209999999999994</v>
      </c>
      <c r="N3678" s="15">
        <v>0.21</v>
      </c>
      <c r="O3678" s="13">
        <v>144.62</v>
      </c>
      <c r="P3678" s="13">
        <v>7.79</v>
      </c>
      <c r="Q3678" s="13">
        <v>51.11</v>
      </c>
      <c r="R3678" s="1" t="s">
        <v>64</v>
      </c>
      <c r="S3678" s="1">
        <v>2</v>
      </c>
      <c r="T3678" s="1" t="b">
        <v>0</v>
      </c>
      <c r="U3678" s="1" t="s">
        <v>39</v>
      </c>
      <c r="V3678" s="3">
        <v>6</v>
      </c>
    </row>
    <row r="3679" spans="1:22" x14ac:dyDescent="0.3">
      <c r="A3679" s="2" t="s">
        <v>7809</v>
      </c>
      <c r="B3679" s="10">
        <v>45241</v>
      </c>
      <c r="C3679" s="22">
        <v>45241</v>
      </c>
      <c r="D3679" s="1" t="s">
        <v>7810</v>
      </c>
      <c r="E3679" s="1" t="s">
        <v>247</v>
      </c>
      <c r="F3679" s="1">
        <v>34</v>
      </c>
      <c r="G3679" s="1" t="s">
        <v>24</v>
      </c>
      <c r="H3679" s="1" t="s">
        <v>82</v>
      </c>
      <c r="I3679" s="1" t="s">
        <v>83</v>
      </c>
      <c r="J3679" s="1" t="s">
        <v>146</v>
      </c>
      <c r="K3679" s="1" t="s">
        <v>217</v>
      </c>
      <c r="L3679" s="1">
        <v>8</v>
      </c>
      <c r="M3679" s="13">
        <v>517.73</v>
      </c>
      <c r="N3679" s="15">
        <v>0.16</v>
      </c>
      <c r="O3679" s="13">
        <v>3181.45</v>
      </c>
      <c r="P3679" s="13">
        <v>738.99</v>
      </c>
      <c r="Q3679" s="13">
        <v>109.47</v>
      </c>
      <c r="R3679" s="1" t="s">
        <v>57</v>
      </c>
      <c r="S3679" s="1">
        <v>3</v>
      </c>
      <c r="T3679" s="1" t="b">
        <v>0</v>
      </c>
      <c r="U3679" s="1" t="s">
        <v>39</v>
      </c>
      <c r="V3679" s="3">
        <v>7</v>
      </c>
    </row>
    <row r="3680" spans="1:22" x14ac:dyDescent="0.3">
      <c r="A3680" s="2" t="s">
        <v>7811</v>
      </c>
      <c r="B3680" s="10">
        <v>44443</v>
      </c>
      <c r="C3680" s="22">
        <v>44443</v>
      </c>
      <c r="D3680" s="1" t="s">
        <v>7812</v>
      </c>
      <c r="E3680" s="1" t="s">
        <v>206</v>
      </c>
      <c r="F3680" s="1">
        <v>30</v>
      </c>
      <c r="G3680" s="1" t="s">
        <v>68</v>
      </c>
      <c r="H3680" s="1" t="s">
        <v>74</v>
      </c>
      <c r="I3680" s="1" t="s">
        <v>101</v>
      </c>
      <c r="J3680" s="1" t="s">
        <v>37</v>
      </c>
      <c r="K3680" s="1" t="s">
        <v>231</v>
      </c>
      <c r="L3680" s="1">
        <v>0</v>
      </c>
      <c r="M3680" s="13">
        <v>1406.05</v>
      </c>
      <c r="N3680" s="15">
        <v>0.34</v>
      </c>
      <c r="O3680" s="13">
        <v>1053</v>
      </c>
      <c r="P3680" s="13">
        <v>521.92999999999995</v>
      </c>
      <c r="Q3680" s="13">
        <v>51.51</v>
      </c>
      <c r="R3680" s="1" t="s">
        <v>51</v>
      </c>
      <c r="S3680" s="1">
        <v>2</v>
      </c>
      <c r="T3680" s="1" t="b">
        <v>1</v>
      </c>
      <c r="U3680" s="1" t="s">
        <v>30</v>
      </c>
      <c r="V3680" s="3">
        <v>7</v>
      </c>
    </row>
    <row r="3681" spans="1:22" x14ac:dyDescent="0.3">
      <c r="A3681" s="2" t="s">
        <v>7813</v>
      </c>
      <c r="B3681" s="10">
        <v>45097</v>
      </c>
      <c r="C3681" s="22">
        <v>45097</v>
      </c>
      <c r="D3681" s="1" t="s">
        <v>7814</v>
      </c>
      <c r="E3681" s="1" t="s">
        <v>1312</v>
      </c>
      <c r="F3681" s="1">
        <v>31</v>
      </c>
      <c r="G3681" s="1" t="s">
        <v>68</v>
      </c>
      <c r="H3681" s="1" t="s">
        <v>82</v>
      </c>
      <c r="I3681" s="1" t="s">
        <v>83</v>
      </c>
      <c r="J3681" s="1" t="s">
        <v>37</v>
      </c>
      <c r="K3681" s="1" t="s">
        <v>231</v>
      </c>
      <c r="L3681" s="1">
        <v>8</v>
      </c>
      <c r="M3681" s="13">
        <v>203.71</v>
      </c>
      <c r="N3681" s="15">
        <v>0.16</v>
      </c>
      <c r="O3681" s="13">
        <v>2533.79</v>
      </c>
      <c r="P3681" s="13">
        <v>1078.45</v>
      </c>
      <c r="Q3681" s="13">
        <v>40.28</v>
      </c>
      <c r="R3681" s="1" t="s">
        <v>29</v>
      </c>
      <c r="S3681" s="1">
        <v>3</v>
      </c>
      <c r="T3681" s="1" t="b">
        <v>0</v>
      </c>
      <c r="U3681" s="1" t="s">
        <v>39</v>
      </c>
      <c r="V3681" s="3">
        <v>9</v>
      </c>
    </row>
    <row r="3682" spans="1:22" x14ac:dyDescent="0.3">
      <c r="A3682" s="2" t="s">
        <v>7815</v>
      </c>
      <c r="B3682" s="10">
        <v>44248</v>
      </c>
      <c r="C3682" s="22">
        <v>44248</v>
      </c>
      <c r="D3682" s="1" t="s">
        <v>7816</v>
      </c>
      <c r="E3682" s="1" t="s">
        <v>224</v>
      </c>
      <c r="F3682" s="1">
        <v>46</v>
      </c>
      <c r="G3682" s="1" t="s">
        <v>24</v>
      </c>
      <c r="H3682" s="1" t="s">
        <v>25</v>
      </c>
      <c r="I3682" s="1" t="s">
        <v>26</v>
      </c>
      <c r="J3682" s="1" t="s">
        <v>62</v>
      </c>
      <c r="K3682" s="1" t="s">
        <v>151</v>
      </c>
      <c r="L3682" s="1">
        <v>5</v>
      </c>
      <c r="M3682" s="13">
        <v>1150.6199999999999</v>
      </c>
      <c r="N3682" s="15">
        <v>0.16</v>
      </c>
      <c r="O3682" s="13">
        <v>1012.64</v>
      </c>
      <c r="P3682" s="13">
        <v>376.47</v>
      </c>
      <c r="Q3682" s="13">
        <v>51.2</v>
      </c>
      <c r="R3682" s="1" t="s">
        <v>64</v>
      </c>
      <c r="S3682" s="1">
        <v>5</v>
      </c>
      <c r="T3682" s="1" t="b">
        <v>0</v>
      </c>
      <c r="U3682" s="1" t="s">
        <v>39</v>
      </c>
      <c r="V3682" s="3">
        <v>6</v>
      </c>
    </row>
    <row r="3683" spans="1:22" x14ac:dyDescent="0.3">
      <c r="A3683" s="2" t="s">
        <v>7817</v>
      </c>
      <c r="B3683" s="10">
        <v>45632</v>
      </c>
      <c r="C3683" s="22">
        <v>45632</v>
      </c>
      <c r="D3683" s="1" t="s">
        <v>7818</v>
      </c>
      <c r="E3683" s="1" t="s">
        <v>496</v>
      </c>
      <c r="F3683" s="1">
        <v>18</v>
      </c>
      <c r="G3683" s="1" t="s">
        <v>34</v>
      </c>
      <c r="H3683" s="1" t="s">
        <v>111</v>
      </c>
      <c r="I3683" s="1" t="s">
        <v>330</v>
      </c>
      <c r="J3683" s="1" t="s">
        <v>37</v>
      </c>
      <c r="K3683" s="1" t="s">
        <v>231</v>
      </c>
      <c r="L3683" s="1">
        <v>2</v>
      </c>
      <c r="M3683" s="13">
        <v>1657.33</v>
      </c>
      <c r="N3683" s="15">
        <v>0.02</v>
      </c>
      <c r="O3683" s="13">
        <v>3020.21</v>
      </c>
      <c r="P3683" s="13">
        <v>1521.99</v>
      </c>
      <c r="Q3683" s="13">
        <v>48.9</v>
      </c>
      <c r="R3683" s="1" t="s">
        <v>78</v>
      </c>
      <c r="S3683" s="1">
        <v>5</v>
      </c>
      <c r="T3683" s="1" t="b">
        <v>0</v>
      </c>
      <c r="U3683" s="1" t="s">
        <v>137</v>
      </c>
      <c r="V3683" s="3">
        <v>4</v>
      </c>
    </row>
    <row r="3684" spans="1:22" x14ac:dyDescent="0.3">
      <c r="A3684" s="2" t="s">
        <v>7819</v>
      </c>
      <c r="B3684" s="10">
        <v>44279</v>
      </c>
      <c r="C3684" s="22">
        <v>44279</v>
      </c>
      <c r="D3684" s="1" t="s">
        <v>7820</v>
      </c>
      <c r="E3684" s="1" t="s">
        <v>588</v>
      </c>
      <c r="F3684" s="1">
        <v>34</v>
      </c>
      <c r="G3684" s="1" t="s">
        <v>24</v>
      </c>
      <c r="H3684" s="1" t="s">
        <v>35</v>
      </c>
      <c r="I3684" s="1" t="s">
        <v>106</v>
      </c>
      <c r="J3684" s="1" t="s">
        <v>27</v>
      </c>
      <c r="K3684" s="1" t="s">
        <v>430</v>
      </c>
      <c r="L3684" s="1">
        <v>7</v>
      </c>
      <c r="M3684" s="13">
        <v>150.71</v>
      </c>
      <c r="N3684" s="15">
        <v>0.21</v>
      </c>
      <c r="O3684" s="13">
        <v>896.68</v>
      </c>
      <c r="P3684" s="13">
        <v>76.540000000000006</v>
      </c>
      <c r="Q3684" s="13">
        <v>48</v>
      </c>
      <c r="R3684" s="1" t="s">
        <v>78</v>
      </c>
      <c r="S3684" s="1">
        <v>4</v>
      </c>
      <c r="T3684" s="1" t="b">
        <v>0</v>
      </c>
      <c r="U3684" s="1" t="s">
        <v>39</v>
      </c>
      <c r="V3684" s="3">
        <v>4</v>
      </c>
    </row>
    <row r="3685" spans="1:22" x14ac:dyDescent="0.3">
      <c r="A3685" s="2" t="s">
        <v>7821</v>
      </c>
      <c r="B3685" s="10">
        <v>45541</v>
      </c>
      <c r="C3685" s="22">
        <v>45541</v>
      </c>
      <c r="D3685" s="1" t="s">
        <v>7822</v>
      </c>
      <c r="E3685" s="1" t="s">
        <v>333</v>
      </c>
      <c r="F3685" s="1">
        <v>18</v>
      </c>
      <c r="G3685" s="1" t="s">
        <v>24</v>
      </c>
      <c r="H3685" s="1" t="s">
        <v>74</v>
      </c>
      <c r="I3685" s="1" t="s">
        <v>192</v>
      </c>
      <c r="J3685" s="1" t="s">
        <v>27</v>
      </c>
      <c r="K3685" s="1" t="s">
        <v>450</v>
      </c>
      <c r="L3685" s="1">
        <v>8</v>
      </c>
      <c r="M3685" s="13">
        <v>144.94999999999999</v>
      </c>
      <c r="N3685" s="15">
        <v>0.02</v>
      </c>
      <c r="O3685" s="13">
        <v>1586.94</v>
      </c>
      <c r="P3685" s="13">
        <v>135.22999999999999</v>
      </c>
      <c r="Q3685" s="13">
        <v>33.74</v>
      </c>
      <c r="R3685" s="1" t="s">
        <v>57</v>
      </c>
      <c r="S3685" s="1">
        <v>5</v>
      </c>
      <c r="T3685" s="1" t="b">
        <v>0</v>
      </c>
      <c r="U3685" s="1" t="s">
        <v>39</v>
      </c>
      <c r="V3685" s="3">
        <v>2</v>
      </c>
    </row>
    <row r="3686" spans="1:22" x14ac:dyDescent="0.3">
      <c r="A3686" s="2" t="s">
        <v>7823</v>
      </c>
      <c r="B3686" s="10">
        <v>44431</v>
      </c>
      <c r="C3686" s="22">
        <v>44431</v>
      </c>
      <c r="D3686" s="1" t="s">
        <v>7824</v>
      </c>
      <c r="E3686" s="1" t="s">
        <v>286</v>
      </c>
      <c r="F3686" s="1">
        <v>6</v>
      </c>
      <c r="G3686" s="1" t="s">
        <v>24</v>
      </c>
      <c r="H3686" s="1" t="s">
        <v>25</v>
      </c>
      <c r="I3686" s="1" t="s">
        <v>170</v>
      </c>
      <c r="J3686" s="1" t="s">
        <v>44</v>
      </c>
      <c r="K3686" s="1" t="s">
        <v>93</v>
      </c>
      <c r="L3686" s="1">
        <v>6</v>
      </c>
      <c r="M3686" s="13">
        <v>14866.07</v>
      </c>
      <c r="N3686" s="15">
        <v>0.15</v>
      </c>
      <c r="O3686" s="13">
        <v>93295.26</v>
      </c>
      <c r="P3686" s="13">
        <v>34155.919999999998</v>
      </c>
      <c r="Q3686" s="13">
        <v>69.819999999999993</v>
      </c>
      <c r="R3686" s="1" t="s">
        <v>78</v>
      </c>
      <c r="S3686" s="1">
        <v>2</v>
      </c>
      <c r="T3686" s="1" t="b">
        <v>0</v>
      </c>
      <c r="U3686" s="1" t="s">
        <v>39</v>
      </c>
      <c r="V3686" s="3">
        <v>9</v>
      </c>
    </row>
    <row r="3687" spans="1:22" x14ac:dyDescent="0.3">
      <c r="A3687" s="2" t="s">
        <v>7825</v>
      </c>
      <c r="B3687" s="10">
        <v>44678</v>
      </c>
      <c r="C3687" s="22">
        <v>44678</v>
      </c>
      <c r="D3687" s="1" t="s">
        <v>7826</v>
      </c>
      <c r="E3687" s="1" t="s">
        <v>1282</v>
      </c>
      <c r="F3687" s="1">
        <v>47</v>
      </c>
      <c r="G3687" s="1" t="s">
        <v>34</v>
      </c>
      <c r="H3687" s="1" t="s">
        <v>111</v>
      </c>
      <c r="I3687" s="1" t="s">
        <v>141</v>
      </c>
      <c r="J3687" s="1" t="s">
        <v>27</v>
      </c>
      <c r="K3687" s="1" t="s">
        <v>430</v>
      </c>
      <c r="L3687" s="1">
        <v>4</v>
      </c>
      <c r="M3687" s="13">
        <v>288.13</v>
      </c>
      <c r="N3687" s="15">
        <v>0.01</v>
      </c>
      <c r="O3687" s="13">
        <v>1536.04</v>
      </c>
      <c r="P3687" s="13">
        <v>122.61</v>
      </c>
      <c r="Q3687" s="13">
        <v>62.28</v>
      </c>
      <c r="R3687" s="1" t="s">
        <v>57</v>
      </c>
      <c r="S3687" s="1">
        <v>2</v>
      </c>
      <c r="T3687" s="1" t="b">
        <v>0</v>
      </c>
      <c r="U3687" s="1" t="s">
        <v>1411</v>
      </c>
      <c r="V3687" s="3">
        <v>7</v>
      </c>
    </row>
    <row r="3688" spans="1:22" x14ac:dyDescent="0.3">
      <c r="A3688" s="2" t="s">
        <v>7827</v>
      </c>
      <c r="B3688" s="10">
        <v>45219</v>
      </c>
      <c r="C3688" s="22">
        <v>45219</v>
      </c>
      <c r="D3688" s="1" t="s">
        <v>7828</v>
      </c>
      <c r="E3688" s="1" t="s">
        <v>311</v>
      </c>
      <c r="F3688" s="1">
        <v>43</v>
      </c>
      <c r="G3688" s="1" t="s">
        <v>68</v>
      </c>
      <c r="H3688" s="1" t="s">
        <v>82</v>
      </c>
      <c r="I3688" s="1" t="s">
        <v>244</v>
      </c>
      <c r="J3688" s="1" t="s">
        <v>37</v>
      </c>
      <c r="K3688" s="1" t="s">
        <v>182</v>
      </c>
      <c r="L3688" s="1">
        <v>3</v>
      </c>
      <c r="M3688" s="13">
        <v>1474.43</v>
      </c>
      <c r="N3688" s="15">
        <v>0.4</v>
      </c>
      <c r="O3688" s="13">
        <v>2579.4499999999998</v>
      </c>
      <c r="P3688" s="13">
        <v>1120.3599999999999</v>
      </c>
      <c r="Q3688" s="13">
        <v>85.55</v>
      </c>
      <c r="R3688" s="1" t="s">
        <v>78</v>
      </c>
      <c r="S3688" s="1">
        <v>1</v>
      </c>
      <c r="T3688" s="1" t="b">
        <v>0</v>
      </c>
      <c r="U3688" s="1" t="s">
        <v>39</v>
      </c>
      <c r="V3688" s="3">
        <v>3</v>
      </c>
    </row>
    <row r="3689" spans="1:22" x14ac:dyDescent="0.3">
      <c r="A3689" s="2" t="s">
        <v>7829</v>
      </c>
      <c r="B3689" s="10">
        <v>43968</v>
      </c>
      <c r="C3689" s="22">
        <v>43968</v>
      </c>
      <c r="D3689" s="1" t="s">
        <v>7830</v>
      </c>
      <c r="E3689" s="1" t="s">
        <v>1645</v>
      </c>
      <c r="F3689" s="1">
        <v>51</v>
      </c>
      <c r="G3689" s="1" t="s">
        <v>68</v>
      </c>
      <c r="H3689" s="1" t="s">
        <v>35</v>
      </c>
      <c r="I3689" s="1" t="s">
        <v>106</v>
      </c>
      <c r="J3689" s="1" t="s">
        <v>27</v>
      </c>
      <c r="K3689" s="1" t="s">
        <v>97</v>
      </c>
      <c r="L3689" s="1">
        <v>6</v>
      </c>
      <c r="M3689" s="13">
        <v>476.07</v>
      </c>
      <c r="N3689" s="15">
        <v>0.37</v>
      </c>
      <c r="O3689" s="13">
        <v>2456.4</v>
      </c>
      <c r="P3689" s="13">
        <v>258.13</v>
      </c>
      <c r="Q3689" s="13">
        <v>45</v>
      </c>
      <c r="R3689" s="1" t="s">
        <v>29</v>
      </c>
      <c r="S3689" s="1">
        <v>3</v>
      </c>
      <c r="T3689" s="1" t="b">
        <v>0</v>
      </c>
      <c r="U3689" s="1" t="s">
        <v>39</v>
      </c>
      <c r="V3689" s="3">
        <v>1</v>
      </c>
    </row>
    <row r="3690" spans="1:22" x14ac:dyDescent="0.3">
      <c r="A3690" s="2" t="s">
        <v>7831</v>
      </c>
      <c r="B3690" s="10">
        <v>45398</v>
      </c>
      <c r="C3690" s="22">
        <v>45398</v>
      </c>
      <c r="D3690" s="1" t="s">
        <v>7832</v>
      </c>
      <c r="E3690" s="1" t="s">
        <v>259</v>
      </c>
      <c r="F3690" s="1">
        <v>31</v>
      </c>
      <c r="G3690" s="1" t="s">
        <v>68</v>
      </c>
      <c r="H3690" s="1" t="s">
        <v>111</v>
      </c>
      <c r="I3690" s="1" t="s">
        <v>330</v>
      </c>
      <c r="J3690" s="1" t="s">
        <v>62</v>
      </c>
      <c r="K3690" s="1" t="s">
        <v>283</v>
      </c>
      <c r="L3690" s="1">
        <v>8</v>
      </c>
      <c r="M3690" s="13">
        <v>1069.54</v>
      </c>
      <c r="N3690" s="15">
        <v>0.23</v>
      </c>
      <c r="O3690" s="13">
        <v>10281.57</v>
      </c>
      <c r="P3690" s="13">
        <v>3761.19</v>
      </c>
      <c r="Q3690" s="13">
        <v>77.989999999999995</v>
      </c>
      <c r="R3690" s="1" t="s">
        <v>70</v>
      </c>
      <c r="S3690" s="1">
        <v>3</v>
      </c>
      <c r="T3690" s="1" t="b">
        <v>0</v>
      </c>
      <c r="U3690" s="1" t="s">
        <v>39</v>
      </c>
      <c r="V3690" s="3">
        <v>1</v>
      </c>
    </row>
    <row r="3691" spans="1:22" x14ac:dyDescent="0.3">
      <c r="A3691" s="2" t="s">
        <v>7833</v>
      </c>
      <c r="B3691" s="10">
        <v>45145</v>
      </c>
      <c r="C3691" s="22">
        <v>45145</v>
      </c>
      <c r="D3691" s="1" t="s">
        <v>7834</v>
      </c>
      <c r="E3691" s="1" t="s">
        <v>61</v>
      </c>
      <c r="F3691" s="1">
        <v>10</v>
      </c>
      <c r="G3691" s="1" t="s">
        <v>68</v>
      </c>
      <c r="H3691" s="1" t="s">
        <v>82</v>
      </c>
      <c r="I3691" s="1" t="s">
        <v>126</v>
      </c>
      <c r="J3691" s="1" t="s">
        <v>62</v>
      </c>
      <c r="K3691" s="1" t="s">
        <v>107</v>
      </c>
      <c r="L3691" s="1">
        <v>4</v>
      </c>
      <c r="M3691" s="13">
        <v>846.94</v>
      </c>
      <c r="N3691" s="15">
        <v>0.1</v>
      </c>
      <c r="O3691" s="13">
        <v>4126.13</v>
      </c>
      <c r="P3691" s="13">
        <v>1830.29</v>
      </c>
      <c r="Q3691" s="13">
        <v>103.8</v>
      </c>
      <c r="R3691" s="1" t="s">
        <v>70</v>
      </c>
      <c r="S3691" s="1">
        <v>3</v>
      </c>
      <c r="T3691" s="1" t="b">
        <v>0</v>
      </c>
      <c r="U3691" s="1" t="s">
        <v>39</v>
      </c>
      <c r="V3691" s="3">
        <v>10</v>
      </c>
    </row>
    <row r="3692" spans="1:22" x14ac:dyDescent="0.3">
      <c r="A3692" s="2" t="s">
        <v>7835</v>
      </c>
      <c r="B3692" s="10">
        <v>44939</v>
      </c>
      <c r="C3692" s="22">
        <v>44939</v>
      </c>
      <c r="D3692" s="1" t="s">
        <v>7836</v>
      </c>
      <c r="E3692" s="1" t="s">
        <v>2481</v>
      </c>
      <c r="F3692" s="1">
        <v>45</v>
      </c>
      <c r="G3692" s="1" t="s">
        <v>24</v>
      </c>
      <c r="H3692" s="1" t="s">
        <v>111</v>
      </c>
      <c r="I3692" s="1" t="s">
        <v>141</v>
      </c>
      <c r="J3692" s="1" t="s">
        <v>76</v>
      </c>
      <c r="K3692" s="1" t="s">
        <v>113</v>
      </c>
      <c r="L3692" s="1">
        <v>7</v>
      </c>
      <c r="M3692" s="13">
        <v>3456.76</v>
      </c>
      <c r="N3692" s="15">
        <v>0.34</v>
      </c>
      <c r="O3692" s="13">
        <v>15504.08</v>
      </c>
      <c r="P3692" s="13">
        <v>3634.35</v>
      </c>
      <c r="Q3692" s="13">
        <v>86.38</v>
      </c>
      <c r="R3692" s="1" t="s">
        <v>70</v>
      </c>
      <c r="S3692" s="1">
        <v>1</v>
      </c>
      <c r="T3692" s="1" t="b">
        <v>0</v>
      </c>
      <c r="U3692" s="1" t="s">
        <v>39</v>
      </c>
      <c r="V3692" s="3">
        <v>3</v>
      </c>
    </row>
    <row r="3693" spans="1:22" x14ac:dyDescent="0.3">
      <c r="A3693" s="2" t="s">
        <v>7837</v>
      </c>
      <c r="B3693" s="10">
        <v>45220</v>
      </c>
      <c r="C3693" s="22">
        <v>45220</v>
      </c>
      <c r="D3693" s="1" t="s">
        <v>7838</v>
      </c>
      <c r="E3693" s="1" t="s">
        <v>594</v>
      </c>
      <c r="F3693" s="1">
        <v>34</v>
      </c>
      <c r="G3693" s="1" t="s">
        <v>68</v>
      </c>
      <c r="H3693" s="1" t="s">
        <v>111</v>
      </c>
      <c r="I3693" s="1" t="s">
        <v>330</v>
      </c>
      <c r="J3693" s="1" t="s">
        <v>37</v>
      </c>
      <c r="K3693" s="1" t="s">
        <v>454</v>
      </c>
      <c r="L3693" s="1">
        <v>2</v>
      </c>
      <c r="M3693" s="13">
        <v>2318.9899999999998</v>
      </c>
      <c r="N3693" s="15">
        <v>0.34</v>
      </c>
      <c r="O3693" s="13">
        <v>3235.02</v>
      </c>
      <c r="P3693" s="13">
        <v>1825.36</v>
      </c>
      <c r="Q3693" s="13">
        <v>54.61</v>
      </c>
      <c r="R3693" s="1" t="s">
        <v>78</v>
      </c>
      <c r="S3693" s="1">
        <v>1</v>
      </c>
      <c r="T3693" s="1" t="b">
        <v>0</v>
      </c>
      <c r="U3693" s="1" t="s">
        <v>58</v>
      </c>
      <c r="V3693" s="3">
        <v>6</v>
      </c>
    </row>
    <row r="3694" spans="1:22" x14ac:dyDescent="0.3">
      <c r="A3694" s="2" t="s">
        <v>7839</v>
      </c>
      <c r="B3694" s="10">
        <v>44891</v>
      </c>
      <c r="C3694" s="22">
        <v>44891</v>
      </c>
      <c r="D3694" s="1" t="s">
        <v>7840</v>
      </c>
      <c r="E3694" s="1" t="s">
        <v>1672</v>
      </c>
      <c r="F3694" s="1">
        <v>58</v>
      </c>
      <c r="G3694" s="1" t="s">
        <v>24</v>
      </c>
      <c r="H3694" s="1" t="s">
        <v>82</v>
      </c>
      <c r="I3694" s="1" t="s">
        <v>83</v>
      </c>
      <c r="J3694" s="1" t="s">
        <v>27</v>
      </c>
      <c r="K3694" s="1" t="s">
        <v>450</v>
      </c>
      <c r="L3694" s="1">
        <v>6</v>
      </c>
      <c r="M3694" s="13">
        <v>487.77</v>
      </c>
      <c r="N3694" s="15">
        <v>0.31</v>
      </c>
      <c r="O3694" s="13">
        <v>1675.82</v>
      </c>
      <c r="P3694" s="13">
        <v>120.68</v>
      </c>
      <c r="Q3694" s="13">
        <v>82.58</v>
      </c>
      <c r="R3694" s="1" t="s">
        <v>70</v>
      </c>
      <c r="S3694" s="1">
        <v>5</v>
      </c>
      <c r="T3694" s="1" t="b">
        <v>0</v>
      </c>
      <c r="U3694" s="1" t="s">
        <v>39</v>
      </c>
      <c r="V3694" s="3">
        <v>6</v>
      </c>
    </row>
    <row r="3695" spans="1:22" x14ac:dyDescent="0.3">
      <c r="A3695" s="2" t="s">
        <v>7841</v>
      </c>
      <c r="B3695" s="10">
        <v>45329</v>
      </c>
      <c r="C3695" s="22">
        <v>45329</v>
      </c>
      <c r="D3695" s="1" t="s">
        <v>7842</v>
      </c>
      <c r="E3695" s="1" t="s">
        <v>1526</v>
      </c>
      <c r="F3695" s="1">
        <v>37</v>
      </c>
      <c r="G3695" s="1" t="s">
        <v>34</v>
      </c>
      <c r="H3695" s="1" t="s">
        <v>74</v>
      </c>
      <c r="I3695" s="1" t="s">
        <v>192</v>
      </c>
      <c r="J3695" s="1" t="s">
        <v>76</v>
      </c>
      <c r="K3695" s="1" t="s">
        <v>89</v>
      </c>
      <c r="L3695" s="1">
        <v>3</v>
      </c>
      <c r="M3695" s="13">
        <v>497.57</v>
      </c>
      <c r="N3695" s="15">
        <v>0.15</v>
      </c>
      <c r="O3695" s="13">
        <v>1277.03</v>
      </c>
      <c r="P3695" s="13">
        <v>481.63</v>
      </c>
      <c r="Q3695" s="13">
        <v>64.84</v>
      </c>
      <c r="R3695" s="1" t="s">
        <v>64</v>
      </c>
      <c r="S3695" s="1">
        <v>5</v>
      </c>
      <c r="T3695" s="1" t="b">
        <v>0</v>
      </c>
      <c r="U3695" s="1" t="s">
        <v>39</v>
      </c>
      <c r="V3695" s="3">
        <v>8</v>
      </c>
    </row>
    <row r="3696" spans="1:22" x14ac:dyDescent="0.3">
      <c r="A3696" s="2" t="s">
        <v>7843</v>
      </c>
      <c r="B3696" s="10">
        <v>45255</v>
      </c>
      <c r="C3696" s="22">
        <v>45255</v>
      </c>
      <c r="D3696" s="1" t="s">
        <v>7844</v>
      </c>
      <c r="E3696" s="1" t="s">
        <v>2053</v>
      </c>
      <c r="F3696" s="1">
        <v>46</v>
      </c>
      <c r="G3696" s="1" t="s">
        <v>68</v>
      </c>
      <c r="H3696" s="1" t="s">
        <v>82</v>
      </c>
      <c r="I3696" s="1" t="s">
        <v>293</v>
      </c>
      <c r="J3696" s="1" t="s">
        <v>76</v>
      </c>
      <c r="K3696" s="1" t="s">
        <v>77</v>
      </c>
      <c r="L3696" s="1">
        <v>8</v>
      </c>
      <c r="M3696" s="13">
        <v>2163.34</v>
      </c>
      <c r="N3696" s="15">
        <v>0.09</v>
      </c>
      <c r="O3696" s="13">
        <v>14389.27</v>
      </c>
      <c r="P3696" s="13">
        <v>6967.35</v>
      </c>
      <c r="Q3696" s="13">
        <v>86.07</v>
      </c>
      <c r="R3696" s="1" t="s">
        <v>29</v>
      </c>
      <c r="S3696" s="1">
        <v>4</v>
      </c>
      <c r="T3696" s="1" t="b">
        <v>1</v>
      </c>
      <c r="U3696" s="1" t="s">
        <v>30</v>
      </c>
      <c r="V3696" s="3">
        <v>2</v>
      </c>
    </row>
    <row r="3697" spans="1:22" x14ac:dyDescent="0.3">
      <c r="A3697" s="2" t="s">
        <v>7845</v>
      </c>
      <c r="B3697" s="10">
        <v>44896</v>
      </c>
      <c r="C3697" s="22">
        <v>44896</v>
      </c>
      <c r="D3697" s="1" t="s">
        <v>7846</v>
      </c>
      <c r="E3697" s="1" t="s">
        <v>926</v>
      </c>
      <c r="F3697" s="1">
        <v>12</v>
      </c>
      <c r="G3697" s="1" t="s">
        <v>34</v>
      </c>
      <c r="H3697" s="1" t="s">
        <v>82</v>
      </c>
      <c r="I3697" s="1" t="s">
        <v>83</v>
      </c>
      <c r="J3697" s="1" t="s">
        <v>62</v>
      </c>
      <c r="K3697" s="1" t="s">
        <v>63</v>
      </c>
      <c r="L3697" s="1">
        <v>5</v>
      </c>
      <c r="M3697" s="13">
        <v>374.99</v>
      </c>
      <c r="N3697" s="15">
        <v>0.2</v>
      </c>
      <c r="O3697" s="13">
        <v>1324.11</v>
      </c>
      <c r="P3697" s="13">
        <v>579.51</v>
      </c>
      <c r="Q3697" s="13">
        <v>83.9</v>
      </c>
      <c r="R3697" s="1" t="s">
        <v>64</v>
      </c>
      <c r="S3697" s="1">
        <v>3</v>
      </c>
      <c r="T3697" s="1" t="b">
        <v>0</v>
      </c>
      <c r="U3697" s="1" t="s">
        <v>39</v>
      </c>
      <c r="V3697" s="3">
        <v>8</v>
      </c>
    </row>
    <row r="3698" spans="1:22" x14ac:dyDescent="0.3">
      <c r="A3698" s="2" t="s">
        <v>7847</v>
      </c>
      <c r="B3698" s="10">
        <v>44137</v>
      </c>
      <c r="C3698" s="22">
        <v>44137</v>
      </c>
      <c r="D3698" s="1" t="s">
        <v>7848</v>
      </c>
      <c r="E3698" s="1" t="s">
        <v>185</v>
      </c>
      <c r="F3698" s="1">
        <v>45</v>
      </c>
      <c r="G3698" s="1" t="s">
        <v>34</v>
      </c>
      <c r="H3698" s="1" t="s">
        <v>35</v>
      </c>
      <c r="I3698" s="1" t="s">
        <v>49</v>
      </c>
      <c r="J3698" s="1" t="s">
        <v>127</v>
      </c>
      <c r="K3698" s="1" t="s">
        <v>128</v>
      </c>
      <c r="L3698" s="1">
        <v>10</v>
      </c>
      <c r="M3698" s="13">
        <v>57547.360000000001</v>
      </c>
      <c r="N3698" s="15">
        <v>0</v>
      </c>
      <c r="O3698" s="13">
        <v>412747.46</v>
      </c>
      <c r="P3698" s="13">
        <v>38336.33</v>
      </c>
      <c r="Q3698" s="13">
        <v>95.34</v>
      </c>
      <c r="R3698" s="1" t="s">
        <v>51</v>
      </c>
      <c r="S3698" s="1">
        <v>1</v>
      </c>
      <c r="T3698" s="1" t="b">
        <v>0</v>
      </c>
      <c r="U3698" s="1" t="s">
        <v>137</v>
      </c>
      <c r="V3698" s="3">
        <v>1</v>
      </c>
    </row>
    <row r="3699" spans="1:22" x14ac:dyDescent="0.3">
      <c r="A3699" s="2" t="s">
        <v>7849</v>
      </c>
      <c r="B3699" s="10">
        <v>45130</v>
      </c>
      <c r="C3699" s="22">
        <v>45130</v>
      </c>
      <c r="D3699" s="1" t="s">
        <v>7850</v>
      </c>
      <c r="E3699" s="1" t="s">
        <v>2875</v>
      </c>
      <c r="F3699" s="1">
        <v>22</v>
      </c>
      <c r="G3699" s="1" t="s">
        <v>68</v>
      </c>
      <c r="H3699" s="1" t="s">
        <v>74</v>
      </c>
      <c r="I3699" s="1" t="s">
        <v>136</v>
      </c>
      <c r="J3699" s="1" t="s">
        <v>146</v>
      </c>
      <c r="K3699" s="1" t="s">
        <v>147</v>
      </c>
      <c r="L3699" s="1">
        <v>7</v>
      </c>
      <c r="M3699" s="13">
        <v>5217.82</v>
      </c>
      <c r="N3699" s="15">
        <v>0.38</v>
      </c>
      <c r="O3699" s="13">
        <v>29460.53</v>
      </c>
      <c r="P3699" s="13">
        <v>4891.91</v>
      </c>
      <c r="Q3699" s="13">
        <v>48.5</v>
      </c>
      <c r="R3699" s="1" t="s">
        <v>64</v>
      </c>
      <c r="S3699" s="1">
        <v>2</v>
      </c>
      <c r="T3699" s="1" t="b">
        <v>0</v>
      </c>
      <c r="U3699" s="1" t="s">
        <v>39</v>
      </c>
      <c r="V3699" s="3">
        <v>4</v>
      </c>
    </row>
    <row r="3700" spans="1:22" x14ac:dyDescent="0.3">
      <c r="A3700" s="2" t="s">
        <v>7851</v>
      </c>
      <c r="B3700" s="10">
        <v>43903</v>
      </c>
      <c r="C3700" s="22">
        <v>43903</v>
      </c>
      <c r="D3700" s="1" t="s">
        <v>7852</v>
      </c>
      <c r="E3700" s="1" t="s">
        <v>1526</v>
      </c>
      <c r="F3700" s="1">
        <v>45</v>
      </c>
      <c r="G3700" s="1" t="s">
        <v>68</v>
      </c>
      <c r="H3700" s="1" t="s">
        <v>82</v>
      </c>
      <c r="I3700" s="1" t="s">
        <v>293</v>
      </c>
      <c r="J3700" s="1" t="s">
        <v>62</v>
      </c>
      <c r="K3700" s="1" t="s">
        <v>63</v>
      </c>
      <c r="L3700" s="1">
        <v>8</v>
      </c>
      <c r="M3700" s="13">
        <v>518.20000000000005</v>
      </c>
      <c r="N3700" s="15">
        <v>0.01</v>
      </c>
      <c r="O3700" s="13">
        <v>4524.5200000000004</v>
      </c>
      <c r="P3700" s="13">
        <v>1853.7</v>
      </c>
      <c r="Q3700" s="13">
        <v>90.45</v>
      </c>
      <c r="R3700" s="1" t="s">
        <v>29</v>
      </c>
      <c r="S3700" s="1">
        <v>3</v>
      </c>
      <c r="T3700" s="1" t="b">
        <v>0</v>
      </c>
      <c r="U3700" s="1" t="s">
        <v>39</v>
      </c>
      <c r="V3700" s="3">
        <v>6</v>
      </c>
    </row>
    <row r="3701" spans="1:22" x14ac:dyDescent="0.3">
      <c r="A3701" s="2" t="s">
        <v>7853</v>
      </c>
      <c r="B3701" s="10">
        <v>43974</v>
      </c>
      <c r="C3701" s="22">
        <v>43974</v>
      </c>
      <c r="D3701" s="1" t="s">
        <v>7854</v>
      </c>
      <c r="E3701" s="1" t="s">
        <v>1462</v>
      </c>
      <c r="F3701" s="1">
        <v>35</v>
      </c>
      <c r="G3701" s="1" t="s">
        <v>34</v>
      </c>
      <c r="H3701" s="1" t="s">
        <v>35</v>
      </c>
      <c r="I3701" s="1" t="s">
        <v>36</v>
      </c>
      <c r="J3701" s="1" t="s">
        <v>127</v>
      </c>
      <c r="K3701" s="1" t="s">
        <v>196</v>
      </c>
      <c r="L3701" s="1">
        <v>8</v>
      </c>
      <c r="M3701" s="13">
        <v>66799.88</v>
      </c>
      <c r="N3701" s="15">
        <v>0</v>
      </c>
      <c r="O3701" s="13">
        <v>700450.24</v>
      </c>
      <c r="P3701" s="13">
        <v>86189.72</v>
      </c>
      <c r="Q3701" s="13">
        <v>63.99</v>
      </c>
      <c r="R3701" s="1" t="s">
        <v>29</v>
      </c>
      <c r="S3701" s="1">
        <v>1</v>
      </c>
      <c r="T3701" s="1" t="b">
        <v>0</v>
      </c>
      <c r="U3701" s="1" t="s">
        <v>39</v>
      </c>
      <c r="V3701" s="3">
        <v>2</v>
      </c>
    </row>
    <row r="3702" spans="1:22" x14ac:dyDescent="0.3">
      <c r="A3702" s="2" t="s">
        <v>7855</v>
      </c>
      <c r="B3702" s="10">
        <v>44301</v>
      </c>
      <c r="C3702" s="22">
        <v>44301</v>
      </c>
      <c r="D3702" s="1" t="s">
        <v>7856</v>
      </c>
      <c r="E3702" s="1" t="s">
        <v>220</v>
      </c>
      <c r="F3702" s="1">
        <v>51</v>
      </c>
      <c r="G3702" s="1" t="s">
        <v>24</v>
      </c>
      <c r="H3702" s="1" t="s">
        <v>35</v>
      </c>
      <c r="I3702" s="1" t="s">
        <v>49</v>
      </c>
      <c r="J3702" s="1" t="s">
        <v>62</v>
      </c>
      <c r="K3702" s="1" t="s">
        <v>570</v>
      </c>
      <c r="L3702" s="1">
        <v>7</v>
      </c>
      <c r="M3702" s="13">
        <v>529.64</v>
      </c>
      <c r="N3702" s="15">
        <v>0.15</v>
      </c>
      <c r="O3702" s="13">
        <v>4411.53</v>
      </c>
      <c r="P3702" s="13">
        <v>1663.96</v>
      </c>
      <c r="Q3702" s="13">
        <v>71.05</v>
      </c>
      <c r="R3702" s="1" t="s">
        <v>51</v>
      </c>
      <c r="S3702" s="1">
        <v>3</v>
      </c>
      <c r="T3702" s="1" t="b">
        <v>0</v>
      </c>
      <c r="U3702" s="1" t="s">
        <v>39</v>
      </c>
      <c r="V3702" s="3">
        <v>10</v>
      </c>
    </row>
    <row r="3703" spans="1:22" x14ac:dyDescent="0.3">
      <c r="A3703" s="2" t="s">
        <v>7857</v>
      </c>
      <c r="B3703" s="10">
        <v>44767</v>
      </c>
      <c r="C3703" s="22">
        <v>44767</v>
      </c>
      <c r="D3703" s="1" t="s">
        <v>7858</v>
      </c>
      <c r="E3703" s="1" t="s">
        <v>635</v>
      </c>
      <c r="F3703" s="1">
        <v>33</v>
      </c>
      <c r="G3703" s="1" t="s">
        <v>34</v>
      </c>
      <c r="H3703" s="1" t="s">
        <v>35</v>
      </c>
      <c r="I3703" s="1" t="s">
        <v>36</v>
      </c>
      <c r="J3703" s="1" t="s">
        <v>37</v>
      </c>
      <c r="K3703" s="1" t="s">
        <v>671</v>
      </c>
      <c r="L3703" s="1">
        <v>2</v>
      </c>
      <c r="M3703" s="13">
        <v>879.32</v>
      </c>
      <c r="N3703" s="15">
        <v>0.11</v>
      </c>
      <c r="O3703" s="13">
        <v>2351.2399999999998</v>
      </c>
      <c r="P3703" s="13">
        <v>1051.5899999999999</v>
      </c>
      <c r="Q3703" s="13">
        <v>52.42</v>
      </c>
      <c r="R3703" s="1" t="s">
        <v>64</v>
      </c>
      <c r="S3703" s="1">
        <v>5</v>
      </c>
      <c r="T3703" s="1" t="b">
        <v>0</v>
      </c>
      <c r="U3703" s="1" t="s">
        <v>39</v>
      </c>
      <c r="V3703" s="3">
        <v>5</v>
      </c>
    </row>
    <row r="3704" spans="1:22" x14ac:dyDescent="0.3">
      <c r="A3704" s="2" t="s">
        <v>7859</v>
      </c>
      <c r="B3704" s="10">
        <v>44766</v>
      </c>
      <c r="C3704" s="22">
        <v>44766</v>
      </c>
      <c r="D3704" s="1" t="s">
        <v>7860</v>
      </c>
      <c r="E3704" s="1" t="s">
        <v>3152</v>
      </c>
      <c r="F3704" s="1">
        <v>45</v>
      </c>
      <c r="G3704" s="1" t="s">
        <v>24</v>
      </c>
      <c r="H3704" s="1" t="s">
        <v>111</v>
      </c>
      <c r="I3704" s="1" t="s">
        <v>141</v>
      </c>
      <c r="J3704" s="1" t="s">
        <v>44</v>
      </c>
      <c r="K3704" s="1" t="s">
        <v>45</v>
      </c>
      <c r="L3704" s="1">
        <v>4</v>
      </c>
      <c r="M3704" s="13">
        <v>25587.02</v>
      </c>
      <c r="N3704" s="15">
        <v>0.31</v>
      </c>
      <c r="O3704" s="13">
        <v>106262.43</v>
      </c>
      <c r="P3704" s="13">
        <v>24161.7</v>
      </c>
      <c r="Q3704" s="13">
        <v>68.959999999999994</v>
      </c>
      <c r="R3704" s="1" t="s">
        <v>29</v>
      </c>
      <c r="S3704" s="1">
        <v>2</v>
      </c>
      <c r="T3704" s="1" t="b">
        <v>0</v>
      </c>
      <c r="U3704" s="1" t="s">
        <v>39</v>
      </c>
      <c r="V3704" s="3">
        <v>2</v>
      </c>
    </row>
    <row r="3705" spans="1:22" x14ac:dyDescent="0.3">
      <c r="A3705" s="2" t="s">
        <v>7861</v>
      </c>
      <c r="B3705" s="10">
        <v>44813</v>
      </c>
      <c r="C3705" s="22">
        <v>44813</v>
      </c>
      <c r="D3705" s="1" t="s">
        <v>7862</v>
      </c>
      <c r="E3705" s="1" t="s">
        <v>433</v>
      </c>
      <c r="F3705" s="1">
        <v>23</v>
      </c>
      <c r="G3705" s="1" t="s">
        <v>68</v>
      </c>
      <c r="H3705" s="1" t="s">
        <v>74</v>
      </c>
      <c r="I3705" s="1" t="s">
        <v>136</v>
      </c>
      <c r="J3705" s="1" t="s">
        <v>146</v>
      </c>
      <c r="K3705" s="1" t="s">
        <v>484</v>
      </c>
      <c r="L3705" s="1">
        <v>1</v>
      </c>
      <c r="M3705" s="13">
        <v>10374.719999999999</v>
      </c>
      <c r="N3705" s="15">
        <v>0.04</v>
      </c>
      <c r="O3705" s="13">
        <v>10806.31</v>
      </c>
      <c r="P3705" s="13">
        <v>2109.69</v>
      </c>
      <c r="Q3705" s="13">
        <v>63.95</v>
      </c>
      <c r="R3705" s="1" t="s">
        <v>64</v>
      </c>
      <c r="S3705" s="1">
        <v>3</v>
      </c>
      <c r="T3705" s="1" t="b">
        <v>0</v>
      </c>
      <c r="U3705" s="1" t="s">
        <v>84</v>
      </c>
      <c r="V3705" s="3">
        <v>3</v>
      </c>
    </row>
    <row r="3706" spans="1:22" x14ac:dyDescent="0.3">
      <c r="A3706" s="2" t="s">
        <v>7863</v>
      </c>
      <c r="B3706" s="10">
        <v>43870</v>
      </c>
      <c r="C3706" s="22">
        <v>43870</v>
      </c>
      <c r="D3706" s="1" t="s">
        <v>7864</v>
      </c>
      <c r="E3706" s="1" t="s">
        <v>976</v>
      </c>
      <c r="F3706" s="1">
        <v>47</v>
      </c>
      <c r="G3706" s="1" t="s">
        <v>24</v>
      </c>
      <c r="H3706" s="1" t="s">
        <v>25</v>
      </c>
      <c r="I3706" s="1" t="s">
        <v>170</v>
      </c>
      <c r="J3706" s="1" t="s">
        <v>146</v>
      </c>
      <c r="K3706" s="1" t="s">
        <v>217</v>
      </c>
      <c r="L3706" s="1">
        <v>9</v>
      </c>
      <c r="M3706" s="13">
        <v>13043.73</v>
      </c>
      <c r="N3706" s="15">
        <v>0.25</v>
      </c>
      <c r="O3706" s="13">
        <v>74033.850000000006</v>
      </c>
      <c r="P3706" s="13">
        <v>18187.78</v>
      </c>
      <c r="Q3706" s="13">
        <v>74.92</v>
      </c>
      <c r="R3706" s="1" t="s">
        <v>29</v>
      </c>
      <c r="S3706" s="1">
        <v>3</v>
      </c>
      <c r="T3706" s="1" t="b">
        <v>0</v>
      </c>
      <c r="U3706" s="1" t="s">
        <v>39</v>
      </c>
      <c r="V3706" s="3">
        <v>3</v>
      </c>
    </row>
    <row r="3707" spans="1:22" x14ac:dyDescent="0.3">
      <c r="A3707" s="2" t="s">
        <v>7865</v>
      </c>
      <c r="B3707" s="10">
        <v>45294</v>
      </c>
      <c r="C3707" s="22">
        <v>45294</v>
      </c>
      <c r="D3707" s="1" t="s">
        <v>7866</v>
      </c>
      <c r="E3707" s="1" t="s">
        <v>131</v>
      </c>
      <c r="F3707" s="1">
        <v>35</v>
      </c>
      <c r="G3707" s="1" t="s">
        <v>34</v>
      </c>
      <c r="H3707" s="1" t="s">
        <v>35</v>
      </c>
      <c r="I3707" s="1" t="s">
        <v>49</v>
      </c>
      <c r="J3707" s="1" t="s">
        <v>146</v>
      </c>
      <c r="K3707" s="1" t="s">
        <v>217</v>
      </c>
      <c r="L3707" s="1">
        <v>8</v>
      </c>
      <c r="M3707" s="13">
        <v>13871.72</v>
      </c>
      <c r="N3707" s="15">
        <v>0.03</v>
      </c>
      <c r="O3707" s="13">
        <v>104587.68</v>
      </c>
      <c r="P3707" s="13">
        <v>20681.46</v>
      </c>
      <c r="Q3707" s="13">
        <v>87.71</v>
      </c>
      <c r="R3707" s="1" t="s">
        <v>78</v>
      </c>
      <c r="S3707" s="1">
        <v>5</v>
      </c>
      <c r="T3707" s="1" t="b">
        <v>0</v>
      </c>
      <c r="U3707" s="1" t="s">
        <v>137</v>
      </c>
      <c r="V3707" s="3">
        <v>8</v>
      </c>
    </row>
    <row r="3708" spans="1:22" x14ac:dyDescent="0.3">
      <c r="A3708" s="2" t="s">
        <v>7867</v>
      </c>
      <c r="B3708" s="10">
        <v>45241</v>
      </c>
      <c r="C3708" s="22">
        <v>45241</v>
      </c>
      <c r="D3708" s="1" t="s">
        <v>7868</v>
      </c>
      <c r="E3708" s="1" t="s">
        <v>1340</v>
      </c>
      <c r="F3708" s="1">
        <v>31</v>
      </c>
      <c r="G3708" s="1" t="s">
        <v>24</v>
      </c>
      <c r="H3708" s="1" t="s">
        <v>82</v>
      </c>
      <c r="I3708" s="1" t="s">
        <v>293</v>
      </c>
      <c r="J3708" s="1" t="s">
        <v>127</v>
      </c>
      <c r="K3708" s="1" t="s">
        <v>171</v>
      </c>
      <c r="L3708" s="1">
        <v>10</v>
      </c>
      <c r="M3708" s="13">
        <v>19168.2</v>
      </c>
      <c r="N3708" s="15">
        <v>0.09</v>
      </c>
      <c r="O3708" s="13">
        <v>157139.20000000001</v>
      </c>
      <c r="P3708" s="13">
        <v>15931.28</v>
      </c>
      <c r="Q3708" s="13">
        <v>92.38</v>
      </c>
      <c r="R3708" s="1" t="s">
        <v>78</v>
      </c>
      <c r="S3708" s="1">
        <v>1</v>
      </c>
      <c r="T3708" s="1" t="b">
        <v>1</v>
      </c>
      <c r="U3708" s="1" t="s">
        <v>30</v>
      </c>
      <c r="V3708" s="3">
        <v>10</v>
      </c>
    </row>
    <row r="3709" spans="1:22" x14ac:dyDescent="0.3">
      <c r="A3709" s="2" t="s">
        <v>7869</v>
      </c>
      <c r="B3709" s="10">
        <v>44166</v>
      </c>
      <c r="C3709" s="22">
        <v>44166</v>
      </c>
      <c r="D3709" s="1" t="s">
        <v>7870</v>
      </c>
      <c r="E3709" s="1" t="s">
        <v>81</v>
      </c>
      <c r="F3709" s="1">
        <v>59</v>
      </c>
      <c r="G3709" s="1" t="s">
        <v>68</v>
      </c>
      <c r="H3709" s="1" t="s">
        <v>82</v>
      </c>
      <c r="I3709" s="1" t="s">
        <v>83</v>
      </c>
      <c r="J3709" s="1" t="s">
        <v>76</v>
      </c>
      <c r="K3709" s="1" t="s">
        <v>89</v>
      </c>
      <c r="L3709" s="1">
        <v>6</v>
      </c>
      <c r="M3709" s="13">
        <v>2055.61</v>
      </c>
      <c r="N3709" s="15">
        <v>0.19</v>
      </c>
      <c r="O3709" s="13">
        <v>7361.83</v>
      </c>
      <c r="P3709" s="13">
        <v>2436.42</v>
      </c>
      <c r="Q3709" s="13">
        <v>87.2</v>
      </c>
      <c r="R3709" s="1" t="s">
        <v>29</v>
      </c>
      <c r="S3709" s="1">
        <v>3</v>
      </c>
      <c r="T3709" s="1" t="b">
        <v>0</v>
      </c>
      <c r="U3709" s="1" t="s">
        <v>3106</v>
      </c>
      <c r="V3709" s="3">
        <v>7</v>
      </c>
    </row>
    <row r="3710" spans="1:22" x14ac:dyDescent="0.3">
      <c r="A3710" s="2" t="s">
        <v>7871</v>
      </c>
      <c r="B3710" s="10">
        <v>45461</v>
      </c>
      <c r="C3710" s="22">
        <v>45461</v>
      </c>
      <c r="D3710" s="1" t="s">
        <v>7872</v>
      </c>
      <c r="E3710" s="1" t="s">
        <v>370</v>
      </c>
      <c r="F3710" s="1">
        <v>44</v>
      </c>
      <c r="G3710" s="1" t="s">
        <v>68</v>
      </c>
      <c r="H3710" s="1" t="s">
        <v>35</v>
      </c>
      <c r="I3710" s="1" t="s">
        <v>49</v>
      </c>
      <c r="J3710" s="1" t="s">
        <v>76</v>
      </c>
      <c r="K3710" s="1" t="s">
        <v>77</v>
      </c>
      <c r="L3710" s="1">
        <v>8</v>
      </c>
      <c r="M3710" s="13">
        <v>318.72000000000003</v>
      </c>
      <c r="N3710" s="15">
        <v>0.2</v>
      </c>
      <c r="O3710" s="13">
        <v>3315.64</v>
      </c>
      <c r="P3710" s="13">
        <v>1361.66</v>
      </c>
      <c r="Q3710" s="13">
        <v>66.349999999999994</v>
      </c>
      <c r="R3710" s="1" t="s">
        <v>64</v>
      </c>
      <c r="S3710" s="1">
        <v>3</v>
      </c>
      <c r="T3710" s="1" t="b">
        <v>0</v>
      </c>
      <c r="U3710" s="1" t="s">
        <v>39</v>
      </c>
      <c r="V3710" s="3">
        <v>6</v>
      </c>
    </row>
    <row r="3711" spans="1:22" x14ac:dyDescent="0.3">
      <c r="A3711" s="2" t="s">
        <v>7873</v>
      </c>
      <c r="B3711" s="10">
        <v>44376</v>
      </c>
      <c r="C3711" s="22">
        <v>44376</v>
      </c>
      <c r="D3711" s="1" t="s">
        <v>7874</v>
      </c>
      <c r="E3711" s="1" t="s">
        <v>644</v>
      </c>
      <c r="F3711" s="1">
        <v>28</v>
      </c>
      <c r="G3711" s="1" t="s">
        <v>391</v>
      </c>
      <c r="H3711" s="1" t="s">
        <v>35</v>
      </c>
      <c r="I3711" s="1" t="s">
        <v>106</v>
      </c>
      <c r="J3711" s="1" t="s">
        <v>62</v>
      </c>
      <c r="K3711" s="1" t="s">
        <v>266</v>
      </c>
      <c r="L3711" s="1">
        <v>3</v>
      </c>
      <c r="M3711" s="13">
        <v>332.5</v>
      </c>
      <c r="N3711" s="15">
        <v>0.1</v>
      </c>
      <c r="O3711" s="13">
        <v>1131.28</v>
      </c>
      <c r="P3711" s="13">
        <v>733.38</v>
      </c>
      <c r="Q3711" s="13">
        <v>62.24</v>
      </c>
      <c r="R3711" s="1" t="s">
        <v>29</v>
      </c>
      <c r="S3711" s="1">
        <v>5</v>
      </c>
      <c r="T3711" s="1" t="b">
        <v>0</v>
      </c>
      <c r="U3711" s="1" t="s">
        <v>39</v>
      </c>
      <c r="V3711" s="3">
        <v>2</v>
      </c>
    </row>
    <row r="3712" spans="1:22" x14ac:dyDescent="0.3">
      <c r="A3712" s="2" t="s">
        <v>7875</v>
      </c>
      <c r="B3712" s="10">
        <v>44146</v>
      </c>
      <c r="C3712" s="22">
        <v>44146</v>
      </c>
      <c r="D3712" s="1" t="s">
        <v>7876</v>
      </c>
      <c r="E3712" s="1" t="s">
        <v>105</v>
      </c>
      <c r="F3712" s="1">
        <v>25</v>
      </c>
      <c r="G3712" s="1" t="s">
        <v>34</v>
      </c>
      <c r="H3712" s="1" t="s">
        <v>74</v>
      </c>
      <c r="I3712" s="1" t="s">
        <v>192</v>
      </c>
      <c r="J3712" s="1" t="s">
        <v>76</v>
      </c>
      <c r="K3712" s="1" t="s">
        <v>122</v>
      </c>
      <c r="L3712" s="1">
        <v>4</v>
      </c>
      <c r="M3712" s="13">
        <v>1315.54</v>
      </c>
      <c r="N3712" s="15">
        <v>0.06</v>
      </c>
      <c r="O3712" s="13">
        <v>3873.18</v>
      </c>
      <c r="P3712" s="13">
        <v>1168.4100000000001</v>
      </c>
      <c r="Q3712" s="13">
        <v>30.16</v>
      </c>
      <c r="R3712" s="1" t="s">
        <v>57</v>
      </c>
      <c r="S3712" s="1">
        <v>4</v>
      </c>
      <c r="T3712" s="1" t="b">
        <v>0</v>
      </c>
      <c r="U3712" s="1" t="s">
        <v>84</v>
      </c>
      <c r="V3712" s="3">
        <v>6</v>
      </c>
    </row>
    <row r="3713" spans="1:22" x14ac:dyDescent="0.3">
      <c r="A3713" s="2" t="s">
        <v>7877</v>
      </c>
      <c r="B3713" s="10">
        <v>45231</v>
      </c>
      <c r="C3713" s="22">
        <v>45231</v>
      </c>
      <c r="D3713" s="1" t="s">
        <v>7878</v>
      </c>
      <c r="E3713" s="1" t="s">
        <v>767</v>
      </c>
      <c r="F3713" s="1">
        <v>59</v>
      </c>
      <c r="G3713" s="1" t="s">
        <v>24</v>
      </c>
      <c r="H3713" s="1" t="s">
        <v>35</v>
      </c>
      <c r="I3713" s="1" t="s">
        <v>36</v>
      </c>
      <c r="J3713" s="1" t="s">
        <v>27</v>
      </c>
      <c r="K3713" s="1" t="s">
        <v>400</v>
      </c>
      <c r="L3713" s="1">
        <v>8</v>
      </c>
      <c r="M3713" s="13">
        <v>147.66</v>
      </c>
      <c r="N3713" s="15">
        <v>0.12</v>
      </c>
      <c r="O3713" s="13">
        <v>936.68</v>
      </c>
      <c r="P3713" s="13">
        <v>78.45</v>
      </c>
      <c r="Q3713" s="13">
        <v>58.97</v>
      </c>
      <c r="R3713" s="1" t="s">
        <v>29</v>
      </c>
      <c r="S3713" s="1">
        <v>1</v>
      </c>
      <c r="T3713" s="1" t="b">
        <v>1</v>
      </c>
      <c r="U3713" s="1" t="s">
        <v>30</v>
      </c>
      <c r="V3713" s="3">
        <v>10</v>
      </c>
    </row>
    <row r="3714" spans="1:22" x14ac:dyDescent="0.3">
      <c r="A3714" s="2" t="s">
        <v>7879</v>
      </c>
      <c r="B3714" s="10">
        <v>44049</v>
      </c>
      <c r="C3714" s="22">
        <v>44049</v>
      </c>
      <c r="D3714" s="1" t="s">
        <v>7880</v>
      </c>
      <c r="E3714" s="1" t="s">
        <v>1108</v>
      </c>
      <c r="F3714" s="1">
        <v>37</v>
      </c>
      <c r="G3714" s="1" t="s">
        <v>68</v>
      </c>
      <c r="H3714" s="1" t="s">
        <v>111</v>
      </c>
      <c r="I3714" s="1" t="s">
        <v>141</v>
      </c>
      <c r="J3714" s="1" t="s">
        <v>37</v>
      </c>
      <c r="K3714" s="1" t="s">
        <v>102</v>
      </c>
      <c r="L3714" s="1">
        <v>4</v>
      </c>
      <c r="M3714" s="13">
        <v>1620.93</v>
      </c>
      <c r="N3714" s="15">
        <v>0</v>
      </c>
      <c r="O3714" s="13">
        <v>7373.98</v>
      </c>
      <c r="P3714" s="13">
        <v>3625.25</v>
      </c>
      <c r="Q3714" s="13">
        <v>54.81</v>
      </c>
      <c r="R3714" s="1" t="s">
        <v>78</v>
      </c>
      <c r="S3714" s="1">
        <v>4</v>
      </c>
      <c r="T3714" s="1" t="b">
        <v>0</v>
      </c>
      <c r="U3714" s="1" t="s">
        <v>84</v>
      </c>
      <c r="V3714" s="3">
        <v>6</v>
      </c>
    </row>
    <row r="3715" spans="1:22" x14ac:dyDescent="0.3">
      <c r="A3715" s="2" t="s">
        <v>7881</v>
      </c>
      <c r="B3715" s="10">
        <v>44434</v>
      </c>
      <c r="C3715" s="22">
        <v>44434</v>
      </c>
      <c r="D3715" s="1" t="s">
        <v>7882</v>
      </c>
      <c r="E3715" s="1" t="s">
        <v>3143</v>
      </c>
      <c r="F3715" s="1">
        <v>25</v>
      </c>
      <c r="G3715" s="1" t="s">
        <v>68</v>
      </c>
      <c r="H3715" s="1" t="s">
        <v>111</v>
      </c>
      <c r="I3715" s="1" t="s">
        <v>121</v>
      </c>
      <c r="J3715" s="1" t="s">
        <v>127</v>
      </c>
      <c r="K3715" s="1" t="s">
        <v>142</v>
      </c>
      <c r="L3715" s="1">
        <v>6</v>
      </c>
      <c r="M3715" s="13">
        <v>33295.33</v>
      </c>
      <c r="N3715" s="15">
        <v>0.22</v>
      </c>
      <c r="O3715" s="13">
        <v>190618.8</v>
      </c>
      <c r="P3715" s="13">
        <v>28846.6</v>
      </c>
      <c r="Q3715" s="13">
        <v>81.680000000000007</v>
      </c>
      <c r="R3715" s="1" t="s">
        <v>51</v>
      </c>
      <c r="S3715" s="1">
        <v>3</v>
      </c>
      <c r="T3715" s="1" t="b">
        <v>0</v>
      </c>
      <c r="U3715" s="1" t="s">
        <v>39</v>
      </c>
      <c r="V3715" s="3">
        <v>4</v>
      </c>
    </row>
    <row r="3716" spans="1:22" x14ac:dyDescent="0.3">
      <c r="A3716" s="2" t="s">
        <v>7883</v>
      </c>
      <c r="B3716" s="10">
        <v>44354</v>
      </c>
      <c r="C3716" s="22">
        <v>44354</v>
      </c>
      <c r="D3716" s="1" t="s">
        <v>7884</v>
      </c>
      <c r="E3716" s="1" t="s">
        <v>240</v>
      </c>
      <c r="F3716" s="1">
        <v>59</v>
      </c>
      <c r="G3716" s="1" t="s">
        <v>34</v>
      </c>
      <c r="H3716" s="1" t="s">
        <v>82</v>
      </c>
      <c r="I3716" s="1" t="s">
        <v>293</v>
      </c>
      <c r="J3716" s="1" t="s">
        <v>127</v>
      </c>
      <c r="K3716" s="1" t="s">
        <v>128</v>
      </c>
      <c r="L3716" s="1">
        <v>7</v>
      </c>
      <c r="M3716" s="13">
        <v>15552.34</v>
      </c>
      <c r="N3716" s="15">
        <v>0.22</v>
      </c>
      <c r="O3716" s="13">
        <v>129304.85</v>
      </c>
      <c r="P3716" s="13">
        <v>22699.93</v>
      </c>
      <c r="Q3716" s="13">
        <v>46.69</v>
      </c>
      <c r="R3716" s="1" t="s">
        <v>70</v>
      </c>
      <c r="S3716" s="1">
        <v>5</v>
      </c>
      <c r="T3716" s="1" t="b">
        <v>1</v>
      </c>
      <c r="U3716" s="1" t="s">
        <v>30</v>
      </c>
      <c r="V3716" s="3">
        <v>6</v>
      </c>
    </row>
    <row r="3717" spans="1:22" x14ac:dyDescent="0.3">
      <c r="A3717" s="2" t="s">
        <v>7885</v>
      </c>
      <c r="B3717" s="10">
        <v>44438</v>
      </c>
      <c r="C3717" s="22">
        <v>44438</v>
      </c>
      <c r="D3717" s="1" t="s">
        <v>7886</v>
      </c>
      <c r="E3717" s="1" t="s">
        <v>1387</v>
      </c>
      <c r="F3717" s="1">
        <v>21</v>
      </c>
      <c r="G3717" s="1" t="s">
        <v>68</v>
      </c>
      <c r="H3717" s="1" t="s">
        <v>74</v>
      </c>
      <c r="I3717" s="1" t="s">
        <v>192</v>
      </c>
      <c r="J3717" s="1" t="s">
        <v>76</v>
      </c>
      <c r="K3717" s="1" t="s">
        <v>122</v>
      </c>
      <c r="L3717" s="1">
        <v>4</v>
      </c>
      <c r="M3717" s="13">
        <v>2556.35</v>
      </c>
      <c r="N3717" s="15">
        <v>0.19</v>
      </c>
      <c r="O3717" s="13">
        <v>9517.59</v>
      </c>
      <c r="P3717" s="13">
        <v>1946.08</v>
      </c>
      <c r="Q3717" s="13">
        <v>45.36</v>
      </c>
      <c r="R3717" s="1" t="s">
        <v>78</v>
      </c>
      <c r="S3717" s="1">
        <v>5</v>
      </c>
      <c r="T3717" s="1" t="b">
        <v>0</v>
      </c>
      <c r="U3717" s="1" t="s">
        <v>39</v>
      </c>
      <c r="V3717" s="3">
        <v>2</v>
      </c>
    </row>
    <row r="3718" spans="1:22" x14ac:dyDescent="0.3">
      <c r="A3718" s="2" t="s">
        <v>7887</v>
      </c>
      <c r="B3718" s="10">
        <v>44859</v>
      </c>
      <c r="C3718" s="22">
        <v>44859</v>
      </c>
      <c r="D3718" s="1" t="s">
        <v>7888</v>
      </c>
      <c r="E3718" s="1" t="s">
        <v>157</v>
      </c>
      <c r="F3718" s="1">
        <v>38</v>
      </c>
      <c r="G3718" s="1" t="s">
        <v>24</v>
      </c>
      <c r="H3718" s="1" t="s">
        <v>82</v>
      </c>
      <c r="I3718" s="1" t="s">
        <v>83</v>
      </c>
      <c r="J3718" s="1" t="s">
        <v>37</v>
      </c>
      <c r="K3718" s="1" t="s">
        <v>671</v>
      </c>
      <c r="L3718" s="1">
        <v>9</v>
      </c>
      <c r="M3718" s="13">
        <v>2282.2399999999998</v>
      </c>
      <c r="N3718" s="15">
        <v>0.27</v>
      </c>
      <c r="O3718" s="13">
        <v>15517.58</v>
      </c>
      <c r="P3718" s="13">
        <v>5898.92</v>
      </c>
      <c r="Q3718" s="13">
        <v>86.96</v>
      </c>
      <c r="R3718" s="1" t="s">
        <v>78</v>
      </c>
      <c r="S3718" s="1">
        <v>3</v>
      </c>
      <c r="T3718" s="1" t="b">
        <v>0</v>
      </c>
      <c r="U3718" s="1" t="s">
        <v>84</v>
      </c>
      <c r="V3718" s="3">
        <v>7</v>
      </c>
    </row>
    <row r="3719" spans="1:22" x14ac:dyDescent="0.3">
      <c r="A3719" s="2" t="s">
        <v>7889</v>
      </c>
      <c r="B3719" s="10">
        <v>45006</v>
      </c>
      <c r="C3719" s="22">
        <v>45006</v>
      </c>
      <c r="D3719" s="1" t="s">
        <v>7890</v>
      </c>
      <c r="E3719" s="1" t="s">
        <v>390</v>
      </c>
      <c r="F3719" s="1">
        <v>45</v>
      </c>
      <c r="G3719" s="1" t="s">
        <v>24</v>
      </c>
      <c r="H3719" s="1" t="s">
        <v>111</v>
      </c>
      <c r="I3719" s="1" t="s">
        <v>141</v>
      </c>
      <c r="J3719" s="1" t="s">
        <v>127</v>
      </c>
      <c r="K3719" s="1" t="s">
        <v>517</v>
      </c>
      <c r="L3719" s="1">
        <v>5</v>
      </c>
      <c r="M3719" s="13">
        <v>8426.0499999999993</v>
      </c>
      <c r="N3719" s="15">
        <v>0.4</v>
      </c>
      <c r="O3719" s="13">
        <v>28260.49</v>
      </c>
      <c r="P3719" s="13">
        <v>5271.23</v>
      </c>
      <c r="Q3719" s="13">
        <v>43.17</v>
      </c>
      <c r="R3719" s="1" t="s">
        <v>57</v>
      </c>
      <c r="S3719" s="1">
        <v>3</v>
      </c>
      <c r="T3719" s="1" t="b">
        <v>1</v>
      </c>
      <c r="U3719" s="1" t="s">
        <v>30</v>
      </c>
      <c r="V3719" s="3">
        <v>3</v>
      </c>
    </row>
    <row r="3720" spans="1:22" x14ac:dyDescent="0.3">
      <c r="A3720" s="2" t="s">
        <v>7891</v>
      </c>
      <c r="B3720" s="10">
        <v>43980</v>
      </c>
      <c r="C3720" s="22">
        <v>43980</v>
      </c>
      <c r="D3720" s="1" t="s">
        <v>7892</v>
      </c>
      <c r="E3720" s="1" t="s">
        <v>4150</v>
      </c>
      <c r="F3720" s="1">
        <v>38</v>
      </c>
      <c r="G3720" s="1" t="s">
        <v>34</v>
      </c>
      <c r="H3720" s="1" t="s">
        <v>25</v>
      </c>
      <c r="I3720" s="1" t="s">
        <v>69</v>
      </c>
      <c r="J3720" s="1" t="s">
        <v>44</v>
      </c>
      <c r="K3720" s="1" t="s">
        <v>93</v>
      </c>
      <c r="L3720" s="1">
        <v>9</v>
      </c>
      <c r="M3720" s="13">
        <v>15163.14</v>
      </c>
      <c r="N3720" s="15">
        <v>0.05</v>
      </c>
      <c r="O3720" s="13">
        <v>165300.99</v>
      </c>
      <c r="P3720" s="13">
        <v>45730.93</v>
      </c>
      <c r="Q3720" s="13">
        <v>52.98</v>
      </c>
      <c r="R3720" s="1" t="s">
        <v>70</v>
      </c>
      <c r="S3720" s="1">
        <v>3</v>
      </c>
      <c r="T3720" s="1" t="b">
        <v>0</v>
      </c>
      <c r="U3720" s="1" t="s">
        <v>39</v>
      </c>
      <c r="V3720" s="3">
        <v>4</v>
      </c>
    </row>
    <row r="3721" spans="1:22" x14ac:dyDescent="0.3">
      <c r="A3721" s="2" t="s">
        <v>7893</v>
      </c>
      <c r="B3721" s="10">
        <v>44650</v>
      </c>
      <c r="C3721" s="22">
        <v>44650</v>
      </c>
      <c r="D3721" s="1" t="s">
        <v>7894</v>
      </c>
      <c r="E3721" s="1" t="s">
        <v>558</v>
      </c>
      <c r="F3721" s="1">
        <v>49</v>
      </c>
      <c r="G3721" s="1" t="s">
        <v>68</v>
      </c>
      <c r="H3721" s="1" t="s">
        <v>82</v>
      </c>
      <c r="I3721" s="1" t="s">
        <v>83</v>
      </c>
      <c r="J3721" s="1" t="s">
        <v>62</v>
      </c>
      <c r="K3721" s="1" t="s">
        <v>107</v>
      </c>
      <c r="L3721" s="1">
        <v>7</v>
      </c>
      <c r="M3721" s="13">
        <v>1034.3</v>
      </c>
      <c r="N3721" s="15">
        <v>0.21</v>
      </c>
      <c r="O3721" s="13">
        <v>7324.98</v>
      </c>
      <c r="P3721" s="13">
        <v>2536.09</v>
      </c>
      <c r="Q3721" s="13">
        <v>60.36</v>
      </c>
      <c r="R3721" s="1" t="s">
        <v>70</v>
      </c>
      <c r="S3721" s="1">
        <v>5</v>
      </c>
      <c r="T3721" s="1" t="b">
        <v>0</v>
      </c>
      <c r="U3721" s="1" t="s">
        <v>39</v>
      </c>
      <c r="V3721" s="3">
        <v>4</v>
      </c>
    </row>
    <row r="3722" spans="1:22" x14ac:dyDescent="0.3">
      <c r="A3722" s="2" t="s">
        <v>7895</v>
      </c>
      <c r="B3722" s="10">
        <v>44814</v>
      </c>
      <c r="C3722" s="22">
        <v>44814</v>
      </c>
      <c r="D3722" s="1" t="s">
        <v>7896</v>
      </c>
      <c r="E3722" s="1" t="s">
        <v>1645</v>
      </c>
      <c r="F3722" s="1">
        <v>46</v>
      </c>
      <c r="G3722" s="1" t="s">
        <v>34</v>
      </c>
      <c r="H3722" s="1" t="s">
        <v>25</v>
      </c>
      <c r="I3722" s="1" t="s">
        <v>55</v>
      </c>
      <c r="J3722" s="1" t="s">
        <v>146</v>
      </c>
      <c r="K3722" s="1" t="s">
        <v>161</v>
      </c>
      <c r="L3722" s="1">
        <v>2</v>
      </c>
      <c r="M3722" s="13">
        <v>2331.7600000000002</v>
      </c>
      <c r="N3722" s="15">
        <v>0</v>
      </c>
      <c r="O3722" s="13">
        <v>5912.22</v>
      </c>
      <c r="P3722" s="13">
        <v>1433.92</v>
      </c>
      <c r="Q3722" s="13">
        <v>38.85</v>
      </c>
      <c r="R3722" s="1" t="s">
        <v>29</v>
      </c>
      <c r="S3722" s="1">
        <v>5</v>
      </c>
      <c r="T3722" s="1" t="b">
        <v>0</v>
      </c>
      <c r="U3722" s="1" t="s">
        <v>39</v>
      </c>
      <c r="V3722" s="3">
        <v>1</v>
      </c>
    </row>
    <row r="3723" spans="1:22" x14ac:dyDescent="0.3">
      <c r="A3723" s="2" t="s">
        <v>7897</v>
      </c>
      <c r="B3723" s="10">
        <v>44967</v>
      </c>
      <c r="C3723" s="22">
        <v>44967</v>
      </c>
      <c r="D3723" s="1" t="s">
        <v>7898</v>
      </c>
      <c r="E3723" s="1" t="s">
        <v>786</v>
      </c>
      <c r="F3723" s="1">
        <v>33</v>
      </c>
      <c r="G3723" s="1" t="s">
        <v>34</v>
      </c>
      <c r="H3723" s="1" t="s">
        <v>82</v>
      </c>
      <c r="I3723" s="1" t="s">
        <v>244</v>
      </c>
      <c r="J3723" s="1" t="s">
        <v>62</v>
      </c>
      <c r="K3723" s="1" t="s">
        <v>107</v>
      </c>
      <c r="L3723" s="1">
        <v>2</v>
      </c>
      <c r="M3723" s="13">
        <v>1201.8900000000001</v>
      </c>
      <c r="N3723" s="15">
        <v>0.21</v>
      </c>
      <c r="O3723" s="13">
        <v>2704.17</v>
      </c>
      <c r="P3723" s="13">
        <v>1451.59</v>
      </c>
      <c r="Q3723" s="13">
        <v>59.47</v>
      </c>
      <c r="R3723" s="1" t="s">
        <v>57</v>
      </c>
      <c r="S3723" s="1">
        <v>4</v>
      </c>
      <c r="T3723" s="1" t="b">
        <v>0</v>
      </c>
      <c r="U3723" s="1" t="s">
        <v>39</v>
      </c>
      <c r="V3723" s="3">
        <v>5</v>
      </c>
    </row>
    <row r="3724" spans="1:22" x14ac:dyDescent="0.3">
      <c r="A3724" s="2" t="s">
        <v>7899</v>
      </c>
      <c r="B3724" s="10">
        <v>44788</v>
      </c>
      <c r="C3724" s="22">
        <v>44788</v>
      </c>
      <c r="D3724" s="1" t="s">
        <v>7900</v>
      </c>
      <c r="E3724" s="1" t="s">
        <v>973</v>
      </c>
      <c r="F3724" s="1">
        <v>53</v>
      </c>
      <c r="G3724" s="1" t="s">
        <v>68</v>
      </c>
      <c r="H3724" s="1" t="s">
        <v>111</v>
      </c>
      <c r="I3724" s="1" t="s">
        <v>121</v>
      </c>
      <c r="J3724" s="1" t="s">
        <v>62</v>
      </c>
      <c r="K3724" s="1" t="s">
        <v>63</v>
      </c>
      <c r="L3724" s="1">
        <v>5</v>
      </c>
      <c r="M3724" s="13">
        <v>1366.96</v>
      </c>
      <c r="N3724" s="15">
        <v>0.33</v>
      </c>
      <c r="O3724" s="13">
        <v>5049.74</v>
      </c>
      <c r="P3724" s="13">
        <v>2062.06</v>
      </c>
      <c r="Q3724" s="13">
        <v>90.56</v>
      </c>
      <c r="R3724" s="1" t="s">
        <v>64</v>
      </c>
      <c r="S3724" s="1">
        <v>1</v>
      </c>
      <c r="T3724" s="1" t="b">
        <v>0</v>
      </c>
      <c r="U3724" s="1" t="s">
        <v>39</v>
      </c>
      <c r="V3724" s="3">
        <v>8</v>
      </c>
    </row>
    <row r="3725" spans="1:22" x14ac:dyDescent="0.3">
      <c r="A3725" s="2" t="s">
        <v>7901</v>
      </c>
      <c r="B3725" s="10">
        <v>44058</v>
      </c>
      <c r="C3725" s="22">
        <v>44058</v>
      </c>
      <c r="D3725" s="1" t="s">
        <v>7902</v>
      </c>
      <c r="E3725" s="1" t="s">
        <v>481</v>
      </c>
      <c r="F3725" s="1">
        <v>58</v>
      </c>
      <c r="G3725" s="1" t="s">
        <v>68</v>
      </c>
      <c r="H3725" s="1" t="s">
        <v>74</v>
      </c>
      <c r="I3725" s="1" t="s">
        <v>75</v>
      </c>
      <c r="J3725" s="1" t="s">
        <v>76</v>
      </c>
      <c r="K3725" s="1" t="s">
        <v>132</v>
      </c>
      <c r="L3725" s="1">
        <v>9</v>
      </c>
      <c r="M3725" s="13">
        <v>3838.67</v>
      </c>
      <c r="N3725" s="15">
        <v>0.38</v>
      </c>
      <c r="O3725" s="13">
        <v>25652.22</v>
      </c>
      <c r="P3725" s="13">
        <v>9320.76</v>
      </c>
      <c r="Q3725" s="13">
        <v>35.65</v>
      </c>
      <c r="R3725" s="1" t="s">
        <v>70</v>
      </c>
      <c r="S3725" s="1">
        <v>2</v>
      </c>
      <c r="T3725" s="1" t="b">
        <v>1</v>
      </c>
      <c r="U3725" s="1" t="s">
        <v>30</v>
      </c>
      <c r="V3725" s="3">
        <v>8</v>
      </c>
    </row>
    <row r="3726" spans="1:22" x14ac:dyDescent="0.3">
      <c r="A3726" s="2" t="s">
        <v>7903</v>
      </c>
      <c r="B3726" s="10">
        <v>45320</v>
      </c>
      <c r="C3726" s="22">
        <v>45320</v>
      </c>
      <c r="D3726" s="1" t="s">
        <v>7904</v>
      </c>
      <c r="E3726" s="1" t="s">
        <v>234</v>
      </c>
      <c r="F3726" s="1">
        <v>65</v>
      </c>
      <c r="G3726" s="1" t="s">
        <v>68</v>
      </c>
      <c r="H3726" s="1" t="s">
        <v>82</v>
      </c>
      <c r="I3726" s="1" t="s">
        <v>244</v>
      </c>
      <c r="J3726" s="1" t="s">
        <v>44</v>
      </c>
      <c r="K3726" s="1" t="s">
        <v>186</v>
      </c>
      <c r="L3726" s="1">
        <v>5</v>
      </c>
      <c r="M3726" s="13">
        <v>10083.15</v>
      </c>
      <c r="N3726" s="15">
        <v>0.15</v>
      </c>
      <c r="O3726" s="13">
        <v>7994.96</v>
      </c>
      <c r="P3726" s="13">
        <v>1999.65</v>
      </c>
      <c r="Q3726" s="13">
        <v>46.72</v>
      </c>
      <c r="R3726" s="1" t="s">
        <v>57</v>
      </c>
      <c r="S3726" s="1">
        <v>4</v>
      </c>
      <c r="T3726" s="1" t="b">
        <v>0</v>
      </c>
      <c r="U3726" s="1" t="s">
        <v>39</v>
      </c>
      <c r="V3726" s="3">
        <v>1</v>
      </c>
    </row>
    <row r="3727" spans="1:22" x14ac:dyDescent="0.3">
      <c r="A3727" s="2" t="s">
        <v>7905</v>
      </c>
      <c r="B3727" s="10">
        <v>44297</v>
      </c>
      <c r="C3727" s="22">
        <v>44297</v>
      </c>
      <c r="D3727" s="1" t="s">
        <v>7906</v>
      </c>
      <c r="E3727" s="1" t="s">
        <v>384</v>
      </c>
      <c r="F3727" s="1">
        <v>41</v>
      </c>
      <c r="G3727" s="1" t="s">
        <v>68</v>
      </c>
      <c r="H3727" s="1" t="s">
        <v>35</v>
      </c>
      <c r="I3727" s="1" t="s">
        <v>49</v>
      </c>
      <c r="J3727" s="1" t="s">
        <v>146</v>
      </c>
      <c r="K3727" s="1" t="s">
        <v>147</v>
      </c>
      <c r="L3727" s="1">
        <v>5</v>
      </c>
      <c r="M3727" s="13">
        <v>1145.45</v>
      </c>
      <c r="N3727" s="15">
        <v>0.11</v>
      </c>
      <c r="O3727" s="13">
        <v>1338.53</v>
      </c>
      <c r="P3727" s="13">
        <v>222.57</v>
      </c>
      <c r="Q3727" s="13">
        <v>56.78</v>
      </c>
      <c r="R3727" s="1" t="s">
        <v>29</v>
      </c>
      <c r="S3727" s="1">
        <v>1</v>
      </c>
      <c r="T3727" s="1" t="b">
        <v>0</v>
      </c>
      <c r="U3727" s="1" t="s">
        <v>39</v>
      </c>
      <c r="V3727" s="3">
        <v>8</v>
      </c>
    </row>
    <row r="3728" spans="1:22" x14ac:dyDescent="0.3">
      <c r="A3728" s="2" t="s">
        <v>7907</v>
      </c>
      <c r="B3728" s="10">
        <v>45177</v>
      </c>
      <c r="C3728" s="22">
        <v>45177</v>
      </c>
      <c r="D3728" s="1" t="s">
        <v>7908</v>
      </c>
      <c r="E3728" s="1" t="s">
        <v>608</v>
      </c>
      <c r="F3728" s="1">
        <v>31</v>
      </c>
      <c r="G3728" s="1" t="s">
        <v>434</v>
      </c>
      <c r="H3728" s="1" t="s">
        <v>74</v>
      </c>
      <c r="I3728" s="1" t="s">
        <v>136</v>
      </c>
      <c r="J3728" s="1" t="s">
        <v>37</v>
      </c>
      <c r="K3728" s="1" t="s">
        <v>102</v>
      </c>
      <c r="L3728" s="1">
        <v>8</v>
      </c>
      <c r="M3728" s="13">
        <v>1386.11</v>
      </c>
      <c r="N3728" s="15">
        <v>0.36</v>
      </c>
      <c r="O3728" s="13">
        <v>8949.36</v>
      </c>
      <c r="P3728" s="13">
        <v>3833.84</v>
      </c>
      <c r="Q3728" s="13">
        <v>80.48</v>
      </c>
      <c r="R3728" s="1" t="s">
        <v>78</v>
      </c>
      <c r="S3728" s="1">
        <v>3</v>
      </c>
      <c r="T3728" s="1" t="b">
        <v>0</v>
      </c>
      <c r="U3728" s="1" t="s">
        <v>39</v>
      </c>
      <c r="V3728" s="3">
        <v>7</v>
      </c>
    </row>
    <row r="3729" spans="1:22" x14ac:dyDescent="0.3">
      <c r="A3729" s="2" t="s">
        <v>7909</v>
      </c>
      <c r="B3729" s="10">
        <v>44226</v>
      </c>
      <c r="C3729" s="22">
        <v>44226</v>
      </c>
      <c r="D3729" s="1" t="s">
        <v>7910</v>
      </c>
      <c r="E3729" s="1" t="s">
        <v>915</v>
      </c>
      <c r="F3729" s="1">
        <v>47</v>
      </c>
      <c r="G3729" s="1" t="s">
        <v>24</v>
      </c>
      <c r="H3729" s="1" t="s">
        <v>111</v>
      </c>
      <c r="I3729" s="1" t="s">
        <v>141</v>
      </c>
      <c r="J3729" s="1" t="s">
        <v>146</v>
      </c>
      <c r="K3729" s="1" t="s">
        <v>161</v>
      </c>
      <c r="L3729" s="1">
        <v>4</v>
      </c>
      <c r="M3729" s="13">
        <v>4061.87</v>
      </c>
      <c r="N3729" s="15">
        <v>0.15</v>
      </c>
      <c r="O3729" s="13">
        <v>11296.47</v>
      </c>
      <c r="P3729" s="13">
        <v>2369.9499999999998</v>
      </c>
      <c r="Q3729" s="13">
        <v>68.59</v>
      </c>
      <c r="R3729" s="1" t="s">
        <v>51</v>
      </c>
      <c r="S3729" s="1">
        <v>2</v>
      </c>
      <c r="T3729" s="1" t="b">
        <v>0</v>
      </c>
      <c r="U3729" s="1" t="s">
        <v>137</v>
      </c>
      <c r="V3729" s="3">
        <v>1</v>
      </c>
    </row>
    <row r="3730" spans="1:22" x14ac:dyDescent="0.3">
      <c r="A3730" s="2" t="s">
        <v>7911</v>
      </c>
      <c r="B3730" s="10">
        <v>45281</v>
      </c>
      <c r="C3730" s="22">
        <v>45281</v>
      </c>
      <c r="D3730" s="1" t="s">
        <v>7912</v>
      </c>
      <c r="E3730" s="1" t="s">
        <v>2655</v>
      </c>
      <c r="F3730" s="1">
        <v>40</v>
      </c>
      <c r="G3730" s="1" t="s">
        <v>24</v>
      </c>
      <c r="H3730" s="1" t="s">
        <v>35</v>
      </c>
      <c r="I3730" s="1" t="s">
        <v>36</v>
      </c>
      <c r="J3730" s="1" t="s">
        <v>27</v>
      </c>
      <c r="K3730" s="1" t="s">
        <v>97</v>
      </c>
      <c r="L3730" s="1">
        <v>8</v>
      </c>
      <c r="M3730" s="13">
        <v>133.54</v>
      </c>
      <c r="N3730" s="15">
        <v>0.25</v>
      </c>
      <c r="O3730" s="13">
        <v>700.62</v>
      </c>
      <c r="P3730" s="13">
        <v>48.03</v>
      </c>
      <c r="Q3730" s="13">
        <v>54.62</v>
      </c>
      <c r="R3730" s="1" t="s">
        <v>64</v>
      </c>
      <c r="S3730" s="1">
        <v>2</v>
      </c>
      <c r="T3730" s="1" t="b">
        <v>0</v>
      </c>
      <c r="U3730" s="1" t="s">
        <v>39</v>
      </c>
      <c r="V3730" s="3">
        <v>7</v>
      </c>
    </row>
    <row r="3731" spans="1:22" x14ac:dyDescent="0.3">
      <c r="A3731" s="2" t="s">
        <v>7913</v>
      </c>
      <c r="B3731" s="10">
        <v>45106</v>
      </c>
      <c r="C3731" s="22">
        <v>45106</v>
      </c>
      <c r="D3731" s="1" t="s">
        <v>7914</v>
      </c>
      <c r="E3731" s="1" t="s">
        <v>2295</v>
      </c>
      <c r="F3731" s="1">
        <v>33</v>
      </c>
      <c r="G3731" s="1" t="s">
        <v>34</v>
      </c>
      <c r="H3731" s="1" t="s">
        <v>82</v>
      </c>
      <c r="I3731" s="1" t="s">
        <v>293</v>
      </c>
      <c r="J3731" s="1" t="s">
        <v>44</v>
      </c>
      <c r="K3731" s="1" t="s">
        <v>221</v>
      </c>
      <c r="L3731" s="1">
        <v>7</v>
      </c>
      <c r="M3731" s="13">
        <v>29626.67</v>
      </c>
      <c r="N3731" s="15">
        <v>0.25</v>
      </c>
      <c r="O3731" s="13">
        <v>260198.32</v>
      </c>
      <c r="P3731" s="13">
        <v>54990.37</v>
      </c>
      <c r="Q3731" s="13">
        <v>89.07</v>
      </c>
      <c r="R3731" s="1" t="s">
        <v>70</v>
      </c>
      <c r="S3731" s="1">
        <v>3</v>
      </c>
      <c r="T3731" s="1" t="b">
        <v>0</v>
      </c>
      <c r="U3731" s="1" t="s">
        <v>39</v>
      </c>
      <c r="V3731" s="3">
        <v>2</v>
      </c>
    </row>
    <row r="3732" spans="1:22" x14ac:dyDescent="0.3">
      <c r="A3732" s="2" t="s">
        <v>7915</v>
      </c>
      <c r="B3732" s="10">
        <v>44384</v>
      </c>
      <c r="C3732" s="22">
        <v>44384</v>
      </c>
      <c r="D3732" s="1" t="s">
        <v>7916</v>
      </c>
      <c r="E3732" s="1" t="s">
        <v>858</v>
      </c>
      <c r="F3732" s="1">
        <v>29</v>
      </c>
      <c r="G3732" s="1" t="s">
        <v>68</v>
      </c>
      <c r="H3732" s="1" t="s">
        <v>111</v>
      </c>
      <c r="I3732" s="1" t="s">
        <v>141</v>
      </c>
      <c r="J3732" s="1" t="s">
        <v>76</v>
      </c>
      <c r="K3732" s="1" t="s">
        <v>207</v>
      </c>
      <c r="L3732" s="1">
        <v>8</v>
      </c>
      <c r="M3732" s="13">
        <v>3027.66</v>
      </c>
      <c r="N3732" s="15">
        <v>0.22</v>
      </c>
      <c r="O3732" s="13">
        <v>24537.25</v>
      </c>
      <c r="P3732" s="13">
        <v>8111.2</v>
      </c>
      <c r="Q3732" s="13">
        <v>67.06</v>
      </c>
      <c r="R3732" s="1" t="s">
        <v>64</v>
      </c>
      <c r="S3732" s="1">
        <v>3</v>
      </c>
      <c r="T3732" s="1" t="b">
        <v>1</v>
      </c>
      <c r="U3732" s="1" t="s">
        <v>30</v>
      </c>
      <c r="V3732" s="3">
        <v>9</v>
      </c>
    </row>
    <row r="3733" spans="1:22" x14ac:dyDescent="0.3">
      <c r="A3733" s="2" t="s">
        <v>7917</v>
      </c>
      <c r="B3733" s="10">
        <v>45076</v>
      </c>
      <c r="C3733" s="22">
        <v>45076</v>
      </c>
      <c r="D3733" s="1" t="s">
        <v>7918</v>
      </c>
      <c r="E3733" s="1" t="s">
        <v>668</v>
      </c>
      <c r="F3733" s="1">
        <v>39</v>
      </c>
      <c r="G3733" s="1" t="s">
        <v>24</v>
      </c>
      <c r="H3733" s="1" t="s">
        <v>111</v>
      </c>
      <c r="I3733" s="1" t="s">
        <v>121</v>
      </c>
      <c r="J3733" s="1" t="s">
        <v>62</v>
      </c>
      <c r="K3733" s="1" t="s">
        <v>63</v>
      </c>
      <c r="L3733" s="1">
        <v>8</v>
      </c>
      <c r="M3733" s="13">
        <v>786.23</v>
      </c>
      <c r="N3733" s="15">
        <v>0.23</v>
      </c>
      <c r="O3733" s="13">
        <v>7962.8</v>
      </c>
      <c r="P3733" s="13">
        <v>2889.1</v>
      </c>
      <c r="Q3733" s="13">
        <v>89.79</v>
      </c>
      <c r="R3733" s="1" t="s">
        <v>64</v>
      </c>
      <c r="S3733" s="1">
        <v>4</v>
      </c>
      <c r="T3733" s="1" t="b">
        <v>1</v>
      </c>
      <c r="U3733" s="1" t="s">
        <v>30</v>
      </c>
      <c r="V3733" s="3">
        <v>3</v>
      </c>
    </row>
    <row r="3734" spans="1:22" x14ac:dyDescent="0.3">
      <c r="A3734" s="2" t="s">
        <v>7919</v>
      </c>
      <c r="B3734" s="10">
        <v>45530</v>
      </c>
      <c r="C3734" s="22">
        <v>45530</v>
      </c>
      <c r="D3734" s="1" t="s">
        <v>7920</v>
      </c>
      <c r="E3734" s="1" t="s">
        <v>520</v>
      </c>
      <c r="F3734" s="1">
        <v>26</v>
      </c>
      <c r="G3734" s="1" t="s">
        <v>68</v>
      </c>
      <c r="H3734" s="1" t="s">
        <v>74</v>
      </c>
      <c r="I3734" s="1" t="s">
        <v>101</v>
      </c>
      <c r="J3734" s="1" t="s">
        <v>76</v>
      </c>
      <c r="K3734" s="1" t="s">
        <v>122</v>
      </c>
      <c r="L3734" s="1">
        <v>2</v>
      </c>
      <c r="M3734" s="13">
        <v>2273.4299999999998</v>
      </c>
      <c r="N3734" s="15">
        <v>0.19</v>
      </c>
      <c r="O3734" s="13">
        <v>6399.63</v>
      </c>
      <c r="P3734" s="13">
        <v>2166.56</v>
      </c>
      <c r="Q3734" s="13">
        <v>65.89</v>
      </c>
      <c r="R3734" s="1" t="s">
        <v>70</v>
      </c>
      <c r="S3734" s="1">
        <v>1</v>
      </c>
      <c r="T3734" s="1" t="b">
        <v>0</v>
      </c>
      <c r="U3734" s="1" t="s">
        <v>39</v>
      </c>
      <c r="V3734" s="3">
        <v>5</v>
      </c>
    </row>
    <row r="3735" spans="1:22" x14ac:dyDescent="0.3">
      <c r="A3735" s="2" t="s">
        <v>7921</v>
      </c>
      <c r="B3735" s="10">
        <v>45317</v>
      </c>
      <c r="C3735" s="22">
        <v>45317</v>
      </c>
      <c r="D3735" s="1" t="s">
        <v>7922</v>
      </c>
      <c r="E3735" s="1" t="s">
        <v>3031</v>
      </c>
      <c r="F3735" s="1">
        <v>20</v>
      </c>
      <c r="G3735" s="1" t="s">
        <v>68</v>
      </c>
      <c r="H3735" s="1" t="s">
        <v>74</v>
      </c>
      <c r="I3735" s="1" t="s">
        <v>192</v>
      </c>
      <c r="J3735" s="1" t="s">
        <v>27</v>
      </c>
      <c r="K3735" s="1" t="s">
        <v>400</v>
      </c>
      <c r="L3735" s="1">
        <v>5</v>
      </c>
      <c r="M3735" s="13">
        <v>293.8</v>
      </c>
      <c r="N3735" s="15">
        <v>0.38</v>
      </c>
      <c r="O3735" s="13">
        <v>1025.8</v>
      </c>
      <c r="P3735" s="13">
        <v>60.61</v>
      </c>
      <c r="Q3735" s="13">
        <v>39.26</v>
      </c>
      <c r="R3735" s="1" t="s">
        <v>57</v>
      </c>
      <c r="S3735" s="1">
        <v>2</v>
      </c>
      <c r="T3735" s="1" t="b">
        <v>0</v>
      </c>
      <c r="U3735" s="1" t="s">
        <v>39</v>
      </c>
      <c r="V3735" s="3">
        <v>1</v>
      </c>
    </row>
    <row r="3736" spans="1:22" x14ac:dyDescent="0.3">
      <c r="A3736" s="2" t="s">
        <v>7923</v>
      </c>
      <c r="B3736" s="10">
        <v>44081</v>
      </c>
      <c r="C3736" s="22">
        <v>44081</v>
      </c>
      <c r="D3736" s="1" t="s">
        <v>7924</v>
      </c>
      <c r="E3736" s="1" t="s">
        <v>473</v>
      </c>
      <c r="F3736" s="1">
        <v>37</v>
      </c>
      <c r="G3736" s="1" t="s">
        <v>34</v>
      </c>
      <c r="H3736" s="1" t="s">
        <v>25</v>
      </c>
      <c r="I3736" s="1" t="s">
        <v>55</v>
      </c>
      <c r="J3736" s="1" t="s">
        <v>146</v>
      </c>
      <c r="K3736" s="1" t="s">
        <v>178</v>
      </c>
      <c r="L3736" s="1">
        <v>8</v>
      </c>
      <c r="M3736" s="13">
        <v>1081.8900000000001</v>
      </c>
      <c r="N3736" s="15">
        <v>0.17</v>
      </c>
      <c r="O3736" s="13">
        <v>7052.66</v>
      </c>
      <c r="P3736" s="13">
        <v>1691.65</v>
      </c>
      <c r="Q3736" s="13">
        <v>68.34</v>
      </c>
      <c r="R3736" s="1" t="s">
        <v>57</v>
      </c>
      <c r="S3736" s="1">
        <v>3</v>
      </c>
      <c r="T3736" s="1" t="b">
        <v>0</v>
      </c>
      <c r="U3736" s="1" t="s">
        <v>39</v>
      </c>
      <c r="V3736" s="3">
        <v>7</v>
      </c>
    </row>
    <row r="3737" spans="1:22" x14ac:dyDescent="0.3">
      <c r="A3737" s="2" t="s">
        <v>7925</v>
      </c>
      <c r="B3737" s="10">
        <v>45502</v>
      </c>
      <c r="C3737" s="22">
        <v>45502</v>
      </c>
      <c r="D3737" s="1" t="s">
        <v>7926</v>
      </c>
      <c r="E3737" s="1" t="s">
        <v>872</v>
      </c>
      <c r="F3737" s="1">
        <v>25</v>
      </c>
      <c r="G3737" s="1" t="s">
        <v>34</v>
      </c>
      <c r="H3737" s="1" t="s">
        <v>35</v>
      </c>
      <c r="I3737" s="1" t="s">
        <v>43</v>
      </c>
      <c r="J3737" s="1" t="s">
        <v>37</v>
      </c>
      <c r="K3737" s="1" t="s">
        <v>671</v>
      </c>
      <c r="L3737" s="1">
        <v>8</v>
      </c>
      <c r="M3737" s="13">
        <v>142.19</v>
      </c>
      <c r="N3737" s="15">
        <v>0.04</v>
      </c>
      <c r="O3737" s="13">
        <v>1840.58</v>
      </c>
      <c r="P3737" s="13">
        <v>820.61</v>
      </c>
      <c r="Q3737" s="13">
        <v>75.73</v>
      </c>
      <c r="R3737" s="1" t="s">
        <v>51</v>
      </c>
      <c r="S3737" s="1">
        <v>3</v>
      </c>
      <c r="T3737" s="1" t="b">
        <v>0</v>
      </c>
      <c r="U3737" s="1" t="s">
        <v>39</v>
      </c>
      <c r="V3737" s="3">
        <v>5</v>
      </c>
    </row>
    <row r="3738" spans="1:22" x14ac:dyDescent="0.3">
      <c r="A3738" s="2" t="s">
        <v>7927</v>
      </c>
      <c r="B3738" s="10">
        <v>44876</v>
      </c>
      <c r="C3738" s="22">
        <v>44876</v>
      </c>
      <c r="D3738" s="1" t="s">
        <v>7928</v>
      </c>
      <c r="E3738" s="1" t="s">
        <v>878</v>
      </c>
      <c r="F3738" s="1">
        <v>15</v>
      </c>
      <c r="G3738" s="1" t="s">
        <v>68</v>
      </c>
      <c r="H3738" s="1" t="s">
        <v>25</v>
      </c>
      <c r="I3738" s="1" t="s">
        <v>55</v>
      </c>
      <c r="J3738" s="1" t="s">
        <v>27</v>
      </c>
      <c r="K3738" s="1" t="s">
        <v>56</v>
      </c>
      <c r="L3738" s="1">
        <v>8</v>
      </c>
      <c r="M3738" s="13">
        <v>125.37</v>
      </c>
      <c r="N3738" s="15">
        <v>0.31</v>
      </c>
      <c r="O3738" s="13">
        <v>588.74</v>
      </c>
      <c r="P3738" s="13">
        <v>40.340000000000003</v>
      </c>
      <c r="Q3738" s="13">
        <v>44.85</v>
      </c>
      <c r="R3738" s="1" t="s">
        <v>51</v>
      </c>
      <c r="S3738" s="1">
        <v>1</v>
      </c>
      <c r="T3738" s="1" t="b">
        <v>1</v>
      </c>
      <c r="U3738" s="1" t="s">
        <v>30</v>
      </c>
      <c r="V3738" s="3">
        <v>5</v>
      </c>
    </row>
    <row r="3739" spans="1:22" x14ac:dyDescent="0.3">
      <c r="A3739" s="2" t="s">
        <v>7929</v>
      </c>
      <c r="B3739" s="10">
        <v>45228</v>
      </c>
      <c r="C3739" s="22">
        <v>45228</v>
      </c>
      <c r="D3739" s="1" t="s">
        <v>7930</v>
      </c>
      <c r="E3739" s="1" t="s">
        <v>616</v>
      </c>
      <c r="F3739" s="1">
        <v>28</v>
      </c>
      <c r="G3739" s="1" t="s">
        <v>24</v>
      </c>
      <c r="H3739" s="1" t="s">
        <v>35</v>
      </c>
      <c r="I3739" s="1" t="s">
        <v>49</v>
      </c>
      <c r="J3739" s="1" t="s">
        <v>44</v>
      </c>
      <c r="K3739" s="1" t="s">
        <v>50</v>
      </c>
      <c r="L3739" s="1">
        <v>2</v>
      </c>
      <c r="M3739" s="13">
        <v>28320.84</v>
      </c>
      <c r="N3739" s="15">
        <v>0.09</v>
      </c>
      <c r="O3739" s="13">
        <v>52512.57</v>
      </c>
      <c r="P3739" s="13">
        <v>12726.17</v>
      </c>
      <c r="Q3739" s="13">
        <v>51.84</v>
      </c>
      <c r="R3739" s="1" t="s">
        <v>51</v>
      </c>
      <c r="S3739" s="1">
        <v>2</v>
      </c>
      <c r="T3739" s="1" t="b">
        <v>0</v>
      </c>
      <c r="U3739" s="1" t="s">
        <v>39</v>
      </c>
      <c r="V3739" s="3">
        <v>4</v>
      </c>
    </row>
    <row r="3740" spans="1:22" x14ac:dyDescent="0.3">
      <c r="A3740" s="2" t="s">
        <v>7931</v>
      </c>
      <c r="B3740" s="10">
        <v>44289</v>
      </c>
      <c r="C3740" s="22">
        <v>44289</v>
      </c>
      <c r="D3740" s="1" t="s">
        <v>7932</v>
      </c>
      <c r="E3740" s="1" t="s">
        <v>708</v>
      </c>
      <c r="F3740" s="1">
        <v>38</v>
      </c>
      <c r="G3740" s="1" t="s">
        <v>24</v>
      </c>
      <c r="H3740" s="1" t="s">
        <v>35</v>
      </c>
      <c r="I3740" s="1" t="s">
        <v>106</v>
      </c>
      <c r="J3740" s="1" t="s">
        <v>76</v>
      </c>
      <c r="K3740" s="1" t="s">
        <v>113</v>
      </c>
      <c r="L3740" s="1">
        <v>7</v>
      </c>
      <c r="M3740" s="13">
        <v>3514.94</v>
      </c>
      <c r="N3740" s="15">
        <v>0.24</v>
      </c>
      <c r="O3740" s="13">
        <v>21904.97</v>
      </c>
      <c r="P3740" s="13">
        <v>8841.56</v>
      </c>
      <c r="Q3740" s="13">
        <v>59.33</v>
      </c>
      <c r="R3740" s="1" t="s">
        <v>57</v>
      </c>
      <c r="S3740" s="1">
        <v>4</v>
      </c>
      <c r="T3740" s="1" t="b">
        <v>0</v>
      </c>
      <c r="U3740" s="1" t="s">
        <v>39</v>
      </c>
      <c r="V3740" s="3">
        <v>10</v>
      </c>
    </row>
    <row r="3741" spans="1:22" x14ac:dyDescent="0.3">
      <c r="A3741" s="2" t="s">
        <v>7933</v>
      </c>
      <c r="B3741" s="10">
        <v>44418</v>
      </c>
      <c r="C3741" s="22">
        <v>44418</v>
      </c>
      <c r="D3741" s="1" t="s">
        <v>7934</v>
      </c>
      <c r="E3741" s="1" t="s">
        <v>665</v>
      </c>
      <c r="F3741" s="1">
        <v>26</v>
      </c>
      <c r="G3741" s="1" t="s">
        <v>34</v>
      </c>
      <c r="H3741" s="1" t="s">
        <v>25</v>
      </c>
      <c r="I3741" s="1" t="s">
        <v>26</v>
      </c>
      <c r="J3741" s="1" t="s">
        <v>44</v>
      </c>
      <c r="K3741" s="1" t="s">
        <v>45</v>
      </c>
      <c r="L3741" s="1">
        <v>8</v>
      </c>
      <c r="M3741" s="13">
        <v>29112.080000000002</v>
      </c>
      <c r="N3741" s="15">
        <v>0.18</v>
      </c>
      <c r="O3741" s="13">
        <v>251589.73</v>
      </c>
      <c r="P3741" s="13">
        <v>75733.789999999994</v>
      </c>
      <c r="Q3741" s="13">
        <v>27.35</v>
      </c>
      <c r="R3741" s="1" t="s">
        <v>51</v>
      </c>
      <c r="S3741" s="1">
        <v>1</v>
      </c>
      <c r="T3741" s="1" t="b">
        <v>0</v>
      </c>
      <c r="U3741" s="1" t="s">
        <v>39</v>
      </c>
      <c r="V3741" s="3">
        <v>3</v>
      </c>
    </row>
    <row r="3742" spans="1:22" x14ac:dyDescent="0.3">
      <c r="A3742" s="2" t="s">
        <v>7935</v>
      </c>
      <c r="B3742" s="10">
        <v>44231</v>
      </c>
      <c r="C3742" s="22">
        <v>44231</v>
      </c>
      <c r="D3742" s="1" t="s">
        <v>7936</v>
      </c>
      <c r="E3742" s="1" t="s">
        <v>42</v>
      </c>
      <c r="F3742" s="1">
        <v>35</v>
      </c>
      <c r="G3742" s="1" t="s">
        <v>24</v>
      </c>
      <c r="H3742" s="1" t="s">
        <v>111</v>
      </c>
      <c r="I3742" s="1" t="s">
        <v>141</v>
      </c>
      <c r="J3742" s="1" t="s">
        <v>37</v>
      </c>
      <c r="K3742" s="1" t="s">
        <v>231</v>
      </c>
      <c r="L3742" s="1">
        <v>9</v>
      </c>
      <c r="M3742" s="13">
        <v>616.58000000000004</v>
      </c>
      <c r="N3742" s="15">
        <v>0.36</v>
      </c>
      <c r="O3742" s="13">
        <v>3400.49</v>
      </c>
      <c r="P3742" s="13">
        <v>1300.95</v>
      </c>
      <c r="Q3742" s="13">
        <v>91.17</v>
      </c>
      <c r="R3742" s="1" t="s">
        <v>64</v>
      </c>
      <c r="S3742" s="1">
        <v>4</v>
      </c>
      <c r="T3742" s="1" t="b">
        <v>0</v>
      </c>
      <c r="U3742" s="1" t="s">
        <v>39</v>
      </c>
      <c r="V3742" s="3">
        <v>10</v>
      </c>
    </row>
    <row r="3743" spans="1:22" x14ac:dyDescent="0.3">
      <c r="A3743" s="2" t="s">
        <v>7937</v>
      </c>
      <c r="B3743" s="10">
        <v>45039</v>
      </c>
      <c r="C3743" s="22">
        <v>45039</v>
      </c>
      <c r="D3743" s="1" t="s">
        <v>7680</v>
      </c>
      <c r="E3743" s="1" t="s">
        <v>230</v>
      </c>
      <c r="F3743" s="1">
        <v>32</v>
      </c>
      <c r="G3743" s="1" t="s">
        <v>68</v>
      </c>
      <c r="H3743" s="1" t="s">
        <v>111</v>
      </c>
      <c r="I3743" s="1" t="s">
        <v>121</v>
      </c>
      <c r="J3743" s="1" t="s">
        <v>76</v>
      </c>
      <c r="K3743" s="1" t="s">
        <v>132</v>
      </c>
      <c r="L3743" s="1">
        <v>6</v>
      </c>
      <c r="M3743" s="13">
        <v>3592.92</v>
      </c>
      <c r="N3743" s="15">
        <v>0.21</v>
      </c>
      <c r="O3743" s="13">
        <v>32152.59</v>
      </c>
      <c r="P3743" s="13">
        <v>12889.05</v>
      </c>
      <c r="Q3743" s="13">
        <v>58.05</v>
      </c>
      <c r="R3743" s="1" t="s">
        <v>64</v>
      </c>
      <c r="S3743" s="1">
        <v>4</v>
      </c>
      <c r="T3743" s="1" t="b">
        <v>1</v>
      </c>
      <c r="U3743" s="1" t="s">
        <v>30</v>
      </c>
      <c r="V3743" s="3">
        <v>3</v>
      </c>
    </row>
    <row r="3744" spans="1:22" x14ac:dyDescent="0.3">
      <c r="A3744" s="2" t="s">
        <v>7938</v>
      </c>
      <c r="B3744" s="10">
        <v>44400</v>
      </c>
      <c r="C3744" s="22">
        <v>44400</v>
      </c>
      <c r="D3744" s="1" t="s">
        <v>7939</v>
      </c>
      <c r="E3744" s="1" t="s">
        <v>304</v>
      </c>
      <c r="F3744" s="1">
        <v>29</v>
      </c>
      <c r="G3744" s="1" t="s">
        <v>68</v>
      </c>
      <c r="H3744" s="1" t="s">
        <v>25</v>
      </c>
      <c r="I3744" s="1" t="s">
        <v>170</v>
      </c>
      <c r="J3744" s="1" t="s">
        <v>146</v>
      </c>
      <c r="K3744" s="1" t="s">
        <v>178</v>
      </c>
      <c r="L3744" s="1">
        <v>6</v>
      </c>
      <c r="M3744" s="13">
        <v>4001.67</v>
      </c>
      <c r="N3744" s="15">
        <v>0.03</v>
      </c>
      <c r="O3744" s="13">
        <v>34048.21</v>
      </c>
      <c r="P3744" s="13">
        <v>7434.44</v>
      </c>
      <c r="Q3744" s="13">
        <v>68.099999999999994</v>
      </c>
      <c r="R3744" s="1" t="s">
        <v>78</v>
      </c>
      <c r="S3744" s="1">
        <v>5</v>
      </c>
      <c r="T3744" s="1" t="b">
        <v>0</v>
      </c>
      <c r="U3744" s="1" t="s">
        <v>39</v>
      </c>
      <c r="V3744" s="3">
        <v>7</v>
      </c>
    </row>
    <row r="3745" spans="1:22" x14ac:dyDescent="0.3">
      <c r="A3745" s="2" t="s">
        <v>7940</v>
      </c>
      <c r="B3745" s="10">
        <v>45580</v>
      </c>
      <c r="C3745" s="22">
        <v>45580</v>
      </c>
      <c r="D3745" s="1" t="s">
        <v>7941</v>
      </c>
      <c r="E3745" s="1" t="s">
        <v>1820</v>
      </c>
      <c r="F3745" s="1">
        <v>38</v>
      </c>
      <c r="G3745" s="1" t="s">
        <v>24</v>
      </c>
      <c r="H3745" s="1" t="s">
        <v>111</v>
      </c>
      <c r="I3745" s="1" t="s">
        <v>121</v>
      </c>
      <c r="J3745" s="1" t="s">
        <v>62</v>
      </c>
      <c r="K3745" s="1" t="s">
        <v>283</v>
      </c>
      <c r="L3745" s="1">
        <v>5</v>
      </c>
      <c r="M3745" s="13">
        <v>1347.11</v>
      </c>
      <c r="N3745" s="15">
        <v>0.05</v>
      </c>
      <c r="O3745" s="13">
        <v>1522.28</v>
      </c>
      <c r="P3745" s="13">
        <v>738.02</v>
      </c>
      <c r="Q3745" s="13">
        <v>52.55</v>
      </c>
      <c r="R3745" s="1" t="s">
        <v>57</v>
      </c>
      <c r="S3745" s="1">
        <v>5</v>
      </c>
      <c r="T3745" s="1" t="b">
        <v>0</v>
      </c>
      <c r="U3745" s="1" t="s">
        <v>39</v>
      </c>
      <c r="V3745" s="3">
        <v>4</v>
      </c>
    </row>
    <row r="3746" spans="1:22" x14ac:dyDescent="0.3">
      <c r="A3746" s="2" t="s">
        <v>7942</v>
      </c>
      <c r="B3746" s="10">
        <v>45015</v>
      </c>
      <c r="C3746" s="22">
        <v>45015</v>
      </c>
      <c r="D3746" s="1" t="s">
        <v>7943</v>
      </c>
      <c r="E3746" s="1" t="s">
        <v>1586</v>
      </c>
      <c r="F3746" s="1">
        <v>32</v>
      </c>
      <c r="G3746" s="1" t="s">
        <v>34</v>
      </c>
      <c r="H3746" s="1" t="s">
        <v>74</v>
      </c>
      <c r="I3746" s="1" t="s">
        <v>75</v>
      </c>
      <c r="J3746" s="1" t="s">
        <v>76</v>
      </c>
      <c r="K3746" s="1" t="s">
        <v>132</v>
      </c>
      <c r="L3746" s="1">
        <v>8</v>
      </c>
      <c r="M3746" s="13">
        <v>1060.79</v>
      </c>
      <c r="N3746" s="15">
        <v>0.16</v>
      </c>
      <c r="O3746" s="13">
        <v>8629.82</v>
      </c>
      <c r="P3746" s="13">
        <v>2159.1999999999998</v>
      </c>
      <c r="Q3746" s="13">
        <v>51.46</v>
      </c>
      <c r="R3746" s="1" t="s">
        <v>78</v>
      </c>
      <c r="S3746" s="1">
        <v>4</v>
      </c>
      <c r="T3746" s="1" t="b">
        <v>0</v>
      </c>
      <c r="U3746" s="1" t="s">
        <v>58</v>
      </c>
      <c r="V3746" s="3">
        <v>7</v>
      </c>
    </row>
    <row r="3747" spans="1:22" x14ac:dyDescent="0.3">
      <c r="A3747" s="2" t="s">
        <v>7944</v>
      </c>
      <c r="B3747" s="10">
        <v>45278</v>
      </c>
      <c r="C3747" s="22">
        <v>45278</v>
      </c>
      <c r="D3747" s="1" t="s">
        <v>7945</v>
      </c>
      <c r="E3747" s="1" t="s">
        <v>516</v>
      </c>
      <c r="F3747" s="1">
        <v>34</v>
      </c>
      <c r="G3747" s="1" t="s">
        <v>24</v>
      </c>
      <c r="H3747" s="1" t="s">
        <v>82</v>
      </c>
      <c r="I3747" s="1" t="s">
        <v>293</v>
      </c>
      <c r="J3747" s="1" t="s">
        <v>44</v>
      </c>
      <c r="K3747" s="1" t="s">
        <v>50</v>
      </c>
      <c r="L3747" s="1">
        <v>9</v>
      </c>
      <c r="M3747" s="13">
        <v>33868</v>
      </c>
      <c r="N3747" s="15">
        <v>0.31</v>
      </c>
      <c r="O3747" s="13">
        <v>167839.68</v>
      </c>
      <c r="P3747" s="13">
        <v>31658.39</v>
      </c>
      <c r="Q3747" s="13">
        <v>110.02</v>
      </c>
      <c r="R3747" s="1" t="s">
        <v>51</v>
      </c>
      <c r="S3747" s="1">
        <v>2</v>
      </c>
      <c r="T3747" s="1" t="b">
        <v>0</v>
      </c>
      <c r="U3747" s="1" t="s">
        <v>39</v>
      </c>
      <c r="V3747" s="3">
        <v>7</v>
      </c>
    </row>
    <row r="3748" spans="1:22" x14ac:dyDescent="0.3">
      <c r="A3748" s="2" t="s">
        <v>7946</v>
      </c>
      <c r="B3748" s="10">
        <v>45331</v>
      </c>
      <c r="C3748" s="22">
        <v>45331</v>
      </c>
      <c r="D3748" s="1" t="s">
        <v>7947</v>
      </c>
      <c r="E3748" s="1" t="s">
        <v>508</v>
      </c>
      <c r="F3748" s="1">
        <v>52</v>
      </c>
      <c r="G3748" s="1" t="s">
        <v>24</v>
      </c>
      <c r="H3748" s="1" t="s">
        <v>82</v>
      </c>
      <c r="I3748" s="1" t="s">
        <v>126</v>
      </c>
      <c r="J3748" s="1" t="s">
        <v>27</v>
      </c>
      <c r="K3748" s="1" t="s">
        <v>430</v>
      </c>
      <c r="L3748" s="1">
        <v>8</v>
      </c>
      <c r="M3748" s="13">
        <v>465.1</v>
      </c>
      <c r="N3748" s="15">
        <v>0.31</v>
      </c>
      <c r="O3748" s="13">
        <v>2873.98</v>
      </c>
      <c r="P3748" s="13">
        <v>258.85000000000002</v>
      </c>
      <c r="Q3748" s="13">
        <v>68.06</v>
      </c>
      <c r="R3748" s="1" t="s">
        <v>29</v>
      </c>
      <c r="S3748" s="1">
        <v>4</v>
      </c>
      <c r="T3748" s="1" t="b">
        <v>0</v>
      </c>
      <c r="U3748" s="1" t="s">
        <v>39</v>
      </c>
      <c r="V3748" s="3">
        <v>6</v>
      </c>
    </row>
    <row r="3749" spans="1:22" x14ac:dyDescent="0.3">
      <c r="A3749" s="2" t="s">
        <v>7948</v>
      </c>
      <c r="B3749" s="10">
        <v>44115</v>
      </c>
      <c r="C3749" s="22">
        <v>44115</v>
      </c>
      <c r="D3749" s="1" t="s">
        <v>7949</v>
      </c>
      <c r="E3749" s="1" t="s">
        <v>1899</v>
      </c>
      <c r="F3749" s="1">
        <v>44</v>
      </c>
      <c r="G3749" s="1" t="s">
        <v>34</v>
      </c>
      <c r="H3749" s="1" t="s">
        <v>82</v>
      </c>
      <c r="I3749" s="1" t="s">
        <v>293</v>
      </c>
      <c r="J3749" s="1" t="s">
        <v>27</v>
      </c>
      <c r="K3749" s="1" t="s">
        <v>97</v>
      </c>
      <c r="L3749" s="1">
        <v>4</v>
      </c>
      <c r="M3749" s="13">
        <v>311.10000000000002</v>
      </c>
      <c r="N3749" s="15">
        <v>0.01</v>
      </c>
      <c r="O3749" s="13">
        <v>1035.45</v>
      </c>
      <c r="P3749" s="13">
        <v>92.22</v>
      </c>
      <c r="Q3749" s="13">
        <v>75.239999999999995</v>
      </c>
      <c r="R3749" s="1" t="s">
        <v>78</v>
      </c>
      <c r="S3749" s="1">
        <v>2</v>
      </c>
      <c r="T3749" s="1" t="b">
        <v>0</v>
      </c>
      <c r="U3749" s="1" t="s">
        <v>39</v>
      </c>
      <c r="V3749" s="3">
        <v>1</v>
      </c>
    </row>
    <row r="3750" spans="1:22" x14ac:dyDescent="0.3">
      <c r="A3750" s="2" t="s">
        <v>7950</v>
      </c>
      <c r="B3750" s="10">
        <v>43917</v>
      </c>
      <c r="C3750" s="22">
        <v>43917</v>
      </c>
      <c r="D3750" s="1" t="s">
        <v>7951</v>
      </c>
      <c r="E3750" s="1" t="s">
        <v>1833</v>
      </c>
      <c r="F3750" s="1">
        <v>26</v>
      </c>
      <c r="G3750" s="1" t="s">
        <v>68</v>
      </c>
      <c r="H3750" s="1" t="s">
        <v>25</v>
      </c>
      <c r="I3750" s="1" t="s">
        <v>26</v>
      </c>
      <c r="J3750" s="1" t="s">
        <v>37</v>
      </c>
      <c r="K3750" s="1" t="s">
        <v>671</v>
      </c>
      <c r="L3750" s="1">
        <v>10</v>
      </c>
      <c r="M3750" s="13">
        <v>2466.88</v>
      </c>
      <c r="N3750" s="15">
        <v>0.25</v>
      </c>
      <c r="O3750" s="13">
        <v>17991.29</v>
      </c>
      <c r="P3750" s="13">
        <v>5973.34</v>
      </c>
      <c r="Q3750" s="13">
        <v>34.92</v>
      </c>
      <c r="R3750" s="1" t="s">
        <v>57</v>
      </c>
      <c r="S3750" s="1">
        <v>4</v>
      </c>
      <c r="T3750" s="1" t="b">
        <v>0</v>
      </c>
      <c r="U3750" s="1" t="s">
        <v>39</v>
      </c>
      <c r="V3750" s="3">
        <v>9</v>
      </c>
    </row>
    <row r="3751" spans="1:22" x14ac:dyDescent="0.3">
      <c r="A3751" s="2" t="s">
        <v>7952</v>
      </c>
      <c r="B3751" s="10">
        <v>44058</v>
      </c>
      <c r="C3751" s="22">
        <v>44058</v>
      </c>
      <c r="D3751" s="1" t="s">
        <v>7953</v>
      </c>
      <c r="E3751" s="1" t="s">
        <v>705</v>
      </c>
      <c r="F3751" s="1">
        <v>48</v>
      </c>
      <c r="G3751" s="1" t="s">
        <v>24</v>
      </c>
      <c r="H3751" s="1" t="s">
        <v>25</v>
      </c>
      <c r="I3751" s="1" t="s">
        <v>170</v>
      </c>
      <c r="J3751" s="1" t="s">
        <v>44</v>
      </c>
      <c r="K3751" s="1" t="s">
        <v>50</v>
      </c>
      <c r="L3751" s="1">
        <v>2</v>
      </c>
      <c r="M3751" s="13">
        <v>17924.25</v>
      </c>
      <c r="N3751" s="15">
        <v>0.15</v>
      </c>
      <c r="O3751" s="13">
        <v>40170.17</v>
      </c>
      <c r="P3751" s="13">
        <v>13769.68</v>
      </c>
      <c r="Q3751" s="13">
        <v>75.45</v>
      </c>
      <c r="R3751" s="1" t="s">
        <v>64</v>
      </c>
      <c r="S3751" s="1">
        <v>5</v>
      </c>
      <c r="T3751" s="1" t="b">
        <v>0</v>
      </c>
      <c r="U3751" s="1" t="s">
        <v>39</v>
      </c>
      <c r="V3751" s="3">
        <v>10</v>
      </c>
    </row>
    <row r="3752" spans="1:22" x14ac:dyDescent="0.3">
      <c r="A3752" s="2" t="s">
        <v>7954</v>
      </c>
      <c r="B3752" s="10">
        <v>44561</v>
      </c>
      <c r="C3752" s="22">
        <v>44561</v>
      </c>
      <c r="D3752" s="1" t="s">
        <v>7955</v>
      </c>
      <c r="E3752" s="1" t="s">
        <v>73</v>
      </c>
      <c r="F3752" s="1">
        <v>48</v>
      </c>
      <c r="G3752" s="1" t="s">
        <v>68</v>
      </c>
      <c r="H3752" s="1" t="s">
        <v>74</v>
      </c>
      <c r="I3752" s="1" t="s">
        <v>75</v>
      </c>
      <c r="J3752" s="1" t="s">
        <v>44</v>
      </c>
      <c r="K3752" s="1" t="s">
        <v>186</v>
      </c>
      <c r="L3752" s="1">
        <v>10</v>
      </c>
      <c r="M3752" s="13">
        <v>33336.04</v>
      </c>
      <c r="N3752" s="15">
        <v>0.22</v>
      </c>
      <c r="O3752" s="13">
        <v>196057.15</v>
      </c>
      <c r="P3752" s="13">
        <v>62738.27</v>
      </c>
      <c r="Q3752" s="13">
        <v>43.07</v>
      </c>
      <c r="R3752" s="1" t="s">
        <v>51</v>
      </c>
      <c r="S3752" s="1">
        <v>2</v>
      </c>
      <c r="T3752" s="1" t="b">
        <v>0</v>
      </c>
      <c r="U3752" s="1" t="s">
        <v>39</v>
      </c>
      <c r="V3752" s="3">
        <v>10</v>
      </c>
    </row>
    <row r="3753" spans="1:22" x14ac:dyDescent="0.3">
      <c r="A3753" s="2" t="s">
        <v>7956</v>
      </c>
      <c r="B3753" s="10">
        <v>44490</v>
      </c>
      <c r="C3753" s="22">
        <v>44490</v>
      </c>
      <c r="D3753" s="1" t="s">
        <v>7957</v>
      </c>
      <c r="E3753" s="1" t="s">
        <v>866</v>
      </c>
      <c r="F3753" s="1">
        <v>38</v>
      </c>
      <c r="G3753" s="1" t="s">
        <v>34</v>
      </c>
      <c r="H3753" s="1" t="s">
        <v>25</v>
      </c>
      <c r="I3753" s="1" t="s">
        <v>26</v>
      </c>
      <c r="J3753" s="1" t="s">
        <v>27</v>
      </c>
      <c r="K3753" s="1" t="s">
        <v>97</v>
      </c>
      <c r="L3753" s="1">
        <v>1</v>
      </c>
      <c r="M3753" s="13">
        <v>229.1</v>
      </c>
      <c r="N3753" s="15">
        <v>0.04</v>
      </c>
      <c r="O3753" s="13">
        <v>210.21</v>
      </c>
      <c r="P3753" s="13">
        <v>15.48</v>
      </c>
      <c r="Q3753" s="13">
        <v>70.47</v>
      </c>
      <c r="R3753" s="1" t="s">
        <v>57</v>
      </c>
      <c r="S3753" s="1">
        <v>5</v>
      </c>
      <c r="T3753" s="1" t="b">
        <v>0</v>
      </c>
      <c r="U3753" s="1" t="s">
        <v>39</v>
      </c>
      <c r="V3753" s="3">
        <v>3</v>
      </c>
    </row>
    <row r="3754" spans="1:22" x14ac:dyDescent="0.3">
      <c r="A3754" s="2" t="s">
        <v>7958</v>
      </c>
      <c r="B3754" s="10">
        <v>45464</v>
      </c>
      <c r="C3754" s="22">
        <v>45464</v>
      </c>
      <c r="D3754" s="1" t="s">
        <v>7959</v>
      </c>
      <c r="E3754" s="1" t="s">
        <v>786</v>
      </c>
      <c r="F3754" s="1">
        <v>42</v>
      </c>
      <c r="G3754" s="1" t="s">
        <v>34</v>
      </c>
      <c r="H3754" s="1" t="s">
        <v>82</v>
      </c>
      <c r="I3754" s="1" t="s">
        <v>244</v>
      </c>
      <c r="J3754" s="1" t="s">
        <v>127</v>
      </c>
      <c r="K3754" s="1" t="s">
        <v>517</v>
      </c>
      <c r="L3754" s="1">
        <v>6</v>
      </c>
      <c r="M3754" s="13">
        <v>72110.58</v>
      </c>
      <c r="N3754" s="15">
        <v>0.37</v>
      </c>
      <c r="O3754" s="13">
        <v>450289.54</v>
      </c>
      <c r="P3754" s="13">
        <v>65004.31</v>
      </c>
      <c r="Q3754" s="13">
        <v>70.739999999999995</v>
      </c>
      <c r="R3754" s="1" t="s">
        <v>64</v>
      </c>
      <c r="S3754" s="1">
        <v>3</v>
      </c>
      <c r="T3754" s="1" t="b">
        <v>0</v>
      </c>
      <c r="U3754" s="1" t="s">
        <v>58</v>
      </c>
      <c r="V3754" s="3">
        <v>9</v>
      </c>
    </row>
    <row r="3755" spans="1:22" x14ac:dyDescent="0.3">
      <c r="A3755" s="2" t="s">
        <v>7960</v>
      </c>
      <c r="B3755" s="10">
        <v>45500</v>
      </c>
      <c r="C3755" s="22">
        <v>45500</v>
      </c>
      <c r="D3755" s="1" t="s">
        <v>7961</v>
      </c>
      <c r="E3755" s="1" t="s">
        <v>92</v>
      </c>
      <c r="F3755" s="1">
        <v>20</v>
      </c>
      <c r="G3755" s="1" t="s">
        <v>24</v>
      </c>
      <c r="H3755" s="1" t="s">
        <v>82</v>
      </c>
      <c r="I3755" s="1" t="s">
        <v>83</v>
      </c>
      <c r="J3755" s="1" t="s">
        <v>27</v>
      </c>
      <c r="K3755" s="1" t="s">
        <v>56</v>
      </c>
      <c r="L3755" s="1">
        <v>7</v>
      </c>
      <c r="M3755" s="13">
        <v>75.8</v>
      </c>
      <c r="N3755" s="15">
        <v>0.05</v>
      </c>
      <c r="O3755" s="13">
        <v>782.05</v>
      </c>
      <c r="P3755" s="13">
        <v>70.98</v>
      </c>
      <c r="Q3755" s="13">
        <v>62.63</v>
      </c>
      <c r="R3755" s="1" t="s">
        <v>57</v>
      </c>
      <c r="S3755" s="1">
        <v>4</v>
      </c>
      <c r="T3755" s="1" t="b">
        <v>0</v>
      </c>
      <c r="U3755" s="1" t="s">
        <v>39</v>
      </c>
      <c r="V3755" s="3">
        <v>8</v>
      </c>
    </row>
    <row r="3756" spans="1:22" x14ac:dyDescent="0.3">
      <c r="A3756" s="2" t="s">
        <v>7962</v>
      </c>
      <c r="B3756" s="10">
        <v>43922</v>
      </c>
      <c r="C3756" s="22">
        <v>43922</v>
      </c>
      <c r="D3756" s="1" t="s">
        <v>7963</v>
      </c>
      <c r="E3756" s="1" t="s">
        <v>950</v>
      </c>
      <c r="F3756" s="1">
        <v>29</v>
      </c>
      <c r="G3756" s="1" t="s">
        <v>68</v>
      </c>
      <c r="H3756" s="1" t="s">
        <v>25</v>
      </c>
      <c r="I3756" s="1" t="s">
        <v>26</v>
      </c>
      <c r="J3756" s="1" t="s">
        <v>127</v>
      </c>
      <c r="K3756" s="1" t="s">
        <v>142</v>
      </c>
      <c r="L3756" s="1">
        <v>7</v>
      </c>
      <c r="M3756" s="13">
        <v>48050.22</v>
      </c>
      <c r="N3756" s="15">
        <v>0.32</v>
      </c>
      <c r="O3756" s="13">
        <v>237090.85</v>
      </c>
      <c r="P3756" s="13">
        <v>29156.240000000002</v>
      </c>
      <c r="Q3756" s="13">
        <v>35.880000000000003</v>
      </c>
      <c r="R3756" s="1" t="s">
        <v>29</v>
      </c>
      <c r="S3756" s="1">
        <v>4</v>
      </c>
      <c r="T3756" s="1" t="b">
        <v>0</v>
      </c>
      <c r="U3756" s="1" t="s">
        <v>84</v>
      </c>
      <c r="V3756" s="3">
        <v>3</v>
      </c>
    </row>
    <row r="3757" spans="1:22" x14ac:dyDescent="0.3">
      <c r="A3757" s="2" t="s">
        <v>7964</v>
      </c>
      <c r="B3757" s="10">
        <v>45150</v>
      </c>
      <c r="C3757" s="22">
        <v>45150</v>
      </c>
      <c r="D3757" s="1" t="s">
        <v>7965</v>
      </c>
      <c r="E3757" s="1" t="s">
        <v>1015</v>
      </c>
      <c r="F3757" s="1">
        <v>26</v>
      </c>
      <c r="G3757" s="1" t="s">
        <v>24</v>
      </c>
      <c r="H3757" s="1" t="s">
        <v>82</v>
      </c>
      <c r="I3757" s="1" t="s">
        <v>244</v>
      </c>
      <c r="J3757" s="1" t="s">
        <v>146</v>
      </c>
      <c r="K3757" s="1" t="s">
        <v>217</v>
      </c>
      <c r="L3757" s="1">
        <v>9</v>
      </c>
      <c r="M3757" s="13">
        <v>905.34</v>
      </c>
      <c r="N3757" s="15">
        <v>0.05</v>
      </c>
      <c r="O3757" s="13">
        <v>10046.959999999999</v>
      </c>
      <c r="P3757" s="13">
        <v>2301.4899999999998</v>
      </c>
      <c r="Q3757" s="13">
        <v>59.24</v>
      </c>
      <c r="R3757" s="1" t="s">
        <v>57</v>
      </c>
      <c r="S3757" s="1">
        <v>1</v>
      </c>
      <c r="T3757" s="1" t="b">
        <v>0</v>
      </c>
      <c r="U3757" s="1" t="s">
        <v>39</v>
      </c>
      <c r="V3757" s="3">
        <v>6</v>
      </c>
    </row>
    <row r="3758" spans="1:22" x14ac:dyDescent="0.3">
      <c r="A3758" s="2" t="s">
        <v>7966</v>
      </c>
      <c r="B3758" s="10">
        <v>44364</v>
      </c>
      <c r="C3758" s="22">
        <v>44364</v>
      </c>
      <c r="D3758" s="1" t="s">
        <v>7967</v>
      </c>
      <c r="E3758" s="1" t="s">
        <v>624</v>
      </c>
      <c r="F3758" s="1">
        <v>22</v>
      </c>
      <c r="G3758" s="1" t="s">
        <v>88</v>
      </c>
      <c r="H3758" s="1" t="s">
        <v>35</v>
      </c>
      <c r="I3758" s="1" t="s">
        <v>49</v>
      </c>
      <c r="J3758" s="1" t="s">
        <v>127</v>
      </c>
      <c r="K3758" s="1" t="s">
        <v>517</v>
      </c>
      <c r="L3758" s="1">
        <v>3</v>
      </c>
      <c r="M3758" s="13">
        <v>76896.61</v>
      </c>
      <c r="N3758" s="15">
        <v>7.0000000000000007E-2</v>
      </c>
      <c r="O3758" s="13">
        <v>332318.84999999998</v>
      </c>
      <c r="P3758" s="13">
        <v>37948.79</v>
      </c>
      <c r="Q3758" s="13">
        <v>73.13</v>
      </c>
      <c r="R3758" s="1" t="s">
        <v>64</v>
      </c>
      <c r="S3758" s="1">
        <v>3</v>
      </c>
      <c r="T3758" s="1" t="b">
        <v>0</v>
      </c>
      <c r="U3758" s="1" t="s">
        <v>137</v>
      </c>
      <c r="V3758" s="3">
        <v>5</v>
      </c>
    </row>
    <row r="3759" spans="1:22" x14ac:dyDescent="0.3">
      <c r="A3759" s="2" t="s">
        <v>7968</v>
      </c>
      <c r="B3759" s="10">
        <v>44115</v>
      </c>
      <c r="C3759" s="22">
        <v>44115</v>
      </c>
      <c r="D3759" s="1" t="s">
        <v>7969</v>
      </c>
      <c r="E3759" s="1" t="s">
        <v>61</v>
      </c>
      <c r="F3759" s="1">
        <v>10</v>
      </c>
      <c r="G3759" s="1" t="s">
        <v>68</v>
      </c>
      <c r="H3759" s="1" t="s">
        <v>25</v>
      </c>
      <c r="I3759" s="1" t="s">
        <v>170</v>
      </c>
      <c r="J3759" s="1" t="s">
        <v>62</v>
      </c>
      <c r="K3759" s="1" t="s">
        <v>151</v>
      </c>
      <c r="L3759" s="1">
        <v>1</v>
      </c>
      <c r="M3759" s="13">
        <v>1078.0999999999999</v>
      </c>
      <c r="N3759" s="15">
        <v>0.04</v>
      </c>
      <c r="O3759" s="13">
        <v>862.77</v>
      </c>
      <c r="P3759" s="13">
        <v>356.63</v>
      </c>
      <c r="Q3759" s="13">
        <v>30.25</v>
      </c>
      <c r="R3759" s="1" t="s">
        <v>78</v>
      </c>
      <c r="S3759" s="1">
        <v>4</v>
      </c>
      <c r="T3759" s="1" t="b">
        <v>0</v>
      </c>
      <c r="U3759" s="1" t="s">
        <v>39</v>
      </c>
      <c r="V3759" s="3">
        <v>6</v>
      </c>
    </row>
    <row r="3760" spans="1:22" x14ac:dyDescent="0.3">
      <c r="A3760" s="2" t="s">
        <v>7970</v>
      </c>
      <c r="B3760" s="10">
        <v>45540</v>
      </c>
      <c r="C3760" s="22">
        <v>45540</v>
      </c>
      <c r="D3760" s="1" t="s">
        <v>7971</v>
      </c>
      <c r="E3760" s="1" t="s">
        <v>341</v>
      </c>
      <c r="F3760" s="1">
        <v>26</v>
      </c>
      <c r="G3760" s="1" t="s">
        <v>68</v>
      </c>
      <c r="H3760" s="1" t="s">
        <v>82</v>
      </c>
      <c r="I3760" s="1" t="s">
        <v>126</v>
      </c>
      <c r="J3760" s="1" t="s">
        <v>27</v>
      </c>
      <c r="K3760" s="1" t="s">
        <v>56</v>
      </c>
      <c r="L3760" s="1">
        <v>7</v>
      </c>
      <c r="M3760" s="13">
        <v>461.68</v>
      </c>
      <c r="N3760" s="15">
        <v>0.21</v>
      </c>
      <c r="O3760" s="13">
        <v>3878.43</v>
      </c>
      <c r="P3760" s="13">
        <v>381.32</v>
      </c>
      <c r="Q3760" s="13">
        <v>109.75</v>
      </c>
      <c r="R3760" s="1" t="s">
        <v>29</v>
      </c>
      <c r="S3760" s="1">
        <v>1</v>
      </c>
      <c r="T3760" s="1" t="b">
        <v>0</v>
      </c>
      <c r="U3760" s="1" t="s">
        <v>58</v>
      </c>
      <c r="V3760" s="3">
        <v>7</v>
      </c>
    </row>
    <row r="3761" spans="1:22" x14ac:dyDescent="0.3">
      <c r="A3761" s="2" t="s">
        <v>7972</v>
      </c>
      <c r="B3761" s="10">
        <v>45607</v>
      </c>
      <c r="C3761" s="22">
        <v>45607</v>
      </c>
      <c r="D3761" s="1" t="s">
        <v>7973</v>
      </c>
      <c r="E3761" s="1" t="s">
        <v>603</v>
      </c>
      <c r="F3761" s="1">
        <v>38</v>
      </c>
      <c r="G3761" s="1" t="s">
        <v>24</v>
      </c>
      <c r="H3761" s="1" t="s">
        <v>25</v>
      </c>
      <c r="I3761" s="1" t="s">
        <v>55</v>
      </c>
      <c r="J3761" s="1" t="s">
        <v>127</v>
      </c>
      <c r="K3761" s="1" t="s">
        <v>517</v>
      </c>
      <c r="L3761" s="1">
        <v>5</v>
      </c>
      <c r="M3761" s="13">
        <v>32962.49</v>
      </c>
      <c r="N3761" s="15">
        <v>0.19</v>
      </c>
      <c r="O3761" s="13">
        <v>24684.25</v>
      </c>
      <c r="P3761" s="13">
        <v>2696.36</v>
      </c>
      <c r="Q3761" s="13">
        <v>60.59</v>
      </c>
      <c r="R3761" s="1" t="s">
        <v>51</v>
      </c>
      <c r="S3761" s="1">
        <v>2</v>
      </c>
      <c r="T3761" s="1" t="b">
        <v>0</v>
      </c>
      <c r="U3761" s="1" t="s">
        <v>84</v>
      </c>
      <c r="V3761" s="3">
        <v>2</v>
      </c>
    </row>
    <row r="3762" spans="1:22" x14ac:dyDescent="0.3">
      <c r="A3762" s="2" t="s">
        <v>7974</v>
      </c>
      <c r="B3762" s="10">
        <v>45390</v>
      </c>
      <c r="C3762" s="22">
        <v>45390</v>
      </c>
      <c r="D3762" s="1" t="s">
        <v>7975</v>
      </c>
      <c r="E3762" s="1" t="s">
        <v>1359</v>
      </c>
      <c r="F3762" s="1">
        <v>23</v>
      </c>
      <c r="G3762" s="1" t="s">
        <v>68</v>
      </c>
      <c r="H3762" s="1" t="s">
        <v>82</v>
      </c>
      <c r="I3762" s="1" t="s">
        <v>126</v>
      </c>
      <c r="J3762" s="1" t="s">
        <v>27</v>
      </c>
      <c r="K3762" s="1" t="s">
        <v>430</v>
      </c>
      <c r="L3762" s="1">
        <v>6</v>
      </c>
      <c r="M3762" s="13">
        <v>392.2</v>
      </c>
      <c r="N3762" s="15">
        <v>0.26</v>
      </c>
      <c r="O3762" s="13">
        <v>2621.04</v>
      </c>
      <c r="P3762" s="13">
        <v>207.12</v>
      </c>
      <c r="Q3762" s="13">
        <v>70.3</v>
      </c>
      <c r="R3762" s="1" t="s">
        <v>78</v>
      </c>
      <c r="S3762" s="1">
        <v>3</v>
      </c>
      <c r="T3762" s="1" t="b">
        <v>0</v>
      </c>
      <c r="U3762" s="1" t="s">
        <v>39</v>
      </c>
      <c r="V3762" s="3">
        <v>9</v>
      </c>
    </row>
    <row r="3763" spans="1:22" x14ac:dyDescent="0.3">
      <c r="A3763" s="2" t="s">
        <v>7976</v>
      </c>
      <c r="B3763" s="10">
        <v>43865</v>
      </c>
      <c r="C3763" s="22">
        <v>43865</v>
      </c>
      <c r="D3763" s="1" t="s">
        <v>7977</v>
      </c>
      <c r="E3763" s="1" t="s">
        <v>1340</v>
      </c>
      <c r="F3763" s="1">
        <v>34</v>
      </c>
      <c r="G3763" s="1" t="s">
        <v>24</v>
      </c>
      <c r="H3763" s="1" t="s">
        <v>74</v>
      </c>
      <c r="I3763" s="1" t="s">
        <v>136</v>
      </c>
      <c r="J3763" s="1" t="s">
        <v>127</v>
      </c>
      <c r="K3763" s="1" t="s">
        <v>196</v>
      </c>
      <c r="L3763" s="1">
        <v>7</v>
      </c>
      <c r="M3763" s="13">
        <v>60474.12</v>
      </c>
      <c r="N3763" s="15">
        <v>0.04</v>
      </c>
      <c r="O3763" s="13">
        <v>377022.96</v>
      </c>
      <c r="P3763" s="13">
        <v>37668.94</v>
      </c>
      <c r="Q3763" s="13">
        <v>62.96</v>
      </c>
      <c r="R3763" s="1" t="s">
        <v>57</v>
      </c>
      <c r="S3763" s="1">
        <v>4</v>
      </c>
      <c r="T3763" s="1" t="b">
        <v>0</v>
      </c>
      <c r="U3763" s="1" t="s">
        <v>137</v>
      </c>
      <c r="V3763" s="3">
        <v>7</v>
      </c>
    </row>
    <row r="3764" spans="1:22" x14ac:dyDescent="0.3">
      <c r="A3764" s="2" t="s">
        <v>7978</v>
      </c>
      <c r="B3764" s="10">
        <v>44448</v>
      </c>
      <c r="C3764" s="22">
        <v>44448</v>
      </c>
      <c r="D3764" s="1" t="s">
        <v>7979</v>
      </c>
      <c r="E3764" s="1" t="s">
        <v>1282</v>
      </c>
      <c r="F3764" s="1">
        <v>48</v>
      </c>
      <c r="G3764" s="1" t="s">
        <v>34</v>
      </c>
      <c r="H3764" s="1" t="s">
        <v>82</v>
      </c>
      <c r="I3764" s="1" t="s">
        <v>244</v>
      </c>
      <c r="J3764" s="1" t="s">
        <v>127</v>
      </c>
      <c r="K3764" s="1" t="s">
        <v>142</v>
      </c>
      <c r="L3764" s="1">
        <v>5</v>
      </c>
      <c r="M3764" s="13">
        <v>77055.5</v>
      </c>
      <c r="N3764" s="15">
        <v>0.09</v>
      </c>
      <c r="O3764" s="13">
        <v>398426.64</v>
      </c>
      <c r="P3764" s="13">
        <v>51765.01</v>
      </c>
      <c r="Q3764" s="13">
        <v>68.430000000000007</v>
      </c>
      <c r="R3764" s="1" t="s">
        <v>51</v>
      </c>
      <c r="S3764" s="1">
        <v>5</v>
      </c>
      <c r="T3764" s="1" t="b">
        <v>0</v>
      </c>
      <c r="U3764" s="1" t="s">
        <v>39</v>
      </c>
      <c r="V3764" s="3">
        <v>6</v>
      </c>
    </row>
    <row r="3765" spans="1:22" x14ac:dyDescent="0.3">
      <c r="A3765" s="2" t="s">
        <v>7980</v>
      </c>
      <c r="B3765" s="10">
        <v>45561</v>
      </c>
      <c r="C3765" s="22">
        <v>45561</v>
      </c>
      <c r="D3765" s="1" t="s">
        <v>7981</v>
      </c>
      <c r="E3765" s="1" t="s">
        <v>1492</v>
      </c>
      <c r="F3765" s="1">
        <v>35</v>
      </c>
      <c r="G3765" s="1" t="s">
        <v>34</v>
      </c>
      <c r="H3765" s="1" t="s">
        <v>111</v>
      </c>
      <c r="I3765" s="1" t="s">
        <v>330</v>
      </c>
      <c r="J3765" s="1" t="s">
        <v>76</v>
      </c>
      <c r="K3765" s="1" t="s">
        <v>113</v>
      </c>
      <c r="L3765" s="1">
        <v>7</v>
      </c>
      <c r="M3765" s="13">
        <v>1062.1099999999999</v>
      </c>
      <c r="N3765" s="15">
        <v>0.24</v>
      </c>
      <c r="O3765" s="13">
        <v>8280.1299999999992</v>
      </c>
      <c r="P3765" s="13">
        <v>1296.33</v>
      </c>
      <c r="Q3765" s="13">
        <v>57.64</v>
      </c>
      <c r="R3765" s="1" t="s">
        <v>78</v>
      </c>
      <c r="S3765" s="1">
        <v>3</v>
      </c>
      <c r="T3765" s="1" t="b">
        <v>1</v>
      </c>
      <c r="U3765" s="1" t="s">
        <v>30</v>
      </c>
      <c r="V3765" s="3">
        <v>3</v>
      </c>
    </row>
    <row r="3766" spans="1:22" x14ac:dyDescent="0.3">
      <c r="A3766" s="2" t="s">
        <v>7982</v>
      </c>
      <c r="B3766" s="10">
        <v>44706</v>
      </c>
      <c r="C3766" s="22">
        <v>44706</v>
      </c>
      <c r="D3766" s="1" t="s">
        <v>7983</v>
      </c>
      <c r="E3766" s="1" t="s">
        <v>61</v>
      </c>
      <c r="F3766" s="1">
        <v>31</v>
      </c>
      <c r="G3766" s="1" t="s">
        <v>391</v>
      </c>
      <c r="H3766" s="1" t="s">
        <v>111</v>
      </c>
      <c r="I3766" s="1" t="s">
        <v>112</v>
      </c>
      <c r="J3766" s="1" t="s">
        <v>27</v>
      </c>
      <c r="K3766" s="1" t="s">
        <v>97</v>
      </c>
      <c r="L3766" s="1">
        <v>6</v>
      </c>
      <c r="M3766" s="13">
        <v>181.78</v>
      </c>
      <c r="N3766" s="15">
        <v>0.38</v>
      </c>
      <c r="O3766" s="13">
        <v>888.33</v>
      </c>
      <c r="P3766" s="13">
        <v>43.28</v>
      </c>
      <c r="Q3766" s="13">
        <v>64.13</v>
      </c>
      <c r="R3766" s="1" t="s">
        <v>78</v>
      </c>
      <c r="S3766" s="1">
        <v>3</v>
      </c>
      <c r="T3766" s="1" t="b">
        <v>0</v>
      </c>
      <c r="U3766" s="1" t="s">
        <v>39</v>
      </c>
      <c r="V3766" s="3">
        <v>9</v>
      </c>
    </row>
    <row r="3767" spans="1:22" x14ac:dyDescent="0.3">
      <c r="A3767" s="2" t="s">
        <v>7984</v>
      </c>
      <c r="B3767" s="10">
        <v>45112</v>
      </c>
      <c r="C3767" s="22">
        <v>45112</v>
      </c>
      <c r="D3767" s="1" t="s">
        <v>7985</v>
      </c>
      <c r="E3767" s="1" t="s">
        <v>449</v>
      </c>
      <c r="F3767" s="1">
        <v>25</v>
      </c>
      <c r="G3767" s="1" t="s">
        <v>34</v>
      </c>
      <c r="H3767" s="1" t="s">
        <v>74</v>
      </c>
      <c r="I3767" s="1" t="s">
        <v>75</v>
      </c>
      <c r="J3767" s="1" t="s">
        <v>146</v>
      </c>
      <c r="K3767" s="1" t="s">
        <v>276</v>
      </c>
      <c r="L3767" s="1">
        <v>3</v>
      </c>
      <c r="M3767" s="13">
        <v>13054.7</v>
      </c>
      <c r="N3767" s="15">
        <v>0.2</v>
      </c>
      <c r="O3767" s="13">
        <v>50129.67</v>
      </c>
      <c r="P3767" s="13">
        <v>9740.83</v>
      </c>
      <c r="Q3767" s="13">
        <v>41.44</v>
      </c>
      <c r="R3767" s="1" t="s">
        <v>78</v>
      </c>
      <c r="S3767" s="1">
        <v>2</v>
      </c>
      <c r="T3767" s="1" t="b">
        <v>1</v>
      </c>
      <c r="U3767" s="1" t="s">
        <v>30</v>
      </c>
      <c r="V3767" s="3">
        <v>9</v>
      </c>
    </row>
    <row r="3768" spans="1:22" x14ac:dyDescent="0.3">
      <c r="A3768" s="2" t="s">
        <v>7986</v>
      </c>
      <c r="B3768" s="10">
        <v>45478</v>
      </c>
      <c r="C3768" s="22">
        <v>45478</v>
      </c>
      <c r="D3768" s="1" t="s">
        <v>7987</v>
      </c>
      <c r="E3768" s="1" t="s">
        <v>375</v>
      </c>
      <c r="F3768" s="1">
        <v>7</v>
      </c>
      <c r="G3768" s="1" t="s">
        <v>24</v>
      </c>
      <c r="H3768" s="1" t="s">
        <v>82</v>
      </c>
      <c r="I3768" s="1" t="s">
        <v>126</v>
      </c>
      <c r="J3768" s="1" t="s">
        <v>37</v>
      </c>
      <c r="K3768" s="1" t="s">
        <v>102</v>
      </c>
      <c r="L3768" s="1">
        <v>3</v>
      </c>
      <c r="M3768" s="13">
        <v>1906.13</v>
      </c>
      <c r="N3768" s="15">
        <v>0.35</v>
      </c>
      <c r="O3768" s="13">
        <v>5546.63</v>
      </c>
      <c r="P3768" s="13">
        <v>2206.08</v>
      </c>
      <c r="Q3768" s="13">
        <v>75.13</v>
      </c>
      <c r="R3768" s="1" t="s">
        <v>78</v>
      </c>
      <c r="S3768" s="1">
        <v>5</v>
      </c>
      <c r="T3768" s="1" t="b">
        <v>0</v>
      </c>
      <c r="U3768" s="1" t="s">
        <v>39</v>
      </c>
      <c r="V3768" s="3">
        <v>6</v>
      </c>
    </row>
    <row r="3769" spans="1:22" x14ac:dyDescent="0.3">
      <c r="A3769" s="2" t="s">
        <v>7988</v>
      </c>
      <c r="B3769" s="10">
        <v>43916</v>
      </c>
      <c r="C3769" s="22">
        <v>43916</v>
      </c>
      <c r="D3769" s="1" t="s">
        <v>7545</v>
      </c>
      <c r="E3769" s="1" t="s">
        <v>578</v>
      </c>
      <c r="F3769" s="1">
        <v>37</v>
      </c>
      <c r="G3769" s="1" t="s">
        <v>24</v>
      </c>
      <c r="H3769" s="1" t="s">
        <v>111</v>
      </c>
      <c r="I3769" s="1" t="s">
        <v>141</v>
      </c>
      <c r="J3769" s="1" t="s">
        <v>76</v>
      </c>
      <c r="K3769" s="1" t="s">
        <v>113</v>
      </c>
      <c r="L3769" s="1">
        <v>2</v>
      </c>
      <c r="M3769" s="13">
        <v>2822.43</v>
      </c>
      <c r="N3769" s="15">
        <v>0.32</v>
      </c>
      <c r="O3769" s="13">
        <v>3893.81</v>
      </c>
      <c r="P3769" s="13">
        <v>1101.47</v>
      </c>
      <c r="Q3769" s="13">
        <v>41.8</v>
      </c>
      <c r="R3769" s="1" t="s">
        <v>64</v>
      </c>
      <c r="S3769" s="1">
        <v>2</v>
      </c>
      <c r="T3769" s="1" t="b">
        <v>0</v>
      </c>
      <c r="U3769" s="1" t="s">
        <v>39</v>
      </c>
      <c r="V3769" s="3">
        <v>4</v>
      </c>
    </row>
    <row r="3770" spans="1:22" x14ac:dyDescent="0.3">
      <c r="A3770" s="2" t="s">
        <v>7989</v>
      </c>
      <c r="B3770" s="10">
        <v>45494</v>
      </c>
      <c r="C3770" s="22">
        <v>45494</v>
      </c>
      <c r="D3770" s="1" t="s">
        <v>7990</v>
      </c>
      <c r="E3770" s="1" t="s">
        <v>4531</v>
      </c>
      <c r="F3770" s="1">
        <v>47</v>
      </c>
      <c r="G3770" s="1" t="s">
        <v>34</v>
      </c>
      <c r="H3770" s="1" t="s">
        <v>35</v>
      </c>
      <c r="I3770" s="1" t="s">
        <v>43</v>
      </c>
      <c r="J3770" s="1" t="s">
        <v>27</v>
      </c>
      <c r="K3770" s="1" t="s">
        <v>430</v>
      </c>
      <c r="L3770" s="1">
        <v>7</v>
      </c>
      <c r="M3770" s="13">
        <v>488.22</v>
      </c>
      <c r="N3770" s="15">
        <v>0.38</v>
      </c>
      <c r="O3770" s="13">
        <v>2672.94</v>
      </c>
      <c r="P3770" s="13">
        <v>163.37</v>
      </c>
      <c r="Q3770" s="13">
        <v>60.37</v>
      </c>
      <c r="R3770" s="1" t="s">
        <v>51</v>
      </c>
      <c r="S3770" s="1">
        <v>1</v>
      </c>
      <c r="T3770" s="1" t="b">
        <v>1</v>
      </c>
      <c r="U3770" s="1" t="s">
        <v>30</v>
      </c>
      <c r="V3770" s="3">
        <v>8</v>
      </c>
    </row>
    <row r="3771" spans="1:22" x14ac:dyDescent="0.3">
      <c r="A3771" s="2" t="s">
        <v>7991</v>
      </c>
      <c r="B3771" s="10">
        <v>43909</v>
      </c>
      <c r="C3771" s="22">
        <v>43909</v>
      </c>
      <c r="D3771" s="1" t="s">
        <v>7992</v>
      </c>
      <c r="E3771" s="1" t="s">
        <v>847</v>
      </c>
      <c r="F3771" s="1">
        <v>39</v>
      </c>
      <c r="G3771" s="1" t="s">
        <v>34</v>
      </c>
      <c r="H3771" s="1" t="s">
        <v>111</v>
      </c>
      <c r="I3771" s="1" t="s">
        <v>141</v>
      </c>
      <c r="J3771" s="1" t="s">
        <v>37</v>
      </c>
      <c r="K3771" s="1" t="s">
        <v>182</v>
      </c>
      <c r="L3771" s="1">
        <v>2</v>
      </c>
      <c r="M3771" s="13">
        <v>691.8</v>
      </c>
      <c r="N3771" s="15">
        <v>0.4</v>
      </c>
      <c r="O3771" s="13">
        <v>832.4</v>
      </c>
      <c r="P3771" s="13">
        <v>369.92</v>
      </c>
      <c r="Q3771" s="13">
        <v>65.91</v>
      </c>
      <c r="R3771" s="1" t="s">
        <v>29</v>
      </c>
      <c r="S3771" s="1">
        <v>5</v>
      </c>
      <c r="T3771" s="1" t="b">
        <v>0</v>
      </c>
      <c r="U3771" s="1" t="s">
        <v>39</v>
      </c>
      <c r="V3771" s="3">
        <v>9</v>
      </c>
    </row>
    <row r="3772" spans="1:22" x14ac:dyDescent="0.3">
      <c r="A3772" s="2" t="s">
        <v>7993</v>
      </c>
      <c r="B3772" s="10">
        <v>45500</v>
      </c>
      <c r="C3772" s="22">
        <v>45500</v>
      </c>
      <c r="D3772" s="1" t="s">
        <v>7994</v>
      </c>
      <c r="E3772" s="1" t="s">
        <v>157</v>
      </c>
      <c r="F3772" s="1">
        <v>36</v>
      </c>
      <c r="G3772" s="1" t="s">
        <v>68</v>
      </c>
      <c r="H3772" s="1" t="s">
        <v>74</v>
      </c>
      <c r="I3772" s="1" t="s">
        <v>101</v>
      </c>
      <c r="J3772" s="1" t="s">
        <v>146</v>
      </c>
      <c r="K3772" s="1" t="s">
        <v>276</v>
      </c>
      <c r="L3772" s="1">
        <v>4</v>
      </c>
      <c r="M3772" s="13">
        <v>4702.62</v>
      </c>
      <c r="N3772" s="15">
        <v>0.3</v>
      </c>
      <c r="O3772" s="13">
        <v>23223.7</v>
      </c>
      <c r="P3772" s="13">
        <v>3762.63</v>
      </c>
      <c r="Q3772" s="13">
        <v>66.86</v>
      </c>
      <c r="R3772" s="1" t="s">
        <v>57</v>
      </c>
      <c r="S3772" s="1">
        <v>2</v>
      </c>
      <c r="T3772" s="1" t="b">
        <v>0</v>
      </c>
      <c r="U3772" s="1" t="s">
        <v>39</v>
      </c>
      <c r="V3772" s="3">
        <v>5</v>
      </c>
    </row>
    <row r="3773" spans="1:22" x14ac:dyDescent="0.3">
      <c r="A3773" s="2" t="s">
        <v>7995</v>
      </c>
      <c r="B3773" s="10">
        <v>44962</v>
      </c>
      <c r="C3773" s="22">
        <v>44962</v>
      </c>
      <c r="D3773" s="1" t="s">
        <v>7996</v>
      </c>
      <c r="E3773" s="1" t="s">
        <v>809</v>
      </c>
      <c r="F3773" s="1">
        <v>33</v>
      </c>
      <c r="G3773" s="1" t="s">
        <v>24</v>
      </c>
      <c r="H3773" s="1" t="s">
        <v>82</v>
      </c>
      <c r="I3773" s="1" t="s">
        <v>126</v>
      </c>
      <c r="J3773" s="1" t="s">
        <v>27</v>
      </c>
      <c r="K3773" s="1" t="s">
        <v>97</v>
      </c>
      <c r="L3773" s="1">
        <v>2</v>
      </c>
      <c r="M3773" s="13">
        <v>458.79</v>
      </c>
      <c r="N3773" s="15">
        <v>0.24</v>
      </c>
      <c r="O3773" s="13">
        <v>719.16</v>
      </c>
      <c r="P3773" s="13">
        <v>59.83</v>
      </c>
      <c r="Q3773" s="13">
        <v>86.04</v>
      </c>
      <c r="R3773" s="1" t="s">
        <v>51</v>
      </c>
      <c r="S3773" s="1">
        <v>3</v>
      </c>
      <c r="T3773" s="1" t="b">
        <v>0</v>
      </c>
      <c r="U3773" s="1" t="s">
        <v>84</v>
      </c>
      <c r="V3773" s="3">
        <v>6</v>
      </c>
    </row>
    <row r="3774" spans="1:22" x14ac:dyDescent="0.3">
      <c r="A3774" s="2" t="s">
        <v>7997</v>
      </c>
      <c r="B3774" s="10">
        <v>44956</v>
      </c>
      <c r="C3774" s="22">
        <v>44956</v>
      </c>
      <c r="D3774" s="1" t="s">
        <v>7998</v>
      </c>
      <c r="E3774" s="1" t="s">
        <v>1359</v>
      </c>
      <c r="F3774" s="1">
        <v>39</v>
      </c>
      <c r="G3774" s="1" t="s">
        <v>24</v>
      </c>
      <c r="H3774" s="1" t="s">
        <v>35</v>
      </c>
      <c r="I3774" s="1" t="s">
        <v>49</v>
      </c>
      <c r="J3774" s="1" t="s">
        <v>44</v>
      </c>
      <c r="K3774" s="1" t="s">
        <v>186</v>
      </c>
      <c r="L3774" s="1">
        <v>8</v>
      </c>
      <c r="M3774" s="13">
        <v>8213.91</v>
      </c>
      <c r="N3774" s="15">
        <v>0.21</v>
      </c>
      <c r="O3774" s="13">
        <v>64071.92</v>
      </c>
      <c r="P3774" s="13">
        <v>12928.63</v>
      </c>
      <c r="Q3774" s="13">
        <v>87.38</v>
      </c>
      <c r="R3774" s="1" t="s">
        <v>57</v>
      </c>
      <c r="S3774" s="1">
        <v>3</v>
      </c>
      <c r="T3774" s="1" t="b">
        <v>0</v>
      </c>
      <c r="U3774" s="1" t="s">
        <v>39</v>
      </c>
      <c r="V3774" s="3">
        <v>9</v>
      </c>
    </row>
    <row r="3775" spans="1:22" x14ac:dyDescent="0.3">
      <c r="A3775" s="2" t="s">
        <v>7999</v>
      </c>
      <c r="B3775" s="10">
        <v>45331</v>
      </c>
      <c r="C3775" s="22">
        <v>45331</v>
      </c>
      <c r="D3775" s="1" t="s">
        <v>8000</v>
      </c>
      <c r="E3775" s="1" t="s">
        <v>3664</v>
      </c>
      <c r="F3775" s="1">
        <v>42</v>
      </c>
      <c r="G3775" s="1" t="s">
        <v>68</v>
      </c>
      <c r="H3775" s="1" t="s">
        <v>25</v>
      </c>
      <c r="I3775" s="1" t="s">
        <v>170</v>
      </c>
      <c r="J3775" s="1" t="s">
        <v>27</v>
      </c>
      <c r="K3775" s="1" t="s">
        <v>56</v>
      </c>
      <c r="L3775" s="1">
        <v>7</v>
      </c>
      <c r="M3775" s="13">
        <v>359.97</v>
      </c>
      <c r="N3775" s="15">
        <v>0.04</v>
      </c>
      <c r="O3775" s="13">
        <v>2544.36</v>
      </c>
      <c r="P3775" s="13">
        <v>337.93</v>
      </c>
      <c r="Q3775" s="13">
        <v>52.95</v>
      </c>
      <c r="R3775" s="1" t="s">
        <v>78</v>
      </c>
      <c r="S3775" s="1">
        <v>5</v>
      </c>
      <c r="T3775" s="1" t="b">
        <v>0</v>
      </c>
      <c r="U3775" s="1" t="s">
        <v>84</v>
      </c>
      <c r="V3775" s="3">
        <v>5</v>
      </c>
    </row>
    <row r="3776" spans="1:22" x14ac:dyDescent="0.3">
      <c r="A3776" s="2" t="s">
        <v>8001</v>
      </c>
      <c r="B3776" s="10">
        <v>44723</v>
      </c>
      <c r="C3776" s="22">
        <v>44723</v>
      </c>
      <c r="D3776" s="1" t="s">
        <v>8002</v>
      </c>
      <c r="E3776" s="1" t="s">
        <v>319</v>
      </c>
      <c r="F3776" s="1">
        <v>33</v>
      </c>
      <c r="G3776" s="1" t="s">
        <v>68</v>
      </c>
      <c r="H3776" s="1" t="s">
        <v>74</v>
      </c>
      <c r="I3776" s="1" t="s">
        <v>101</v>
      </c>
      <c r="J3776" s="1" t="s">
        <v>62</v>
      </c>
      <c r="K3776" s="1" t="s">
        <v>266</v>
      </c>
      <c r="L3776" s="1">
        <v>1</v>
      </c>
      <c r="M3776" s="13">
        <v>910.26</v>
      </c>
      <c r="N3776" s="15">
        <v>0.04</v>
      </c>
      <c r="O3776" s="13">
        <v>1273.33</v>
      </c>
      <c r="P3776" s="13">
        <v>558.58000000000004</v>
      </c>
      <c r="Q3776" s="13">
        <v>27.4</v>
      </c>
      <c r="R3776" s="1" t="s">
        <v>57</v>
      </c>
      <c r="S3776" s="1">
        <v>3</v>
      </c>
      <c r="T3776" s="1" t="b">
        <v>0</v>
      </c>
      <c r="U3776" s="1" t="s">
        <v>39</v>
      </c>
      <c r="V3776" s="3">
        <v>3</v>
      </c>
    </row>
    <row r="3777" spans="1:22" x14ac:dyDescent="0.3">
      <c r="A3777" s="2" t="s">
        <v>8003</v>
      </c>
      <c r="B3777" s="10">
        <v>44757</v>
      </c>
      <c r="C3777" s="22">
        <v>44757</v>
      </c>
      <c r="D3777" s="1" t="s">
        <v>8004</v>
      </c>
      <c r="E3777" s="1" t="s">
        <v>363</v>
      </c>
      <c r="F3777" s="1">
        <v>49</v>
      </c>
      <c r="G3777" s="1" t="s">
        <v>68</v>
      </c>
      <c r="H3777" s="1" t="s">
        <v>74</v>
      </c>
      <c r="I3777" s="1" t="s">
        <v>101</v>
      </c>
      <c r="J3777" s="1" t="s">
        <v>27</v>
      </c>
      <c r="K3777" s="1" t="s">
        <v>56</v>
      </c>
      <c r="L3777" s="1">
        <v>4</v>
      </c>
      <c r="M3777" s="13">
        <v>363.4</v>
      </c>
      <c r="N3777" s="15">
        <v>0.33</v>
      </c>
      <c r="O3777" s="13">
        <v>1689.72</v>
      </c>
      <c r="P3777" s="13">
        <v>153.16999999999999</v>
      </c>
      <c r="Q3777" s="13">
        <v>55.45</v>
      </c>
      <c r="R3777" s="1" t="s">
        <v>64</v>
      </c>
      <c r="S3777" s="1">
        <v>1</v>
      </c>
      <c r="T3777" s="1" t="b">
        <v>0</v>
      </c>
      <c r="U3777" s="1" t="s">
        <v>39</v>
      </c>
      <c r="V3777" s="3">
        <v>3</v>
      </c>
    </row>
    <row r="3778" spans="1:22" x14ac:dyDescent="0.3">
      <c r="A3778" s="2" t="s">
        <v>8005</v>
      </c>
      <c r="B3778" s="10">
        <v>44583</v>
      </c>
      <c r="C3778" s="22">
        <v>44583</v>
      </c>
      <c r="D3778" s="1" t="s">
        <v>8006</v>
      </c>
      <c r="E3778" s="1" t="s">
        <v>1067</v>
      </c>
      <c r="F3778" s="1">
        <v>18</v>
      </c>
      <c r="G3778" s="1" t="s">
        <v>24</v>
      </c>
      <c r="H3778" s="1" t="s">
        <v>74</v>
      </c>
      <c r="I3778" s="1" t="s">
        <v>136</v>
      </c>
      <c r="J3778" s="1" t="s">
        <v>127</v>
      </c>
      <c r="K3778" s="1" t="s">
        <v>517</v>
      </c>
      <c r="L3778" s="1">
        <v>5</v>
      </c>
      <c r="M3778" s="13">
        <v>65121.61</v>
      </c>
      <c r="N3778" s="15">
        <v>0</v>
      </c>
      <c r="O3778" s="13">
        <v>278858.28999999998</v>
      </c>
      <c r="P3778" s="13">
        <v>33377.089999999997</v>
      </c>
      <c r="Q3778" s="13">
        <v>75.22</v>
      </c>
      <c r="R3778" s="1" t="s">
        <v>57</v>
      </c>
      <c r="S3778" s="1">
        <v>3</v>
      </c>
      <c r="T3778" s="1" t="b">
        <v>0</v>
      </c>
      <c r="U3778" s="1" t="s">
        <v>137</v>
      </c>
      <c r="V3778" s="3">
        <v>2</v>
      </c>
    </row>
    <row r="3779" spans="1:22" x14ac:dyDescent="0.3">
      <c r="A3779" s="2" t="s">
        <v>8007</v>
      </c>
      <c r="B3779" s="10">
        <v>45523</v>
      </c>
      <c r="C3779" s="22">
        <v>45523</v>
      </c>
      <c r="D3779" s="1" t="s">
        <v>8008</v>
      </c>
      <c r="E3779" s="1" t="s">
        <v>943</v>
      </c>
      <c r="F3779" s="1">
        <v>50</v>
      </c>
      <c r="G3779" s="1" t="s">
        <v>34</v>
      </c>
      <c r="H3779" s="1" t="s">
        <v>82</v>
      </c>
      <c r="I3779" s="1" t="s">
        <v>83</v>
      </c>
      <c r="J3779" s="1" t="s">
        <v>27</v>
      </c>
      <c r="K3779" s="1" t="s">
        <v>56</v>
      </c>
      <c r="L3779" s="1">
        <v>4</v>
      </c>
      <c r="M3779" s="13">
        <v>169.97</v>
      </c>
      <c r="N3779" s="15">
        <v>0.11</v>
      </c>
      <c r="O3779" s="13">
        <v>978.94</v>
      </c>
      <c r="P3779" s="13">
        <v>86.75</v>
      </c>
      <c r="Q3779" s="13">
        <v>73.040000000000006</v>
      </c>
      <c r="R3779" s="1" t="s">
        <v>29</v>
      </c>
      <c r="S3779" s="1">
        <v>1</v>
      </c>
      <c r="T3779" s="1" t="b">
        <v>0</v>
      </c>
      <c r="U3779" s="1" t="s">
        <v>39</v>
      </c>
      <c r="V3779" s="3">
        <v>9</v>
      </c>
    </row>
    <row r="3780" spans="1:22" x14ac:dyDescent="0.3">
      <c r="A3780" s="2" t="s">
        <v>8009</v>
      </c>
      <c r="B3780" s="10">
        <v>45040</v>
      </c>
      <c r="C3780" s="22">
        <v>45040</v>
      </c>
      <c r="D3780" s="1" t="s">
        <v>8010</v>
      </c>
      <c r="E3780" s="1" t="s">
        <v>140</v>
      </c>
      <c r="F3780" s="1">
        <v>34</v>
      </c>
      <c r="G3780" s="1" t="s">
        <v>24</v>
      </c>
      <c r="H3780" s="1" t="s">
        <v>35</v>
      </c>
      <c r="I3780" s="1" t="s">
        <v>43</v>
      </c>
      <c r="J3780" s="1" t="s">
        <v>76</v>
      </c>
      <c r="K3780" s="1" t="s">
        <v>122</v>
      </c>
      <c r="L3780" s="1">
        <v>4</v>
      </c>
      <c r="M3780" s="13">
        <v>882.01</v>
      </c>
      <c r="N3780" s="15">
        <v>0.05</v>
      </c>
      <c r="O3780" s="13">
        <v>4873.47</v>
      </c>
      <c r="P3780" s="13">
        <v>1032.3</v>
      </c>
      <c r="Q3780" s="13">
        <v>65.209999999999994</v>
      </c>
      <c r="R3780" s="1" t="s">
        <v>70</v>
      </c>
      <c r="S3780" s="1">
        <v>2</v>
      </c>
      <c r="T3780" s="1" t="b">
        <v>0</v>
      </c>
      <c r="U3780" s="1" t="s">
        <v>39</v>
      </c>
      <c r="V3780" s="3">
        <v>3</v>
      </c>
    </row>
    <row r="3781" spans="1:22" x14ac:dyDescent="0.3">
      <c r="A3781" s="2" t="s">
        <v>8011</v>
      </c>
      <c r="B3781" s="10">
        <v>45269</v>
      </c>
      <c r="C3781" s="22">
        <v>45269</v>
      </c>
      <c r="D3781" s="1" t="s">
        <v>8012</v>
      </c>
      <c r="E3781" s="1" t="s">
        <v>1526</v>
      </c>
      <c r="F3781" s="1">
        <v>31</v>
      </c>
      <c r="G3781" s="1" t="s">
        <v>24</v>
      </c>
      <c r="H3781" s="1" t="s">
        <v>82</v>
      </c>
      <c r="I3781" s="1" t="s">
        <v>293</v>
      </c>
      <c r="J3781" s="1" t="s">
        <v>27</v>
      </c>
      <c r="K3781" s="1" t="s">
        <v>400</v>
      </c>
      <c r="L3781" s="1">
        <v>8</v>
      </c>
      <c r="M3781" s="13">
        <v>314.32</v>
      </c>
      <c r="N3781" s="15">
        <v>0.03</v>
      </c>
      <c r="O3781" s="13">
        <v>2055.5500000000002</v>
      </c>
      <c r="P3781" s="13">
        <v>180.84</v>
      </c>
      <c r="Q3781" s="13">
        <v>99.45</v>
      </c>
      <c r="R3781" s="1" t="s">
        <v>29</v>
      </c>
      <c r="S3781" s="1">
        <v>1</v>
      </c>
      <c r="T3781" s="1" t="b">
        <v>0</v>
      </c>
      <c r="U3781" s="1" t="s">
        <v>84</v>
      </c>
      <c r="V3781" s="3">
        <v>2</v>
      </c>
    </row>
    <row r="3782" spans="1:22" x14ac:dyDescent="0.3">
      <c r="A3782" s="2" t="s">
        <v>8013</v>
      </c>
      <c r="B3782" s="10">
        <v>44341</v>
      </c>
      <c r="C3782" s="22">
        <v>44341</v>
      </c>
      <c r="D3782" s="1" t="s">
        <v>8014</v>
      </c>
      <c r="E3782" s="1" t="s">
        <v>167</v>
      </c>
      <c r="F3782" s="1">
        <v>14</v>
      </c>
      <c r="G3782" s="1" t="s">
        <v>24</v>
      </c>
      <c r="H3782" s="1" t="s">
        <v>35</v>
      </c>
      <c r="I3782" s="1" t="s">
        <v>43</v>
      </c>
      <c r="J3782" s="1" t="s">
        <v>62</v>
      </c>
      <c r="K3782" s="1" t="s">
        <v>107</v>
      </c>
      <c r="L3782" s="1">
        <v>10</v>
      </c>
      <c r="M3782" s="13">
        <v>363.79</v>
      </c>
      <c r="N3782" s="15">
        <v>0.14000000000000001</v>
      </c>
      <c r="O3782" s="13">
        <v>5020.88</v>
      </c>
      <c r="P3782" s="13">
        <v>1879.15</v>
      </c>
      <c r="Q3782" s="13">
        <v>43.41</v>
      </c>
      <c r="R3782" s="1" t="s">
        <v>57</v>
      </c>
      <c r="S3782" s="1">
        <v>3</v>
      </c>
      <c r="T3782" s="1" t="b">
        <v>0</v>
      </c>
      <c r="U3782" s="1" t="s">
        <v>84</v>
      </c>
      <c r="V3782" s="3">
        <v>8</v>
      </c>
    </row>
    <row r="3783" spans="1:22" x14ac:dyDescent="0.3">
      <c r="A3783" s="2" t="s">
        <v>8015</v>
      </c>
      <c r="B3783" s="10">
        <v>45156</v>
      </c>
      <c r="C3783" s="22">
        <v>45156</v>
      </c>
      <c r="D3783" s="1" t="s">
        <v>8016</v>
      </c>
      <c r="E3783" s="1" t="s">
        <v>1519</v>
      </c>
      <c r="F3783" s="1">
        <v>30</v>
      </c>
      <c r="G3783" s="1" t="s">
        <v>24</v>
      </c>
      <c r="H3783" s="1" t="s">
        <v>82</v>
      </c>
      <c r="I3783" s="1" t="s">
        <v>126</v>
      </c>
      <c r="J3783" s="1" t="s">
        <v>37</v>
      </c>
      <c r="K3783" s="1" t="s">
        <v>671</v>
      </c>
      <c r="L3783" s="1">
        <v>1</v>
      </c>
      <c r="M3783" s="13">
        <v>133.97999999999999</v>
      </c>
      <c r="N3783" s="15">
        <v>0.16</v>
      </c>
      <c r="O3783" s="13">
        <v>157</v>
      </c>
      <c r="P3783" s="13">
        <v>64.55</v>
      </c>
      <c r="Q3783" s="13">
        <v>59.05</v>
      </c>
      <c r="R3783" s="1" t="s">
        <v>70</v>
      </c>
      <c r="S3783" s="1">
        <v>5</v>
      </c>
      <c r="T3783" s="1" t="b">
        <v>0</v>
      </c>
      <c r="U3783" s="1" t="s">
        <v>39</v>
      </c>
      <c r="V3783" s="3">
        <v>4</v>
      </c>
    </row>
    <row r="3784" spans="1:22" x14ac:dyDescent="0.3">
      <c r="A3784" s="2" t="s">
        <v>8017</v>
      </c>
      <c r="B3784" s="10">
        <v>45194</v>
      </c>
      <c r="C3784" s="22">
        <v>45194</v>
      </c>
      <c r="D3784" s="1" t="s">
        <v>8018</v>
      </c>
      <c r="E3784" s="1" t="s">
        <v>227</v>
      </c>
      <c r="F3784" s="1">
        <v>27</v>
      </c>
      <c r="G3784" s="1" t="s">
        <v>34</v>
      </c>
      <c r="H3784" s="1" t="s">
        <v>111</v>
      </c>
      <c r="I3784" s="1" t="s">
        <v>121</v>
      </c>
      <c r="J3784" s="1" t="s">
        <v>127</v>
      </c>
      <c r="K3784" s="1" t="s">
        <v>308</v>
      </c>
      <c r="L3784" s="1">
        <v>3</v>
      </c>
      <c r="M3784" s="13">
        <v>40582.57</v>
      </c>
      <c r="N3784" s="15">
        <v>0.22</v>
      </c>
      <c r="O3784" s="13">
        <v>118400.61</v>
      </c>
      <c r="P3784" s="13">
        <v>13936.96</v>
      </c>
      <c r="Q3784" s="13">
        <v>91.9</v>
      </c>
      <c r="R3784" s="1" t="s">
        <v>29</v>
      </c>
      <c r="S3784" s="1">
        <v>3</v>
      </c>
      <c r="T3784" s="1" t="b">
        <v>0</v>
      </c>
      <c r="U3784" s="1" t="s">
        <v>84</v>
      </c>
      <c r="V3784" s="3">
        <v>4</v>
      </c>
    </row>
    <row r="3785" spans="1:22" x14ac:dyDescent="0.3">
      <c r="A3785" s="2" t="s">
        <v>8019</v>
      </c>
      <c r="B3785" s="10">
        <v>44632</v>
      </c>
      <c r="C3785" s="22">
        <v>44632</v>
      </c>
      <c r="D3785" s="1" t="s">
        <v>8020</v>
      </c>
      <c r="E3785" s="1" t="s">
        <v>732</v>
      </c>
      <c r="F3785" s="1">
        <v>47</v>
      </c>
      <c r="G3785" s="1" t="s">
        <v>24</v>
      </c>
      <c r="H3785" s="1" t="s">
        <v>25</v>
      </c>
      <c r="I3785" s="1" t="s">
        <v>55</v>
      </c>
      <c r="J3785" s="1" t="s">
        <v>76</v>
      </c>
      <c r="K3785" s="1" t="s">
        <v>113</v>
      </c>
      <c r="L3785" s="1">
        <v>1</v>
      </c>
      <c r="M3785" s="13">
        <v>1385.37</v>
      </c>
      <c r="N3785" s="15">
        <v>0.08</v>
      </c>
      <c r="O3785" s="13">
        <v>1543.45</v>
      </c>
      <c r="P3785" s="13">
        <v>661.84</v>
      </c>
      <c r="Q3785" s="13">
        <v>62.19</v>
      </c>
      <c r="R3785" s="1" t="s">
        <v>70</v>
      </c>
      <c r="S3785" s="1">
        <v>2</v>
      </c>
      <c r="T3785" s="1" t="b">
        <v>0</v>
      </c>
      <c r="U3785" s="1" t="s">
        <v>39</v>
      </c>
      <c r="V3785" s="3">
        <v>5</v>
      </c>
    </row>
    <row r="3786" spans="1:22" x14ac:dyDescent="0.3">
      <c r="A3786" s="2" t="s">
        <v>8021</v>
      </c>
      <c r="B3786" s="10">
        <v>44940</v>
      </c>
      <c r="C3786" s="22">
        <v>44940</v>
      </c>
      <c r="D3786" s="1" t="s">
        <v>3128</v>
      </c>
      <c r="E3786" s="1" t="s">
        <v>1399</v>
      </c>
      <c r="F3786" s="1">
        <v>999</v>
      </c>
      <c r="G3786" s="1" t="s">
        <v>68</v>
      </c>
      <c r="H3786" s="1" t="s">
        <v>111</v>
      </c>
      <c r="I3786" s="1" t="s">
        <v>112</v>
      </c>
      <c r="J3786" s="1" t="s">
        <v>127</v>
      </c>
      <c r="K3786" s="1" t="s">
        <v>128</v>
      </c>
      <c r="L3786" s="1">
        <v>999</v>
      </c>
      <c r="M3786" s="13">
        <v>18619.45</v>
      </c>
      <c r="N3786" s="15">
        <v>0</v>
      </c>
      <c r="O3786" s="13">
        <v>17360314.170000002</v>
      </c>
      <c r="P3786" s="13">
        <v>2445648.4300000002</v>
      </c>
      <c r="Q3786" s="13">
        <v>82.19</v>
      </c>
      <c r="R3786" s="1" t="s">
        <v>51</v>
      </c>
      <c r="S3786" s="1">
        <v>1</v>
      </c>
      <c r="T3786" s="1" t="b">
        <v>0</v>
      </c>
      <c r="U3786" s="1" t="s">
        <v>39</v>
      </c>
      <c r="V3786" s="3">
        <v>5</v>
      </c>
    </row>
    <row r="3787" spans="1:22" x14ac:dyDescent="0.3">
      <c r="A3787" s="2" t="s">
        <v>8022</v>
      </c>
      <c r="B3787" s="10">
        <v>45572</v>
      </c>
      <c r="C3787" s="22">
        <v>45572</v>
      </c>
      <c r="D3787" s="1" t="s">
        <v>8023</v>
      </c>
      <c r="E3787" s="1" t="s">
        <v>657</v>
      </c>
      <c r="F3787" s="1">
        <v>30</v>
      </c>
      <c r="G3787" s="1" t="s">
        <v>434</v>
      </c>
      <c r="H3787" s="1" t="s">
        <v>25</v>
      </c>
      <c r="I3787" s="1" t="s">
        <v>55</v>
      </c>
      <c r="J3787" s="1" t="s">
        <v>146</v>
      </c>
      <c r="K3787" s="1" t="s">
        <v>276</v>
      </c>
      <c r="L3787" s="1">
        <v>8</v>
      </c>
      <c r="M3787" s="13">
        <v>11748.72</v>
      </c>
      <c r="N3787" s="15">
        <v>0.34</v>
      </c>
      <c r="O3787" s="13">
        <v>67592.289999999994</v>
      </c>
      <c r="P3787" s="13">
        <v>16805.64</v>
      </c>
      <c r="Q3787" s="13">
        <v>44.93</v>
      </c>
      <c r="R3787" s="1" t="s">
        <v>78</v>
      </c>
      <c r="S3787" s="1">
        <v>3</v>
      </c>
      <c r="T3787" s="1" t="b">
        <v>1</v>
      </c>
      <c r="U3787" s="1" t="s">
        <v>30</v>
      </c>
      <c r="V3787" s="3">
        <v>10</v>
      </c>
    </row>
    <row r="3788" spans="1:22" x14ac:dyDescent="0.3">
      <c r="A3788" s="2" t="s">
        <v>8024</v>
      </c>
      <c r="B3788" s="10">
        <v>45358</v>
      </c>
      <c r="C3788" s="22">
        <v>45358</v>
      </c>
      <c r="D3788" s="1" t="s">
        <v>2639</v>
      </c>
      <c r="E3788" s="1" t="s">
        <v>282</v>
      </c>
      <c r="F3788" s="1">
        <v>41</v>
      </c>
      <c r="G3788" s="1" t="s">
        <v>68</v>
      </c>
      <c r="H3788" s="1" t="s">
        <v>82</v>
      </c>
      <c r="I3788" s="1" t="s">
        <v>293</v>
      </c>
      <c r="J3788" s="1" t="s">
        <v>76</v>
      </c>
      <c r="K3788" s="1" t="s">
        <v>207</v>
      </c>
      <c r="L3788" s="1">
        <v>10</v>
      </c>
      <c r="M3788" s="13">
        <v>1320.43</v>
      </c>
      <c r="N3788" s="15">
        <v>0.25</v>
      </c>
      <c r="O3788" s="13">
        <v>13732.16</v>
      </c>
      <c r="P3788" s="13">
        <v>5671.18</v>
      </c>
      <c r="Q3788" s="13">
        <v>74.31</v>
      </c>
      <c r="R3788" s="1" t="s">
        <v>29</v>
      </c>
      <c r="S3788" s="1">
        <v>2</v>
      </c>
      <c r="T3788" s="1" t="b">
        <v>0</v>
      </c>
      <c r="U3788" s="1" t="s">
        <v>137</v>
      </c>
      <c r="V3788" s="3">
        <v>6</v>
      </c>
    </row>
    <row r="3789" spans="1:22" x14ac:dyDescent="0.3">
      <c r="A3789" s="2" t="s">
        <v>8025</v>
      </c>
      <c r="B3789" s="10">
        <v>44294</v>
      </c>
      <c r="C3789" s="22">
        <v>44294</v>
      </c>
      <c r="D3789" s="1" t="s">
        <v>8026</v>
      </c>
      <c r="E3789" s="1" t="s">
        <v>275</v>
      </c>
      <c r="F3789" s="1">
        <v>49</v>
      </c>
      <c r="G3789" s="1" t="s">
        <v>68</v>
      </c>
      <c r="H3789" s="1" t="s">
        <v>82</v>
      </c>
      <c r="I3789" s="1" t="s">
        <v>83</v>
      </c>
      <c r="J3789" s="1" t="s">
        <v>44</v>
      </c>
      <c r="K3789" s="1" t="s">
        <v>50</v>
      </c>
      <c r="L3789" s="1">
        <v>10</v>
      </c>
      <c r="M3789" s="13">
        <v>14892.78</v>
      </c>
      <c r="N3789" s="15">
        <v>0.21</v>
      </c>
      <c r="O3789" s="13">
        <v>168394.7</v>
      </c>
      <c r="P3789" s="13">
        <v>64660.74</v>
      </c>
      <c r="Q3789" s="13">
        <v>118.18</v>
      </c>
      <c r="R3789" s="1" t="s">
        <v>70</v>
      </c>
      <c r="S3789" s="1">
        <v>2</v>
      </c>
      <c r="T3789" s="1" t="b">
        <v>0</v>
      </c>
      <c r="U3789" s="1" t="s">
        <v>137</v>
      </c>
      <c r="V3789" s="3">
        <v>8</v>
      </c>
    </row>
    <row r="3790" spans="1:22" x14ac:dyDescent="0.3">
      <c r="A3790" s="2" t="s">
        <v>8027</v>
      </c>
      <c r="B3790" s="10">
        <v>44609</v>
      </c>
      <c r="C3790" s="22">
        <v>44609</v>
      </c>
      <c r="D3790" s="1" t="s">
        <v>8028</v>
      </c>
      <c r="E3790" s="1" t="s">
        <v>1201</v>
      </c>
      <c r="F3790" s="1">
        <v>32</v>
      </c>
      <c r="G3790" s="1" t="s">
        <v>68</v>
      </c>
      <c r="H3790" s="1" t="s">
        <v>74</v>
      </c>
      <c r="I3790" s="1" t="s">
        <v>136</v>
      </c>
      <c r="J3790" s="1" t="s">
        <v>76</v>
      </c>
      <c r="K3790" s="1" t="s">
        <v>207</v>
      </c>
      <c r="L3790" s="1">
        <v>3</v>
      </c>
      <c r="M3790" s="13">
        <v>3289.49</v>
      </c>
      <c r="N3790" s="15">
        <v>0.2</v>
      </c>
      <c r="O3790" s="13">
        <v>6684.85</v>
      </c>
      <c r="P3790" s="13">
        <v>2606.38</v>
      </c>
      <c r="Q3790" s="13">
        <v>68.78</v>
      </c>
      <c r="R3790" s="1" t="s">
        <v>78</v>
      </c>
      <c r="S3790" s="1">
        <v>5</v>
      </c>
      <c r="T3790" s="1" t="b">
        <v>0</v>
      </c>
      <c r="U3790" s="1" t="s">
        <v>39</v>
      </c>
      <c r="V3790" s="3">
        <v>3</v>
      </c>
    </row>
    <row r="3791" spans="1:22" x14ac:dyDescent="0.3">
      <c r="A3791" s="2" t="s">
        <v>8029</v>
      </c>
      <c r="B3791" s="10">
        <v>44039</v>
      </c>
      <c r="C3791" s="22">
        <v>44039</v>
      </c>
      <c r="D3791" s="1" t="s">
        <v>8030</v>
      </c>
      <c r="E3791" s="1" t="s">
        <v>537</v>
      </c>
      <c r="F3791" s="1">
        <v>44</v>
      </c>
      <c r="G3791" s="1" t="s">
        <v>24</v>
      </c>
      <c r="H3791" s="1" t="s">
        <v>82</v>
      </c>
      <c r="I3791" s="1" t="s">
        <v>83</v>
      </c>
      <c r="J3791" s="1" t="s">
        <v>27</v>
      </c>
      <c r="K3791" s="1" t="s">
        <v>450</v>
      </c>
      <c r="L3791" s="1">
        <v>1</v>
      </c>
      <c r="M3791" s="13">
        <v>117.22</v>
      </c>
      <c r="N3791" s="15">
        <v>0.26</v>
      </c>
      <c r="O3791" s="13">
        <v>124.38</v>
      </c>
      <c r="P3791" s="13">
        <v>11.08</v>
      </c>
      <c r="Q3791" s="13">
        <v>84.2</v>
      </c>
      <c r="R3791" s="1" t="s">
        <v>70</v>
      </c>
      <c r="S3791" s="1">
        <v>2</v>
      </c>
      <c r="T3791" s="1" t="b">
        <v>0</v>
      </c>
      <c r="U3791" s="1" t="s">
        <v>39</v>
      </c>
      <c r="V3791" s="3">
        <v>5</v>
      </c>
    </row>
    <row r="3792" spans="1:22" x14ac:dyDescent="0.3">
      <c r="A3792" s="2" t="s">
        <v>8031</v>
      </c>
      <c r="B3792" s="10">
        <v>44003</v>
      </c>
      <c r="C3792" s="22">
        <v>44003</v>
      </c>
      <c r="D3792" s="1" t="s">
        <v>8032</v>
      </c>
      <c r="E3792" s="1" t="s">
        <v>842</v>
      </c>
      <c r="F3792" s="1">
        <v>27</v>
      </c>
      <c r="G3792" s="1" t="s">
        <v>24</v>
      </c>
      <c r="H3792" s="1" t="s">
        <v>35</v>
      </c>
      <c r="I3792" s="1" t="s">
        <v>106</v>
      </c>
      <c r="J3792" s="1" t="s">
        <v>146</v>
      </c>
      <c r="K3792" s="1" t="s">
        <v>147</v>
      </c>
      <c r="L3792" s="1">
        <v>9</v>
      </c>
      <c r="M3792" s="13">
        <v>14879.68</v>
      </c>
      <c r="N3792" s="15">
        <v>0.25</v>
      </c>
      <c r="O3792" s="13">
        <v>128980.52</v>
      </c>
      <c r="P3792" s="13">
        <v>28846.04</v>
      </c>
      <c r="Q3792" s="13">
        <v>60</v>
      </c>
      <c r="R3792" s="1" t="s">
        <v>70</v>
      </c>
      <c r="S3792" s="1">
        <v>3</v>
      </c>
      <c r="T3792" s="1" t="b">
        <v>0</v>
      </c>
      <c r="U3792" s="1" t="s">
        <v>39</v>
      </c>
      <c r="V3792" s="3">
        <v>10</v>
      </c>
    </row>
    <row r="3793" spans="1:22" x14ac:dyDescent="0.3">
      <c r="A3793" s="2" t="s">
        <v>8033</v>
      </c>
      <c r="B3793" s="10">
        <v>45351</v>
      </c>
      <c r="C3793" s="22">
        <v>45351</v>
      </c>
      <c r="D3793" s="1" t="s">
        <v>8034</v>
      </c>
      <c r="E3793" s="1" t="s">
        <v>423</v>
      </c>
      <c r="F3793" s="1">
        <v>39</v>
      </c>
      <c r="G3793" s="1" t="s">
        <v>68</v>
      </c>
      <c r="H3793" s="1" t="s">
        <v>35</v>
      </c>
      <c r="I3793" s="1" t="s">
        <v>43</v>
      </c>
      <c r="J3793" s="1" t="s">
        <v>127</v>
      </c>
      <c r="K3793" s="1" t="s">
        <v>128</v>
      </c>
      <c r="L3793" s="1">
        <v>8</v>
      </c>
      <c r="M3793" s="13">
        <v>22744.84</v>
      </c>
      <c r="N3793" s="15">
        <v>0.03</v>
      </c>
      <c r="O3793" s="13">
        <v>181169.01</v>
      </c>
      <c r="P3793" s="13">
        <v>15125.76</v>
      </c>
      <c r="Q3793" s="13">
        <v>75.81</v>
      </c>
      <c r="R3793" s="1" t="s">
        <v>51</v>
      </c>
      <c r="S3793" s="1">
        <v>1</v>
      </c>
      <c r="T3793" s="1" t="b">
        <v>0</v>
      </c>
      <c r="U3793" s="1" t="s">
        <v>137</v>
      </c>
      <c r="V3793" s="3">
        <v>3</v>
      </c>
    </row>
    <row r="3794" spans="1:22" x14ac:dyDescent="0.3">
      <c r="A3794" s="2" t="s">
        <v>8035</v>
      </c>
      <c r="B3794" s="10">
        <v>43844</v>
      </c>
      <c r="C3794" s="22">
        <v>43844</v>
      </c>
      <c r="D3794" s="1" t="s">
        <v>8036</v>
      </c>
      <c r="E3794" s="1" t="s">
        <v>915</v>
      </c>
      <c r="F3794" s="1">
        <v>26</v>
      </c>
      <c r="G3794" s="1" t="s">
        <v>68</v>
      </c>
      <c r="H3794" s="1" t="s">
        <v>82</v>
      </c>
      <c r="I3794" s="1" t="s">
        <v>83</v>
      </c>
      <c r="J3794" s="1" t="s">
        <v>44</v>
      </c>
      <c r="K3794" s="1" t="s">
        <v>221</v>
      </c>
      <c r="L3794" s="1">
        <v>3</v>
      </c>
      <c r="M3794" s="13">
        <v>12822.15</v>
      </c>
      <c r="N3794" s="15">
        <v>0.01</v>
      </c>
      <c r="O3794" s="13">
        <v>29713.41</v>
      </c>
      <c r="P3794" s="13">
        <v>10599.17</v>
      </c>
      <c r="Q3794" s="13">
        <v>86.21</v>
      </c>
      <c r="R3794" s="1" t="s">
        <v>78</v>
      </c>
      <c r="S3794" s="1">
        <v>2</v>
      </c>
      <c r="T3794" s="1" t="b">
        <v>1</v>
      </c>
      <c r="U3794" s="1" t="s">
        <v>30</v>
      </c>
      <c r="V3794" s="3">
        <v>9</v>
      </c>
    </row>
    <row r="3795" spans="1:22" x14ac:dyDescent="0.3">
      <c r="A3795" s="2" t="s">
        <v>8037</v>
      </c>
      <c r="B3795" s="10">
        <v>44813</v>
      </c>
      <c r="C3795" s="22">
        <v>44813</v>
      </c>
      <c r="D3795" s="1" t="s">
        <v>8038</v>
      </c>
      <c r="E3795" s="1" t="s">
        <v>1899</v>
      </c>
      <c r="F3795" s="1">
        <v>33</v>
      </c>
      <c r="G3795" s="1" t="s">
        <v>68</v>
      </c>
      <c r="H3795" s="1" t="s">
        <v>74</v>
      </c>
      <c r="I3795" s="1" t="s">
        <v>136</v>
      </c>
      <c r="J3795" s="1" t="s">
        <v>44</v>
      </c>
      <c r="K3795" s="1" t="s">
        <v>221</v>
      </c>
      <c r="L3795" s="1">
        <v>10</v>
      </c>
      <c r="M3795" s="13">
        <v>5472.78</v>
      </c>
      <c r="N3795" s="15">
        <v>0.24</v>
      </c>
      <c r="O3795" s="13">
        <v>53170.77</v>
      </c>
      <c r="P3795" s="13">
        <v>15999.21</v>
      </c>
      <c r="Q3795" s="13">
        <v>73.94</v>
      </c>
      <c r="R3795" s="1" t="s">
        <v>29</v>
      </c>
      <c r="S3795" s="1">
        <v>4</v>
      </c>
      <c r="T3795" s="1" t="b">
        <v>0</v>
      </c>
      <c r="U3795" s="1" t="s">
        <v>39</v>
      </c>
      <c r="V3795" s="3">
        <v>9</v>
      </c>
    </row>
    <row r="3796" spans="1:22" x14ac:dyDescent="0.3">
      <c r="A3796" s="2" t="s">
        <v>8039</v>
      </c>
      <c r="B3796" s="10">
        <v>44981</v>
      </c>
      <c r="C3796" s="22">
        <v>44981</v>
      </c>
      <c r="D3796" s="1" t="s">
        <v>8040</v>
      </c>
      <c r="E3796" s="1" t="s">
        <v>2900</v>
      </c>
      <c r="F3796" s="1">
        <v>41</v>
      </c>
      <c r="G3796" s="1" t="s">
        <v>24</v>
      </c>
      <c r="H3796" s="1" t="s">
        <v>82</v>
      </c>
      <c r="I3796" s="1" t="s">
        <v>293</v>
      </c>
      <c r="J3796" s="1" t="s">
        <v>27</v>
      </c>
      <c r="K3796" s="1" t="s">
        <v>56</v>
      </c>
      <c r="L3796" s="1">
        <v>5</v>
      </c>
      <c r="M3796" s="13">
        <v>97.04</v>
      </c>
      <c r="N3796" s="15">
        <v>7.0000000000000007E-2</v>
      </c>
      <c r="O3796" s="13">
        <v>446.89</v>
      </c>
      <c r="P3796" s="13">
        <v>48.71</v>
      </c>
      <c r="Q3796" s="13">
        <v>82.24</v>
      </c>
      <c r="R3796" s="1" t="s">
        <v>57</v>
      </c>
      <c r="S3796" s="1">
        <v>1</v>
      </c>
      <c r="T3796" s="1" t="b">
        <v>0</v>
      </c>
      <c r="U3796" s="1" t="s">
        <v>197</v>
      </c>
      <c r="V3796" s="3">
        <v>3</v>
      </c>
    </row>
    <row r="3797" spans="1:22" x14ac:dyDescent="0.3">
      <c r="A3797" s="2" t="s">
        <v>8041</v>
      </c>
      <c r="B3797" s="10">
        <v>43943</v>
      </c>
      <c r="C3797" s="22">
        <v>43943</v>
      </c>
      <c r="D3797" s="1" t="s">
        <v>8042</v>
      </c>
      <c r="E3797" s="1" t="s">
        <v>755</v>
      </c>
      <c r="F3797" s="1">
        <v>50</v>
      </c>
      <c r="G3797" s="1" t="s">
        <v>34</v>
      </c>
      <c r="H3797" s="1" t="s">
        <v>82</v>
      </c>
      <c r="I3797" s="1" t="s">
        <v>83</v>
      </c>
      <c r="J3797" s="1" t="s">
        <v>62</v>
      </c>
      <c r="K3797" s="1" t="s">
        <v>151</v>
      </c>
      <c r="L3797" s="1">
        <v>8</v>
      </c>
      <c r="M3797" s="13">
        <v>724.91</v>
      </c>
      <c r="N3797" s="15">
        <v>0.39</v>
      </c>
      <c r="O3797" s="13">
        <v>3949.85</v>
      </c>
      <c r="P3797" s="13">
        <v>1441.05</v>
      </c>
      <c r="Q3797" s="13">
        <v>80.319999999999993</v>
      </c>
      <c r="R3797" s="1" t="s">
        <v>57</v>
      </c>
      <c r="S3797" s="1">
        <v>3</v>
      </c>
      <c r="T3797" s="1" t="b">
        <v>0</v>
      </c>
      <c r="U3797" s="1" t="s">
        <v>58</v>
      </c>
      <c r="V3797" s="3">
        <v>1</v>
      </c>
    </row>
    <row r="3798" spans="1:22" x14ac:dyDescent="0.3">
      <c r="A3798" s="2" t="s">
        <v>8043</v>
      </c>
      <c r="B3798" s="10">
        <v>44981</v>
      </c>
      <c r="C3798" s="22">
        <v>44981</v>
      </c>
      <c r="D3798" s="1" t="s">
        <v>8044</v>
      </c>
      <c r="E3798" s="1" t="s">
        <v>1004</v>
      </c>
      <c r="F3798" s="1">
        <v>46</v>
      </c>
      <c r="G3798" s="1" t="s">
        <v>68</v>
      </c>
      <c r="H3798" s="1" t="s">
        <v>74</v>
      </c>
      <c r="I3798" s="1" t="s">
        <v>192</v>
      </c>
      <c r="J3798" s="1" t="s">
        <v>44</v>
      </c>
      <c r="K3798" s="1" t="s">
        <v>186</v>
      </c>
      <c r="L3798" s="1">
        <v>8</v>
      </c>
      <c r="M3798" s="13">
        <v>24561.25</v>
      </c>
      <c r="N3798" s="15">
        <v>0.33</v>
      </c>
      <c r="O3798" s="13">
        <v>140193.35999999999</v>
      </c>
      <c r="P3798" s="13">
        <v>31348.77</v>
      </c>
      <c r="Q3798" s="13">
        <v>47.2</v>
      </c>
      <c r="R3798" s="1" t="s">
        <v>70</v>
      </c>
      <c r="S3798" s="1">
        <v>2</v>
      </c>
      <c r="T3798" s="1" t="b">
        <v>0</v>
      </c>
      <c r="U3798" s="1" t="s">
        <v>39</v>
      </c>
      <c r="V3798" s="3">
        <v>1</v>
      </c>
    </row>
    <row r="3799" spans="1:22" x14ac:dyDescent="0.3">
      <c r="A3799" s="2" t="s">
        <v>8045</v>
      </c>
      <c r="B3799" s="10">
        <v>44314</v>
      </c>
      <c r="C3799" s="22">
        <v>44314</v>
      </c>
      <c r="D3799" s="1" t="s">
        <v>8046</v>
      </c>
      <c r="E3799" s="1" t="s">
        <v>1340</v>
      </c>
      <c r="F3799" s="1">
        <v>49</v>
      </c>
      <c r="G3799" s="1" t="s">
        <v>34</v>
      </c>
      <c r="H3799" s="1" t="s">
        <v>111</v>
      </c>
      <c r="I3799" s="1" t="s">
        <v>330</v>
      </c>
      <c r="J3799" s="1" t="s">
        <v>44</v>
      </c>
      <c r="K3799" s="1" t="s">
        <v>117</v>
      </c>
      <c r="L3799" s="1">
        <v>8</v>
      </c>
      <c r="M3799" s="13">
        <v>13756.55</v>
      </c>
      <c r="N3799" s="15">
        <v>0.36</v>
      </c>
      <c r="O3799" s="13">
        <v>88558.6</v>
      </c>
      <c r="P3799" s="13">
        <v>31183.119999999999</v>
      </c>
      <c r="Q3799" s="13">
        <v>80.06</v>
      </c>
      <c r="R3799" s="1" t="s">
        <v>70</v>
      </c>
      <c r="S3799" s="1">
        <v>2</v>
      </c>
      <c r="T3799" s="1" t="b">
        <v>0</v>
      </c>
      <c r="U3799" s="1" t="s">
        <v>39</v>
      </c>
      <c r="V3799" s="3">
        <v>10</v>
      </c>
    </row>
    <row r="3800" spans="1:22" x14ac:dyDescent="0.3">
      <c r="A3800" s="2" t="s">
        <v>8047</v>
      </c>
      <c r="B3800" s="10">
        <v>44411</v>
      </c>
      <c r="C3800" s="22">
        <v>44411</v>
      </c>
      <c r="D3800" s="1" t="s">
        <v>109</v>
      </c>
      <c r="E3800" s="1" t="s">
        <v>1899</v>
      </c>
      <c r="F3800" s="1">
        <v>30</v>
      </c>
      <c r="G3800" s="1" t="s">
        <v>68</v>
      </c>
      <c r="H3800" s="1" t="s">
        <v>35</v>
      </c>
      <c r="I3800" s="1" t="s">
        <v>43</v>
      </c>
      <c r="J3800" s="1" t="s">
        <v>127</v>
      </c>
      <c r="K3800" s="1" t="s">
        <v>308</v>
      </c>
      <c r="L3800" s="1">
        <v>5</v>
      </c>
      <c r="M3800" s="13">
        <v>53420.53</v>
      </c>
      <c r="N3800" s="15">
        <v>0.16</v>
      </c>
      <c r="O3800" s="13">
        <v>268730.15000000002</v>
      </c>
      <c r="P3800" s="13">
        <v>18234.55</v>
      </c>
      <c r="Q3800" s="13">
        <v>49.75</v>
      </c>
      <c r="R3800" s="1" t="s">
        <v>29</v>
      </c>
      <c r="S3800" s="1">
        <v>4</v>
      </c>
      <c r="T3800" s="1" t="b">
        <v>0</v>
      </c>
      <c r="U3800" s="1" t="s">
        <v>39</v>
      </c>
      <c r="V3800" s="3">
        <v>3</v>
      </c>
    </row>
    <row r="3801" spans="1:22" x14ac:dyDescent="0.3">
      <c r="A3801" s="2" t="s">
        <v>8048</v>
      </c>
      <c r="B3801" s="10">
        <v>45223</v>
      </c>
      <c r="C3801" s="22">
        <v>45223</v>
      </c>
      <c r="D3801" s="1" t="s">
        <v>8049</v>
      </c>
      <c r="E3801" s="1" t="s">
        <v>1079</v>
      </c>
      <c r="F3801" s="1">
        <v>30</v>
      </c>
      <c r="G3801" s="1" t="s">
        <v>34</v>
      </c>
      <c r="H3801" s="1" t="s">
        <v>74</v>
      </c>
      <c r="I3801" s="1" t="s">
        <v>192</v>
      </c>
      <c r="J3801" s="1" t="s">
        <v>62</v>
      </c>
      <c r="K3801" s="1" t="s">
        <v>283</v>
      </c>
      <c r="L3801" s="1">
        <v>6</v>
      </c>
      <c r="M3801" s="13">
        <v>452.9</v>
      </c>
      <c r="N3801" s="15">
        <v>0.01</v>
      </c>
      <c r="O3801" s="13">
        <v>2766.66</v>
      </c>
      <c r="P3801" s="13">
        <v>1043.0999999999999</v>
      </c>
      <c r="Q3801" s="13">
        <v>58.82</v>
      </c>
      <c r="R3801" s="1" t="s">
        <v>57</v>
      </c>
      <c r="S3801" s="1">
        <v>1</v>
      </c>
      <c r="T3801" s="1" t="b">
        <v>0</v>
      </c>
      <c r="U3801" s="1" t="s">
        <v>39</v>
      </c>
      <c r="V3801" s="3">
        <v>3</v>
      </c>
    </row>
    <row r="3802" spans="1:22" x14ac:dyDescent="0.3">
      <c r="A3802" s="2" t="s">
        <v>8050</v>
      </c>
      <c r="B3802" s="10">
        <v>44907</v>
      </c>
      <c r="C3802" s="22">
        <v>44907</v>
      </c>
      <c r="D3802" s="1" t="s">
        <v>8051</v>
      </c>
      <c r="E3802" s="1" t="s">
        <v>869</v>
      </c>
      <c r="F3802" s="1">
        <v>32</v>
      </c>
      <c r="G3802" s="1" t="s">
        <v>34</v>
      </c>
      <c r="H3802" s="1" t="s">
        <v>111</v>
      </c>
      <c r="I3802" s="1" t="s">
        <v>330</v>
      </c>
      <c r="J3802" s="1" t="s">
        <v>127</v>
      </c>
      <c r="K3802" s="1" t="s">
        <v>128</v>
      </c>
      <c r="L3802" s="1">
        <v>3</v>
      </c>
      <c r="M3802" s="13">
        <v>58643.55</v>
      </c>
      <c r="N3802" s="15">
        <v>0.18</v>
      </c>
      <c r="O3802" s="13">
        <v>104290.62</v>
      </c>
      <c r="P3802" s="13">
        <v>10501.29</v>
      </c>
      <c r="Q3802" s="13">
        <v>67.56</v>
      </c>
      <c r="R3802" s="1" t="s">
        <v>70</v>
      </c>
      <c r="S3802" s="1">
        <v>3</v>
      </c>
      <c r="T3802" s="1" t="b">
        <v>0</v>
      </c>
      <c r="U3802" s="1" t="s">
        <v>84</v>
      </c>
      <c r="V3802" s="3">
        <v>2</v>
      </c>
    </row>
    <row r="3803" spans="1:22" x14ac:dyDescent="0.3">
      <c r="A3803" s="2" t="s">
        <v>8052</v>
      </c>
      <c r="B3803" s="10">
        <v>45106</v>
      </c>
      <c r="C3803" s="22">
        <v>45106</v>
      </c>
      <c r="D3803" s="1" t="s">
        <v>8053</v>
      </c>
      <c r="E3803" s="1" t="s">
        <v>243</v>
      </c>
      <c r="F3803" s="1">
        <v>53</v>
      </c>
      <c r="G3803" s="1" t="s">
        <v>68</v>
      </c>
      <c r="H3803" s="1" t="s">
        <v>74</v>
      </c>
      <c r="I3803" s="1" t="s">
        <v>75</v>
      </c>
      <c r="J3803" s="1" t="s">
        <v>62</v>
      </c>
      <c r="K3803" s="1" t="s">
        <v>266</v>
      </c>
      <c r="L3803" s="1">
        <v>4</v>
      </c>
      <c r="M3803" s="13">
        <v>254.4</v>
      </c>
      <c r="N3803" s="15">
        <v>0.04</v>
      </c>
      <c r="O3803" s="13">
        <v>1971.55</v>
      </c>
      <c r="P3803" s="13">
        <v>765.6</v>
      </c>
      <c r="Q3803" s="13">
        <v>70.91</v>
      </c>
      <c r="R3803" s="1" t="s">
        <v>64</v>
      </c>
      <c r="S3803" s="1">
        <v>4</v>
      </c>
      <c r="T3803" s="1" t="b">
        <v>0</v>
      </c>
      <c r="U3803" s="1" t="s">
        <v>39</v>
      </c>
      <c r="V3803" s="3">
        <v>7</v>
      </c>
    </row>
    <row r="3804" spans="1:22" x14ac:dyDescent="0.3">
      <c r="A3804" s="2" t="s">
        <v>8054</v>
      </c>
      <c r="B3804" s="10">
        <v>44658</v>
      </c>
      <c r="C3804" s="22">
        <v>44658</v>
      </c>
      <c r="D3804" s="1" t="s">
        <v>8055</v>
      </c>
      <c r="E3804" s="1" t="s">
        <v>73</v>
      </c>
      <c r="F3804" s="1">
        <v>47</v>
      </c>
      <c r="G3804" s="1" t="s">
        <v>24</v>
      </c>
      <c r="H3804" s="1" t="s">
        <v>82</v>
      </c>
      <c r="I3804" s="1" t="s">
        <v>83</v>
      </c>
      <c r="J3804" s="1" t="s">
        <v>62</v>
      </c>
      <c r="K3804" s="1" t="s">
        <v>266</v>
      </c>
      <c r="L3804" s="1">
        <v>5</v>
      </c>
      <c r="M3804" s="13">
        <v>1466.44</v>
      </c>
      <c r="N3804" s="15">
        <v>0.02</v>
      </c>
      <c r="O3804" s="13">
        <v>1925.9</v>
      </c>
      <c r="P3804" s="13">
        <v>587.73</v>
      </c>
      <c r="Q3804" s="13">
        <v>74.59</v>
      </c>
      <c r="R3804" s="1" t="s">
        <v>57</v>
      </c>
      <c r="S3804" s="1">
        <v>3</v>
      </c>
      <c r="T3804" s="1" t="b">
        <v>0</v>
      </c>
      <c r="U3804" s="1" t="s">
        <v>39</v>
      </c>
      <c r="V3804" s="3">
        <v>6</v>
      </c>
    </row>
    <row r="3805" spans="1:22" x14ac:dyDescent="0.3">
      <c r="A3805" s="2" t="s">
        <v>8056</v>
      </c>
      <c r="B3805" s="10">
        <v>43931</v>
      </c>
      <c r="C3805" s="22">
        <v>43931</v>
      </c>
      <c r="D3805" s="1" t="s">
        <v>8057</v>
      </c>
      <c r="E3805" s="1" t="s">
        <v>185</v>
      </c>
      <c r="F3805" s="1">
        <v>37</v>
      </c>
      <c r="G3805" s="1" t="s">
        <v>68</v>
      </c>
      <c r="H3805" s="1" t="s">
        <v>35</v>
      </c>
      <c r="I3805" s="1" t="s">
        <v>43</v>
      </c>
      <c r="J3805" s="1" t="s">
        <v>62</v>
      </c>
      <c r="K3805" s="1" t="s">
        <v>63</v>
      </c>
      <c r="L3805" s="1">
        <v>2</v>
      </c>
      <c r="M3805" s="13">
        <v>979.23</v>
      </c>
      <c r="N3805" s="15">
        <v>0.26</v>
      </c>
      <c r="O3805" s="13">
        <v>1381.44</v>
      </c>
      <c r="P3805" s="13">
        <v>565.66999999999996</v>
      </c>
      <c r="Q3805" s="13">
        <v>57.1</v>
      </c>
      <c r="R3805" s="1" t="s">
        <v>64</v>
      </c>
      <c r="S3805" s="1">
        <v>3</v>
      </c>
      <c r="T3805" s="1" t="b">
        <v>1</v>
      </c>
      <c r="U3805" s="1" t="s">
        <v>30</v>
      </c>
      <c r="V3805" s="3">
        <v>9</v>
      </c>
    </row>
    <row r="3806" spans="1:22" x14ac:dyDescent="0.3">
      <c r="A3806" s="2" t="s">
        <v>8058</v>
      </c>
      <c r="B3806" s="10">
        <v>45151</v>
      </c>
      <c r="C3806" s="22">
        <v>45151</v>
      </c>
      <c r="D3806" s="1" t="s">
        <v>8059</v>
      </c>
      <c r="E3806" s="1" t="s">
        <v>632</v>
      </c>
      <c r="F3806" s="1">
        <v>38</v>
      </c>
      <c r="G3806" s="1" t="s">
        <v>24</v>
      </c>
      <c r="H3806" s="1" t="s">
        <v>82</v>
      </c>
      <c r="I3806" s="1" t="s">
        <v>126</v>
      </c>
      <c r="J3806" s="1" t="s">
        <v>146</v>
      </c>
      <c r="K3806" s="1" t="s">
        <v>147</v>
      </c>
      <c r="L3806" s="1">
        <v>7</v>
      </c>
      <c r="M3806" s="13">
        <v>13199.66</v>
      </c>
      <c r="N3806" s="15">
        <v>0.23</v>
      </c>
      <c r="O3806" s="13">
        <v>101253.81</v>
      </c>
      <c r="P3806" s="13">
        <v>23525.51</v>
      </c>
      <c r="Q3806" s="13">
        <v>75.760000000000005</v>
      </c>
      <c r="R3806" s="1" t="s">
        <v>64</v>
      </c>
      <c r="S3806" s="1">
        <v>4</v>
      </c>
      <c r="T3806" s="1" t="b">
        <v>0</v>
      </c>
      <c r="U3806" s="1" t="s">
        <v>39</v>
      </c>
      <c r="V3806" s="3">
        <v>9</v>
      </c>
    </row>
    <row r="3807" spans="1:22" x14ac:dyDescent="0.3">
      <c r="A3807" s="2" t="s">
        <v>8060</v>
      </c>
      <c r="B3807" s="10">
        <v>44607</v>
      </c>
      <c r="C3807" s="22">
        <v>44607</v>
      </c>
      <c r="D3807" s="1" t="s">
        <v>8061</v>
      </c>
      <c r="E3807" s="1" t="s">
        <v>110</v>
      </c>
      <c r="F3807" s="1">
        <v>17</v>
      </c>
      <c r="G3807" s="1" t="s">
        <v>24</v>
      </c>
      <c r="H3807" s="1" t="s">
        <v>111</v>
      </c>
      <c r="I3807" s="1" t="s">
        <v>141</v>
      </c>
      <c r="J3807" s="1" t="s">
        <v>146</v>
      </c>
      <c r="K3807" s="1" t="s">
        <v>161</v>
      </c>
      <c r="L3807" s="1">
        <v>5</v>
      </c>
      <c r="M3807" s="13">
        <v>5142.95</v>
      </c>
      <c r="N3807" s="15">
        <v>0.05</v>
      </c>
      <c r="O3807" s="13">
        <v>24280.58</v>
      </c>
      <c r="P3807" s="13">
        <v>4000.08</v>
      </c>
      <c r="Q3807" s="13">
        <v>50.97</v>
      </c>
      <c r="R3807" s="1" t="s">
        <v>51</v>
      </c>
      <c r="S3807" s="1">
        <v>1</v>
      </c>
      <c r="T3807" s="1" t="b">
        <v>1</v>
      </c>
      <c r="U3807" s="1" t="s">
        <v>30</v>
      </c>
      <c r="V3807" s="3">
        <v>3</v>
      </c>
    </row>
    <row r="3808" spans="1:22" x14ac:dyDescent="0.3">
      <c r="A3808" s="2" t="s">
        <v>8062</v>
      </c>
      <c r="B3808" s="10">
        <v>45159</v>
      </c>
      <c r="C3808" s="22">
        <v>45159</v>
      </c>
      <c r="D3808" s="1" t="s">
        <v>8063</v>
      </c>
      <c r="E3808" s="1" t="s">
        <v>2257</v>
      </c>
      <c r="F3808" s="1">
        <v>32</v>
      </c>
      <c r="G3808" s="1" t="s">
        <v>68</v>
      </c>
      <c r="H3808" s="1" t="s">
        <v>82</v>
      </c>
      <c r="I3808" s="1" t="s">
        <v>244</v>
      </c>
      <c r="J3808" s="1" t="s">
        <v>62</v>
      </c>
      <c r="K3808" s="1" t="s">
        <v>283</v>
      </c>
      <c r="L3808" s="1">
        <v>3</v>
      </c>
      <c r="M3808" s="13">
        <v>761.02</v>
      </c>
      <c r="N3808" s="15">
        <v>0.23</v>
      </c>
      <c r="O3808" s="13">
        <v>2331.91</v>
      </c>
      <c r="P3808" s="13">
        <v>1183.07</v>
      </c>
      <c r="Q3808" s="13">
        <v>118.86</v>
      </c>
      <c r="R3808" s="1" t="s">
        <v>70</v>
      </c>
      <c r="S3808" s="1">
        <v>3</v>
      </c>
      <c r="T3808" s="1" t="b">
        <v>0</v>
      </c>
      <c r="U3808" s="1" t="s">
        <v>39</v>
      </c>
      <c r="V3808" s="3">
        <v>7</v>
      </c>
    </row>
    <row r="3809" spans="1:22" x14ac:dyDescent="0.3">
      <c r="A3809" s="2" t="s">
        <v>8064</v>
      </c>
      <c r="B3809" s="10">
        <v>44564</v>
      </c>
      <c r="C3809" s="22">
        <v>44564</v>
      </c>
      <c r="D3809" s="1" t="s">
        <v>8065</v>
      </c>
      <c r="E3809" s="1" t="s">
        <v>1586</v>
      </c>
      <c r="F3809" s="1">
        <v>27</v>
      </c>
      <c r="G3809" s="1" t="s">
        <v>34</v>
      </c>
      <c r="H3809" s="1" t="s">
        <v>111</v>
      </c>
      <c r="I3809" s="1" t="s">
        <v>121</v>
      </c>
      <c r="J3809" s="1" t="s">
        <v>37</v>
      </c>
      <c r="K3809" s="1" t="s">
        <v>38</v>
      </c>
      <c r="L3809" s="1">
        <v>1</v>
      </c>
      <c r="M3809" s="13">
        <v>277.89999999999998</v>
      </c>
      <c r="N3809" s="15">
        <v>0.12</v>
      </c>
      <c r="O3809" s="13">
        <v>229.86</v>
      </c>
      <c r="P3809" s="13">
        <v>81.58</v>
      </c>
      <c r="Q3809" s="13">
        <v>50.51</v>
      </c>
      <c r="R3809" s="1" t="s">
        <v>51</v>
      </c>
      <c r="S3809" s="1">
        <v>4</v>
      </c>
      <c r="T3809" s="1" t="b">
        <v>0</v>
      </c>
      <c r="U3809" s="1" t="s">
        <v>84</v>
      </c>
      <c r="V3809" s="3">
        <v>3</v>
      </c>
    </row>
    <row r="3810" spans="1:22" x14ac:dyDescent="0.3">
      <c r="A3810" s="2" t="s">
        <v>8066</v>
      </c>
      <c r="B3810" s="10">
        <v>45654</v>
      </c>
      <c r="C3810" s="22">
        <v>45654</v>
      </c>
      <c r="D3810" s="1" t="s">
        <v>8067</v>
      </c>
      <c r="E3810" s="1" t="s">
        <v>588</v>
      </c>
      <c r="F3810" s="1">
        <v>56</v>
      </c>
      <c r="G3810" s="1" t="s">
        <v>34</v>
      </c>
      <c r="H3810" s="1" t="s">
        <v>74</v>
      </c>
      <c r="I3810" s="1" t="s">
        <v>101</v>
      </c>
      <c r="J3810" s="1" t="s">
        <v>62</v>
      </c>
      <c r="K3810" s="1" t="s">
        <v>570</v>
      </c>
      <c r="L3810" s="1">
        <v>2</v>
      </c>
      <c r="M3810" s="13">
        <v>709.51</v>
      </c>
      <c r="N3810" s="15">
        <v>0.08</v>
      </c>
      <c r="O3810" s="13">
        <v>1228.8699999999999</v>
      </c>
      <c r="P3810" s="13">
        <v>481.53</v>
      </c>
      <c r="Q3810" s="13">
        <v>18.48</v>
      </c>
      <c r="R3810" s="1" t="s">
        <v>57</v>
      </c>
      <c r="S3810" s="1">
        <v>5</v>
      </c>
      <c r="T3810" s="1" t="b">
        <v>0</v>
      </c>
      <c r="U3810" s="1" t="s">
        <v>84</v>
      </c>
      <c r="V3810" s="3">
        <v>5</v>
      </c>
    </row>
    <row r="3811" spans="1:22" x14ac:dyDescent="0.3">
      <c r="A3811" s="2" t="s">
        <v>8068</v>
      </c>
      <c r="B3811" s="10">
        <v>44550</v>
      </c>
      <c r="C3811" s="22">
        <v>44550</v>
      </c>
      <c r="D3811" s="1" t="s">
        <v>8069</v>
      </c>
      <c r="E3811" s="1" t="s">
        <v>177</v>
      </c>
      <c r="F3811" s="1">
        <v>40</v>
      </c>
      <c r="G3811" s="1" t="s">
        <v>24</v>
      </c>
      <c r="H3811" s="1" t="s">
        <v>25</v>
      </c>
      <c r="I3811" s="1" t="s">
        <v>69</v>
      </c>
      <c r="J3811" s="1" t="s">
        <v>62</v>
      </c>
      <c r="K3811" s="1" t="s">
        <v>283</v>
      </c>
      <c r="L3811" s="1">
        <v>7</v>
      </c>
      <c r="M3811" s="13">
        <v>1347.81</v>
      </c>
      <c r="N3811" s="15">
        <v>0.14000000000000001</v>
      </c>
      <c r="O3811" s="13">
        <v>5535.71</v>
      </c>
      <c r="P3811" s="13">
        <v>1992.64</v>
      </c>
      <c r="Q3811" s="13">
        <v>32.85</v>
      </c>
      <c r="R3811" s="1" t="s">
        <v>70</v>
      </c>
      <c r="S3811" s="1">
        <v>2</v>
      </c>
      <c r="T3811" s="1" t="b">
        <v>0</v>
      </c>
      <c r="U3811" s="1" t="s">
        <v>197</v>
      </c>
      <c r="V3811" s="3">
        <v>9</v>
      </c>
    </row>
    <row r="3812" spans="1:22" x14ac:dyDescent="0.3">
      <c r="A3812" s="2" t="s">
        <v>8070</v>
      </c>
      <c r="B3812" s="10">
        <v>45032</v>
      </c>
      <c r="C3812" s="22">
        <v>45032</v>
      </c>
      <c r="D3812" s="1" t="s">
        <v>8071</v>
      </c>
      <c r="E3812" s="1" t="s">
        <v>621</v>
      </c>
      <c r="F3812" s="1">
        <v>45</v>
      </c>
      <c r="G3812" s="1" t="s">
        <v>34</v>
      </c>
      <c r="H3812" s="1" t="s">
        <v>25</v>
      </c>
      <c r="I3812" s="1" t="s">
        <v>170</v>
      </c>
      <c r="J3812" s="1" t="s">
        <v>146</v>
      </c>
      <c r="K3812" s="1" t="s">
        <v>161</v>
      </c>
      <c r="L3812" s="1">
        <v>8</v>
      </c>
      <c r="M3812" s="13">
        <v>8715.32</v>
      </c>
      <c r="N3812" s="15">
        <v>0.21</v>
      </c>
      <c r="O3812" s="13">
        <v>96549.16</v>
      </c>
      <c r="P3812" s="13">
        <v>22685.06</v>
      </c>
      <c r="Q3812" s="13">
        <v>74.22</v>
      </c>
      <c r="R3812" s="1" t="s">
        <v>64</v>
      </c>
      <c r="S3812" s="1">
        <v>1</v>
      </c>
      <c r="T3812" s="1" t="b">
        <v>0</v>
      </c>
      <c r="U3812" s="1" t="s">
        <v>39</v>
      </c>
      <c r="V3812" s="3">
        <v>8</v>
      </c>
    </row>
    <row r="3813" spans="1:22" x14ac:dyDescent="0.3">
      <c r="A3813" s="2" t="s">
        <v>8072</v>
      </c>
      <c r="B3813" s="10">
        <v>44854</v>
      </c>
      <c r="C3813" s="22">
        <v>44854</v>
      </c>
      <c r="D3813" s="1" t="s">
        <v>8073</v>
      </c>
      <c r="E3813" s="1" t="s">
        <v>1340</v>
      </c>
      <c r="F3813" s="1">
        <v>33</v>
      </c>
      <c r="G3813" s="1" t="s">
        <v>68</v>
      </c>
      <c r="H3813" s="1" t="s">
        <v>82</v>
      </c>
      <c r="I3813" s="1" t="s">
        <v>83</v>
      </c>
      <c r="J3813" s="1" t="s">
        <v>62</v>
      </c>
      <c r="K3813" s="1" t="s">
        <v>570</v>
      </c>
      <c r="L3813" s="1">
        <v>6</v>
      </c>
      <c r="M3813" s="13">
        <v>353.19</v>
      </c>
      <c r="N3813" s="15">
        <v>0.37</v>
      </c>
      <c r="O3813" s="13">
        <v>1424.52</v>
      </c>
      <c r="P3813" s="13">
        <v>640.89</v>
      </c>
      <c r="Q3813" s="13">
        <v>87.77</v>
      </c>
      <c r="R3813" s="1" t="s">
        <v>57</v>
      </c>
      <c r="S3813" s="1">
        <v>3</v>
      </c>
      <c r="T3813" s="1" t="b">
        <v>0</v>
      </c>
      <c r="U3813" s="1" t="s">
        <v>39</v>
      </c>
      <c r="V3813" s="3">
        <v>7</v>
      </c>
    </row>
    <row r="3814" spans="1:22" x14ac:dyDescent="0.3">
      <c r="A3814" s="2" t="s">
        <v>8074</v>
      </c>
      <c r="B3814" s="10">
        <v>44113</v>
      </c>
      <c r="C3814" s="22">
        <v>44113</v>
      </c>
      <c r="D3814" s="1" t="s">
        <v>8075</v>
      </c>
      <c r="E3814" s="1" t="s">
        <v>953</v>
      </c>
      <c r="F3814" s="1">
        <v>42</v>
      </c>
      <c r="G3814" s="1" t="s">
        <v>68</v>
      </c>
      <c r="H3814" s="1" t="s">
        <v>111</v>
      </c>
      <c r="I3814" s="1" t="s">
        <v>112</v>
      </c>
      <c r="J3814" s="1" t="s">
        <v>44</v>
      </c>
      <c r="K3814" s="1" t="s">
        <v>93</v>
      </c>
      <c r="L3814" s="1">
        <v>7</v>
      </c>
      <c r="M3814" s="13">
        <v>31760.09</v>
      </c>
      <c r="N3814" s="15">
        <v>0.21</v>
      </c>
      <c r="O3814" s="13">
        <v>198861.51</v>
      </c>
      <c r="P3814" s="13">
        <v>77339.31</v>
      </c>
      <c r="Q3814" s="13">
        <v>62.01</v>
      </c>
      <c r="R3814" s="1" t="s">
        <v>29</v>
      </c>
      <c r="S3814" s="1">
        <v>3</v>
      </c>
      <c r="T3814" s="1" t="b">
        <v>0</v>
      </c>
      <c r="U3814" s="1" t="s">
        <v>39</v>
      </c>
      <c r="V3814" s="3">
        <v>3</v>
      </c>
    </row>
    <row r="3815" spans="1:22" x14ac:dyDescent="0.3">
      <c r="A3815" s="2" t="s">
        <v>8076</v>
      </c>
      <c r="B3815" s="10">
        <v>44250</v>
      </c>
      <c r="C3815" s="22">
        <v>44250</v>
      </c>
      <c r="D3815" s="1" t="s">
        <v>8077</v>
      </c>
      <c r="E3815" s="1" t="s">
        <v>2137</v>
      </c>
      <c r="F3815" s="1">
        <v>30</v>
      </c>
      <c r="G3815" s="1" t="s">
        <v>34</v>
      </c>
      <c r="H3815" s="1" t="s">
        <v>35</v>
      </c>
      <c r="I3815" s="1" t="s">
        <v>49</v>
      </c>
      <c r="J3815" s="1" t="s">
        <v>76</v>
      </c>
      <c r="K3815" s="1" t="s">
        <v>207</v>
      </c>
      <c r="L3815" s="1">
        <v>9</v>
      </c>
      <c r="M3815" s="13">
        <v>1846.99</v>
      </c>
      <c r="N3815" s="15">
        <v>0.32</v>
      </c>
      <c r="O3815" s="13">
        <v>9441.56</v>
      </c>
      <c r="P3815" s="13">
        <v>3194.01</v>
      </c>
      <c r="Q3815" s="13">
        <v>82.33</v>
      </c>
      <c r="R3815" s="1" t="s">
        <v>29</v>
      </c>
      <c r="S3815" s="1">
        <v>3</v>
      </c>
      <c r="T3815" s="1" t="b">
        <v>0</v>
      </c>
      <c r="U3815" s="1" t="s">
        <v>39</v>
      </c>
      <c r="V3815" s="3">
        <v>6</v>
      </c>
    </row>
    <row r="3816" spans="1:22" x14ac:dyDescent="0.3">
      <c r="A3816" s="2" t="s">
        <v>8078</v>
      </c>
      <c r="B3816" s="10">
        <v>45107</v>
      </c>
      <c r="C3816" s="22">
        <v>45107</v>
      </c>
      <c r="D3816" s="1" t="s">
        <v>8079</v>
      </c>
      <c r="E3816" s="1" t="s">
        <v>433</v>
      </c>
      <c r="F3816" s="1">
        <v>40</v>
      </c>
      <c r="G3816" s="1" t="s">
        <v>34</v>
      </c>
      <c r="H3816" s="1" t="s">
        <v>74</v>
      </c>
      <c r="I3816" s="1" t="s">
        <v>136</v>
      </c>
      <c r="J3816" s="1" t="s">
        <v>27</v>
      </c>
      <c r="K3816" s="1" t="s">
        <v>97</v>
      </c>
      <c r="L3816" s="1">
        <v>5</v>
      </c>
      <c r="M3816" s="13">
        <v>306.51</v>
      </c>
      <c r="N3816" s="15">
        <v>0.18</v>
      </c>
      <c r="O3816" s="13">
        <v>2204.96</v>
      </c>
      <c r="P3816" s="13">
        <v>174.67</v>
      </c>
      <c r="Q3816" s="13">
        <v>63.22</v>
      </c>
      <c r="R3816" s="1" t="s">
        <v>64</v>
      </c>
      <c r="S3816" s="1">
        <v>3</v>
      </c>
      <c r="T3816" s="1" t="b">
        <v>0</v>
      </c>
      <c r="U3816" s="1" t="s">
        <v>39</v>
      </c>
      <c r="V3816" s="3">
        <v>3</v>
      </c>
    </row>
    <row r="3817" spans="1:22" x14ac:dyDescent="0.3">
      <c r="A3817" s="2" t="s">
        <v>8080</v>
      </c>
      <c r="B3817" s="10">
        <v>44291</v>
      </c>
      <c r="C3817" s="22">
        <v>44291</v>
      </c>
      <c r="D3817" s="1" t="s">
        <v>8081</v>
      </c>
      <c r="E3817" s="1" t="s">
        <v>4375</v>
      </c>
      <c r="F3817" s="1">
        <v>40</v>
      </c>
      <c r="G3817" s="1" t="s">
        <v>34</v>
      </c>
      <c r="H3817" s="1" t="s">
        <v>111</v>
      </c>
      <c r="I3817" s="1" t="s">
        <v>141</v>
      </c>
      <c r="J3817" s="1" t="s">
        <v>44</v>
      </c>
      <c r="K3817" s="1" t="s">
        <v>45</v>
      </c>
      <c r="L3817" s="1">
        <v>0</v>
      </c>
      <c r="M3817" s="13">
        <v>2090.33</v>
      </c>
      <c r="N3817" s="15">
        <v>0.28999999999999998</v>
      </c>
      <c r="O3817" s="13">
        <v>1783.33</v>
      </c>
      <c r="P3817" s="13">
        <v>304.35000000000002</v>
      </c>
      <c r="Q3817" s="13">
        <v>82.39</v>
      </c>
      <c r="R3817" s="1" t="s">
        <v>64</v>
      </c>
      <c r="S3817" s="1">
        <v>2</v>
      </c>
      <c r="T3817" s="1" t="b">
        <v>0</v>
      </c>
      <c r="U3817" s="1" t="s">
        <v>58</v>
      </c>
      <c r="V3817" s="3">
        <v>3</v>
      </c>
    </row>
    <row r="3818" spans="1:22" x14ac:dyDescent="0.3">
      <c r="A3818" s="2" t="s">
        <v>8082</v>
      </c>
      <c r="B3818" s="10">
        <v>44749</v>
      </c>
      <c r="C3818" s="22">
        <v>44749</v>
      </c>
      <c r="D3818" s="1" t="s">
        <v>8083</v>
      </c>
      <c r="E3818" s="1" t="s">
        <v>2934</v>
      </c>
      <c r="F3818" s="1">
        <v>33</v>
      </c>
      <c r="G3818" s="1" t="s">
        <v>24</v>
      </c>
      <c r="H3818" s="1" t="s">
        <v>35</v>
      </c>
      <c r="I3818" s="1" t="s">
        <v>43</v>
      </c>
      <c r="J3818" s="1" t="s">
        <v>44</v>
      </c>
      <c r="K3818" s="1" t="s">
        <v>186</v>
      </c>
      <c r="L3818" s="1">
        <v>6</v>
      </c>
      <c r="M3818" s="13">
        <v>6433.11</v>
      </c>
      <c r="N3818" s="15">
        <v>0.05</v>
      </c>
      <c r="O3818" s="13">
        <v>51511.32</v>
      </c>
      <c r="P3818" s="13">
        <v>11059.52</v>
      </c>
      <c r="Q3818" s="13">
        <v>68.209999999999994</v>
      </c>
      <c r="R3818" s="1" t="s">
        <v>57</v>
      </c>
      <c r="S3818" s="1">
        <v>1</v>
      </c>
      <c r="T3818" s="1" t="b">
        <v>0</v>
      </c>
      <c r="U3818" s="1" t="s">
        <v>39</v>
      </c>
      <c r="V3818" s="3">
        <v>7</v>
      </c>
    </row>
    <row r="3819" spans="1:22" x14ac:dyDescent="0.3">
      <c r="A3819" s="2" t="s">
        <v>8084</v>
      </c>
      <c r="B3819" s="10">
        <v>45295</v>
      </c>
      <c r="C3819" s="22">
        <v>45295</v>
      </c>
      <c r="D3819" s="1" t="s">
        <v>8085</v>
      </c>
      <c r="E3819" s="1" t="s">
        <v>1645</v>
      </c>
      <c r="F3819" s="1">
        <v>23</v>
      </c>
      <c r="G3819" s="1" t="s">
        <v>34</v>
      </c>
      <c r="H3819" s="1" t="s">
        <v>82</v>
      </c>
      <c r="I3819" s="1" t="s">
        <v>126</v>
      </c>
      <c r="J3819" s="1" t="s">
        <v>62</v>
      </c>
      <c r="K3819" s="1" t="s">
        <v>283</v>
      </c>
      <c r="L3819" s="1">
        <v>9</v>
      </c>
      <c r="M3819" s="13">
        <v>1151.99</v>
      </c>
      <c r="N3819" s="15">
        <v>0.36</v>
      </c>
      <c r="O3819" s="13">
        <v>5781.66</v>
      </c>
      <c r="P3819" s="13">
        <v>2458.52</v>
      </c>
      <c r="Q3819" s="13">
        <v>80.27</v>
      </c>
      <c r="R3819" s="1" t="s">
        <v>51</v>
      </c>
      <c r="S3819" s="1">
        <v>5</v>
      </c>
      <c r="T3819" s="1" t="b">
        <v>0</v>
      </c>
      <c r="U3819" s="1" t="s">
        <v>39</v>
      </c>
      <c r="V3819" s="3">
        <v>6</v>
      </c>
    </row>
    <row r="3820" spans="1:22" x14ac:dyDescent="0.3">
      <c r="A3820" s="2" t="s">
        <v>8086</v>
      </c>
      <c r="B3820" s="10">
        <v>44623</v>
      </c>
      <c r="C3820" s="22">
        <v>44623</v>
      </c>
      <c r="D3820" s="1" t="s">
        <v>8087</v>
      </c>
      <c r="E3820" s="1" t="s">
        <v>437</v>
      </c>
      <c r="F3820" s="1">
        <v>16</v>
      </c>
      <c r="G3820" s="1" t="s">
        <v>68</v>
      </c>
      <c r="H3820" s="1" t="s">
        <v>35</v>
      </c>
      <c r="I3820" s="1" t="s">
        <v>43</v>
      </c>
      <c r="J3820" s="1" t="s">
        <v>37</v>
      </c>
      <c r="K3820" s="1" t="s">
        <v>182</v>
      </c>
      <c r="L3820" s="1">
        <v>8</v>
      </c>
      <c r="M3820" s="13">
        <v>1468.81</v>
      </c>
      <c r="N3820" s="15">
        <v>0.02</v>
      </c>
      <c r="O3820" s="13">
        <v>12672.79</v>
      </c>
      <c r="P3820" s="13">
        <v>4798.3599999999997</v>
      </c>
      <c r="Q3820" s="13">
        <v>35.31</v>
      </c>
      <c r="R3820" s="1" t="s">
        <v>64</v>
      </c>
      <c r="S3820" s="1">
        <v>4</v>
      </c>
      <c r="T3820" s="1" t="b">
        <v>0</v>
      </c>
      <c r="U3820" s="1" t="s">
        <v>39</v>
      </c>
      <c r="V3820" s="3">
        <v>8</v>
      </c>
    </row>
    <row r="3821" spans="1:22" x14ac:dyDescent="0.3">
      <c r="A3821" s="2" t="s">
        <v>8088</v>
      </c>
      <c r="B3821" s="10">
        <v>44765</v>
      </c>
      <c r="C3821" s="22">
        <v>44765</v>
      </c>
      <c r="D3821" s="1" t="s">
        <v>8089</v>
      </c>
      <c r="E3821" s="1" t="s">
        <v>1211</v>
      </c>
      <c r="F3821" s="1">
        <v>23</v>
      </c>
      <c r="G3821" s="1" t="s">
        <v>34</v>
      </c>
      <c r="H3821" s="1" t="s">
        <v>35</v>
      </c>
      <c r="I3821" s="1" t="s">
        <v>106</v>
      </c>
      <c r="J3821" s="1" t="s">
        <v>62</v>
      </c>
      <c r="K3821" s="1" t="s">
        <v>107</v>
      </c>
      <c r="L3821" s="1">
        <v>6</v>
      </c>
      <c r="M3821" s="13">
        <v>1164.68</v>
      </c>
      <c r="N3821" s="15">
        <v>0.35</v>
      </c>
      <c r="O3821" s="13">
        <v>5939.75</v>
      </c>
      <c r="P3821" s="13">
        <v>1561.14</v>
      </c>
      <c r="Q3821" s="13">
        <v>57.35</v>
      </c>
      <c r="R3821" s="1" t="s">
        <v>29</v>
      </c>
      <c r="S3821" s="1">
        <v>2</v>
      </c>
      <c r="T3821" s="1" t="b">
        <v>1</v>
      </c>
      <c r="U3821" s="1" t="s">
        <v>30</v>
      </c>
      <c r="V3821" s="3">
        <v>5</v>
      </c>
    </row>
    <row r="3822" spans="1:22" x14ac:dyDescent="0.3">
      <c r="A3822" s="2" t="s">
        <v>8090</v>
      </c>
      <c r="B3822" s="10">
        <v>44801</v>
      </c>
      <c r="C3822" s="22">
        <v>44801</v>
      </c>
      <c r="D3822" s="1" t="s">
        <v>8091</v>
      </c>
      <c r="E3822" s="1" t="s">
        <v>2286</v>
      </c>
      <c r="F3822" s="1">
        <v>33</v>
      </c>
      <c r="G3822" s="1" t="s">
        <v>34</v>
      </c>
      <c r="H3822" s="1" t="s">
        <v>25</v>
      </c>
      <c r="I3822" s="1" t="s">
        <v>26</v>
      </c>
      <c r="J3822" s="1" t="s">
        <v>37</v>
      </c>
      <c r="K3822" s="1" t="s">
        <v>231</v>
      </c>
      <c r="L3822" s="1">
        <v>5</v>
      </c>
      <c r="M3822" s="13">
        <v>1366.62</v>
      </c>
      <c r="N3822" s="15">
        <v>0.31</v>
      </c>
      <c r="O3822" s="13">
        <v>7613.24</v>
      </c>
      <c r="P3822" s="13">
        <v>4061.59</v>
      </c>
      <c r="Q3822" s="13">
        <v>45.32</v>
      </c>
      <c r="R3822" s="1" t="s">
        <v>57</v>
      </c>
      <c r="S3822" s="1">
        <v>4</v>
      </c>
      <c r="T3822" s="1" t="b">
        <v>0</v>
      </c>
      <c r="U3822" s="1" t="s">
        <v>137</v>
      </c>
      <c r="V3822" s="3">
        <v>7</v>
      </c>
    </row>
    <row r="3823" spans="1:22" x14ac:dyDescent="0.3">
      <c r="A3823" s="2" t="s">
        <v>8092</v>
      </c>
      <c r="B3823" s="10">
        <v>44318</v>
      </c>
      <c r="C3823" s="22">
        <v>44318</v>
      </c>
      <c r="D3823" s="1" t="s">
        <v>8093</v>
      </c>
      <c r="E3823" s="1" t="s">
        <v>2927</v>
      </c>
      <c r="F3823" s="1">
        <v>49</v>
      </c>
      <c r="G3823" s="1" t="s">
        <v>434</v>
      </c>
      <c r="H3823" s="1" t="s">
        <v>111</v>
      </c>
      <c r="I3823" s="1" t="s">
        <v>121</v>
      </c>
      <c r="J3823" s="1" t="s">
        <v>44</v>
      </c>
      <c r="K3823" s="1" t="s">
        <v>186</v>
      </c>
      <c r="L3823" s="1">
        <v>1</v>
      </c>
      <c r="M3823" s="13">
        <v>28157.96</v>
      </c>
      <c r="N3823" s="15">
        <v>0.28000000000000003</v>
      </c>
      <c r="O3823" s="13">
        <v>31874.43</v>
      </c>
      <c r="P3823" s="13">
        <v>7988.88</v>
      </c>
      <c r="Q3823" s="13">
        <v>86.82</v>
      </c>
      <c r="R3823" s="1" t="s">
        <v>70</v>
      </c>
      <c r="S3823" s="1">
        <v>2</v>
      </c>
      <c r="T3823" s="1" t="b">
        <v>1</v>
      </c>
      <c r="U3823" s="1" t="s">
        <v>30</v>
      </c>
      <c r="V3823" s="3">
        <v>5</v>
      </c>
    </row>
    <row r="3824" spans="1:22" x14ac:dyDescent="0.3">
      <c r="A3824" s="2" t="s">
        <v>8094</v>
      </c>
      <c r="B3824" s="10">
        <v>45407</v>
      </c>
      <c r="C3824" s="22">
        <v>45407</v>
      </c>
      <c r="D3824" s="1" t="s">
        <v>8095</v>
      </c>
      <c r="E3824" s="1" t="s">
        <v>2648</v>
      </c>
      <c r="F3824" s="1">
        <v>50</v>
      </c>
      <c r="G3824" s="1" t="s">
        <v>34</v>
      </c>
      <c r="H3824" s="1" t="s">
        <v>25</v>
      </c>
      <c r="I3824" s="1" t="s">
        <v>170</v>
      </c>
      <c r="J3824" s="1" t="s">
        <v>146</v>
      </c>
      <c r="K3824" s="1" t="s">
        <v>484</v>
      </c>
      <c r="L3824" s="1">
        <v>5</v>
      </c>
      <c r="M3824" s="13">
        <v>7799.14</v>
      </c>
      <c r="N3824" s="15">
        <v>0.34</v>
      </c>
      <c r="O3824" s="13">
        <v>8584.7999999999993</v>
      </c>
      <c r="P3824" s="13">
        <v>1529.95</v>
      </c>
      <c r="Q3824" s="13">
        <v>45.36</v>
      </c>
      <c r="R3824" s="1" t="s">
        <v>29</v>
      </c>
      <c r="S3824" s="1">
        <v>2</v>
      </c>
      <c r="T3824" s="1" t="b">
        <v>0</v>
      </c>
      <c r="U3824" s="1" t="s">
        <v>39</v>
      </c>
      <c r="V3824" s="3">
        <v>2</v>
      </c>
    </row>
    <row r="3825" spans="1:22" x14ac:dyDescent="0.3">
      <c r="A3825" s="2" t="s">
        <v>8096</v>
      </c>
      <c r="B3825" s="10">
        <v>45108</v>
      </c>
      <c r="C3825" s="22">
        <v>45108</v>
      </c>
      <c r="D3825" s="1" t="s">
        <v>8097</v>
      </c>
      <c r="E3825" s="1" t="s">
        <v>1348</v>
      </c>
      <c r="F3825" s="1">
        <v>57</v>
      </c>
      <c r="G3825" s="1" t="s">
        <v>24</v>
      </c>
      <c r="H3825" s="1" t="s">
        <v>25</v>
      </c>
      <c r="I3825" s="1" t="s">
        <v>26</v>
      </c>
      <c r="J3825" s="1" t="s">
        <v>44</v>
      </c>
      <c r="K3825" s="1" t="s">
        <v>93</v>
      </c>
      <c r="L3825" s="1">
        <v>7</v>
      </c>
      <c r="M3825" s="13">
        <v>7949.66</v>
      </c>
      <c r="N3825" s="15">
        <v>0.28999999999999998</v>
      </c>
      <c r="O3825" s="13">
        <v>60207.42</v>
      </c>
      <c r="P3825" s="13">
        <v>13411.24</v>
      </c>
      <c r="Q3825" s="13">
        <v>66.87</v>
      </c>
      <c r="R3825" s="1" t="s">
        <v>70</v>
      </c>
      <c r="S3825" s="1">
        <v>4</v>
      </c>
      <c r="T3825" s="1" t="b">
        <v>0</v>
      </c>
      <c r="U3825" s="1" t="s">
        <v>39</v>
      </c>
      <c r="V3825" s="3">
        <v>2</v>
      </c>
    </row>
    <row r="3826" spans="1:22" x14ac:dyDescent="0.3">
      <c r="A3826" s="2" t="s">
        <v>8098</v>
      </c>
      <c r="B3826" s="10">
        <v>45508</v>
      </c>
      <c r="C3826" s="22">
        <v>45508</v>
      </c>
      <c r="D3826" s="1" t="s">
        <v>8099</v>
      </c>
      <c r="E3826" s="1" t="s">
        <v>905</v>
      </c>
      <c r="F3826" s="1">
        <v>46</v>
      </c>
      <c r="G3826" s="1" t="s">
        <v>391</v>
      </c>
      <c r="H3826" s="1" t="s">
        <v>82</v>
      </c>
      <c r="I3826" s="1" t="s">
        <v>293</v>
      </c>
      <c r="J3826" s="1" t="s">
        <v>44</v>
      </c>
      <c r="K3826" s="1" t="s">
        <v>186</v>
      </c>
      <c r="L3826" s="1">
        <v>8</v>
      </c>
      <c r="M3826" s="13">
        <v>7679.41</v>
      </c>
      <c r="N3826" s="15">
        <v>0.39</v>
      </c>
      <c r="O3826" s="13">
        <v>56785.85</v>
      </c>
      <c r="P3826" s="13">
        <v>15647.23</v>
      </c>
      <c r="Q3826" s="13">
        <v>83.32</v>
      </c>
      <c r="R3826" s="1" t="s">
        <v>64</v>
      </c>
      <c r="S3826" s="1">
        <v>3</v>
      </c>
      <c r="T3826" s="1" t="b">
        <v>0</v>
      </c>
      <c r="U3826" s="1" t="s">
        <v>137</v>
      </c>
      <c r="V3826" s="3">
        <v>1</v>
      </c>
    </row>
    <row r="3827" spans="1:22" x14ac:dyDescent="0.3">
      <c r="A3827" s="2" t="s">
        <v>8100</v>
      </c>
      <c r="B3827" s="10">
        <v>45649</v>
      </c>
      <c r="C3827" s="22">
        <v>45649</v>
      </c>
      <c r="D3827" s="1" t="s">
        <v>7772</v>
      </c>
      <c r="E3827" s="1" t="s">
        <v>953</v>
      </c>
      <c r="F3827" s="1">
        <v>5</v>
      </c>
      <c r="G3827" s="1" t="s">
        <v>34</v>
      </c>
      <c r="H3827" s="1" t="s">
        <v>111</v>
      </c>
      <c r="I3827" s="1" t="s">
        <v>121</v>
      </c>
      <c r="J3827" s="1" t="s">
        <v>37</v>
      </c>
      <c r="K3827" s="1" t="s">
        <v>38</v>
      </c>
      <c r="L3827" s="1">
        <v>4</v>
      </c>
      <c r="M3827" s="13">
        <v>270.17</v>
      </c>
      <c r="N3827" s="15">
        <v>0.27</v>
      </c>
      <c r="O3827" s="13">
        <v>766.64</v>
      </c>
      <c r="P3827" s="13">
        <v>297.01</v>
      </c>
      <c r="Q3827" s="13">
        <v>54.45</v>
      </c>
      <c r="R3827" s="1" t="s">
        <v>78</v>
      </c>
      <c r="S3827" s="1">
        <v>2</v>
      </c>
      <c r="T3827" s="1" t="b">
        <v>0</v>
      </c>
      <c r="U3827" s="1" t="s">
        <v>58</v>
      </c>
      <c r="V3827" s="3">
        <v>3</v>
      </c>
    </row>
    <row r="3828" spans="1:22" x14ac:dyDescent="0.3">
      <c r="A3828" s="2" t="s">
        <v>8101</v>
      </c>
      <c r="B3828" s="10">
        <v>45519</v>
      </c>
      <c r="C3828" s="22">
        <v>45519</v>
      </c>
      <c r="D3828" s="1" t="s">
        <v>8102</v>
      </c>
      <c r="E3828" s="1" t="s">
        <v>891</v>
      </c>
      <c r="F3828" s="1">
        <v>29</v>
      </c>
      <c r="G3828" s="1" t="s">
        <v>24</v>
      </c>
      <c r="H3828" s="1" t="s">
        <v>35</v>
      </c>
      <c r="I3828" s="1" t="s">
        <v>36</v>
      </c>
      <c r="J3828" s="1" t="s">
        <v>27</v>
      </c>
      <c r="K3828" s="1" t="s">
        <v>430</v>
      </c>
      <c r="L3828" s="1">
        <v>6</v>
      </c>
      <c r="M3828" s="13">
        <v>212.91</v>
      </c>
      <c r="N3828" s="15">
        <v>0.28000000000000003</v>
      </c>
      <c r="O3828" s="13">
        <v>1250.1199999999999</v>
      </c>
      <c r="P3828" s="13">
        <v>97.83</v>
      </c>
      <c r="Q3828" s="13">
        <v>63.02</v>
      </c>
      <c r="R3828" s="1" t="s">
        <v>29</v>
      </c>
      <c r="S3828" s="1">
        <v>3</v>
      </c>
      <c r="T3828" s="1" t="b">
        <v>0</v>
      </c>
      <c r="U3828" s="1" t="s">
        <v>39</v>
      </c>
      <c r="V3828" s="3">
        <v>10</v>
      </c>
    </row>
    <row r="3829" spans="1:22" x14ac:dyDescent="0.3">
      <c r="A3829" s="2" t="s">
        <v>8103</v>
      </c>
      <c r="B3829" s="10">
        <v>44650</v>
      </c>
      <c r="C3829" s="22">
        <v>44650</v>
      </c>
      <c r="D3829" s="1" t="s">
        <v>8104</v>
      </c>
      <c r="E3829" s="1" t="s">
        <v>203</v>
      </c>
      <c r="F3829" s="1">
        <v>38</v>
      </c>
      <c r="G3829" s="1" t="s">
        <v>34</v>
      </c>
      <c r="H3829" s="1" t="s">
        <v>111</v>
      </c>
      <c r="I3829" s="1" t="s">
        <v>330</v>
      </c>
      <c r="J3829" s="1" t="s">
        <v>146</v>
      </c>
      <c r="K3829" s="1" t="s">
        <v>276</v>
      </c>
      <c r="L3829" s="1">
        <v>4</v>
      </c>
      <c r="M3829" s="13">
        <v>14204.71</v>
      </c>
      <c r="N3829" s="15">
        <v>0.27</v>
      </c>
      <c r="O3829" s="13">
        <v>54400.72</v>
      </c>
      <c r="P3829" s="13">
        <v>13383.31</v>
      </c>
      <c r="Q3829" s="13">
        <v>93.83</v>
      </c>
      <c r="R3829" s="1" t="s">
        <v>78</v>
      </c>
      <c r="S3829" s="1">
        <v>1</v>
      </c>
      <c r="T3829" s="1" t="b">
        <v>1</v>
      </c>
      <c r="U3829" s="1" t="s">
        <v>30</v>
      </c>
      <c r="V3829" s="3">
        <v>10</v>
      </c>
    </row>
    <row r="3830" spans="1:22" x14ac:dyDescent="0.3">
      <c r="A3830" s="2" t="s">
        <v>8105</v>
      </c>
      <c r="B3830" s="10">
        <v>45043</v>
      </c>
      <c r="C3830" s="22">
        <v>45043</v>
      </c>
      <c r="D3830" s="1" t="s">
        <v>8106</v>
      </c>
      <c r="E3830" s="1" t="s">
        <v>154</v>
      </c>
      <c r="F3830" s="1">
        <v>24</v>
      </c>
      <c r="G3830" s="1" t="s">
        <v>24</v>
      </c>
      <c r="H3830" s="1" t="s">
        <v>82</v>
      </c>
      <c r="I3830" s="1" t="s">
        <v>126</v>
      </c>
      <c r="J3830" s="1" t="s">
        <v>27</v>
      </c>
      <c r="K3830" s="1" t="s">
        <v>56</v>
      </c>
      <c r="L3830" s="1">
        <v>8</v>
      </c>
      <c r="M3830" s="13">
        <v>132.4</v>
      </c>
      <c r="N3830" s="15">
        <v>0.32</v>
      </c>
      <c r="O3830" s="13">
        <v>1145.95</v>
      </c>
      <c r="P3830" s="13">
        <v>93.32</v>
      </c>
      <c r="Q3830" s="13">
        <v>91.9</v>
      </c>
      <c r="R3830" s="1" t="s">
        <v>29</v>
      </c>
      <c r="S3830" s="1">
        <v>2</v>
      </c>
      <c r="T3830" s="1" t="b">
        <v>0</v>
      </c>
      <c r="U3830" s="1" t="s">
        <v>39</v>
      </c>
      <c r="V3830" s="3">
        <v>2</v>
      </c>
    </row>
    <row r="3831" spans="1:22" x14ac:dyDescent="0.3">
      <c r="A3831" s="2" t="s">
        <v>8107</v>
      </c>
      <c r="B3831" s="10">
        <v>44393</v>
      </c>
      <c r="C3831" s="22">
        <v>44393</v>
      </c>
      <c r="D3831" s="1" t="s">
        <v>8108</v>
      </c>
      <c r="E3831" s="1" t="s">
        <v>292</v>
      </c>
      <c r="F3831" s="1">
        <v>51</v>
      </c>
      <c r="G3831" s="1" t="s">
        <v>68</v>
      </c>
      <c r="H3831" s="1" t="s">
        <v>82</v>
      </c>
      <c r="I3831" s="1" t="s">
        <v>126</v>
      </c>
      <c r="J3831" s="1" t="s">
        <v>146</v>
      </c>
      <c r="K3831" s="1" t="s">
        <v>217</v>
      </c>
      <c r="L3831" s="1">
        <v>3</v>
      </c>
      <c r="M3831" s="13">
        <v>14773.91</v>
      </c>
      <c r="N3831" s="15">
        <v>0.31</v>
      </c>
      <c r="O3831" s="13">
        <v>39228.730000000003</v>
      </c>
      <c r="P3831" s="13">
        <v>11423.75</v>
      </c>
      <c r="Q3831" s="13">
        <v>63.56</v>
      </c>
      <c r="R3831" s="1" t="s">
        <v>57</v>
      </c>
      <c r="S3831" s="1">
        <v>3</v>
      </c>
      <c r="T3831" s="1" t="b">
        <v>0</v>
      </c>
      <c r="U3831" s="1" t="s">
        <v>39</v>
      </c>
      <c r="V3831" s="3">
        <v>4</v>
      </c>
    </row>
    <row r="3832" spans="1:22" x14ac:dyDescent="0.3">
      <c r="A3832" s="2" t="s">
        <v>8109</v>
      </c>
      <c r="B3832" s="10">
        <v>45269</v>
      </c>
      <c r="C3832" s="22">
        <v>45269</v>
      </c>
      <c r="D3832" s="1" t="s">
        <v>8110</v>
      </c>
      <c r="E3832" s="1" t="s">
        <v>2140</v>
      </c>
      <c r="F3832" s="1">
        <v>38</v>
      </c>
      <c r="G3832" s="1" t="s">
        <v>34</v>
      </c>
      <c r="H3832" s="1" t="s">
        <v>82</v>
      </c>
      <c r="I3832" s="1" t="s">
        <v>83</v>
      </c>
      <c r="J3832" s="1" t="s">
        <v>76</v>
      </c>
      <c r="K3832" s="1" t="s">
        <v>132</v>
      </c>
      <c r="L3832" s="1">
        <v>7</v>
      </c>
      <c r="M3832" s="13">
        <v>2311.75</v>
      </c>
      <c r="N3832" s="15">
        <v>0.14000000000000001</v>
      </c>
      <c r="O3832" s="13">
        <v>11373.42</v>
      </c>
      <c r="P3832" s="13">
        <v>4064.18</v>
      </c>
      <c r="Q3832" s="13">
        <v>93.86</v>
      </c>
      <c r="R3832" s="1" t="s">
        <v>57</v>
      </c>
      <c r="S3832" s="1">
        <v>4</v>
      </c>
      <c r="T3832" s="1" t="b">
        <v>0</v>
      </c>
      <c r="U3832" s="1" t="s">
        <v>39</v>
      </c>
      <c r="V3832" s="3">
        <v>10</v>
      </c>
    </row>
    <row r="3833" spans="1:22" x14ac:dyDescent="0.3">
      <c r="A3833" s="2" t="s">
        <v>8111</v>
      </c>
      <c r="B3833" s="10">
        <v>44056</v>
      </c>
      <c r="C3833" s="22">
        <v>44056</v>
      </c>
      <c r="D3833" s="1" t="s">
        <v>8112</v>
      </c>
      <c r="E3833" s="1" t="s">
        <v>711</v>
      </c>
      <c r="F3833" s="1">
        <v>22</v>
      </c>
      <c r="G3833" s="1" t="s">
        <v>24</v>
      </c>
      <c r="H3833" s="1" t="s">
        <v>25</v>
      </c>
      <c r="I3833" s="1" t="s">
        <v>69</v>
      </c>
      <c r="J3833" s="1" t="s">
        <v>62</v>
      </c>
      <c r="K3833" s="1" t="s">
        <v>283</v>
      </c>
      <c r="L3833" s="1">
        <v>7</v>
      </c>
      <c r="M3833" s="13">
        <v>286.07</v>
      </c>
      <c r="N3833" s="15">
        <v>0.28000000000000003</v>
      </c>
      <c r="O3833" s="13">
        <v>1349.48</v>
      </c>
      <c r="P3833" s="13">
        <v>474.55</v>
      </c>
      <c r="Q3833" s="13">
        <v>52.35</v>
      </c>
      <c r="R3833" s="1" t="s">
        <v>64</v>
      </c>
      <c r="S3833" s="1">
        <v>3</v>
      </c>
      <c r="T3833" s="1" t="b">
        <v>0</v>
      </c>
      <c r="U3833" s="1" t="s">
        <v>39</v>
      </c>
      <c r="V3833" s="3">
        <v>4</v>
      </c>
    </row>
    <row r="3834" spans="1:22" x14ac:dyDescent="0.3">
      <c r="A3834" s="2" t="s">
        <v>8113</v>
      </c>
      <c r="B3834" s="10">
        <v>44156</v>
      </c>
      <c r="C3834" s="22">
        <v>44156</v>
      </c>
      <c r="D3834" s="1" t="s">
        <v>8114</v>
      </c>
      <c r="E3834" s="1" t="s">
        <v>227</v>
      </c>
      <c r="F3834" s="1">
        <v>51</v>
      </c>
      <c r="G3834" s="1" t="s">
        <v>391</v>
      </c>
      <c r="H3834" s="1" t="s">
        <v>35</v>
      </c>
      <c r="I3834" s="1" t="s">
        <v>36</v>
      </c>
      <c r="J3834" s="1" t="s">
        <v>76</v>
      </c>
      <c r="K3834" s="1" t="s">
        <v>207</v>
      </c>
      <c r="L3834" s="1">
        <v>5</v>
      </c>
      <c r="M3834" s="13">
        <v>3038.32</v>
      </c>
      <c r="N3834" s="15">
        <v>0.08</v>
      </c>
      <c r="O3834" s="13">
        <v>11598.72</v>
      </c>
      <c r="P3834" s="13">
        <v>4520.1099999999997</v>
      </c>
      <c r="Q3834" s="13">
        <v>46.38</v>
      </c>
      <c r="R3834" s="1" t="s">
        <v>78</v>
      </c>
      <c r="S3834" s="1">
        <v>3</v>
      </c>
      <c r="T3834" s="1" t="b">
        <v>0</v>
      </c>
      <c r="U3834" s="1" t="s">
        <v>39</v>
      </c>
      <c r="V3834" s="3">
        <v>8</v>
      </c>
    </row>
    <row r="3835" spans="1:22" x14ac:dyDescent="0.3">
      <c r="A3835" s="2" t="s">
        <v>8115</v>
      </c>
      <c r="B3835" s="10">
        <v>44346</v>
      </c>
      <c r="C3835" s="22">
        <v>44346</v>
      </c>
      <c r="D3835" s="1" t="s">
        <v>8116</v>
      </c>
      <c r="E3835" s="1" t="s">
        <v>1154</v>
      </c>
      <c r="F3835" s="1">
        <v>20</v>
      </c>
      <c r="G3835" s="1" t="s">
        <v>34</v>
      </c>
      <c r="H3835" s="1" t="s">
        <v>74</v>
      </c>
      <c r="I3835" s="1" t="s">
        <v>136</v>
      </c>
      <c r="J3835" s="1" t="s">
        <v>146</v>
      </c>
      <c r="K3835" s="1" t="s">
        <v>178</v>
      </c>
      <c r="L3835" s="1">
        <v>7</v>
      </c>
      <c r="M3835" s="13">
        <v>14524.03</v>
      </c>
      <c r="N3835" s="15">
        <v>0.17</v>
      </c>
      <c r="O3835" s="13">
        <v>124422.97</v>
      </c>
      <c r="P3835" s="13">
        <v>28871.78</v>
      </c>
      <c r="Q3835" s="13">
        <v>52.9</v>
      </c>
      <c r="R3835" s="1" t="s">
        <v>51</v>
      </c>
      <c r="S3835" s="1">
        <v>4</v>
      </c>
      <c r="T3835" s="1" t="b">
        <v>0</v>
      </c>
      <c r="U3835" s="1" t="s">
        <v>39</v>
      </c>
      <c r="V3835" s="3">
        <v>9</v>
      </c>
    </row>
    <row r="3836" spans="1:22" x14ac:dyDescent="0.3">
      <c r="A3836" s="2" t="s">
        <v>8117</v>
      </c>
      <c r="B3836" s="10">
        <v>44102</v>
      </c>
      <c r="C3836" s="22">
        <v>44102</v>
      </c>
      <c r="D3836" s="1" t="s">
        <v>8118</v>
      </c>
      <c r="E3836" s="1" t="s">
        <v>611</v>
      </c>
      <c r="F3836" s="1">
        <v>24</v>
      </c>
      <c r="G3836" s="1" t="s">
        <v>34</v>
      </c>
      <c r="H3836" s="1" t="s">
        <v>74</v>
      </c>
      <c r="I3836" s="1" t="s">
        <v>192</v>
      </c>
      <c r="J3836" s="1" t="s">
        <v>27</v>
      </c>
      <c r="K3836" s="1" t="s">
        <v>97</v>
      </c>
      <c r="L3836" s="1">
        <v>6</v>
      </c>
      <c r="M3836" s="13">
        <v>56.45</v>
      </c>
      <c r="N3836" s="15">
        <v>7.0000000000000007E-2</v>
      </c>
      <c r="O3836" s="13">
        <v>342.17</v>
      </c>
      <c r="P3836" s="13">
        <v>22.1</v>
      </c>
      <c r="Q3836" s="13">
        <v>41.2</v>
      </c>
      <c r="R3836" s="1" t="s">
        <v>78</v>
      </c>
      <c r="S3836" s="1">
        <v>2</v>
      </c>
      <c r="T3836" s="1" t="b">
        <v>1</v>
      </c>
      <c r="U3836" s="1" t="s">
        <v>30</v>
      </c>
      <c r="V3836" s="3">
        <v>6</v>
      </c>
    </row>
    <row r="3837" spans="1:22" x14ac:dyDescent="0.3">
      <c r="A3837" s="2" t="s">
        <v>8119</v>
      </c>
      <c r="B3837" s="10">
        <v>43996</v>
      </c>
      <c r="C3837" s="22">
        <v>43996</v>
      </c>
      <c r="D3837" s="1" t="s">
        <v>369</v>
      </c>
      <c r="E3837" s="1" t="s">
        <v>2229</v>
      </c>
      <c r="F3837" s="1">
        <v>37</v>
      </c>
      <c r="G3837" s="1" t="s">
        <v>34</v>
      </c>
      <c r="H3837" s="1" t="s">
        <v>82</v>
      </c>
      <c r="I3837" s="1" t="s">
        <v>83</v>
      </c>
      <c r="J3837" s="1" t="s">
        <v>37</v>
      </c>
      <c r="K3837" s="1" t="s">
        <v>102</v>
      </c>
      <c r="L3837" s="1">
        <v>9</v>
      </c>
      <c r="M3837" s="13">
        <v>2334.19</v>
      </c>
      <c r="N3837" s="15">
        <v>0.05</v>
      </c>
      <c r="O3837" s="13">
        <v>26537.21</v>
      </c>
      <c r="P3837" s="13">
        <v>9468.1299999999992</v>
      </c>
      <c r="Q3837" s="13">
        <v>62.79</v>
      </c>
      <c r="R3837" s="1" t="s">
        <v>70</v>
      </c>
      <c r="S3837" s="1">
        <v>3</v>
      </c>
      <c r="T3837" s="1" t="b">
        <v>0</v>
      </c>
      <c r="U3837" s="1" t="s">
        <v>39</v>
      </c>
      <c r="V3837" s="3">
        <v>10</v>
      </c>
    </row>
    <row r="3838" spans="1:22" x14ac:dyDescent="0.3">
      <c r="A3838" s="2" t="s">
        <v>8120</v>
      </c>
      <c r="B3838" s="10">
        <v>45202</v>
      </c>
      <c r="C3838" s="22">
        <v>45202</v>
      </c>
      <c r="D3838" s="1" t="s">
        <v>8121</v>
      </c>
      <c r="E3838" s="1" t="s">
        <v>3667</v>
      </c>
      <c r="F3838" s="1">
        <v>47</v>
      </c>
      <c r="G3838" s="1" t="s">
        <v>434</v>
      </c>
      <c r="H3838" s="1" t="s">
        <v>25</v>
      </c>
      <c r="I3838" s="1" t="s">
        <v>69</v>
      </c>
      <c r="J3838" s="1" t="s">
        <v>44</v>
      </c>
      <c r="K3838" s="1" t="s">
        <v>186</v>
      </c>
      <c r="L3838" s="1">
        <v>9</v>
      </c>
      <c r="M3838" s="13">
        <v>22760.46</v>
      </c>
      <c r="N3838" s="15">
        <v>0.37</v>
      </c>
      <c r="O3838" s="13">
        <v>145109.60999999999</v>
      </c>
      <c r="P3838" s="13">
        <v>39767.620000000003</v>
      </c>
      <c r="Q3838" s="13">
        <v>72.02</v>
      </c>
      <c r="R3838" s="1" t="s">
        <v>51</v>
      </c>
      <c r="S3838" s="1">
        <v>1</v>
      </c>
      <c r="T3838" s="1" t="b">
        <v>0</v>
      </c>
      <c r="U3838" s="1" t="s">
        <v>137</v>
      </c>
      <c r="V3838" s="3">
        <v>3</v>
      </c>
    </row>
    <row r="3839" spans="1:22" x14ac:dyDescent="0.3">
      <c r="A3839" s="2" t="s">
        <v>8122</v>
      </c>
      <c r="B3839" s="10">
        <v>44227</v>
      </c>
      <c r="C3839" s="22">
        <v>44227</v>
      </c>
      <c r="D3839" s="1" t="s">
        <v>7965</v>
      </c>
      <c r="E3839" s="1" t="s">
        <v>1297</v>
      </c>
      <c r="F3839" s="1">
        <v>38</v>
      </c>
      <c r="G3839" s="1" t="s">
        <v>68</v>
      </c>
      <c r="H3839" s="1" t="s">
        <v>111</v>
      </c>
      <c r="I3839" s="1" t="s">
        <v>330</v>
      </c>
      <c r="J3839" s="1" t="s">
        <v>127</v>
      </c>
      <c r="K3839" s="1" t="s">
        <v>308</v>
      </c>
      <c r="L3839" s="1">
        <v>3</v>
      </c>
      <c r="M3839" s="13">
        <v>42838.23</v>
      </c>
      <c r="N3839" s="15">
        <v>0.09</v>
      </c>
      <c r="O3839" s="13">
        <v>107037.9</v>
      </c>
      <c r="P3839" s="13">
        <v>14607.13</v>
      </c>
      <c r="Q3839" s="13">
        <v>87.84</v>
      </c>
      <c r="R3839" s="1" t="s">
        <v>29</v>
      </c>
      <c r="S3839" s="1">
        <v>1</v>
      </c>
      <c r="T3839" s="1" t="b">
        <v>1</v>
      </c>
      <c r="U3839" s="1" t="s">
        <v>30</v>
      </c>
      <c r="V3839" s="3">
        <v>1</v>
      </c>
    </row>
    <row r="3840" spans="1:22" x14ac:dyDescent="0.3">
      <c r="A3840" s="2" t="s">
        <v>8123</v>
      </c>
      <c r="B3840" s="10">
        <v>45045</v>
      </c>
      <c r="C3840" s="22">
        <v>45045</v>
      </c>
      <c r="D3840" s="1" t="s">
        <v>8124</v>
      </c>
      <c r="E3840" s="1" t="s">
        <v>206</v>
      </c>
      <c r="F3840" s="1">
        <v>45</v>
      </c>
      <c r="G3840" s="1" t="s">
        <v>68</v>
      </c>
      <c r="H3840" s="1" t="s">
        <v>82</v>
      </c>
      <c r="I3840" s="1" t="s">
        <v>83</v>
      </c>
      <c r="J3840" s="1" t="s">
        <v>146</v>
      </c>
      <c r="K3840" s="1" t="s">
        <v>276</v>
      </c>
      <c r="L3840" s="1">
        <v>4</v>
      </c>
      <c r="M3840" s="13">
        <v>10550.62</v>
      </c>
      <c r="N3840" s="15">
        <v>0.36</v>
      </c>
      <c r="O3840" s="13">
        <v>42878.34</v>
      </c>
      <c r="P3840" s="13">
        <v>7286.48</v>
      </c>
      <c r="Q3840" s="13">
        <v>64.73</v>
      </c>
      <c r="R3840" s="1" t="s">
        <v>57</v>
      </c>
      <c r="S3840" s="1">
        <v>3</v>
      </c>
      <c r="T3840" s="1" t="b">
        <v>1</v>
      </c>
      <c r="U3840" s="1" t="s">
        <v>30</v>
      </c>
      <c r="V3840" s="3">
        <v>3</v>
      </c>
    </row>
    <row r="3841" spans="1:22" x14ac:dyDescent="0.3">
      <c r="A3841" s="2" t="s">
        <v>8125</v>
      </c>
      <c r="B3841" s="10">
        <v>44240</v>
      </c>
      <c r="C3841" s="22">
        <v>44240</v>
      </c>
      <c r="D3841" s="1" t="s">
        <v>8126</v>
      </c>
      <c r="E3841" s="1" t="s">
        <v>185</v>
      </c>
      <c r="F3841" s="1">
        <v>31</v>
      </c>
      <c r="G3841" s="1" t="s">
        <v>34</v>
      </c>
      <c r="H3841" s="1" t="s">
        <v>25</v>
      </c>
      <c r="I3841" s="1" t="s">
        <v>55</v>
      </c>
      <c r="J3841" s="1" t="s">
        <v>44</v>
      </c>
      <c r="K3841" s="1" t="s">
        <v>117</v>
      </c>
      <c r="L3841" s="1">
        <v>7</v>
      </c>
      <c r="M3841" s="13">
        <v>16795.84</v>
      </c>
      <c r="N3841" s="15">
        <v>0.36</v>
      </c>
      <c r="O3841" s="13">
        <v>56221.37</v>
      </c>
      <c r="P3841" s="13">
        <v>12491.37</v>
      </c>
      <c r="Q3841" s="13">
        <v>56.62</v>
      </c>
      <c r="R3841" s="1" t="s">
        <v>64</v>
      </c>
      <c r="S3841" s="1">
        <v>2</v>
      </c>
      <c r="T3841" s="1" t="b">
        <v>1</v>
      </c>
      <c r="U3841" s="1" t="s">
        <v>30</v>
      </c>
      <c r="V3841" s="3">
        <v>2</v>
      </c>
    </row>
    <row r="3842" spans="1:22" x14ac:dyDescent="0.3">
      <c r="A3842" s="2" t="s">
        <v>8127</v>
      </c>
      <c r="B3842" s="10">
        <v>45553</v>
      </c>
      <c r="C3842" s="22">
        <v>45553</v>
      </c>
      <c r="D3842" s="1" t="s">
        <v>8128</v>
      </c>
      <c r="E3842" s="1" t="s">
        <v>1627</v>
      </c>
      <c r="F3842" s="1">
        <v>50</v>
      </c>
      <c r="G3842" s="1" t="s">
        <v>24</v>
      </c>
      <c r="H3842" s="1" t="s">
        <v>35</v>
      </c>
      <c r="I3842" s="1" t="s">
        <v>49</v>
      </c>
      <c r="J3842" s="1" t="s">
        <v>76</v>
      </c>
      <c r="K3842" s="1" t="s">
        <v>207</v>
      </c>
      <c r="L3842" s="1">
        <v>10</v>
      </c>
      <c r="M3842" s="13">
        <v>3403.06</v>
      </c>
      <c r="N3842" s="15">
        <v>0.39</v>
      </c>
      <c r="O3842" s="13">
        <v>22886.16</v>
      </c>
      <c r="P3842" s="13">
        <v>4900.0200000000004</v>
      </c>
      <c r="Q3842" s="13">
        <v>44.69</v>
      </c>
      <c r="R3842" s="1" t="s">
        <v>51</v>
      </c>
      <c r="S3842" s="1">
        <v>3</v>
      </c>
      <c r="T3842" s="1" t="b">
        <v>0</v>
      </c>
      <c r="U3842" s="1" t="s">
        <v>137</v>
      </c>
      <c r="V3842" s="3">
        <v>1</v>
      </c>
    </row>
    <row r="3843" spans="1:22" x14ac:dyDescent="0.3">
      <c r="A3843" s="2" t="s">
        <v>8129</v>
      </c>
      <c r="B3843" s="10">
        <v>44681</v>
      </c>
      <c r="C3843" s="22">
        <v>44681</v>
      </c>
      <c r="D3843" s="1" t="s">
        <v>8130</v>
      </c>
      <c r="E3843" s="1" t="s">
        <v>344</v>
      </c>
      <c r="F3843" s="1">
        <v>55</v>
      </c>
      <c r="G3843" s="1" t="s">
        <v>24</v>
      </c>
      <c r="H3843" s="1" t="s">
        <v>111</v>
      </c>
      <c r="I3843" s="1" t="s">
        <v>330</v>
      </c>
      <c r="J3843" s="1" t="s">
        <v>27</v>
      </c>
      <c r="K3843" s="1" t="s">
        <v>400</v>
      </c>
      <c r="L3843" s="1">
        <v>1</v>
      </c>
      <c r="M3843" s="13">
        <v>116.8</v>
      </c>
      <c r="N3843" s="15">
        <v>0.34</v>
      </c>
      <c r="O3843" s="13">
        <v>98.72</v>
      </c>
      <c r="P3843" s="13">
        <v>7.87</v>
      </c>
      <c r="Q3843" s="13">
        <v>74.41</v>
      </c>
      <c r="R3843" s="1" t="s">
        <v>70</v>
      </c>
      <c r="S3843" s="1">
        <v>4</v>
      </c>
      <c r="T3843" s="1" t="b">
        <v>0</v>
      </c>
      <c r="U3843" s="1" t="s">
        <v>39</v>
      </c>
      <c r="V3843" s="3">
        <v>3</v>
      </c>
    </row>
    <row r="3844" spans="1:22" x14ac:dyDescent="0.3">
      <c r="A3844" s="2" t="s">
        <v>8131</v>
      </c>
      <c r="B3844" s="10">
        <v>45456</v>
      </c>
      <c r="C3844" s="22">
        <v>45456</v>
      </c>
      <c r="D3844" s="1" t="s">
        <v>8132</v>
      </c>
      <c r="E3844" s="1" t="s">
        <v>4531</v>
      </c>
      <c r="F3844" s="1">
        <v>29</v>
      </c>
      <c r="G3844" s="1" t="s">
        <v>34</v>
      </c>
      <c r="H3844" s="1" t="s">
        <v>82</v>
      </c>
      <c r="I3844" s="1" t="s">
        <v>83</v>
      </c>
      <c r="J3844" s="1" t="s">
        <v>44</v>
      </c>
      <c r="K3844" s="1" t="s">
        <v>186</v>
      </c>
      <c r="L3844" s="1">
        <v>4</v>
      </c>
      <c r="M3844" s="13">
        <v>29351.23</v>
      </c>
      <c r="N3844" s="15">
        <v>0.19</v>
      </c>
      <c r="O3844" s="13">
        <v>174388.71</v>
      </c>
      <c r="P3844" s="13">
        <v>36069.54</v>
      </c>
      <c r="Q3844" s="13">
        <v>82.28</v>
      </c>
      <c r="R3844" s="1" t="s">
        <v>57</v>
      </c>
      <c r="S3844" s="1">
        <v>4</v>
      </c>
      <c r="T3844" s="1" t="b">
        <v>0</v>
      </c>
      <c r="U3844" s="1" t="s">
        <v>39</v>
      </c>
      <c r="V3844" s="3">
        <v>9</v>
      </c>
    </row>
    <row r="3845" spans="1:22" x14ac:dyDescent="0.3">
      <c r="A3845" s="2" t="s">
        <v>8133</v>
      </c>
      <c r="B3845" s="10">
        <v>43891</v>
      </c>
      <c r="C3845" s="22">
        <v>43891</v>
      </c>
      <c r="D3845" s="1" t="s">
        <v>8134</v>
      </c>
      <c r="E3845" s="1" t="s">
        <v>1519</v>
      </c>
      <c r="F3845" s="1">
        <v>32</v>
      </c>
      <c r="G3845" s="1" t="s">
        <v>463</v>
      </c>
      <c r="H3845" s="1" t="s">
        <v>35</v>
      </c>
      <c r="I3845" s="1" t="s">
        <v>106</v>
      </c>
      <c r="J3845" s="1" t="s">
        <v>44</v>
      </c>
      <c r="K3845" s="1" t="s">
        <v>186</v>
      </c>
      <c r="L3845" s="1">
        <v>5</v>
      </c>
      <c r="M3845" s="13">
        <v>31560.75</v>
      </c>
      <c r="N3845" s="15">
        <v>0.37</v>
      </c>
      <c r="O3845" s="13">
        <v>117876.02</v>
      </c>
      <c r="P3845" s="13">
        <v>35282.21</v>
      </c>
      <c r="Q3845" s="13">
        <v>38.479999999999997</v>
      </c>
      <c r="R3845" s="1" t="s">
        <v>64</v>
      </c>
      <c r="S3845" s="1">
        <v>4</v>
      </c>
      <c r="T3845" s="1" t="b">
        <v>0</v>
      </c>
      <c r="U3845" s="1" t="s">
        <v>39</v>
      </c>
      <c r="V3845" s="3">
        <v>5</v>
      </c>
    </row>
    <row r="3846" spans="1:22" x14ac:dyDescent="0.3">
      <c r="A3846" s="2" t="s">
        <v>8135</v>
      </c>
      <c r="B3846" s="10">
        <v>44173</v>
      </c>
      <c r="C3846" s="22">
        <v>44173</v>
      </c>
      <c r="D3846" s="1" t="s">
        <v>8136</v>
      </c>
      <c r="E3846" s="1" t="s">
        <v>804</v>
      </c>
      <c r="F3846" s="1">
        <v>46</v>
      </c>
      <c r="G3846" s="1" t="s">
        <v>24</v>
      </c>
      <c r="H3846" s="1" t="s">
        <v>82</v>
      </c>
      <c r="I3846" s="1" t="s">
        <v>293</v>
      </c>
      <c r="J3846" s="1" t="s">
        <v>127</v>
      </c>
      <c r="K3846" s="1" t="s">
        <v>142</v>
      </c>
      <c r="L3846" s="1">
        <v>9</v>
      </c>
      <c r="M3846" s="13">
        <v>9975.0499999999993</v>
      </c>
      <c r="N3846" s="15">
        <v>0.28000000000000003</v>
      </c>
      <c r="O3846" s="13">
        <v>38987.93</v>
      </c>
      <c r="P3846" s="13">
        <v>3991.52</v>
      </c>
      <c r="Q3846" s="13">
        <v>83.83</v>
      </c>
      <c r="R3846" s="1" t="s">
        <v>51</v>
      </c>
      <c r="S3846" s="1">
        <v>1</v>
      </c>
      <c r="T3846" s="1" t="b">
        <v>1</v>
      </c>
      <c r="U3846" s="1" t="s">
        <v>30</v>
      </c>
      <c r="V3846" s="3">
        <v>5</v>
      </c>
    </row>
    <row r="3847" spans="1:22" x14ac:dyDescent="0.3">
      <c r="A3847" s="2" t="s">
        <v>8137</v>
      </c>
      <c r="B3847" s="10">
        <v>45375</v>
      </c>
      <c r="C3847" s="22">
        <v>45375</v>
      </c>
      <c r="D3847" s="1" t="s">
        <v>8138</v>
      </c>
      <c r="E3847" s="1" t="s">
        <v>878</v>
      </c>
      <c r="F3847" s="1">
        <v>44</v>
      </c>
      <c r="G3847" s="1" t="s">
        <v>68</v>
      </c>
      <c r="H3847" s="1" t="s">
        <v>25</v>
      </c>
      <c r="I3847" s="1" t="s">
        <v>170</v>
      </c>
      <c r="J3847" s="1" t="s">
        <v>76</v>
      </c>
      <c r="K3847" s="1" t="s">
        <v>122</v>
      </c>
      <c r="L3847" s="1">
        <v>8</v>
      </c>
      <c r="M3847" s="13">
        <v>825.43</v>
      </c>
      <c r="N3847" s="15">
        <v>0.3</v>
      </c>
      <c r="O3847" s="13">
        <v>6590.81</v>
      </c>
      <c r="P3847" s="13">
        <v>2481.12</v>
      </c>
      <c r="Q3847" s="13">
        <v>48.12</v>
      </c>
      <c r="R3847" s="1" t="s">
        <v>57</v>
      </c>
      <c r="S3847" s="1">
        <v>1</v>
      </c>
      <c r="T3847" s="1" t="b">
        <v>0</v>
      </c>
      <c r="U3847" s="1" t="s">
        <v>39</v>
      </c>
      <c r="V3847" s="3">
        <v>2</v>
      </c>
    </row>
    <row r="3848" spans="1:22" x14ac:dyDescent="0.3">
      <c r="A3848" s="2" t="s">
        <v>8139</v>
      </c>
      <c r="B3848" s="10">
        <v>44893</v>
      </c>
      <c r="C3848" s="22">
        <v>44893</v>
      </c>
      <c r="D3848" s="1" t="s">
        <v>7411</v>
      </c>
      <c r="E3848" s="1" t="s">
        <v>3077</v>
      </c>
      <c r="F3848" s="1">
        <v>58</v>
      </c>
      <c r="G3848" s="1" t="s">
        <v>68</v>
      </c>
      <c r="H3848" s="1" t="s">
        <v>35</v>
      </c>
      <c r="I3848" s="1" t="s">
        <v>106</v>
      </c>
      <c r="J3848" s="1" t="s">
        <v>146</v>
      </c>
      <c r="K3848" s="1" t="s">
        <v>147</v>
      </c>
      <c r="L3848" s="1">
        <v>9</v>
      </c>
      <c r="M3848" s="13">
        <v>13538.61</v>
      </c>
      <c r="N3848" s="15">
        <v>0.04</v>
      </c>
      <c r="O3848" s="13">
        <v>98932.09</v>
      </c>
      <c r="P3848" s="13">
        <v>24598.22</v>
      </c>
      <c r="Q3848" s="13">
        <v>64.819999999999993</v>
      </c>
      <c r="R3848" s="1" t="s">
        <v>70</v>
      </c>
      <c r="S3848" s="1">
        <v>3</v>
      </c>
      <c r="T3848" s="1" t="b">
        <v>0</v>
      </c>
      <c r="U3848" s="1" t="s">
        <v>39</v>
      </c>
      <c r="V3848" s="3">
        <v>1</v>
      </c>
    </row>
    <row r="3849" spans="1:22" x14ac:dyDescent="0.3">
      <c r="A3849" s="2" t="s">
        <v>8140</v>
      </c>
      <c r="B3849" s="10">
        <v>44405</v>
      </c>
      <c r="C3849" s="22">
        <v>44405</v>
      </c>
      <c r="D3849" s="1" t="s">
        <v>8141</v>
      </c>
      <c r="E3849" s="1" t="s">
        <v>110</v>
      </c>
      <c r="F3849" s="1">
        <v>29</v>
      </c>
      <c r="G3849" s="1" t="s">
        <v>68</v>
      </c>
      <c r="H3849" s="1" t="s">
        <v>82</v>
      </c>
      <c r="I3849" s="1" t="s">
        <v>244</v>
      </c>
      <c r="J3849" s="1" t="s">
        <v>44</v>
      </c>
      <c r="K3849" s="1" t="s">
        <v>117</v>
      </c>
      <c r="L3849" s="1">
        <v>2</v>
      </c>
      <c r="M3849" s="13">
        <v>3092.5</v>
      </c>
      <c r="N3849" s="15">
        <v>0.03</v>
      </c>
      <c r="O3849" s="13">
        <v>7652.46</v>
      </c>
      <c r="P3849" s="13">
        <v>2113.54</v>
      </c>
      <c r="Q3849" s="13">
        <v>62.46</v>
      </c>
      <c r="R3849" s="1" t="s">
        <v>70</v>
      </c>
      <c r="S3849" s="1">
        <v>4</v>
      </c>
      <c r="T3849" s="1" t="b">
        <v>0</v>
      </c>
      <c r="U3849" s="1" t="s">
        <v>39</v>
      </c>
      <c r="V3849" s="3">
        <v>3</v>
      </c>
    </row>
    <row r="3850" spans="1:22" x14ac:dyDescent="0.3">
      <c r="A3850" s="2" t="s">
        <v>8142</v>
      </c>
      <c r="B3850" s="10">
        <v>43979</v>
      </c>
      <c r="C3850" s="22">
        <v>43979</v>
      </c>
      <c r="D3850" s="1" t="s">
        <v>8143</v>
      </c>
      <c r="E3850" s="1" t="s">
        <v>732</v>
      </c>
      <c r="F3850" s="1">
        <v>34</v>
      </c>
      <c r="G3850" s="1" t="s">
        <v>463</v>
      </c>
      <c r="H3850" s="1" t="s">
        <v>25</v>
      </c>
      <c r="I3850" s="1" t="s">
        <v>55</v>
      </c>
      <c r="J3850" s="1" t="s">
        <v>27</v>
      </c>
      <c r="K3850" s="1" t="s">
        <v>28</v>
      </c>
      <c r="L3850" s="1">
        <v>7</v>
      </c>
      <c r="M3850" s="13">
        <v>369.81</v>
      </c>
      <c r="N3850" s="15">
        <v>0.4</v>
      </c>
      <c r="O3850" s="13">
        <v>1896.12</v>
      </c>
      <c r="P3850" s="13">
        <v>92.88</v>
      </c>
      <c r="Q3850" s="13">
        <v>65.27</v>
      </c>
      <c r="R3850" s="1" t="s">
        <v>70</v>
      </c>
      <c r="S3850" s="1">
        <v>2</v>
      </c>
      <c r="T3850" s="1" t="b">
        <v>0</v>
      </c>
      <c r="U3850" s="1" t="s">
        <v>137</v>
      </c>
      <c r="V3850" s="3">
        <v>4</v>
      </c>
    </row>
    <row r="3851" spans="1:22" x14ac:dyDescent="0.3">
      <c r="A3851" s="2" t="s">
        <v>8144</v>
      </c>
      <c r="B3851" s="10">
        <v>45616</v>
      </c>
      <c r="C3851" s="22">
        <v>45616</v>
      </c>
      <c r="D3851" s="1" t="s">
        <v>8145</v>
      </c>
      <c r="E3851" s="1" t="s">
        <v>135</v>
      </c>
      <c r="F3851" s="1">
        <v>31</v>
      </c>
      <c r="G3851" s="1" t="s">
        <v>68</v>
      </c>
      <c r="H3851" s="1" t="s">
        <v>111</v>
      </c>
      <c r="I3851" s="1" t="s">
        <v>121</v>
      </c>
      <c r="J3851" s="1" t="s">
        <v>27</v>
      </c>
      <c r="K3851" s="1" t="s">
        <v>430</v>
      </c>
      <c r="L3851" s="1">
        <v>1</v>
      </c>
      <c r="M3851" s="13">
        <v>281.64999999999998</v>
      </c>
      <c r="N3851" s="15">
        <v>0.11</v>
      </c>
      <c r="O3851" s="13">
        <v>268.27</v>
      </c>
      <c r="P3851" s="13">
        <v>27.01</v>
      </c>
      <c r="Q3851" s="13">
        <v>73.959999999999994</v>
      </c>
      <c r="R3851" s="1" t="s">
        <v>78</v>
      </c>
      <c r="S3851" s="1">
        <v>1</v>
      </c>
      <c r="T3851" s="1" t="b">
        <v>1</v>
      </c>
      <c r="U3851" s="1" t="s">
        <v>30</v>
      </c>
      <c r="V3851" s="3">
        <v>7</v>
      </c>
    </row>
    <row r="3852" spans="1:22" x14ac:dyDescent="0.3">
      <c r="A3852" s="2" t="s">
        <v>8146</v>
      </c>
      <c r="B3852" s="10">
        <v>45143</v>
      </c>
      <c r="C3852" s="22">
        <v>45143</v>
      </c>
      <c r="D3852" s="1" t="s">
        <v>8147</v>
      </c>
      <c r="E3852" s="1" t="s">
        <v>240</v>
      </c>
      <c r="F3852" s="1">
        <v>57</v>
      </c>
      <c r="G3852" s="1" t="s">
        <v>68</v>
      </c>
      <c r="H3852" s="1" t="s">
        <v>25</v>
      </c>
      <c r="I3852" s="1" t="s">
        <v>170</v>
      </c>
      <c r="J3852" s="1" t="s">
        <v>127</v>
      </c>
      <c r="K3852" s="1" t="s">
        <v>308</v>
      </c>
      <c r="L3852" s="1">
        <v>4</v>
      </c>
      <c r="M3852" s="13">
        <v>5288.54</v>
      </c>
      <c r="N3852" s="15">
        <v>0.19</v>
      </c>
      <c r="O3852" s="13">
        <v>27570.77</v>
      </c>
      <c r="P3852" s="13">
        <v>3492.82</v>
      </c>
      <c r="Q3852" s="13">
        <v>95.83</v>
      </c>
      <c r="R3852" s="1" t="s">
        <v>29</v>
      </c>
      <c r="S3852" s="1">
        <v>3</v>
      </c>
      <c r="T3852" s="1" t="b">
        <v>0</v>
      </c>
      <c r="U3852" s="1" t="s">
        <v>197</v>
      </c>
      <c r="V3852" s="3">
        <v>5</v>
      </c>
    </row>
    <row r="3853" spans="1:22" x14ac:dyDescent="0.3">
      <c r="A3853" s="2" t="s">
        <v>8148</v>
      </c>
      <c r="B3853" s="10">
        <v>44812</v>
      </c>
      <c r="C3853" s="22">
        <v>44812</v>
      </c>
      <c r="D3853" s="1" t="s">
        <v>8149</v>
      </c>
      <c r="E3853" s="1" t="s">
        <v>3664</v>
      </c>
      <c r="F3853" s="1">
        <v>22</v>
      </c>
      <c r="G3853" s="1" t="s">
        <v>68</v>
      </c>
      <c r="H3853" s="1" t="s">
        <v>82</v>
      </c>
      <c r="I3853" s="1" t="s">
        <v>244</v>
      </c>
      <c r="J3853" s="1" t="s">
        <v>27</v>
      </c>
      <c r="K3853" s="1" t="s">
        <v>56</v>
      </c>
      <c r="L3853" s="1">
        <v>6</v>
      </c>
      <c r="M3853" s="13">
        <v>129.66</v>
      </c>
      <c r="N3853" s="15">
        <v>0.08</v>
      </c>
      <c r="O3853" s="13">
        <v>1008.28</v>
      </c>
      <c r="P3853" s="13">
        <v>60.96</v>
      </c>
      <c r="Q3853" s="13">
        <v>63.39</v>
      </c>
      <c r="R3853" s="1" t="s">
        <v>57</v>
      </c>
      <c r="S3853" s="1">
        <v>5</v>
      </c>
      <c r="T3853" s="1" t="b">
        <v>0</v>
      </c>
      <c r="U3853" s="1" t="s">
        <v>39</v>
      </c>
      <c r="V3853" s="3">
        <v>3</v>
      </c>
    </row>
    <row r="3854" spans="1:22" x14ac:dyDescent="0.3">
      <c r="A3854" s="2" t="s">
        <v>8150</v>
      </c>
      <c r="B3854" s="10">
        <v>45451</v>
      </c>
      <c r="C3854" s="22">
        <v>45451</v>
      </c>
      <c r="D3854" s="1" t="s">
        <v>8151</v>
      </c>
      <c r="E3854" s="1" t="s">
        <v>375</v>
      </c>
      <c r="F3854" s="1">
        <v>30</v>
      </c>
      <c r="G3854" s="1" t="s">
        <v>24</v>
      </c>
      <c r="H3854" s="1" t="s">
        <v>35</v>
      </c>
      <c r="I3854" s="1" t="s">
        <v>49</v>
      </c>
      <c r="J3854" s="1" t="s">
        <v>44</v>
      </c>
      <c r="K3854" s="1" t="s">
        <v>117</v>
      </c>
      <c r="L3854" s="1">
        <v>5</v>
      </c>
      <c r="M3854" s="13">
        <v>11535.35</v>
      </c>
      <c r="N3854" s="15">
        <v>0.32</v>
      </c>
      <c r="O3854" s="13">
        <v>13286.27</v>
      </c>
      <c r="P3854" s="13">
        <v>3991.87</v>
      </c>
      <c r="Q3854" s="13">
        <v>54.19</v>
      </c>
      <c r="R3854" s="1" t="s">
        <v>70</v>
      </c>
      <c r="S3854" s="1">
        <v>5</v>
      </c>
      <c r="T3854" s="1" t="b">
        <v>0</v>
      </c>
      <c r="U3854" s="1" t="s">
        <v>39</v>
      </c>
      <c r="V3854" s="3">
        <v>3</v>
      </c>
    </row>
    <row r="3855" spans="1:22" x14ac:dyDescent="0.3">
      <c r="A3855" s="2" t="s">
        <v>8152</v>
      </c>
      <c r="B3855" s="10">
        <v>44334</v>
      </c>
      <c r="C3855" s="22">
        <v>44334</v>
      </c>
      <c r="D3855" s="1" t="s">
        <v>8153</v>
      </c>
      <c r="E3855" s="1" t="s">
        <v>289</v>
      </c>
      <c r="F3855" s="1">
        <v>15</v>
      </c>
      <c r="G3855" s="1" t="s">
        <v>34</v>
      </c>
      <c r="H3855" s="1" t="s">
        <v>74</v>
      </c>
      <c r="I3855" s="1" t="s">
        <v>192</v>
      </c>
      <c r="J3855" s="1" t="s">
        <v>146</v>
      </c>
      <c r="K3855" s="1" t="s">
        <v>276</v>
      </c>
      <c r="L3855" s="1">
        <v>2</v>
      </c>
      <c r="M3855" s="13">
        <v>4814.42</v>
      </c>
      <c r="N3855" s="15">
        <v>0.28999999999999998</v>
      </c>
      <c r="O3855" s="13">
        <v>9405.0499999999993</v>
      </c>
      <c r="P3855" s="13">
        <v>1987.38</v>
      </c>
      <c r="Q3855" s="13">
        <v>50.43</v>
      </c>
      <c r="R3855" s="1" t="s">
        <v>51</v>
      </c>
      <c r="S3855" s="1">
        <v>3</v>
      </c>
      <c r="T3855" s="1" t="b">
        <v>0</v>
      </c>
      <c r="U3855" s="1" t="s">
        <v>84</v>
      </c>
      <c r="V3855" s="3">
        <v>5</v>
      </c>
    </row>
    <row r="3856" spans="1:22" x14ac:dyDescent="0.3">
      <c r="A3856" s="2" t="s">
        <v>8154</v>
      </c>
      <c r="B3856" s="10">
        <v>45034</v>
      </c>
      <c r="C3856" s="22">
        <v>45034</v>
      </c>
      <c r="D3856" s="1" t="s">
        <v>8155</v>
      </c>
      <c r="E3856" s="1" t="s">
        <v>616</v>
      </c>
      <c r="F3856" s="1">
        <v>43</v>
      </c>
      <c r="G3856" s="1" t="s">
        <v>24</v>
      </c>
      <c r="H3856" s="1" t="s">
        <v>25</v>
      </c>
      <c r="I3856" s="1" t="s">
        <v>26</v>
      </c>
      <c r="J3856" s="1" t="s">
        <v>27</v>
      </c>
      <c r="K3856" s="1" t="s">
        <v>56</v>
      </c>
      <c r="L3856" s="1">
        <v>7</v>
      </c>
      <c r="M3856" s="13">
        <v>287.94</v>
      </c>
      <c r="N3856" s="15">
        <v>0.34</v>
      </c>
      <c r="O3856" s="13">
        <v>1907.63</v>
      </c>
      <c r="P3856" s="13">
        <v>168.82</v>
      </c>
      <c r="Q3856" s="13">
        <v>48.27</v>
      </c>
      <c r="R3856" s="1" t="s">
        <v>70</v>
      </c>
      <c r="S3856" s="1">
        <v>4</v>
      </c>
      <c r="T3856" s="1" t="b">
        <v>0</v>
      </c>
      <c r="U3856" s="1" t="s">
        <v>39</v>
      </c>
      <c r="V3856" s="3">
        <v>5</v>
      </c>
    </row>
    <row r="3857" spans="1:22" x14ac:dyDescent="0.3">
      <c r="A3857" s="2" t="s">
        <v>8156</v>
      </c>
      <c r="B3857" s="10">
        <v>44072</v>
      </c>
      <c r="C3857" s="22">
        <v>44072</v>
      </c>
      <c r="D3857" s="1" t="s">
        <v>8157</v>
      </c>
      <c r="E3857" s="1" t="s">
        <v>160</v>
      </c>
      <c r="F3857" s="1">
        <v>31</v>
      </c>
      <c r="G3857" s="1" t="s">
        <v>34</v>
      </c>
      <c r="H3857" s="1" t="s">
        <v>111</v>
      </c>
      <c r="I3857" s="1" t="s">
        <v>141</v>
      </c>
      <c r="J3857" s="1" t="s">
        <v>44</v>
      </c>
      <c r="K3857" s="1" t="s">
        <v>50</v>
      </c>
      <c r="L3857" s="1">
        <v>10</v>
      </c>
      <c r="M3857" s="13">
        <v>26964.22</v>
      </c>
      <c r="N3857" s="15">
        <v>0.21</v>
      </c>
      <c r="O3857" s="13">
        <v>296094.49</v>
      </c>
      <c r="P3857" s="13">
        <v>62330.58</v>
      </c>
      <c r="Q3857" s="13">
        <v>62.72</v>
      </c>
      <c r="R3857" s="1" t="s">
        <v>64</v>
      </c>
      <c r="S3857" s="1">
        <v>5</v>
      </c>
      <c r="T3857" s="1" t="b">
        <v>0</v>
      </c>
      <c r="U3857" s="1" t="s">
        <v>58</v>
      </c>
      <c r="V3857" s="3">
        <v>7</v>
      </c>
    </row>
    <row r="3858" spans="1:22" x14ac:dyDescent="0.3">
      <c r="A3858" s="2" t="s">
        <v>8158</v>
      </c>
      <c r="B3858" s="10">
        <v>45016</v>
      </c>
      <c r="C3858" s="22">
        <v>45016</v>
      </c>
      <c r="D3858" s="1" t="s">
        <v>8159</v>
      </c>
      <c r="E3858" s="1" t="s">
        <v>608</v>
      </c>
      <c r="F3858" s="1">
        <v>39</v>
      </c>
      <c r="G3858" s="1" t="s">
        <v>68</v>
      </c>
      <c r="H3858" s="1" t="s">
        <v>35</v>
      </c>
      <c r="I3858" s="1" t="s">
        <v>36</v>
      </c>
      <c r="J3858" s="1" t="s">
        <v>37</v>
      </c>
      <c r="K3858" s="1" t="s">
        <v>38</v>
      </c>
      <c r="L3858" s="1">
        <v>3</v>
      </c>
      <c r="M3858" s="13">
        <v>1932.05</v>
      </c>
      <c r="N3858" s="15">
        <v>0.12</v>
      </c>
      <c r="O3858" s="13">
        <v>6749.05</v>
      </c>
      <c r="P3858" s="13">
        <v>2983.29</v>
      </c>
      <c r="Q3858" s="13">
        <v>47.16</v>
      </c>
      <c r="R3858" s="1" t="s">
        <v>78</v>
      </c>
      <c r="S3858" s="1">
        <v>1</v>
      </c>
      <c r="T3858" s="1" t="b">
        <v>0</v>
      </c>
      <c r="U3858" s="1" t="s">
        <v>58</v>
      </c>
      <c r="V3858" s="3">
        <v>5</v>
      </c>
    </row>
    <row r="3859" spans="1:22" x14ac:dyDescent="0.3">
      <c r="A3859" s="2" t="s">
        <v>8160</v>
      </c>
      <c r="B3859" s="10">
        <v>45420</v>
      </c>
      <c r="C3859" s="22">
        <v>45420</v>
      </c>
      <c r="D3859" s="1" t="s">
        <v>8161</v>
      </c>
      <c r="E3859" s="1" t="s">
        <v>140</v>
      </c>
      <c r="F3859" s="1">
        <v>43</v>
      </c>
      <c r="G3859" s="1" t="s">
        <v>68</v>
      </c>
      <c r="H3859" s="1" t="s">
        <v>82</v>
      </c>
      <c r="I3859" s="1" t="s">
        <v>244</v>
      </c>
      <c r="J3859" s="1" t="s">
        <v>44</v>
      </c>
      <c r="K3859" s="1" t="s">
        <v>117</v>
      </c>
      <c r="L3859" s="1">
        <v>7</v>
      </c>
      <c r="M3859" s="13">
        <v>16570.919999999998</v>
      </c>
      <c r="N3859" s="15">
        <v>0.33</v>
      </c>
      <c r="O3859" s="13">
        <v>122079.93</v>
      </c>
      <c r="P3859" s="13">
        <v>40801.29</v>
      </c>
      <c r="Q3859" s="13">
        <v>111.73</v>
      </c>
      <c r="R3859" s="1" t="s">
        <v>57</v>
      </c>
      <c r="S3859" s="1">
        <v>1</v>
      </c>
      <c r="T3859" s="1" t="b">
        <v>0</v>
      </c>
      <c r="U3859" s="1" t="s">
        <v>137</v>
      </c>
      <c r="V3859" s="3">
        <v>9</v>
      </c>
    </row>
    <row r="3860" spans="1:22" x14ac:dyDescent="0.3">
      <c r="A3860" s="2" t="s">
        <v>8162</v>
      </c>
      <c r="B3860" s="10">
        <v>44492</v>
      </c>
      <c r="C3860" s="22">
        <v>44492</v>
      </c>
      <c r="D3860" s="1" t="s">
        <v>8163</v>
      </c>
      <c r="E3860" s="1" t="s">
        <v>1489</v>
      </c>
      <c r="F3860" s="1">
        <v>36</v>
      </c>
      <c r="G3860" s="1" t="s">
        <v>34</v>
      </c>
      <c r="H3860" s="1" t="s">
        <v>35</v>
      </c>
      <c r="I3860" s="1" t="s">
        <v>49</v>
      </c>
      <c r="J3860" s="1" t="s">
        <v>76</v>
      </c>
      <c r="K3860" s="1" t="s">
        <v>89</v>
      </c>
      <c r="L3860" s="1">
        <v>10</v>
      </c>
      <c r="M3860" s="13">
        <v>2394.19</v>
      </c>
      <c r="N3860" s="15">
        <v>0.18</v>
      </c>
      <c r="O3860" s="13">
        <v>18412.38</v>
      </c>
      <c r="P3860" s="13">
        <v>6424.53</v>
      </c>
      <c r="Q3860" s="13">
        <v>80.64</v>
      </c>
      <c r="R3860" s="1" t="s">
        <v>64</v>
      </c>
      <c r="S3860" s="1">
        <v>4</v>
      </c>
      <c r="T3860" s="1" t="b">
        <v>0</v>
      </c>
      <c r="U3860" s="1" t="s">
        <v>39</v>
      </c>
      <c r="V3860" s="3">
        <v>5</v>
      </c>
    </row>
    <row r="3861" spans="1:22" x14ac:dyDescent="0.3">
      <c r="A3861" s="2" t="s">
        <v>8164</v>
      </c>
      <c r="B3861" s="10">
        <v>44982</v>
      </c>
      <c r="C3861" s="22">
        <v>44982</v>
      </c>
      <c r="D3861" s="1" t="s">
        <v>8165</v>
      </c>
      <c r="E3861" s="1" t="s">
        <v>23</v>
      </c>
      <c r="F3861" s="1">
        <v>29</v>
      </c>
      <c r="G3861" s="1" t="s">
        <v>68</v>
      </c>
      <c r="H3861" s="1" t="s">
        <v>25</v>
      </c>
      <c r="I3861" s="1" t="s">
        <v>69</v>
      </c>
      <c r="J3861" s="1" t="s">
        <v>76</v>
      </c>
      <c r="K3861" s="1" t="s">
        <v>113</v>
      </c>
      <c r="L3861" s="1">
        <v>4</v>
      </c>
      <c r="M3861" s="13">
        <v>2095.6</v>
      </c>
      <c r="N3861" s="15">
        <v>0.36</v>
      </c>
      <c r="O3861" s="13">
        <v>5514.66</v>
      </c>
      <c r="P3861" s="13">
        <v>1469.25</v>
      </c>
      <c r="Q3861" s="13">
        <v>50.22</v>
      </c>
      <c r="R3861" s="1" t="s">
        <v>57</v>
      </c>
      <c r="S3861" s="1">
        <v>4</v>
      </c>
      <c r="T3861" s="1" t="b">
        <v>0</v>
      </c>
      <c r="U3861" s="1" t="s">
        <v>39</v>
      </c>
      <c r="V3861" s="3">
        <v>6</v>
      </c>
    </row>
    <row r="3862" spans="1:22" x14ac:dyDescent="0.3">
      <c r="A3862" s="2" t="s">
        <v>8166</v>
      </c>
      <c r="B3862" s="10">
        <v>44753</v>
      </c>
      <c r="C3862" s="22">
        <v>44753</v>
      </c>
      <c r="D3862" s="1" t="s">
        <v>8167</v>
      </c>
      <c r="E3862" s="1" t="s">
        <v>558</v>
      </c>
      <c r="F3862" s="1">
        <v>43</v>
      </c>
      <c r="G3862" s="1" t="s">
        <v>24</v>
      </c>
      <c r="H3862" s="1" t="s">
        <v>111</v>
      </c>
      <c r="I3862" s="1" t="s">
        <v>121</v>
      </c>
      <c r="J3862" s="1" t="s">
        <v>44</v>
      </c>
      <c r="K3862" s="1" t="s">
        <v>186</v>
      </c>
      <c r="L3862" s="1">
        <v>8</v>
      </c>
      <c r="M3862" s="13">
        <v>32713.93</v>
      </c>
      <c r="N3862" s="15">
        <v>0.21</v>
      </c>
      <c r="O3862" s="13">
        <v>353477.73</v>
      </c>
      <c r="P3862" s="13">
        <v>94752.3</v>
      </c>
      <c r="Q3862" s="13">
        <v>78.56</v>
      </c>
      <c r="R3862" s="1" t="s">
        <v>51</v>
      </c>
      <c r="S3862" s="1">
        <v>3</v>
      </c>
      <c r="T3862" s="1" t="b">
        <v>0</v>
      </c>
      <c r="U3862" s="1" t="s">
        <v>39</v>
      </c>
      <c r="V3862" s="3">
        <v>6</v>
      </c>
    </row>
    <row r="3863" spans="1:22" x14ac:dyDescent="0.3">
      <c r="A3863" s="2" t="s">
        <v>8168</v>
      </c>
      <c r="B3863" s="10">
        <v>44265</v>
      </c>
      <c r="C3863" s="22">
        <v>44265</v>
      </c>
      <c r="D3863" s="1" t="s">
        <v>8169</v>
      </c>
      <c r="E3863" s="1" t="s">
        <v>2144</v>
      </c>
      <c r="F3863" s="1">
        <v>38</v>
      </c>
      <c r="G3863" s="1" t="s">
        <v>34</v>
      </c>
      <c r="H3863" s="1" t="s">
        <v>35</v>
      </c>
      <c r="I3863" s="1" t="s">
        <v>106</v>
      </c>
      <c r="J3863" s="1" t="s">
        <v>62</v>
      </c>
      <c r="K3863" s="1" t="s">
        <v>266</v>
      </c>
      <c r="L3863" s="1">
        <v>10</v>
      </c>
      <c r="M3863" s="13">
        <v>1207.23</v>
      </c>
      <c r="N3863" s="15">
        <v>0.16</v>
      </c>
      <c r="O3863" s="13">
        <v>10978.87</v>
      </c>
      <c r="P3863" s="13">
        <v>2840.09</v>
      </c>
      <c r="Q3863" s="13">
        <v>56.99</v>
      </c>
      <c r="R3863" s="1" t="s">
        <v>64</v>
      </c>
      <c r="S3863" s="1">
        <v>2</v>
      </c>
      <c r="T3863" s="1" t="b">
        <v>0</v>
      </c>
      <c r="U3863" s="1" t="s">
        <v>39</v>
      </c>
      <c r="V3863" s="3">
        <v>6</v>
      </c>
    </row>
    <row r="3864" spans="1:22" x14ac:dyDescent="0.3">
      <c r="A3864" s="2" t="s">
        <v>8170</v>
      </c>
      <c r="B3864" s="10">
        <v>43956</v>
      </c>
      <c r="C3864" s="22">
        <v>43956</v>
      </c>
      <c r="D3864" s="1" t="s">
        <v>8171</v>
      </c>
      <c r="E3864" s="1" t="s">
        <v>1057</v>
      </c>
      <c r="F3864" s="1">
        <v>36</v>
      </c>
      <c r="G3864" s="1" t="s">
        <v>34</v>
      </c>
      <c r="H3864" s="1" t="s">
        <v>35</v>
      </c>
      <c r="I3864" s="1" t="s">
        <v>49</v>
      </c>
      <c r="J3864" s="1" t="s">
        <v>27</v>
      </c>
      <c r="K3864" s="1" t="s">
        <v>450</v>
      </c>
      <c r="L3864" s="1">
        <v>2</v>
      </c>
      <c r="M3864" s="13">
        <v>306.74</v>
      </c>
      <c r="N3864" s="15">
        <v>0.09</v>
      </c>
      <c r="O3864" s="13">
        <v>620.29999999999995</v>
      </c>
      <c r="P3864" s="13">
        <v>44.87</v>
      </c>
      <c r="Q3864" s="13">
        <v>67.78</v>
      </c>
      <c r="R3864" s="1" t="s">
        <v>70</v>
      </c>
      <c r="S3864" s="1">
        <v>3</v>
      </c>
      <c r="T3864" s="1" t="b">
        <v>0</v>
      </c>
      <c r="U3864" s="1" t="s">
        <v>39</v>
      </c>
      <c r="V3864" s="3">
        <v>4</v>
      </c>
    </row>
    <row r="3865" spans="1:22" x14ac:dyDescent="0.3">
      <c r="A3865" s="2" t="s">
        <v>8172</v>
      </c>
      <c r="B3865" s="10">
        <v>44897</v>
      </c>
      <c r="C3865" s="22">
        <v>44897</v>
      </c>
      <c r="D3865" s="1" t="s">
        <v>8173</v>
      </c>
      <c r="E3865" s="1" t="s">
        <v>794</v>
      </c>
      <c r="F3865" s="1">
        <v>33</v>
      </c>
      <c r="G3865" s="1" t="s">
        <v>34</v>
      </c>
      <c r="H3865" s="1" t="s">
        <v>111</v>
      </c>
      <c r="I3865" s="1" t="s">
        <v>330</v>
      </c>
      <c r="J3865" s="1" t="s">
        <v>76</v>
      </c>
      <c r="K3865" s="1" t="s">
        <v>113</v>
      </c>
      <c r="L3865" s="1">
        <v>4</v>
      </c>
      <c r="M3865" s="13">
        <v>1231.26</v>
      </c>
      <c r="N3865" s="15">
        <v>7.0000000000000007E-2</v>
      </c>
      <c r="O3865" s="13">
        <v>3543.81</v>
      </c>
      <c r="P3865" s="13">
        <v>1397.23</v>
      </c>
      <c r="Q3865" s="13">
        <v>42.37</v>
      </c>
      <c r="R3865" s="1" t="s">
        <v>29</v>
      </c>
      <c r="S3865" s="1">
        <v>3</v>
      </c>
      <c r="T3865" s="1" t="b">
        <v>0</v>
      </c>
      <c r="U3865" s="1" t="s">
        <v>39</v>
      </c>
      <c r="V3865" s="3">
        <v>9</v>
      </c>
    </row>
    <row r="3866" spans="1:22" x14ac:dyDescent="0.3">
      <c r="A3866" s="2" t="s">
        <v>8174</v>
      </c>
      <c r="B3866" s="10">
        <v>44057</v>
      </c>
      <c r="C3866" s="22">
        <v>44057</v>
      </c>
      <c r="D3866" s="1" t="s">
        <v>8175</v>
      </c>
      <c r="E3866" s="1" t="s">
        <v>1064</v>
      </c>
      <c r="F3866" s="1">
        <v>44</v>
      </c>
      <c r="G3866" s="1" t="s">
        <v>34</v>
      </c>
      <c r="H3866" s="1" t="s">
        <v>74</v>
      </c>
      <c r="I3866" s="1" t="s">
        <v>136</v>
      </c>
      <c r="J3866" s="1" t="s">
        <v>44</v>
      </c>
      <c r="K3866" s="1" t="s">
        <v>93</v>
      </c>
      <c r="L3866" s="1">
        <v>5</v>
      </c>
      <c r="M3866" s="13">
        <v>6721.75</v>
      </c>
      <c r="N3866" s="15">
        <v>0.19</v>
      </c>
      <c r="O3866" s="13">
        <v>6015.58</v>
      </c>
      <c r="P3866" s="13">
        <v>1506.36</v>
      </c>
      <c r="Q3866" s="13">
        <v>22.19</v>
      </c>
      <c r="R3866" s="1" t="s">
        <v>70</v>
      </c>
      <c r="S3866" s="1">
        <v>5</v>
      </c>
      <c r="T3866" s="1" t="b">
        <v>0</v>
      </c>
      <c r="U3866" s="1" t="s">
        <v>137</v>
      </c>
      <c r="V3866" s="3">
        <v>9</v>
      </c>
    </row>
    <row r="3867" spans="1:22" x14ac:dyDescent="0.3">
      <c r="A3867" s="2" t="s">
        <v>8176</v>
      </c>
      <c r="B3867" s="10">
        <v>44978</v>
      </c>
      <c r="C3867" s="22">
        <v>44978</v>
      </c>
      <c r="D3867" s="1" t="s">
        <v>8177</v>
      </c>
      <c r="E3867" s="1" t="s">
        <v>1173</v>
      </c>
      <c r="F3867" s="1">
        <v>47</v>
      </c>
      <c r="G3867" s="1" t="s">
        <v>68</v>
      </c>
      <c r="H3867" s="1" t="s">
        <v>82</v>
      </c>
      <c r="I3867" s="1" t="s">
        <v>244</v>
      </c>
      <c r="J3867" s="1" t="s">
        <v>76</v>
      </c>
      <c r="K3867" s="1" t="s">
        <v>77</v>
      </c>
      <c r="L3867" s="1">
        <v>6</v>
      </c>
      <c r="M3867" s="13">
        <v>3972.74</v>
      </c>
      <c r="N3867" s="15">
        <v>0.19</v>
      </c>
      <c r="O3867" s="13">
        <v>21803.58</v>
      </c>
      <c r="P3867" s="13">
        <v>9997.3700000000008</v>
      </c>
      <c r="Q3867" s="13">
        <v>46.75</v>
      </c>
      <c r="R3867" s="1" t="s">
        <v>29</v>
      </c>
      <c r="S3867" s="1">
        <v>2</v>
      </c>
      <c r="T3867" s="1" t="b">
        <v>0</v>
      </c>
      <c r="U3867" s="1" t="s">
        <v>39</v>
      </c>
      <c r="V3867" s="3">
        <v>1</v>
      </c>
    </row>
    <row r="3868" spans="1:22" x14ac:dyDescent="0.3">
      <c r="A3868" s="2" t="s">
        <v>8178</v>
      </c>
      <c r="B3868" s="10">
        <v>44542</v>
      </c>
      <c r="C3868" s="22">
        <v>44542</v>
      </c>
      <c r="D3868" s="1" t="s">
        <v>8179</v>
      </c>
      <c r="E3868" s="1" t="s">
        <v>1285</v>
      </c>
      <c r="F3868" s="1">
        <v>37</v>
      </c>
      <c r="G3868" s="1" t="s">
        <v>68</v>
      </c>
      <c r="H3868" s="1" t="s">
        <v>74</v>
      </c>
      <c r="I3868" s="1" t="s">
        <v>75</v>
      </c>
      <c r="J3868" s="1" t="s">
        <v>27</v>
      </c>
      <c r="K3868" s="1" t="s">
        <v>28</v>
      </c>
      <c r="L3868" s="1">
        <v>5</v>
      </c>
      <c r="M3868" s="13">
        <v>225.72</v>
      </c>
      <c r="N3868" s="15">
        <v>0.01</v>
      </c>
      <c r="O3868" s="13">
        <v>877.93</v>
      </c>
      <c r="P3868" s="13">
        <v>110.9</v>
      </c>
      <c r="Q3868" s="13">
        <v>57.3</v>
      </c>
      <c r="R3868" s="1" t="s">
        <v>64</v>
      </c>
      <c r="S3868" s="1">
        <v>2</v>
      </c>
      <c r="T3868" s="1" t="b">
        <v>1</v>
      </c>
      <c r="U3868" s="1" t="s">
        <v>30</v>
      </c>
      <c r="V3868" s="3">
        <v>7</v>
      </c>
    </row>
    <row r="3869" spans="1:22" x14ac:dyDescent="0.3">
      <c r="A3869" s="2" t="s">
        <v>8180</v>
      </c>
      <c r="B3869" s="10">
        <v>44962</v>
      </c>
      <c r="C3869" s="22">
        <v>44962</v>
      </c>
      <c r="D3869" s="1" t="s">
        <v>8181</v>
      </c>
      <c r="E3869" s="1" t="s">
        <v>1282</v>
      </c>
      <c r="F3869" s="1">
        <v>48</v>
      </c>
      <c r="G3869" s="1" t="s">
        <v>24</v>
      </c>
      <c r="H3869" s="1" t="s">
        <v>111</v>
      </c>
      <c r="I3869" s="1" t="s">
        <v>112</v>
      </c>
      <c r="J3869" s="1" t="s">
        <v>76</v>
      </c>
      <c r="K3869" s="1" t="s">
        <v>113</v>
      </c>
      <c r="L3869" s="1">
        <v>9</v>
      </c>
      <c r="M3869" s="13">
        <v>1032.03</v>
      </c>
      <c r="N3869" s="15">
        <v>0.33</v>
      </c>
      <c r="O3869" s="13">
        <v>6175.76</v>
      </c>
      <c r="P3869" s="13">
        <v>1554.99</v>
      </c>
      <c r="Q3869" s="13">
        <v>79.739999999999995</v>
      </c>
      <c r="R3869" s="1" t="s">
        <v>78</v>
      </c>
      <c r="S3869" s="1">
        <v>4</v>
      </c>
      <c r="T3869" s="1" t="b">
        <v>1</v>
      </c>
      <c r="U3869" s="1" t="s">
        <v>30</v>
      </c>
      <c r="V3869" s="3">
        <v>7</v>
      </c>
    </row>
    <row r="3870" spans="1:22" x14ac:dyDescent="0.3">
      <c r="A3870" s="2" t="s">
        <v>8182</v>
      </c>
      <c r="B3870" s="10">
        <v>45470</v>
      </c>
      <c r="C3870" s="22">
        <v>45470</v>
      </c>
      <c r="D3870" s="1" t="s">
        <v>8183</v>
      </c>
      <c r="E3870" s="1" t="s">
        <v>660</v>
      </c>
      <c r="F3870" s="1">
        <v>41</v>
      </c>
      <c r="G3870" s="1" t="s">
        <v>68</v>
      </c>
      <c r="H3870" s="1" t="s">
        <v>82</v>
      </c>
      <c r="I3870" s="1" t="s">
        <v>126</v>
      </c>
      <c r="J3870" s="1" t="s">
        <v>44</v>
      </c>
      <c r="K3870" s="1" t="s">
        <v>45</v>
      </c>
      <c r="L3870" s="1">
        <v>1</v>
      </c>
      <c r="M3870" s="13">
        <v>31109.85</v>
      </c>
      <c r="N3870" s="15">
        <v>0.22</v>
      </c>
      <c r="O3870" s="13">
        <v>44220.44</v>
      </c>
      <c r="P3870" s="13">
        <v>11000.78</v>
      </c>
      <c r="Q3870" s="13">
        <v>97.57</v>
      </c>
      <c r="R3870" s="1" t="s">
        <v>29</v>
      </c>
      <c r="S3870" s="1">
        <v>3</v>
      </c>
      <c r="T3870" s="1" t="b">
        <v>0</v>
      </c>
      <c r="U3870" s="1" t="s">
        <v>39</v>
      </c>
      <c r="V3870" s="3">
        <v>3</v>
      </c>
    </row>
    <row r="3871" spans="1:22" x14ac:dyDescent="0.3">
      <c r="A3871" s="2" t="s">
        <v>8184</v>
      </c>
      <c r="B3871" s="10">
        <v>44513</v>
      </c>
      <c r="C3871" s="22">
        <v>44513</v>
      </c>
      <c r="D3871" s="1" t="s">
        <v>8185</v>
      </c>
      <c r="E3871" s="1" t="s">
        <v>1862</v>
      </c>
      <c r="F3871" s="1">
        <v>34</v>
      </c>
      <c r="G3871" s="1" t="s">
        <v>24</v>
      </c>
      <c r="H3871" s="1" t="s">
        <v>82</v>
      </c>
      <c r="I3871" s="1" t="s">
        <v>244</v>
      </c>
      <c r="J3871" s="1" t="s">
        <v>146</v>
      </c>
      <c r="K3871" s="1" t="s">
        <v>276</v>
      </c>
      <c r="L3871" s="1">
        <v>10</v>
      </c>
      <c r="M3871" s="13">
        <v>8236.27</v>
      </c>
      <c r="N3871" s="15">
        <v>0.04</v>
      </c>
      <c r="O3871" s="13">
        <v>66408.75</v>
      </c>
      <c r="P3871" s="13">
        <v>10958.97</v>
      </c>
      <c r="Q3871" s="13">
        <v>69.62</v>
      </c>
      <c r="R3871" s="1" t="s">
        <v>29</v>
      </c>
      <c r="S3871" s="1">
        <v>3</v>
      </c>
      <c r="T3871" s="1" t="b">
        <v>1</v>
      </c>
      <c r="U3871" s="1" t="s">
        <v>30</v>
      </c>
      <c r="V3871" s="3">
        <v>7</v>
      </c>
    </row>
    <row r="3872" spans="1:22" x14ac:dyDescent="0.3">
      <c r="A3872" s="2" t="s">
        <v>8186</v>
      </c>
      <c r="B3872" s="10">
        <v>44143</v>
      </c>
      <c r="C3872" s="22">
        <v>44143</v>
      </c>
      <c r="D3872" s="1" t="s">
        <v>2641</v>
      </c>
      <c r="E3872" s="1" t="s">
        <v>370</v>
      </c>
      <c r="F3872" s="1">
        <v>22</v>
      </c>
      <c r="G3872" s="1" t="s">
        <v>68</v>
      </c>
      <c r="H3872" s="1" t="s">
        <v>74</v>
      </c>
      <c r="I3872" s="1" t="s">
        <v>101</v>
      </c>
      <c r="J3872" s="1" t="s">
        <v>44</v>
      </c>
      <c r="K3872" s="1" t="s">
        <v>221</v>
      </c>
      <c r="L3872" s="1">
        <v>6</v>
      </c>
      <c r="M3872" s="13">
        <v>21919.09</v>
      </c>
      <c r="N3872" s="15">
        <v>0.17</v>
      </c>
      <c r="O3872" s="13">
        <v>80745.64</v>
      </c>
      <c r="P3872" s="13">
        <v>19787.939999999999</v>
      </c>
      <c r="Q3872" s="13">
        <v>53.3</v>
      </c>
      <c r="R3872" s="1" t="s">
        <v>29</v>
      </c>
      <c r="S3872" s="1">
        <v>5</v>
      </c>
      <c r="T3872" s="1" t="b">
        <v>0</v>
      </c>
      <c r="U3872" s="1" t="s">
        <v>39</v>
      </c>
      <c r="V3872" s="3">
        <v>9</v>
      </c>
    </row>
    <row r="3873" spans="1:22" x14ac:dyDescent="0.3">
      <c r="A3873" s="2" t="s">
        <v>8187</v>
      </c>
      <c r="B3873" s="10">
        <v>43976</v>
      </c>
      <c r="C3873" s="22">
        <v>43976</v>
      </c>
      <c r="D3873" s="1" t="s">
        <v>8188</v>
      </c>
      <c r="E3873" s="1" t="s">
        <v>213</v>
      </c>
      <c r="F3873" s="1">
        <v>27</v>
      </c>
      <c r="G3873" s="1" t="s">
        <v>88</v>
      </c>
      <c r="H3873" s="1" t="s">
        <v>25</v>
      </c>
      <c r="I3873" s="1" t="s">
        <v>55</v>
      </c>
      <c r="J3873" s="1" t="s">
        <v>44</v>
      </c>
      <c r="K3873" s="1" t="s">
        <v>221</v>
      </c>
      <c r="L3873" s="1">
        <v>5</v>
      </c>
      <c r="M3873" s="13">
        <v>6765.44</v>
      </c>
      <c r="N3873" s="15">
        <v>0.33</v>
      </c>
      <c r="O3873" s="13">
        <v>31049.48</v>
      </c>
      <c r="P3873" s="13">
        <v>6138.52</v>
      </c>
      <c r="Q3873" s="13">
        <v>54.05</v>
      </c>
      <c r="R3873" s="1" t="s">
        <v>78</v>
      </c>
      <c r="S3873" s="1">
        <v>2</v>
      </c>
      <c r="T3873" s="1" t="b">
        <v>0</v>
      </c>
      <c r="U3873" s="1" t="s">
        <v>84</v>
      </c>
      <c r="V3873" s="3">
        <v>6</v>
      </c>
    </row>
    <row r="3874" spans="1:22" x14ac:dyDescent="0.3">
      <c r="A3874" s="2" t="s">
        <v>8189</v>
      </c>
      <c r="B3874" s="10">
        <v>44852</v>
      </c>
      <c r="C3874" s="22">
        <v>44852</v>
      </c>
      <c r="D3874" s="1" t="s">
        <v>8190</v>
      </c>
      <c r="E3874" s="1" t="s">
        <v>105</v>
      </c>
      <c r="F3874" s="1">
        <v>38</v>
      </c>
      <c r="G3874" s="1" t="s">
        <v>34</v>
      </c>
      <c r="H3874" s="1" t="s">
        <v>35</v>
      </c>
      <c r="I3874" s="1" t="s">
        <v>43</v>
      </c>
      <c r="J3874" s="1" t="s">
        <v>127</v>
      </c>
      <c r="K3874" s="1" t="s">
        <v>171</v>
      </c>
      <c r="L3874" s="1">
        <v>5</v>
      </c>
      <c r="M3874" s="13">
        <v>5729.21</v>
      </c>
      <c r="N3874" s="15">
        <v>0.26</v>
      </c>
      <c r="O3874" s="13">
        <v>21082.560000000001</v>
      </c>
      <c r="P3874" s="13">
        <v>2258.77</v>
      </c>
      <c r="Q3874" s="13">
        <v>47.72</v>
      </c>
      <c r="R3874" s="1" t="s">
        <v>57</v>
      </c>
      <c r="S3874" s="1">
        <v>4</v>
      </c>
      <c r="T3874" s="1" t="b">
        <v>0</v>
      </c>
      <c r="U3874" s="1" t="s">
        <v>84</v>
      </c>
      <c r="V3874" s="3">
        <v>8</v>
      </c>
    </row>
    <row r="3875" spans="1:22" x14ac:dyDescent="0.3">
      <c r="A3875" s="2" t="s">
        <v>8191</v>
      </c>
      <c r="B3875" s="10">
        <v>44725</v>
      </c>
      <c r="C3875" s="22">
        <v>44725</v>
      </c>
      <c r="D3875" s="1" t="s">
        <v>8192</v>
      </c>
      <c r="E3875" s="1" t="s">
        <v>357</v>
      </c>
      <c r="F3875" s="1">
        <v>28</v>
      </c>
      <c r="G3875" s="1" t="s">
        <v>34</v>
      </c>
      <c r="H3875" s="1" t="s">
        <v>25</v>
      </c>
      <c r="I3875" s="1" t="s">
        <v>69</v>
      </c>
      <c r="J3875" s="1" t="s">
        <v>27</v>
      </c>
      <c r="K3875" s="1" t="s">
        <v>430</v>
      </c>
      <c r="L3875" s="1">
        <v>1</v>
      </c>
      <c r="M3875" s="13">
        <v>431.51</v>
      </c>
      <c r="N3875" s="15">
        <v>0.26</v>
      </c>
      <c r="O3875" s="13">
        <v>545.27</v>
      </c>
      <c r="P3875" s="13">
        <v>23.26</v>
      </c>
      <c r="Q3875" s="13">
        <v>56.68</v>
      </c>
      <c r="R3875" s="1" t="s">
        <v>78</v>
      </c>
      <c r="S3875" s="1">
        <v>3</v>
      </c>
      <c r="T3875" s="1" t="b">
        <v>0</v>
      </c>
      <c r="U3875" s="1" t="s">
        <v>39</v>
      </c>
      <c r="V3875" s="3">
        <v>5</v>
      </c>
    </row>
    <row r="3876" spans="1:22" x14ac:dyDescent="0.3">
      <c r="A3876" s="2" t="s">
        <v>8193</v>
      </c>
      <c r="B3876" s="10">
        <v>44186</v>
      </c>
      <c r="C3876" s="22">
        <v>44186</v>
      </c>
      <c r="D3876" s="1" t="s">
        <v>8194</v>
      </c>
      <c r="E3876" s="1" t="s">
        <v>426</v>
      </c>
      <c r="F3876" s="1">
        <v>42</v>
      </c>
      <c r="G3876" s="1" t="s">
        <v>24</v>
      </c>
      <c r="H3876" s="1" t="s">
        <v>35</v>
      </c>
      <c r="I3876" s="1" t="s">
        <v>106</v>
      </c>
      <c r="J3876" s="1" t="s">
        <v>44</v>
      </c>
      <c r="K3876" s="1" t="s">
        <v>221</v>
      </c>
      <c r="L3876" s="1">
        <v>8</v>
      </c>
      <c r="M3876" s="13">
        <v>14923.8</v>
      </c>
      <c r="N3876" s="15">
        <v>0.19</v>
      </c>
      <c r="O3876" s="13">
        <v>74800.009999999995</v>
      </c>
      <c r="P3876" s="13">
        <v>25405.51</v>
      </c>
      <c r="Q3876" s="13">
        <v>42.54</v>
      </c>
      <c r="R3876" s="1" t="s">
        <v>70</v>
      </c>
      <c r="S3876" s="1">
        <v>2</v>
      </c>
      <c r="T3876" s="1" t="b">
        <v>0</v>
      </c>
      <c r="U3876" s="1" t="s">
        <v>39</v>
      </c>
      <c r="V3876" s="3">
        <v>4</v>
      </c>
    </row>
    <row r="3877" spans="1:22" x14ac:dyDescent="0.3">
      <c r="A3877" s="2" t="s">
        <v>8195</v>
      </c>
      <c r="B3877" s="10">
        <v>45567</v>
      </c>
      <c r="C3877" s="22">
        <v>45567</v>
      </c>
      <c r="D3877" s="1" t="s">
        <v>8196</v>
      </c>
      <c r="E3877" s="1" t="s">
        <v>2140</v>
      </c>
      <c r="F3877" s="1">
        <v>39</v>
      </c>
      <c r="G3877" s="1" t="s">
        <v>34</v>
      </c>
      <c r="H3877" s="1" t="s">
        <v>25</v>
      </c>
      <c r="I3877" s="1" t="s">
        <v>69</v>
      </c>
      <c r="J3877" s="1" t="s">
        <v>127</v>
      </c>
      <c r="K3877" s="1" t="s">
        <v>128</v>
      </c>
      <c r="L3877" s="1">
        <v>2</v>
      </c>
      <c r="M3877" s="13">
        <v>24384.77</v>
      </c>
      <c r="N3877" s="15">
        <v>0.4</v>
      </c>
      <c r="O3877" s="13">
        <v>33639.93</v>
      </c>
      <c r="P3877" s="13">
        <v>4904.58</v>
      </c>
      <c r="Q3877" s="13">
        <v>40.950000000000003</v>
      </c>
      <c r="R3877" s="1" t="s">
        <v>70</v>
      </c>
      <c r="S3877" s="1">
        <v>3</v>
      </c>
      <c r="T3877" s="1" t="b">
        <v>0</v>
      </c>
      <c r="U3877" s="1" t="s">
        <v>39</v>
      </c>
      <c r="V3877" s="3">
        <v>9</v>
      </c>
    </row>
    <row r="3878" spans="1:22" x14ac:dyDescent="0.3">
      <c r="A3878" s="2" t="s">
        <v>8197</v>
      </c>
      <c r="B3878" s="10">
        <v>43852</v>
      </c>
      <c r="C3878" s="22">
        <v>43852</v>
      </c>
      <c r="D3878" s="1" t="s">
        <v>8198</v>
      </c>
      <c r="E3878" s="1" t="s">
        <v>1246</v>
      </c>
      <c r="F3878" s="1">
        <v>10</v>
      </c>
      <c r="G3878" s="1" t="s">
        <v>68</v>
      </c>
      <c r="H3878" s="1" t="s">
        <v>35</v>
      </c>
      <c r="I3878" s="1" t="s">
        <v>36</v>
      </c>
      <c r="J3878" s="1" t="s">
        <v>146</v>
      </c>
      <c r="K3878" s="1" t="s">
        <v>161</v>
      </c>
      <c r="L3878" s="1">
        <v>9</v>
      </c>
      <c r="M3878" s="13">
        <v>6264.59</v>
      </c>
      <c r="N3878" s="15">
        <v>0.37</v>
      </c>
      <c r="O3878" s="13">
        <v>26063.19</v>
      </c>
      <c r="P3878" s="13">
        <v>6986.91</v>
      </c>
      <c r="Q3878" s="13">
        <v>56.65</v>
      </c>
      <c r="R3878" s="1" t="s">
        <v>57</v>
      </c>
      <c r="S3878" s="1">
        <v>2</v>
      </c>
      <c r="T3878" s="1" t="b">
        <v>1</v>
      </c>
      <c r="U3878" s="1" t="s">
        <v>30</v>
      </c>
      <c r="V3878" s="3">
        <v>4</v>
      </c>
    </row>
    <row r="3879" spans="1:22" x14ac:dyDescent="0.3">
      <c r="A3879" s="2" t="s">
        <v>8199</v>
      </c>
      <c r="B3879" s="10">
        <v>44109</v>
      </c>
      <c r="C3879" s="22">
        <v>44109</v>
      </c>
      <c r="D3879" s="1" t="s">
        <v>8200</v>
      </c>
      <c r="E3879" s="1" t="s">
        <v>185</v>
      </c>
      <c r="F3879" s="1">
        <v>27</v>
      </c>
      <c r="G3879" s="1" t="s">
        <v>34</v>
      </c>
      <c r="H3879" s="1" t="s">
        <v>74</v>
      </c>
      <c r="I3879" s="1" t="s">
        <v>136</v>
      </c>
      <c r="J3879" s="1" t="s">
        <v>37</v>
      </c>
      <c r="K3879" s="1" t="s">
        <v>671</v>
      </c>
      <c r="L3879" s="1">
        <v>2</v>
      </c>
      <c r="M3879" s="13">
        <v>662.8</v>
      </c>
      <c r="N3879" s="15">
        <v>0.3</v>
      </c>
      <c r="O3879" s="13">
        <v>887.58</v>
      </c>
      <c r="P3879" s="13">
        <v>508.29</v>
      </c>
      <c r="Q3879" s="13">
        <v>51.48</v>
      </c>
      <c r="R3879" s="1" t="s">
        <v>70</v>
      </c>
      <c r="S3879" s="1">
        <v>2</v>
      </c>
      <c r="T3879" s="1" t="b">
        <v>0</v>
      </c>
      <c r="U3879" s="1" t="s">
        <v>39</v>
      </c>
      <c r="V3879" s="3">
        <v>10</v>
      </c>
    </row>
    <row r="3880" spans="1:22" x14ac:dyDescent="0.3">
      <c r="A3880" s="2" t="s">
        <v>8201</v>
      </c>
      <c r="B3880" s="10">
        <v>45386</v>
      </c>
      <c r="C3880" s="22">
        <v>45386</v>
      </c>
      <c r="D3880" s="1" t="s">
        <v>8202</v>
      </c>
      <c r="E3880" s="1" t="s">
        <v>3518</v>
      </c>
      <c r="F3880" s="1">
        <v>31</v>
      </c>
      <c r="G3880" s="1" t="s">
        <v>34</v>
      </c>
      <c r="H3880" s="1" t="s">
        <v>74</v>
      </c>
      <c r="I3880" s="1" t="s">
        <v>75</v>
      </c>
      <c r="J3880" s="1" t="s">
        <v>127</v>
      </c>
      <c r="K3880" s="1" t="s">
        <v>171</v>
      </c>
      <c r="L3880" s="1">
        <v>3</v>
      </c>
      <c r="M3880" s="13">
        <v>40441.120000000003</v>
      </c>
      <c r="N3880" s="15">
        <v>0.06</v>
      </c>
      <c r="O3880" s="13">
        <v>167514.18</v>
      </c>
      <c r="P3880" s="13">
        <v>15922.46</v>
      </c>
      <c r="Q3880" s="13">
        <v>37.81</v>
      </c>
      <c r="R3880" s="1" t="s">
        <v>70</v>
      </c>
      <c r="S3880" s="1">
        <v>3</v>
      </c>
      <c r="T3880" s="1" t="b">
        <v>0</v>
      </c>
      <c r="U3880" s="1" t="s">
        <v>137</v>
      </c>
      <c r="V3880" s="3">
        <v>3</v>
      </c>
    </row>
    <row r="3881" spans="1:22" x14ac:dyDescent="0.3">
      <c r="A3881" s="2" t="s">
        <v>8203</v>
      </c>
      <c r="B3881" s="10">
        <v>45269</v>
      </c>
      <c r="C3881" s="22">
        <v>45269</v>
      </c>
      <c r="D3881" s="1" t="s">
        <v>8204</v>
      </c>
      <c r="E3881" s="1" t="s">
        <v>460</v>
      </c>
      <c r="F3881" s="1">
        <v>43</v>
      </c>
      <c r="G3881" s="1" t="s">
        <v>24</v>
      </c>
      <c r="H3881" s="1" t="s">
        <v>74</v>
      </c>
      <c r="I3881" s="1" t="s">
        <v>75</v>
      </c>
      <c r="J3881" s="1" t="s">
        <v>62</v>
      </c>
      <c r="K3881" s="1" t="s">
        <v>570</v>
      </c>
      <c r="L3881" s="1">
        <v>6</v>
      </c>
      <c r="M3881" s="13">
        <v>816.54</v>
      </c>
      <c r="N3881" s="15">
        <v>0.12</v>
      </c>
      <c r="O3881" s="13">
        <v>3736.19</v>
      </c>
      <c r="P3881" s="13">
        <v>1793.27</v>
      </c>
      <c r="Q3881" s="13">
        <v>39.880000000000003</v>
      </c>
      <c r="R3881" s="1" t="s">
        <v>57</v>
      </c>
      <c r="S3881" s="1">
        <v>2</v>
      </c>
      <c r="T3881" s="1" t="b">
        <v>0</v>
      </c>
      <c r="U3881" s="1" t="s">
        <v>58</v>
      </c>
      <c r="V3881" s="3">
        <v>7</v>
      </c>
    </row>
    <row r="3882" spans="1:22" x14ac:dyDescent="0.3">
      <c r="A3882" s="2" t="s">
        <v>8205</v>
      </c>
      <c r="B3882" s="10">
        <v>44351</v>
      </c>
      <c r="C3882" s="22">
        <v>44351</v>
      </c>
      <c r="D3882" s="1" t="s">
        <v>8206</v>
      </c>
      <c r="E3882" s="1" t="s">
        <v>1229</v>
      </c>
      <c r="F3882" s="1">
        <v>41</v>
      </c>
      <c r="G3882" s="1" t="s">
        <v>24</v>
      </c>
      <c r="H3882" s="1" t="s">
        <v>111</v>
      </c>
      <c r="I3882" s="1" t="s">
        <v>141</v>
      </c>
      <c r="J3882" s="1" t="s">
        <v>76</v>
      </c>
      <c r="K3882" s="1" t="s">
        <v>89</v>
      </c>
      <c r="L3882" s="1">
        <v>2</v>
      </c>
      <c r="M3882" s="13">
        <v>838.89</v>
      </c>
      <c r="N3882" s="15">
        <v>0.15</v>
      </c>
      <c r="O3882" s="13">
        <v>2075.3200000000002</v>
      </c>
      <c r="P3882" s="13">
        <v>829.82</v>
      </c>
      <c r="Q3882" s="13">
        <v>52.06</v>
      </c>
      <c r="R3882" s="1" t="s">
        <v>64</v>
      </c>
      <c r="S3882" s="1">
        <v>4</v>
      </c>
      <c r="T3882" s="1" t="b">
        <v>1</v>
      </c>
      <c r="U3882" s="1" t="s">
        <v>30</v>
      </c>
      <c r="V3882" s="3">
        <v>2</v>
      </c>
    </row>
    <row r="3883" spans="1:22" x14ac:dyDescent="0.3">
      <c r="A3883" s="2" t="s">
        <v>8207</v>
      </c>
      <c r="B3883" s="10">
        <v>44770</v>
      </c>
      <c r="C3883" s="22">
        <v>44770</v>
      </c>
      <c r="D3883" s="1" t="s">
        <v>8208</v>
      </c>
      <c r="E3883" s="1" t="s">
        <v>794</v>
      </c>
      <c r="F3883" s="1">
        <v>53</v>
      </c>
      <c r="G3883" s="1" t="s">
        <v>68</v>
      </c>
      <c r="H3883" s="1" t="s">
        <v>74</v>
      </c>
      <c r="I3883" s="1" t="s">
        <v>136</v>
      </c>
      <c r="J3883" s="1" t="s">
        <v>62</v>
      </c>
      <c r="K3883" s="1" t="s">
        <v>151</v>
      </c>
      <c r="L3883" s="1">
        <v>10</v>
      </c>
      <c r="M3883" s="13">
        <v>772.14</v>
      </c>
      <c r="N3883" s="15">
        <v>0.4</v>
      </c>
      <c r="O3883" s="13">
        <v>6278.32</v>
      </c>
      <c r="P3883" s="13">
        <v>2969.03</v>
      </c>
      <c r="Q3883" s="13">
        <v>72.12</v>
      </c>
      <c r="R3883" s="1" t="s">
        <v>64</v>
      </c>
      <c r="S3883" s="1">
        <v>2</v>
      </c>
      <c r="T3883" s="1" t="b">
        <v>0</v>
      </c>
      <c r="U3883" s="1" t="s">
        <v>84</v>
      </c>
      <c r="V3883" s="3">
        <v>4</v>
      </c>
    </row>
    <row r="3884" spans="1:22" x14ac:dyDescent="0.3">
      <c r="A3884" s="2" t="s">
        <v>8209</v>
      </c>
      <c r="B3884" s="10">
        <v>44213</v>
      </c>
      <c r="C3884" s="22">
        <v>44213</v>
      </c>
      <c r="D3884" s="1" t="s">
        <v>8210</v>
      </c>
      <c r="E3884" s="1" t="s">
        <v>446</v>
      </c>
      <c r="F3884" s="1">
        <v>23</v>
      </c>
      <c r="G3884" s="1" t="s">
        <v>463</v>
      </c>
      <c r="H3884" s="1" t="s">
        <v>82</v>
      </c>
      <c r="I3884" s="1" t="s">
        <v>244</v>
      </c>
      <c r="J3884" s="1" t="s">
        <v>27</v>
      </c>
      <c r="K3884" s="1" t="s">
        <v>400</v>
      </c>
      <c r="L3884" s="1">
        <v>9</v>
      </c>
      <c r="M3884" s="13">
        <v>358.92</v>
      </c>
      <c r="N3884" s="15">
        <v>0.08</v>
      </c>
      <c r="O3884" s="13">
        <v>2353.0700000000002</v>
      </c>
      <c r="P3884" s="13">
        <v>122.29</v>
      </c>
      <c r="Q3884" s="13">
        <v>84.03</v>
      </c>
      <c r="R3884" s="1" t="s">
        <v>29</v>
      </c>
      <c r="S3884" s="1">
        <v>4</v>
      </c>
      <c r="T3884" s="1" t="b">
        <v>0</v>
      </c>
      <c r="U3884" s="1" t="s">
        <v>39</v>
      </c>
      <c r="V3884" s="3">
        <v>6</v>
      </c>
    </row>
    <row r="3885" spans="1:22" x14ac:dyDescent="0.3">
      <c r="A3885" s="2" t="s">
        <v>8211</v>
      </c>
      <c r="B3885" s="10">
        <v>44974</v>
      </c>
      <c r="C3885" s="22">
        <v>44974</v>
      </c>
      <c r="D3885" s="1" t="s">
        <v>8212</v>
      </c>
      <c r="E3885" s="1" t="s">
        <v>1550</v>
      </c>
      <c r="F3885" s="1">
        <v>30</v>
      </c>
      <c r="G3885" s="1" t="s">
        <v>68</v>
      </c>
      <c r="H3885" s="1" t="s">
        <v>35</v>
      </c>
      <c r="I3885" s="1" t="s">
        <v>43</v>
      </c>
      <c r="J3885" s="1" t="s">
        <v>76</v>
      </c>
      <c r="K3885" s="1" t="s">
        <v>89</v>
      </c>
      <c r="L3885" s="1">
        <v>8</v>
      </c>
      <c r="M3885" s="13">
        <v>3934.14</v>
      </c>
      <c r="N3885" s="15">
        <v>0.01</v>
      </c>
      <c r="O3885" s="13">
        <v>31003.27</v>
      </c>
      <c r="P3885" s="13">
        <v>9818.15</v>
      </c>
      <c r="Q3885" s="13">
        <v>59.66</v>
      </c>
      <c r="R3885" s="1" t="s">
        <v>70</v>
      </c>
      <c r="S3885" s="1">
        <v>1</v>
      </c>
      <c r="T3885" s="1" t="b">
        <v>0</v>
      </c>
      <c r="U3885" s="1" t="s">
        <v>39</v>
      </c>
      <c r="V3885" s="3">
        <v>5</v>
      </c>
    </row>
    <row r="3886" spans="1:22" x14ac:dyDescent="0.3">
      <c r="A3886" s="2" t="s">
        <v>8213</v>
      </c>
      <c r="B3886" s="10">
        <v>44953</v>
      </c>
      <c r="C3886" s="22">
        <v>44953</v>
      </c>
      <c r="D3886" s="1" t="s">
        <v>8214</v>
      </c>
      <c r="E3886" s="1" t="s">
        <v>2295</v>
      </c>
      <c r="F3886" s="1">
        <v>46</v>
      </c>
      <c r="G3886" s="1" t="s">
        <v>24</v>
      </c>
      <c r="H3886" s="1" t="s">
        <v>35</v>
      </c>
      <c r="I3886" s="1" t="s">
        <v>43</v>
      </c>
      <c r="J3886" s="1" t="s">
        <v>37</v>
      </c>
      <c r="K3886" s="1" t="s">
        <v>182</v>
      </c>
      <c r="L3886" s="1">
        <v>4</v>
      </c>
      <c r="M3886" s="13">
        <v>1660.82</v>
      </c>
      <c r="N3886" s="15">
        <v>0.21</v>
      </c>
      <c r="O3886" s="13">
        <v>5505.54</v>
      </c>
      <c r="P3886" s="13">
        <v>2444.92</v>
      </c>
      <c r="Q3886" s="13">
        <v>41.4</v>
      </c>
      <c r="R3886" s="1" t="s">
        <v>29</v>
      </c>
      <c r="S3886" s="1">
        <v>3</v>
      </c>
      <c r="T3886" s="1" t="b">
        <v>0</v>
      </c>
      <c r="U3886" s="1" t="s">
        <v>39</v>
      </c>
      <c r="V3886" s="3">
        <v>7</v>
      </c>
    </row>
    <row r="3887" spans="1:22" x14ac:dyDescent="0.3">
      <c r="A3887" s="2" t="s">
        <v>8215</v>
      </c>
      <c r="B3887" s="10">
        <v>44730</v>
      </c>
      <c r="C3887" s="22">
        <v>44730</v>
      </c>
      <c r="D3887" s="1" t="s">
        <v>8216</v>
      </c>
      <c r="E3887" s="1" t="s">
        <v>230</v>
      </c>
      <c r="F3887" s="1">
        <v>30</v>
      </c>
      <c r="G3887" s="1" t="s">
        <v>68</v>
      </c>
      <c r="H3887" s="1" t="s">
        <v>111</v>
      </c>
      <c r="I3887" s="1" t="s">
        <v>141</v>
      </c>
      <c r="J3887" s="1" t="s">
        <v>44</v>
      </c>
      <c r="K3887" s="1" t="s">
        <v>221</v>
      </c>
      <c r="L3887" s="1">
        <v>8</v>
      </c>
      <c r="M3887" s="13">
        <v>25000.7</v>
      </c>
      <c r="N3887" s="15">
        <v>0.06</v>
      </c>
      <c r="O3887" s="13">
        <v>272564.21999999997</v>
      </c>
      <c r="P3887" s="13">
        <v>76789.22</v>
      </c>
      <c r="Q3887" s="13">
        <v>67.03</v>
      </c>
      <c r="R3887" s="1" t="s">
        <v>29</v>
      </c>
      <c r="S3887" s="1">
        <v>4</v>
      </c>
      <c r="T3887" s="1" t="b">
        <v>0</v>
      </c>
      <c r="U3887" s="1" t="s">
        <v>39</v>
      </c>
      <c r="V3887" s="3">
        <v>1</v>
      </c>
    </row>
    <row r="3888" spans="1:22" x14ac:dyDescent="0.3">
      <c r="A3888" s="2" t="s">
        <v>8217</v>
      </c>
      <c r="B3888" s="10">
        <v>44487</v>
      </c>
      <c r="C3888" s="22">
        <v>44487</v>
      </c>
      <c r="D3888" s="1" t="s">
        <v>8218</v>
      </c>
      <c r="E3888" s="1" t="s">
        <v>513</v>
      </c>
      <c r="F3888" s="1">
        <v>48</v>
      </c>
      <c r="G3888" s="1" t="s">
        <v>34</v>
      </c>
      <c r="H3888" s="1" t="s">
        <v>74</v>
      </c>
      <c r="I3888" s="1" t="s">
        <v>136</v>
      </c>
      <c r="J3888" s="1" t="s">
        <v>76</v>
      </c>
      <c r="K3888" s="1" t="s">
        <v>113</v>
      </c>
      <c r="L3888" s="1">
        <v>8</v>
      </c>
      <c r="M3888" s="13">
        <v>983.33</v>
      </c>
      <c r="N3888" s="15">
        <v>0.33</v>
      </c>
      <c r="O3888" s="13">
        <v>5486.4</v>
      </c>
      <c r="P3888" s="13">
        <v>1956.84</v>
      </c>
      <c r="Q3888" s="13">
        <v>48</v>
      </c>
      <c r="R3888" s="1" t="s">
        <v>29</v>
      </c>
      <c r="S3888" s="1">
        <v>1</v>
      </c>
      <c r="T3888" s="1" t="b">
        <v>1</v>
      </c>
      <c r="U3888" s="1" t="s">
        <v>30</v>
      </c>
      <c r="V3888" s="3">
        <v>9</v>
      </c>
    </row>
    <row r="3889" spans="1:22" x14ac:dyDescent="0.3">
      <c r="A3889" s="2" t="s">
        <v>8219</v>
      </c>
      <c r="B3889" s="10">
        <v>44000</v>
      </c>
      <c r="C3889" s="22">
        <v>44000</v>
      </c>
      <c r="D3889" s="1" t="s">
        <v>8220</v>
      </c>
      <c r="E3889" s="1" t="s">
        <v>2281</v>
      </c>
      <c r="F3889" s="1">
        <v>16</v>
      </c>
      <c r="G3889" s="1" t="s">
        <v>68</v>
      </c>
      <c r="H3889" s="1" t="s">
        <v>111</v>
      </c>
      <c r="I3889" s="1" t="s">
        <v>121</v>
      </c>
      <c r="J3889" s="1" t="s">
        <v>37</v>
      </c>
      <c r="K3889" s="1" t="s">
        <v>182</v>
      </c>
      <c r="L3889" s="1">
        <v>2</v>
      </c>
      <c r="M3889" s="13">
        <v>572.30999999999995</v>
      </c>
      <c r="N3889" s="15">
        <v>0.21</v>
      </c>
      <c r="O3889" s="13">
        <v>1734.87</v>
      </c>
      <c r="P3889" s="13">
        <v>658.78</v>
      </c>
      <c r="Q3889" s="13">
        <v>88.09</v>
      </c>
      <c r="R3889" s="1" t="s">
        <v>70</v>
      </c>
      <c r="S3889" s="1">
        <v>1</v>
      </c>
      <c r="T3889" s="1" t="b">
        <v>0</v>
      </c>
      <c r="U3889" s="1" t="s">
        <v>39</v>
      </c>
      <c r="V3889" s="3">
        <v>6</v>
      </c>
    </row>
    <row r="3890" spans="1:22" x14ac:dyDescent="0.3">
      <c r="A3890" s="2" t="s">
        <v>8221</v>
      </c>
      <c r="B3890" s="10">
        <v>44217</v>
      </c>
      <c r="C3890" s="22">
        <v>44217</v>
      </c>
      <c r="D3890" s="1" t="s">
        <v>8222</v>
      </c>
      <c r="E3890" s="1" t="s">
        <v>786</v>
      </c>
      <c r="F3890" s="1">
        <v>31</v>
      </c>
      <c r="G3890" s="1" t="s">
        <v>24</v>
      </c>
      <c r="H3890" s="1" t="s">
        <v>25</v>
      </c>
      <c r="I3890" s="1" t="s">
        <v>55</v>
      </c>
      <c r="J3890" s="1" t="s">
        <v>37</v>
      </c>
      <c r="K3890" s="1" t="s">
        <v>231</v>
      </c>
      <c r="L3890" s="1">
        <v>2</v>
      </c>
      <c r="M3890" s="13">
        <v>2449.9699999999998</v>
      </c>
      <c r="N3890" s="15">
        <v>0.36</v>
      </c>
      <c r="O3890" s="13">
        <v>2301.25</v>
      </c>
      <c r="P3890" s="13">
        <v>882.12</v>
      </c>
      <c r="Q3890" s="13">
        <v>63.24</v>
      </c>
      <c r="R3890" s="1" t="s">
        <v>78</v>
      </c>
      <c r="S3890" s="1">
        <v>5</v>
      </c>
      <c r="T3890" s="1" t="b">
        <v>0</v>
      </c>
      <c r="U3890" s="1" t="s">
        <v>39</v>
      </c>
      <c r="V3890" s="3">
        <v>5</v>
      </c>
    </row>
    <row r="3891" spans="1:22" x14ac:dyDescent="0.3">
      <c r="A3891" s="2" t="s">
        <v>8223</v>
      </c>
      <c r="B3891" s="10">
        <v>45178</v>
      </c>
      <c r="C3891" s="22">
        <v>45178</v>
      </c>
      <c r="D3891" s="1" t="s">
        <v>8224</v>
      </c>
      <c r="E3891" s="1" t="s">
        <v>237</v>
      </c>
      <c r="F3891" s="1">
        <v>32</v>
      </c>
      <c r="G3891" s="1" t="s">
        <v>68</v>
      </c>
      <c r="H3891" s="1" t="s">
        <v>74</v>
      </c>
      <c r="I3891" s="1" t="s">
        <v>75</v>
      </c>
      <c r="J3891" s="1" t="s">
        <v>146</v>
      </c>
      <c r="K3891" s="1" t="s">
        <v>276</v>
      </c>
      <c r="L3891" s="1">
        <v>4</v>
      </c>
      <c r="M3891" s="13">
        <v>4072.52</v>
      </c>
      <c r="N3891" s="15">
        <v>0.37</v>
      </c>
      <c r="O3891" s="13">
        <v>12014.98</v>
      </c>
      <c r="P3891" s="13">
        <v>2649.18</v>
      </c>
      <c r="Q3891" s="13">
        <v>60.13</v>
      </c>
      <c r="R3891" s="1" t="s">
        <v>57</v>
      </c>
      <c r="S3891" s="1">
        <v>3</v>
      </c>
      <c r="T3891" s="1" t="b">
        <v>0</v>
      </c>
      <c r="U3891" s="1" t="s">
        <v>39</v>
      </c>
      <c r="V3891" s="3">
        <v>4</v>
      </c>
    </row>
    <row r="3892" spans="1:22" x14ac:dyDescent="0.3">
      <c r="A3892" s="2" t="s">
        <v>8225</v>
      </c>
      <c r="B3892" s="10">
        <v>44969</v>
      </c>
      <c r="C3892" s="22">
        <v>44969</v>
      </c>
      <c r="D3892" s="1" t="s">
        <v>8226</v>
      </c>
      <c r="E3892" s="1" t="s">
        <v>2494</v>
      </c>
      <c r="F3892" s="1">
        <v>28</v>
      </c>
      <c r="G3892" s="1" t="s">
        <v>68</v>
      </c>
      <c r="H3892" s="1" t="s">
        <v>82</v>
      </c>
      <c r="I3892" s="1" t="s">
        <v>126</v>
      </c>
      <c r="J3892" s="1" t="s">
        <v>127</v>
      </c>
      <c r="K3892" s="1" t="s">
        <v>142</v>
      </c>
      <c r="L3892" s="1">
        <v>1</v>
      </c>
      <c r="M3892" s="13">
        <v>34782.199999999997</v>
      </c>
      <c r="N3892" s="15">
        <v>0.31</v>
      </c>
      <c r="O3892" s="13">
        <v>23810.12</v>
      </c>
      <c r="P3892" s="13">
        <v>2943.23</v>
      </c>
      <c r="Q3892" s="13">
        <v>73.540000000000006</v>
      </c>
      <c r="R3892" s="1" t="s">
        <v>78</v>
      </c>
      <c r="S3892" s="1">
        <v>5</v>
      </c>
      <c r="T3892" s="1" t="b">
        <v>0</v>
      </c>
      <c r="U3892" s="1" t="s">
        <v>39</v>
      </c>
      <c r="V3892" s="3">
        <v>4</v>
      </c>
    </row>
    <row r="3893" spans="1:22" x14ac:dyDescent="0.3">
      <c r="A3893" s="2" t="s">
        <v>8227</v>
      </c>
      <c r="B3893" s="10">
        <v>44968</v>
      </c>
      <c r="C3893" s="22">
        <v>44968</v>
      </c>
      <c r="D3893" s="1" t="s">
        <v>8228</v>
      </c>
      <c r="E3893" s="1" t="s">
        <v>387</v>
      </c>
      <c r="F3893" s="1">
        <v>34</v>
      </c>
      <c r="G3893" s="1" t="s">
        <v>34</v>
      </c>
      <c r="H3893" s="1" t="s">
        <v>25</v>
      </c>
      <c r="I3893" s="1" t="s">
        <v>170</v>
      </c>
      <c r="J3893" s="1" t="s">
        <v>76</v>
      </c>
      <c r="K3893" s="1" t="s">
        <v>207</v>
      </c>
      <c r="L3893" s="1">
        <v>9</v>
      </c>
      <c r="M3893" s="13">
        <v>1137.56</v>
      </c>
      <c r="N3893" s="15">
        <v>0.16</v>
      </c>
      <c r="O3893" s="13">
        <v>7041.76</v>
      </c>
      <c r="P3893" s="13">
        <v>1704.37</v>
      </c>
      <c r="Q3893" s="13">
        <v>70.39</v>
      </c>
      <c r="R3893" s="1" t="s">
        <v>64</v>
      </c>
      <c r="S3893" s="1">
        <v>1</v>
      </c>
      <c r="T3893" s="1" t="b">
        <v>0</v>
      </c>
      <c r="U3893" s="1" t="s">
        <v>39</v>
      </c>
      <c r="V3893" s="3">
        <v>3</v>
      </c>
    </row>
    <row r="3894" spans="1:22" x14ac:dyDescent="0.3">
      <c r="A3894" s="2" t="s">
        <v>8229</v>
      </c>
      <c r="B3894" s="10">
        <v>45280</v>
      </c>
      <c r="C3894" s="22">
        <v>45280</v>
      </c>
      <c r="D3894" s="1" t="s">
        <v>8230</v>
      </c>
      <c r="E3894" s="1" t="s">
        <v>2229</v>
      </c>
      <c r="F3894" s="1">
        <v>37</v>
      </c>
      <c r="G3894" s="1" t="s">
        <v>34</v>
      </c>
      <c r="H3894" s="1" t="s">
        <v>74</v>
      </c>
      <c r="I3894" s="1" t="s">
        <v>136</v>
      </c>
      <c r="J3894" s="1" t="s">
        <v>76</v>
      </c>
      <c r="K3894" s="1" t="s">
        <v>77</v>
      </c>
      <c r="L3894" s="1">
        <v>6</v>
      </c>
      <c r="M3894" s="13">
        <v>3307.09</v>
      </c>
      <c r="N3894" s="15">
        <v>0.32</v>
      </c>
      <c r="O3894" s="13">
        <v>13005.72</v>
      </c>
      <c r="P3894" s="13">
        <v>4025.44</v>
      </c>
      <c r="Q3894" s="13">
        <v>56.56</v>
      </c>
      <c r="R3894" s="1" t="s">
        <v>57</v>
      </c>
      <c r="S3894" s="1">
        <v>3</v>
      </c>
      <c r="T3894" s="1" t="b">
        <v>0</v>
      </c>
      <c r="U3894" s="1" t="s">
        <v>39</v>
      </c>
      <c r="V3894" s="3">
        <v>1</v>
      </c>
    </row>
    <row r="3895" spans="1:22" x14ac:dyDescent="0.3">
      <c r="A3895" s="2" t="s">
        <v>8231</v>
      </c>
      <c r="B3895" s="10">
        <v>45036</v>
      </c>
      <c r="C3895" s="22">
        <v>45036</v>
      </c>
      <c r="D3895" s="1" t="s">
        <v>8232</v>
      </c>
      <c r="E3895" s="1" t="s">
        <v>1246</v>
      </c>
      <c r="F3895" s="1">
        <v>52</v>
      </c>
      <c r="G3895" s="1" t="s">
        <v>34</v>
      </c>
      <c r="H3895" s="1" t="s">
        <v>25</v>
      </c>
      <c r="I3895" s="1" t="s">
        <v>69</v>
      </c>
      <c r="J3895" s="1" t="s">
        <v>37</v>
      </c>
      <c r="K3895" s="1" t="s">
        <v>454</v>
      </c>
      <c r="L3895" s="1">
        <v>8</v>
      </c>
      <c r="M3895" s="13">
        <v>2413.19</v>
      </c>
      <c r="N3895" s="15">
        <v>0.25</v>
      </c>
      <c r="O3895" s="13">
        <v>18757.8</v>
      </c>
      <c r="P3895" s="13">
        <v>6413.01</v>
      </c>
      <c r="Q3895" s="13">
        <v>55.59</v>
      </c>
      <c r="R3895" s="1" t="s">
        <v>51</v>
      </c>
      <c r="S3895" s="1">
        <v>3</v>
      </c>
      <c r="T3895" s="1" t="b">
        <v>0</v>
      </c>
      <c r="U3895" s="1" t="s">
        <v>39</v>
      </c>
      <c r="V3895" s="3">
        <v>10</v>
      </c>
    </row>
    <row r="3896" spans="1:22" x14ac:dyDescent="0.3">
      <c r="A3896" s="2" t="s">
        <v>8233</v>
      </c>
      <c r="B3896" s="10">
        <v>44262</v>
      </c>
      <c r="C3896" s="22">
        <v>44262</v>
      </c>
      <c r="D3896" s="1" t="s">
        <v>8234</v>
      </c>
      <c r="E3896" s="1" t="s">
        <v>253</v>
      </c>
      <c r="F3896" s="1">
        <v>25</v>
      </c>
      <c r="G3896" s="1" t="s">
        <v>68</v>
      </c>
      <c r="H3896" s="1" t="s">
        <v>82</v>
      </c>
      <c r="I3896" s="1" t="s">
        <v>244</v>
      </c>
      <c r="J3896" s="1" t="s">
        <v>76</v>
      </c>
      <c r="K3896" s="1" t="s">
        <v>207</v>
      </c>
      <c r="L3896" s="1">
        <v>1</v>
      </c>
      <c r="M3896" s="13">
        <v>2017.09</v>
      </c>
      <c r="N3896" s="15">
        <v>0.05</v>
      </c>
      <c r="O3896" s="13">
        <v>2090.5700000000002</v>
      </c>
      <c r="P3896" s="13">
        <v>823.03</v>
      </c>
      <c r="Q3896" s="13">
        <v>84.95</v>
      </c>
      <c r="R3896" s="1" t="s">
        <v>70</v>
      </c>
      <c r="S3896" s="1">
        <v>2</v>
      </c>
      <c r="T3896" s="1" t="b">
        <v>0</v>
      </c>
      <c r="U3896" s="1" t="s">
        <v>58</v>
      </c>
      <c r="V3896" s="3">
        <v>1</v>
      </c>
    </row>
    <row r="3897" spans="1:22" x14ac:dyDescent="0.3">
      <c r="A3897" s="2" t="s">
        <v>8235</v>
      </c>
      <c r="B3897" s="10">
        <v>44611</v>
      </c>
      <c r="C3897" s="22">
        <v>44611</v>
      </c>
      <c r="D3897" s="1" t="s">
        <v>8236</v>
      </c>
      <c r="E3897" s="1" t="s">
        <v>2001</v>
      </c>
      <c r="F3897" s="1">
        <v>41</v>
      </c>
      <c r="G3897" s="1" t="s">
        <v>68</v>
      </c>
      <c r="H3897" s="1" t="s">
        <v>35</v>
      </c>
      <c r="I3897" s="1" t="s">
        <v>49</v>
      </c>
      <c r="J3897" s="1" t="s">
        <v>127</v>
      </c>
      <c r="K3897" s="1" t="s">
        <v>517</v>
      </c>
      <c r="L3897" s="1">
        <v>9</v>
      </c>
      <c r="M3897" s="13">
        <v>9157.81</v>
      </c>
      <c r="N3897" s="15">
        <v>0.33</v>
      </c>
      <c r="O3897" s="13">
        <v>55730.83</v>
      </c>
      <c r="P3897" s="13">
        <v>7761.83</v>
      </c>
      <c r="Q3897" s="13">
        <v>67.23</v>
      </c>
      <c r="R3897" s="1" t="s">
        <v>51</v>
      </c>
      <c r="S3897" s="1">
        <v>3</v>
      </c>
      <c r="T3897" s="1" t="b">
        <v>0</v>
      </c>
      <c r="U3897" s="1" t="s">
        <v>39</v>
      </c>
      <c r="V3897" s="3">
        <v>3</v>
      </c>
    </row>
    <row r="3898" spans="1:22" x14ac:dyDescent="0.3">
      <c r="A3898" s="2" t="s">
        <v>8237</v>
      </c>
      <c r="B3898" s="10">
        <v>44842</v>
      </c>
      <c r="C3898" s="22">
        <v>44842</v>
      </c>
      <c r="D3898" s="1" t="s">
        <v>8238</v>
      </c>
      <c r="E3898" s="1" t="s">
        <v>1229</v>
      </c>
      <c r="F3898" s="1">
        <v>21</v>
      </c>
      <c r="G3898" s="1" t="s">
        <v>391</v>
      </c>
      <c r="H3898" s="1" t="s">
        <v>35</v>
      </c>
      <c r="I3898" s="1" t="s">
        <v>106</v>
      </c>
      <c r="J3898" s="1" t="s">
        <v>27</v>
      </c>
      <c r="K3898" s="1" t="s">
        <v>97</v>
      </c>
      <c r="L3898" s="1">
        <v>5</v>
      </c>
      <c r="M3898" s="13">
        <v>142.69999999999999</v>
      </c>
      <c r="N3898" s="15">
        <v>0.28999999999999998</v>
      </c>
      <c r="O3898" s="13">
        <v>560.89</v>
      </c>
      <c r="P3898" s="13">
        <v>25.3</v>
      </c>
      <c r="Q3898" s="13">
        <v>26.87</v>
      </c>
      <c r="R3898" s="1" t="s">
        <v>51</v>
      </c>
      <c r="S3898" s="1">
        <v>5</v>
      </c>
      <c r="T3898" s="1" t="b">
        <v>0</v>
      </c>
      <c r="U3898" s="1" t="s">
        <v>39</v>
      </c>
      <c r="V3898" s="3">
        <v>8</v>
      </c>
    </row>
    <row r="3899" spans="1:22" x14ac:dyDescent="0.3">
      <c r="A3899" s="2" t="s">
        <v>8239</v>
      </c>
      <c r="B3899" s="10">
        <v>45448</v>
      </c>
      <c r="C3899" s="22">
        <v>45448</v>
      </c>
      <c r="D3899" s="1" t="s">
        <v>8240</v>
      </c>
      <c r="E3899" s="1" t="s">
        <v>2367</v>
      </c>
      <c r="F3899" s="1">
        <v>28</v>
      </c>
      <c r="G3899" s="1" t="s">
        <v>68</v>
      </c>
      <c r="H3899" s="1" t="s">
        <v>111</v>
      </c>
      <c r="I3899" s="1" t="s">
        <v>330</v>
      </c>
      <c r="J3899" s="1" t="s">
        <v>127</v>
      </c>
      <c r="K3899" s="1" t="s">
        <v>142</v>
      </c>
      <c r="L3899" s="1">
        <v>4</v>
      </c>
      <c r="M3899" s="13">
        <v>12995.6</v>
      </c>
      <c r="N3899" s="15">
        <v>0.3</v>
      </c>
      <c r="O3899" s="13">
        <v>55079.39</v>
      </c>
      <c r="P3899" s="13">
        <v>5983.03</v>
      </c>
      <c r="Q3899" s="13">
        <v>50.54</v>
      </c>
      <c r="R3899" s="1" t="s">
        <v>78</v>
      </c>
      <c r="S3899" s="1">
        <v>3</v>
      </c>
      <c r="T3899" s="1" t="b">
        <v>1</v>
      </c>
      <c r="U3899" s="1" t="s">
        <v>30</v>
      </c>
      <c r="V3899" s="3">
        <v>6</v>
      </c>
    </row>
    <row r="3900" spans="1:22" x14ac:dyDescent="0.3">
      <c r="A3900" s="2" t="s">
        <v>8241</v>
      </c>
      <c r="B3900" s="10">
        <v>43977</v>
      </c>
      <c r="C3900" s="22">
        <v>43977</v>
      </c>
      <c r="D3900" s="1" t="s">
        <v>8242</v>
      </c>
      <c r="E3900" s="1" t="s">
        <v>116</v>
      </c>
      <c r="F3900" s="1">
        <v>12</v>
      </c>
      <c r="G3900" s="1" t="s">
        <v>34</v>
      </c>
      <c r="H3900" s="1" t="s">
        <v>25</v>
      </c>
      <c r="I3900" s="1" t="s">
        <v>170</v>
      </c>
      <c r="J3900" s="1" t="s">
        <v>27</v>
      </c>
      <c r="K3900" s="1" t="s">
        <v>56</v>
      </c>
      <c r="L3900" s="1">
        <v>4</v>
      </c>
      <c r="M3900" s="13">
        <v>446.87</v>
      </c>
      <c r="N3900" s="15">
        <v>0.37</v>
      </c>
      <c r="O3900" s="13">
        <v>1373.02</v>
      </c>
      <c r="P3900" s="13">
        <v>134.16999999999999</v>
      </c>
      <c r="Q3900" s="13">
        <v>55.36</v>
      </c>
      <c r="R3900" s="1" t="s">
        <v>57</v>
      </c>
      <c r="S3900" s="1">
        <v>1</v>
      </c>
      <c r="T3900" s="1" t="b">
        <v>1</v>
      </c>
      <c r="U3900" s="1" t="s">
        <v>30</v>
      </c>
      <c r="V3900" s="3">
        <v>1</v>
      </c>
    </row>
    <row r="3901" spans="1:22" x14ac:dyDescent="0.3">
      <c r="A3901" s="2" t="s">
        <v>8243</v>
      </c>
      <c r="B3901" s="10">
        <v>44820</v>
      </c>
      <c r="C3901" s="22">
        <v>44820</v>
      </c>
      <c r="D3901" s="1" t="s">
        <v>8244</v>
      </c>
      <c r="E3901" s="1" t="s">
        <v>292</v>
      </c>
      <c r="F3901" s="1">
        <v>37</v>
      </c>
      <c r="G3901" s="1" t="s">
        <v>68</v>
      </c>
      <c r="H3901" s="1" t="s">
        <v>74</v>
      </c>
      <c r="I3901" s="1" t="s">
        <v>136</v>
      </c>
      <c r="J3901" s="1" t="s">
        <v>146</v>
      </c>
      <c r="K3901" s="1" t="s">
        <v>484</v>
      </c>
      <c r="L3901" s="1">
        <v>4</v>
      </c>
      <c r="M3901" s="13">
        <v>590.58000000000004</v>
      </c>
      <c r="N3901" s="15">
        <v>0.26</v>
      </c>
      <c r="O3901" s="13">
        <v>2166.86</v>
      </c>
      <c r="P3901" s="13">
        <v>376.29</v>
      </c>
      <c r="Q3901" s="13">
        <v>74.83</v>
      </c>
      <c r="R3901" s="1" t="s">
        <v>64</v>
      </c>
      <c r="S3901" s="1">
        <v>1</v>
      </c>
      <c r="T3901" s="1" t="b">
        <v>0</v>
      </c>
      <c r="U3901" s="1" t="s">
        <v>58</v>
      </c>
      <c r="V3901" s="3">
        <v>5</v>
      </c>
    </row>
    <row r="3902" spans="1:22" x14ac:dyDescent="0.3">
      <c r="A3902" s="2" t="s">
        <v>8245</v>
      </c>
      <c r="B3902" s="10">
        <v>45472</v>
      </c>
      <c r="C3902" s="22">
        <v>45472</v>
      </c>
      <c r="D3902" s="1" t="s">
        <v>8246</v>
      </c>
      <c r="E3902" s="1" t="s">
        <v>513</v>
      </c>
      <c r="F3902" s="1">
        <v>38</v>
      </c>
      <c r="G3902" s="1" t="s">
        <v>68</v>
      </c>
      <c r="H3902" s="1" t="s">
        <v>111</v>
      </c>
      <c r="I3902" s="1" t="s">
        <v>330</v>
      </c>
      <c r="J3902" s="1" t="s">
        <v>76</v>
      </c>
      <c r="K3902" s="1" t="s">
        <v>132</v>
      </c>
      <c r="L3902" s="1">
        <v>6</v>
      </c>
      <c r="M3902" s="13">
        <v>3840.34</v>
      </c>
      <c r="N3902" s="15">
        <v>0.23</v>
      </c>
      <c r="O3902" s="13">
        <v>33201.769999999997</v>
      </c>
      <c r="P3902" s="13">
        <v>12918.61</v>
      </c>
      <c r="Q3902" s="13">
        <v>69.58</v>
      </c>
      <c r="R3902" s="1" t="s">
        <v>64</v>
      </c>
      <c r="S3902" s="1">
        <v>3</v>
      </c>
      <c r="T3902" s="1" t="b">
        <v>0</v>
      </c>
      <c r="U3902" s="1" t="s">
        <v>58</v>
      </c>
      <c r="V3902" s="3">
        <v>1</v>
      </c>
    </row>
    <row r="3903" spans="1:22" x14ac:dyDescent="0.3">
      <c r="A3903" s="2" t="s">
        <v>8247</v>
      </c>
      <c r="B3903" s="10">
        <v>44737</v>
      </c>
      <c r="C3903" s="22">
        <v>44737</v>
      </c>
      <c r="D3903" s="1" t="s">
        <v>8248</v>
      </c>
      <c r="E3903" s="1" t="s">
        <v>42</v>
      </c>
      <c r="F3903" s="1">
        <v>44</v>
      </c>
      <c r="G3903" s="1" t="s">
        <v>68</v>
      </c>
      <c r="H3903" s="1" t="s">
        <v>82</v>
      </c>
      <c r="I3903" s="1" t="s">
        <v>244</v>
      </c>
      <c r="J3903" s="1" t="s">
        <v>44</v>
      </c>
      <c r="K3903" s="1" t="s">
        <v>50</v>
      </c>
      <c r="L3903" s="1">
        <v>4</v>
      </c>
      <c r="M3903" s="13">
        <v>34052.07</v>
      </c>
      <c r="N3903" s="15">
        <v>7.0000000000000007E-2</v>
      </c>
      <c r="O3903" s="13">
        <v>210338.05</v>
      </c>
      <c r="P3903" s="13">
        <v>69009.61</v>
      </c>
      <c r="Q3903" s="13">
        <v>65.239999999999995</v>
      </c>
      <c r="R3903" s="1" t="s">
        <v>78</v>
      </c>
      <c r="S3903" s="1">
        <v>2</v>
      </c>
      <c r="T3903" s="1" t="b">
        <v>0</v>
      </c>
      <c r="U3903" s="1" t="s">
        <v>58</v>
      </c>
      <c r="V3903" s="3">
        <v>2</v>
      </c>
    </row>
    <row r="3904" spans="1:22" x14ac:dyDescent="0.3">
      <c r="A3904" s="2" t="s">
        <v>8249</v>
      </c>
      <c r="B3904" s="10">
        <v>44331</v>
      </c>
      <c r="C3904" s="22">
        <v>44331</v>
      </c>
      <c r="D3904" s="1" t="s">
        <v>8250</v>
      </c>
      <c r="E3904" s="1" t="s">
        <v>1300</v>
      </c>
      <c r="F3904" s="1">
        <v>29</v>
      </c>
      <c r="G3904" s="1" t="s">
        <v>68</v>
      </c>
      <c r="H3904" s="1" t="s">
        <v>74</v>
      </c>
      <c r="I3904" s="1" t="s">
        <v>136</v>
      </c>
      <c r="J3904" s="1" t="s">
        <v>127</v>
      </c>
      <c r="K3904" s="1" t="s">
        <v>517</v>
      </c>
      <c r="L3904" s="1">
        <v>6</v>
      </c>
      <c r="M3904" s="13">
        <v>48230.85</v>
      </c>
      <c r="N3904" s="15">
        <v>0.35</v>
      </c>
      <c r="O3904" s="13">
        <v>245712.19</v>
      </c>
      <c r="P3904" s="13">
        <v>22881.08</v>
      </c>
      <c r="Q3904" s="13">
        <v>68.73</v>
      </c>
      <c r="R3904" s="1" t="s">
        <v>29</v>
      </c>
      <c r="S3904" s="1">
        <v>1</v>
      </c>
      <c r="T3904" s="1" t="b">
        <v>0</v>
      </c>
      <c r="U3904" s="1" t="s">
        <v>137</v>
      </c>
      <c r="V3904" s="3">
        <v>9</v>
      </c>
    </row>
    <row r="3905" spans="1:22" x14ac:dyDescent="0.3">
      <c r="A3905" s="2" t="s">
        <v>8251</v>
      </c>
      <c r="B3905" s="10">
        <v>45635</v>
      </c>
      <c r="C3905" s="22">
        <v>45635</v>
      </c>
      <c r="D3905" s="1" t="s">
        <v>8252</v>
      </c>
      <c r="E3905" s="1" t="s">
        <v>3152</v>
      </c>
      <c r="F3905" s="1">
        <v>40</v>
      </c>
      <c r="G3905" s="1" t="s">
        <v>24</v>
      </c>
      <c r="H3905" s="1" t="s">
        <v>25</v>
      </c>
      <c r="I3905" s="1" t="s">
        <v>26</v>
      </c>
      <c r="J3905" s="1" t="s">
        <v>127</v>
      </c>
      <c r="K3905" s="1" t="s">
        <v>128</v>
      </c>
      <c r="L3905" s="1">
        <v>4</v>
      </c>
      <c r="M3905" s="13">
        <v>23593.16</v>
      </c>
      <c r="N3905" s="15">
        <v>0.39</v>
      </c>
      <c r="O3905" s="13">
        <v>50867.37</v>
      </c>
      <c r="P3905" s="13">
        <v>6623.39</v>
      </c>
      <c r="Q3905" s="13">
        <v>41.37</v>
      </c>
      <c r="R3905" s="1" t="s">
        <v>57</v>
      </c>
      <c r="S3905" s="1">
        <v>4</v>
      </c>
      <c r="T3905" s="1" t="b">
        <v>0</v>
      </c>
      <c r="U3905" s="1" t="s">
        <v>39</v>
      </c>
      <c r="V3905" s="3">
        <v>9</v>
      </c>
    </row>
    <row r="3906" spans="1:22" x14ac:dyDescent="0.3">
      <c r="A3906" s="2" t="s">
        <v>8253</v>
      </c>
      <c r="B3906" s="10">
        <v>43960</v>
      </c>
      <c r="C3906" s="22">
        <v>43960</v>
      </c>
      <c r="D3906" s="1" t="s">
        <v>8254</v>
      </c>
      <c r="E3906" s="1" t="s">
        <v>1535</v>
      </c>
      <c r="F3906" s="1">
        <v>23</v>
      </c>
      <c r="G3906" s="1" t="s">
        <v>434</v>
      </c>
      <c r="H3906" s="1" t="s">
        <v>82</v>
      </c>
      <c r="I3906" s="1" t="s">
        <v>293</v>
      </c>
      <c r="J3906" s="1" t="s">
        <v>62</v>
      </c>
      <c r="K3906" s="1" t="s">
        <v>283</v>
      </c>
      <c r="L3906" s="1">
        <v>9</v>
      </c>
      <c r="M3906" s="13">
        <v>1441.87</v>
      </c>
      <c r="N3906" s="15">
        <v>0.09</v>
      </c>
      <c r="O3906" s="13">
        <v>15544.23</v>
      </c>
      <c r="P3906" s="13">
        <v>6061.53</v>
      </c>
      <c r="Q3906" s="13">
        <v>61.52</v>
      </c>
      <c r="R3906" s="1" t="s">
        <v>29</v>
      </c>
      <c r="S3906" s="1">
        <v>4</v>
      </c>
      <c r="T3906" s="1" t="b">
        <v>0</v>
      </c>
      <c r="U3906" s="1" t="s">
        <v>137</v>
      </c>
      <c r="V3906" s="3">
        <v>1</v>
      </c>
    </row>
    <row r="3907" spans="1:22" x14ac:dyDescent="0.3">
      <c r="A3907" s="2" t="s">
        <v>8255</v>
      </c>
      <c r="B3907" s="10">
        <v>44762</v>
      </c>
      <c r="C3907" s="22">
        <v>44762</v>
      </c>
      <c r="D3907" s="1" t="s">
        <v>7842</v>
      </c>
      <c r="E3907" s="1" t="s">
        <v>3402</v>
      </c>
      <c r="F3907" s="1">
        <v>50</v>
      </c>
      <c r="G3907" s="1" t="s">
        <v>68</v>
      </c>
      <c r="H3907" s="1" t="s">
        <v>74</v>
      </c>
      <c r="I3907" s="1" t="s">
        <v>136</v>
      </c>
      <c r="J3907" s="1" t="s">
        <v>76</v>
      </c>
      <c r="K3907" s="1" t="s">
        <v>207</v>
      </c>
      <c r="L3907" s="1">
        <v>5</v>
      </c>
      <c r="M3907" s="13">
        <v>3757.22</v>
      </c>
      <c r="N3907" s="15">
        <v>0.03</v>
      </c>
      <c r="O3907" s="13">
        <v>6146.46</v>
      </c>
      <c r="P3907" s="13">
        <v>1762.91</v>
      </c>
      <c r="Q3907" s="13">
        <v>46.04</v>
      </c>
      <c r="R3907" s="1" t="s">
        <v>64</v>
      </c>
      <c r="S3907" s="1">
        <v>3</v>
      </c>
      <c r="T3907" s="1" t="b">
        <v>0</v>
      </c>
      <c r="U3907" s="1" t="s">
        <v>39</v>
      </c>
      <c r="V3907" s="3">
        <v>3</v>
      </c>
    </row>
    <row r="3908" spans="1:22" x14ac:dyDescent="0.3">
      <c r="A3908" s="2" t="s">
        <v>8256</v>
      </c>
      <c r="B3908" s="10">
        <v>44792</v>
      </c>
      <c r="C3908" s="22">
        <v>44792</v>
      </c>
      <c r="D3908" s="1" t="s">
        <v>8257</v>
      </c>
      <c r="E3908" s="1" t="s">
        <v>1128</v>
      </c>
      <c r="F3908" s="1">
        <v>41</v>
      </c>
      <c r="G3908" s="1" t="s">
        <v>34</v>
      </c>
      <c r="H3908" s="1" t="s">
        <v>82</v>
      </c>
      <c r="I3908" s="1" t="s">
        <v>244</v>
      </c>
      <c r="J3908" s="1" t="s">
        <v>62</v>
      </c>
      <c r="K3908" s="1" t="s">
        <v>266</v>
      </c>
      <c r="L3908" s="1">
        <v>2</v>
      </c>
      <c r="M3908" s="13">
        <v>766.12</v>
      </c>
      <c r="N3908" s="15">
        <v>0.21</v>
      </c>
      <c r="O3908" s="13">
        <v>1911.88</v>
      </c>
      <c r="P3908" s="13">
        <v>403.99</v>
      </c>
      <c r="Q3908" s="13">
        <v>94.88</v>
      </c>
      <c r="R3908" s="1" t="s">
        <v>64</v>
      </c>
      <c r="S3908" s="1">
        <v>2</v>
      </c>
      <c r="T3908" s="1" t="b">
        <v>0</v>
      </c>
      <c r="U3908" s="1" t="s">
        <v>39</v>
      </c>
      <c r="V3908" s="3">
        <v>7</v>
      </c>
    </row>
    <row r="3909" spans="1:22" x14ac:dyDescent="0.3">
      <c r="A3909" s="2" t="s">
        <v>8258</v>
      </c>
      <c r="B3909" s="10">
        <v>45203</v>
      </c>
      <c r="C3909" s="22">
        <v>45203</v>
      </c>
      <c r="D3909" s="1" t="s">
        <v>8259</v>
      </c>
      <c r="E3909" s="1" t="s">
        <v>289</v>
      </c>
      <c r="F3909" s="1">
        <v>36</v>
      </c>
      <c r="G3909" s="1" t="s">
        <v>34</v>
      </c>
      <c r="H3909" s="1" t="s">
        <v>35</v>
      </c>
      <c r="I3909" s="1" t="s">
        <v>106</v>
      </c>
      <c r="J3909" s="1" t="s">
        <v>146</v>
      </c>
      <c r="K3909" s="1" t="s">
        <v>217</v>
      </c>
      <c r="L3909" s="1">
        <v>7</v>
      </c>
      <c r="M3909" s="13">
        <v>11959.3</v>
      </c>
      <c r="N3909" s="15">
        <v>0.06</v>
      </c>
      <c r="O3909" s="13">
        <v>80013.649999999994</v>
      </c>
      <c r="P3909" s="13">
        <v>18319.5</v>
      </c>
      <c r="Q3909" s="13">
        <v>55.16</v>
      </c>
      <c r="R3909" s="1" t="s">
        <v>64</v>
      </c>
      <c r="S3909" s="1">
        <v>1</v>
      </c>
      <c r="T3909" s="1" t="b">
        <v>0</v>
      </c>
      <c r="U3909" s="1" t="s">
        <v>137</v>
      </c>
      <c r="V3909" s="3">
        <v>1</v>
      </c>
    </row>
    <row r="3910" spans="1:22" x14ac:dyDescent="0.3">
      <c r="A3910" s="2" t="s">
        <v>8260</v>
      </c>
      <c r="B3910" s="10">
        <v>45309</v>
      </c>
      <c r="C3910" s="22">
        <v>45309</v>
      </c>
      <c r="D3910" s="1" t="s">
        <v>8261</v>
      </c>
      <c r="E3910" s="1" t="s">
        <v>157</v>
      </c>
      <c r="F3910" s="1">
        <v>28</v>
      </c>
      <c r="G3910" s="1" t="s">
        <v>68</v>
      </c>
      <c r="H3910" s="1" t="s">
        <v>82</v>
      </c>
      <c r="I3910" s="1" t="s">
        <v>126</v>
      </c>
      <c r="J3910" s="1" t="s">
        <v>37</v>
      </c>
      <c r="K3910" s="1" t="s">
        <v>671</v>
      </c>
      <c r="L3910" s="1">
        <v>10</v>
      </c>
      <c r="M3910" s="13">
        <v>103.75</v>
      </c>
      <c r="N3910" s="15">
        <v>0.26</v>
      </c>
      <c r="O3910" s="13">
        <v>763.63</v>
      </c>
      <c r="P3910" s="13">
        <v>473.48</v>
      </c>
      <c r="Q3910" s="13">
        <v>78.5</v>
      </c>
      <c r="R3910" s="1" t="s">
        <v>70</v>
      </c>
      <c r="S3910" s="1">
        <v>1</v>
      </c>
      <c r="T3910" s="1" t="b">
        <v>0</v>
      </c>
      <c r="U3910" s="1" t="s">
        <v>84</v>
      </c>
      <c r="V3910" s="3">
        <v>7</v>
      </c>
    </row>
    <row r="3911" spans="1:22" x14ac:dyDescent="0.3">
      <c r="A3911" s="2" t="s">
        <v>8262</v>
      </c>
      <c r="B3911" s="10">
        <v>45213</v>
      </c>
      <c r="C3911" s="22">
        <v>45213</v>
      </c>
      <c r="D3911" s="1" t="s">
        <v>8263</v>
      </c>
      <c r="E3911" s="1" t="s">
        <v>983</v>
      </c>
      <c r="F3911" s="1">
        <v>35</v>
      </c>
      <c r="G3911" s="1" t="s">
        <v>68</v>
      </c>
      <c r="H3911" s="1" t="s">
        <v>25</v>
      </c>
      <c r="I3911" s="1" t="s">
        <v>55</v>
      </c>
      <c r="J3911" s="1" t="s">
        <v>27</v>
      </c>
      <c r="K3911" s="1" t="s">
        <v>400</v>
      </c>
      <c r="L3911" s="1">
        <v>1</v>
      </c>
      <c r="M3911" s="13">
        <v>466.8</v>
      </c>
      <c r="N3911" s="15">
        <v>0.37</v>
      </c>
      <c r="O3911" s="13">
        <v>312.81</v>
      </c>
      <c r="P3911" s="13">
        <v>17.47</v>
      </c>
      <c r="Q3911" s="13">
        <v>67.52</v>
      </c>
      <c r="R3911" s="1" t="s">
        <v>51</v>
      </c>
      <c r="S3911" s="1">
        <v>4</v>
      </c>
      <c r="T3911" s="1" t="b">
        <v>0</v>
      </c>
      <c r="U3911" s="1" t="s">
        <v>39</v>
      </c>
      <c r="V3911" s="3">
        <v>7</v>
      </c>
    </row>
    <row r="3912" spans="1:22" x14ac:dyDescent="0.3">
      <c r="A3912" s="2" t="s">
        <v>8264</v>
      </c>
      <c r="B3912" s="10">
        <v>45227</v>
      </c>
      <c r="C3912" s="22">
        <v>45227</v>
      </c>
      <c r="D3912" s="1" t="s">
        <v>8265</v>
      </c>
      <c r="E3912" s="1" t="s">
        <v>307</v>
      </c>
      <c r="F3912" s="1">
        <v>1</v>
      </c>
      <c r="G3912" s="1" t="s">
        <v>24</v>
      </c>
      <c r="H3912" s="1" t="s">
        <v>74</v>
      </c>
      <c r="I3912" s="1" t="s">
        <v>75</v>
      </c>
      <c r="J3912" s="1" t="s">
        <v>146</v>
      </c>
      <c r="K3912" s="1" t="s">
        <v>178</v>
      </c>
      <c r="L3912" s="1">
        <v>4</v>
      </c>
      <c r="M3912" s="13">
        <v>10506.22</v>
      </c>
      <c r="N3912" s="15">
        <v>0.26</v>
      </c>
      <c r="O3912" s="13">
        <v>31932.89</v>
      </c>
      <c r="P3912" s="13">
        <v>4266.1899999999996</v>
      </c>
      <c r="Q3912" s="13">
        <v>51.99</v>
      </c>
      <c r="R3912" s="1" t="s">
        <v>70</v>
      </c>
      <c r="S3912" s="1">
        <v>1</v>
      </c>
      <c r="T3912" s="1" t="b">
        <v>1</v>
      </c>
      <c r="U3912" s="1" t="s">
        <v>30</v>
      </c>
      <c r="V3912" s="3">
        <v>10</v>
      </c>
    </row>
    <row r="3913" spans="1:22" x14ac:dyDescent="0.3">
      <c r="A3913" s="2" t="s">
        <v>8266</v>
      </c>
      <c r="B3913" s="10">
        <v>44958</v>
      </c>
      <c r="C3913" s="22">
        <v>44958</v>
      </c>
      <c r="D3913" s="1" t="s">
        <v>8267</v>
      </c>
      <c r="E3913" s="1" t="s">
        <v>375</v>
      </c>
      <c r="F3913" s="1">
        <v>35</v>
      </c>
      <c r="G3913" s="1" t="s">
        <v>68</v>
      </c>
      <c r="H3913" s="1" t="s">
        <v>25</v>
      </c>
      <c r="I3913" s="1" t="s">
        <v>55</v>
      </c>
      <c r="J3913" s="1" t="s">
        <v>146</v>
      </c>
      <c r="K3913" s="1" t="s">
        <v>178</v>
      </c>
      <c r="L3913" s="1">
        <v>10</v>
      </c>
      <c r="M3913" s="13">
        <v>856.51</v>
      </c>
      <c r="N3913" s="15">
        <v>0.39</v>
      </c>
      <c r="O3913" s="13">
        <v>5930.43</v>
      </c>
      <c r="P3913" s="13">
        <v>1385.75</v>
      </c>
      <c r="Q3913" s="13">
        <v>57.74</v>
      </c>
      <c r="R3913" s="1" t="s">
        <v>57</v>
      </c>
      <c r="S3913" s="1">
        <v>3</v>
      </c>
      <c r="T3913" s="1" t="b">
        <v>0</v>
      </c>
      <c r="U3913" s="1" t="s">
        <v>39</v>
      </c>
      <c r="V3913" s="3">
        <v>4</v>
      </c>
    </row>
    <row r="3914" spans="1:22" x14ac:dyDescent="0.3">
      <c r="A3914" s="2" t="s">
        <v>8268</v>
      </c>
      <c r="B3914" s="10">
        <v>44993</v>
      </c>
      <c r="C3914" s="22">
        <v>44993</v>
      </c>
      <c r="D3914" s="1" t="s">
        <v>8269</v>
      </c>
      <c r="E3914" s="1" t="s">
        <v>1154</v>
      </c>
      <c r="F3914" s="1">
        <v>51</v>
      </c>
      <c r="G3914" s="1" t="s">
        <v>24</v>
      </c>
      <c r="H3914" s="1" t="s">
        <v>111</v>
      </c>
      <c r="I3914" s="1" t="s">
        <v>121</v>
      </c>
      <c r="J3914" s="1" t="s">
        <v>76</v>
      </c>
      <c r="K3914" s="1" t="s">
        <v>122</v>
      </c>
      <c r="L3914" s="1">
        <v>8</v>
      </c>
      <c r="M3914" s="13">
        <v>3911.66</v>
      </c>
      <c r="N3914" s="15">
        <v>0.3</v>
      </c>
      <c r="O3914" s="13">
        <v>25920.44</v>
      </c>
      <c r="P3914" s="13">
        <v>11329.49</v>
      </c>
      <c r="Q3914" s="13">
        <v>76.959999999999994</v>
      </c>
      <c r="R3914" s="1" t="s">
        <v>29</v>
      </c>
      <c r="S3914" s="1">
        <v>3</v>
      </c>
      <c r="T3914" s="1" t="b">
        <v>0</v>
      </c>
      <c r="U3914" s="1" t="s">
        <v>84</v>
      </c>
      <c r="V3914" s="3">
        <v>3</v>
      </c>
    </row>
    <row r="3915" spans="1:22" x14ac:dyDescent="0.3">
      <c r="A3915" s="2" t="s">
        <v>8270</v>
      </c>
      <c r="B3915" s="10">
        <v>44038</v>
      </c>
      <c r="C3915" s="22">
        <v>44038</v>
      </c>
      <c r="D3915" s="1" t="s">
        <v>8271</v>
      </c>
      <c r="E3915" s="1" t="s">
        <v>2117</v>
      </c>
      <c r="F3915" s="1">
        <v>46</v>
      </c>
      <c r="G3915" s="1" t="s">
        <v>68</v>
      </c>
      <c r="H3915" s="1" t="s">
        <v>74</v>
      </c>
      <c r="I3915" s="1" t="s">
        <v>136</v>
      </c>
      <c r="J3915" s="1" t="s">
        <v>127</v>
      </c>
      <c r="K3915" s="1" t="s">
        <v>517</v>
      </c>
      <c r="L3915" s="1">
        <v>7</v>
      </c>
      <c r="M3915" s="13">
        <v>64119.9</v>
      </c>
      <c r="N3915" s="15">
        <v>0.37</v>
      </c>
      <c r="O3915" s="13">
        <v>328579.52</v>
      </c>
      <c r="P3915" s="13">
        <v>27779.3</v>
      </c>
      <c r="Q3915" s="13">
        <v>23.56</v>
      </c>
      <c r="R3915" s="1" t="s">
        <v>70</v>
      </c>
      <c r="S3915" s="1">
        <v>4</v>
      </c>
      <c r="T3915" s="1" t="b">
        <v>0</v>
      </c>
      <c r="U3915" s="1" t="s">
        <v>137</v>
      </c>
      <c r="V3915" s="3">
        <v>3</v>
      </c>
    </row>
    <row r="3916" spans="1:22" x14ac:dyDescent="0.3">
      <c r="A3916" s="2" t="s">
        <v>8272</v>
      </c>
      <c r="B3916" s="10">
        <v>44079</v>
      </c>
      <c r="C3916" s="22">
        <v>44079</v>
      </c>
      <c r="D3916" s="1" t="s">
        <v>8273</v>
      </c>
      <c r="E3916" s="1" t="s">
        <v>2110</v>
      </c>
      <c r="F3916" s="1">
        <v>33</v>
      </c>
      <c r="G3916" s="1" t="s">
        <v>68</v>
      </c>
      <c r="H3916" s="1" t="s">
        <v>25</v>
      </c>
      <c r="I3916" s="1" t="s">
        <v>69</v>
      </c>
      <c r="J3916" s="1" t="s">
        <v>127</v>
      </c>
      <c r="K3916" s="1" t="s">
        <v>517</v>
      </c>
      <c r="L3916" s="1">
        <v>4</v>
      </c>
      <c r="M3916" s="13">
        <v>61889.58</v>
      </c>
      <c r="N3916" s="15">
        <v>0.28000000000000003</v>
      </c>
      <c r="O3916" s="13">
        <v>188994.43</v>
      </c>
      <c r="P3916" s="13">
        <v>30756.01</v>
      </c>
      <c r="Q3916" s="13">
        <v>79.61</v>
      </c>
      <c r="R3916" s="1" t="s">
        <v>51</v>
      </c>
      <c r="S3916" s="1">
        <v>2</v>
      </c>
      <c r="T3916" s="1" t="b">
        <v>0</v>
      </c>
      <c r="U3916" s="1" t="s">
        <v>39</v>
      </c>
      <c r="V3916" s="3">
        <v>5</v>
      </c>
    </row>
    <row r="3917" spans="1:22" x14ac:dyDescent="0.3">
      <c r="A3917" s="2" t="s">
        <v>8274</v>
      </c>
      <c r="B3917" s="10">
        <v>44729</v>
      </c>
      <c r="C3917" s="22">
        <v>44729</v>
      </c>
      <c r="D3917" s="1" t="s">
        <v>8275</v>
      </c>
      <c r="E3917" s="1" t="s">
        <v>888</v>
      </c>
      <c r="F3917" s="1">
        <v>38</v>
      </c>
      <c r="G3917" s="1" t="s">
        <v>24</v>
      </c>
      <c r="H3917" s="1" t="s">
        <v>82</v>
      </c>
      <c r="I3917" s="1" t="s">
        <v>83</v>
      </c>
      <c r="J3917" s="1" t="s">
        <v>146</v>
      </c>
      <c r="K3917" s="1" t="s">
        <v>484</v>
      </c>
      <c r="L3917" s="1">
        <v>6</v>
      </c>
      <c r="M3917" s="13">
        <v>14693.99</v>
      </c>
      <c r="N3917" s="15">
        <v>0.23</v>
      </c>
      <c r="O3917" s="13">
        <v>98156.4</v>
      </c>
      <c r="P3917" s="13">
        <v>22834.62</v>
      </c>
      <c r="Q3917" s="13">
        <v>68.94</v>
      </c>
      <c r="R3917" s="1" t="s">
        <v>29</v>
      </c>
      <c r="S3917" s="1">
        <v>2</v>
      </c>
      <c r="T3917" s="1" t="b">
        <v>0</v>
      </c>
      <c r="U3917" s="1" t="s">
        <v>39</v>
      </c>
      <c r="V3917" s="3">
        <v>4</v>
      </c>
    </row>
    <row r="3918" spans="1:22" x14ac:dyDescent="0.3">
      <c r="A3918" s="2" t="s">
        <v>8276</v>
      </c>
      <c r="B3918" s="10">
        <v>45480</v>
      </c>
      <c r="C3918" s="22">
        <v>45480</v>
      </c>
      <c r="D3918" s="1" t="s">
        <v>8277</v>
      </c>
      <c r="E3918" s="1" t="s">
        <v>809</v>
      </c>
      <c r="F3918" s="1">
        <v>18</v>
      </c>
      <c r="G3918" s="1" t="s">
        <v>24</v>
      </c>
      <c r="H3918" s="1" t="s">
        <v>25</v>
      </c>
      <c r="I3918" s="1" t="s">
        <v>26</v>
      </c>
      <c r="J3918" s="1" t="s">
        <v>76</v>
      </c>
      <c r="K3918" s="1" t="s">
        <v>122</v>
      </c>
      <c r="L3918" s="1">
        <v>10</v>
      </c>
      <c r="M3918" s="13">
        <v>1784.51</v>
      </c>
      <c r="N3918" s="15">
        <v>0.18</v>
      </c>
      <c r="O3918" s="13">
        <v>22208.97</v>
      </c>
      <c r="P3918" s="13">
        <v>11474.7</v>
      </c>
      <c r="Q3918" s="13">
        <v>69.08</v>
      </c>
      <c r="R3918" s="1" t="s">
        <v>64</v>
      </c>
      <c r="S3918" s="1">
        <v>4</v>
      </c>
      <c r="T3918" s="1" t="b">
        <v>0</v>
      </c>
      <c r="U3918" s="1" t="s">
        <v>39</v>
      </c>
      <c r="V3918" s="3">
        <v>8</v>
      </c>
    </row>
    <row r="3919" spans="1:22" x14ac:dyDescent="0.3">
      <c r="A3919" s="2" t="s">
        <v>8278</v>
      </c>
      <c r="B3919" s="10">
        <v>44845</v>
      </c>
      <c r="C3919" s="22">
        <v>44845</v>
      </c>
      <c r="D3919" s="1" t="s">
        <v>8279</v>
      </c>
      <c r="E3919" s="1" t="s">
        <v>711</v>
      </c>
      <c r="F3919" s="1">
        <v>31</v>
      </c>
      <c r="G3919" s="1" t="s">
        <v>34</v>
      </c>
      <c r="H3919" s="1" t="s">
        <v>82</v>
      </c>
      <c r="I3919" s="1" t="s">
        <v>293</v>
      </c>
      <c r="J3919" s="1" t="s">
        <v>127</v>
      </c>
      <c r="K3919" s="1" t="s">
        <v>142</v>
      </c>
      <c r="L3919" s="1">
        <v>9</v>
      </c>
      <c r="M3919" s="13">
        <v>58781.51</v>
      </c>
      <c r="N3919" s="15">
        <v>0.2</v>
      </c>
      <c r="O3919" s="13">
        <v>399047.78</v>
      </c>
      <c r="P3919" s="13">
        <v>43776.4</v>
      </c>
      <c r="Q3919" s="13">
        <v>94.29</v>
      </c>
      <c r="R3919" s="1" t="s">
        <v>51</v>
      </c>
      <c r="S3919" s="1">
        <v>4</v>
      </c>
      <c r="T3919" s="1" t="b">
        <v>0</v>
      </c>
      <c r="U3919" s="1" t="s">
        <v>39</v>
      </c>
      <c r="V3919" s="3">
        <v>2</v>
      </c>
    </row>
    <row r="3920" spans="1:22" x14ac:dyDescent="0.3">
      <c r="A3920" s="2" t="s">
        <v>8280</v>
      </c>
      <c r="B3920" s="10">
        <v>45056</v>
      </c>
      <c r="C3920" s="22">
        <v>45056</v>
      </c>
      <c r="D3920" s="1" t="s">
        <v>8281</v>
      </c>
      <c r="E3920" s="1" t="s">
        <v>3402</v>
      </c>
      <c r="F3920" s="1">
        <v>56</v>
      </c>
      <c r="G3920" s="1" t="s">
        <v>24</v>
      </c>
      <c r="H3920" s="1" t="s">
        <v>74</v>
      </c>
      <c r="I3920" s="1" t="s">
        <v>136</v>
      </c>
      <c r="J3920" s="1" t="s">
        <v>127</v>
      </c>
      <c r="K3920" s="1" t="s">
        <v>517</v>
      </c>
      <c r="L3920" s="1">
        <v>8</v>
      </c>
      <c r="M3920" s="13">
        <v>29764.18</v>
      </c>
      <c r="N3920" s="15">
        <v>0.21</v>
      </c>
      <c r="O3920" s="13">
        <v>268708.58</v>
      </c>
      <c r="P3920" s="13">
        <v>24851.54</v>
      </c>
      <c r="Q3920" s="13">
        <v>45.84</v>
      </c>
      <c r="R3920" s="1" t="s">
        <v>64</v>
      </c>
      <c r="S3920" s="1">
        <v>2</v>
      </c>
      <c r="T3920" s="1" t="b">
        <v>0</v>
      </c>
      <c r="U3920" s="1" t="s">
        <v>197</v>
      </c>
      <c r="V3920" s="3">
        <v>2</v>
      </c>
    </row>
    <row r="3921" spans="1:22" x14ac:dyDescent="0.3">
      <c r="A3921" s="2" t="s">
        <v>8282</v>
      </c>
      <c r="B3921" s="10">
        <v>44479</v>
      </c>
      <c r="C3921" s="22">
        <v>44479</v>
      </c>
      <c r="D3921" s="1" t="s">
        <v>8283</v>
      </c>
      <c r="E3921" s="1" t="s">
        <v>801</v>
      </c>
      <c r="F3921" s="1">
        <v>37</v>
      </c>
      <c r="G3921" s="1" t="s">
        <v>34</v>
      </c>
      <c r="H3921" s="1" t="s">
        <v>25</v>
      </c>
      <c r="I3921" s="1" t="s">
        <v>55</v>
      </c>
      <c r="J3921" s="1" t="s">
        <v>146</v>
      </c>
      <c r="K3921" s="1" t="s">
        <v>147</v>
      </c>
      <c r="L3921" s="1">
        <v>3</v>
      </c>
      <c r="M3921" s="13">
        <v>13108.91</v>
      </c>
      <c r="N3921" s="15">
        <v>0.14000000000000001</v>
      </c>
      <c r="O3921" s="13">
        <v>30143.82</v>
      </c>
      <c r="P3921" s="13">
        <v>8326.51</v>
      </c>
      <c r="Q3921" s="13">
        <v>55.08</v>
      </c>
      <c r="R3921" s="1" t="s">
        <v>70</v>
      </c>
      <c r="S3921" s="1">
        <v>1</v>
      </c>
      <c r="T3921" s="1" t="b">
        <v>0</v>
      </c>
      <c r="U3921" s="1" t="s">
        <v>39</v>
      </c>
      <c r="V3921" s="3">
        <v>10</v>
      </c>
    </row>
    <row r="3922" spans="1:22" x14ac:dyDescent="0.3">
      <c r="A3922" s="2" t="s">
        <v>8284</v>
      </c>
      <c r="B3922" s="10">
        <v>44401</v>
      </c>
      <c r="C3922" s="22">
        <v>44401</v>
      </c>
      <c r="D3922" s="1" t="s">
        <v>8285</v>
      </c>
      <c r="E3922" s="1" t="s">
        <v>1761</v>
      </c>
      <c r="F3922" s="1">
        <v>63</v>
      </c>
      <c r="G3922" s="1" t="s">
        <v>34</v>
      </c>
      <c r="H3922" s="1" t="s">
        <v>35</v>
      </c>
      <c r="I3922" s="1" t="s">
        <v>36</v>
      </c>
      <c r="J3922" s="1" t="s">
        <v>146</v>
      </c>
      <c r="K3922" s="1" t="s">
        <v>178</v>
      </c>
      <c r="L3922" s="1">
        <v>10</v>
      </c>
      <c r="M3922" s="13">
        <v>5417.12</v>
      </c>
      <c r="N3922" s="15">
        <v>0.21</v>
      </c>
      <c r="O3922" s="13">
        <v>55413.45</v>
      </c>
      <c r="P3922" s="13">
        <v>15661.22</v>
      </c>
      <c r="Q3922" s="13">
        <v>56.55</v>
      </c>
      <c r="R3922" s="1" t="s">
        <v>78</v>
      </c>
      <c r="S3922" s="1">
        <v>1</v>
      </c>
      <c r="T3922" s="1" t="b">
        <v>0</v>
      </c>
      <c r="U3922" s="1" t="s">
        <v>84</v>
      </c>
      <c r="V3922" s="3">
        <v>5</v>
      </c>
    </row>
    <row r="3923" spans="1:22" x14ac:dyDescent="0.3">
      <c r="A3923" s="2" t="s">
        <v>8286</v>
      </c>
      <c r="B3923" s="10">
        <v>45230</v>
      </c>
      <c r="C3923" s="22">
        <v>45230</v>
      </c>
      <c r="D3923" s="1" t="s">
        <v>5990</v>
      </c>
      <c r="E3923" s="1" t="s">
        <v>502</v>
      </c>
      <c r="F3923" s="1">
        <v>48</v>
      </c>
      <c r="G3923" s="1" t="s">
        <v>24</v>
      </c>
      <c r="H3923" s="1" t="s">
        <v>82</v>
      </c>
      <c r="I3923" s="1" t="s">
        <v>293</v>
      </c>
      <c r="J3923" s="1" t="s">
        <v>37</v>
      </c>
      <c r="K3923" s="1" t="s">
        <v>454</v>
      </c>
      <c r="L3923" s="1">
        <v>3</v>
      </c>
      <c r="M3923" s="13">
        <v>434.81</v>
      </c>
      <c r="N3923" s="15">
        <v>0.39</v>
      </c>
      <c r="O3923" s="13">
        <v>892.79</v>
      </c>
      <c r="P3923" s="13">
        <v>365.96</v>
      </c>
      <c r="Q3923" s="13">
        <v>77.89</v>
      </c>
      <c r="R3923" s="1" t="s">
        <v>29</v>
      </c>
      <c r="S3923" s="1">
        <v>2</v>
      </c>
      <c r="T3923" s="1" t="b">
        <v>0</v>
      </c>
      <c r="U3923" s="1" t="s">
        <v>39</v>
      </c>
      <c r="V3923" s="3">
        <v>5</v>
      </c>
    </row>
    <row r="3924" spans="1:22" x14ac:dyDescent="0.3">
      <c r="A3924" s="2" t="s">
        <v>8287</v>
      </c>
      <c r="B3924" s="10">
        <v>44293</v>
      </c>
      <c r="C3924" s="22">
        <v>44293</v>
      </c>
      <c r="D3924" s="1" t="s">
        <v>8288</v>
      </c>
      <c r="E3924" s="1" t="s">
        <v>858</v>
      </c>
      <c r="F3924" s="1">
        <v>28</v>
      </c>
      <c r="G3924" s="1" t="s">
        <v>88</v>
      </c>
      <c r="H3924" s="1" t="s">
        <v>82</v>
      </c>
      <c r="I3924" s="1" t="s">
        <v>83</v>
      </c>
      <c r="J3924" s="1" t="s">
        <v>37</v>
      </c>
      <c r="K3924" s="1" t="s">
        <v>182</v>
      </c>
      <c r="L3924" s="1">
        <v>4</v>
      </c>
      <c r="M3924" s="13">
        <v>1885.47</v>
      </c>
      <c r="N3924" s="15">
        <v>0.39</v>
      </c>
      <c r="O3924" s="13">
        <v>6078.11</v>
      </c>
      <c r="P3924" s="13">
        <v>2097.44</v>
      </c>
      <c r="Q3924" s="13">
        <v>72.41</v>
      </c>
      <c r="R3924" s="1" t="s">
        <v>64</v>
      </c>
      <c r="S3924" s="1">
        <v>4</v>
      </c>
      <c r="T3924" s="1" t="b">
        <v>0</v>
      </c>
      <c r="U3924" s="1" t="s">
        <v>39</v>
      </c>
      <c r="V3924" s="3">
        <v>10</v>
      </c>
    </row>
    <row r="3925" spans="1:22" x14ac:dyDescent="0.3">
      <c r="A3925" s="2" t="s">
        <v>8289</v>
      </c>
      <c r="B3925" s="10">
        <v>43877</v>
      </c>
      <c r="C3925" s="22">
        <v>43877</v>
      </c>
      <c r="D3925" s="1" t="s">
        <v>8290</v>
      </c>
      <c r="E3925" s="1" t="s">
        <v>437</v>
      </c>
      <c r="F3925" s="1">
        <v>62</v>
      </c>
      <c r="G3925" s="1" t="s">
        <v>34</v>
      </c>
      <c r="H3925" s="1" t="s">
        <v>111</v>
      </c>
      <c r="I3925" s="1" t="s">
        <v>330</v>
      </c>
      <c r="J3925" s="1" t="s">
        <v>37</v>
      </c>
      <c r="K3925" s="1" t="s">
        <v>671</v>
      </c>
      <c r="L3925" s="1">
        <v>4</v>
      </c>
      <c r="M3925" s="13">
        <v>965.04</v>
      </c>
      <c r="N3925" s="15">
        <v>0.32</v>
      </c>
      <c r="O3925" s="13">
        <v>2121.23</v>
      </c>
      <c r="P3925" s="13">
        <v>1209.8800000000001</v>
      </c>
      <c r="Q3925" s="13">
        <v>58.85</v>
      </c>
      <c r="R3925" s="1" t="s">
        <v>51</v>
      </c>
      <c r="S3925" s="1">
        <v>1</v>
      </c>
      <c r="T3925" s="1" t="b">
        <v>1</v>
      </c>
      <c r="U3925" s="1" t="s">
        <v>30</v>
      </c>
      <c r="V3925" s="3">
        <v>6</v>
      </c>
    </row>
    <row r="3926" spans="1:22" x14ac:dyDescent="0.3">
      <c r="A3926" s="2" t="s">
        <v>8291</v>
      </c>
      <c r="B3926" s="10">
        <v>44236</v>
      </c>
      <c r="C3926" s="22">
        <v>44236</v>
      </c>
      <c r="D3926" s="1" t="s">
        <v>8292</v>
      </c>
      <c r="E3926" s="1" t="s">
        <v>363</v>
      </c>
      <c r="F3926" s="1">
        <v>50</v>
      </c>
      <c r="G3926" s="1" t="s">
        <v>24</v>
      </c>
      <c r="H3926" s="1" t="s">
        <v>74</v>
      </c>
      <c r="I3926" s="1" t="s">
        <v>136</v>
      </c>
      <c r="J3926" s="1" t="s">
        <v>127</v>
      </c>
      <c r="K3926" s="1" t="s">
        <v>142</v>
      </c>
      <c r="L3926" s="1">
        <v>7</v>
      </c>
      <c r="M3926" s="13">
        <v>10081.67</v>
      </c>
      <c r="N3926" s="15">
        <v>0.03</v>
      </c>
      <c r="O3926" s="13">
        <v>59897.17</v>
      </c>
      <c r="P3926" s="13">
        <v>4993.59</v>
      </c>
      <c r="Q3926" s="13">
        <v>16.940000000000001</v>
      </c>
      <c r="R3926" s="1" t="s">
        <v>70</v>
      </c>
      <c r="S3926" s="1">
        <v>5</v>
      </c>
      <c r="T3926" s="1" t="b">
        <v>0</v>
      </c>
      <c r="U3926" s="1" t="s">
        <v>39</v>
      </c>
      <c r="V3926" s="3">
        <v>7</v>
      </c>
    </row>
    <row r="3927" spans="1:22" x14ac:dyDescent="0.3">
      <c r="A3927" s="2" t="s">
        <v>8293</v>
      </c>
      <c r="B3927" s="10">
        <v>45471</v>
      </c>
      <c r="C3927" s="22">
        <v>45471</v>
      </c>
      <c r="D3927" s="1" t="s">
        <v>8294</v>
      </c>
      <c r="E3927" s="1" t="s">
        <v>1309</v>
      </c>
      <c r="F3927" s="1">
        <v>43</v>
      </c>
      <c r="G3927" s="1" t="s">
        <v>24</v>
      </c>
      <c r="H3927" s="1" t="s">
        <v>35</v>
      </c>
      <c r="I3927" s="1" t="s">
        <v>36</v>
      </c>
      <c r="J3927" s="1" t="s">
        <v>44</v>
      </c>
      <c r="K3927" s="1" t="s">
        <v>50</v>
      </c>
      <c r="L3927" s="1">
        <v>3</v>
      </c>
      <c r="M3927" s="13">
        <v>20889.939999999999</v>
      </c>
      <c r="N3927" s="15">
        <v>0.28000000000000003</v>
      </c>
      <c r="O3927" s="13">
        <v>70530.850000000006</v>
      </c>
      <c r="P3927" s="13">
        <v>15914.76</v>
      </c>
      <c r="Q3927" s="13">
        <v>86.28</v>
      </c>
      <c r="R3927" s="1" t="s">
        <v>78</v>
      </c>
      <c r="S3927" s="1">
        <v>5</v>
      </c>
      <c r="T3927" s="1" t="b">
        <v>0</v>
      </c>
      <c r="U3927" s="1" t="s">
        <v>197</v>
      </c>
      <c r="V3927" s="3">
        <v>2</v>
      </c>
    </row>
    <row r="3928" spans="1:22" x14ac:dyDescent="0.3">
      <c r="A3928" s="2" t="s">
        <v>8295</v>
      </c>
      <c r="B3928" s="10">
        <v>44419</v>
      </c>
      <c r="C3928" s="22">
        <v>44419</v>
      </c>
      <c r="D3928" s="1" t="s">
        <v>8296</v>
      </c>
      <c r="E3928" s="1" t="s">
        <v>1541</v>
      </c>
      <c r="F3928" s="1">
        <v>28</v>
      </c>
      <c r="G3928" s="1" t="s">
        <v>34</v>
      </c>
      <c r="H3928" s="1" t="s">
        <v>74</v>
      </c>
      <c r="I3928" s="1" t="s">
        <v>136</v>
      </c>
      <c r="J3928" s="1" t="s">
        <v>62</v>
      </c>
      <c r="K3928" s="1" t="s">
        <v>151</v>
      </c>
      <c r="L3928" s="1">
        <v>4</v>
      </c>
      <c r="M3928" s="13">
        <v>268</v>
      </c>
      <c r="N3928" s="15">
        <v>0.31</v>
      </c>
      <c r="O3928" s="13">
        <v>983.11</v>
      </c>
      <c r="P3928" s="13">
        <v>397.26</v>
      </c>
      <c r="Q3928" s="13">
        <v>58.22</v>
      </c>
      <c r="R3928" s="1" t="s">
        <v>78</v>
      </c>
      <c r="S3928" s="1">
        <v>4</v>
      </c>
      <c r="T3928" s="1" t="b">
        <v>0</v>
      </c>
      <c r="U3928" s="1" t="s">
        <v>84</v>
      </c>
      <c r="V3928" s="3">
        <v>4</v>
      </c>
    </row>
    <row r="3929" spans="1:22" x14ac:dyDescent="0.3">
      <c r="A3929" s="2" t="s">
        <v>8297</v>
      </c>
      <c r="B3929" s="10">
        <v>44458</v>
      </c>
      <c r="C3929" s="22">
        <v>44458</v>
      </c>
      <c r="D3929" s="1" t="s">
        <v>8298</v>
      </c>
      <c r="E3929" s="1" t="s">
        <v>110</v>
      </c>
      <c r="F3929" s="1">
        <v>29</v>
      </c>
      <c r="G3929" s="1" t="s">
        <v>24</v>
      </c>
      <c r="H3929" s="1" t="s">
        <v>82</v>
      </c>
      <c r="I3929" s="1" t="s">
        <v>126</v>
      </c>
      <c r="J3929" s="1" t="s">
        <v>146</v>
      </c>
      <c r="K3929" s="1" t="s">
        <v>147</v>
      </c>
      <c r="L3929" s="1">
        <v>5</v>
      </c>
      <c r="M3929" s="13">
        <v>5472.78</v>
      </c>
      <c r="N3929" s="15">
        <v>0.09</v>
      </c>
      <c r="O3929" s="13">
        <v>26718.92</v>
      </c>
      <c r="P3929" s="13">
        <v>5839.8</v>
      </c>
      <c r="Q3929" s="13">
        <v>85.38</v>
      </c>
      <c r="R3929" s="1" t="s">
        <v>57</v>
      </c>
      <c r="S3929" s="1">
        <v>3</v>
      </c>
      <c r="T3929" s="1" t="b">
        <v>0</v>
      </c>
      <c r="U3929" s="1" t="s">
        <v>1411</v>
      </c>
      <c r="V3929" s="3">
        <v>7</v>
      </c>
    </row>
    <row r="3930" spans="1:22" x14ac:dyDescent="0.3">
      <c r="A3930" s="2" t="s">
        <v>8299</v>
      </c>
      <c r="B3930" s="10">
        <v>45492</v>
      </c>
      <c r="C3930" s="22">
        <v>45492</v>
      </c>
      <c r="D3930" s="1" t="s">
        <v>8300</v>
      </c>
      <c r="E3930" s="1" t="s">
        <v>740</v>
      </c>
      <c r="F3930" s="1">
        <v>48</v>
      </c>
      <c r="G3930" s="1" t="s">
        <v>34</v>
      </c>
      <c r="H3930" s="1" t="s">
        <v>82</v>
      </c>
      <c r="I3930" s="1" t="s">
        <v>293</v>
      </c>
      <c r="J3930" s="1" t="s">
        <v>44</v>
      </c>
      <c r="K3930" s="1" t="s">
        <v>117</v>
      </c>
      <c r="L3930" s="1">
        <v>3</v>
      </c>
      <c r="M3930" s="13">
        <v>10939.89</v>
      </c>
      <c r="N3930" s="15">
        <v>0.37</v>
      </c>
      <c r="O3930" s="13">
        <v>35018.76</v>
      </c>
      <c r="P3930" s="13">
        <v>7992.14</v>
      </c>
      <c r="Q3930" s="13">
        <v>99.95</v>
      </c>
      <c r="R3930" s="1" t="s">
        <v>64</v>
      </c>
      <c r="S3930" s="1">
        <v>1</v>
      </c>
      <c r="T3930" s="1" t="b">
        <v>0</v>
      </c>
      <c r="U3930" s="1" t="s">
        <v>39</v>
      </c>
      <c r="V3930" s="3">
        <v>9</v>
      </c>
    </row>
    <row r="3931" spans="1:22" x14ac:dyDescent="0.3">
      <c r="A3931" s="2" t="s">
        <v>8301</v>
      </c>
      <c r="B3931" s="10">
        <v>44431</v>
      </c>
      <c r="C3931" s="22">
        <v>44431</v>
      </c>
      <c r="D3931" s="1" t="s">
        <v>8302</v>
      </c>
      <c r="E3931" s="1" t="s">
        <v>1665</v>
      </c>
      <c r="F3931" s="1">
        <v>38</v>
      </c>
      <c r="G3931" s="1" t="s">
        <v>24</v>
      </c>
      <c r="H3931" s="1" t="s">
        <v>25</v>
      </c>
      <c r="I3931" s="1" t="s">
        <v>170</v>
      </c>
      <c r="J3931" s="1" t="s">
        <v>44</v>
      </c>
      <c r="K3931" s="1" t="s">
        <v>45</v>
      </c>
      <c r="L3931" s="1">
        <v>8</v>
      </c>
      <c r="M3931" s="13">
        <v>27002.71</v>
      </c>
      <c r="N3931" s="15">
        <v>0.1</v>
      </c>
      <c r="O3931" s="13">
        <v>247619.21</v>
      </c>
      <c r="P3931" s="13">
        <v>75880.399999999994</v>
      </c>
      <c r="Q3931" s="13">
        <v>107.71</v>
      </c>
      <c r="R3931" s="1" t="s">
        <v>78</v>
      </c>
      <c r="S3931" s="1">
        <v>1</v>
      </c>
      <c r="T3931" s="1" t="b">
        <v>0</v>
      </c>
      <c r="U3931" s="1" t="s">
        <v>39</v>
      </c>
      <c r="V3931" s="3">
        <v>3</v>
      </c>
    </row>
    <row r="3932" spans="1:22" x14ac:dyDescent="0.3">
      <c r="A3932" s="2" t="s">
        <v>8303</v>
      </c>
      <c r="B3932" s="10">
        <v>44940</v>
      </c>
      <c r="C3932" s="22">
        <v>44940</v>
      </c>
      <c r="D3932" s="1" t="s">
        <v>8304</v>
      </c>
      <c r="E3932" s="1" t="s">
        <v>1459</v>
      </c>
      <c r="F3932" s="1">
        <v>46</v>
      </c>
      <c r="G3932" s="1" t="s">
        <v>68</v>
      </c>
      <c r="H3932" s="1" t="s">
        <v>82</v>
      </c>
      <c r="I3932" s="1" t="s">
        <v>83</v>
      </c>
      <c r="J3932" s="1" t="s">
        <v>37</v>
      </c>
      <c r="K3932" s="1" t="s">
        <v>182</v>
      </c>
      <c r="L3932" s="1">
        <v>1</v>
      </c>
      <c r="M3932" s="13">
        <v>1511.99</v>
      </c>
      <c r="N3932" s="15">
        <v>0.39</v>
      </c>
      <c r="O3932" s="13">
        <v>914.13</v>
      </c>
      <c r="P3932" s="13">
        <v>402.56</v>
      </c>
      <c r="Q3932" s="13">
        <v>88.69</v>
      </c>
      <c r="R3932" s="1" t="s">
        <v>78</v>
      </c>
      <c r="S3932" s="1">
        <v>1</v>
      </c>
      <c r="T3932" s="1" t="b">
        <v>0</v>
      </c>
      <c r="U3932" s="1" t="s">
        <v>84</v>
      </c>
      <c r="V3932" s="3">
        <v>7</v>
      </c>
    </row>
    <row r="3933" spans="1:22" x14ac:dyDescent="0.3">
      <c r="A3933" s="2" t="s">
        <v>8305</v>
      </c>
      <c r="B3933" s="10">
        <v>44802</v>
      </c>
      <c r="C3933" s="22">
        <v>44802</v>
      </c>
      <c r="D3933" s="1" t="s">
        <v>4279</v>
      </c>
      <c r="E3933" s="1" t="s">
        <v>875</v>
      </c>
      <c r="F3933" s="1">
        <v>53</v>
      </c>
      <c r="G3933" s="1" t="s">
        <v>24</v>
      </c>
      <c r="H3933" s="1" t="s">
        <v>25</v>
      </c>
      <c r="I3933" s="1" t="s">
        <v>26</v>
      </c>
      <c r="J3933" s="1" t="s">
        <v>44</v>
      </c>
      <c r="K3933" s="1" t="s">
        <v>50</v>
      </c>
      <c r="L3933" s="1">
        <v>5</v>
      </c>
      <c r="M3933" s="13">
        <v>16148.89</v>
      </c>
      <c r="N3933" s="15">
        <v>0.31</v>
      </c>
      <c r="O3933" s="13">
        <v>65510.48</v>
      </c>
      <c r="P3933" s="13">
        <v>17083.16</v>
      </c>
      <c r="Q3933" s="13">
        <v>56.19</v>
      </c>
      <c r="R3933" s="1" t="s">
        <v>64</v>
      </c>
      <c r="S3933" s="1">
        <v>5</v>
      </c>
      <c r="T3933" s="1" t="b">
        <v>0</v>
      </c>
      <c r="U3933" s="1" t="s">
        <v>39</v>
      </c>
      <c r="V3933" s="3">
        <v>1</v>
      </c>
    </row>
    <row r="3934" spans="1:22" x14ac:dyDescent="0.3">
      <c r="A3934" s="2" t="s">
        <v>8306</v>
      </c>
      <c r="B3934" s="10">
        <v>44686</v>
      </c>
      <c r="C3934" s="22">
        <v>44686</v>
      </c>
      <c r="D3934" s="1" t="s">
        <v>8307</v>
      </c>
      <c r="E3934" s="1" t="s">
        <v>931</v>
      </c>
      <c r="F3934" s="1">
        <v>35</v>
      </c>
      <c r="G3934" s="1" t="s">
        <v>24</v>
      </c>
      <c r="H3934" s="1" t="s">
        <v>35</v>
      </c>
      <c r="I3934" s="1" t="s">
        <v>36</v>
      </c>
      <c r="J3934" s="1" t="s">
        <v>127</v>
      </c>
      <c r="K3934" s="1" t="s">
        <v>171</v>
      </c>
      <c r="L3934" s="1">
        <v>4</v>
      </c>
      <c r="M3934" s="13">
        <v>35805.64</v>
      </c>
      <c r="N3934" s="15">
        <v>0.22</v>
      </c>
      <c r="O3934" s="13">
        <v>175898.51</v>
      </c>
      <c r="P3934" s="13">
        <v>16761.62</v>
      </c>
      <c r="Q3934" s="13">
        <v>64.56</v>
      </c>
      <c r="R3934" s="1" t="s">
        <v>57</v>
      </c>
      <c r="S3934" s="1">
        <v>2</v>
      </c>
      <c r="T3934" s="1" t="b">
        <v>0</v>
      </c>
      <c r="U3934" s="1" t="s">
        <v>84</v>
      </c>
      <c r="V3934" s="3">
        <v>9</v>
      </c>
    </row>
    <row r="3935" spans="1:22" x14ac:dyDescent="0.3">
      <c r="A3935" s="2" t="s">
        <v>8308</v>
      </c>
      <c r="B3935" s="10">
        <v>45513</v>
      </c>
      <c r="C3935" s="22">
        <v>45513</v>
      </c>
      <c r="D3935" s="1" t="s">
        <v>8309</v>
      </c>
      <c r="E3935" s="1" t="s">
        <v>460</v>
      </c>
      <c r="F3935" s="1">
        <v>30</v>
      </c>
      <c r="G3935" s="1" t="s">
        <v>68</v>
      </c>
      <c r="H3935" s="1" t="s">
        <v>25</v>
      </c>
      <c r="I3935" s="1" t="s">
        <v>26</v>
      </c>
      <c r="J3935" s="1" t="s">
        <v>127</v>
      </c>
      <c r="K3935" s="1" t="s">
        <v>196</v>
      </c>
      <c r="L3935" s="1">
        <v>1</v>
      </c>
      <c r="M3935" s="13">
        <v>8508.27</v>
      </c>
      <c r="N3935" s="15">
        <v>0.12</v>
      </c>
      <c r="O3935" s="13">
        <v>10874.57</v>
      </c>
      <c r="P3935" s="13">
        <v>1416.52</v>
      </c>
      <c r="Q3935" s="13">
        <v>82.74</v>
      </c>
      <c r="R3935" s="1" t="s">
        <v>78</v>
      </c>
      <c r="S3935" s="1">
        <v>3</v>
      </c>
      <c r="T3935" s="1" t="b">
        <v>0</v>
      </c>
      <c r="U3935" s="1" t="s">
        <v>58</v>
      </c>
      <c r="V3935" s="3">
        <v>1</v>
      </c>
    </row>
    <row r="3936" spans="1:22" x14ac:dyDescent="0.3">
      <c r="A3936" s="2" t="s">
        <v>8310</v>
      </c>
      <c r="B3936" s="10">
        <v>45516</v>
      </c>
      <c r="C3936" s="22">
        <v>45516</v>
      </c>
      <c r="D3936" s="1" t="s">
        <v>8311</v>
      </c>
      <c r="E3936" s="1" t="s">
        <v>1128</v>
      </c>
      <c r="F3936" s="1">
        <v>33</v>
      </c>
      <c r="G3936" s="1" t="s">
        <v>68</v>
      </c>
      <c r="H3936" s="1" t="s">
        <v>35</v>
      </c>
      <c r="I3936" s="1" t="s">
        <v>36</v>
      </c>
      <c r="J3936" s="1" t="s">
        <v>27</v>
      </c>
      <c r="K3936" s="1" t="s">
        <v>28</v>
      </c>
      <c r="L3936" s="1">
        <v>9</v>
      </c>
      <c r="M3936" s="13">
        <v>346.57</v>
      </c>
      <c r="N3936" s="15">
        <v>0.21</v>
      </c>
      <c r="O3936" s="13">
        <v>5197.6099999999997</v>
      </c>
      <c r="P3936" s="13">
        <v>352.44</v>
      </c>
      <c r="Q3936" s="13">
        <v>77.75</v>
      </c>
      <c r="R3936" s="1" t="s">
        <v>70</v>
      </c>
      <c r="S3936" s="1">
        <v>4</v>
      </c>
      <c r="T3936" s="1" t="b">
        <v>0</v>
      </c>
      <c r="U3936" s="1" t="s">
        <v>39</v>
      </c>
      <c r="V3936" s="3">
        <v>6</v>
      </c>
    </row>
    <row r="3937" spans="1:22" x14ac:dyDescent="0.3">
      <c r="A3937" s="2" t="s">
        <v>8312</v>
      </c>
      <c r="B3937" s="10">
        <v>44324</v>
      </c>
      <c r="C3937" s="22">
        <v>44324</v>
      </c>
      <c r="D3937" s="1" t="s">
        <v>8313</v>
      </c>
      <c r="E3937" s="1" t="s">
        <v>2934</v>
      </c>
      <c r="F3937" s="1">
        <v>43</v>
      </c>
      <c r="G3937" s="1" t="s">
        <v>24</v>
      </c>
      <c r="H3937" s="1" t="s">
        <v>35</v>
      </c>
      <c r="I3937" s="1" t="s">
        <v>43</v>
      </c>
      <c r="J3937" s="1" t="s">
        <v>127</v>
      </c>
      <c r="K3937" s="1" t="s">
        <v>308</v>
      </c>
      <c r="L3937" s="1">
        <v>10</v>
      </c>
      <c r="M3937" s="13">
        <v>65812.2</v>
      </c>
      <c r="N3937" s="15">
        <v>0.14000000000000001</v>
      </c>
      <c r="O3937" s="13">
        <v>755611.74</v>
      </c>
      <c r="P3937" s="13">
        <v>101212.3</v>
      </c>
      <c r="Q3937" s="13">
        <v>48.25</v>
      </c>
      <c r="R3937" s="1" t="s">
        <v>57</v>
      </c>
      <c r="S3937" s="1">
        <v>4</v>
      </c>
      <c r="T3937" s="1" t="b">
        <v>0</v>
      </c>
      <c r="U3937" s="1" t="s">
        <v>39</v>
      </c>
      <c r="V3937" s="3">
        <v>8</v>
      </c>
    </row>
    <row r="3938" spans="1:22" x14ac:dyDescent="0.3">
      <c r="A3938" s="2" t="s">
        <v>8314</v>
      </c>
      <c r="B3938" s="10">
        <v>45506</v>
      </c>
      <c r="C3938" s="22">
        <v>45506</v>
      </c>
      <c r="D3938" s="1" t="s">
        <v>8315</v>
      </c>
      <c r="E3938" s="1" t="s">
        <v>3077</v>
      </c>
      <c r="F3938" s="1">
        <v>30</v>
      </c>
      <c r="G3938" s="1" t="s">
        <v>68</v>
      </c>
      <c r="H3938" s="1" t="s">
        <v>25</v>
      </c>
      <c r="I3938" s="1" t="s">
        <v>69</v>
      </c>
      <c r="J3938" s="1" t="s">
        <v>76</v>
      </c>
      <c r="K3938" s="1" t="s">
        <v>207</v>
      </c>
      <c r="L3938" s="1">
        <v>10</v>
      </c>
      <c r="M3938" s="13">
        <v>978.2</v>
      </c>
      <c r="N3938" s="15">
        <v>0.28999999999999998</v>
      </c>
      <c r="O3938" s="13">
        <v>11603.1</v>
      </c>
      <c r="P3938" s="13">
        <v>4868.18</v>
      </c>
      <c r="Q3938" s="13">
        <v>34.04</v>
      </c>
      <c r="R3938" s="1" t="s">
        <v>29</v>
      </c>
      <c r="S3938" s="1">
        <v>3</v>
      </c>
      <c r="T3938" s="1" t="b">
        <v>0</v>
      </c>
      <c r="U3938" s="1" t="s">
        <v>39</v>
      </c>
      <c r="V3938" s="3">
        <v>1</v>
      </c>
    </row>
    <row r="3939" spans="1:22" x14ac:dyDescent="0.3">
      <c r="A3939" s="2" t="s">
        <v>8316</v>
      </c>
      <c r="B3939" s="10">
        <v>44530</v>
      </c>
      <c r="C3939" s="22">
        <v>44530</v>
      </c>
      <c r="D3939" s="1" t="s">
        <v>8317</v>
      </c>
      <c r="E3939" s="1" t="s">
        <v>1285</v>
      </c>
      <c r="F3939" s="1">
        <v>58</v>
      </c>
      <c r="G3939" s="1" t="s">
        <v>68</v>
      </c>
      <c r="H3939" s="1" t="s">
        <v>35</v>
      </c>
      <c r="I3939" s="1" t="s">
        <v>106</v>
      </c>
      <c r="J3939" s="1" t="s">
        <v>146</v>
      </c>
      <c r="K3939" s="1" t="s">
        <v>161</v>
      </c>
      <c r="L3939" s="1">
        <v>10</v>
      </c>
      <c r="M3939" s="13">
        <v>12971.47</v>
      </c>
      <c r="N3939" s="15">
        <v>0.35</v>
      </c>
      <c r="O3939" s="13">
        <v>65353.81</v>
      </c>
      <c r="P3939" s="13">
        <v>15914.47</v>
      </c>
      <c r="Q3939" s="13">
        <v>51.11</v>
      </c>
      <c r="R3939" s="1" t="s">
        <v>70</v>
      </c>
      <c r="S3939" s="1">
        <v>3</v>
      </c>
      <c r="T3939" s="1" t="b">
        <v>0</v>
      </c>
      <c r="U3939" s="1" t="s">
        <v>39</v>
      </c>
      <c r="V3939" s="3">
        <v>7</v>
      </c>
    </row>
    <row r="3940" spans="1:22" x14ac:dyDescent="0.3">
      <c r="A3940" s="2" t="s">
        <v>8318</v>
      </c>
      <c r="B3940" s="10">
        <v>45228</v>
      </c>
      <c r="C3940" s="22">
        <v>45228</v>
      </c>
      <c r="D3940" s="1" t="s">
        <v>8319</v>
      </c>
      <c r="E3940" s="1" t="s">
        <v>324</v>
      </c>
      <c r="F3940" s="1">
        <v>10</v>
      </c>
      <c r="G3940" s="1" t="s">
        <v>68</v>
      </c>
      <c r="H3940" s="1" t="s">
        <v>74</v>
      </c>
      <c r="I3940" s="1" t="s">
        <v>192</v>
      </c>
      <c r="J3940" s="1" t="s">
        <v>127</v>
      </c>
      <c r="K3940" s="1" t="s">
        <v>128</v>
      </c>
      <c r="L3940" s="1">
        <v>5</v>
      </c>
      <c r="M3940" s="13">
        <v>29580.52</v>
      </c>
      <c r="N3940" s="15">
        <v>0.4</v>
      </c>
      <c r="O3940" s="13">
        <v>105263.11</v>
      </c>
      <c r="P3940" s="13">
        <v>15663.51</v>
      </c>
      <c r="Q3940" s="13">
        <v>86.48</v>
      </c>
      <c r="R3940" s="1" t="s">
        <v>64</v>
      </c>
      <c r="S3940" s="1">
        <v>4</v>
      </c>
      <c r="T3940" s="1" t="b">
        <v>0</v>
      </c>
      <c r="U3940" s="1" t="s">
        <v>39</v>
      </c>
      <c r="V3940" s="3">
        <v>2</v>
      </c>
    </row>
    <row r="3941" spans="1:22" x14ac:dyDescent="0.3">
      <c r="A3941" s="2" t="s">
        <v>8320</v>
      </c>
      <c r="B3941" s="10">
        <v>45512</v>
      </c>
      <c r="C3941" s="22">
        <v>45512</v>
      </c>
      <c r="D3941" s="1" t="s">
        <v>8321</v>
      </c>
      <c r="E3941" s="1" t="s">
        <v>569</v>
      </c>
      <c r="F3941" s="1">
        <v>44</v>
      </c>
      <c r="G3941" s="1" t="s">
        <v>24</v>
      </c>
      <c r="H3941" s="1" t="s">
        <v>25</v>
      </c>
      <c r="I3941" s="1" t="s">
        <v>170</v>
      </c>
      <c r="J3941" s="1" t="s">
        <v>127</v>
      </c>
      <c r="K3941" s="1" t="s">
        <v>308</v>
      </c>
      <c r="L3941" s="1">
        <v>3</v>
      </c>
      <c r="M3941" s="13">
        <v>21470.45</v>
      </c>
      <c r="N3941" s="15">
        <v>0.02</v>
      </c>
      <c r="O3941" s="13">
        <v>92585</v>
      </c>
      <c r="P3941" s="13">
        <v>5457.16</v>
      </c>
      <c r="Q3941" s="13">
        <v>77.05</v>
      </c>
      <c r="R3941" s="1" t="s">
        <v>70</v>
      </c>
      <c r="S3941" s="1">
        <v>5</v>
      </c>
      <c r="T3941" s="1" t="b">
        <v>0</v>
      </c>
      <c r="U3941" s="1" t="s">
        <v>39</v>
      </c>
      <c r="V3941" s="3">
        <v>9</v>
      </c>
    </row>
    <row r="3942" spans="1:22" x14ac:dyDescent="0.3">
      <c r="A3942" s="2" t="s">
        <v>8322</v>
      </c>
      <c r="B3942" s="10">
        <v>44205</v>
      </c>
      <c r="C3942" s="22">
        <v>44205</v>
      </c>
      <c r="D3942" s="1" t="s">
        <v>8323</v>
      </c>
      <c r="E3942" s="1" t="s">
        <v>1282</v>
      </c>
      <c r="F3942" s="1">
        <v>48</v>
      </c>
      <c r="G3942" s="1" t="s">
        <v>68</v>
      </c>
      <c r="H3942" s="1" t="s">
        <v>82</v>
      </c>
      <c r="I3942" s="1" t="s">
        <v>126</v>
      </c>
      <c r="J3942" s="1" t="s">
        <v>76</v>
      </c>
      <c r="K3942" s="1" t="s">
        <v>207</v>
      </c>
      <c r="L3942" s="1">
        <v>4</v>
      </c>
      <c r="M3942" s="13">
        <v>1333.04</v>
      </c>
      <c r="N3942" s="15">
        <v>0.15</v>
      </c>
      <c r="O3942" s="13">
        <v>3641.6</v>
      </c>
      <c r="P3942" s="13">
        <v>1576</v>
      </c>
      <c r="Q3942" s="13">
        <v>89.29</v>
      </c>
      <c r="R3942" s="1" t="s">
        <v>57</v>
      </c>
      <c r="S3942" s="1">
        <v>5</v>
      </c>
      <c r="T3942" s="1" t="b">
        <v>0</v>
      </c>
      <c r="U3942" s="1" t="s">
        <v>39</v>
      </c>
      <c r="V3942" s="3">
        <v>9</v>
      </c>
    </row>
    <row r="3943" spans="1:22" x14ac:dyDescent="0.3">
      <c r="A3943" s="2" t="s">
        <v>8324</v>
      </c>
      <c r="B3943" s="10">
        <v>44226</v>
      </c>
      <c r="C3943" s="22">
        <v>44226</v>
      </c>
      <c r="D3943" s="1" t="s">
        <v>8325</v>
      </c>
      <c r="E3943" s="1" t="s">
        <v>354</v>
      </c>
      <c r="F3943" s="1">
        <v>42</v>
      </c>
      <c r="G3943" s="1" t="s">
        <v>68</v>
      </c>
      <c r="H3943" s="1" t="s">
        <v>35</v>
      </c>
      <c r="I3943" s="1" t="s">
        <v>43</v>
      </c>
      <c r="J3943" s="1" t="s">
        <v>44</v>
      </c>
      <c r="K3943" s="1" t="s">
        <v>93</v>
      </c>
      <c r="L3943" s="1">
        <v>2</v>
      </c>
      <c r="M3943" s="13">
        <v>7904.49</v>
      </c>
      <c r="N3943" s="15">
        <v>0.28999999999999998</v>
      </c>
      <c r="O3943" s="13">
        <v>10748.23</v>
      </c>
      <c r="P3943" s="13">
        <v>2246.83</v>
      </c>
      <c r="Q3943" s="13">
        <v>58.23</v>
      </c>
      <c r="R3943" s="1" t="s">
        <v>70</v>
      </c>
      <c r="S3943" s="1">
        <v>3</v>
      </c>
      <c r="T3943" s="1" t="b">
        <v>0</v>
      </c>
      <c r="U3943" s="1" t="s">
        <v>39</v>
      </c>
      <c r="V3943" s="3">
        <v>3</v>
      </c>
    </row>
    <row r="3944" spans="1:22" x14ac:dyDescent="0.3">
      <c r="A3944" s="2" t="s">
        <v>8326</v>
      </c>
      <c r="B3944" s="10">
        <v>44320</v>
      </c>
      <c r="C3944" s="22">
        <v>44320</v>
      </c>
      <c r="D3944" s="1" t="s">
        <v>8327</v>
      </c>
      <c r="E3944" s="1" t="s">
        <v>566</v>
      </c>
      <c r="F3944" s="1">
        <v>21</v>
      </c>
      <c r="G3944" s="1" t="s">
        <v>391</v>
      </c>
      <c r="H3944" s="1" t="s">
        <v>74</v>
      </c>
      <c r="I3944" s="1" t="s">
        <v>75</v>
      </c>
      <c r="J3944" s="1" t="s">
        <v>27</v>
      </c>
      <c r="K3944" s="1" t="s">
        <v>28</v>
      </c>
      <c r="L3944" s="1">
        <v>6</v>
      </c>
      <c r="M3944" s="13">
        <v>195</v>
      </c>
      <c r="N3944" s="15">
        <v>0.01</v>
      </c>
      <c r="O3944" s="13">
        <v>1590.89</v>
      </c>
      <c r="P3944" s="13">
        <v>163.31</v>
      </c>
      <c r="Q3944" s="13">
        <v>46.08</v>
      </c>
      <c r="R3944" s="1" t="s">
        <v>57</v>
      </c>
      <c r="S3944" s="1">
        <v>2</v>
      </c>
      <c r="T3944" s="1" t="b">
        <v>0</v>
      </c>
      <c r="U3944" s="1" t="s">
        <v>84</v>
      </c>
      <c r="V3944" s="3">
        <v>7</v>
      </c>
    </row>
    <row r="3945" spans="1:22" x14ac:dyDescent="0.3">
      <c r="A3945" s="2" t="s">
        <v>8328</v>
      </c>
      <c r="B3945" s="10">
        <v>44376</v>
      </c>
      <c r="C3945" s="22">
        <v>44376</v>
      </c>
      <c r="D3945" s="1" t="s">
        <v>8329</v>
      </c>
      <c r="E3945" s="1" t="s">
        <v>1550</v>
      </c>
      <c r="F3945" s="1">
        <v>36</v>
      </c>
      <c r="G3945" s="1" t="s">
        <v>24</v>
      </c>
      <c r="H3945" s="1" t="s">
        <v>35</v>
      </c>
      <c r="I3945" s="1" t="s">
        <v>43</v>
      </c>
      <c r="J3945" s="1" t="s">
        <v>127</v>
      </c>
      <c r="K3945" s="1" t="s">
        <v>308</v>
      </c>
      <c r="L3945" s="1">
        <v>6</v>
      </c>
      <c r="M3945" s="13">
        <v>35685.360000000001</v>
      </c>
      <c r="N3945" s="15">
        <v>0.3</v>
      </c>
      <c r="O3945" s="13">
        <v>182448.8</v>
      </c>
      <c r="P3945" s="13">
        <v>21541.19</v>
      </c>
      <c r="Q3945" s="13">
        <v>65.92</v>
      </c>
      <c r="R3945" s="1" t="s">
        <v>51</v>
      </c>
      <c r="S3945" s="1">
        <v>4</v>
      </c>
      <c r="T3945" s="1" t="b">
        <v>0</v>
      </c>
      <c r="U3945" s="1" t="s">
        <v>39</v>
      </c>
      <c r="V3945" s="3">
        <v>2</v>
      </c>
    </row>
    <row r="3946" spans="1:22" x14ac:dyDescent="0.3">
      <c r="A3946" s="2" t="s">
        <v>8330</v>
      </c>
      <c r="B3946" s="10">
        <v>44412</v>
      </c>
      <c r="C3946" s="22">
        <v>44412</v>
      </c>
      <c r="D3946" s="1" t="s">
        <v>8331</v>
      </c>
      <c r="E3946" s="1" t="s">
        <v>3040</v>
      </c>
      <c r="F3946" s="1">
        <v>34</v>
      </c>
      <c r="G3946" s="1" t="s">
        <v>34</v>
      </c>
      <c r="H3946" s="1" t="s">
        <v>25</v>
      </c>
      <c r="I3946" s="1" t="s">
        <v>69</v>
      </c>
      <c r="J3946" s="1" t="s">
        <v>27</v>
      </c>
      <c r="K3946" s="1" t="s">
        <v>56</v>
      </c>
      <c r="L3946" s="1">
        <v>9</v>
      </c>
      <c r="M3946" s="13">
        <v>271.01</v>
      </c>
      <c r="N3946" s="15">
        <v>0.02</v>
      </c>
      <c r="O3946" s="13">
        <v>2992.24</v>
      </c>
      <c r="P3946" s="13">
        <v>289.77</v>
      </c>
      <c r="Q3946" s="13">
        <v>60.94</v>
      </c>
      <c r="R3946" s="1" t="s">
        <v>78</v>
      </c>
      <c r="S3946" s="1">
        <v>3</v>
      </c>
      <c r="T3946" s="1" t="b">
        <v>0</v>
      </c>
      <c r="U3946" s="1" t="s">
        <v>39</v>
      </c>
      <c r="V3946" s="3">
        <v>5</v>
      </c>
    </row>
    <row r="3947" spans="1:22" x14ac:dyDescent="0.3">
      <c r="A3947" s="2" t="s">
        <v>8332</v>
      </c>
      <c r="B3947" s="10">
        <v>44652</v>
      </c>
      <c r="C3947" s="22">
        <v>44652</v>
      </c>
      <c r="D3947" s="1" t="s">
        <v>557</v>
      </c>
      <c r="E3947" s="1" t="s">
        <v>905</v>
      </c>
      <c r="F3947" s="1">
        <v>34</v>
      </c>
      <c r="G3947" s="1" t="s">
        <v>34</v>
      </c>
      <c r="H3947" s="1" t="s">
        <v>111</v>
      </c>
      <c r="I3947" s="1" t="s">
        <v>141</v>
      </c>
      <c r="J3947" s="1" t="s">
        <v>37</v>
      </c>
      <c r="K3947" s="1" t="s">
        <v>182</v>
      </c>
      <c r="L3947" s="1">
        <v>4</v>
      </c>
      <c r="M3947" s="13">
        <v>1182.99</v>
      </c>
      <c r="N3947" s="15">
        <v>0.03</v>
      </c>
      <c r="O3947" s="13">
        <v>5426.76</v>
      </c>
      <c r="P3947" s="13">
        <v>3103.03</v>
      </c>
      <c r="Q3947" s="13">
        <v>94.88</v>
      </c>
      <c r="R3947" s="1" t="s">
        <v>29</v>
      </c>
      <c r="S3947" s="1">
        <v>2</v>
      </c>
      <c r="T3947" s="1" t="b">
        <v>0</v>
      </c>
      <c r="U3947" s="1" t="s">
        <v>58</v>
      </c>
      <c r="V3947" s="3">
        <v>1</v>
      </c>
    </row>
    <row r="3948" spans="1:22" x14ac:dyDescent="0.3">
      <c r="A3948" s="2" t="s">
        <v>8333</v>
      </c>
      <c r="B3948" s="10">
        <v>43868</v>
      </c>
      <c r="C3948" s="22">
        <v>43868</v>
      </c>
      <c r="D3948" s="1" t="s">
        <v>8334</v>
      </c>
      <c r="E3948" s="1" t="s">
        <v>370</v>
      </c>
      <c r="F3948" s="1">
        <v>38</v>
      </c>
      <c r="G3948" s="1" t="s">
        <v>24</v>
      </c>
      <c r="H3948" s="1" t="s">
        <v>74</v>
      </c>
      <c r="I3948" s="1" t="s">
        <v>75</v>
      </c>
      <c r="J3948" s="1" t="s">
        <v>146</v>
      </c>
      <c r="K3948" s="1" t="s">
        <v>147</v>
      </c>
      <c r="L3948" s="1">
        <v>3</v>
      </c>
      <c r="M3948" s="13">
        <v>2728.31</v>
      </c>
      <c r="N3948" s="15">
        <v>0.24</v>
      </c>
      <c r="O3948" s="13">
        <v>5207.6400000000003</v>
      </c>
      <c r="P3948" s="13">
        <v>802.54</v>
      </c>
      <c r="Q3948" s="13">
        <v>36.26</v>
      </c>
      <c r="R3948" s="1" t="s">
        <v>70</v>
      </c>
      <c r="S3948" s="1">
        <v>1</v>
      </c>
      <c r="T3948" s="1" t="b">
        <v>1</v>
      </c>
      <c r="U3948" s="1" t="s">
        <v>30</v>
      </c>
      <c r="V3948" s="3">
        <v>10</v>
      </c>
    </row>
    <row r="3949" spans="1:22" x14ac:dyDescent="0.3">
      <c r="A3949" s="2" t="s">
        <v>8335</v>
      </c>
      <c r="B3949" s="10">
        <v>45650</v>
      </c>
      <c r="C3949" s="22">
        <v>45650</v>
      </c>
      <c r="D3949" s="1" t="s">
        <v>8336</v>
      </c>
      <c r="E3949" s="1" t="s">
        <v>1638</v>
      </c>
      <c r="F3949" s="1">
        <v>34</v>
      </c>
      <c r="G3949" s="1" t="s">
        <v>34</v>
      </c>
      <c r="H3949" s="1" t="s">
        <v>82</v>
      </c>
      <c r="I3949" s="1" t="s">
        <v>126</v>
      </c>
      <c r="J3949" s="1" t="s">
        <v>44</v>
      </c>
      <c r="K3949" s="1" t="s">
        <v>117</v>
      </c>
      <c r="L3949" s="1">
        <v>9</v>
      </c>
      <c r="M3949" s="13">
        <v>17949.599999999999</v>
      </c>
      <c r="N3949" s="15">
        <v>0.08</v>
      </c>
      <c r="O3949" s="13">
        <v>129636.87</v>
      </c>
      <c r="P3949" s="13">
        <v>41301.730000000003</v>
      </c>
      <c r="Q3949" s="13">
        <v>79.91</v>
      </c>
      <c r="R3949" s="1" t="s">
        <v>78</v>
      </c>
      <c r="S3949" s="1">
        <v>5</v>
      </c>
      <c r="T3949" s="1" t="b">
        <v>0</v>
      </c>
      <c r="U3949" s="1" t="s">
        <v>39</v>
      </c>
      <c r="V3949" s="3">
        <v>3</v>
      </c>
    </row>
    <row r="3950" spans="1:22" x14ac:dyDescent="0.3">
      <c r="A3950" s="2" t="s">
        <v>8337</v>
      </c>
      <c r="B3950" s="10">
        <v>44881</v>
      </c>
      <c r="C3950" s="22">
        <v>44881</v>
      </c>
      <c r="D3950" s="1" t="s">
        <v>8338</v>
      </c>
      <c r="E3950" s="1" t="s">
        <v>33</v>
      </c>
      <c r="F3950" s="1">
        <v>35</v>
      </c>
      <c r="G3950" s="1" t="s">
        <v>68</v>
      </c>
      <c r="H3950" s="1" t="s">
        <v>74</v>
      </c>
      <c r="I3950" s="1" t="s">
        <v>75</v>
      </c>
      <c r="J3950" s="1" t="s">
        <v>44</v>
      </c>
      <c r="K3950" s="1" t="s">
        <v>221</v>
      </c>
      <c r="L3950" s="1">
        <v>4</v>
      </c>
      <c r="M3950" s="13">
        <v>9446.44</v>
      </c>
      <c r="N3950" s="15">
        <v>0.3</v>
      </c>
      <c r="O3950" s="13">
        <v>22683.91</v>
      </c>
      <c r="P3950" s="13">
        <v>5513.68</v>
      </c>
      <c r="Q3950" s="13">
        <v>58.8</v>
      </c>
      <c r="R3950" s="1" t="s">
        <v>29</v>
      </c>
      <c r="S3950" s="1">
        <v>5</v>
      </c>
      <c r="T3950" s="1" t="b">
        <v>0</v>
      </c>
      <c r="U3950" s="1" t="s">
        <v>84</v>
      </c>
      <c r="V3950" s="3">
        <v>9</v>
      </c>
    </row>
    <row r="3951" spans="1:22" x14ac:dyDescent="0.3">
      <c r="A3951" s="2" t="s">
        <v>8339</v>
      </c>
      <c r="B3951" s="10">
        <v>44100</v>
      </c>
      <c r="C3951" s="22">
        <v>44100</v>
      </c>
      <c r="D3951" s="1" t="s">
        <v>8340</v>
      </c>
      <c r="E3951" s="1" t="s">
        <v>1067</v>
      </c>
      <c r="F3951" s="1">
        <v>39</v>
      </c>
      <c r="G3951" s="1" t="s">
        <v>24</v>
      </c>
      <c r="H3951" s="1" t="s">
        <v>111</v>
      </c>
      <c r="I3951" s="1" t="s">
        <v>330</v>
      </c>
      <c r="J3951" s="1" t="s">
        <v>37</v>
      </c>
      <c r="K3951" s="1" t="s">
        <v>671</v>
      </c>
      <c r="L3951" s="1">
        <v>7</v>
      </c>
      <c r="M3951" s="13">
        <v>387.9</v>
      </c>
      <c r="N3951" s="15">
        <v>0.09</v>
      </c>
      <c r="O3951" s="13">
        <v>2585.0300000000002</v>
      </c>
      <c r="P3951" s="13">
        <v>1269.6300000000001</v>
      </c>
      <c r="Q3951" s="13">
        <v>57.88</v>
      </c>
      <c r="R3951" s="1" t="s">
        <v>51</v>
      </c>
      <c r="S3951" s="1">
        <v>1</v>
      </c>
      <c r="T3951" s="1" t="b">
        <v>0</v>
      </c>
      <c r="U3951" s="1" t="s">
        <v>58</v>
      </c>
      <c r="V3951" s="3">
        <v>3</v>
      </c>
    </row>
    <row r="3952" spans="1:22" x14ac:dyDescent="0.3">
      <c r="A3952" s="2" t="s">
        <v>8341</v>
      </c>
      <c r="B3952" s="10">
        <v>45174</v>
      </c>
      <c r="C3952" s="22">
        <v>45174</v>
      </c>
      <c r="D3952" s="1" t="s">
        <v>8342</v>
      </c>
      <c r="E3952" s="1" t="s">
        <v>1907</v>
      </c>
      <c r="F3952" s="1">
        <v>48</v>
      </c>
      <c r="G3952" s="1" t="s">
        <v>24</v>
      </c>
      <c r="H3952" s="1" t="s">
        <v>111</v>
      </c>
      <c r="I3952" s="1" t="s">
        <v>330</v>
      </c>
      <c r="J3952" s="1" t="s">
        <v>76</v>
      </c>
      <c r="K3952" s="1" t="s">
        <v>122</v>
      </c>
      <c r="L3952" s="1">
        <v>8</v>
      </c>
      <c r="M3952" s="13">
        <v>771.59</v>
      </c>
      <c r="N3952" s="15">
        <v>0.37</v>
      </c>
      <c r="O3952" s="13">
        <v>4477.38</v>
      </c>
      <c r="P3952" s="13">
        <v>1547</v>
      </c>
      <c r="Q3952" s="13">
        <v>66.22</v>
      </c>
      <c r="R3952" s="1" t="s">
        <v>57</v>
      </c>
      <c r="S3952" s="1">
        <v>5</v>
      </c>
      <c r="T3952" s="1" t="b">
        <v>0</v>
      </c>
      <c r="U3952" s="1" t="s">
        <v>39</v>
      </c>
      <c r="V3952" s="3">
        <v>2</v>
      </c>
    </row>
    <row r="3953" spans="1:22" x14ac:dyDescent="0.3">
      <c r="A3953" s="2" t="s">
        <v>8343</v>
      </c>
      <c r="B3953" s="10">
        <v>44761</v>
      </c>
      <c r="C3953" s="22">
        <v>44761</v>
      </c>
      <c r="D3953" s="1" t="s">
        <v>8344</v>
      </c>
      <c r="E3953" s="1" t="s">
        <v>1099</v>
      </c>
      <c r="F3953" s="1">
        <v>58</v>
      </c>
      <c r="G3953" s="1" t="s">
        <v>68</v>
      </c>
      <c r="H3953" s="1" t="s">
        <v>82</v>
      </c>
      <c r="I3953" s="1" t="s">
        <v>293</v>
      </c>
      <c r="J3953" s="1" t="s">
        <v>44</v>
      </c>
      <c r="K3953" s="1" t="s">
        <v>93</v>
      </c>
      <c r="L3953" s="1">
        <v>8</v>
      </c>
      <c r="M3953" s="13">
        <v>6806.19</v>
      </c>
      <c r="N3953" s="15">
        <v>0.1</v>
      </c>
      <c r="O3953" s="13">
        <v>67597</v>
      </c>
      <c r="P3953" s="13">
        <v>26754.18</v>
      </c>
      <c r="Q3953" s="13">
        <v>63.82</v>
      </c>
      <c r="R3953" s="1" t="s">
        <v>57</v>
      </c>
      <c r="S3953" s="1">
        <v>5</v>
      </c>
      <c r="T3953" s="1" t="b">
        <v>0</v>
      </c>
      <c r="U3953" s="1" t="s">
        <v>39</v>
      </c>
      <c r="V3953" s="3">
        <v>1</v>
      </c>
    </row>
    <row r="3954" spans="1:22" x14ac:dyDescent="0.3">
      <c r="A3954" s="2" t="s">
        <v>8345</v>
      </c>
      <c r="B3954" s="10">
        <v>44075</v>
      </c>
      <c r="C3954" s="22">
        <v>44075</v>
      </c>
      <c r="D3954" s="1" t="s">
        <v>8346</v>
      </c>
      <c r="E3954" s="1" t="s">
        <v>449</v>
      </c>
      <c r="F3954" s="1">
        <v>21</v>
      </c>
      <c r="G3954" s="1" t="s">
        <v>24</v>
      </c>
      <c r="H3954" s="1" t="s">
        <v>82</v>
      </c>
      <c r="I3954" s="1" t="s">
        <v>126</v>
      </c>
      <c r="J3954" s="1" t="s">
        <v>27</v>
      </c>
      <c r="K3954" s="1" t="s">
        <v>450</v>
      </c>
      <c r="L3954" s="1">
        <v>4</v>
      </c>
      <c r="M3954" s="13">
        <v>119.74</v>
      </c>
      <c r="N3954" s="15">
        <v>0.21</v>
      </c>
      <c r="O3954" s="13">
        <v>435.44</v>
      </c>
      <c r="P3954" s="13">
        <v>24.64</v>
      </c>
      <c r="Q3954" s="13">
        <v>108.57</v>
      </c>
      <c r="R3954" s="1" t="s">
        <v>51</v>
      </c>
      <c r="S3954" s="1">
        <v>3</v>
      </c>
      <c r="T3954" s="1" t="b">
        <v>0</v>
      </c>
      <c r="U3954" s="1" t="s">
        <v>39</v>
      </c>
      <c r="V3954" s="3">
        <v>6</v>
      </c>
    </row>
    <row r="3955" spans="1:22" x14ac:dyDescent="0.3">
      <c r="A3955" s="2" t="s">
        <v>8347</v>
      </c>
      <c r="B3955" s="10">
        <v>45223</v>
      </c>
      <c r="C3955" s="22">
        <v>45223</v>
      </c>
      <c r="D3955" s="1" t="s">
        <v>8348</v>
      </c>
      <c r="E3955" s="1" t="s">
        <v>716</v>
      </c>
      <c r="F3955" s="1">
        <v>44</v>
      </c>
      <c r="G3955" s="1" t="s">
        <v>24</v>
      </c>
      <c r="H3955" s="1" t="s">
        <v>35</v>
      </c>
      <c r="I3955" s="1" t="s">
        <v>49</v>
      </c>
      <c r="J3955" s="1" t="s">
        <v>62</v>
      </c>
      <c r="K3955" s="1" t="s">
        <v>266</v>
      </c>
      <c r="L3955" s="1">
        <v>6</v>
      </c>
      <c r="M3955" s="13">
        <v>1199.21</v>
      </c>
      <c r="N3955" s="15">
        <v>0.09</v>
      </c>
      <c r="O3955" s="13">
        <v>7876.86</v>
      </c>
      <c r="P3955" s="13">
        <v>3776.83</v>
      </c>
      <c r="Q3955" s="13">
        <v>61.99</v>
      </c>
      <c r="R3955" s="1" t="s">
        <v>51</v>
      </c>
      <c r="S3955" s="1">
        <v>5</v>
      </c>
      <c r="T3955" s="1" t="b">
        <v>0</v>
      </c>
      <c r="U3955" s="1" t="s">
        <v>137</v>
      </c>
      <c r="V3955" s="3">
        <v>3</v>
      </c>
    </row>
    <row r="3956" spans="1:22" x14ac:dyDescent="0.3">
      <c r="A3956" s="2" t="s">
        <v>8349</v>
      </c>
      <c r="B3956" s="10">
        <v>44828</v>
      </c>
      <c r="C3956" s="22">
        <v>44828</v>
      </c>
      <c r="D3956" s="1" t="s">
        <v>8350</v>
      </c>
      <c r="E3956" s="1" t="s">
        <v>496</v>
      </c>
      <c r="F3956" s="1">
        <v>30</v>
      </c>
      <c r="G3956" s="1" t="s">
        <v>24</v>
      </c>
      <c r="H3956" s="1" t="s">
        <v>74</v>
      </c>
      <c r="I3956" s="1" t="s">
        <v>75</v>
      </c>
      <c r="J3956" s="1" t="s">
        <v>62</v>
      </c>
      <c r="K3956" s="1" t="s">
        <v>266</v>
      </c>
      <c r="L3956" s="1">
        <v>5</v>
      </c>
      <c r="M3956" s="13">
        <v>1447.1</v>
      </c>
      <c r="N3956" s="15">
        <v>7.0000000000000007E-2</v>
      </c>
      <c r="O3956" s="13">
        <v>1543.04</v>
      </c>
      <c r="P3956" s="13">
        <v>589.91</v>
      </c>
      <c r="Q3956" s="13">
        <v>58.15</v>
      </c>
      <c r="R3956" s="1" t="s">
        <v>64</v>
      </c>
      <c r="S3956" s="1">
        <v>3</v>
      </c>
      <c r="T3956" s="1" t="b">
        <v>0</v>
      </c>
      <c r="U3956" s="1" t="s">
        <v>39</v>
      </c>
      <c r="V3956" s="3">
        <v>2</v>
      </c>
    </row>
    <row r="3957" spans="1:22" x14ac:dyDescent="0.3">
      <c r="A3957" s="2" t="s">
        <v>8351</v>
      </c>
      <c r="B3957" s="10">
        <v>44041</v>
      </c>
      <c r="C3957" s="22">
        <v>44041</v>
      </c>
      <c r="D3957" s="1" t="s">
        <v>8352</v>
      </c>
      <c r="E3957" s="1" t="s">
        <v>415</v>
      </c>
      <c r="F3957" s="1">
        <v>46</v>
      </c>
      <c r="G3957" s="1" t="s">
        <v>68</v>
      </c>
      <c r="H3957" s="1" t="s">
        <v>35</v>
      </c>
      <c r="I3957" s="1" t="s">
        <v>43</v>
      </c>
      <c r="J3957" s="1" t="s">
        <v>76</v>
      </c>
      <c r="K3957" s="1" t="s">
        <v>113</v>
      </c>
      <c r="L3957" s="1">
        <v>7</v>
      </c>
      <c r="M3957" s="13">
        <v>359.64</v>
      </c>
      <c r="N3957" s="15">
        <v>0.12</v>
      </c>
      <c r="O3957" s="13">
        <v>2673.78</v>
      </c>
      <c r="P3957" s="13">
        <v>1271.43</v>
      </c>
      <c r="Q3957" s="13">
        <v>58.05</v>
      </c>
      <c r="R3957" s="1" t="s">
        <v>29</v>
      </c>
      <c r="S3957" s="1">
        <v>3</v>
      </c>
      <c r="T3957" s="1" t="b">
        <v>0</v>
      </c>
      <c r="U3957" s="1" t="s">
        <v>39</v>
      </c>
      <c r="V3957" s="3">
        <v>3</v>
      </c>
    </row>
    <row r="3958" spans="1:22" x14ac:dyDescent="0.3">
      <c r="A3958" s="2" t="s">
        <v>8353</v>
      </c>
      <c r="B3958" s="10">
        <v>44503</v>
      </c>
      <c r="C3958" s="22">
        <v>44503</v>
      </c>
      <c r="D3958" s="1" t="s">
        <v>3863</v>
      </c>
      <c r="E3958" s="1" t="s">
        <v>403</v>
      </c>
      <c r="F3958" s="1">
        <v>34</v>
      </c>
      <c r="G3958" s="1" t="s">
        <v>68</v>
      </c>
      <c r="H3958" s="1" t="s">
        <v>25</v>
      </c>
      <c r="I3958" s="1" t="s">
        <v>69</v>
      </c>
      <c r="J3958" s="1" t="s">
        <v>62</v>
      </c>
      <c r="K3958" s="1" t="s">
        <v>151</v>
      </c>
      <c r="L3958" s="1">
        <v>7</v>
      </c>
      <c r="M3958" s="13">
        <v>1014.7</v>
      </c>
      <c r="N3958" s="15">
        <v>7.0000000000000007E-2</v>
      </c>
      <c r="O3958" s="13">
        <v>5508.78</v>
      </c>
      <c r="P3958" s="13">
        <v>1716.12</v>
      </c>
      <c r="Q3958" s="13">
        <v>31.99</v>
      </c>
      <c r="R3958" s="1" t="s">
        <v>29</v>
      </c>
      <c r="S3958" s="1">
        <v>2</v>
      </c>
      <c r="T3958" s="1" t="b">
        <v>0</v>
      </c>
      <c r="U3958" s="1" t="s">
        <v>39</v>
      </c>
      <c r="V3958" s="3">
        <v>8</v>
      </c>
    </row>
    <row r="3959" spans="1:22" x14ac:dyDescent="0.3">
      <c r="A3959" s="2" t="s">
        <v>8354</v>
      </c>
      <c r="B3959" s="10">
        <v>43923</v>
      </c>
      <c r="C3959" s="22">
        <v>43923</v>
      </c>
      <c r="D3959" s="1" t="s">
        <v>8355</v>
      </c>
      <c r="E3959" s="1" t="s">
        <v>3518</v>
      </c>
      <c r="F3959" s="1">
        <v>33</v>
      </c>
      <c r="G3959" s="1" t="s">
        <v>34</v>
      </c>
      <c r="H3959" s="1" t="s">
        <v>25</v>
      </c>
      <c r="I3959" s="1" t="s">
        <v>55</v>
      </c>
      <c r="J3959" s="1" t="s">
        <v>37</v>
      </c>
      <c r="K3959" s="1" t="s">
        <v>102</v>
      </c>
      <c r="L3959" s="1">
        <v>3</v>
      </c>
      <c r="M3959" s="13">
        <v>538.36</v>
      </c>
      <c r="N3959" s="15">
        <v>0.03</v>
      </c>
      <c r="O3959" s="13">
        <v>1938.58</v>
      </c>
      <c r="P3959" s="13">
        <v>978.3</v>
      </c>
      <c r="Q3959" s="13">
        <v>42</v>
      </c>
      <c r="R3959" s="1" t="s">
        <v>78</v>
      </c>
      <c r="S3959" s="1">
        <v>1</v>
      </c>
      <c r="T3959" s="1" t="b">
        <v>0</v>
      </c>
      <c r="U3959" s="1" t="s">
        <v>39</v>
      </c>
      <c r="V3959" s="3">
        <v>10</v>
      </c>
    </row>
    <row r="3960" spans="1:22" x14ac:dyDescent="0.3">
      <c r="A3960" s="2" t="s">
        <v>8356</v>
      </c>
      <c r="B3960" s="10">
        <v>45359</v>
      </c>
      <c r="C3960" s="22">
        <v>45359</v>
      </c>
      <c r="D3960" s="1" t="s">
        <v>8357</v>
      </c>
      <c r="E3960" s="1" t="s">
        <v>150</v>
      </c>
      <c r="F3960" s="1">
        <v>45</v>
      </c>
      <c r="G3960" s="1" t="s">
        <v>24</v>
      </c>
      <c r="H3960" s="1" t="s">
        <v>82</v>
      </c>
      <c r="I3960" s="1" t="s">
        <v>126</v>
      </c>
      <c r="J3960" s="1" t="s">
        <v>127</v>
      </c>
      <c r="K3960" s="1" t="s">
        <v>308</v>
      </c>
      <c r="L3960" s="1">
        <v>7</v>
      </c>
      <c r="M3960" s="13">
        <v>70949.08</v>
      </c>
      <c r="N3960" s="15">
        <v>0.21</v>
      </c>
      <c r="O3960" s="13">
        <v>539413.9</v>
      </c>
      <c r="P3960" s="13">
        <v>58300.98</v>
      </c>
      <c r="Q3960" s="13">
        <v>79.98</v>
      </c>
      <c r="R3960" s="1" t="s">
        <v>64</v>
      </c>
      <c r="S3960" s="1">
        <v>4</v>
      </c>
      <c r="T3960" s="1" t="b">
        <v>0</v>
      </c>
      <c r="U3960" s="1" t="s">
        <v>137</v>
      </c>
      <c r="V3960" s="3">
        <v>4</v>
      </c>
    </row>
    <row r="3961" spans="1:22" x14ac:dyDescent="0.3">
      <c r="A3961" s="2" t="s">
        <v>8358</v>
      </c>
      <c r="B3961" s="10">
        <v>45631</v>
      </c>
      <c r="C3961" s="22">
        <v>45631</v>
      </c>
      <c r="D3961" s="1" t="s">
        <v>8359</v>
      </c>
      <c r="E3961" s="1" t="s">
        <v>1550</v>
      </c>
      <c r="F3961" s="1">
        <v>46</v>
      </c>
      <c r="G3961" s="1" t="s">
        <v>24</v>
      </c>
      <c r="H3961" s="1" t="s">
        <v>35</v>
      </c>
      <c r="I3961" s="1" t="s">
        <v>106</v>
      </c>
      <c r="J3961" s="1" t="s">
        <v>27</v>
      </c>
      <c r="K3961" s="1" t="s">
        <v>97</v>
      </c>
      <c r="L3961" s="1">
        <v>3</v>
      </c>
      <c r="M3961" s="13">
        <v>461.92</v>
      </c>
      <c r="N3961" s="15">
        <v>0.09</v>
      </c>
      <c r="O3961" s="13">
        <v>1136.17</v>
      </c>
      <c r="P3961" s="13">
        <v>111.05</v>
      </c>
      <c r="Q3961" s="13">
        <v>92.19</v>
      </c>
      <c r="R3961" s="1" t="s">
        <v>57</v>
      </c>
      <c r="S3961" s="1">
        <v>3</v>
      </c>
      <c r="T3961" s="1" t="b">
        <v>0</v>
      </c>
      <c r="U3961" s="1" t="s">
        <v>84</v>
      </c>
      <c r="V3961" s="3">
        <v>1</v>
      </c>
    </row>
    <row r="3962" spans="1:22" x14ac:dyDescent="0.3">
      <c r="A3962" s="2" t="s">
        <v>8360</v>
      </c>
      <c r="B3962" s="10">
        <v>44540</v>
      </c>
      <c r="C3962" s="22">
        <v>44540</v>
      </c>
      <c r="D3962" s="1" t="s">
        <v>8361</v>
      </c>
      <c r="E3962" s="1" t="s">
        <v>1447</v>
      </c>
      <c r="F3962" s="1">
        <v>29</v>
      </c>
      <c r="G3962" s="1" t="s">
        <v>68</v>
      </c>
      <c r="H3962" s="1" t="s">
        <v>82</v>
      </c>
      <c r="I3962" s="1" t="s">
        <v>83</v>
      </c>
      <c r="J3962" s="1" t="s">
        <v>146</v>
      </c>
      <c r="K3962" s="1" t="s">
        <v>147</v>
      </c>
      <c r="L3962" s="1">
        <v>8</v>
      </c>
      <c r="M3962" s="13">
        <v>14455.23</v>
      </c>
      <c r="N3962" s="15">
        <v>7.0000000000000007E-2</v>
      </c>
      <c r="O3962" s="13">
        <v>81451.899999999994</v>
      </c>
      <c r="P3962" s="13">
        <v>14095.31</v>
      </c>
      <c r="Q3962" s="13">
        <v>69.38</v>
      </c>
      <c r="R3962" s="1" t="s">
        <v>70</v>
      </c>
      <c r="S3962" s="1">
        <v>1</v>
      </c>
      <c r="T3962" s="1" t="b">
        <v>0</v>
      </c>
      <c r="U3962" s="1" t="s">
        <v>39</v>
      </c>
      <c r="V3962" s="3">
        <v>1</v>
      </c>
    </row>
    <row r="3963" spans="1:22" x14ac:dyDescent="0.3">
      <c r="A3963" s="2" t="s">
        <v>8362</v>
      </c>
      <c r="B3963" s="10">
        <v>44723</v>
      </c>
      <c r="C3963" s="22">
        <v>44723</v>
      </c>
      <c r="D3963" s="1" t="s">
        <v>8363</v>
      </c>
      <c r="E3963" s="1" t="s">
        <v>716</v>
      </c>
      <c r="F3963" s="1">
        <v>39</v>
      </c>
      <c r="G3963" s="1" t="s">
        <v>68</v>
      </c>
      <c r="H3963" s="1" t="s">
        <v>35</v>
      </c>
      <c r="I3963" s="1" t="s">
        <v>106</v>
      </c>
      <c r="J3963" s="1" t="s">
        <v>62</v>
      </c>
      <c r="K3963" s="1" t="s">
        <v>266</v>
      </c>
      <c r="L3963" s="1">
        <v>7</v>
      </c>
      <c r="M3963" s="13">
        <v>1326.05</v>
      </c>
      <c r="N3963" s="15">
        <v>0.17</v>
      </c>
      <c r="O3963" s="13">
        <v>12840.19</v>
      </c>
      <c r="P3963" s="13">
        <v>5604.53</v>
      </c>
      <c r="Q3963" s="13">
        <v>48.98</v>
      </c>
      <c r="R3963" s="1" t="s">
        <v>57</v>
      </c>
      <c r="S3963" s="1">
        <v>3</v>
      </c>
      <c r="T3963" s="1" t="b">
        <v>1</v>
      </c>
      <c r="U3963" s="1" t="s">
        <v>30</v>
      </c>
      <c r="V3963" s="3">
        <v>3</v>
      </c>
    </row>
    <row r="3964" spans="1:22" x14ac:dyDescent="0.3">
      <c r="A3964" s="2" t="s">
        <v>8364</v>
      </c>
      <c r="B3964" s="10">
        <v>44861</v>
      </c>
      <c r="C3964" s="22">
        <v>44861</v>
      </c>
      <c r="D3964" s="1" t="s">
        <v>8365</v>
      </c>
      <c r="E3964" s="1" t="s">
        <v>135</v>
      </c>
      <c r="F3964" s="1">
        <v>34</v>
      </c>
      <c r="G3964" s="1" t="s">
        <v>24</v>
      </c>
      <c r="H3964" s="1" t="s">
        <v>111</v>
      </c>
      <c r="I3964" s="1" t="s">
        <v>112</v>
      </c>
      <c r="J3964" s="1" t="s">
        <v>127</v>
      </c>
      <c r="K3964" s="1" t="s">
        <v>171</v>
      </c>
      <c r="L3964" s="1">
        <v>6</v>
      </c>
      <c r="M3964" s="13">
        <v>35566.78</v>
      </c>
      <c r="N3964" s="15">
        <v>0.17</v>
      </c>
      <c r="O3964" s="13">
        <v>207943.15</v>
      </c>
      <c r="P3964" s="13">
        <v>27899.279999999999</v>
      </c>
      <c r="Q3964" s="13">
        <v>65.72</v>
      </c>
      <c r="R3964" s="1" t="s">
        <v>64</v>
      </c>
      <c r="S3964" s="1">
        <v>5</v>
      </c>
      <c r="T3964" s="1" t="b">
        <v>0</v>
      </c>
      <c r="U3964" s="1" t="s">
        <v>58</v>
      </c>
      <c r="V3964" s="3">
        <v>3</v>
      </c>
    </row>
    <row r="3965" spans="1:22" x14ac:dyDescent="0.3">
      <c r="A3965" s="2" t="s">
        <v>8366</v>
      </c>
      <c r="B3965" s="10">
        <v>44907</v>
      </c>
      <c r="C3965" s="22">
        <v>44907</v>
      </c>
      <c r="D3965" s="1" t="s">
        <v>8367</v>
      </c>
      <c r="E3965" s="1" t="s">
        <v>1108</v>
      </c>
      <c r="F3965" s="1">
        <v>30</v>
      </c>
      <c r="G3965" s="1" t="s">
        <v>24</v>
      </c>
      <c r="H3965" s="1" t="s">
        <v>35</v>
      </c>
      <c r="I3965" s="1" t="s">
        <v>36</v>
      </c>
      <c r="J3965" s="1" t="s">
        <v>27</v>
      </c>
      <c r="K3965" s="1" t="s">
        <v>430</v>
      </c>
      <c r="L3965" s="1">
        <v>10</v>
      </c>
      <c r="M3965" s="13">
        <v>93.18</v>
      </c>
      <c r="N3965" s="15">
        <v>0.11</v>
      </c>
      <c r="O3965" s="13">
        <v>717.1</v>
      </c>
      <c r="P3965" s="13">
        <v>61.36</v>
      </c>
      <c r="Q3965" s="13">
        <v>39.090000000000003</v>
      </c>
      <c r="R3965" s="1" t="s">
        <v>57</v>
      </c>
      <c r="S3965" s="1">
        <v>1</v>
      </c>
      <c r="T3965" s="1" t="b">
        <v>0</v>
      </c>
      <c r="U3965" s="1" t="s">
        <v>39</v>
      </c>
      <c r="V3965" s="3">
        <v>8</v>
      </c>
    </row>
    <row r="3966" spans="1:22" x14ac:dyDescent="0.3">
      <c r="A3966" s="2" t="s">
        <v>8368</v>
      </c>
      <c r="B3966" s="10">
        <v>43954</v>
      </c>
      <c r="C3966" s="22">
        <v>43954</v>
      </c>
      <c r="D3966" s="1" t="s">
        <v>8369</v>
      </c>
      <c r="E3966" s="1" t="s">
        <v>719</v>
      </c>
      <c r="F3966" s="1">
        <v>59</v>
      </c>
      <c r="G3966" s="1" t="s">
        <v>24</v>
      </c>
      <c r="H3966" s="1" t="s">
        <v>111</v>
      </c>
      <c r="I3966" s="1" t="s">
        <v>141</v>
      </c>
      <c r="J3966" s="1" t="s">
        <v>27</v>
      </c>
      <c r="K3966" s="1" t="s">
        <v>97</v>
      </c>
      <c r="L3966" s="1">
        <v>10</v>
      </c>
      <c r="M3966" s="13">
        <v>217.3</v>
      </c>
      <c r="N3966" s="15">
        <v>0.05</v>
      </c>
      <c r="O3966" s="13">
        <v>2227.02</v>
      </c>
      <c r="P3966" s="13">
        <v>142.65</v>
      </c>
      <c r="Q3966" s="13">
        <v>53.01</v>
      </c>
      <c r="R3966" s="1" t="s">
        <v>29</v>
      </c>
      <c r="S3966" s="1">
        <v>5</v>
      </c>
      <c r="T3966" s="1" t="b">
        <v>0</v>
      </c>
      <c r="U3966" s="1" t="s">
        <v>39</v>
      </c>
      <c r="V3966" s="3">
        <v>7</v>
      </c>
    </row>
    <row r="3967" spans="1:22" x14ac:dyDescent="0.3">
      <c r="A3967" s="2" t="s">
        <v>8370</v>
      </c>
      <c r="B3967" s="10">
        <v>44055</v>
      </c>
      <c r="C3967" s="22">
        <v>44055</v>
      </c>
      <c r="D3967" s="1" t="s">
        <v>8371</v>
      </c>
      <c r="E3967" s="1" t="s">
        <v>390</v>
      </c>
      <c r="F3967" s="1">
        <v>23</v>
      </c>
      <c r="G3967" s="1" t="s">
        <v>24</v>
      </c>
      <c r="H3967" s="1" t="s">
        <v>74</v>
      </c>
      <c r="I3967" s="1" t="s">
        <v>192</v>
      </c>
      <c r="J3967" s="1" t="s">
        <v>127</v>
      </c>
      <c r="K3967" s="1" t="s">
        <v>142</v>
      </c>
      <c r="L3967" s="1">
        <v>8</v>
      </c>
      <c r="M3967" s="13">
        <v>61264.42</v>
      </c>
      <c r="N3967" s="15">
        <v>0.05</v>
      </c>
      <c r="O3967" s="13">
        <v>463985.67</v>
      </c>
      <c r="P3967" s="13">
        <v>82726.06</v>
      </c>
      <c r="Q3967" s="13">
        <v>50.65</v>
      </c>
      <c r="R3967" s="1" t="s">
        <v>70</v>
      </c>
      <c r="S3967" s="1">
        <v>2</v>
      </c>
      <c r="T3967" s="1" t="b">
        <v>1</v>
      </c>
      <c r="U3967" s="1" t="s">
        <v>30</v>
      </c>
      <c r="V3967" s="3">
        <v>7</v>
      </c>
    </row>
    <row r="3968" spans="1:22" x14ac:dyDescent="0.3">
      <c r="A3968" s="2" t="s">
        <v>8372</v>
      </c>
      <c r="B3968" s="10">
        <v>44431</v>
      </c>
      <c r="C3968" s="22">
        <v>44431</v>
      </c>
      <c r="D3968" s="1" t="s">
        <v>8373</v>
      </c>
      <c r="E3968" s="1" t="s">
        <v>1300</v>
      </c>
      <c r="F3968" s="1">
        <v>20</v>
      </c>
      <c r="G3968" s="1" t="s">
        <v>68</v>
      </c>
      <c r="H3968" s="1" t="s">
        <v>35</v>
      </c>
      <c r="I3968" s="1" t="s">
        <v>106</v>
      </c>
      <c r="J3968" s="1" t="s">
        <v>37</v>
      </c>
      <c r="K3968" s="1" t="s">
        <v>231</v>
      </c>
      <c r="L3968" s="1">
        <v>10</v>
      </c>
      <c r="M3968" s="13">
        <v>547</v>
      </c>
      <c r="N3968" s="15">
        <v>0.32</v>
      </c>
      <c r="O3968" s="13">
        <v>4726.28</v>
      </c>
      <c r="P3968" s="13">
        <v>2513.67</v>
      </c>
      <c r="Q3968" s="13">
        <v>65.08</v>
      </c>
      <c r="R3968" s="1" t="s">
        <v>64</v>
      </c>
      <c r="S3968" s="1">
        <v>2</v>
      </c>
      <c r="T3968" s="1" t="b">
        <v>0</v>
      </c>
      <c r="U3968" s="1" t="s">
        <v>84</v>
      </c>
      <c r="V3968" s="3">
        <v>7</v>
      </c>
    </row>
    <row r="3969" spans="1:22" x14ac:dyDescent="0.3">
      <c r="A3969" s="2" t="s">
        <v>8374</v>
      </c>
      <c r="B3969" s="10">
        <v>44844</v>
      </c>
      <c r="C3969" s="22">
        <v>44844</v>
      </c>
      <c r="D3969" s="1" t="s">
        <v>8375</v>
      </c>
      <c r="E3969" s="1" t="s">
        <v>520</v>
      </c>
      <c r="F3969" s="1">
        <v>43</v>
      </c>
      <c r="G3969" s="1" t="s">
        <v>34</v>
      </c>
      <c r="H3969" s="1" t="s">
        <v>82</v>
      </c>
      <c r="I3969" s="1" t="s">
        <v>293</v>
      </c>
      <c r="J3969" s="1" t="s">
        <v>62</v>
      </c>
      <c r="K3969" s="1" t="s">
        <v>151</v>
      </c>
      <c r="L3969" s="1">
        <v>1</v>
      </c>
      <c r="M3969" s="13">
        <v>269.23</v>
      </c>
      <c r="N3969" s="15">
        <v>0.35</v>
      </c>
      <c r="O3969" s="13">
        <v>146.46</v>
      </c>
      <c r="P3969" s="13">
        <v>51.64</v>
      </c>
      <c r="Q3969" s="13">
        <v>77.260000000000005</v>
      </c>
      <c r="R3969" s="1" t="s">
        <v>29</v>
      </c>
      <c r="S3969" s="1">
        <v>2</v>
      </c>
      <c r="T3969" s="1" t="b">
        <v>0</v>
      </c>
      <c r="U3969" s="1" t="s">
        <v>39</v>
      </c>
      <c r="V3969" s="3">
        <v>8</v>
      </c>
    </row>
    <row r="3970" spans="1:22" x14ac:dyDescent="0.3">
      <c r="A3970" s="2" t="s">
        <v>8376</v>
      </c>
      <c r="B3970" s="10">
        <v>44236</v>
      </c>
      <c r="C3970" s="22">
        <v>44236</v>
      </c>
      <c r="D3970" s="1" t="s">
        <v>8377</v>
      </c>
      <c r="E3970" s="1" t="s">
        <v>594</v>
      </c>
      <c r="F3970" s="1">
        <v>56</v>
      </c>
      <c r="G3970" s="1" t="s">
        <v>391</v>
      </c>
      <c r="H3970" s="1" t="s">
        <v>74</v>
      </c>
      <c r="I3970" s="1" t="s">
        <v>192</v>
      </c>
      <c r="J3970" s="1" t="s">
        <v>127</v>
      </c>
      <c r="K3970" s="1" t="s">
        <v>128</v>
      </c>
      <c r="L3970" s="1">
        <v>1</v>
      </c>
      <c r="M3970" s="13">
        <v>39881.71</v>
      </c>
      <c r="N3970" s="15">
        <v>0.04</v>
      </c>
      <c r="O3970" s="13">
        <v>30194.77</v>
      </c>
      <c r="P3970" s="13">
        <v>2984.54</v>
      </c>
      <c r="Q3970" s="13">
        <v>21.56</v>
      </c>
      <c r="R3970" s="1" t="s">
        <v>57</v>
      </c>
      <c r="S3970" s="1">
        <v>3</v>
      </c>
      <c r="T3970" s="1" t="b">
        <v>0</v>
      </c>
      <c r="U3970" s="1" t="s">
        <v>39</v>
      </c>
      <c r="V3970" s="3">
        <v>1</v>
      </c>
    </row>
    <row r="3971" spans="1:22" x14ac:dyDescent="0.3">
      <c r="A3971" s="2" t="s">
        <v>8378</v>
      </c>
      <c r="B3971" s="10">
        <v>44028</v>
      </c>
      <c r="C3971" s="22">
        <v>44028</v>
      </c>
      <c r="D3971" s="1" t="s">
        <v>8379</v>
      </c>
      <c r="E3971" s="1" t="s">
        <v>298</v>
      </c>
      <c r="F3971" s="1">
        <v>41</v>
      </c>
      <c r="G3971" s="1" t="s">
        <v>34</v>
      </c>
      <c r="H3971" s="1" t="s">
        <v>25</v>
      </c>
      <c r="I3971" s="1" t="s">
        <v>55</v>
      </c>
      <c r="J3971" s="1" t="s">
        <v>76</v>
      </c>
      <c r="K3971" s="1" t="s">
        <v>122</v>
      </c>
      <c r="L3971" s="1">
        <v>8</v>
      </c>
      <c r="M3971" s="13">
        <v>1227.51</v>
      </c>
      <c r="N3971" s="15">
        <v>0.31</v>
      </c>
      <c r="O3971" s="13">
        <v>7184.61</v>
      </c>
      <c r="P3971" s="13">
        <v>2117.5300000000002</v>
      </c>
      <c r="Q3971" s="13">
        <v>55.16</v>
      </c>
      <c r="R3971" s="1" t="s">
        <v>70</v>
      </c>
      <c r="S3971" s="1">
        <v>5</v>
      </c>
      <c r="T3971" s="1" t="b">
        <v>0</v>
      </c>
      <c r="U3971" s="1" t="s">
        <v>39</v>
      </c>
      <c r="V3971" s="3">
        <v>2</v>
      </c>
    </row>
    <row r="3972" spans="1:22" x14ac:dyDescent="0.3">
      <c r="A3972" s="2" t="s">
        <v>8380</v>
      </c>
      <c r="B3972" s="10">
        <v>44466</v>
      </c>
      <c r="C3972" s="22">
        <v>44466</v>
      </c>
      <c r="D3972" s="1" t="s">
        <v>8381</v>
      </c>
      <c r="E3972" s="1" t="s">
        <v>1612</v>
      </c>
      <c r="F3972" s="1">
        <v>32</v>
      </c>
      <c r="G3972" s="1" t="s">
        <v>24</v>
      </c>
      <c r="H3972" s="1" t="s">
        <v>82</v>
      </c>
      <c r="I3972" s="1" t="s">
        <v>83</v>
      </c>
      <c r="J3972" s="1" t="s">
        <v>37</v>
      </c>
      <c r="K3972" s="1" t="s">
        <v>231</v>
      </c>
      <c r="L3972" s="1">
        <v>7</v>
      </c>
      <c r="M3972" s="13">
        <v>1026.47</v>
      </c>
      <c r="N3972" s="15">
        <v>7.0000000000000007E-2</v>
      </c>
      <c r="O3972" s="13">
        <v>6772.95</v>
      </c>
      <c r="P3972" s="13">
        <v>2747.24</v>
      </c>
      <c r="Q3972" s="13">
        <v>58.92</v>
      </c>
      <c r="R3972" s="1" t="s">
        <v>64</v>
      </c>
      <c r="S3972" s="1">
        <v>1</v>
      </c>
      <c r="T3972" s="1" t="b">
        <v>1</v>
      </c>
      <c r="U3972" s="1" t="s">
        <v>30</v>
      </c>
      <c r="V3972" s="3">
        <v>9</v>
      </c>
    </row>
    <row r="3973" spans="1:22" x14ac:dyDescent="0.3">
      <c r="A3973" s="2" t="s">
        <v>8382</v>
      </c>
      <c r="B3973" s="10">
        <v>44931</v>
      </c>
      <c r="C3973" s="22">
        <v>44931</v>
      </c>
      <c r="D3973" s="1" t="s">
        <v>1281</v>
      </c>
      <c r="E3973" s="1" t="s">
        <v>888</v>
      </c>
      <c r="F3973" s="1">
        <v>36</v>
      </c>
      <c r="G3973" s="1" t="s">
        <v>68</v>
      </c>
      <c r="H3973" s="1" t="s">
        <v>74</v>
      </c>
      <c r="I3973" s="1" t="s">
        <v>136</v>
      </c>
      <c r="J3973" s="1" t="s">
        <v>44</v>
      </c>
      <c r="K3973" s="1" t="s">
        <v>93</v>
      </c>
      <c r="L3973" s="1">
        <v>1</v>
      </c>
      <c r="M3973" s="13">
        <v>10813.51</v>
      </c>
      <c r="N3973" s="15">
        <v>0.12</v>
      </c>
      <c r="O3973" s="13">
        <v>8770.86</v>
      </c>
      <c r="P3973" s="13">
        <v>1573.05</v>
      </c>
      <c r="Q3973" s="13">
        <v>58.09</v>
      </c>
      <c r="R3973" s="1" t="s">
        <v>78</v>
      </c>
      <c r="S3973" s="1">
        <v>1</v>
      </c>
      <c r="T3973" s="1" t="b">
        <v>1</v>
      </c>
      <c r="U3973" s="1" t="s">
        <v>30</v>
      </c>
      <c r="V3973" s="3">
        <v>1</v>
      </c>
    </row>
    <row r="3974" spans="1:22" x14ac:dyDescent="0.3">
      <c r="A3974" s="2" t="s">
        <v>8383</v>
      </c>
      <c r="B3974" s="10">
        <v>45395</v>
      </c>
      <c r="C3974" s="22">
        <v>45395</v>
      </c>
      <c r="D3974" s="1" t="s">
        <v>8384</v>
      </c>
      <c r="E3974" s="1" t="s">
        <v>635</v>
      </c>
      <c r="F3974" s="1">
        <v>32</v>
      </c>
      <c r="G3974" s="1" t="s">
        <v>24</v>
      </c>
      <c r="H3974" s="1" t="s">
        <v>35</v>
      </c>
      <c r="I3974" s="1" t="s">
        <v>49</v>
      </c>
      <c r="J3974" s="1" t="s">
        <v>146</v>
      </c>
      <c r="K3974" s="1" t="s">
        <v>178</v>
      </c>
      <c r="L3974" s="1">
        <v>2</v>
      </c>
      <c r="M3974" s="13">
        <v>10269.18</v>
      </c>
      <c r="N3974" s="15">
        <v>0.09</v>
      </c>
      <c r="O3974" s="13">
        <v>24486.71</v>
      </c>
      <c r="P3974" s="13">
        <v>5686.61</v>
      </c>
      <c r="Q3974" s="13">
        <v>76.3</v>
      </c>
      <c r="R3974" s="1" t="s">
        <v>64</v>
      </c>
      <c r="S3974" s="1">
        <v>3</v>
      </c>
      <c r="T3974" s="1" t="b">
        <v>0</v>
      </c>
      <c r="U3974" s="1" t="s">
        <v>39</v>
      </c>
      <c r="V3974" s="3">
        <v>10</v>
      </c>
    </row>
    <row r="3975" spans="1:22" x14ac:dyDescent="0.3">
      <c r="A3975" s="2" t="s">
        <v>8385</v>
      </c>
      <c r="B3975" s="10">
        <v>44283</v>
      </c>
      <c r="C3975" s="22">
        <v>44283</v>
      </c>
      <c r="D3975" s="1" t="s">
        <v>8386</v>
      </c>
      <c r="E3975" s="1" t="s">
        <v>4211</v>
      </c>
      <c r="F3975" s="1">
        <v>-4</v>
      </c>
      <c r="G3975" s="1" t="s">
        <v>24</v>
      </c>
      <c r="H3975" s="1" t="s">
        <v>25</v>
      </c>
      <c r="I3975" s="1" t="s">
        <v>26</v>
      </c>
      <c r="J3975" s="1" t="s">
        <v>62</v>
      </c>
      <c r="K3975" s="1" t="s">
        <v>151</v>
      </c>
      <c r="L3975" s="1">
        <v>9</v>
      </c>
      <c r="M3975" s="13">
        <v>742.78</v>
      </c>
      <c r="N3975" s="15">
        <v>0.21</v>
      </c>
      <c r="O3975" s="13">
        <v>6117.76</v>
      </c>
      <c r="P3975" s="13">
        <v>3038.08</v>
      </c>
      <c r="Q3975" s="13">
        <v>76.92</v>
      </c>
      <c r="R3975" s="1" t="s">
        <v>29</v>
      </c>
      <c r="S3975" s="1">
        <v>4</v>
      </c>
      <c r="T3975" s="1" t="b">
        <v>0</v>
      </c>
      <c r="U3975" s="1" t="s">
        <v>39</v>
      </c>
      <c r="V3975" s="3">
        <v>8</v>
      </c>
    </row>
    <row r="3976" spans="1:22" x14ac:dyDescent="0.3">
      <c r="A3976" s="2" t="s">
        <v>8387</v>
      </c>
      <c r="B3976" s="10">
        <v>43963</v>
      </c>
      <c r="C3976" s="22">
        <v>43963</v>
      </c>
      <c r="D3976" s="1" t="s">
        <v>8388</v>
      </c>
      <c r="E3976" s="1" t="s">
        <v>1862</v>
      </c>
      <c r="F3976" s="1">
        <v>41</v>
      </c>
      <c r="G3976" s="1" t="s">
        <v>34</v>
      </c>
      <c r="H3976" s="1" t="s">
        <v>25</v>
      </c>
      <c r="I3976" s="1" t="s">
        <v>69</v>
      </c>
      <c r="J3976" s="1" t="s">
        <v>62</v>
      </c>
      <c r="K3976" s="1" t="s">
        <v>266</v>
      </c>
      <c r="L3976" s="1">
        <v>7</v>
      </c>
      <c r="M3976" s="13">
        <v>513.52</v>
      </c>
      <c r="N3976" s="15">
        <v>0.38</v>
      </c>
      <c r="O3976" s="13">
        <v>2985.15</v>
      </c>
      <c r="P3976" s="13">
        <v>1015.8</v>
      </c>
      <c r="Q3976" s="13">
        <v>35.5</v>
      </c>
      <c r="R3976" s="1" t="s">
        <v>57</v>
      </c>
      <c r="S3976" s="1">
        <v>2</v>
      </c>
      <c r="T3976" s="1" t="b">
        <v>0</v>
      </c>
      <c r="U3976" s="1" t="s">
        <v>39</v>
      </c>
      <c r="V3976" s="3">
        <v>10</v>
      </c>
    </row>
    <row r="3977" spans="1:22" x14ac:dyDescent="0.3">
      <c r="A3977" s="2" t="s">
        <v>8389</v>
      </c>
      <c r="B3977" s="10">
        <v>45378</v>
      </c>
      <c r="C3977" s="22">
        <v>45378</v>
      </c>
      <c r="D3977" s="1" t="s">
        <v>8390</v>
      </c>
      <c r="E3977" s="1" t="s">
        <v>476</v>
      </c>
      <c r="F3977" s="1">
        <v>14</v>
      </c>
      <c r="G3977" s="1" t="s">
        <v>68</v>
      </c>
      <c r="H3977" s="1" t="s">
        <v>82</v>
      </c>
      <c r="I3977" s="1" t="s">
        <v>293</v>
      </c>
      <c r="J3977" s="1" t="s">
        <v>27</v>
      </c>
      <c r="K3977" s="1" t="s">
        <v>430</v>
      </c>
      <c r="L3977" s="1">
        <v>7</v>
      </c>
      <c r="M3977" s="13">
        <v>422.63</v>
      </c>
      <c r="N3977" s="15">
        <v>0.39</v>
      </c>
      <c r="O3977" s="13">
        <v>2225.48</v>
      </c>
      <c r="P3977" s="13">
        <v>251.22</v>
      </c>
      <c r="Q3977" s="13">
        <v>58.49</v>
      </c>
      <c r="R3977" s="1" t="s">
        <v>78</v>
      </c>
      <c r="S3977" s="1">
        <v>1</v>
      </c>
      <c r="T3977" s="1" t="b">
        <v>0</v>
      </c>
      <c r="U3977" s="1" t="s">
        <v>39</v>
      </c>
      <c r="V3977" s="3">
        <v>3</v>
      </c>
    </row>
    <row r="3978" spans="1:22" x14ac:dyDescent="0.3">
      <c r="A3978" s="2" t="s">
        <v>8391</v>
      </c>
      <c r="B3978" s="10">
        <v>45633</v>
      </c>
      <c r="C3978" s="22">
        <v>45633</v>
      </c>
      <c r="D3978" s="1" t="s">
        <v>8392</v>
      </c>
      <c r="E3978" s="1" t="s">
        <v>1229</v>
      </c>
      <c r="F3978" s="1">
        <v>33</v>
      </c>
      <c r="G3978" s="1" t="s">
        <v>68</v>
      </c>
      <c r="H3978" s="1" t="s">
        <v>74</v>
      </c>
      <c r="I3978" s="1" t="s">
        <v>101</v>
      </c>
      <c r="J3978" s="1" t="s">
        <v>76</v>
      </c>
      <c r="K3978" s="1" t="s">
        <v>113</v>
      </c>
      <c r="L3978" s="1">
        <v>5</v>
      </c>
      <c r="M3978" s="13">
        <v>614.15</v>
      </c>
      <c r="N3978" s="15">
        <v>0.17</v>
      </c>
      <c r="O3978" s="13">
        <v>2315.9</v>
      </c>
      <c r="P3978" s="13">
        <v>981.99</v>
      </c>
      <c r="Q3978" s="13">
        <v>65.63</v>
      </c>
      <c r="R3978" s="1" t="s">
        <v>78</v>
      </c>
      <c r="S3978" s="1">
        <v>1</v>
      </c>
      <c r="T3978" s="1" t="b">
        <v>1</v>
      </c>
      <c r="U3978" s="1" t="s">
        <v>30</v>
      </c>
      <c r="V3978" s="3">
        <v>8</v>
      </c>
    </row>
    <row r="3979" spans="1:22" x14ac:dyDescent="0.3">
      <c r="A3979" s="2" t="s">
        <v>8393</v>
      </c>
      <c r="B3979" s="10">
        <v>44208</v>
      </c>
      <c r="C3979" s="22">
        <v>44208</v>
      </c>
      <c r="D3979" s="1" t="s">
        <v>8394</v>
      </c>
      <c r="E3979" s="1" t="s">
        <v>1229</v>
      </c>
      <c r="F3979" s="1">
        <v>25</v>
      </c>
      <c r="G3979" s="1" t="s">
        <v>68</v>
      </c>
      <c r="H3979" s="1" t="s">
        <v>82</v>
      </c>
      <c r="I3979" s="1" t="s">
        <v>244</v>
      </c>
      <c r="J3979" s="1" t="s">
        <v>127</v>
      </c>
      <c r="K3979" s="1" t="s">
        <v>308</v>
      </c>
      <c r="L3979" s="1">
        <v>10</v>
      </c>
      <c r="M3979" s="13">
        <v>62379.19</v>
      </c>
      <c r="N3979" s="15">
        <v>0.06</v>
      </c>
      <c r="O3979" s="13">
        <v>476054.02</v>
      </c>
      <c r="P3979" s="13">
        <v>44865.32</v>
      </c>
      <c r="Q3979" s="13">
        <v>83.61</v>
      </c>
      <c r="R3979" s="1" t="s">
        <v>29</v>
      </c>
      <c r="S3979" s="1">
        <v>3</v>
      </c>
      <c r="T3979" s="1" t="b">
        <v>0</v>
      </c>
      <c r="U3979" s="1" t="s">
        <v>39</v>
      </c>
      <c r="V3979" s="3">
        <v>4</v>
      </c>
    </row>
    <row r="3980" spans="1:22" x14ac:dyDescent="0.3">
      <c r="A3980" s="2" t="s">
        <v>8395</v>
      </c>
      <c r="B3980" s="10">
        <v>45125</v>
      </c>
      <c r="C3980" s="22">
        <v>45125</v>
      </c>
      <c r="D3980" s="1" t="s">
        <v>8396</v>
      </c>
      <c r="E3980" s="1" t="s">
        <v>181</v>
      </c>
      <c r="F3980" s="1">
        <v>38</v>
      </c>
      <c r="G3980" s="1" t="s">
        <v>24</v>
      </c>
      <c r="H3980" s="1" t="s">
        <v>74</v>
      </c>
      <c r="I3980" s="1" t="s">
        <v>101</v>
      </c>
      <c r="J3980" s="1" t="s">
        <v>127</v>
      </c>
      <c r="K3980" s="1" t="s">
        <v>196</v>
      </c>
      <c r="L3980" s="1">
        <v>2</v>
      </c>
      <c r="M3980" s="13">
        <v>77260.63</v>
      </c>
      <c r="N3980" s="15">
        <v>0.28000000000000003</v>
      </c>
      <c r="O3980" s="13">
        <v>179057.38</v>
      </c>
      <c r="P3980" s="13">
        <v>27038.61</v>
      </c>
      <c r="Q3980" s="13">
        <v>72.59</v>
      </c>
      <c r="R3980" s="1" t="s">
        <v>78</v>
      </c>
      <c r="S3980" s="1">
        <v>4</v>
      </c>
      <c r="T3980" s="1" t="b">
        <v>0</v>
      </c>
      <c r="U3980" s="1" t="s">
        <v>39</v>
      </c>
      <c r="V3980" s="3">
        <v>4</v>
      </c>
    </row>
    <row r="3981" spans="1:22" x14ac:dyDescent="0.3">
      <c r="A3981" s="2" t="s">
        <v>8397</v>
      </c>
      <c r="B3981" s="10">
        <v>44713</v>
      </c>
      <c r="C3981" s="22">
        <v>44713</v>
      </c>
      <c r="D3981" s="1" t="s">
        <v>8398</v>
      </c>
      <c r="E3981" s="1" t="s">
        <v>1650</v>
      </c>
      <c r="F3981" s="1">
        <v>32</v>
      </c>
      <c r="G3981" s="1" t="s">
        <v>34</v>
      </c>
      <c r="H3981" s="1" t="s">
        <v>74</v>
      </c>
      <c r="I3981" s="1" t="s">
        <v>192</v>
      </c>
      <c r="J3981" s="1" t="s">
        <v>27</v>
      </c>
      <c r="K3981" s="1" t="s">
        <v>97</v>
      </c>
      <c r="L3981" s="1">
        <v>9</v>
      </c>
      <c r="M3981" s="13">
        <v>493.26</v>
      </c>
      <c r="N3981" s="15">
        <v>0.08</v>
      </c>
      <c r="O3981" s="13">
        <v>6307.15</v>
      </c>
      <c r="P3981" s="13">
        <v>506.13</v>
      </c>
      <c r="Q3981" s="13">
        <v>45.11</v>
      </c>
      <c r="R3981" s="1" t="s">
        <v>78</v>
      </c>
      <c r="S3981" s="1">
        <v>3</v>
      </c>
      <c r="T3981" s="1" t="b">
        <v>0</v>
      </c>
      <c r="U3981" s="1" t="s">
        <v>84</v>
      </c>
      <c r="V3981" s="3">
        <v>9</v>
      </c>
    </row>
    <row r="3982" spans="1:22" x14ac:dyDescent="0.3">
      <c r="A3982" s="2" t="s">
        <v>8399</v>
      </c>
      <c r="B3982" s="10">
        <v>44762</v>
      </c>
      <c r="C3982" s="22">
        <v>44762</v>
      </c>
      <c r="D3982" s="1" t="s">
        <v>923</v>
      </c>
      <c r="E3982" s="1" t="s">
        <v>908</v>
      </c>
      <c r="F3982" s="1">
        <v>26</v>
      </c>
      <c r="G3982" s="1" t="s">
        <v>68</v>
      </c>
      <c r="H3982" s="1" t="s">
        <v>111</v>
      </c>
      <c r="I3982" s="1" t="s">
        <v>112</v>
      </c>
      <c r="J3982" s="1" t="s">
        <v>76</v>
      </c>
      <c r="K3982" s="1" t="s">
        <v>113</v>
      </c>
      <c r="L3982" s="1">
        <v>6</v>
      </c>
      <c r="M3982" s="13">
        <v>711.19</v>
      </c>
      <c r="N3982" s="15">
        <v>0.24</v>
      </c>
      <c r="O3982" s="13">
        <v>4522.3599999999997</v>
      </c>
      <c r="P3982" s="13">
        <v>2124.71</v>
      </c>
      <c r="Q3982" s="13">
        <v>82.5</v>
      </c>
      <c r="R3982" s="1" t="s">
        <v>57</v>
      </c>
      <c r="S3982" s="1">
        <v>3</v>
      </c>
      <c r="T3982" s="1" t="b">
        <v>0</v>
      </c>
      <c r="U3982" s="1" t="s">
        <v>39</v>
      </c>
      <c r="V3982" s="3">
        <v>3</v>
      </c>
    </row>
    <row r="3983" spans="1:22" x14ac:dyDescent="0.3">
      <c r="A3983" s="2" t="s">
        <v>8400</v>
      </c>
      <c r="B3983" s="10">
        <v>44744</v>
      </c>
      <c r="C3983" s="22">
        <v>44744</v>
      </c>
      <c r="D3983" s="1" t="s">
        <v>8401</v>
      </c>
      <c r="E3983" s="1" t="s">
        <v>150</v>
      </c>
      <c r="F3983" s="1">
        <v>40</v>
      </c>
      <c r="G3983" s="1" t="s">
        <v>88</v>
      </c>
      <c r="H3983" s="1" t="s">
        <v>35</v>
      </c>
      <c r="I3983" s="1" t="s">
        <v>43</v>
      </c>
      <c r="J3983" s="1" t="s">
        <v>44</v>
      </c>
      <c r="K3983" s="1" t="s">
        <v>45</v>
      </c>
      <c r="L3983" s="1">
        <v>9</v>
      </c>
      <c r="M3983" s="13">
        <v>33837.01</v>
      </c>
      <c r="N3983" s="15">
        <v>0.22</v>
      </c>
      <c r="O3983" s="13">
        <v>353282.34</v>
      </c>
      <c r="P3983" s="13">
        <v>116653.75</v>
      </c>
      <c r="Q3983" s="13">
        <v>42.65</v>
      </c>
      <c r="R3983" s="1" t="s">
        <v>57</v>
      </c>
      <c r="S3983" s="1">
        <v>1</v>
      </c>
      <c r="T3983" s="1" t="b">
        <v>0</v>
      </c>
      <c r="U3983" s="1" t="s">
        <v>39</v>
      </c>
      <c r="V3983" s="3">
        <v>4</v>
      </c>
    </row>
    <row r="3984" spans="1:22" x14ac:dyDescent="0.3">
      <c r="A3984" s="2" t="s">
        <v>8402</v>
      </c>
      <c r="B3984" s="10">
        <v>44671</v>
      </c>
      <c r="C3984" s="22">
        <v>44671</v>
      </c>
      <c r="D3984" s="1" t="s">
        <v>8403</v>
      </c>
      <c r="E3984" s="1" t="s">
        <v>240</v>
      </c>
      <c r="F3984" s="1">
        <v>26</v>
      </c>
      <c r="G3984" s="1" t="s">
        <v>24</v>
      </c>
      <c r="H3984" s="1" t="s">
        <v>25</v>
      </c>
      <c r="I3984" s="1" t="s">
        <v>69</v>
      </c>
      <c r="J3984" s="1" t="s">
        <v>127</v>
      </c>
      <c r="K3984" s="1" t="s">
        <v>171</v>
      </c>
      <c r="L3984" s="1">
        <v>5</v>
      </c>
      <c r="M3984" s="13">
        <v>8793.32</v>
      </c>
      <c r="N3984" s="15">
        <v>0.25</v>
      </c>
      <c r="O3984" s="13">
        <v>45113.120000000003</v>
      </c>
      <c r="P3984" s="13">
        <v>6647.66</v>
      </c>
      <c r="Q3984" s="13">
        <v>30.21</v>
      </c>
      <c r="R3984" s="1" t="s">
        <v>78</v>
      </c>
      <c r="S3984" s="1">
        <v>1</v>
      </c>
      <c r="T3984" s="1" t="b">
        <v>0</v>
      </c>
      <c r="U3984" s="1" t="s">
        <v>39</v>
      </c>
      <c r="V3984" s="3">
        <v>10</v>
      </c>
    </row>
    <row r="3985" spans="1:22" x14ac:dyDescent="0.3">
      <c r="A3985" s="2" t="s">
        <v>8404</v>
      </c>
      <c r="B3985" s="10">
        <v>43973</v>
      </c>
      <c r="C3985" s="22">
        <v>43973</v>
      </c>
      <c r="D3985" s="1" t="s">
        <v>8405</v>
      </c>
      <c r="E3985" s="1" t="s">
        <v>1181</v>
      </c>
      <c r="F3985" s="1">
        <v>38</v>
      </c>
      <c r="G3985" s="1" t="s">
        <v>34</v>
      </c>
      <c r="H3985" s="1" t="s">
        <v>82</v>
      </c>
      <c r="I3985" s="1" t="s">
        <v>83</v>
      </c>
      <c r="J3985" s="1" t="s">
        <v>127</v>
      </c>
      <c r="K3985" s="1" t="s">
        <v>142</v>
      </c>
      <c r="L3985" s="1">
        <v>2</v>
      </c>
      <c r="M3985" s="13">
        <v>5256.57</v>
      </c>
      <c r="N3985" s="15">
        <v>0.26</v>
      </c>
      <c r="O3985" s="13">
        <v>10092.16</v>
      </c>
      <c r="P3985" s="13">
        <v>822.2</v>
      </c>
      <c r="Q3985" s="13">
        <v>111.69</v>
      </c>
      <c r="R3985" s="1" t="s">
        <v>57</v>
      </c>
      <c r="S3985" s="1">
        <v>4</v>
      </c>
      <c r="T3985" s="1" t="b">
        <v>0</v>
      </c>
      <c r="U3985" s="1" t="s">
        <v>39</v>
      </c>
      <c r="V3985" s="3">
        <v>4</v>
      </c>
    </row>
    <row r="3986" spans="1:22" x14ac:dyDescent="0.3">
      <c r="A3986" s="2" t="s">
        <v>8406</v>
      </c>
      <c r="B3986" s="10">
        <v>45272</v>
      </c>
      <c r="C3986" s="22">
        <v>45272</v>
      </c>
      <c r="D3986" s="1" t="s">
        <v>8407</v>
      </c>
      <c r="E3986" s="1" t="s">
        <v>1596</v>
      </c>
      <c r="F3986" s="1">
        <v>36</v>
      </c>
      <c r="G3986" s="1" t="s">
        <v>24</v>
      </c>
      <c r="H3986" s="1" t="s">
        <v>82</v>
      </c>
      <c r="I3986" s="1" t="s">
        <v>83</v>
      </c>
      <c r="J3986" s="1" t="s">
        <v>27</v>
      </c>
      <c r="K3986" s="1" t="s">
        <v>430</v>
      </c>
      <c r="L3986" s="1">
        <v>8</v>
      </c>
      <c r="M3986" s="13">
        <v>244.23</v>
      </c>
      <c r="N3986" s="15">
        <v>0.21</v>
      </c>
      <c r="O3986" s="13">
        <v>1268.8399999999999</v>
      </c>
      <c r="P3986" s="13">
        <v>127.92</v>
      </c>
      <c r="Q3986" s="13">
        <v>76.52</v>
      </c>
      <c r="R3986" s="1" t="s">
        <v>29</v>
      </c>
      <c r="S3986" s="1">
        <v>3</v>
      </c>
      <c r="T3986" s="1" t="b">
        <v>0</v>
      </c>
      <c r="U3986" s="1" t="s">
        <v>39</v>
      </c>
      <c r="V3986" s="3">
        <v>6</v>
      </c>
    </row>
    <row r="3987" spans="1:22" x14ac:dyDescent="0.3">
      <c r="A3987" s="2" t="s">
        <v>8408</v>
      </c>
      <c r="B3987" s="10">
        <v>44350</v>
      </c>
      <c r="C3987" s="22">
        <v>44350</v>
      </c>
      <c r="D3987" s="1" t="s">
        <v>8409</v>
      </c>
      <c r="E3987" s="1" t="s">
        <v>1519</v>
      </c>
      <c r="F3987" s="1">
        <v>32</v>
      </c>
      <c r="G3987" s="1" t="s">
        <v>24</v>
      </c>
      <c r="H3987" s="1" t="s">
        <v>82</v>
      </c>
      <c r="I3987" s="1" t="s">
        <v>293</v>
      </c>
      <c r="J3987" s="1" t="s">
        <v>127</v>
      </c>
      <c r="K3987" s="1" t="s">
        <v>128</v>
      </c>
      <c r="L3987" s="1">
        <v>1</v>
      </c>
      <c r="M3987" s="13">
        <v>29383.37</v>
      </c>
      <c r="N3987" s="15">
        <v>0.06</v>
      </c>
      <c r="O3987" s="13">
        <v>38160.26</v>
      </c>
      <c r="P3987" s="13">
        <v>3473.46</v>
      </c>
      <c r="Q3987" s="13">
        <v>76.02</v>
      </c>
      <c r="R3987" s="1" t="s">
        <v>64</v>
      </c>
      <c r="S3987" s="1">
        <v>3</v>
      </c>
      <c r="T3987" s="1" t="b">
        <v>1</v>
      </c>
      <c r="U3987" s="1" t="s">
        <v>30</v>
      </c>
      <c r="V3987" s="3">
        <v>2</v>
      </c>
    </row>
    <row r="3988" spans="1:22" x14ac:dyDescent="0.3">
      <c r="A3988" s="2" t="s">
        <v>8410</v>
      </c>
      <c r="B3988" s="10">
        <v>44477</v>
      </c>
      <c r="C3988" s="22">
        <v>44477</v>
      </c>
      <c r="D3988" s="1" t="s">
        <v>8411</v>
      </c>
      <c r="E3988" s="1" t="s">
        <v>594</v>
      </c>
      <c r="F3988" s="1">
        <v>31</v>
      </c>
      <c r="G3988" s="1" t="s">
        <v>34</v>
      </c>
      <c r="H3988" s="1" t="s">
        <v>111</v>
      </c>
      <c r="I3988" s="1" t="s">
        <v>141</v>
      </c>
      <c r="J3988" s="1" t="s">
        <v>76</v>
      </c>
      <c r="K3988" s="1" t="s">
        <v>113</v>
      </c>
      <c r="L3988" s="1">
        <v>9</v>
      </c>
      <c r="M3988" s="13">
        <v>2943.22</v>
      </c>
      <c r="N3988" s="15">
        <v>0.02</v>
      </c>
      <c r="O3988" s="13">
        <v>22356.5</v>
      </c>
      <c r="P3988" s="13">
        <v>7881.59</v>
      </c>
      <c r="Q3988" s="13">
        <v>58.83</v>
      </c>
      <c r="R3988" s="1" t="s">
        <v>51</v>
      </c>
      <c r="S3988" s="1">
        <v>5</v>
      </c>
      <c r="T3988" s="1" t="b">
        <v>0</v>
      </c>
      <c r="U3988" s="1" t="s">
        <v>137</v>
      </c>
      <c r="V3988" s="3">
        <v>5</v>
      </c>
    </row>
    <row r="3989" spans="1:22" x14ac:dyDescent="0.3">
      <c r="A3989" s="2" t="s">
        <v>8412</v>
      </c>
      <c r="B3989" s="10">
        <v>45338</v>
      </c>
      <c r="C3989" s="22">
        <v>45338</v>
      </c>
      <c r="D3989" s="1" t="s">
        <v>8413</v>
      </c>
      <c r="E3989" s="1" t="s">
        <v>1459</v>
      </c>
      <c r="F3989" s="1">
        <v>49</v>
      </c>
      <c r="G3989" s="1" t="s">
        <v>68</v>
      </c>
      <c r="H3989" s="1" t="s">
        <v>82</v>
      </c>
      <c r="I3989" s="1" t="s">
        <v>244</v>
      </c>
      <c r="J3989" s="1" t="s">
        <v>146</v>
      </c>
      <c r="K3989" s="1" t="s">
        <v>276</v>
      </c>
      <c r="L3989" s="1">
        <v>10</v>
      </c>
      <c r="M3989" s="13">
        <v>5314.23</v>
      </c>
      <c r="N3989" s="15">
        <v>0.11</v>
      </c>
      <c r="O3989" s="13">
        <v>49274.68</v>
      </c>
      <c r="P3989" s="13">
        <v>10849.9</v>
      </c>
      <c r="Q3989" s="13">
        <v>99</v>
      </c>
      <c r="R3989" s="1" t="s">
        <v>78</v>
      </c>
      <c r="S3989" s="1">
        <v>3</v>
      </c>
      <c r="T3989" s="1" t="b">
        <v>0</v>
      </c>
      <c r="U3989" s="1" t="s">
        <v>39</v>
      </c>
      <c r="V3989" s="3">
        <v>4</v>
      </c>
    </row>
    <row r="3990" spans="1:22" x14ac:dyDescent="0.3">
      <c r="A3990" s="2" t="s">
        <v>8414</v>
      </c>
      <c r="B3990" s="10">
        <v>44494</v>
      </c>
      <c r="C3990" s="22">
        <v>44494</v>
      </c>
      <c r="D3990" s="1" t="s">
        <v>8415</v>
      </c>
      <c r="E3990" s="1" t="s">
        <v>540</v>
      </c>
      <c r="F3990" s="1">
        <v>27</v>
      </c>
      <c r="G3990" s="1" t="s">
        <v>34</v>
      </c>
      <c r="H3990" s="1" t="s">
        <v>82</v>
      </c>
      <c r="I3990" s="1" t="s">
        <v>126</v>
      </c>
      <c r="J3990" s="1" t="s">
        <v>127</v>
      </c>
      <c r="K3990" s="1" t="s">
        <v>517</v>
      </c>
      <c r="L3990" s="1">
        <v>6</v>
      </c>
      <c r="M3990" s="13">
        <v>6119.98</v>
      </c>
      <c r="N3990" s="15">
        <v>0.28999999999999998</v>
      </c>
      <c r="O3990" s="13">
        <v>25738.91</v>
      </c>
      <c r="P3990" s="13">
        <v>3137.93</v>
      </c>
      <c r="Q3990" s="13">
        <v>74.62</v>
      </c>
      <c r="R3990" s="1" t="s">
        <v>29</v>
      </c>
      <c r="S3990" s="1">
        <v>1</v>
      </c>
      <c r="T3990" s="1" t="b">
        <v>1</v>
      </c>
      <c r="U3990" s="1" t="s">
        <v>30</v>
      </c>
      <c r="V3990" s="3">
        <v>5</v>
      </c>
    </row>
    <row r="3991" spans="1:22" x14ac:dyDescent="0.3">
      <c r="A3991" s="2" t="s">
        <v>8416</v>
      </c>
      <c r="B3991" s="10">
        <v>44756</v>
      </c>
      <c r="C3991" s="22">
        <v>44756</v>
      </c>
      <c r="D3991" s="1" t="s">
        <v>8417</v>
      </c>
      <c r="E3991" s="1" t="s">
        <v>690</v>
      </c>
      <c r="F3991" s="1">
        <v>32</v>
      </c>
      <c r="G3991" s="1" t="s">
        <v>24</v>
      </c>
      <c r="H3991" s="1" t="s">
        <v>74</v>
      </c>
      <c r="I3991" s="1" t="s">
        <v>136</v>
      </c>
      <c r="J3991" s="1" t="s">
        <v>37</v>
      </c>
      <c r="K3991" s="1" t="s">
        <v>454</v>
      </c>
      <c r="L3991" s="1">
        <v>7</v>
      </c>
      <c r="M3991" s="13">
        <v>920.5</v>
      </c>
      <c r="N3991" s="15">
        <v>0.1</v>
      </c>
      <c r="O3991" s="13">
        <v>8123.9</v>
      </c>
      <c r="P3991" s="13">
        <v>4006.12</v>
      </c>
      <c r="Q3991" s="13">
        <v>47.75</v>
      </c>
      <c r="R3991" s="1" t="s">
        <v>29</v>
      </c>
      <c r="S3991" s="1">
        <v>1</v>
      </c>
      <c r="T3991" s="1" t="b">
        <v>0</v>
      </c>
      <c r="U3991" s="1" t="s">
        <v>137</v>
      </c>
      <c r="V3991" s="3">
        <v>4</v>
      </c>
    </row>
    <row r="3992" spans="1:22" x14ac:dyDescent="0.3">
      <c r="A3992" s="2" t="s">
        <v>8418</v>
      </c>
      <c r="B3992" s="10">
        <v>45135</v>
      </c>
      <c r="C3992" s="22">
        <v>45135</v>
      </c>
      <c r="D3992" s="1" t="s">
        <v>8419</v>
      </c>
      <c r="E3992" s="1" t="s">
        <v>657</v>
      </c>
      <c r="F3992" s="1">
        <v>42</v>
      </c>
      <c r="G3992" s="1" t="s">
        <v>34</v>
      </c>
      <c r="H3992" s="1" t="s">
        <v>82</v>
      </c>
      <c r="I3992" s="1" t="s">
        <v>83</v>
      </c>
      <c r="J3992" s="1" t="s">
        <v>127</v>
      </c>
      <c r="K3992" s="1" t="s">
        <v>142</v>
      </c>
      <c r="L3992" s="1">
        <v>3</v>
      </c>
      <c r="M3992" s="13">
        <v>73866.570000000007</v>
      </c>
      <c r="N3992" s="15">
        <v>0.26</v>
      </c>
      <c r="O3992" s="13">
        <v>269224.59000000003</v>
      </c>
      <c r="P3992" s="13">
        <v>33151.919999999998</v>
      </c>
      <c r="Q3992" s="13">
        <v>88.4</v>
      </c>
      <c r="R3992" s="1" t="s">
        <v>64</v>
      </c>
      <c r="S3992" s="1">
        <v>4</v>
      </c>
      <c r="T3992" s="1" t="b">
        <v>0</v>
      </c>
      <c r="U3992" s="1" t="s">
        <v>39</v>
      </c>
      <c r="V3992" s="3">
        <v>5</v>
      </c>
    </row>
    <row r="3993" spans="1:22" x14ac:dyDescent="0.3">
      <c r="A3993" s="2" t="s">
        <v>8420</v>
      </c>
      <c r="B3993" s="10">
        <v>45122</v>
      </c>
      <c r="C3993" s="22">
        <v>45122</v>
      </c>
      <c r="D3993" s="1" t="s">
        <v>2417</v>
      </c>
      <c r="E3993" s="1" t="s">
        <v>418</v>
      </c>
      <c r="F3993" s="1">
        <v>58</v>
      </c>
      <c r="G3993" s="1" t="s">
        <v>24</v>
      </c>
      <c r="H3993" s="1" t="s">
        <v>35</v>
      </c>
      <c r="I3993" s="1" t="s">
        <v>106</v>
      </c>
      <c r="J3993" s="1" t="s">
        <v>27</v>
      </c>
      <c r="K3993" s="1" t="s">
        <v>28</v>
      </c>
      <c r="L3993" s="1">
        <v>6</v>
      </c>
      <c r="M3993" s="13">
        <v>290.29000000000002</v>
      </c>
      <c r="N3993" s="15">
        <v>0.28000000000000003</v>
      </c>
      <c r="O3993" s="13">
        <v>2095.81</v>
      </c>
      <c r="P3993" s="13">
        <v>197.15</v>
      </c>
      <c r="Q3993" s="13">
        <v>73.31</v>
      </c>
      <c r="R3993" s="1" t="s">
        <v>64</v>
      </c>
      <c r="S3993" s="1">
        <v>3</v>
      </c>
      <c r="T3993" s="1" t="b">
        <v>0</v>
      </c>
      <c r="U3993" s="1" t="s">
        <v>39</v>
      </c>
      <c r="V3993" s="3">
        <v>8</v>
      </c>
    </row>
    <row r="3994" spans="1:22" x14ac:dyDescent="0.3">
      <c r="A3994" s="2" t="s">
        <v>8421</v>
      </c>
      <c r="B3994" s="10">
        <v>43892</v>
      </c>
      <c r="C3994" s="22">
        <v>43892</v>
      </c>
      <c r="D3994" s="1" t="s">
        <v>8422</v>
      </c>
      <c r="E3994" s="1" t="s">
        <v>157</v>
      </c>
      <c r="F3994" s="1">
        <v>36</v>
      </c>
      <c r="G3994" s="1" t="s">
        <v>34</v>
      </c>
      <c r="H3994" s="1" t="s">
        <v>25</v>
      </c>
      <c r="I3994" s="1" t="s">
        <v>26</v>
      </c>
      <c r="J3994" s="1" t="s">
        <v>44</v>
      </c>
      <c r="K3994" s="1" t="s">
        <v>117</v>
      </c>
      <c r="L3994" s="1">
        <v>3</v>
      </c>
      <c r="M3994" s="13">
        <v>5678.86</v>
      </c>
      <c r="N3994" s="15">
        <v>0.33</v>
      </c>
      <c r="O3994" s="13">
        <v>10585.41</v>
      </c>
      <c r="P3994" s="13">
        <v>3430.87</v>
      </c>
      <c r="Q3994" s="13">
        <v>66.63</v>
      </c>
      <c r="R3994" s="1" t="s">
        <v>29</v>
      </c>
      <c r="S3994" s="1">
        <v>5</v>
      </c>
      <c r="T3994" s="1" t="b">
        <v>0</v>
      </c>
      <c r="U3994" s="1" t="s">
        <v>197</v>
      </c>
      <c r="V3994" s="3">
        <v>6</v>
      </c>
    </row>
    <row r="3995" spans="1:22" x14ac:dyDescent="0.3">
      <c r="A3995" s="2" t="s">
        <v>8423</v>
      </c>
      <c r="B3995" s="10">
        <v>45622</v>
      </c>
      <c r="C3995" s="22">
        <v>45622</v>
      </c>
      <c r="D3995" s="1" t="s">
        <v>8424</v>
      </c>
      <c r="E3995" s="1" t="s">
        <v>1950</v>
      </c>
      <c r="F3995" s="1">
        <v>56</v>
      </c>
      <c r="G3995" s="1" t="s">
        <v>24</v>
      </c>
      <c r="H3995" s="1" t="s">
        <v>74</v>
      </c>
      <c r="I3995" s="1" t="s">
        <v>75</v>
      </c>
      <c r="J3995" s="1" t="s">
        <v>76</v>
      </c>
      <c r="K3995" s="1" t="s">
        <v>77</v>
      </c>
      <c r="L3995" s="1">
        <v>9</v>
      </c>
      <c r="M3995" s="13">
        <v>2252.16</v>
      </c>
      <c r="N3995" s="15">
        <v>0.09</v>
      </c>
      <c r="O3995" s="13">
        <v>17908.2</v>
      </c>
      <c r="P3995" s="13">
        <v>4417.3500000000004</v>
      </c>
      <c r="Q3995" s="13">
        <v>42.65</v>
      </c>
      <c r="R3995" s="1" t="s">
        <v>57</v>
      </c>
      <c r="S3995" s="1">
        <v>5</v>
      </c>
      <c r="T3995" s="1" t="b">
        <v>0</v>
      </c>
      <c r="U3995" s="1" t="s">
        <v>137</v>
      </c>
      <c r="V3995" s="3">
        <v>5</v>
      </c>
    </row>
    <row r="3996" spans="1:22" x14ac:dyDescent="0.3">
      <c r="A3996" s="2" t="s">
        <v>8425</v>
      </c>
      <c r="B3996" s="10">
        <v>44589</v>
      </c>
      <c r="C3996" s="22">
        <v>44589</v>
      </c>
      <c r="D3996" s="1" t="s">
        <v>8426</v>
      </c>
      <c r="E3996" s="1" t="s">
        <v>496</v>
      </c>
      <c r="F3996" s="1">
        <v>30</v>
      </c>
      <c r="G3996" s="1" t="s">
        <v>391</v>
      </c>
      <c r="H3996" s="1" t="s">
        <v>74</v>
      </c>
      <c r="I3996" s="1" t="s">
        <v>75</v>
      </c>
      <c r="J3996" s="1" t="s">
        <v>76</v>
      </c>
      <c r="K3996" s="1" t="s">
        <v>89</v>
      </c>
      <c r="L3996" s="1">
        <v>8</v>
      </c>
      <c r="M3996" s="13">
        <v>670.37</v>
      </c>
      <c r="N3996" s="15">
        <v>0.4</v>
      </c>
      <c r="O3996" s="13">
        <v>2707.64</v>
      </c>
      <c r="P3996" s="13">
        <v>886.76</v>
      </c>
      <c r="Q3996" s="13">
        <v>85.42</v>
      </c>
      <c r="R3996" s="1" t="s">
        <v>64</v>
      </c>
      <c r="S3996" s="1">
        <v>1</v>
      </c>
      <c r="T3996" s="1" t="b">
        <v>1</v>
      </c>
      <c r="U3996" s="1" t="s">
        <v>30</v>
      </c>
      <c r="V3996" s="3">
        <v>7</v>
      </c>
    </row>
    <row r="3997" spans="1:22" x14ac:dyDescent="0.3">
      <c r="A3997" s="2" t="s">
        <v>8427</v>
      </c>
      <c r="B3997" s="10">
        <v>44338</v>
      </c>
      <c r="C3997" s="22">
        <v>44338</v>
      </c>
      <c r="D3997" s="1" t="s">
        <v>8428</v>
      </c>
      <c r="E3997" s="1" t="s">
        <v>1904</v>
      </c>
      <c r="F3997" s="1">
        <v>45</v>
      </c>
      <c r="G3997" s="1" t="s">
        <v>34</v>
      </c>
      <c r="H3997" s="1" t="s">
        <v>82</v>
      </c>
      <c r="I3997" s="1" t="s">
        <v>126</v>
      </c>
      <c r="J3997" s="1" t="s">
        <v>27</v>
      </c>
      <c r="K3997" s="1" t="s">
        <v>400</v>
      </c>
      <c r="L3997" s="1">
        <v>7</v>
      </c>
      <c r="M3997" s="13">
        <v>261.14999999999998</v>
      </c>
      <c r="N3997" s="15">
        <v>0.3</v>
      </c>
      <c r="O3997" s="13">
        <v>1938.7</v>
      </c>
      <c r="P3997" s="13">
        <v>126.72</v>
      </c>
      <c r="Q3997" s="13">
        <v>75.319999999999993</v>
      </c>
      <c r="R3997" s="1" t="s">
        <v>78</v>
      </c>
      <c r="S3997" s="1">
        <v>3</v>
      </c>
      <c r="T3997" s="1" t="b">
        <v>0</v>
      </c>
      <c r="U3997" s="1" t="s">
        <v>39</v>
      </c>
      <c r="V3997" s="3">
        <v>3</v>
      </c>
    </row>
    <row r="3998" spans="1:22" x14ac:dyDescent="0.3">
      <c r="A3998" s="2" t="s">
        <v>8429</v>
      </c>
      <c r="B3998" s="10">
        <v>45624</v>
      </c>
      <c r="C3998" s="22">
        <v>45624</v>
      </c>
      <c r="D3998" s="1" t="s">
        <v>8430</v>
      </c>
      <c r="E3998" s="1" t="s">
        <v>1023</v>
      </c>
      <c r="F3998" s="1">
        <v>17</v>
      </c>
      <c r="G3998" s="1" t="s">
        <v>24</v>
      </c>
      <c r="H3998" s="1" t="s">
        <v>82</v>
      </c>
      <c r="I3998" s="1" t="s">
        <v>83</v>
      </c>
      <c r="J3998" s="1" t="s">
        <v>62</v>
      </c>
      <c r="K3998" s="1" t="s">
        <v>151</v>
      </c>
      <c r="L3998" s="1">
        <v>9</v>
      </c>
      <c r="M3998" s="13">
        <v>1408.86</v>
      </c>
      <c r="N3998" s="15">
        <v>0.16</v>
      </c>
      <c r="O3998" s="13">
        <v>10070.83</v>
      </c>
      <c r="P3998" s="13">
        <v>3795.39</v>
      </c>
      <c r="Q3998" s="13">
        <v>79.06</v>
      </c>
      <c r="R3998" s="1" t="s">
        <v>51</v>
      </c>
      <c r="S3998" s="1">
        <v>4</v>
      </c>
      <c r="T3998" s="1" t="b">
        <v>0</v>
      </c>
      <c r="U3998" s="1" t="s">
        <v>39</v>
      </c>
      <c r="V3998" s="3">
        <v>2</v>
      </c>
    </row>
    <row r="3999" spans="1:22" x14ac:dyDescent="0.3">
      <c r="A3999" s="2" t="s">
        <v>8431</v>
      </c>
      <c r="B3999" s="10">
        <v>45597</v>
      </c>
      <c r="C3999" s="22">
        <v>45597</v>
      </c>
      <c r="D3999" s="1" t="s">
        <v>8432</v>
      </c>
      <c r="E3999" s="1" t="s">
        <v>591</v>
      </c>
      <c r="F3999" s="1">
        <v>14</v>
      </c>
      <c r="G3999" s="1" t="s">
        <v>34</v>
      </c>
      <c r="H3999" s="1" t="s">
        <v>25</v>
      </c>
      <c r="I3999" s="1" t="s">
        <v>26</v>
      </c>
      <c r="J3999" s="1" t="s">
        <v>27</v>
      </c>
      <c r="K3999" s="1" t="s">
        <v>400</v>
      </c>
      <c r="L3999" s="1">
        <v>8</v>
      </c>
      <c r="M3999" s="13">
        <v>109.34</v>
      </c>
      <c r="N3999" s="15">
        <v>0.02</v>
      </c>
      <c r="O3999" s="13">
        <v>835.1</v>
      </c>
      <c r="P3999" s="13">
        <v>59.29</v>
      </c>
      <c r="Q3999" s="13">
        <v>46.15</v>
      </c>
      <c r="R3999" s="1" t="s">
        <v>78</v>
      </c>
      <c r="S3999" s="1">
        <v>4</v>
      </c>
      <c r="T3999" s="1" t="b">
        <v>0</v>
      </c>
      <c r="U3999" s="1" t="s">
        <v>197</v>
      </c>
      <c r="V3999" s="3">
        <v>3</v>
      </c>
    </row>
    <row r="4000" spans="1:22" x14ac:dyDescent="0.3">
      <c r="A4000" s="2" t="s">
        <v>8433</v>
      </c>
      <c r="B4000" s="10">
        <v>44341</v>
      </c>
      <c r="C4000" s="22">
        <v>44341</v>
      </c>
      <c r="D4000" s="1" t="s">
        <v>8434</v>
      </c>
      <c r="E4000" s="1" t="s">
        <v>1886</v>
      </c>
      <c r="F4000" s="1">
        <v>31</v>
      </c>
      <c r="G4000" s="1" t="s">
        <v>68</v>
      </c>
      <c r="H4000" s="1" t="s">
        <v>74</v>
      </c>
      <c r="I4000" s="1" t="s">
        <v>192</v>
      </c>
      <c r="J4000" s="1" t="s">
        <v>27</v>
      </c>
      <c r="K4000" s="1" t="s">
        <v>400</v>
      </c>
      <c r="L4000" s="1">
        <v>5</v>
      </c>
      <c r="M4000" s="13">
        <v>356.64</v>
      </c>
      <c r="N4000" s="15">
        <v>0.39</v>
      </c>
      <c r="O4000" s="13">
        <v>290.93</v>
      </c>
      <c r="P4000" s="13">
        <v>17.29</v>
      </c>
      <c r="Q4000" s="13">
        <v>74.52</v>
      </c>
      <c r="R4000" s="1" t="s">
        <v>57</v>
      </c>
      <c r="S4000" s="1">
        <v>3</v>
      </c>
      <c r="T4000" s="1" t="b">
        <v>0</v>
      </c>
      <c r="U4000" s="1" t="s">
        <v>39</v>
      </c>
      <c r="V4000" s="3">
        <v>5</v>
      </c>
    </row>
    <row r="4001" spans="1:22" x14ac:dyDescent="0.3">
      <c r="A4001" s="2" t="s">
        <v>8435</v>
      </c>
      <c r="B4001" s="10">
        <v>45537</v>
      </c>
      <c r="C4001" s="22">
        <v>45537</v>
      </c>
      <c r="D4001" s="1" t="s">
        <v>8436</v>
      </c>
      <c r="E4001" s="1" t="s">
        <v>1128</v>
      </c>
      <c r="F4001" s="1">
        <v>21</v>
      </c>
      <c r="G4001" s="1" t="s">
        <v>24</v>
      </c>
      <c r="H4001" s="1" t="s">
        <v>35</v>
      </c>
      <c r="I4001" s="1" t="s">
        <v>36</v>
      </c>
      <c r="J4001" s="1" t="s">
        <v>127</v>
      </c>
      <c r="K4001" s="1" t="s">
        <v>171</v>
      </c>
      <c r="L4001" s="1">
        <v>5</v>
      </c>
      <c r="M4001" s="13">
        <v>63280.32</v>
      </c>
      <c r="N4001" s="15">
        <v>0.01</v>
      </c>
      <c r="O4001" s="13">
        <v>478410.73</v>
      </c>
      <c r="P4001" s="13">
        <v>55973.13</v>
      </c>
      <c r="Q4001" s="13">
        <v>51.92</v>
      </c>
      <c r="R4001" s="1" t="s">
        <v>51</v>
      </c>
      <c r="S4001" s="1">
        <v>3</v>
      </c>
      <c r="T4001" s="1" t="b">
        <v>0</v>
      </c>
      <c r="U4001" s="1" t="s">
        <v>39</v>
      </c>
      <c r="V4001" s="3">
        <v>10</v>
      </c>
    </row>
    <row r="4002" spans="1:22" x14ac:dyDescent="0.3">
      <c r="A4002" s="2" t="s">
        <v>8437</v>
      </c>
      <c r="B4002" s="10">
        <v>45044</v>
      </c>
      <c r="C4002" s="22">
        <v>45044</v>
      </c>
      <c r="D4002" s="1" t="s">
        <v>8438</v>
      </c>
      <c r="E4002" s="1" t="s">
        <v>2367</v>
      </c>
      <c r="F4002" s="1">
        <v>35</v>
      </c>
      <c r="G4002" s="1" t="s">
        <v>391</v>
      </c>
      <c r="H4002" s="1" t="s">
        <v>74</v>
      </c>
      <c r="I4002" s="1" t="s">
        <v>75</v>
      </c>
      <c r="J4002" s="1" t="s">
        <v>127</v>
      </c>
      <c r="K4002" s="1" t="s">
        <v>128</v>
      </c>
      <c r="L4002" s="1">
        <v>4</v>
      </c>
      <c r="M4002" s="13">
        <v>22399.3</v>
      </c>
      <c r="N4002" s="15">
        <v>0.34</v>
      </c>
      <c r="O4002" s="13">
        <v>85795.74</v>
      </c>
      <c r="P4002" s="13">
        <v>10309.74</v>
      </c>
      <c r="Q4002" s="13">
        <v>54.13</v>
      </c>
      <c r="R4002" s="1" t="s">
        <v>51</v>
      </c>
      <c r="S4002" s="1">
        <v>4</v>
      </c>
      <c r="T4002" s="1" t="b">
        <v>0</v>
      </c>
      <c r="U4002" s="1" t="s">
        <v>84</v>
      </c>
      <c r="V4002" s="3">
        <v>8</v>
      </c>
    </row>
    <row r="4003" spans="1:22" x14ac:dyDescent="0.3">
      <c r="A4003" s="2" t="s">
        <v>8439</v>
      </c>
      <c r="B4003" s="10">
        <v>45046</v>
      </c>
      <c r="C4003" s="22">
        <v>45046</v>
      </c>
      <c r="D4003" s="1" t="s">
        <v>8440</v>
      </c>
      <c r="E4003" s="1" t="s">
        <v>154</v>
      </c>
      <c r="F4003" s="1">
        <v>24</v>
      </c>
      <c r="G4003" s="1" t="s">
        <v>68</v>
      </c>
      <c r="H4003" s="1" t="s">
        <v>74</v>
      </c>
      <c r="I4003" s="1" t="s">
        <v>136</v>
      </c>
      <c r="J4003" s="1" t="s">
        <v>62</v>
      </c>
      <c r="K4003" s="1" t="s">
        <v>283</v>
      </c>
      <c r="L4003" s="1">
        <v>8</v>
      </c>
      <c r="M4003" s="13">
        <v>1123.69</v>
      </c>
      <c r="N4003" s="15">
        <v>0.12</v>
      </c>
      <c r="O4003" s="13">
        <v>10485.92</v>
      </c>
      <c r="P4003" s="13">
        <v>3534.73</v>
      </c>
      <c r="Q4003" s="13">
        <v>78.680000000000007</v>
      </c>
      <c r="R4003" s="1" t="s">
        <v>51</v>
      </c>
      <c r="S4003" s="1">
        <v>3</v>
      </c>
      <c r="T4003" s="1" t="b">
        <v>0</v>
      </c>
      <c r="U4003" s="1" t="s">
        <v>39</v>
      </c>
      <c r="V4003" s="3">
        <v>2</v>
      </c>
    </row>
    <row r="4004" spans="1:22" x14ac:dyDescent="0.3">
      <c r="A4004" s="2" t="s">
        <v>8441</v>
      </c>
      <c r="B4004" s="10">
        <v>44306</v>
      </c>
      <c r="C4004" s="22">
        <v>44306</v>
      </c>
      <c r="D4004" s="1" t="s">
        <v>8442</v>
      </c>
      <c r="E4004" s="1" t="s">
        <v>1489</v>
      </c>
      <c r="F4004" s="1">
        <v>54</v>
      </c>
      <c r="G4004" s="1" t="s">
        <v>24</v>
      </c>
      <c r="H4004" s="1" t="s">
        <v>74</v>
      </c>
      <c r="I4004" s="1" t="s">
        <v>101</v>
      </c>
      <c r="J4004" s="1" t="s">
        <v>37</v>
      </c>
      <c r="K4004" s="1" t="s">
        <v>671</v>
      </c>
      <c r="L4004" s="1">
        <v>5</v>
      </c>
      <c r="M4004" s="13">
        <v>2321.44</v>
      </c>
      <c r="N4004" s="15">
        <v>0.34</v>
      </c>
      <c r="O4004" s="13">
        <v>10030.620000000001</v>
      </c>
      <c r="P4004" s="13">
        <v>3661.06</v>
      </c>
      <c r="Q4004" s="13">
        <v>74.83</v>
      </c>
      <c r="R4004" s="1" t="s">
        <v>64</v>
      </c>
      <c r="S4004" s="1">
        <v>4</v>
      </c>
      <c r="T4004" s="1" t="b">
        <v>0</v>
      </c>
      <c r="U4004" s="1" t="s">
        <v>39</v>
      </c>
      <c r="V4004" s="3">
        <v>8</v>
      </c>
    </row>
    <row r="4005" spans="1:22" x14ac:dyDescent="0.3">
      <c r="A4005" s="2" t="s">
        <v>8443</v>
      </c>
      <c r="B4005" s="10">
        <v>44203</v>
      </c>
      <c r="C4005" s="22">
        <v>44203</v>
      </c>
      <c r="D4005" s="1" t="s">
        <v>8444</v>
      </c>
      <c r="E4005" s="1" t="s">
        <v>2140</v>
      </c>
      <c r="F4005" s="1">
        <v>37</v>
      </c>
      <c r="G4005" s="1" t="s">
        <v>68</v>
      </c>
      <c r="H4005" s="1" t="s">
        <v>111</v>
      </c>
      <c r="I4005" s="1" t="s">
        <v>141</v>
      </c>
      <c r="J4005" s="1" t="s">
        <v>127</v>
      </c>
      <c r="K4005" s="1" t="s">
        <v>308</v>
      </c>
      <c r="L4005" s="1">
        <v>10</v>
      </c>
      <c r="M4005" s="13">
        <v>60534.21</v>
      </c>
      <c r="N4005" s="15">
        <v>0.01</v>
      </c>
      <c r="O4005" s="13">
        <v>501766.48</v>
      </c>
      <c r="P4005" s="13">
        <v>79842.600000000006</v>
      </c>
      <c r="Q4005" s="13">
        <v>52</v>
      </c>
      <c r="R4005" s="1" t="s">
        <v>29</v>
      </c>
      <c r="S4005" s="1">
        <v>4</v>
      </c>
      <c r="T4005" s="1" t="b">
        <v>0</v>
      </c>
      <c r="U4005" s="1" t="s">
        <v>39</v>
      </c>
      <c r="V4005" s="3">
        <v>2</v>
      </c>
    </row>
    <row r="4006" spans="1:22" x14ac:dyDescent="0.3">
      <c r="A4006" s="2" t="s">
        <v>8445</v>
      </c>
      <c r="B4006" s="10">
        <v>45007</v>
      </c>
      <c r="C4006" s="22">
        <v>45007</v>
      </c>
      <c r="D4006" s="1" t="s">
        <v>8446</v>
      </c>
      <c r="E4006" s="1" t="s">
        <v>468</v>
      </c>
      <c r="F4006" s="1">
        <v>34</v>
      </c>
      <c r="G4006" s="1" t="s">
        <v>34</v>
      </c>
      <c r="H4006" s="1" t="s">
        <v>82</v>
      </c>
      <c r="I4006" s="1" t="s">
        <v>126</v>
      </c>
      <c r="J4006" s="1" t="s">
        <v>127</v>
      </c>
      <c r="K4006" s="1" t="s">
        <v>308</v>
      </c>
      <c r="L4006" s="1">
        <v>2</v>
      </c>
      <c r="M4006" s="13">
        <v>10193.98</v>
      </c>
      <c r="N4006" s="15">
        <v>0.38</v>
      </c>
      <c r="O4006" s="13">
        <v>14993.54</v>
      </c>
      <c r="P4006" s="13">
        <v>1174.9000000000001</v>
      </c>
      <c r="Q4006" s="13">
        <v>86.74</v>
      </c>
      <c r="R4006" s="1" t="s">
        <v>51</v>
      </c>
      <c r="S4006" s="1">
        <v>4</v>
      </c>
      <c r="T4006" s="1" t="b">
        <v>0</v>
      </c>
      <c r="U4006" s="1" t="s">
        <v>58</v>
      </c>
      <c r="V4006" s="3">
        <v>5</v>
      </c>
    </row>
    <row r="4007" spans="1:22" x14ac:dyDescent="0.3">
      <c r="A4007" s="2" t="s">
        <v>8447</v>
      </c>
      <c r="B4007" s="10">
        <v>45520</v>
      </c>
      <c r="C4007" s="22">
        <v>45520</v>
      </c>
      <c r="D4007" s="1" t="s">
        <v>8448</v>
      </c>
      <c r="E4007" s="1" t="s">
        <v>1327</v>
      </c>
      <c r="F4007" s="1">
        <v>51</v>
      </c>
      <c r="G4007" s="1" t="s">
        <v>391</v>
      </c>
      <c r="H4007" s="1" t="s">
        <v>74</v>
      </c>
      <c r="I4007" s="1" t="s">
        <v>75</v>
      </c>
      <c r="J4007" s="1" t="s">
        <v>146</v>
      </c>
      <c r="K4007" s="1" t="s">
        <v>147</v>
      </c>
      <c r="L4007" s="1">
        <v>10</v>
      </c>
      <c r="M4007" s="13">
        <v>786.71</v>
      </c>
      <c r="N4007" s="15">
        <v>0.03</v>
      </c>
      <c r="O4007" s="13">
        <v>11951.87</v>
      </c>
      <c r="P4007" s="13">
        <v>1750.05</v>
      </c>
      <c r="Q4007" s="13">
        <v>48.55</v>
      </c>
      <c r="R4007" s="1" t="s">
        <v>57</v>
      </c>
      <c r="S4007" s="1">
        <v>1</v>
      </c>
      <c r="T4007" s="1" t="b">
        <v>0</v>
      </c>
      <c r="U4007" s="1" t="s">
        <v>197</v>
      </c>
      <c r="V4007" s="3">
        <v>8</v>
      </c>
    </row>
    <row r="4008" spans="1:22" x14ac:dyDescent="0.3">
      <c r="A4008" s="2" t="s">
        <v>8449</v>
      </c>
      <c r="B4008" s="10">
        <v>44529</v>
      </c>
      <c r="C4008" s="22">
        <v>44529</v>
      </c>
      <c r="D4008" s="1" t="s">
        <v>8450</v>
      </c>
      <c r="E4008" s="1" t="s">
        <v>1583</v>
      </c>
      <c r="F4008" s="1">
        <v>21</v>
      </c>
      <c r="G4008" s="1" t="s">
        <v>68</v>
      </c>
      <c r="H4008" s="1" t="s">
        <v>82</v>
      </c>
      <c r="I4008" s="1" t="s">
        <v>83</v>
      </c>
      <c r="J4008" s="1" t="s">
        <v>62</v>
      </c>
      <c r="K4008" s="1" t="s">
        <v>266</v>
      </c>
      <c r="L4008" s="1">
        <v>10</v>
      </c>
      <c r="M4008" s="13">
        <v>722.86</v>
      </c>
      <c r="N4008" s="15">
        <v>0.15</v>
      </c>
      <c r="O4008" s="13">
        <v>5123.0200000000004</v>
      </c>
      <c r="P4008" s="13">
        <v>2442.73</v>
      </c>
      <c r="Q4008" s="13">
        <v>55.76</v>
      </c>
      <c r="R4008" s="1" t="s">
        <v>78</v>
      </c>
      <c r="S4008" s="1">
        <v>1</v>
      </c>
      <c r="T4008" s="1" t="b">
        <v>0</v>
      </c>
      <c r="U4008" s="1" t="s">
        <v>39</v>
      </c>
      <c r="V4008" s="3">
        <v>4</v>
      </c>
    </row>
    <row r="4009" spans="1:22" x14ac:dyDescent="0.3">
      <c r="A4009" s="2" t="s">
        <v>8451</v>
      </c>
      <c r="B4009" s="10">
        <v>44313</v>
      </c>
      <c r="C4009" s="22">
        <v>44313</v>
      </c>
      <c r="D4009" s="1" t="s">
        <v>8452</v>
      </c>
      <c r="E4009" s="1" t="s">
        <v>1243</v>
      </c>
      <c r="F4009" s="1">
        <v>27</v>
      </c>
      <c r="G4009" s="1" t="s">
        <v>34</v>
      </c>
      <c r="H4009" s="1" t="s">
        <v>25</v>
      </c>
      <c r="I4009" s="1" t="s">
        <v>55</v>
      </c>
      <c r="J4009" s="1" t="s">
        <v>37</v>
      </c>
      <c r="K4009" s="1" t="s">
        <v>102</v>
      </c>
      <c r="L4009" s="1">
        <v>6</v>
      </c>
      <c r="M4009" s="13">
        <v>2416.31</v>
      </c>
      <c r="N4009" s="15">
        <v>0.13</v>
      </c>
      <c r="O4009" s="13">
        <v>15688.04</v>
      </c>
      <c r="P4009" s="13">
        <v>7768.7</v>
      </c>
      <c r="Q4009" s="13">
        <v>37.54</v>
      </c>
      <c r="R4009" s="1" t="s">
        <v>64</v>
      </c>
      <c r="S4009" s="1">
        <v>4</v>
      </c>
      <c r="T4009" s="1" t="b">
        <v>0</v>
      </c>
      <c r="U4009" s="1" t="s">
        <v>39</v>
      </c>
      <c r="V4009" s="3">
        <v>4</v>
      </c>
    </row>
    <row r="4010" spans="1:22" x14ac:dyDescent="0.3">
      <c r="A4010" s="2" t="s">
        <v>8453</v>
      </c>
      <c r="B4010" s="10">
        <v>45198</v>
      </c>
      <c r="C4010" s="22">
        <v>45198</v>
      </c>
      <c r="D4010" s="1" t="s">
        <v>8454</v>
      </c>
      <c r="E4010" s="1" t="s">
        <v>247</v>
      </c>
      <c r="F4010" s="1">
        <v>25</v>
      </c>
      <c r="G4010" s="1" t="s">
        <v>24</v>
      </c>
      <c r="H4010" s="1" t="s">
        <v>111</v>
      </c>
      <c r="I4010" s="1" t="s">
        <v>141</v>
      </c>
      <c r="J4010" s="1" t="s">
        <v>76</v>
      </c>
      <c r="K4010" s="1" t="s">
        <v>132</v>
      </c>
      <c r="L4010" s="1">
        <v>6</v>
      </c>
      <c r="M4010" s="13">
        <v>2996.07</v>
      </c>
      <c r="N4010" s="15">
        <v>0.39</v>
      </c>
      <c r="O4010" s="13">
        <v>13261.21</v>
      </c>
      <c r="P4010" s="13">
        <v>6275.03</v>
      </c>
      <c r="Q4010" s="13">
        <v>75.180000000000007</v>
      </c>
      <c r="R4010" s="1" t="s">
        <v>64</v>
      </c>
      <c r="S4010" s="1">
        <v>2</v>
      </c>
      <c r="T4010" s="1" t="b">
        <v>0</v>
      </c>
      <c r="U4010" s="1" t="s">
        <v>39</v>
      </c>
      <c r="V4010" s="3">
        <v>1</v>
      </c>
    </row>
    <row r="4011" spans="1:22" x14ac:dyDescent="0.3">
      <c r="A4011" s="2" t="s">
        <v>8455</v>
      </c>
      <c r="B4011" s="10">
        <v>44831</v>
      </c>
      <c r="C4011" s="22">
        <v>44831</v>
      </c>
      <c r="D4011" s="1" t="s">
        <v>8456</v>
      </c>
      <c r="E4011" s="1" t="s">
        <v>575</v>
      </c>
      <c r="F4011" s="1">
        <v>34</v>
      </c>
      <c r="G4011" s="1" t="s">
        <v>34</v>
      </c>
      <c r="H4011" s="1" t="s">
        <v>82</v>
      </c>
      <c r="I4011" s="1" t="s">
        <v>126</v>
      </c>
      <c r="J4011" s="1" t="s">
        <v>37</v>
      </c>
      <c r="K4011" s="1" t="s">
        <v>182</v>
      </c>
      <c r="L4011" s="1">
        <v>8</v>
      </c>
      <c r="M4011" s="13">
        <v>1956.04</v>
      </c>
      <c r="N4011" s="15">
        <v>0.05</v>
      </c>
      <c r="O4011" s="13">
        <v>16158.29</v>
      </c>
      <c r="P4011" s="13">
        <v>7683.48</v>
      </c>
      <c r="Q4011" s="13">
        <v>90.07</v>
      </c>
      <c r="R4011" s="1" t="s">
        <v>51</v>
      </c>
      <c r="S4011" s="1">
        <v>1</v>
      </c>
      <c r="T4011" s="1" t="b">
        <v>0</v>
      </c>
      <c r="U4011" s="1" t="s">
        <v>84</v>
      </c>
      <c r="V4011" s="3">
        <v>4</v>
      </c>
    </row>
    <row r="4012" spans="1:22" x14ac:dyDescent="0.3">
      <c r="A4012" s="2" t="s">
        <v>8457</v>
      </c>
      <c r="B4012" s="10">
        <v>45122</v>
      </c>
      <c r="C4012" s="22">
        <v>45122</v>
      </c>
      <c r="D4012" s="1" t="s">
        <v>8458</v>
      </c>
      <c r="E4012" s="1" t="s">
        <v>1050</v>
      </c>
      <c r="F4012" s="1">
        <v>25</v>
      </c>
      <c r="G4012" s="1" t="s">
        <v>34</v>
      </c>
      <c r="H4012" s="1" t="s">
        <v>82</v>
      </c>
      <c r="I4012" s="1" t="s">
        <v>83</v>
      </c>
      <c r="J4012" s="1" t="s">
        <v>37</v>
      </c>
      <c r="K4012" s="1" t="s">
        <v>671</v>
      </c>
      <c r="L4012" s="1">
        <v>8</v>
      </c>
      <c r="M4012" s="13">
        <v>524.72</v>
      </c>
      <c r="N4012" s="15">
        <v>0.11</v>
      </c>
      <c r="O4012" s="13">
        <v>6161.59</v>
      </c>
      <c r="P4012" s="13">
        <v>3302.07</v>
      </c>
      <c r="Q4012" s="13">
        <v>74.59</v>
      </c>
      <c r="R4012" s="1" t="s">
        <v>57</v>
      </c>
      <c r="S4012" s="1">
        <v>3</v>
      </c>
      <c r="T4012" s="1" t="b">
        <v>0</v>
      </c>
      <c r="U4012" s="1" t="s">
        <v>39</v>
      </c>
      <c r="V4012" s="3">
        <v>9</v>
      </c>
    </row>
    <row r="4013" spans="1:22" x14ac:dyDescent="0.3">
      <c r="A4013" s="2" t="s">
        <v>8459</v>
      </c>
      <c r="B4013" s="10">
        <v>44232</v>
      </c>
      <c r="C4013" s="22">
        <v>44232</v>
      </c>
      <c r="D4013" s="1" t="s">
        <v>1153</v>
      </c>
      <c r="E4013" s="1" t="s">
        <v>1204</v>
      </c>
      <c r="F4013" s="1">
        <v>48</v>
      </c>
      <c r="G4013" s="1" t="s">
        <v>24</v>
      </c>
      <c r="H4013" s="1" t="s">
        <v>111</v>
      </c>
      <c r="I4013" s="1" t="s">
        <v>330</v>
      </c>
      <c r="J4013" s="1" t="s">
        <v>27</v>
      </c>
      <c r="K4013" s="1" t="s">
        <v>430</v>
      </c>
      <c r="L4013" s="1">
        <v>4</v>
      </c>
      <c r="M4013" s="13">
        <v>405.74</v>
      </c>
      <c r="N4013" s="15">
        <v>0.06</v>
      </c>
      <c r="O4013" s="13">
        <v>1652.51</v>
      </c>
      <c r="P4013" s="13">
        <v>140.36000000000001</v>
      </c>
      <c r="Q4013" s="13">
        <v>111.98</v>
      </c>
      <c r="R4013" s="1" t="s">
        <v>70</v>
      </c>
      <c r="S4013" s="1">
        <v>5</v>
      </c>
      <c r="T4013" s="1" t="b">
        <v>0</v>
      </c>
      <c r="U4013" s="1" t="s">
        <v>137</v>
      </c>
      <c r="V4013" s="3">
        <v>7</v>
      </c>
    </row>
    <row r="4014" spans="1:22" x14ac:dyDescent="0.3">
      <c r="A4014" s="2" t="s">
        <v>8460</v>
      </c>
      <c r="B4014" s="10">
        <v>45095</v>
      </c>
      <c r="C4014" s="22">
        <v>45095</v>
      </c>
      <c r="D4014" s="1" t="s">
        <v>8461</v>
      </c>
      <c r="E4014" s="1" t="s">
        <v>224</v>
      </c>
      <c r="F4014" s="1">
        <v>27</v>
      </c>
      <c r="G4014" s="1" t="s">
        <v>34</v>
      </c>
      <c r="H4014" s="1" t="s">
        <v>82</v>
      </c>
      <c r="I4014" s="1" t="s">
        <v>293</v>
      </c>
      <c r="J4014" s="1" t="s">
        <v>44</v>
      </c>
      <c r="K4014" s="1" t="s">
        <v>50</v>
      </c>
      <c r="L4014" s="1">
        <v>6</v>
      </c>
      <c r="M4014" s="13">
        <v>18974.28</v>
      </c>
      <c r="N4014" s="15">
        <v>0.32</v>
      </c>
      <c r="O4014" s="13">
        <v>137423.69</v>
      </c>
      <c r="P4014" s="13">
        <v>7548.58</v>
      </c>
      <c r="Q4014" s="13">
        <v>78.91</v>
      </c>
      <c r="R4014" s="1" t="s">
        <v>57</v>
      </c>
      <c r="S4014" s="1">
        <v>3</v>
      </c>
      <c r="T4014" s="1" t="b">
        <v>0</v>
      </c>
      <c r="U4014" s="1" t="s">
        <v>39</v>
      </c>
      <c r="V4014" s="3">
        <v>6</v>
      </c>
    </row>
    <row r="4015" spans="1:22" x14ac:dyDescent="0.3">
      <c r="A4015" s="2" t="s">
        <v>8462</v>
      </c>
      <c r="B4015" s="10">
        <v>44327</v>
      </c>
      <c r="C4015" s="22">
        <v>44327</v>
      </c>
      <c r="D4015" s="1" t="s">
        <v>8463</v>
      </c>
      <c r="E4015" s="1" t="s">
        <v>1447</v>
      </c>
      <c r="F4015" s="1">
        <v>23</v>
      </c>
      <c r="G4015" s="1" t="s">
        <v>24</v>
      </c>
      <c r="H4015" s="1" t="s">
        <v>82</v>
      </c>
      <c r="I4015" s="1" t="s">
        <v>244</v>
      </c>
      <c r="J4015" s="1" t="s">
        <v>37</v>
      </c>
      <c r="K4015" s="1" t="s">
        <v>454</v>
      </c>
      <c r="L4015" s="1">
        <v>4</v>
      </c>
      <c r="M4015" s="13">
        <v>2455.13</v>
      </c>
      <c r="N4015" s="15">
        <v>0.04</v>
      </c>
      <c r="O4015" s="13">
        <v>12314.54</v>
      </c>
      <c r="P4015" s="13">
        <v>5429.24</v>
      </c>
      <c r="Q4015" s="13">
        <v>86.94</v>
      </c>
      <c r="R4015" s="1" t="s">
        <v>51</v>
      </c>
      <c r="S4015" s="1">
        <v>5</v>
      </c>
      <c r="T4015" s="1" t="b">
        <v>0</v>
      </c>
      <c r="U4015" s="1" t="s">
        <v>39</v>
      </c>
      <c r="V4015" s="3">
        <v>2</v>
      </c>
    </row>
    <row r="4016" spans="1:22" x14ac:dyDescent="0.3">
      <c r="A4016" s="2" t="s">
        <v>8464</v>
      </c>
      <c r="B4016" s="10">
        <v>44887</v>
      </c>
      <c r="C4016" s="22">
        <v>44887</v>
      </c>
      <c r="D4016" s="1" t="s">
        <v>8465</v>
      </c>
      <c r="E4016" s="1" t="s">
        <v>487</v>
      </c>
      <c r="F4016" s="1">
        <v>35</v>
      </c>
      <c r="G4016" s="1" t="s">
        <v>24</v>
      </c>
      <c r="H4016" s="1" t="s">
        <v>82</v>
      </c>
      <c r="I4016" s="1" t="s">
        <v>126</v>
      </c>
      <c r="J4016" s="1" t="s">
        <v>44</v>
      </c>
      <c r="K4016" s="1" t="s">
        <v>50</v>
      </c>
      <c r="L4016" s="1">
        <v>10</v>
      </c>
      <c r="M4016" s="13">
        <v>5117.29</v>
      </c>
      <c r="N4016" s="15">
        <v>0.35</v>
      </c>
      <c r="O4016" s="13">
        <v>29419.75</v>
      </c>
      <c r="P4016" s="13">
        <v>8052.09</v>
      </c>
      <c r="Q4016" s="13">
        <v>61.97</v>
      </c>
      <c r="R4016" s="1" t="s">
        <v>78</v>
      </c>
      <c r="S4016" s="1">
        <v>3</v>
      </c>
      <c r="T4016" s="1" t="b">
        <v>0</v>
      </c>
      <c r="U4016" s="1" t="s">
        <v>39</v>
      </c>
      <c r="V4016" s="3">
        <v>8</v>
      </c>
    </row>
    <row r="4017" spans="1:22" x14ac:dyDescent="0.3">
      <c r="A4017" s="2" t="s">
        <v>8466</v>
      </c>
      <c r="B4017" s="10">
        <v>45122</v>
      </c>
      <c r="C4017" s="22">
        <v>45122</v>
      </c>
      <c r="D4017" s="1" t="s">
        <v>8467</v>
      </c>
      <c r="E4017" s="1" t="s">
        <v>440</v>
      </c>
      <c r="F4017" s="1">
        <v>42</v>
      </c>
      <c r="G4017" s="1" t="s">
        <v>34</v>
      </c>
      <c r="H4017" s="1" t="s">
        <v>82</v>
      </c>
      <c r="I4017" s="1" t="s">
        <v>126</v>
      </c>
      <c r="J4017" s="1" t="s">
        <v>146</v>
      </c>
      <c r="K4017" s="1" t="s">
        <v>217</v>
      </c>
      <c r="L4017" s="1">
        <v>3</v>
      </c>
      <c r="M4017" s="13">
        <v>13447.87</v>
      </c>
      <c r="N4017" s="15">
        <v>0.03</v>
      </c>
      <c r="O4017" s="13">
        <v>63861.69</v>
      </c>
      <c r="P4017" s="13">
        <v>14051.98</v>
      </c>
      <c r="Q4017" s="13">
        <v>89.88</v>
      </c>
      <c r="R4017" s="1" t="s">
        <v>70</v>
      </c>
      <c r="S4017" s="1">
        <v>1</v>
      </c>
      <c r="T4017" s="1" t="b">
        <v>1</v>
      </c>
      <c r="U4017" s="1" t="s">
        <v>30</v>
      </c>
      <c r="V4017" s="3">
        <v>1</v>
      </c>
    </row>
    <row r="4018" spans="1:22" x14ac:dyDescent="0.3">
      <c r="A4018" s="2" t="s">
        <v>8468</v>
      </c>
      <c r="B4018" s="10">
        <v>44423</v>
      </c>
      <c r="C4018" s="22">
        <v>44423</v>
      </c>
      <c r="D4018" s="1" t="s">
        <v>8469</v>
      </c>
      <c r="E4018" s="1" t="s">
        <v>1462</v>
      </c>
      <c r="F4018" s="1">
        <v>27</v>
      </c>
      <c r="G4018" s="1" t="s">
        <v>68</v>
      </c>
      <c r="H4018" s="1" t="s">
        <v>82</v>
      </c>
      <c r="I4018" s="1" t="s">
        <v>293</v>
      </c>
      <c r="J4018" s="1" t="s">
        <v>146</v>
      </c>
      <c r="K4018" s="1" t="s">
        <v>217</v>
      </c>
      <c r="L4018" s="1">
        <v>2</v>
      </c>
      <c r="M4018" s="13">
        <v>11208.34</v>
      </c>
      <c r="N4018" s="15">
        <v>0.21</v>
      </c>
      <c r="O4018" s="13">
        <v>28031.47</v>
      </c>
      <c r="P4018" s="13">
        <v>5448.35</v>
      </c>
      <c r="Q4018" s="13">
        <v>65.42</v>
      </c>
      <c r="R4018" s="1" t="s">
        <v>51</v>
      </c>
      <c r="S4018" s="1">
        <v>3</v>
      </c>
      <c r="T4018" s="1" t="b">
        <v>0</v>
      </c>
      <c r="U4018" s="1" t="s">
        <v>39</v>
      </c>
      <c r="V4018" s="3">
        <v>10</v>
      </c>
    </row>
    <row r="4019" spans="1:22" x14ac:dyDescent="0.3">
      <c r="A4019" s="2" t="s">
        <v>8470</v>
      </c>
      <c r="B4019" s="10">
        <v>44566</v>
      </c>
      <c r="C4019" s="22">
        <v>44566</v>
      </c>
      <c r="D4019" s="1" t="s">
        <v>8471</v>
      </c>
      <c r="E4019" s="1" t="s">
        <v>61</v>
      </c>
      <c r="F4019" s="1">
        <v>28</v>
      </c>
      <c r="G4019" s="1" t="s">
        <v>24</v>
      </c>
      <c r="H4019" s="1" t="s">
        <v>74</v>
      </c>
      <c r="I4019" s="1" t="s">
        <v>75</v>
      </c>
      <c r="J4019" s="1" t="s">
        <v>44</v>
      </c>
      <c r="K4019" s="1" t="s">
        <v>50</v>
      </c>
      <c r="L4019" s="1">
        <v>10</v>
      </c>
      <c r="M4019" s="13">
        <v>9788.59</v>
      </c>
      <c r="N4019" s="15">
        <v>0.18</v>
      </c>
      <c r="O4019" s="13">
        <v>56440.79</v>
      </c>
      <c r="P4019" s="13">
        <v>15796.43</v>
      </c>
      <c r="Q4019" s="13">
        <v>48.09</v>
      </c>
      <c r="R4019" s="1" t="s">
        <v>57</v>
      </c>
      <c r="S4019" s="1">
        <v>1</v>
      </c>
      <c r="T4019" s="1" t="b">
        <v>1</v>
      </c>
      <c r="U4019" s="1" t="s">
        <v>30</v>
      </c>
      <c r="V4019" s="3">
        <v>7</v>
      </c>
    </row>
    <row r="4020" spans="1:22" x14ac:dyDescent="0.3">
      <c r="A4020" s="2" t="s">
        <v>8472</v>
      </c>
      <c r="B4020" s="10">
        <v>45172</v>
      </c>
      <c r="C4020" s="22">
        <v>45172</v>
      </c>
      <c r="D4020" s="1" t="s">
        <v>8473</v>
      </c>
      <c r="E4020" s="1" t="s">
        <v>2637</v>
      </c>
      <c r="F4020" s="1">
        <v>26</v>
      </c>
      <c r="G4020" s="1" t="s">
        <v>34</v>
      </c>
      <c r="H4020" s="1" t="s">
        <v>35</v>
      </c>
      <c r="I4020" s="1" t="s">
        <v>49</v>
      </c>
      <c r="J4020" s="1" t="s">
        <v>76</v>
      </c>
      <c r="K4020" s="1" t="s">
        <v>77</v>
      </c>
      <c r="L4020" s="1">
        <v>1</v>
      </c>
      <c r="M4020" s="13">
        <v>1916.17</v>
      </c>
      <c r="N4020" s="15">
        <v>0.22</v>
      </c>
      <c r="O4020" s="13">
        <v>1845.9</v>
      </c>
      <c r="P4020" s="13">
        <v>598.99</v>
      </c>
      <c r="Q4020" s="13">
        <v>47.98</v>
      </c>
      <c r="R4020" s="1" t="s">
        <v>57</v>
      </c>
      <c r="S4020" s="1">
        <v>4</v>
      </c>
      <c r="T4020" s="1" t="b">
        <v>0</v>
      </c>
      <c r="U4020" s="1" t="s">
        <v>39</v>
      </c>
      <c r="V4020" s="3">
        <v>10</v>
      </c>
    </row>
    <row r="4021" spans="1:22" x14ac:dyDescent="0.3">
      <c r="A4021" s="2" t="s">
        <v>8474</v>
      </c>
      <c r="B4021" s="10">
        <v>44193</v>
      </c>
      <c r="C4021" s="22">
        <v>44193</v>
      </c>
      <c r="D4021" s="1" t="s">
        <v>6000</v>
      </c>
      <c r="E4021" s="1" t="s">
        <v>2494</v>
      </c>
      <c r="F4021" s="1">
        <v>44</v>
      </c>
      <c r="G4021" s="1" t="s">
        <v>24</v>
      </c>
      <c r="H4021" s="1" t="s">
        <v>35</v>
      </c>
      <c r="I4021" s="1" t="s">
        <v>106</v>
      </c>
      <c r="J4021" s="1" t="s">
        <v>76</v>
      </c>
      <c r="K4021" s="1" t="s">
        <v>113</v>
      </c>
      <c r="L4021" s="1">
        <v>8</v>
      </c>
      <c r="M4021" s="13">
        <v>1635.94</v>
      </c>
      <c r="N4021" s="15">
        <v>0.17</v>
      </c>
      <c r="O4021" s="13">
        <v>7364.45</v>
      </c>
      <c r="P4021" s="13">
        <v>1973.68</v>
      </c>
      <c r="Q4021" s="13">
        <v>58.56</v>
      </c>
      <c r="R4021" s="1" t="s">
        <v>51</v>
      </c>
      <c r="S4021" s="1">
        <v>4</v>
      </c>
      <c r="T4021" s="1" t="b">
        <v>0</v>
      </c>
      <c r="U4021" s="1" t="s">
        <v>39</v>
      </c>
      <c r="V4021" s="3">
        <v>7</v>
      </c>
    </row>
    <row r="4022" spans="1:22" x14ac:dyDescent="0.3">
      <c r="A4022" s="2" t="s">
        <v>8475</v>
      </c>
      <c r="B4022" s="10">
        <v>44095</v>
      </c>
      <c r="C4022" s="22">
        <v>44095</v>
      </c>
      <c r="D4022" s="1" t="s">
        <v>8476</v>
      </c>
      <c r="E4022" s="1" t="s">
        <v>224</v>
      </c>
      <c r="F4022" s="1">
        <v>34</v>
      </c>
      <c r="G4022" s="1" t="s">
        <v>24</v>
      </c>
      <c r="H4022" s="1" t="s">
        <v>25</v>
      </c>
      <c r="I4022" s="1" t="s">
        <v>26</v>
      </c>
      <c r="J4022" s="1" t="s">
        <v>27</v>
      </c>
      <c r="K4022" s="1" t="s">
        <v>450</v>
      </c>
      <c r="L4022" s="1">
        <v>6</v>
      </c>
      <c r="M4022" s="13">
        <v>197.31</v>
      </c>
      <c r="N4022" s="15">
        <v>0.38</v>
      </c>
      <c r="O4022" s="13">
        <v>809.88</v>
      </c>
      <c r="P4022" s="13">
        <v>50.36</v>
      </c>
      <c r="Q4022" s="13">
        <v>60.78</v>
      </c>
      <c r="R4022" s="1" t="s">
        <v>70</v>
      </c>
      <c r="S4022" s="1">
        <v>1</v>
      </c>
      <c r="T4022" s="1" t="b">
        <v>0</v>
      </c>
      <c r="U4022" s="1" t="s">
        <v>197</v>
      </c>
      <c r="V4022" s="3">
        <v>3</v>
      </c>
    </row>
    <row r="4023" spans="1:22" x14ac:dyDescent="0.3">
      <c r="A4023" s="2" t="s">
        <v>8477</v>
      </c>
      <c r="B4023" s="10">
        <v>43858</v>
      </c>
      <c r="C4023" s="22">
        <v>43858</v>
      </c>
      <c r="D4023" s="1" t="s">
        <v>8478</v>
      </c>
      <c r="E4023" s="1" t="s">
        <v>1665</v>
      </c>
      <c r="F4023" s="1">
        <v>40</v>
      </c>
      <c r="G4023" s="1" t="s">
        <v>68</v>
      </c>
      <c r="H4023" s="1" t="s">
        <v>82</v>
      </c>
      <c r="I4023" s="1" t="s">
        <v>83</v>
      </c>
      <c r="J4023" s="1" t="s">
        <v>44</v>
      </c>
      <c r="K4023" s="1" t="s">
        <v>117</v>
      </c>
      <c r="L4023" s="1">
        <v>8</v>
      </c>
      <c r="M4023" s="13">
        <v>33648.870000000003</v>
      </c>
      <c r="N4023" s="15">
        <v>0.27</v>
      </c>
      <c r="O4023" s="13">
        <v>165959.54999999999</v>
      </c>
      <c r="P4023" s="13">
        <v>58848.22</v>
      </c>
      <c r="Q4023" s="13">
        <v>90.58</v>
      </c>
      <c r="R4023" s="1" t="s">
        <v>57</v>
      </c>
      <c r="S4023" s="1">
        <v>4</v>
      </c>
      <c r="T4023" s="1" t="b">
        <v>1</v>
      </c>
      <c r="U4023" s="1" t="s">
        <v>30</v>
      </c>
      <c r="V4023" s="3">
        <v>9</v>
      </c>
    </row>
    <row r="4024" spans="1:22" x14ac:dyDescent="0.3">
      <c r="A4024" s="2" t="s">
        <v>8479</v>
      </c>
      <c r="B4024" s="10">
        <v>44033</v>
      </c>
      <c r="C4024" s="22">
        <v>44033</v>
      </c>
      <c r="D4024" s="1" t="s">
        <v>8480</v>
      </c>
      <c r="E4024" s="1" t="s">
        <v>1586</v>
      </c>
      <c r="F4024" s="1">
        <v>36</v>
      </c>
      <c r="G4024" s="1" t="s">
        <v>24</v>
      </c>
      <c r="H4024" s="1" t="s">
        <v>74</v>
      </c>
      <c r="I4024" s="1" t="s">
        <v>101</v>
      </c>
      <c r="J4024" s="1" t="s">
        <v>146</v>
      </c>
      <c r="K4024" s="1" t="s">
        <v>484</v>
      </c>
      <c r="L4024" s="1">
        <v>6</v>
      </c>
      <c r="M4024" s="13">
        <v>11043.66</v>
      </c>
      <c r="N4024" s="15">
        <v>0.36</v>
      </c>
      <c r="O4024" s="13">
        <v>52329.61</v>
      </c>
      <c r="P4024" s="13">
        <v>10394.780000000001</v>
      </c>
      <c r="Q4024" s="13">
        <v>45.19</v>
      </c>
      <c r="R4024" s="1" t="s">
        <v>78</v>
      </c>
      <c r="S4024" s="1">
        <v>1</v>
      </c>
      <c r="T4024" s="1" t="b">
        <v>0</v>
      </c>
      <c r="U4024" s="1" t="s">
        <v>39</v>
      </c>
      <c r="V4024" s="3">
        <v>3</v>
      </c>
    </row>
    <row r="4025" spans="1:22" x14ac:dyDescent="0.3">
      <c r="A4025" s="2" t="s">
        <v>8481</v>
      </c>
      <c r="B4025" s="10">
        <v>44046</v>
      </c>
      <c r="C4025" s="22">
        <v>44046</v>
      </c>
      <c r="D4025" s="1" t="s">
        <v>8482</v>
      </c>
      <c r="E4025" s="1" t="s">
        <v>552</v>
      </c>
      <c r="F4025" s="1">
        <v>36</v>
      </c>
      <c r="G4025" s="1" t="s">
        <v>68</v>
      </c>
      <c r="H4025" s="1" t="s">
        <v>74</v>
      </c>
      <c r="I4025" s="1" t="s">
        <v>75</v>
      </c>
      <c r="J4025" s="1" t="s">
        <v>76</v>
      </c>
      <c r="K4025" s="1" t="s">
        <v>207</v>
      </c>
      <c r="L4025" s="1">
        <v>1</v>
      </c>
      <c r="M4025" s="13">
        <v>2218.42</v>
      </c>
      <c r="N4025" s="15">
        <v>0.01</v>
      </c>
      <c r="O4025" s="13">
        <v>2825.18</v>
      </c>
      <c r="P4025" s="13">
        <v>885.38</v>
      </c>
      <c r="Q4025" s="13">
        <v>25.22</v>
      </c>
      <c r="R4025" s="1" t="s">
        <v>57</v>
      </c>
      <c r="S4025" s="1">
        <v>2</v>
      </c>
      <c r="T4025" s="1" t="b">
        <v>0</v>
      </c>
      <c r="U4025" s="1" t="s">
        <v>39</v>
      </c>
      <c r="V4025" s="3">
        <v>6</v>
      </c>
    </row>
    <row r="4026" spans="1:22" x14ac:dyDescent="0.3">
      <c r="A4026" s="2" t="s">
        <v>8483</v>
      </c>
      <c r="B4026" s="10">
        <v>44770</v>
      </c>
      <c r="C4026" s="22">
        <v>44770</v>
      </c>
      <c r="D4026" s="1" t="s">
        <v>8484</v>
      </c>
      <c r="E4026" s="1" t="s">
        <v>2791</v>
      </c>
      <c r="F4026" s="1">
        <v>40</v>
      </c>
      <c r="G4026" s="1" t="s">
        <v>24</v>
      </c>
      <c r="H4026" s="1" t="s">
        <v>74</v>
      </c>
      <c r="I4026" s="1" t="s">
        <v>136</v>
      </c>
      <c r="J4026" s="1" t="s">
        <v>37</v>
      </c>
      <c r="K4026" s="1" t="s">
        <v>182</v>
      </c>
      <c r="L4026" s="1">
        <v>8</v>
      </c>
      <c r="M4026" s="13">
        <v>1990.6</v>
      </c>
      <c r="N4026" s="15">
        <v>0.37</v>
      </c>
      <c r="O4026" s="13">
        <v>14038.19</v>
      </c>
      <c r="P4026" s="13">
        <v>5997.36</v>
      </c>
      <c r="Q4026" s="13">
        <v>71.989999999999995</v>
      </c>
      <c r="R4026" s="1" t="s">
        <v>78</v>
      </c>
      <c r="S4026" s="1">
        <v>2</v>
      </c>
      <c r="T4026" s="1" t="b">
        <v>0</v>
      </c>
      <c r="U4026" s="1" t="s">
        <v>39</v>
      </c>
      <c r="V4026" s="3">
        <v>9</v>
      </c>
    </row>
    <row r="4027" spans="1:22" x14ac:dyDescent="0.3">
      <c r="A4027" s="2" t="s">
        <v>8485</v>
      </c>
      <c r="B4027" s="10">
        <v>44385</v>
      </c>
      <c r="C4027" s="22">
        <v>44385</v>
      </c>
      <c r="D4027" s="1" t="s">
        <v>8486</v>
      </c>
      <c r="E4027" s="1" t="s">
        <v>253</v>
      </c>
      <c r="F4027" s="1">
        <v>13</v>
      </c>
      <c r="G4027" s="1" t="s">
        <v>34</v>
      </c>
      <c r="H4027" s="1" t="s">
        <v>111</v>
      </c>
      <c r="I4027" s="1" t="s">
        <v>112</v>
      </c>
      <c r="J4027" s="1" t="s">
        <v>27</v>
      </c>
      <c r="K4027" s="1" t="s">
        <v>400</v>
      </c>
      <c r="L4027" s="1">
        <v>2</v>
      </c>
      <c r="M4027" s="13">
        <v>347.75</v>
      </c>
      <c r="N4027" s="15">
        <v>0.37</v>
      </c>
      <c r="O4027" s="13">
        <v>629.36</v>
      </c>
      <c r="P4027" s="13">
        <v>48.84</v>
      </c>
      <c r="Q4027" s="13">
        <v>91.05</v>
      </c>
      <c r="R4027" s="1" t="s">
        <v>78</v>
      </c>
      <c r="S4027" s="1">
        <v>4</v>
      </c>
      <c r="T4027" s="1" t="b">
        <v>0</v>
      </c>
      <c r="U4027" s="1" t="s">
        <v>84</v>
      </c>
      <c r="V4027" s="3">
        <v>7</v>
      </c>
    </row>
    <row r="4028" spans="1:22" x14ac:dyDescent="0.3">
      <c r="A4028" s="2" t="s">
        <v>8487</v>
      </c>
      <c r="B4028" s="10">
        <v>44047</v>
      </c>
      <c r="C4028" s="22">
        <v>44047</v>
      </c>
      <c r="D4028" s="1" t="s">
        <v>8488</v>
      </c>
      <c r="E4028" s="1" t="s">
        <v>1665</v>
      </c>
      <c r="F4028" s="1">
        <v>52</v>
      </c>
      <c r="G4028" s="1" t="s">
        <v>24</v>
      </c>
      <c r="H4028" s="1" t="s">
        <v>35</v>
      </c>
      <c r="I4028" s="1" t="s">
        <v>36</v>
      </c>
      <c r="J4028" s="1" t="s">
        <v>44</v>
      </c>
      <c r="K4028" s="1" t="s">
        <v>93</v>
      </c>
      <c r="L4028" s="1">
        <v>3</v>
      </c>
      <c r="M4028" s="13">
        <v>14320.7</v>
      </c>
      <c r="N4028" s="15">
        <v>0.28000000000000003</v>
      </c>
      <c r="O4028" s="13">
        <v>33717.699999999997</v>
      </c>
      <c r="P4028" s="13">
        <v>8980.94</v>
      </c>
      <c r="Q4028" s="13">
        <v>51.39</v>
      </c>
      <c r="R4028" s="1" t="s">
        <v>29</v>
      </c>
      <c r="S4028" s="1">
        <v>1</v>
      </c>
      <c r="T4028" s="1" t="b">
        <v>0</v>
      </c>
      <c r="U4028" s="1" t="s">
        <v>197</v>
      </c>
      <c r="V4028" s="3">
        <v>3</v>
      </c>
    </row>
    <row r="4029" spans="1:22" x14ac:dyDescent="0.3">
      <c r="A4029" s="2" t="s">
        <v>8489</v>
      </c>
      <c r="B4029" s="10">
        <v>45435</v>
      </c>
      <c r="C4029" s="22">
        <v>45435</v>
      </c>
      <c r="D4029" s="1" t="s">
        <v>8490</v>
      </c>
      <c r="E4029" s="1" t="s">
        <v>719</v>
      </c>
      <c r="F4029" s="1">
        <v>25</v>
      </c>
      <c r="G4029" s="1" t="s">
        <v>24</v>
      </c>
      <c r="H4029" s="1" t="s">
        <v>82</v>
      </c>
      <c r="I4029" s="1" t="s">
        <v>293</v>
      </c>
      <c r="J4029" s="1" t="s">
        <v>44</v>
      </c>
      <c r="K4029" s="1" t="s">
        <v>50</v>
      </c>
      <c r="L4029" s="1">
        <v>5</v>
      </c>
      <c r="M4029" s="13">
        <v>30173.9</v>
      </c>
      <c r="N4029" s="15">
        <v>0.19</v>
      </c>
      <c r="O4029" s="13">
        <v>36271.56</v>
      </c>
      <c r="P4029" s="13">
        <v>9793.25</v>
      </c>
      <c r="Q4029" s="13">
        <v>81.77</v>
      </c>
      <c r="R4029" s="1" t="s">
        <v>57</v>
      </c>
      <c r="S4029" s="1">
        <v>1</v>
      </c>
      <c r="T4029" s="1" t="b">
        <v>1</v>
      </c>
      <c r="U4029" s="1" t="s">
        <v>30</v>
      </c>
      <c r="V4029" s="3">
        <v>4</v>
      </c>
    </row>
    <row r="4030" spans="1:22" x14ac:dyDescent="0.3">
      <c r="A4030" s="2" t="s">
        <v>8491</v>
      </c>
      <c r="B4030" s="10">
        <v>44758</v>
      </c>
      <c r="C4030" s="22">
        <v>44758</v>
      </c>
      <c r="D4030" s="1" t="s">
        <v>8492</v>
      </c>
      <c r="E4030" s="1" t="s">
        <v>2505</v>
      </c>
      <c r="F4030" s="1">
        <v>28</v>
      </c>
      <c r="G4030" s="1" t="s">
        <v>24</v>
      </c>
      <c r="H4030" s="1" t="s">
        <v>35</v>
      </c>
      <c r="I4030" s="1" t="s">
        <v>36</v>
      </c>
      <c r="J4030" s="1" t="s">
        <v>62</v>
      </c>
      <c r="K4030" s="1" t="s">
        <v>151</v>
      </c>
      <c r="L4030" s="1">
        <v>10</v>
      </c>
      <c r="M4030" s="13">
        <v>1326.18</v>
      </c>
      <c r="N4030" s="15">
        <v>0.2</v>
      </c>
      <c r="O4030" s="13">
        <v>16441.16</v>
      </c>
      <c r="P4030" s="13">
        <v>5803.82</v>
      </c>
      <c r="Q4030" s="13">
        <v>73.42</v>
      </c>
      <c r="R4030" s="1" t="s">
        <v>64</v>
      </c>
      <c r="S4030" s="1">
        <v>3</v>
      </c>
      <c r="T4030" s="1" t="b">
        <v>0</v>
      </c>
      <c r="U4030" s="1" t="s">
        <v>39</v>
      </c>
      <c r="V4030" s="3">
        <v>5</v>
      </c>
    </row>
    <row r="4031" spans="1:22" x14ac:dyDescent="0.3">
      <c r="A4031" s="2" t="s">
        <v>8493</v>
      </c>
      <c r="B4031" s="10">
        <v>44402</v>
      </c>
      <c r="C4031" s="22">
        <v>44402</v>
      </c>
      <c r="D4031" s="1" t="s">
        <v>8494</v>
      </c>
      <c r="E4031" s="1" t="s">
        <v>687</v>
      </c>
      <c r="F4031" s="1">
        <v>13</v>
      </c>
      <c r="G4031" s="1" t="s">
        <v>24</v>
      </c>
      <c r="H4031" s="1" t="s">
        <v>74</v>
      </c>
      <c r="I4031" s="1" t="s">
        <v>101</v>
      </c>
      <c r="J4031" s="1" t="s">
        <v>76</v>
      </c>
      <c r="K4031" s="1" t="s">
        <v>113</v>
      </c>
      <c r="L4031" s="1">
        <v>5</v>
      </c>
      <c r="M4031" s="13">
        <v>1881.57</v>
      </c>
      <c r="N4031" s="15">
        <v>0.4</v>
      </c>
      <c r="O4031" s="13">
        <v>7457.36</v>
      </c>
      <c r="P4031" s="13">
        <v>1842.91</v>
      </c>
      <c r="Q4031" s="13">
        <v>43.33</v>
      </c>
      <c r="R4031" s="1" t="s">
        <v>78</v>
      </c>
      <c r="S4031" s="1">
        <v>1</v>
      </c>
      <c r="T4031" s="1" t="b">
        <v>0</v>
      </c>
      <c r="U4031" s="1" t="s">
        <v>39</v>
      </c>
      <c r="V4031" s="3">
        <v>2</v>
      </c>
    </row>
    <row r="4032" spans="1:22" x14ac:dyDescent="0.3">
      <c r="A4032" s="2" t="s">
        <v>8495</v>
      </c>
      <c r="B4032" s="10">
        <v>45313</v>
      </c>
      <c r="C4032" s="22">
        <v>45313</v>
      </c>
      <c r="D4032" s="1" t="s">
        <v>8496</v>
      </c>
      <c r="E4032" s="1" t="s">
        <v>1057</v>
      </c>
      <c r="F4032" s="1">
        <v>37</v>
      </c>
      <c r="G4032" s="1" t="s">
        <v>24</v>
      </c>
      <c r="H4032" s="1" t="s">
        <v>111</v>
      </c>
      <c r="I4032" s="1" t="s">
        <v>141</v>
      </c>
      <c r="J4032" s="1" t="s">
        <v>146</v>
      </c>
      <c r="K4032" s="1" t="s">
        <v>178</v>
      </c>
      <c r="L4032" s="1">
        <v>6</v>
      </c>
      <c r="M4032" s="13">
        <v>548.70000000000005</v>
      </c>
      <c r="N4032" s="15">
        <v>0.13</v>
      </c>
      <c r="O4032" s="13">
        <v>2818.03</v>
      </c>
      <c r="P4032" s="13">
        <v>795.42</v>
      </c>
      <c r="Q4032" s="13">
        <v>59.32</v>
      </c>
      <c r="R4032" s="1" t="s">
        <v>51</v>
      </c>
      <c r="S4032" s="1">
        <v>3</v>
      </c>
      <c r="T4032" s="1" t="b">
        <v>0</v>
      </c>
      <c r="U4032" s="1" t="s">
        <v>197</v>
      </c>
      <c r="V4032" s="3">
        <v>2</v>
      </c>
    </row>
    <row r="4033" spans="1:22" x14ac:dyDescent="0.3">
      <c r="A4033" s="2" t="s">
        <v>8497</v>
      </c>
      <c r="B4033" s="10">
        <v>43868</v>
      </c>
      <c r="C4033" s="22">
        <v>43868</v>
      </c>
      <c r="D4033" s="1" t="s">
        <v>8498</v>
      </c>
      <c r="E4033" s="1" t="s">
        <v>1862</v>
      </c>
      <c r="F4033" s="1">
        <v>45</v>
      </c>
      <c r="G4033" s="1" t="s">
        <v>434</v>
      </c>
      <c r="H4033" s="1" t="s">
        <v>25</v>
      </c>
      <c r="I4033" s="1" t="s">
        <v>26</v>
      </c>
      <c r="J4033" s="1" t="s">
        <v>44</v>
      </c>
      <c r="K4033" s="1" t="s">
        <v>117</v>
      </c>
      <c r="L4033" s="1">
        <v>4</v>
      </c>
      <c r="M4033" s="13">
        <v>14589.56</v>
      </c>
      <c r="N4033" s="15">
        <v>0.21</v>
      </c>
      <c r="O4033" s="13">
        <v>50502.400000000001</v>
      </c>
      <c r="P4033" s="13">
        <v>18143.47</v>
      </c>
      <c r="Q4033" s="13">
        <v>60.59</v>
      </c>
      <c r="R4033" s="1" t="s">
        <v>64</v>
      </c>
      <c r="S4033" s="1">
        <v>5</v>
      </c>
      <c r="T4033" s="1" t="b">
        <v>0</v>
      </c>
      <c r="U4033" s="1" t="s">
        <v>39</v>
      </c>
      <c r="V4033" s="3">
        <v>3</v>
      </c>
    </row>
    <row r="4034" spans="1:22" x14ac:dyDescent="0.3">
      <c r="A4034" s="2" t="s">
        <v>8499</v>
      </c>
      <c r="B4034" s="10">
        <v>45246</v>
      </c>
      <c r="C4034" s="22">
        <v>45246</v>
      </c>
      <c r="D4034" s="1" t="s">
        <v>8500</v>
      </c>
      <c r="E4034" s="1" t="s">
        <v>406</v>
      </c>
      <c r="F4034" s="1">
        <v>34</v>
      </c>
      <c r="G4034" s="1" t="s">
        <v>24</v>
      </c>
      <c r="H4034" s="1" t="s">
        <v>82</v>
      </c>
      <c r="I4034" s="1" t="s">
        <v>244</v>
      </c>
      <c r="J4034" s="1" t="s">
        <v>127</v>
      </c>
      <c r="K4034" s="1" t="s">
        <v>308</v>
      </c>
      <c r="L4034" s="1">
        <v>10</v>
      </c>
      <c r="M4034" s="13">
        <v>61623.34</v>
      </c>
      <c r="N4034" s="15">
        <v>0.1</v>
      </c>
      <c r="O4034" s="13">
        <v>514325.26</v>
      </c>
      <c r="P4034" s="13">
        <v>41031.360000000001</v>
      </c>
      <c r="Q4034" s="13">
        <v>69</v>
      </c>
      <c r="R4034" s="1" t="s">
        <v>78</v>
      </c>
      <c r="S4034" s="1">
        <v>4</v>
      </c>
      <c r="T4034" s="1" t="b">
        <v>0</v>
      </c>
      <c r="U4034" s="1" t="s">
        <v>39</v>
      </c>
      <c r="V4034" s="3">
        <v>5</v>
      </c>
    </row>
    <row r="4035" spans="1:22" x14ac:dyDescent="0.3">
      <c r="A4035" s="2" t="s">
        <v>8501</v>
      </c>
      <c r="B4035" s="10">
        <v>44928</v>
      </c>
      <c r="C4035" s="22">
        <v>44928</v>
      </c>
      <c r="D4035" s="1" t="s">
        <v>8502</v>
      </c>
      <c r="E4035" s="1" t="s">
        <v>2250</v>
      </c>
      <c r="F4035" s="1">
        <v>38</v>
      </c>
      <c r="G4035" s="1" t="s">
        <v>68</v>
      </c>
      <c r="H4035" s="1" t="s">
        <v>111</v>
      </c>
      <c r="I4035" s="1" t="s">
        <v>121</v>
      </c>
      <c r="J4035" s="1" t="s">
        <v>76</v>
      </c>
      <c r="K4035" s="1" t="s">
        <v>132</v>
      </c>
      <c r="L4035" s="1">
        <v>9</v>
      </c>
      <c r="M4035" s="13">
        <v>2765.83</v>
      </c>
      <c r="N4035" s="15">
        <v>0.09</v>
      </c>
      <c r="O4035" s="13">
        <v>21588.14</v>
      </c>
      <c r="P4035" s="13">
        <v>7174.59</v>
      </c>
      <c r="Q4035" s="13">
        <v>83.41</v>
      </c>
      <c r="R4035" s="1" t="s">
        <v>64</v>
      </c>
      <c r="S4035" s="1">
        <v>5</v>
      </c>
      <c r="T4035" s="1" t="b">
        <v>0</v>
      </c>
      <c r="U4035" s="1" t="s">
        <v>84</v>
      </c>
      <c r="V4035" s="3">
        <v>4</v>
      </c>
    </row>
    <row r="4036" spans="1:22" x14ac:dyDescent="0.3">
      <c r="A4036" s="2" t="s">
        <v>8503</v>
      </c>
      <c r="B4036" s="10">
        <v>44615</v>
      </c>
      <c r="C4036" s="22">
        <v>44615</v>
      </c>
      <c r="D4036" s="1" t="s">
        <v>8504</v>
      </c>
      <c r="E4036" s="1" t="s">
        <v>67</v>
      </c>
      <c r="F4036" s="1">
        <v>44</v>
      </c>
      <c r="G4036" s="1" t="s">
        <v>68</v>
      </c>
      <c r="H4036" s="1" t="s">
        <v>74</v>
      </c>
      <c r="I4036" s="1" t="s">
        <v>192</v>
      </c>
      <c r="J4036" s="1" t="s">
        <v>44</v>
      </c>
      <c r="K4036" s="1" t="s">
        <v>50</v>
      </c>
      <c r="L4036" s="1">
        <v>10</v>
      </c>
      <c r="M4036" s="13">
        <v>18135.2</v>
      </c>
      <c r="N4036" s="15">
        <v>0.08</v>
      </c>
      <c r="O4036" s="13">
        <v>146993.72</v>
      </c>
      <c r="P4036" s="13">
        <v>36601.82</v>
      </c>
      <c r="Q4036" s="13">
        <v>42.09</v>
      </c>
      <c r="R4036" s="1" t="s">
        <v>64</v>
      </c>
      <c r="S4036" s="1">
        <v>2</v>
      </c>
      <c r="T4036" s="1" t="b">
        <v>0</v>
      </c>
      <c r="U4036" s="1" t="s">
        <v>137</v>
      </c>
      <c r="V4036" s="3">
        <v>7</v>
      </c>
    </row>
    <row r="4037" spans="1:22" x14ac:dyDescent="0.3">
      <c r="A4037" s="2" t="s">
        <v>8505</v>
      </c>
      <c r="B4037" s="10">
        <v>44492</v>
      </c>
      <c r="C4037" s="22">
        <v>44492</v>
      </c>
      <c r="D4037" s="1" t="s">
        <v>8506</v>
      </c>
      <c r="E4037" s="1" t="s">
        <v>1166</v>
      </c>
      <c r="F4037" s="1">
        <v>24</v>
      </c>
      <c r="G4037" s="1" t="s">
        <v>68</v>
      </c>
      <c r="H4037" s="1" t="s">
        <v>35</v>
      </c>
      <c r="I4037" s="1" t="s">
        <v>106</v>
      </c>
      <c r="J4037" s="1" t="s">
        <v>27</v>
      </c>
      <c r="K4037" s="1" t="s">
        <v>56</v>
      </c>
      <c r="L4037" s="1">
        <v>9</v>
      </c>
      <c r="M4037" s="13">
        <v>63.47</v>
      </c>
      <c r="N4037" s="15">
        <v>0.15</v>
      </c>
      <c r="O4037" s="13">
        <v>477.64</v>
      </c>
      <c r="P4037" s="13">
        <v>35.42</v>
      </c>
      <c r="Q4037" s="13">
        <v>44.96</v>
      </c>
      <c r="R4037" s="1" t="s">
        <v>70</v>
      </c>
      <c r="S4037" s="1">
        <v>3</v>
      </c>
      <c r="T4037" s="1" t="b">
        <v>0</v>
      </c>
      <c r="U4037" s="1" t="s">
        <v>39</v>
      </c>
      <c r="V4037" s="3">
        <v>8</v>
      </c>
    </row>
    <row r="4038" spans="1:22" x14ac:dyDescent="0.3">
      <c r="A4038" s="2" t="s">
        <v>8507</v>
      </c>
      <c r="B4038" s="10">
        <v>44608</v>
      </c>
      <c r="C4038" s="22">
        <v>44608</v>
      </c>
      <c r="D4038" s="1" t="s">
        <v>8508</v>
      </c>
      <c r="E4038" s="1" t="s">
        <v>528</v>
      </c>
      <c r="F4038" s="1">
        <v>12</v>
      </c>
      <c r="G4038" s="1" t="s">
        <v>34</v>
      </c>
      <c r="H4038" s="1" t="s">
        <v>35</v>
      </c>
      <c r="I4038" s="1" t="s">
        <v>36</v>
      </c>
      <c r="J4038" s="1" t="s">
        <v>44</v>
      </c>
      <c r="K4038" s="1" t="s">
        <v>45</v>
      </c>
      <c r="L4038" s="1">
        <v>6</v>
      </c>
      <c r="M4038" s="13">
        <v>15789.89</v>
      </c>
      <c r="N4038" s="15">
        <v>0.27</v>
      </c>
      <c r="O4038" s="13">
        <v>56911.9</v>
      </c>
      <c r="P4038" s="13">
        <v>13231.78</v>
      </c>
      <c r="Q4038" s="13">
        <v>66.760000000000005</v>
      </c>
      <c r="R4038" s="1" t="s">
        <v>70</v>
      </c>
      <c r="S4038" s="1">
        <v>1</v>
      </c>
      <c r="T4038" s="1" t="b">
        <v>1</v>
      </c>
      <c r="U4038" s="1" t="s">
        <v>30</v>
      </c>
      <c r="V4038" s="3">
        <v>2</v>
      </c>
    </row>
    <row r="4039" spans="1:22" x14ac:dyDescent="0.3">
      <c r="A4039" s="2" t="s">
        <v>8509</v>
      </c>
      <c r="B4039" s="10">
        <v>44495</v>
      </c>
      <c r="C4039" s="22">
        <v>44495</v>
      </c>
      <c r="D4039" s="1" t="s">
        <v>8510</v>
      </c>
      <c r="E4039" s="1" t="s">
        <v>390</v>
      </c>
      <c r="F4039" s="1">
        <v>28</v>
      </c>
      <c r="G4039" s="1" t="s">
        <v>34</v>
      </c>
      <c r="H4039" s="1" t="s">
        <v>111</v>
      </c>
      <c r="I4039" s="1" t="s">
        <v>112</v>
      </c>
      <c r="J4039" s="1" t="s">
        <v>37</v>
      </c>
      <c r="K4039" s="1" t="s">
        <v>231</v>
      </c>
      <c r="L4039" s="1">
        <v>1</v>
      </c>
      <c r="M4039" s="13">
        <v>703.89</v>
      </c>
      <c r="N4039" s="15">
        <v>0.12</v>
      </c>
      <c r="O4039" s="13">
        <v>594.21</v>
      </c>
      <c r="P4039" s="13">
        <v>209.92</v>
      </c>
      <c r="Q4039" s="13">
        <v>68.12</v>
      </c>
      <c r="R4039" s="1" t="s">
        <v>70</v>
      </c>
      <c r="S4039" s="1">
        <v>1</v>
      </c>
      <c r="T4039" s="1" t="b">
        <v>1</v>
      </c>
      <c r="U4039" s="1" t="s">
        <v>30</v>
      </c>
      <c r="V4039" s="3">
        <v>4</v>
      </c>
    </row>
    <row r="4040" spans="1:22" x14ac:dyDescent="0.3">
      <c r="A4040" s="2" t="s">
        <v>8511</v>
      </c>
      <c r="B4040" s="10">
        <v>44666</v>
      </c>
      <c r="C4040" s="22">
        <v>44666</v>
      </c>
      <c r="D4040" s="1" t="s">
        <v>8512</v>
      </c>
      <c r="E4040" s="1" t="s">
        <v>2696</v>
      </c>
      <c r="F4040" s="1">
        <v>23</v>
      </c>
      <c r="G4040" s="1" t="s">
        <v>24</v>
      </c>
      <c r="H4040" s="1" t="s">
        <v>35</v>
      </c>
      <c r="I4040" s="1" t="s">
        <v>106</v>
      </c>
      <c r="J4040" s="1" t="s">
        <v>44</v>
      </c>
      <c r="K4040" s="1" t="s">
        <v>221</v>
      </c>
      <c r="L4040" s="1">
        <v>8</v>
      </c>
      <c r="M4040" s="13">
        <v>34992.04</v>
      </c>
      <c r="N4040" s="15">
        <v>0.11</v>
      </c>
      <c r="O4040" s="13">
        <v>286556.78000000003</v>
      </c>
      <c r="P4040" s="13">
        <v>82342.39</v>
      </c>
      <c r="Q4040" s="13">
        <v>35.17</v>
      </c>
      <c r="R4040" s="1" t="s">
        <v>51</v>
      </c>
      <c r="S4040" s="1">
        <v>4</v>
      </c>
      <c r="T4040" s="1" t="b">
        <v>0</v>
      </c>
      <c r="U4040" s="1" t="s">
        <v>58</v>
      </c>
      <c r="V4040" s="3">
        <v>1</v>
      </c>
    </row>
    <row r="4041" spans="1:22" x14ac:dyDescent="0.3">
      <c r="A4041" s="2" t="s">
        <v>8513</v>
      </c>
      <c r="B4041" s="10">
        <v>45189</v>
      </c>
      <c r="C4041" s="22">
        <v>45189</v>
      </c>
      <c r="D4041" s="1" t="s">
        <v>8514</v>
      </c>
      <c r="E4041" s="1" t="s">
        <v>1510</v>
      </c>
      <c r="F4041" s="1">
        <v>34</v>
      </c>
      <c r="G4041" s="1" t="s">
        <v>68</v>
      </c>
      <c r="H4041" s="1" t="s">
        <v>25</v>
      </c>
      <c r="I4041" s="1" t="s">
        <v>170</v>
      </c>
      <c r="J4041" s="1" t="s">
        <v>146</v>
      </c>
      <c r="K4041" s="1" t="s">
        <v>178</v>
      </c>
      <c r="L4041" s="1">
        <v>9</v>
      </c>
      <c r="M4041" s="13">
        <v>3722.56</v>
      </c>
      <c r="N4041" s="15">
        <v>0.09</v>
      </c>
      <c r="O4041" s="13">
        <v>35748.44</v>
      </c>
      <c r="P4041" s="13">
        <v>8661.64</v>
      </c>
      <c r="Q4041" s="13">
        <v>41.2</v>
      </c>
      <c r="R4041" s="1" t="s">
        <v>78</v>
      </c>
      <c r="S4041" s="1">
        <v>4</v>
      </c>
      <c r="T4041" s="1" t="b">
        <v>0</v>
      </c>
      <c r="U4041" s="1" t="s">
        <v>84</v>
      </c>
      <c r="V4041" s="3">
        <v>2</v>
      </c>
    </row>
    <row r="4042" spans="1:22" x14ac:dyDescent="0.3">
      <c r="A4042" s="2" t="s">
        <v>8515</v>
      </c>
      <c r="B4042" s="10">
        <v>44845</v>
      </c>
      <c r="C4042" s="22">
        <v>44845</v>
      </c>
      <c r="D4042" s="1" t="s">
        <v>8516</v>
      </c>
      <c r="E4042" s="1" t="s">
        <v>770</v>
      </c>
      <c r="F4042" s="1">
        <v>21</v>
      </c>
      <c r="G4042" s="1" t="s">
        <v>34</v>
      </c>
      <c r="H4042" s="1" t="s">
        <v>111</v>
      </c>
      <c r="I4042" s="1" t="s">
        <v>141</v>
      </c>
      <c r="J4042" s="1" t="s">
        <v>62</v>
      </c>
      <c r="K4042" s="1" t="s">
        <v>63</v>
      </c>
      <c r="L4042" s="1">
        <v>4</v>
      </c>
      <c r="M4042" s="13">
        <v>1497.67</v>
      </c>
      <c r="N4042" s="15">
        <v>0.21</v>
      </c>
      <c r="O4042" s="13">
        <v>4793.8900000000003</v>
      </c>
      <c r="P4042" s="13">
        <v>1329.44</v>
      </c>
      <c r="Q4042" s="13">
        <v>68.06</v>
      </c>
      <c r="R4042" s="1" t="s">
        <v>57</v>
      </c>
      <c r="S4042" s="1">
        <v>5</v>
      </c>
      <c r="T4042" s="1" t="b">
        <v>0</v>
      </c>
      <c r="U4042" s="1" t="s">
        <v>39</v>
      </c>
      <c r="V4042" s="3">
        <v>7</v>
      </c>
    </row>
    <row r="4043" spans="1:22" x14ac:dyDescent="0.3">
      <c r="A4043" s="2" t="s">
        <v>8517</v>
      </c>
      <c r="B4043" s="10">
        <v>45108</v>
      </c>
      <c r="C4043" s="22">
        <v>45108</v>
      </c>
      <c r="D4043" s="1" t="s">
        <v>8518</v>
      </c>
      <c r="E4043" s="1" t="s">
        <v>1436</v>
      </c>
      <c r="F4043" s="1">
        <v>46</v>
      </c>
      <c r="G4043" s="1" t="s">
        <v>34</v>
      </c>
      <c r="H4043" s="1" t="s">
        <v>35</v>
      </c>
      <c r="I4043" s="1" t="s">
        <v>36</v>
      </c>
      <c r="J4043" s="1" t="s">
        <v>146</v>
      </c>
      <c r="K4043" s="1" t="s">
        <v>161</v>
      </c>
      <c r="L4043" s="1">
        <v>2</v>
      </c>
      <c r="M4043" s="13">
        <v>10865.46</v>
      </c>
      <c r="N4043" s="15">
        <v>0.25</v>
      </c>
      <c r="O4043" s="13">
        <v>25165.9</v>
      </c>
      <c r="P4043" s="13">
        <v>6993.08</v>
      </c>
      <c r="Q4043" s="13">
        <v>49.79</v>
      </c>
      <c r="R4043" s="1" t="s">
        <v>64</v>
      </c>
      <c r="S4043" s="1">
        <v>1</v>
      </c>
      <c r="T4043" s="1" t="b">
        <v>1</v>
      </c>
      <c r="U4043" s="1" t="s">
        <v>30</v>
      </c>
      <c r="V4043" s="3">
        <v>7</v>
      </c>
    </row>
    <row r="4044" spans="1:22" x14ac:dyDescent="0.3">
      <c r="A4044" s="2" t="s">
        <v>8519</v>
      </c>
      <c r="B4044" s="10">
        <v>44100</v>
      </c>
      <c r="C4044" s="22">
        <v>44100</v>
      </c>
      <c r="D4044" s="1" t="s">
        <v>8520</v>
      </c>
      <c r="E4044" s="1" t="s">
        <v>508</v>
      </c>
      <c r="F4044" s="1">
        <v>50</v>
      </c>
      <c r="G4044" s="1" t="s">
        <v>24</v>
      </c>
      <c r="H4044" s="1" t="s">
        <v>111</v>
      </c>
      <c r="I4044" s="1" t="s">
        <v>121</v>
      </c>
      <c r="J4044" s="1" t="s">
        <v>27</v>
      </c>
      <c r="K4044" s="1" t="s">
        <v>450</v>
      </c>
      <c r="L4044" s="1">
        <v>9</v>
      </c>
      <c r="M4044" s="13">
        <v>60.08</v>
      </c>
      <c r="N4044" s="15">
        <v>0.36</v>
      </c>
      <c r="O4044" s="13">
        <v>346.37</v>
      </c>
      <c r="P4044" s="13">
        <v>13.3</v>
      </c>
      <c r="Q4044" s="13">
        <v>67.3</v>
      </c>
      <c r="R4044" s="1" t="s">
        <v>78</v>
      </c>
      <c r="S4044" s="1">
        <v>4</v>
      </c>
      <c r="T4044" s="1" t="b">
        <v>0</v>
      </c>
      <c r="U4044" s="1" t="s">
        <v>197</v>
      </c>
      <c r="V4044" s="3">
        <v>3</v>
      </c>
    </row>
    <row r="4045" spans="1:22" x14ac:dyDescent="0.3">
      <c r="A4045" s="2" t="s">
        <v>8521</v>
      </c>
      <c r="B4045" s="10">
        <v>45531</v>
      </c>
      <c r="C4045" s="22">
        <v>45531</v>
      </c>
      <c r="D4045" s="1" t="s">
        <v>8522</v>
      </c>
      <c r="E4045" s="1" t="s">
        <v>1384</v>
      </c>
      <c r="F4045" s="1">
        <v>26</v>
      </c>
      <c r="G4045" s="1" t="s">
        <v>68</v>
      </c>
      <c r="H4045" s="1" t="s">
        <v>111</v>
      </c>
      <c r="I4045" s="1" t="s">
        <v>330</v>
      </c>
      <c r="J4045" s="1" t="s">
        <v>27</v>
      </c>
      <c r="K4045" s="1" t="s">
        <v>400</v>
      </c>
      <c r="L4045" s="1">
        <v>5</v>
      </c>
      <c r="M4045" s="13">
        <v>228.28</v>
      </c>
      <c r="N4045" s="15">
        <v>0.28999999999999998</v>
      </c>
      <c r="O4045" s="13">
        <v>1160.5</v>
      </c>
      <c r="P4045" s="13">
        <v>93.76</v>
      </c>
      <c r="Q4045" s="13">
        <v>62.68</v>
      </c>
      <c r="R4045" s="1" t="s">
        <v>57</v>
      </c>
      <c r="S4045" s="1">
        <v>4</v>
      </c>
      <c r="T4045" s="1" t="b">
        <v>0</v>
      </c>
      <c r="U4045" s="1" t="s">
        <v>39</v>
      </c>
      <c r="V4045" s="3">
        <v>8</v>
      </c>
    </row>
    <row r="4046" spans="1:22" x14ac:dyDescent="0.3">
      <c r="A4046" s="2" t="s">
        <v>8523</v>
      </c>
      <c r="B4046" s="10">
        <v>45224</v>
      </c>
      <c r="C4046" s="22">
        <v>45224</v>
      </c>
      <c r="D4046" s="1" t="s">
        <v>8524</v>
      </c>
      <c r="E4046" s="1" t="s">
        <v>1300</v>
      </c>
      <c r="F4046" s="1">
        <v>31</v>
      </c>
      <c r="G4046" s="1" t="s">
        <v>68</v>
      </c>
      <c r="H4046" s="1" t="s">
        <v>82</v>
      </c>
      <c r="I4046" s="1" t="s">
        <v>293</v>
      </c>
      <c r="J4046" s="1" t="s">
        <v>62</v>
      </c>
      <c r="K4046" s="1" t="s">
        <v>151</v>
      </c>
      <c r="L4046" s="1">
        <v>9</v>
      </c>
      <c r="M4046" s="13">
        <v>224.99</v>
      </c>
      <c r="N4046" s="15">
        <v>0.21</v>
      </c>
      <c r="O4046" s="13">
        <v>1955.07</v>
      </c>
      <c r="P4046" s="13">
        <v>489.85</v>
      </c>
      <c r="Q4046" s="13">
        <v>81.53</v>
      </c>
      <c r="R4046" s="1" t="s">
        <v>51</v>
      </c>
      <c r="S4046" s="1">
        <v>3</v>
      </c>
      <c r="T4046" s="1" t="b">
        <v>0</v>
      </c>
      <c r="U4046" s="1" t="s">
        <v>137</v>
      </c>
      <c r="V4046" s="3">
        <v>1</v>
      </c>
    </row>
    <row r="4047" spans="1:22" x14ac:dyDescent="0.3">
      <c r="A4047" s="2" t="s">
        <v>8525</v>
      </c>
      <c r="B4047" s="10">
        <v>44002</v>
      </c>
      <c r="C4047" s="22">
        <v>44002</v>
      </c>
      <c r="D4047" s="1" t="s">
        <v>8526</v>
      </c>
      <c r="E4047" s="1" t="s">
        <v>48</v>
      </c>
      <c r="F4047" s="1">
        <v>51</v>
      </c>
      <c r="G4047" s="1" t="s">
        <v>34</v>
      </c>
      <c r="H4047" s="1" t="s">
        <v>35</v>
      </c>
      <c r="I4047" s="1" t="s">
        <v>43</v>
      </c>
      <c r="J4047" s="1" t="s">
        <v>62</v>
      </c>
      <c r="K4047" s="1" t="s">
        <v>283</v>
      </c>
      <c r="L4047" s="1">
        <v>4</v>
      </c>
      <c r="M4047" s="13">
        <v>579.35</v>
      </c>
      <c r="N4047" s="15">
        <v>0.35</v>
      </c>
      <c r="O4047" s="13">
        <v>1835.02</v>
      </c>
      <c r="P4047" s="13">
        <v>1058.6500000000001</v>
      </c>
      <c r="Q4047" s="13">
        <v>60.19</v>
      </c>
      <c r="R4047" s="1" t="s">
        <v>51</v>
      </c>
      <c r="S4047" s="1">
        <v>2</v>
      </c>
      <c r="T4047" s="1" t="b">
        <v>0</v>
      </c>
      <c r="U4047" s="1" t="s">
        <v>137</v>
      </c>
      <c r="V4047" s="3">
        <v>7</v>
      </c>
    </row>
    <row r="4048" spans="1:22" x14ac:dyDescent="0.3">
      <c r="A4048" s="2" t="s">
        <v>8527</v>
      </c>
      <c r="B4048" s="10">
        <v>44020</v>
      </c>
      <c r="C4048" s="22">
        <v>44020</v>
      </c>
      <c r="D4048" s="1" t="s">
        <v>8528</v>
      </c>
      <c r="E4048" s="1" t="s">
        <v>406</v>
      </c>
      <c r="F4048" s="1">
        <v>46</v>
      </c>
      <c r="G4048" s="1" t="s">
        <v>34</v>
      </c>
      <c r="H4048" s="1" t="s">
        <v>111</v>
      </c>
      <c r="I4048" s="1" t="s">
        <v>330</v>
      </c>
      <c r="J4048" s="1" t="s">
        <v>146</v>
      </c>
      <c r="K4048" s="1" t="s">
        <v>276</v>
      </c>
      <c r="L4048" s="1">
        <v>8</v>
      </c>
      <c r="M4048" s="13">
        <v>14501.84</v>
      </c>
      <c r="N4048" s="15">
        <v>0.35</v>
      </c>
      <c r="O4048" s="13">
        <v>102399.25</v>
      </c>
      <c r="P4048" s="13">
        <v>25057.46</v>
      </c>
      <c r="Q4048" s="13">
        <v>74.64</v>
      </c>
      <c r="R4048" s="1" t="s">
        <v>29</v>
      </c>
      <c r="S4048" s="1">
        <v>1</v>
      </c>
      <c r="T4048" s="1" t="b">
        <v>0</v>
      </c>
      <c r="U4048" s="1" t="s">
        <v>39</v>
      </c>
      <c r="V4048" s="3">
        <v>5</v>
      </c>
    </row>
    <row r="4049" spans="1:22" x14ac:dyDescent="0.3">
      <c r="A4049" s="2" t="s">
        <v>8529</v>
      </c>
      <c r="B4049" s="10">
        <v>43839</v>
      </c>
      <c r="C4049" s="22">
        <v>43839</v>
      </c>
      <c r="D4049" s="1" t="s">
        <v>8530</v>
      </c>
      <c r="E4049" s="1" t="s">
        <v>4211</v>
      </c>
      <c r="F4049" s="1">
        <v>54</v>
      </c>
      <c r="G4049" s="1" t="s">
        <v>34</v>
      </c>
      <c r="H4049" s="1" t="s">
        <v>111</v>
      </c>
      <c r="I4049" s="1" t="s">
        <v>112</v>
      </c>
      <c r="J4049" s="1" t="s">
        <v>27</v>
      </c>
      <c r="K4049" s="1" t="s">
        <v>28</v>
      </c>
      <c r="L4049" s="1">
        <v>1</v>
      </c>
      <c r="M4049" s="13">
        <v>454.8</v>
      </c>
      <c r="N4049" s="15">
        <v>0.36</v>
      </c>
      <c r="O4049" s="13">
        <v>220.25</v>
      </c>
      <c r="P4049" s="13">
        <v>21.68</v>
      </c>
      <c r="Q4049" s="13">
        <v>67.900000000000006</v>
      </c>
      <c r="R4049" s="1" t="s">
        <v>64</v>
      </c>
      <c r="S4049" s="1">
        <v>2</v>
      </c>
      <c r="T4049" s="1" t="b">
        <v>0</v>
      </c>
      <c r="U4049" s="1" t="s">
        <v>39</v>
      </c>
      <c r="V4049" s="3">
        <v>6</v>
      </c>
    </row>
    <row r="4050" spans="1:22" x14ac:dyDescent="0.3">
      <c r="A4050" s="2" t="s">
        <v>8531</v>
      </c>
      <c r="B4050" s="10">
        <v>44301</v>
      </c>
      <c r="C4050" s="22">
        <v>44301</v>
      </c>
      <c r="D4050" s="1" t="s">
        <v>8532</v>
      </c>
      <c r="E4050" s="1" t="s">
        <v>2582</v>
      </c>
      <c r="F4050" s="1">
        <v>33</v>
      </c>
      <c r="G4050" s="1" t="s">
        <v>24</v>
      </c>
      <c r="H4050" s="1" t="s">
        <v>111</v>
      </c>
      <c r="I4050" s="1" t="s">
        <v>112</v>
      </c>
      <c r="J4050" s="1" t="s">
        <v>127</v>
      </c>
      <c r="K4050" s="1" t="s">
        <v>517</v>
      </c>
      <c r="L4050" s="1">
        <v>10</v>
      </c>
      <c r="M4050" s="13">
        <v>76400.639999999999</v>
      </c>
      <c r="N4050" s="15">
        <v>0.21</v>
      </c>
      <c r="O4050" s="13">
        <v>741543.82</v>
      </c>
      <c r="P4050" s="13">
        <v>80532.820000000007</v>
      </c>
      <c r="Q4050" s="13">
        <v>72.349999999999994</v>
      </c>
      <c r="R4050" s="1" t="s">
        <v>70</v>
      </c>
      <c r="S4050" s="1">
        <v>2</v>
      </c>
      <c r="T4050" s="1" t="b">
        <v>0</v>
      </c>
      <c r="U4050" s="1" t="s">
        <v>58</v>
      </c>
      <c r="V4050" s="3">
        <v>9</v>
      </c>
    </row>
    <row r="4051" spans="1:22" x14ac:dyDescent="0.3">
      <c r="A4051" s="2" t="s">
        <v>8533</v>
      </c>
      <c r="B4051" s="10">
        <v>44829</v>
      </c>
      <c r="C4051" s="22">
        <v>44829</v>
      </c>
      <c r="D4051" s="1" t="s">
        <v>8534</v>
      </c>
      <c r="E4051" s="1" t="s">
        <v>1236</v>
      </c>
      <c r="F4051" s="1">
        <v>52</v>
      </c>
      <c r="G4051" s="1" t="s">
        <v>24</v>
      </c>
      <c r="H4051" s="1" t="s">
        <v>111</v>
      </c>
      <c r="I4051" s="1" t="s">
        <v>330</v>
      </c>
      <c r="J4051" s="1" t="s">
        <v>37</v>
      </c>
      <c r="K4051" s="1" t="s">
        <v>182</v>
      </c>
      <c r="L4051" s="1">
        <v>3</v>
      </c>
      <c r="M4051" s="13">
        <v>1334.72</v>
      </c>
      <c r="N4051" s="15">
        <v>0.14000000000000001</v>
      </c>
      <c r="O4051" s="13">
        <v>4167.5</v>
      </c>
      <c r="P4051" s="13">
        <v>1517.77</v>
      </c>
      <c r="Q4051" s="13">
        <v>68.86</v>
      </c>
      <c r="R4051" s="1" t="s">
        <v>57</v>
      </c>
      <c r="S4051" s="1">
        <v>1</v>
      </c>
      <c r="T4051" s="1" t="b">
        <v>0</v>
      </c>
      <c r="U4051" s="1" t="s">
        <v>39</v>
      </c>
      <c r="V4051" s="3">
        <v>5</v>
      </c>
    </row>
    <row r="4052" spans="1:22" x14ac:dyDescent="0.3">
      <c r="A4052" s="2" t="s">
        <v>8535</v>
      </c>
      <c r="B4052" s="10">
        <v>44216</v>
      </c>
      <c r="C4052" s="22">
        <v>44216</v>
      </c>
      <c r="D4052" s="1" t="s">
        <v>8536</v>
      </c>
      <c r="E4052" s="1" t="s">
        <v>2140</v>
      </c>
      <c r="F4052" s="1">
        <v>43</v>
      </c>
      <c r="G4052" s="1" t="s">
        <v>24</v>
      </c>
      <c r="H4052" s="1" t="s">
        <v>111</v>
      </c>
      <c r="I4052" s="1" t="s">
        <v>330</v>
      </c>
      <c r="J4052" s="1" t="s">
        <v>146</v>
      </c>
      <c r="K4052" s="1" t="s">
        <v>217</v>
      </c>
      <c r="L4052" s="1">
        <v>7</v>
      </c>
      <c r="M4052" s="13">
        <v>12247.06</v>
      </c>
      <c r="N4052" s="15">
        <v>7.0000000000000007E-2</v>
      </c>
      <c r="O4052" s="13">
        <v>61250.51</v>
      </c>
      <c r="P4052" s="13">
        <v>11670.83</v>
      </c>
      <c r="Q4052" s="13">
        <v>87.17</v>
      </c>
      <c r="R4052" s="1" t="s">
        <v>70</v>
      </c>
      <c r="S4052" s="1">
        <v>4</v>
      </c>
      <c r="T4052" s="1" t="b">
        <v>0</v>
      </c>
      <c r="U4052" s="1" t="s">
        <v>58</v>
      </c>
      <c r="V4052" s="3">
        <v>5</v>
      </c>
    </row>
    <row r="4053" spans="1:22" x14ac:dyDescent="0.3">
      <c r="A4053" s="2" t="s">
        <v>8537</v>
      </c>
      <c r="B4053" s="10">
        <v>45283</v>
      </c>
      <c r="C4053" s="22">
        <v>45283</v>
      </c>
      <c r="D4053" s="1" t="s">
        <v>8538</v>
      </c>
      <c r="E4053" s="1" t="s">
        <v>1886</v>
      </c>
      <c r="F4053" s="1">
        <v>34</v>
      </c>
      <c r="G4053" s="1" t="s">
        <v>24</v>
      </c>
      <c r="H4053" s="1" t="s">
        <v>82</v>
      </c>
      <c r="I4053" s="1" t="s">
        <v>126</v>
      </c>
      <c r="J4053" s="1" t="s">
        <v>127</v>
      </c>
      <c r="K4053" s="1" t="s">
        <v>308</v>
      </c>
      <c r="L4053" s="1">
        <v>9</v>
      </c>
      <c r="M4053" s="13">
        <v>17538.79</v>
      </c>
      <c r="N4053" s="15">
        <v>0.28000000000000003</v>
      </c>
      <c r="O4053" s="13">
        <v>86347.39</v>
      </c>
      <c r="P4053" s="13">
        <v>9279.2900000000009</v>
      </c>
      <c r="Q4053" s="13">
        <v>93.75</v>
      </c>
      <c r="R4053" s="1" t="s">
        <v>51</v>
      </c>
      <c r="S4053" s="1">
        <v>1</v>
      </c>
      <c r="T4053" s="1" t="b">
        <v>0</v>
      </c>
      <c r="U4053" s="1" t="s">
        <v>39</v>
      </c>
      <c r="V4053" s="3">
        <v>9</v>
      </c>
    </row>
    <row r="4054" spans="1:22" x14ac:dyDescent="0.3">
      <c r="A4054" s="2" t="s">
        <v>8539</v>
      </c>
      <c r="B4054" s="10">
        <v>45083</v>
      </c>
      <c r="C4054" s="22">
        <v>45083</v>
      </c>
      <c r="D4054" s="1" t="s">
        <v>8540</v>
      </c>
      <c r="E4054" s="1" t="s">
        <v>384</v>
      </c>
      <c r="F4054" s="1">
        <v>25</v>
      </c>
      <c r="G4054" s="1" t="s">
        <v>24</v>
      </c>
      <c r="H4054" s="1" t="s">
        <v>82</v>
      </c>
      <c r="I4054" s="1" t="s">
        <v>244</v>
      </c>
      <c r="J4054" s="1" t="s">
        <v>37</v>
      </c>
      <c r="K4054" s="1" t="s">
        <v>671</v>
      </c>
      <c r="L4054" s="1">
        <v>1</v>
      </c>
      <c r="M4054" s="13">
        <v>123.79</v>
      </c>
      <c r="N4054" s="15">
        <v>0.17</v>
      </c>
      <c r="O4054" s="13">
        <v>167.72</v>
      </c>
      <c r="P4054" s="13">
        <v>67.47</v>
      </c>
      <c r="Q4054" s="13">
        <v>49.95</v>
      </c>
      <c r="R4054" s="1" t="s">
        <v>70</v>
      </c>
      <c r="S4054" s="1">
        <v>3</v>
      </c>
      <c r="T4054" s="1" t="b">
        <v>0</v>
      </c>
      <c r="U4054" s="1" t="s">
        <v>39</v>
      </c>
      <c r="V4054" s="3">
        <v>3</v>
      </c>
    </row>
    <row r="4055" spans="1:22" x14ac:dyDescent="0.3">
      <c r="A4055" s="2" t="s">
        <v>8541</v>
      </c>
      <c r="B4055" s="10">
        <v>44961</v>
      </c>
      <c r="C4055" s="22">
        <v>44961</v>
      </c>
      <c r="D4055" s="1" t="s">
        <v>8542</v>
      </c>
      <c r="E4055" s="1" t="s">
        <v>100</v>
      </c>
      <c r="F4055" s="1">
        <v>27</v>
      </c>
      <c r="G4055" s="1" t="s">
        <v>68</v>
      </c>
      <c r="H4055" s="1" t="s">
        <v>74</v>
      </c>
      <c r="I4055" s="1" t="s">
        <v>75</v>
      </c>
      <c r="J4055" s="1" t="s">
        <v>37</v>
      </c>
      <c r="K4055" s="1" t="s">
        <v>671</v>
      </c>
      <c r="L4055" s="1">
        <v>5</v>
      </c>
      <c r="M4055" s="13">
        <v>1931.12</v>
      </c>
      <c r="N4055" s="15">
        <v>0.02</v>
      </c>
      <c r="O4055" s="13">
        <v>10949.84</v>
      </c>
      <c r="P4055" s="13">
        <v>3362.6</v>
      </c>
      <c r="Q4055" s="13">
        <v>79.88</v>
      </c>
      <c r="R4055" s="1" t="s">
        <v>57</v>
      </c>
      <c r="S4055" s="1">
        <v>1</v>
      </c>
      <c r="T4055" s="1" t="b">
        <v>0</v>
      </c>
      <c r="U4055" s="1" t="s">
        <v>39</v>
      </c>
      <c r="V4055" s="3">
        <v>9</v>
      </c>
    </row>
    <row r="4056" spans="1:22" x14ac:dyDescent="0.3">
      <c r="A4056" s="2" t="s">
        <v>8543</v>
      </c>
      <c r="B4056" s="10">
        <v>45313</v>
      </c>
      <c r="C4056" s="22">
        <v>45313</v>
      </c>
      <c r="D4056" s="1" t="s">
        <v>8544</v>
      </c>
      <c r="E4056" s="1" t="s">
        <v>905</v>
      </c>
      <c r="F4056" s="1">
        <v>47</v>
      </c>
      <c r="G4056" s="1" t="s">
        <v>24</v>
      </c>
      <c r="H4056" s="1" t="s">
        <v>111</v>
      </c>
      <c r="I4056" s="1" t="s">
        <v>141</v>
      </c>
      <c r="J4056" s="1" t="s">
        <v>27</v>
      </c>
      <c r="K4056" s="1" t="s">
        <v>97</v>
      </c>
      <c r="L4056" s="1">
        <v>7</v>
      </c>
      <c r="M4056" s="13">
        <v>317.18</v>
      </c>
      <c r="N4056" s="15">
        <v>0.04</v>
      </c>
      <c r="O4056" s="13">
        <v>2340.06</v>
      </c>
      <c r="P4056" s="13">
        <v>216.78</v>
      </c>
      <c r="Q4056" s="13">
        <v>80.19</v>
      </c>
      <c r="R4056" s="1" t="s">
        <v>64</v>
      </c>
      <c r="S4056" s="1">
        <v>4</v>
      </c>
      <c r="T4056" s="1" t="b">
        <v>0</v>
      </c>
      <c r="U4056" s="1" t="s">
        <v>39</v>
      </c>
      <c r="V4056" s="3">
        <v>9</v>
      </c>
    </row>
    <row r="4057" spans="1:22" x14ac:dyDescent="0.3">
      <c r="A4057" s="2" t="s">
        <v>8545</v>
      </c>
      <c r="B4057" s="10">
        <v>44576</v>
      </c>
      <c r="C4057" s="22">
        <v>44576</v>
      </c>
      <c r="D4057" s="1" t="s">
        <v>8546</v>
      </c>
      <c r="E4057" s="1" t="s">
        <v>4771</v>
      </c>
      <c r="F4057" s="1">
        <v>29</v>
      </c>
      <c r="G4057" s="1" t="s">
        <v>68</v>
      </c>
      <c r="H4057" s="1" t="s">
        <v>74</v>
      </c>
      <c r="I4057" s="1" t="s">
        <v>192</v>
      </c>
      <c r="J4057" s="1" t="s">
        <v>76</v>
      </c>
      <c r="K4057" s="1" t="s">
        <v>77</v>
      </c>
      <c r="L4057" s="1">
        <v>2</v>
      </c>
      <c r="M4057" s="13">
        <v>2248.1</v>
      </c>
      <c r="N4057" s="15">
        <v>0.26</v>
      </c>
      <c r="O4057" s="13">
        <v>3192.69</v>
      </c>
      <c r="P4057" s="13">
        <v>1599.72</v>
      </c>
      <c r="Q4057" s="13">
        <v>34.36</v>
      </c>
      <c r="R4057" s="1" t="s">
        <v>64</v>
      </c>
      <c r="S4057" s="1">
        <v>4</v>
      </c>
      <c r="T4057" s="1" t="b">
        <v>1</v>
      </c>
      <c r="U4057" s="1" t="s">
        <v>30</v>
      </c>
      <c r="V4057" s="3">
        <v>5</v>
      </c>
    </row>
    <row r="4058" spans="1:22" x14ac:dyDescent="0.3">
      <c r="A4058" s="2" t="s">
        <v>8547</v>
      </c>
      <c r="B4058" s="10">
        <v>45345</v>
      </c>
      <c r="C4058" s="22">
        <v>45345</v>
      </c>
      <c r="D4058" s="1" t="s">
        <v>8548</v>
      </c>
      <c r="E4058" s="1" t="s">
        <v>621</v>
      </c>
      <c r="F4058" s="1">
        <v>7</v>
      </c>
      <c r="G4058" s="1" t="s">
        <v>24</v>
      </c>
      <c r="H4058" s="1" t="s">
        <v>82</v>
      </c>
      <c r="I4058" s="1" t="s">
        <v>244</v>
      </c>
      <c r="J4058" s="1" t="s">
        <v>76</v>
      </c>
      <c r="K4058" s="1" t="s">
        <v>207</v>
      </c>
      <c r="L4058" s="1">
        <v>2</v>
      </c>
      <c r="M4058" s="13">
        <v>3938.35</v>
      </c>
      <c r="N4058" s="15">
        <v>0.27</v>
      </c>
      <c r="O4058" s="13">
        <v>6459.25</v>
      </c>
      <c r="P4058" s="13">
        <v>2710.16</v>
      </c>
      <c r="Q4058" s="13">
        <v>80.77</v>
      </c>
      <c r="R4058" s="1" t="s">
        <v>70</v>
      </c>
      <c r="S4058" s="1">
        <v>4</v>
      </c>
      <c r="T4058" s="1" t="b">
        <v>0</v>
      </c>
      <c r="U4058" s="1" t="s">
        <v>39</v>
      </c>
      <c r="V4058" s="3">
        <v>2</v>
      </c>
    </row>
    <row r="4059" spans="1:22" x14ac:dyDescent="0.3">
      <c r="A4059" s="2" t="s">
        <v>8549</v>
      </c>
      <c r="B4059" s="10">
        <v>45354</v>
      </c>
      <c r="C4059" s="22">
        <v>45354</v>
      </c>
      <c r="D4059" s="1" t="s">
        <v>8550</v>
      </c>
      <c r="E4059" s="1" t="s">
        <v>1099</v>
      </c>
      <c r="F4059" s="1">
        <v>43</v>
      </c>
      <c r="G4059" s="1" t="s">
        <v>68</v>
      </c>
      <c r="H4059" s="1" t="s">
        <v>25</v>
      </c>
      <c r="I4059" s="1" t="s">
        <v>55</v>
      </c>
      <c r="J4059" s="1" t="s">
        <v>76</v>
      </c>
      <c r="K4059" s="1" t="s">
        <v>132</v>
      </c>
      <c r="L4059" s="1">
        <v>5</v>
      </c>
      <c r="M4059" s="13">
        <v>1168.05</v>
      </c>
      <c r="N4059" s="15">
        <v>0.04</v>
      </c>
      <c r="O4059" s="13">
        <v>1472.47</v>
      </c>
      <c r="P4059" s="13">
        <v>611.4</v>
      </c>
      <c r="Q4059" s="13">
        <v>51.85</v>
      </c>
      <c r="R4059" s="1" t="s">
        <v>70</v>
      </c>
      <c r="S4059" s="1">
        <v>3</v>
      </c>
      <c r="T4059" s="1" t="b">
        <v>1</v>
      </c>
      <c r="U4059" s="1" t="s">
        <v>30</v>
      </c>
      <c r="V4059" s="3">
        <v>8</v>
      </c>
    </row>
    <row r="4060" spans="1:22" x14ac:dyDescent="0.3">
      <c r="A4060" s="2" t="s">
        <v>8551</v>
      </c>
      <c r="B4060" s="10">
        <v>44422</v>
      </c>
      <c r="C4060" s="22">
        <v>44422</v>
      </c>
      <c r="D4060" s="1" t="s">
        <v>8552</v>
      </c>
      <c r="E4060" s="1" t="s">
        <v>314</v>
      </c>
      <c r="F4060" s="1">
        <v>44</v>
      </c>
      <c r="G4060" s="1" t="s">
        <v>24</v>
      </c>
      <c r="H4060" s="1" t="s">
        <v>111</v>
      </c>
      <c r="I4060" s="1" t="s">
        <v>112</v>
      </c>
      <c r="J4060" s="1" t="s">
        <v>44</v>
      </c>
      <c r="K4060" s="1" t="s">
        <v>50</v>
      </c>
      <c r="L4060" s="1">
        <v>3</v>
      </c>
      <c r="M4060" s="13">
        <v>6100.73</v>
      </c>
      <c r="N4060" s="15">
        <v>0.35</v>
      </c>
      <c r="O4060" s="13">
        <v>16831.689999999999</v>
      </c>
      <c r="P4060" s="13">
        <v>4667.8999999999996</v>
      </c>
      <c r="Q4060" s="13">
        <v>82.45</v>
      </c>
      <c r="R4060" s="1" t="s">
        <v>64</v>
      </c>
      <c r="S4060" s="1">
        <v>5</v>
      </c>
      <c r="T4060" s="1" t="b">
        <v>0</v>
      </c>
      <c r="U4060" s="1" t="s">
        <v>137</v>
      </c>
      <c r="V4060" s="3">
        <v>2</v>
      </c>
    </row>
    <row r="4061" spans="1:22" x14ac:dyDescent="0.3">
      <c r="A4061" s="2" t="s">
        <v>8553</v>
      </c>
      <c r="B4061" s="10">
        <v>44647</v>
      </c>
      <c r="C4061" s="22">
        <v>44647</v>
      </c>
      <c r="D4061" s="1" t="s">
        <v>8554</v>
      </c>
      <c r="E4061" s="1" t="s">
        <v>2137</v>
      </c>
      <c r="F4061" s="1">
        <v>43</v>
      </c>
      <c r="G4061" s="1" t="s">
        <v>34</v>
      </c>
      <c r="H4061" s="1" t="s">
        <v>111</v>
      </c>
      <c r="I4061" s="1" t="s">
        <v>121</v>
      </c>
      <c r="J4061" s="1" t="s">
        <v>127</v>
      </c>
      <c r="K4061" s="1" t="s">
        <v>142</v>
      </c>
      <c r="L4061" s="1">
        <v>6</v>
      </c>
      <c r="M4061" s="13">
        <v>36964.92</v>
      </c>
      <c r="N4061" s="15">
        <v>7.0000000000000007E-2</v>
      </c>
      <c r="O4061" s="13">
        <v>229078.34</v>
      </c>
      <c r="P4061" s="13">
        <v>22543.08</v>
      </c>
      <c r="Q4061" s="13">
        <v>71.02</v>
      </c>
      <c r="R4061" s="1" t="s">
        <v>78</v>
      </c>
      <c r="S4061" s="1">
        <v>3</v>
      </c>
      <c r="T4061" s="1" t="b">
        <v>0</v>
      </c>
      <c r="U4061" s="1" t="s">
        <v>39</v>
      </c>
      <c r="V4061" s="3">
        <v>6</v>
      </c>
    </row>
    <row r="4062" spans="1:22" x14ac:dyDescent="0.3">
      <c r="A4062" s="2" t="s">
        <v>8555</v>
      </c>
      <c r="B4062" s="10">
        <v>45166</v>
      </c>
      <c r="C4062" s="22">
        <v>45166</v>
      </c>
      <c r="D4062" s="1" t="s">
        <v>8556</v>
      </c>
      <c r="E4062" s="1" t="s">
        <v>629</v>
      </c>
      <c r="F4062" s="1">
        <v>19</v>
      </c>
      <c r="G4062" s="1" t="s">
        <v>24</v>
      </c>
      <c r="H4062" s="1" t="s">
        <v>82</v>
      </c>
      <c r="I4062" s="1" t="s">
        <v>83</v>
      </c>
      <c r="J4062" s="1" t="s">
        <v>62</v>
      </c>
      <c r="K4062" s="1" t="s">
        <v>283</v>
      </c>
      <c r="L4062" s="1">
        <v>7</v>
      </c>
      <c r="M4062" s="13">
        <v>1441.05</v>
      </c>
      <c r="N4062" s="15">
        <v>0.28999999999999998</v>
      </c>
      <c r="O4062" s="13">
        <v>9079.99</v>
      </c>
      <c r="P4062" s="13">
        <v>2820.94</v>
      </c>
      <c r="Q4062" s="13">
        <v>86.34</v>
      </c>
      <c r="R4062" s="1" t="s">
        <v>29</v>
      </c>
      <c r="S4062" s="1">
        <v>3</v>
      </c>
      <c r="T4062" s="1" t="b">
        <v>1</v>
      </c>
      <c r="U4062" s="1" t="s">
        <v>30</v>
      </c>
      <c r="V4062" s="3">
        <v>10</v>
      </c>
    </row>
    <row r="4063" spans="1:22" x14ac:dyDescent="0.3">
      <c r="A4063" s="2" t="s">
        <v>8557</v>
      </c>
      <c r="B4063" s="10">
        <v>43938</v>
      </c>
      <c r="C4063" s="22">
        <v>43938</v>
      </c>
      <c r="D4063" s="1" t="s">
        <v>8558</v>
      </c>
      <c r="E4063" s="1" t="s">
        <v>1044</v>
      </c>
      <c r="F4063" s="1">
        <v>40</v>
      </c>
      <c r="G4063" s="1" t="s">
        <v>68</v>
      </c>
      <c r="H4063" s="1" t="s">
        <v>82</v>
      </c>
      <c r="I4063" s="1" t="s">
        <v>293</v>
      </c>
      <c r="J4063" s="1" t="s">
        <v>27</v>
      </c>
      <c r="K4063" s="1" t="s">
        <v>400</v>
      </c>
      <c r="L4063" s="1">
        <v>3</v>
      </c>
      <c r="M4063" s="13">
        <v>211.24</v>
      </c>
      <c r="N4063" s="15">
        <v>0.18</v>
      </c>
      <c r="O4063" s="13">
        <v>628.26</v>
      </c>
      <c r="P4063" s="13">
        <v>55.71</v>
      </c>
      <c r="Q4063" s="13">
        <v>90.81</v>
      </c>
      <c r="R4063" s="1" t="s">
        <v>70</v>
      </c>
      <c r="S4063" s="1">
        <v>3</v>
      </c>
      <c r="T4063" s="1" t="b">
        <v>0</v>
      </c>
      <c r="U4063" s="1" t="s">
        <v>39</v>
      </c>
      <c r="V4063" s="3">
        <v>10</v>
      </c>
    </row>
    <row r="4064" spans="1:22" x14ac:dyDescent="0.3">
      <c r="A4064" s="2" t="s">
        <v>8559</v>
      </c>
      <c r="B4064" s="10">
        <v>45637</v>
      </c>
      <c r="C4064" s="22">
        <v>45637</v>
      </c>
      <c r="D4064" s="1" t="s">
        <v>8560</v>
      </c>
      <c r="E4064" s="1" t="s">
        <v>1583</v>
      </c>
      <c r="F4064" s="1">
        <v>29</v>
      </c>
      <c r="G4064" s="1" t="s">
        <v>68</v>
      </c>
      <c r="H4064" s="1" t="s">
        <v>111</v>
      </c>
      <c r="I4064" s="1" t="s">
        <v>330</v>
      </c>
      <c r="J4064" s="1" t="s">
        <v>62</v>
      </c>
      <c r="K4064" s="1" t="s">
        <v>63</v>
      </c>
      <c r="L4064" s="1">
        <v>5</v>
      </c>
      <c r="M4064" s="13">
        <v>294.33</v>
      </c>
      <c r="N4064" s="15">
        <v>0.19</v>
      </c>
      <c r="O4064" s="13">
        <v>222.9</v>
      </c>
      <c r="P4064" s="13">
        <v>77.47</v>
      </c>
      <c r="Q4064" s="13">
        <v>95.45</v>
      </c>
      <c r="R4064" s="1" t="s">
        <v>57</v>
      </c>
      <c r="S4064" s="1">
        <v>2</v>
      </c>
      <c r="T4064" s="1" t="b">
        <v>0</v>
      </c>
      <c r="U4064" s="1" t="s">
        <v>39</v>
      </c>
      <c r="V4064" s="3">
        <v>2</v>
      </c>
    </row>
    <row r="4065" spans="1:22" x14ac:dyDescent="0.3">
      <c r="A4065" s="2" t="s">
        <v>8561</v>
      </c>
      <c r="B4065" s="10">
        <v>44252</v>
      </c>
      <c r="C4065" s="22">
        <v>44252</v>
      </c>
      <c r="D4065" s="1" t="s">
        <v>8562</v>
      </c>
      <c r="E4065" s="1" t="s">
        <v>131</v>
      </c>
      <c r="F4065" s="1">
        <v>33</v>
      </c>
      <c r="G4065" s="1" t="s">
        <v>24</v>
      </c>
      <c r="H4065" s="1" t="s">
        <v>111</v>
      </c>
      <c r="I4065" s="1" t="s">
        <v>141</v>
      </c>
      <c r="J4065" s="1" t="s">
        <v>127</v>
      </c>
      <c r="K4065" s="1" t="s">
        <v>196</v>
      </c>
      <c r="L4065" s="1">
        <v>10</v>
      </c>
      <c r="M4065" s="13">
        <v>39470.47</v>
      </c>
      <c r="N4065" s="15">
        <v>0.03</v>
      </c>
      <c r="O4065" s="13">
        <v>381281.41</v>
      </c>
      <c r="P4065" s="13">
        <v>61665.08</v>
      </c>
      <c r="Q4065" s="13">
        <v>68.19</v>
      </c>
      <c r="R4065" s="1" t="s">
        <v>29</v>
      </c>
      <c r="S4065" s="1">
        <v>1</v>
      </c>
      <c r="T4065" s="1" t="b">
        <v>1</v>
      </c>
      <c r="U4065" s="1" t="s">
        <v>30</v>
      </c>
      <c r="V4065" s="3">
        <v>9</v>
      </c>
    </row>
    <row r="4066" spans="1:22" x14ac:dyDescent="0.3">
      <c r="A4066" s="2" t="s">
        <v>8563</v>
      </c>
      <c r="B4066" s="10">
        <v>44871</v>
      </c>
      <c r="C4066" s="22">
        <v>44871</v>
      </c>
      <c r="D4066" s="1" t="s">
        <v>8564</v>
      </c>
      <c r="E4066" s="1" t="s">
        <v>537</v>
      </c>
      <c r="F4066" s="1">
        <v>45</v>
      </c>
      <c r="G4066" s="1" t="s">
        <v>34</v>
      </c>
      <c r="H4066" s="1" t="s">
        <v>111</v>
      </c>
      <c r="I4066" s="1" t="s">
        <v>141</v>
      </c>
      <c r="J4066" s="1" t="s">
        <v>62</v>
      </c>
      <c r="K4066" s="1" t="s">
        <v>570</v>
      </c>
      <c r="L4066" s="1">
        <v>6</v>
      </c>
      <c r="M4066" s="13">
        <v>922.08</v>
      </c>
      <c r="N4066" s="15">
        <v>0.39</v>
      </c>
      <c r="O4066" s="13">
        <v>2622.16</v>
      </c>
      <c r="P4066" s="13">
        <v>1193.45</v>
      </c>
      <c r="Q4066" s="13">
        <v>101.28</v>
      </c>
      <c r="R4066" s="1" t="s">
        <v>78</v>
      </c>
      <c r="S4066" s="1">
        <v>5</v>
      </c>
      <c r="T4066" s="1" t="b">
        <v>0</v>
      </c>
      <c r="U4066" s="1" t="s">
        <v>39</v>
      </c>
      <c r="V4066" s="3">
        <v>9</v>
      </c>
    </row>
    <row r="4067" spans="1:22" x14ac:dyDescent="0.3">
      <c r="A4067" s="2" t="s">
        <v>8565</v>
      </c>
      <c r="B4067" s="10">
        <v>44772</v>
      </c>
      <c r="C4067" s="22">
        <v>44772</v>
      </c>
      <c r="D4067" s="1" t="s">
        <v>8566</v>
      </c>
      <c r="E4067" s="1" t="s">
        <v>256</v>
      </c>
      <c r="F4067" s="1">
        <v>45</v>
      </c>
      <c r="G4067" s="1" t="s">
        <v>24</v>
      </c>
      <c r="H4067" s="1" t="s">
        <v>35</v>
      </c>
      <c r="I4067" s="1" t="s">
        <v>49</v>
      </c>
      <c r="J4067" s="1" t="s">
        <v>76</v>
      </c>
      <c r="K4067" s="1" t="s">
        <v>132</v>
      </c>
      <c r="L4067" s="1">
        <v>3</v>
      </c>
      <c r="M4067" s="13">
        <v>1239.18</v>
      </c>
      <c r="N4067" s="15">
        <v>0.11</v>
      </c>
      <c r="O4067" s="13">
        <v>4592.68</v>
      </c>
      <c r="P4067" s="13">
        <v>1338.61</v>
      </c>
      <c r="Q4067" s="13">
        <v>61.11</v>
      </c>
      <c r="R4067" s="1" t="s">
        <v>51</v>
      </c>
      <c r="S4067" s="1">
        <v>1</v>
      </c>
      <c r="T4067" s="1" t="b">
        <v>0</v>
      </c>
      <c r="U4067" s="1" t="s">
        <v>84</v>
      </c>
      <c r="V4067" s="3">
        <v>10</v>
      </c>
    </row>
    <row r="4068" spans="1:22" x14ac:dyDescent="0.3">
      <c r="A4068" s="2" t="s">
        <v>8567</v>
      </c>
      <c r="B4068" s="10">
        <v>44518</v>
      </c>
      <c r="C4068" s="22">
        <v>44518</v>
      </c>
      <c r="D4068" s="1" t="s">
        <v>8568</v>
      </c>
      <c r="E4068" s="1" t="s">
        <v>804</v>
      </c>
      <c r="F4068" s="1">
        <v>150</v>
      </c>
      <c r="G4068" s="1" t="s">
        <v>391</v>
      </c>
      <c r="H4068" s="1" t="s">
        <v>25</v>
      </c>
      <c r="I4068" s="1" t="s">
        <v>69</v>
      </c>
      <c r="J4068" s="1" t="s">
        <v>76</v>
      </c>
      <c r="K4068" s="1" t="s">
        <v>122</v>
      </c>
      <c r="L4068" s="1">
        <v>6</v>
      </c>
      <c r="M4068" s="13">
        <v>574.04</v>
      </c>
      <c r="N4068" s="15">
        <v>7.0000000000000007E-2</v>
      </c>
      <c r="O4068" s="13">
        <v>2308.91</v>
      </c>
      <c r="P4068" s="13">
        <v>810.17</v>
      </c>
      <c r="Q4068" s="13">
        <v>68.91</v>
      </c>
      <c r="R4068" s="1" t="s">
        <v>70</v>
      </c>
      <c r="S4068" s="1">
        <v>3</v>
      </c>
      <c r="T4068" s="1" t="b">
        <v>0</v>
      </c>
      <c r="U4068" s="1" t="s">
        <v>39</v>
      </c>
      <c r="V4068" s="3">
        <v>5</v>
      </c>
    </row>
    <row r="4069" spans="1:22" x14ac:dyDescent="0.3">
      <c r="A4069" s="2" t="s">
        <v>8569</v>
      </c>
      <c r="B4069" s="10">
        <v>44502</v>
      </c>
      <c r="C4069" s="22">
        <v>44502</v>
      </c>
      <c r="D4069" s="1" t="s">
        <v>8570</v>
      </c>
      <c r="E4069" s="1" t="s">
        <v>897</v>
      </c>
      <c r="F4069" s="1">
        <v>52</v>
      </c>
      <c r="G4069" s="1" t="s">
        <v>24</v>
      </c>
      <c r="H4069" s="1" t="s">
        <v>35</v>
      </c>
      <c r="I4069" s="1" t="s">
        <v>36</v>
      </c>
      <c r="J4069" s="1" t="s">
        <v>27</v>
      </c>
      <c r="K4069" s="1" t="s">
        <v>28</v>
      </c>
      <c r="L4069" s="1">
        <v>3</v>
      </c>
      <c r="M4069" s="13">
        <v>398.14</v>
      </c>
      <c r="N4069" s="15">
        <v>0.25</v>
      </c>
      <c r="O4069" s="13">
        <v>680.62</v>
      </c>
      <c r="P4069" s="13">
        <v>46.49</v>
      </c>
      <c r="Q4069" s="13">
        <v>38.92</v>
      </c>
      <c r="R4069" s="1" t="s">
        <v>51</v>
      </c>
      <c r="S4069" s="1">
        <v>1</v>
      </c>
      <c r="T4069" s="1" t="b">
        <v>1</v>
      </c>
      <c r="U4069" s="1" t="s">
        <v>30</v>
      </c>
      <c r="V4069" s="3">
        <v>10</v>
      </c>
    </row>
    <row r="4070" spans="1:22" x14ac:dyDescent="0.3">
      <c r="A4070" s="2" t="s">
        <v>8571</v>
      </c>
      <c r="B4070" s="10">
        <v>44950</v>
      </c>
      <c r="C4070" s="22">
        <v>44950</v>
      </c>
      <c r="D4070" s="1" t="s">
        <v>8572</v>
      </c>
      <c r="E4070" s="1" t="s">
        <v>958</v>
      </c>
      <c r="F4070" s="1">
        <v>33</v>
      </c>
      <c r="G4070" s="1" t="s">
        <v>34</v>
      </c>
      <c r="H4070" s="1" t="s">
        <v>25</v>
      </c>
      <c r="I4070" s="1" t="s">
        <v>170</v>
      </c>
      <c r="J4070" s="1" t="s">
        <v>62</v>
      </c>
      <c r="K4070" s="1" t="s">
        <v>107</v>
      </c>
      <c r="L4070" s="1">
        <v>6</v>
      </c>
      <c r="M4070" s="13">
        <v>1149.8599999999999</v>
      </c>
      <c r="N4070" s="15">
        <v>0.21</v>
      </c>
      <c r="O4070" s="13">
        <v>5203.29</v>
      </c>
      <c r="P4070" s="13">
        <v>2215.79</v>
      </c>
      <c r="Q4070" s="13">
        <v>26.1</v>
      </c>
      <c r="R4070" s="1" t="s">
        <v>29</v>
      </c>
      <c r="S4070" s="1">
        <v>4</v>
      </c>
      <c r="T4070" s="1" t="b">
        <v>1</v>
      </c>
      <c r="U4070" s="1" t="s">
        <v>30</v>
      </c>
      <c r="V4070" s="3">
        <v>8</v>
      </c>
    </row>
    <row r="4071" spans="1:22" x14ac:dyDescent="0.3">
      <c r="A4071" s="2" t="s">
        <v>8573</v>
      </c>
      <c r="B4071" s="10">
        <v>44528</v>
      </c>
      <c r="C4071" s="22">
        <v>44528</v>
      </c>
      <c r="D4071" s="1" t="s">
        <v>8574</v>
      </c>
      <c r="E4071" s="1" t="s">
        <v>958</v>
      </c>
      <c r="F4071" s="1">
        <v>32</v>
      </c>
      <c r="G4071" s="1" t="s">
        <v>34</v>
      </c>
      <c r="H4071" s="1" t="s">
        <v>82</v>
      </c>
      <c r="I4071" s="1" t="s">
        <v>293</v>
      </c>
      <c r="J4071" s="1" t="s">
        <v>37</v>
      </c>
      <c r="K4071" s="1" t="s">
        <v>182</v>
      </c>
      <c r="L4071" s="1">
        <v>8</v>
      </c>
      <c r="M4071" s="13">
        <v>1512.26</v>
      </c>
      <c r="N4071" s="15">
        <v>0.28999999999999998</v>
      </c>
      <c r="O4071" s="13">
        <v>7442.04</v>
      </c>
      <c r="P4071" s="13">
        <v>1712.58</v>
      </c>
      <c r="Q4071" s="13">
        <v>87.62</v>
      </c>
      <c r="R4071" s="1" t="s">
        <v>57</v>
      </c>
      <c r="S4071" s="1">
        <v>3</v>
      </c>
      <c r="T4071" s="1" t="b">
        <v>0</v>
      </c>
      <c r="U4071" s="1" t="s">
        <v>39</v>
      </c>
      <c r="V4071" s="3">
        <v>3</v>
      </c>
    </row>
    <row r="4072" spans="1:22" x14ac:dyDescent="0.3">
      <c r="A4072" s="2" t="s">
        <v>8575</v>
      </c>
      <c r="B4072" s="10">
        <v>45139</v>
      </c>
      <c r="C4072" s="22">
        <v>45139</v>
      </c>
      <c r="D4072" s="1" t="s">
        <v>8576</v>
      </c>
      <c r="E4072" s="1" t="s">
        <v>958</v>
      </c>
      <c r="F4072" s="1">
        <v>16</v>
      </c>
      <c r="G4072" s="1" t="s">
        <v>68</v>
      </c>
      <c r="H4072" s="1" t="s">
        <v>82</v>
      </c>
      <c r="I4072" s="1" t="s">
        <v>293</v>
      </c>
      <c r="J4072" s="1" t="s">
        <v>146</v>
      </c>
      <c r="K4072" s="1" t="s">
        <v>178</v>
      </c>
      <c r="L4072" s="1">
        <v>4</v>
      </c>
      <c r="M4072" s="13">
        <v>2506.3000000000002</v>
      </c>
      <c r="N4072" s="15">
        <v>0.16</v>
      </c>
      <c r="O4072" s="13">
        <v>11720.71</v>
      </c>
      <c r="P4072" s="13">
        <v>3383.09</v>
      </c>
      <c r="Q4072" s="13">
        <v>80.27</v>
      </c>
      <c r="R4072" s="1" t="s">
        <v>57</v>
      </c>
      <c r="S4072" s="1">
        <v>3</v>
      </c>
      <c r="T4072" s="1" t="b">
        <v>0</v>
      </c>
      <c r="U4072" s="1" t="s">
        <v>39</v>
      </c>
      <c r="V4072" s="3">
        <v>2</v>
      </c>
    </row>
    <row r="4073" spans="1:22" x14ac:dyDescent="0.3">
      <c r="A4073" s="2" t="s">
        <v>8577</v>
      </c>
      <c r="B4073" s="10">
        <v>45225</v>
      </c>
      <c r="C4073" s="22">
        <v>45225</v>
      </c>
      <c r="D4073" s="1" t="s">
        <v>8578</v>
      </c>
      <c r="E4073" s="1" t="s">
        <v>1023</v>
      </c>
      <c r="F4073" s="1">
        <v>37</v>
      </c>
      <c r="G4073" s="1" t="s">
        <v>34</v>
      </c>
      <c r="H4073" s="1" t="s">
        <v>25</v>
      </c>
      <c r="I4073" s="1" t="s">
        <v>170</v>
      </c>
      <c r="J4073" s="1" t="s">
        <v>76</v>
      </c>
      <c r="K4073" s="1" t="s">
        <v>77</v>
      </c>
      <c r="L4073" s="1">
        <v>4</v>
      </c>
      <c r="M4073" s="13">
        <v>594.33000000000004</v>
      </c>
      <c r="N4073" s="15">
        <v>7.0000000000000007E-2</v>
      </c>
      <c r="O4073" s="13">
        <v>2462.17</v>
      </c>
      <c r="P4073" s="13">
        <v>786.24</v>
      </c>
      <c r="Q4073" s="13">
        <v>84.06</v>
      </c>
      <c r="R4073" s="1" t="s">
        <v>78</v>
      </c>
      <c r="S4073" s="1">
        <v>1</v>
      </c>
      <c r="T4073" s="1" t="b">
        <v>0</v>
      </c>
      <c r="U4073" s="1" t="s">
        <v>39</v>
      </c>
      <c r="V4073" s="3">
        <v>8</v>
      </c>
    </row>
    <row r="4074" spans="1:22" x14ac:dyDescent="0.3">
      <c r="A4074" s="2" t="s">
        <v>8579</v>
      </c>
      <c r="B4074" s="10">
        <v>45304</v>
      </c>
      <c r="C4074" s="22">
        <v>45304</v>
      </c>
      <c r="D4074" s="1" t="s">
        <v>8580</v>
      </c>
      <c r="E4074" s="1" t="s">
        <v>552</v>
      </c>
      <c r="F4074" s="1">
        <v>34</v>
      </c>
      <c r="G4074" s="1" t="s">
        <v>68</v>
      </c>
      <c r="H4074" s="1" t="s">
        <v>35</v>
      </c>
      <c r="I4074" s="1" t="s">
        <v>49</v>
      </c>
      <c r="J4074" s="1" t="s">
        <v>37</v>
      </c>
      <c r="K4074" s="1" t="s">
        <v>671</v>
      </c>
      <c r="L4074" s="1">
        <v>4</v>
      </c>
      <c r="M4074" s="13">
        <v>1042.68</v>
      </c>
      <c r="N4074" s="15">
        <v>0.12</v>
      </c>
      <c r="O4074" s="13">
        <v>3735.87</v>
      </c>
      <c r="P4074" s="13">
        <v>1923.69</v>
      </c>
      <c r="Q4074" s="13">
        <v>43.55</v>
      </c>
      <c r="R4074" s="1" t="s">
        <v>57</v>
      </c>
      <c r="S4074" s="1">
        <v>4</v>
      </c>
      <c r="T4074" s="1" t="b">
        <v>0</v>
      </c>
      <c r="U4074" s="1" t="s">
        <v>39</v>
      </c>
      <c r="V4074" s="3">
        <v>4</v>
      </c>
    </row>
    <row r="4075" spans="1:22" x14ac:dyDescent="0.3">
      <c r="A4075" s="2" t="s">
        <v>8581</v>
      </c>
      <c r="B4075" s="10">
        <v>45271</v>
      </c>
      <c r="C4075" s="22">
        <v>45271</v>
      </c>
      <c r="D4075" s="1" t="s">
        <v>8582</v>
      </c>
      <c r="E4075" s="1" t="s">
        <v>531</v>
      </c>
      <c r="F4075" s="1">
        <v>29</v>
      </c>
      <c r="G4075" s="1" t="s">
        <v>34</v>
      </c>
      <c r="H4075" s="1" t="s">
        <v>74</v>
      </c>
      <c r="I4075" s="1" t="s">
        <v>75</v>
      </c>
      <c r="J4075" s="1" t="s">
        <v>37</v>
      </c>
      <c r="K4075" s="1" t="s">
        <v>182</v>
      </c>
      <c r="L4075" s="1">
        <v>7</v>
      </c>
      <c r="M4075" s="13">
        <v>1649.29</v>
      </c>
      <c r="N4075" s="15">
        <v>0.18</v>
      </c>
      <c r="O4075" s="13">
        <v>7846.93</v>
      </c>
      <c r="P4075" s="13">
        <v>3544.75</v>
      </c>
      <c r="Q4075" s="13">
        <v>37.21</v>
      </c>
      <c r="R4075" s="1" t="s">
        <v>57</v>
      </c>
      <c r="S4075" s="1">
        <v>2</v>
      </c>
      <c r="T4075" s="1" t="b">
        <v>0</v>
      </c>
      <c r="U4075" s="1" t="s">
        <v>197</v>
      </c>
      <c r="V4075" s="3">
        <v>2</v>
      </c>
    </row>
    <row r="4076" spans="1:22" x14ac:dyDescent="0.3">
      <c r="A4076" s="2" t="s">
        <v>8583</v>
      </c>
      <c r="B4076" s="10">
        <v>44851</v>
      </c>
      <c r="C4076" s="22">
        <v>44851</v>
      </c>
      <c r="D4076" s="1" t="s">
        <v>8584</v>
      </c>
      <c r="E4076" s="1" t="s">
        <v>702</v>
      </c>
      <c r="F4076" s="1">
        <v>35</v>
      </c>
      <c r="G4076" s="1" t="s">
        <v>68</v>
      </c>
      <c r="H4076" s="1" t="s">
        <v>82</v>
      </c>
      <c r="I4076" s="1" t="s">
        <v>244</v>
      </c>
      <c r="J4076" s="1" t="s">
        <v>44</v>
      </c>
      <c r="K4076" s="1" t="s">
        <v>93</v>
      </c>
      <c r="L4076" s="1">
        <v>7</v>
      </c>
      <c r="M4076" s="13">
        <v>26524.400000000001</v>
      </c>
      <c r="N4076" s="15">
        <v>0.28999999999999998</v>
      </c>
      <c r="O4076" s="13">
        <v>121709.51</v>
      </c>
      <c r="P4076" s="13">
        <v>31637.279999999999</v>
      </c>
      <c r="Q4076" s="13">
        <v>92.09</v>
      </c>
      <c r="R4076" s="1" t="s">
        <v>70</v>
      </c>
      <c r="S4076" s="1">
        <v>3</v>
      </c>
      <c r="T4076" s="1" t="b">
        <v>0</v>
      </c>
      <c r="U4076" s="1" t="s">
        <v>137</v>
      </c>
      <c r="V4076" s="3">
        <v>4</v>
      </c>
    </row>
    <row r="4077" spans="1:22" x14ac:dyDescent="0.3">
      <c r="A4077" s="2" t="s">
        <v>8585</v>
      </c>
      <c r="B4077" s="10">
        <v>44631</v>
      </c>
      <c r="C4077" s="22">
        <v>44631</v>
      </c>
      <c r="D4077" s="1" t="s">
        <v>8586</v>
      </c>
      <c r="E4077" s="1" t="s">
        <v>566</v>
      </c>
      <c r="F4077" s="1">
        <v>25</v>
      </c>
      <c r="G4077" s="1" t="s">
        <v>24</v>
      </c>
      <c r="H4077" s="1" t="s">
        <v>111</v>
      </c>
      <c r="I4077" s="1" t="s">
        <v>121</v>
      </c>
      <c r="J4077" s="1" t="s">
        <v>127</v>
      </c>
      <c r="K4077" s="1" t="s">
        <v>142</v>
      </c>
      <c r="L4077" s="1">
        <v>9</v>
      </c>
      <c r="M4077" s="13">
        <v>15199.01</v>
      </c>
      <c r="N4077" s="15">
        <v>0.23</v>
      </c>
      <c r="O4077" s="13">
        <v>129545.79</v>
      </c>
      <c r="P4077" s="13">
        <v>19098.669999999998</v>
      </c>
      <c r="Q4077" s="13">
        <v>60.16</v>
      </c>
      <c r="R4077" s="1" t="s">
        <v>64</v>
      </c>
      <c r="S4077" s="1">
        <v>1</v>
      </c>
      <c r="T4077" s="1" t="b">
        <v>0</v>
      </c>
      <c r="U4077" s="1" t="s">
        <v>39</v>
      </c>
      <c r="V4077" s="3">
        <v>6</v>
      </c>
    </row>
    <row r="4078" spans="1:22" x14ac:dyDescent="0.3">
      <c r="A4078" s="2" t="s">
        <v>8587</v>
      </c>
      <c r="B4078" s="10">
        <v>45082</v>
      </c>
      <c r="C4078" s="22">
        <v>45082</v>
      </c>
      <c r="D4078" s="1" t="s">
        <v>8588</v>
      </c>
      <c r="E4078" s="1" t="s">
        <v>908</v>
      </c>
      <c r="F4078" s="1">
        <v>41</v>
      </c>
      <c r="G4078" s="1" t="s">
        <v>68</v>
      </c>
      <c r="H4078" s="1" t="s">
        <v>111</v>
      </c>
      <c r="I4078" s="1" t="s">
        <v>330</v>
      </c>
      <c r="J4078" s="1" t="s">
        <v>37</v>
      </c>
      <c r="K4078" s="1" t="s">
        <v>38</v>
      </c>
      <c r="L4078" s="1">
        <v>2</v>
      </c>
      <c r="M4078" s="13">
        <v>1297.33</v>
      </c>
      <c r="N4078" s="15">
        <v>0.22</v>
      </c>
      <c r="O4078" s="13">
        <v>3312.56</v>
      </c>
      <c r="P4078" s="13">
        <v>1518.57</v>
      </c>
      <c r="Q4078" s="13">
        <v>46.51</v>
      </c>
      <c r="R4078" s="1" t="s">
        <v>29</v>
      </c>
      <c r="S4078" s="1">
        <v>1</v>
      </c>
      <c r="T4078" s="1" t="b">
        <v>0</v>
      </c>
      <c r="U4078" s="1" t="s">
        <v>39</v>
      </c>
      <c r="V4078" s="3">
        <v>9</v>
      </c>
    </row>
    <row r="4079" spans="1:22" x14ac:dyDescent="0.3">
      <c r="A4079" s="2" t="s">
        <v>8589</v>
      </c>
      <c r="B4079" s="10">
        <v>44898</v>
      </c>
      <c r="C4079" s="22">
        <v>44898</v>
      </c>
      <c r="D4079" s="1" t="s">
        <v>8590</v>
      </c>
      <c r="E4079" s="1" t="s">
        <v>1297</v>
      </c>
      <c r="F4079" s="1">
        <v>51</v>
      </c>
      <c r="G4079" s="1" t="s">
        <v>68</v>
      </c>
      <c r="H4079" s="1" t="s">
        <v>111</v>
      </c>
      <c r="I4079" s="1" t="s">
        <v>141</v>
      </c>
      <c r="J4079" s="1" t="s">
        <v>76</v>
      </c>
      <c r="K4079" s="1" t="s">
        <v>89</v>
      </c>
      <c r="L4079" s="1">
        <v>4</v>
      </c>
      <c r="M4079" s="13">
        <v>3481.94</v>
      </c>
      <c r="N4079" s="15">
        <v>0.35</v>
      </c>
      <c r="O4079" s="13">
        <v>6409.77</v>
      </c>
      <c r="P4079" s="13">
        <v>2804.01</v>
      </c>
      <c r="Q4079" s="13">
        <v>71.75</v>
      </c>
      <c r="R4079" s="1" t="s">
        <v>51</v>
      </c>
      <c r="S4079" s="1">
        <v>3</v>
      </c>
      <c r="T4079" s="1" t="b">
        <v>0</v>
      </c>
      <c r="U4079" s="1" t="s">
        <v>39</v>
      </c>
      <c r="V4079" s="3">
        <v>9</v>
      </c>
    </row>
    <row r="4080" spans="1:22" x14ac:dyDescent="0.3">
      <c r="A4080" s="2" t="s">
        <v>8591</v>
      </c>
      <c r="B4080" s="10">
        <v>44919</v>
      </c>
      <c r="C4080" s="22">
        <v>44919</v>
      </c>
      <c r="D4080" s="1" t="s">
        <v>4447</v>
      </c>
      <c r="E4080" s="1" t="s">
        <v>1142</v>
      </c>
      <c r="F4080" s="1">
        <v>36</v>
      </c>
      <c r="G4080" s="1" t="s">
        <v>24</v>
      </c>
      <c r="H4080" s="1" t="s">
        <v>25</v>
      </c>
      <c r="I4080" s="1" t="s">
        <v>170</v>
      </c>
      <c r="J4080" s="1" t="s">
        <v>146</v>
      </c>
      <c r="K4080" s="1" t="s">
        <v>147</v>
      </c>
      <c r="L4080" s="1">
        <v>9</v>
      </c>
      <c r="M4080" s="13">
        <v>5484.95</v>
      </c>
      <c r="N4080" s="15">
        <v>0.09</v>
      </c>
      <c r="O4080" s="13">
        <v>32970.07</v>
      </c>
      <c r="P4080" s="13">
        <v>5646.17</v>
      </c>
      <c r="Q4080" s="13">
        <v>31.22</v>
      </c>
      <c r="R4080" s="1" t="s">
        <v>29</v>
      </c>
      <c r="S4080" s="1">
        <v>3</v>
      </c>
      <c r="T4080" s="1" t="b">
        <v>0</v>
      </c>
      <c r="U4080" s="1" t="s">
        <v>39</v>
      </c>
      <c r="V4080" s="3">
        <v>9</v>
      </c>
    </row>
    <row r="4081" spans="1:22" x14ac:dyDescent="0.3">
      <c r="A4081" s="2" t="s">
        <v>8592</v>
      </c>
      <c r="B4081" s="10">
        <v>44364</v>
      </c>
      <c r="C4081" s="22">
        <v>44364</v>
      </c>
      <c r="D4081" s="1" t="s">
        <v>8593</v>
      </c>
      <c r="E4081" s="1" t="s">
        <v>1263</v>
      </c>
      <c r="F4081" s="1">
        <v>28</v>
      </c>
      <c r="G4081" s="1" t="s">
        <v>68</v>
      </c>
      <c r="H4081" s="1" t="s">
        <v>111</v>
      </c>
      <c r="I4081" s="1" t="s">
        <v>112</v>
      </c>
      <c r="J4081" s="1" t="s">
        <v>62</v>
      </c>
      <c r="K4081" s="1" t="s">
        <v>151</v>
      </c>
      <c r="L4081" s="1">
        <v>10</v>
      </c>
      <c r="M4081" s="13">
        <v>1470.66</v>
      </c>
      <c r="N4081" s="15">
        <v>0</v>
      </c>
      <c r="O4081" s="13">
        <v>19373.32</v>
      </c>
      <c r="P4081" s="13">
        <v>8438.27</v>
      </c>
      <c r="Q4081" s="13">
        <v>64.66</v>
      </c>
      <c r="R4081" s="1" t="s">
        <v>70</v>
      </c>
      <c r="S4081" s="1">
        <v>2</v>
      </c>
      <c r="T4081" s="1" t="b">
        <v>0</v>
      </c>
      <c r="U4081" s="1" t="s">
        <v>39</v>
      </c>
      <c r="V4081" s="3">
        <v>3</v>
      </c>
    </row>
    <row r="4082" spans="1:22" x14ac:dyDescent="0.3">
      <c r="A4082" s="2" t="s">
        <v>8594</v>
      </c>
      <c r="B4082" s="10">
        <v>44864</v>
      </c>
      <c r="C4082" s="22">
        <v>44864</v>
      </c>
      <c r="D4082" s="1" t="s">
        <v>8595</v>
      </c>
      <c r="E4082" s="1" t="s">
        <v>1422</v>
      </c>
      <c r="F4082" s="1">
        <v>33</v>
      </c>
      <c r="G4082" s="1" t="s">
        <v>34</v>
      </c>
      <c r="H4082" s="1" t="s">
        <v>35</v>
      </c>
      <c r="I4082" s="1" t="s">
        <v>49</v>
      </c>
      <c r="J4082" s="1" t="s">
        <v>76</v>
      </c>
      <c r="K4082" s="1" t="s">
        <v>89</v>
      </c>
      <c r="L4082" s="1">
        <v>8</v>
      </c>
      <c r="M4082" s="13">
        <v>3591.12</v>
      </c>
      <c r="N4082" s="15">
        <v>0.04</v>
      </c>
      <c r="O4082" s="13">
        <v>23914.76</v>
      </c>
      <c r="P4082" s="13">
        <v>6348.6</v>
      </c>
      <c r="Q4082" s="13">
        <v>50.27</v>
      </c>
      <c r="R4082" s="1" t="s">
        <v>64</v>
      </c>
      <c r="S4082" s="1">
        <v>2</v>
      </c>
      <c r="T4082" s="1" t="b">
        <v>0</v>
      </c>
      <c r="U4082" s="1" t="s">
        <v>84</v>
      </c>
      <c r="V4082" s="3">
        <v>8</v>
      </c>
    </row>
    <row r="4083" spans="1:22" x14ac:dyDescent="0.3">
      <c r="A4083" s="2" t="s">
        <v>8596</v>
      </c>
      <c r="B4083" s="10">
        <v>44938</v>
      </c>
      <c r="C4083" s="22">
        <v>44938</v>
      </c>
      <c r="D4083" s="1" t="s">
        <v>8597</v>
      </c>
      <c r="E4083" s="1" t="s">
        <v>33</v>
      </c>
      <c r="F4083" s="1">
        <v>32</v>
      </c>
      <c r="G4083" s="1" t="s">
        <v>391</v>
      </c>
      <c r="H4083" s="1" t="s">
        <v>74</v>
      </c>
      <c r="I4083" s="1" t="s">
        <v>101</v>
      </c>
      <c r="J4083" s="1" t="s">
        <v>37</v>
      </c>
      <c r="K4083" s="1" t="s">
        <v>102</v>
      </c>
      <c r="L4083" s="1">
        <v>5</v>
      </c>
      <c r="M4083" s="13">
        <v>1481.3</v>
      </c>
      <c r="N4083" s="15">
        <v>0.31</v>
      </c>
      <c r="O4083" s="13">
        <v>4531.1499999999996</v>
      </c>
      <c r="P4083" s="13">
        <v>1360.74</v>
      </c>
      <c r="Q4083" s="13">
        <v>44.59</v>
      </c>
      <c r="R4083" s="1" t="s">
        <v>64</v>
      </c>
      <c r="S4083" s="1">
        <v>2</v>
      </c>
      <c r="T4083" s="1" t="b">
        <v>0</v>
      </c>
      <c r="U4083" s="1" t="s">
        <v>58</v>
      </c>
      <c r="V4083" s="3">
        <v>2</v>
      </c>
    </row>
    <row r="4084" spans="1:22" x14ac:dyDescent="0.3">
      <c r="A4084" s="2" t="s">
        <v>8598</v>
      </c>
      <c r="B4084" s="10">
        <v>45526</v>
      </c>
      <c r="C4084" s="22">
        <v>45526</v>
      </c>
      <c r="D4084" s="1" t="s">
        <v>8599</v>
      </c>
      <c r="E4084" s="1" t="s">
        <v>1309</v>
      </c>
      <c r="F4084" s="1">
        <v>14</v>
      </c>
      <c r="G4084" s="1" t="s">
        <v>24</v>
      </c>
      <c r="H4084" s="1" t="s">
        <v>74</v>
      </c>
      <c r="I4084" s="1" t="s">
        <v>101</v>
      </c>
      <c r="J4084" s="1" t="s">
        <v>127</v>
      </c>
      <c r="K4084" s="1" t="s">
        <v>128</v>
      </c>
      <c r="L4084" s="1">
        <v>7</v>
      </c>
      <c r="M4084" s="13">
        <v>56616.08</v>
      </c>
      <c r="N4084" s="15">
        <v>0.37</v>
      </c>
      <c r="O4084" s="13">
        <v>409146.2</v>
      </c>
      <c r="P4084" s="13">
        <v>52669.59</v>
      </c>
      <c r="Q4084" s="13">
        <v>72.56</v>
      </c>
      <c r="R4084" s="1" t="s">
        <v>57</v>
      </c>
      <c r="S4084" s="1">
        <v>1</v>
      </c>
      <c r="T4084" s="1" t="b">
        <v>0</v>
      </c>
      <c r="U4084" s="1" t="s">
        <v>39</v>
      </c>
      <c r="V4084" s="3">
        <v>9</v>
      </c>
    </row>
    <row r="4085" spans="1:22" x14ac:dyDescent="0.3">
      <c r="A4085" s="2" t="s">
        <v>8600</v>
      </c>
      <c r="B4085" s="10">
        <v>44611</v>
      </c>
      <c r="C4085" s="22">
        <v>44611</v>
      </c>
      <c r="D4085" s="1" t="s">
        <v>8601</v>
      </c>
      <c r="E4085" s="1" t="s">
        <v>624</v>
      </c>
      <c r="F4085" s="1">
        <v>60</v>
      </c>
      <c r="G4085" s="1" t="s">
        <v>68</v>
      </c>
      <c r="H4085" s="1" t="s">
        <v>82</v>
      </c>
      <c r="I4085" s="1" t="s">
        <v>293</v>
      </c>
      <c r="J4085" s="1" t="s">
        <v>76</v>
      </c>
      <c r="K4085" s="1" t="s">
        <v>77</v>
      </c>
      <c r="L4085" s="1">
        <v>1</v>
      </c>
      <c r="M4085" s="13">
        <v>944.02</v>
      </c>
      <c r="N4085" s="15">
        <v>0.18</v>
      </c>
      <c r="O4085" s="13">
        <v>670.28</v>
      </c>
      <c r="P4085" s="13">
        <v>181.9</v>
      </c>
      <c r="Q4085" s="13">
        <v>78.510000000000005</v>
      </c>
      <c r="R4085" s="1" t="s">
        <v>70</v>
      </c>
      <c r="S4085" s="1">
        <v>5</v>
      </c>
      <c r="T4085" s="1" t="b">
        <v>0</v>
      </c>
      <c r="U4085" s="1" t="s">
        <v>39</v>
      </c>
      <c r="V4085" s="3">
        <v>3</v>
      </c>
    </row>
    <row r="4086" spans="1:22" x14ac:dyDescent="0.3">
      <c r="A4086" s="2" t="s">
        <v>8602</v>
      </c>
      <c r="B4086" s="10">
        <v>45247</v>
      </c>
      <c r="C4086" s="22">
        <v>45247</v>
      </c>
      <c r="D4086" s="1" t="s">
        <v>8603</v>
      </c>
      <c r="E4086" s="1" t="s">
        <v>3040</v>
      </c>
      <c r="F4086" s="1">
        <v>40</v>
      </c>
      <c r="G4086" s="1" t="s">
        <v>24</v>
      </c>
      <c r="H4086" s="1" t="s">
        <v>82</v>
      </c>
      <c r="I4086" s="1" t="s">
        <v>293</v>
      </c>
      <c r="J4086" s="1" t="s">
        <v>62</v>
      </c>
      <c r="K4086" s="1" t="s">
        <v>107</v>
      </c>
      <c r="L4086" s="1">
        <v>6</v>
      </c>
      <c r="M4086" s="13">
        <v>1395.75</v>
      </c>
      <c r="N4086" s="15">
        <v>0.22</v>
      </c>
      <c r="O4086" s="13">
        <v>5091</v>
      </c>
      <c r="P4086" s="13">
        <v>2066.2800000000002</v>
      </c>
      <c r="Q4086" s="13">
        <v>73.099999999999994</v>
      </c>
      <c r="R4086" s="1" t="s">
        <v>29</v>
      </c>
      <c r="S4086" s="1">
        <v>2</v>
      </c>
      <c r="T4086" s="1" t="b">
        <v>0</v>
      </c>
      <c r="U4086" s="1" t="s">
        <v>39</v>
      </c>
      <c r="V4086" s="3">
        <v>7</v>
      </c>
    </row>
    <row r="4087" spans="1:22" x14ac:dyDescent="0.3">
      <c r="A4087" s="2" t="s">
        <v>8604</v>
      </c>
      <c r="B4087" s="10">
        <v>44699</v>
      </c>
      <c r="C4087" s="22">
        <v>44699</v>
      </c>
      <c r="D4087" s="1" t="s">
        <v>8605</v>
      </c>
      <c r="E4087" s="1" t="s">
        <v>1359</v>
      </c>
      <c r="F4087" s="1">
        <v>15</v>
      </c>
      <c r="G4087" s="1" t="s">
        <v>68</v>
      </c>
      <c r="H4087" s="1" t="s">
        <v>74</v>
      </c>
      <c r="I4087" s="1" t="s">
        <v>75</v>
      </c>
      <c r="J4087" s="1" t="s">
        <v>146</v>
      </c>
      <c r="K4087" s="1" t="s">
        <v>217</v>
      </c>
      <c r="L4087" s="1">
        <v>1</v>
      </c>
      <c r="M4087" s="13">
        <v>2681.34</v>
      </c>
      <c r="N4087" s="15">
        <v>0.12</v>
      </c>
      <c r="O4087" s="13">
        <v>3807.13</v>
      </c>
      <c r="P4087" s="13">
        <v>587.09</v>
      </c>
      <c r="Q4087" s="13">
        <v>75.5</v>
      </c>
      <c r="R4087" s="1" t="s">
        <v>78</v>
      </c>
      <c r="S4087" s="1">
        <v>3</v>
      </c>
      <c r="T4087" s="1" t="b">
        <v>1</v>
      </c>
      <c r="U4087" s="1" t="s">
        <v>30</v>
      </c>
      <c r="V4087" s="3">
        <v>4</v>
      </c>
    </row>
    <row r="4088" spans="1:22" x14ac:dyDescent="0.3">
      <c r="A4088" s="2" t="s">
        <v>8606</v>
      </c>
      <c r="B4088" s="10">
        <v>45108</v>
      </c>
      <c r="C4088" s="22">
        <v>45108</v>
      </c>
      <c r="D4088" s="1" t="s">
        <v>8607</v>
      </c>
      <c r="E4088" s="1" t="s">
        <v>513</v>
      </c>
      <c r="F4088" s="1">
        <v>20</v>
      </c>
      <c r="G4088" s="1" t="s">
        <v>24</v>
      </c>
      <c r="H4088" s="1" t="s">
        <v>82</v>
      </c>
      <c r="I4088" s="1" t="s">
        <v>244</v>
      </c>
      <c r="J4088" s="1" t="s">
        <v>27</v>
      </c>
      <c r="K4088" s="1" t="s">
        <v>450</v>
      </c>
      <c r="L4088" s="1">
        <v>3</v>
      </c>
      <c r="M4088" s="13">
        <v>108.19</v>
      </c>
      <c r="N4088" s="15">
        <v>0.4</v>
      </c>
      <c r="O4088" s="13">
        <v>272.74</v>
      </c>
      <c r="P4088" s="13">
        <v>18.29</v>
      </c>
      <c r="Q4088" s="13">
        <v>82.45</v>
      </c>
      <c r="R4088" s="1" t="s">
        <v>64</v>
      </c>
      <c r="S4088" s="1">
        <v>2</v>
      </c>
      <c r="T4088" s="1" t="b">
        <v>0</v>
      </c>
      <c r="U4088" s="1" t="s">
        <v>84</v>
      </c>
      <c r="V4088" s="3">
        <v>5</v>
      </c>
    </row>
    <row r="4089" spans="1:22" x14ac:dyDescent="0.3">
      <c r="A4089" s="2" t="s">
        <v>8608</v>
      </c>
      <c r="B4089" s="10">
        <v>45190</v>
      </c>
      <c r="C4089" s="22">
        <v>45190</v>
      </c>
      <c r="D4089" s="1" t="s">
        <v>8609</v>
      </c>
      <c r="E4089" s="1" t="s">
        <v>406</v>
      </c>
      <c r="F4089" s="1">
        <v>31</v>
      </c>
      <c r="G4089" s="1" t="s">
        <v>34</v>
      </c>
      <c r="H4089" s="1" t="s">
        <v>25</v>
      </c>
      <c r="I4089" s="1" t="s">
        <v>69</v>
      </c>
      <c r="J4089" s="1" t="s">
        <v>127</v>
      </c>
      <c r="K4089" s="1" t="s">
        <v>171</v>
      </c>
      <c r="L4089" s="1">
        <v>3</v>
      </c>
      <c r="M4089" s="13">
        <v>56628.56</v>
      </c>
      <c r="N4089" s="15">
        <v>0.32</v>
      </c>
      <c r="O4089" s="13">
        <v>145921.20000000001</v>
      </c>
      <c r="P4089" s="13">
        <v>15624.65</v>
      </c>
      <c r="Q4089" s="13">
        <v>47.88</v>
      </c>
      <c r="R4089" s="1" t="s">
        <v>70</v>
      </c>
      <c r="S4089" s="1">
        <v>1</v>
      </c>
      <c r="T4089" s="1" t="b">
        <v>0</v>
      </c>
      <c r="U4089" s="1" t="s">
        <v>137</v>
      </c>
      <c r="V4089" s="3">
        <v>8</v>
      </c>
    </row>
    <row r="4090" spans="1:22" x14ac:dyDescent="0.3">
      <c r="A4090" s="2" t="s">
        <v>8610</v>
      </c>
      <c r="B4090" s="10">
        <v>44028</v>
      </c>
      <c r="C4090" s="22">
        <v>44028</v>
      </c>
      <c r="D4090" s="1" t="s">
        <v>8611</v>
      </c>
      <c r="E4090" s="1" t="s">
        <v>3253</v>
      </c>
      <c r="F4090" s="1">
        <v>48</v>
      </c>
      <c r="G4090" s="1" t="s">
        <v>34</v>
      </c>
      <c r="H4090" s="1" t="s">
        <v>82</v>
      </c>
      <c r="I4090" s="1" t="s">
        <v>126</v>
      </c>
      <c r="J4090" s="1" t="s">
        <v>127</v>
      </c>
      <c r="K4090" s="1" t="s">
        <v>517</v>
      </c>
      <c r="L4090" s="1">
        <v>10</v>
      </c>
      <c r="M4090" s="13">
        <v>19028.599999999999</v>
      </c>
      <c r="N4090" s="15">
        <v>0.16</v>
      </c>
      <c r="O4090" s="13">
        <v>211424.88</v>
      </c>
      <c r="P4090" s="13">
        <v>15185.24</v>
      </c>
      <c r="Q4090" s="13">
        <v>90.95</v>
      </c>
      <c r="R4090" s="1" t="s">
        <v>78</v>
      </c>
      <c r="S4090" s="1">
        <v>4</v>
      </c>
      <c r="T4090" s="1" t="b">
        <v>0</v>
      </c>
      <c r="U4090" s="1" t="s">
        <v>39</v>
      </c>
      <c r="V4090" s="3">
        <v>7</v>
      </c>
    </row>
    <row r="4091" spans="1:22" x14ac:dyDescent="0.3">
      <c r="A4091" s="2" t="s">
        <v>8612</v>
      </c>
      <c r="B4091" s="10">
        <v>44751</v>
      </c>
      <c r="C4091" s="22">
        <v>44751</v>
      </c>
      <c r="D4091" s="1" t="s">
        <v>8613</v>
      </c>
      <c r="E4091" s="1" t="s">
        <v>433</v>
      </c>
      <c r="F4091" s="1">
        <v>43</v>
      </c>
      <c r="G4091" s="1" t="s">
        <v>24</v>
      </c>
      <c r="H4091" s="1" t="s">
        <v>35</v>
      </c>
      <c r="I4091" s="1" t="s">
        <v>36</v>
      </c>
      <c r="J4091" s="1" t="s">
        <v>37</v>
      </c>
      <c r="K4091" s="1" t="s">
        <v>38</v>
      </c>
      <c r="L4091" s="1">
        <v>6</v>
      </c>
      <c r="M4091" s="13">
        <v>2056.5</v>
      </c>
      <c r="N4091" s="15">
        <v>0.18</v>
      </c>
      <c r="O4091" s="13">
        <v>13191.89</v>
      </c>
      <c r="P4091" s="13">
        <v>5400.15</v>
      </c>
      <c r="Q4091" s="13">
        <v>38.67</v>
      </c>
      <c r="R4091" s="1" t="s">
        <v>57</v>
      </c>
      <c r="S4091" s="1">
        <v>5</v>
      </c>
      <c r="T4091" s="1" t="b">
        <v>0</v>
      </c>
      <c r="U4091" s="1" t="s">
        <v>84</v>
      </c>
      <c r="V4091" s="3">
        <v>5</v>
      </c>
    </row>
    <row r="4092" spans="1:22" x14ac:dyDescent="0.3">
      <c r="A4092" s="2" t="s">
        <v>8614</v>
      </c>
      <c r="B4092" s="10">
        <v>44402</v>
      </c>
      <c r="C4092" s="22">
        <v>44402</v>
      </c>
      <c r="D4092" s="1" t="s">
        <v>8615</v>
      </c>
      <c r="E4092" s="1" t="s">
        <v>1079</v>
      </c>
      <c r="F4092" s="1">
        <v>43</v>
      </c>
      <c r="G4092" s="1" t="s">
        <v>34</v>
      </c>
      <c r="H4092" s="1" t="s">
        <v>35</v>
      </c>
      <c r="I4092" s="1" t="s">
        <v>106</v>
      </c>
      <c r="J4092" s="1" t="s">
        <v>44</v>
      </c>
      <c r="K4092" s="1" t="s">
        <v>50</v>
      </c>
      <c r="L4092" s="1">
        <v>3</v>
      </c>
      <c r="M4092" s="13">
        <v>6493.94</v>
      </c>
      <c r="N4092" s="15">
        <v>0.18</v>
      </c>
      <c r="O4092" s="13">
        <v>18197.59</v>
      </c>
      <c r="P4092" s="13">
        <v>5074.92</v>
      </c>
      <c r="Q4092" s="13">
        <v>35.799999999999997</v>
      </c>
      <c r="R4092" s="1" t="s">
        <v>57</v>
      </c>
      <c r="S4092" s="1">
        <v>4</v>
      </c>
      <c r="T4092" s="1" t="b">
        <v>0</v>
      </c>
      <c r="U4092" s="1" t="s">
        <v>137</v>
      </c>
      <c r="V4092" s="3">
        <v>8</v>
      </c>
    </row>
    <row r="4093" spans="1:22" x14ac:dyDescent="0.3">
      <c r="A4093" s="2" t="s">
        <v>8616</v>
      </c>
      <c r="B4093" s="10">
        <v>45022</v>
      </c>
      <c r="C4093" s="22">
        <v>45022</v>
      </c>
      <c r="D4093" s="1" t="s">
        <v>8617</v>
      </c>
      <c r="E4093" s="1" t="s">
        <v>1050</v>
      </c>
      <c r="F4093" s="1">
        <v>52</v>
      </c>
      <c r="G4093" s="1" t="s">
        <v>68</v>
      </c>
      <c r="H4093" s="1" t="s">
        <v>82</v>
      </c>
      <c r="I4093" s="1" t="s">
        <v>83</v>
      </c>
      <c r="J4093" s="1" t="s">
        <v>146</v>
      </c>
      <c r="K4093" s="1" t="s">
        <v>276</v>
      </c>
      <c r="L4093" s="1">
        <v>5</v>
      </c>
      <c r="M4093" s="13">
        <v>12633.19</v>
      </c>
      <c r="N4093" s="15">
        <v>0.18</v>
      </c>
      <c r="O4093" s="13">
        <v>75906</v>
      </c>
      <c r="P4093" s="13">
        <v>19171.82</v>
      </c>
      <c r="Q4093" s="13">
        <v>62.92</v>
      </c>
      <c r="R4093" s="1" t="s">
        <v>64</v>
      </c>
      <c r="S4093" s="1">
        <v>2</v>
      </c>
      <c r="T4093" s="1" t="b">
        <v>1</v>
      </c>
      <c r="U4093" s="1" t="s">
        <v>30</v>
      </c>
      <c r="V4093" s="3">
        <v>8</v>
      </c>
    </row>
    <row r="4094" spans="1:22" x14ac:dyDescent="0.3">
      <c r="A4094" s="2" t="s">
        <v>8618</v>
      </c>
      <c r="B4094" s="10">
        <v>44943</v>
      </c>
      <c r="C4094" s="22">
        <v>44943</v>
      </c>
      <c r="D4094" s="1" t="s">
        <v>8619</v>
      </c>
      <c r="E4094" s="1" t="s">
        <v>2655</v>
      </c>
      <c r="F4094" s="1">
        <v>18</v>
      </c>
      <c r="G4094" s="1" t="s">
        <v>24</v>
      </c>
      <c r="H4094" s="1" t="s">
        <v>74</v>
      </c>
      <c r="I4094" s="1" t="s">
        <v>75</v>
      </c>
      <c r="J4094" s="1" t="s">
        <v>76</v>
      </c>
      <c r="K4094" s="1" t="s">
        <v>89</v>
      </c>
      <c r="L4094" s="1">
        <v>5</v>
      </c>
      <c r="M4094" s="13">
        <v>3294.49</v>
      </c>
      <c r="N4094" s="15">
        <v>0.36</v>
      </c>
      <c r="O4094" s="13">
        <v>11296.68</v>
      </c>
      <c r="P4094" s="13">
        <v>4457.7299999999996</v>
      </c>
      <c r="Q4094" s="13">
        <v>69.790000000000006</v>
      </c>
      <c r="R4094" s="1" t="s">
        <v>64</v>
      </c>
      <c r="S4094" s="1">
        <v>3</v>
      </c>
      <c r="T4094" s="1" t="b">
        <v>0</v>
      </c>
      <c r="U4094" s="1" t="s">
        <v>39</v>
      </c>
      <c r="V4094" s="3">
        <v>3</v>
      </c>
    </row>
    <row r="4095" spans="1:22" x14ac:dyDescent="0.3">
      <c r="A4095" s="2" t="s">
        <v>8620</v>
      </c>
      <c r="B4095" s="10">
        <v>45527</v>
      </c>
      <c r="C4095" s="22">
        <v>45527</v>
      </c>
      <c r="D4095" s="1" t="s">
        <v>8621</v>
      </c>
      <c r="E4095" s="1" t="s">
        <v>4771</v>
      </c>
      <c r="F4095" s="1">
        <v>15</v>
      </c>
      <c r="G4095" s="1" t="s">
        <v>68</v>
      </c>
      <c r="H4095" s="1" t="s">
        <v>25</v>
      </c>
      <c r="I4095" s="1" t="s">
        <v>55</v>
      </c>
      <c r="J4095" s="1" t="s">
        <v>127</v>
      </c>
      <c r="K4095" s="1" t="s">
        <v>308</v>
      </c>
      <c r="L4095" s="1">
        <v>10</v>
      </c>
      <c r="M4095" s="13">
        <v>30417.77</v>
      </c>
      <c r="N4095" s="15">
        <v>0.12</v>
      </c>
      <c r="O4095" s="13">
        <v>407424.79</v>
      </c>
      <c r="P4095" s="13">
        <v>59491.68</v>
      </c>
      <c r="Q4095" s="13">
        <v>54</v>
      </c>
      <c r="R4095" s="1" t="s">
        <v>29</v>
      </c>
      <c r="S4095" s="1">
        <v>3</v>
      </c>
      <c r="T4095" s="1" t="b">
        <v>0</v>
      </c>
      <c r="U4095" s="1" t="s">
        <v>137</v>
      </c>
      <c r="V4095" s="3">
        <v>3</v>
      </c>
    </row>
    <row r="4096" spans="1:22" x14ac:dyDescent="0.3">
      <c r="A4096" s="2" t="s">
        <v>8622</v>
      </c>
      <c r="B4096" s="10">
        <v>44318</v>
      </c>
      <c r="C4096" s="22">
        <v>44318</v>
      </c>
      <c r="D4096" s="1" t="s">
        <v>8623</v>
      </c>
      <c r="E4096" s="1" t="s">
        <v>908</v>
      </c>
      <c r="F4096" s="1">
        <v>29</v>
      </c>
      <c r="G4096" s="1" t="s">
        <v>68</v>
      </c>
      <c r="H4096" s="1" t="s">
        <v>35</v>
      </c>
      <c r="I4096" s="1" t="s">
        <v>36</v>
      </c>
      <c r="J4096" s="1" t="s">
        <v>27</v>
      </c>
      <c r="K4096" s="1" t="s">
        <v>400</v>
      </c>
      <c r="L4096" s="1">
        <v>2</v>
      </c>
      <c r="M4096" s="13">
        <v>413.27</v>
      </c>
      <c r="N4096" s="15">
        <v>0.22</v>
      </c>
      <c r="O4096" s="13">
        <v>843.51</v>
      </c>
      <c r="P4096" s="13">
        <v>59.92</v>
      </c>
      <c r="Q4096" s="13">
        <v>45.09</v>
      </c>
      <c r="R4096" s="1" t="s">
        <v>78</v>
      </c>
      <c r="S4096" s="1">
        <v>1</v>
      </c>
      <c r="T4096" s="1" t="b">
        <v>0</v>
      </c>
      <c r="U4096" s="1" t="s">
        <v>39</v>
      </c>
      <c r="V4096" s="3">
        <v>8</v>
      </c>
    </row>
    <row r="4097" spans="1:22" x14ac:dyDescent="0.3">
      <c r="A4097" s="2" t="s">
        <v>8624</v>
      </c>
      <c r="B4097" s="10">
        <v>45081</v>
      </c>
      <c r="C4097" s="22">
        <v>45081</v>
      </c>
      <c r="D4097" s="1" t="s">
        <v>8625</v>
      </c>
      <c r="E4097" s="1" t="s">
        <v>476</v>
      </c>
      <c r="F4097" s="1">
        <v>39</v>
      </c>
      <c r="G4097" s="1" t="s">
        <v>34</v>
      </c>
      <c r="H4097" s="1" t="s">
        <v>35</v>
      </c>
      <c r="I4097" s="1" t="s">
        <v>36</v>
      </c>
      <c r="J4097" s="1" t="s">
        <v>146</v>
      </c>
      <c r="K4097" s="1" t="s">
        <v>161</v>
      </c>
      <c r="L4097" s="1">
        <v>9</v>
      </c>
      <c r="M4097" s="13">
        <v>3434.17</v>
      </c>
      <c r="N4097" s="15">
        <v>0.08</v>
      </c>
      <c r="O4097" s="13">
        <v>46040.29</v>
      </c>
      <c r="P4097" s="13">
        <v>10782.3</v>
      </c>
      <c r="Q4097" s="13">
        <v>55.14</v>
      </c>
      <c r="R4097" s="1" t="s">
        <v>78</v>
      </c>
      <c r="S4097" s="1">
        <v>2</v>
      </c>
      <c r="T4097" s="1" t="b">
        <v>0</v>
      </c>
      <c r="U4097" s="1" t="s">
        <v>39</v>
      </c>
      <c r="V4097" s="3">
        <v>5</v>
      </c>
    </row>
    <row r="4098" spans="1:22" x14ac:dyDescent="0.3">
      <c r="A4098" s="2" t="s">
        <v>8626</v>
      </c>
      <c r="B4098" s="10">
        <v>45244</v>
      </c>
      <c r="C4098" s="22">
        <v>45244</v>
      </c>
      <c r="D4098" s="1" t="s">
        <v>8627</v>
      </c>
      <c r="E4098" s="1" t="s">
        <v>1275</v>
      </c>
      <c r="F4098" s="1">
        <v>31</v>
      </c>
      <c r="G4098" s="1" t="s">
        <v>34</v>
      </c>
      <c r="H4098" s="1" t="s">
        <v>25</v>
      </c>
      <c r="I4098" s="1" t="s">
        <v>26</v>
      </c>
      <c r="J4098" s="1" t="s">
        <v>27</v>
      </c>
      <c r="K4098" s="1" t="s">
        <v>97</v>
      </c>
      <c r="L4098" s="1">
        <v>6</v>
      </c>
      <c r="M4098" s="13">
        <v>470.13</v>
      </c>
      <c r="N4098" s="15">
        <v>0.34</v>
      </c>
      <c r="O4098" s="13">
        <v>1607.31</v>
      </c>
      <c r="P4098" s="13">
        <v>145.53</v>
      </c>
      <c r="Q4098" s="13">
        <v>73.23</v>
      </c>
      <c r="R4098" s="1" t="s">
        <v>29</v>
      </c>
      <c r="S4098" s="1">
        <v>4</v>
      </c>
      <c r="T4098" s="1" t="b">
        <v>0</v>
      </c>
      <c r="U4098" s="1" t="s">
        <v>39</v>
      </c>
      <c r="V4098" s="3">
        <v>2</v>
      </c>
    </row>
    <row r="4099" spans="1:22" x14ac:dyDescent="0.3">
      <c r="A4099" s="2" t="s">
        <v>8628</v>
      </c>
      <c r="B4099" s="10">
        <v>44384</v>
      </c>
      <c r="C4099" s="22">
        <v>44384</v>
      </c>
      <c r="D4099" s="1" t="s">
        <v>8629</v>
      </c>
      <c r="E4099" s="1" t="s">
        <v>1574</v>
      </c>
      <c r="F4099" s="1">
        <v>31</v>
      </c>
      <c r="G4099" s="1" t="s">
        <v>68</v>
      </c>
      <c r="H4099" s="1" t="s">
        <v>82</v>
      </c>
      <c r="I4099" s="1" t="s">
        <v>83</v>
      </c>
      <c r="J4099" s="1" t="s">
        <v>62</v>
      </c>
      <c r="K4099" s="1" t="s">
        <v>63</v>
      </c>
      <c r="L4099" s="1">
        <v>3</v>
      </c>
      <c r="M4099" s="13">
        <v>453.81</v>
      </c>
      <c r="N4099" s="15">
        <v>0.14000000000000001</v>
      </c>
      <c r="O4099" s="13">
        <v>1633.5</v>
      </c>
      <c r="P4099" s="13">
        <v>658.01</v>
      </c>
      <c r="Q4099" s="13">
        <v>88.97</v>
      </c>
      <c r="R4099" s="1" t="s">
        <v>64</v>
      </c>
      <c r="S4099" s="1">
        <v>2</v>
      </c>
      <c r="T4099" s="1" t="b">
        <v>0</v>
      </c>
      <c r="U4099" s="1" t="s">
        <v>39</v>
      </c>
      <c r="V4099" s="3">
        <v>6</v>
      </c>
    </row>
    <row r="4100" spans="1:22" x14ac:dyDescent="0.3">
      <c r="A4100" s="2" t="s">
        <v>8630</v>
      </c>
      <c r="B4100" s="10">
        <v>44348</v>
      </c>
      <c r="C4100" s="22">
        <v>44348</v>
      </c>
      <c r="D4100" s="1" t="s">
        <v>1059</v>
      </c>
      <c r="E4100" s="1" t="s">
        <v>1596</v>
      </c>
      <c r="F4100" s="1">
        <v>50</v>
      </c>
      <c r="G4100" s="1" t="s">
        <v>68</v>
      </c>
      <c r="H4100" s="1" t="s">
        <v>35</v>
      </c>
      <c r="I4100" s="1" t="s">
        <v>49</v>
      </c>
      <c r="J4100" s="1" t="s">
        <v>62</v>
      </c>
      <c r="K4100" s="1" t="s">
        <v>266</v>
      </c>
      <c r="L4100" s="1">
        <v>10</v>
      </c>
      <c r="M4100" s="13">
        <v>736.78</v>
      </c>
      <c r="N4100" s="15">
        <v>0.05</v>
      </c>
      <c r="O4100" s="13">
        <v>8312.64</v>
      </c>
      <c r="P4100" s="13">
        <v>3354.33</v>
      </c>
      <c r="Q4100" s="13">
        <v>65.760000000000005</v>
      </c>
      <c r="R4100" s="1" t="s">
        <v>70</v>
      </c>
      <c r="S4100" s="1">
        <v>3</v>
      </c>
      <c r="T4100" s="1" t="b">
        <v>0</v>
      </c>
      <c r="U4100" s="1" t="s">
        <v>39</v>
      </c>
      <c r="V4100" s="3">
        <v>9</v>
      </c>
    </row>
    <row r="4101" spans="1:22" x14ac:dyDescent="0.3">
      <c r="A4101" s="2" t="s">
        <v>8631</v>
      </c>
      <c r="B4101" s="10">
        <v>45456</v>
      </c>
      <c r="C4101" s="22">
        <v>45456</v>
      </c>
      <c r="D4101" s="1" t="s">
        <v>8632</v>
      </c>
      <c r="E4101" s="1" t="s">
        <v>657</v>
      </c>
      <c r="F4101" s="1">
        <v>48</v>
      </c>
      <c r="G4101" s="1" t="s">
        <v>68</v>
      </c>
      <c r="H4101" s="1" t="s">
        <v>111</v>
      </c>
      <c r="I4101" s="1" t="s">
        <v>121</v>
      </c>
      <c r="J4101" s="1" t="s">
        <v>37</v>
      </c>
      <c r="K4101" s="1" t="s">
        <v>231</v>
      </c>
      <c r="L4101" s="1">
        <v>3</v>
      </c>
      <c r="M4101" s="13">
        <v>1059.55</v>
      </c>
      <c r="N4101" s="15">
        <v>0.28999999999999998</v>
      </c>
      <c r="O4101" s="13">
        <v>3720.84</v>
      </c>
      <c r="P4101" s="13">
        <v>1778.64</v>
      </c>
      <c r="Q4101" s="13">
        <v>88.2</v>
      </c>
      <c r="R4101" s="1" t="s">
        <v>70</v>
      </c>
      <c r="S4101" s="1">
        <v>4</v>
      </c>
      <c r="T4101" s="1" t="b">
        <v>0</v>
      </c>
      <c r="U4101" s="1" t="s">
        <v>137</v>
      </c>
      <c r="V4101" s="3">
        <v>6</v>
      </c>
    </row>
    <row r="4102" spans="1:22" x14ac:dyDescent="0.3">
      <c r="A4102" s="2" t="s">
        <v>8633</v>
      </c>
      <c r="B4102" s="10">
        <v>45581</v>
      </c>
      <c r="C4102" s="22">
        <v>45581</v>
      </c>
      <c r="D4102" s="1" t="s">
        <v>8634</v>
      </c>
      <c r="E4102" s="1" t="s">
        <v>1436</v>
      </c>
      <c r="F4102" s="1">
        <v>36</v>
      </c>
      <c r="G4102" s="1" t="s">
        <v>24</v>
      </c>
      <c r="H4102" s="1" t="s">
        <v>25</v>
      </c>
      <c r="I4102" s="1" t="s">
        <v>26</v>
      </c>
      <c r="J4102" s="1" t="s">
        <v>146</v>
      </c>
      <c r="K4102" s="1" t="s">
        <v>276</v>
      </c>
      <c r="L4102" s="1">
        <v>4</v>
      </c>
      <c r="M4102" s="13">
        <v>10043.459999999999</v>
      </c>
      <c r="N4102" s="15">
        <v>0.01</v>
      </c>
      <c r="O4102" s="13">
        <v>42595.96</v>
      </c>
      <c r="P4102" s="13">
        <v>8765.23</v>
      </c>
      <c r="Q4102" s="13">
        <v>45.62</v>
      </c>
      <c r="R4102" s="1" t="s">
        <v>51</v>
      </c>
      <c r="S4102" s="1">
        <v>4</v>
      </c>
      <c r="T4102" s="1" t="b">
        <v>0</v>
      </c>
      <c r="U4102" s="1" t="s">
        <v>84</v>
      </c>
      <c r="V4102" s="3">
        <v>2</v>
      </c>
    </row>
    <row r="4103" spans="1:22" x14ac:dyDescent="0.3">
      <c r="A4103" s="2" t="s">
        <v>8635</v>
      </c>
      <c r="B4103" s="10">
        <v>45529</v>
      </c>
      <c r="C4103" s="22">
        <v>45529</v>
      </c>
      <c r="D4103" s="1" t="s">
        <v>8636</v>
      </c>
      <c r="E4103" s="1" t="s">
        <v>1023</v>
      </c>
      <c r="F4103" s="1">
        <v>37</v>
      </c>
      <c r="G4103" s="1" t="s">
        <v>68</v>
      </c>
      <c r="H4103" s="1" t="s">
        <v>111</v>
      </c>
      <c r="I4103" s="1" t="s">
        <v>112</v>
      </c>
      <c r="J4103" s="1" t="s">
        <v>37</v>
      </c>
      <c r="K4103" s="1" t="s">
        <v>38</v>
      </c>
      <c r="L4103" s="1">
        <v>3</v>
      </c>
      <c r="M4103" s="13">
        <v>1547.78</v>
      </c>
      <c r="N4103" s="15">
        <v>0.27</v>
      </c>
      <c r="O4103" s="13">
        <v>4796.68</v>
      </c>
      <c r="P4103" s="13">
        <v>2149.21</v>
      </c>
      <c r="Q4103" s="13">
        <v>79.739999999999995</v>
      </c>
      <c r="R4103" s="1" t="s">
        <v>29</v>
      </c>
      <c r="S4103" s="1">
        <v>4</v>
      </c>
      <c r="T4103" s="1" t="b">
        <v>0</v>
      </c>
      <c r="U4103" s="1" t="s">
        <v>39</v>
      </c>
      <c r="V4103" s="3">
        <v>6</v>
      </c>
    </row>
    <row r="4104" spans="1:22" x14ac:dyDescent="0.3">
      <c r="A4104" s="2" t="s">
        <v>8637</v>
      </c>
      <c r="B4104" s="10">
        <v>44016</v>
      </c>
      <c r="C4104" s="22">
        <v>44016</v>
      </c>
      <c r="D4104" s="1" t="s">
        <v>8638</v>
      </c>
      <c r="E4104" s="1" t="s">
        <v>2229</v>
      </c>
      <c r="F4104" s="1">
        <v>28</v>
      </c>
      <c r="G4104" s="1" t="s">
        <v>68</v>
      </c>
      <c r="H4104" s="1" t="s">
        <v>74</v>
      </c>
      <c r="I4104" s="1" t="s">
        <v>101</v>
      </c>
      <c r="J4104" s="1" t="s">
        <v>27</v>
      </c>
      <c r="K4104" s="1" t="s">
        <v>450</v>
      </c>
      <c r="L4104" s="1">
        <v>5</v>
      </c>
      <c r="M4104" s="13">
        <v>88.16</v>
      </c>
      <c r="N4104" s="15">
        <v>0.25</v>
      </c>
      <c r="O4104" s="13">
        <v>81.73</v>
      </c>
      <c r="P4104" s="13">
        <v>8.41</v>
      </c>
      <c r="Q4104" s="13">
        <v>26.09</v>
      </c>
      <c r="R4104" s="1" t="s">
        <v>64</v>
      </c>
      <c r="S4104" s="1">
        <v>1</v>
      </c>
      <c r="T4104" s="1" t="b">
        <v>0</v>
      </c>
      <c r="U4104" s="1" t="s">
        <v>39</v>
      </c>
      <c r="V4104" s="3">
        <v>7</v>
      </c>
    </row>
    <row r="4105" spans="1:22" x14ac:dyDescent="0.3">
      <c r="A4105" s="2" t="s">
        <v>8639</v>
      </c>
      <c r="B4105" s="10">
        <v>44391</v>
      </c>
      <c r="C4105" s="22">
        <v>44391</v>
      </c>
      <c r="D4105" s="1" t="s">
        <v>8640</v>
      </c>
      <c r="E4105" s="1" t="s">
        <v>908</v>
      </c>
      <c r="F4105" s="1">
        <v>39</v>
      </c>
      <c r="G4105" s="1" t="s">
        <v>68</v>
      </c>
      <c r="H4105" s="1" t="s">
        <v>74</v>
      </c>
      <c r="I4105" s="1" t="s">
        <v>136</v>
      </c>
      <c r="J4105" s="1" t="s">
        <v>146</v>
      </c>
      <c r="K4105" s="1" t="s">
        <v>276</v>
      </c>
      <c r="L4105" s="1">
        <v>9</v>
      </c>
      <c r="M4105" s="13">
        <v>8547.4599999999991</v>
      </c>
      <c r="N4105" s="15">
        <v>0.01</v>
      </c>
      <c r="O4105" s="13">
        <v>109622.85</v>
      </c>
      <c r="P4105" s="13">
        <v>14504.29</v>
      </c>
      <c r="Q4105" s="13">
        <v>50.6</v>
      </c>
      <c r="R4105" s="1" t="s">
        <v>57</v>
      </c>
      <c r="S4105" s="1">
        <v>3</v>
      </c>
      <c r="T4105" s="1" t="b">
        <v>0</v>
      </c>
      <c r="U4105" s="1" t="s">
        <v>39</v>
      </c>
      <c r="V4105" s="3">
        <v>1</v>
      </c>
    </row>
    <row r="4106" spans="1:22" x14ac:dyDescent="0.3">
      <c r="A4106" s="2" t="s">
        <v>8641</v>
      </c>
      <c r="B4106" s="10">
        <v>44654</v>
      </c>
      <c r="C4106" s="22">
        <v>44654</v>
      </c>
      <c r="D4106" s="1" t="s">
        <v>8642</v>
      </c>
      <c r="E4106" s="1" t="s">
        <v>227</v>
      </c>
      <c r="F4106" s="1">
        <v>39</v>
      </c>
      <c r="G4106" s="1" t="s">
        <v>24</v>
      </c>
      <c r="H4106" s="1" t="s">
        <v>82</v>
      </c>
      <c r="I4106" s="1" t="s">
        <v>293</v>
      </c>
      <c r="J4106" s="1" t="s">
        <v>146</v>
      </c>
      <c r="K4106" s="1" t="s">
        <v>178</v>
      </c>
      <c r="L4106" s="1">
        <v>4</v>
      </c>
      <c r="M4106" s="13">
        <v>1061.5899999999999</v>
      </c>
      <c r="N4106" s="15">
        <v>0.01</v>
      </c>
      <c r="O4106" s="13">
        <v>5761.67</v>
      </c>
      <c r="P4106" s="13">
        <v>990.61</v>
      </c>
      <c r="Q4106" s="13">
        <v>66.63</v>
      </c>
      <c r="R4106" s="1" t="s">
        <v>70</v>
      </c>
      <c r="S4106" s="1">
        <v>1</v>
      </c>
      <c r="T4106" s="1" t="b">
        <v>0</v>
      </c>
      <c r="U4106" s="1" t="s">
        <v>39</v>
      </c>
      <c r="V4106" s="3">
        <v>7</v>
      </c>
    </row>
    <row r="4107" spans="1:22" x14ac:dyDescent="0.3">
      <c r="A4107" s="2" t="s">
        <v>8643</v>
      </c>
      <c r="B4107" s="10">
        <v>45202</v>
      </c>
      <c r="C4107" s="22">
        <v>45202</v>
      </c>
      <c r="D4107" s="1" t="s">
        <v>8644</v>
      </c>
      <c r="E4107" s="1" t="s">
        <v>3077</v>
      </c>
      <c r="F4107" s="1">
        <v>45</v>
      </c>
      <c r="G4107" s="1" t="s">
        <v>68</v>
      </c>
      <c r="H4107" s="1" t="s">
        <v>111</v>
      </c>
      <c r="I4107" s="1" t="s">
        <v>121</v>
      </c>
      <c r="J4107" s="1" t="s">
        <v>27</v>
      </c>
      <c r="K4107" s="1" t="s">
        <v>56</v>
      </c>
      <c r="L4107" s="1">
        <v>2</v>
      </c>
      <c r="M4107" s="13">
        <v>487.25</v>
      </c>
      <c r="N4107" s="15">
        <v>0.31</v>
      </c>
      <c r="O4107" s="13">
        <v>715.47</v>
      </c>
      <c r="P4107" s="13">
        <v>59.76</v>
      </c>
      <c r="Q4107" s="13">
        <v>64.430000000000007</v>
      </c>
      <c r="R4107" s="1" t="s">
        <v>29</v>
      </c>
      <c r="S4107" s="1">
        <v>1</v>
      </c>
      <c r="T4107" s="1" t="b">
        <v>0</v>
      </c>
      <c r="U4107" s="1" t="s">
        <v>39</v>
      </c>
      <c r="V4107" s="3">
        <v>6</v>
      </c>
    </row>
    <row r="4108" spans="1:22" x14ac:dyDescent="0.3">
      <c r="A4108" s="2" t="s">
        <v>8645</v>
      </c>
      <c r="B4108" s="10">
        <v>45425</v>
      </c>
      <c r="C4108" s="22">
        <v>45425</v>
      </c>
      <c r="D4108" s="1" t="s">
        <v>8646</v>
      </c>
      <c r="E4108" s="1" t="s">
        <v>531</v>
      </c>
      <c r="F4108" s="1">
        <v>39</v>
      </c>
      <c r="G4108" s="1" t="s">
        <v>34</v>
      </c>
      <c r="H4108" s="1" t="s">
        <v>111</v>
      </c>
      <c r="I4108" s="1" t="s">
        <v>112</v>
      </c>
      <c r="J4108" s="1" t="s">
        <v>27</v>
      </c>
      <c r="K4108" s="1" t="s">
        <v>56</v>
      </c>
      <c r="L4108" s="1">
        <v>9</v>
      </c>
      <c r="M4108" s="13">
        <v>188.1</v>
      </c>
      <c r="N4108" s="15">
        <v>0.08</v>
      </c>
      <c r="O4108" s="13">
        <v>2301.06</v>
      </c>
      <c r="P4108" s="13">
        <v>192.79</v>
      </c>
      <c r="Q4108" s="13">
        <v>67.95</v>
      </c>
      <c r="R4108" s="1" t="s">
        <v>51</v>
      </c>
      <c r="S4108" s="1">
        <v>2</v>
      </c>
      <c r="T4108" s="1" t="b">
        <v>1</v>
      </c>
      <c r="U4108" s="1" t="s">
        <v>30</v>
      </c>
      <c r="V4108" s="3">
        <v>9</v>
      </c>
    </row>
    <row r="4109" spans="1:22" x14ac:dyDescent="0.3">
      <c r="A4109" s="2" t="s">
        <v>8647</v>
      </c>
      <c r="B4109" s="10">
        <v>45451</v>
      </c>
      <c r="C4109" s="22">
        <v>45451</v>
      </c>
      <c r="D4109" s="1" t="s">
        <v>8648</v>
      </c>
      <c r="E4109" s="1" t="s">
        <v>360</v>
      </c>
      <c r="F4109" s="1">
        <v>21</v>
      </c>
      <c r="G4109" s="1" t="s">
        <v>24</v>
      </c>
      <c r="H4109" s="1" t="s">
        <v>111</v>
      </c>
      <c r="I4109" s="1" t="s">
        <v>330</v>
      </c>
      <c r="J4109" s="1" t="s">
        <v>37</v>
      </c>
      <c r="K4109" s="1" t="s">
        <v>38</v>
      </c>
      <c r="L4109" s="1">
        <v>5</v>
      </c>
      <c r="M4109" s="13">
        <v>1069.3599999999999</v>
      </c>
      <c r="N4109" s="15">
        <v>0.28999999999999998</v>
      </c>
      <c r="O4109" s="13">
        <v>1279.93</v>
      </c>
      <c r="P4109" s="13">
        <v>639.85</v>
      </c>
      <c r="Q4109" s="13">
        <v>62.49</v>
      </c>
      <c r="R4109" s="1" t="s">
        <v>51</v>
      </c>
      <c r="S4109" s="1">
        <v>2</v>
      </c>
      <c r="T4109" s="1" t="b">
        <v>0</v>
      </c>
      <c r="U4109" s="1" t="s">
        <v>39</v>
      </c>
      <c r="V4109" s="3">
        <v>8</v>
      </c>
    </row>
    <row r="4110" spans="1:22" x14ac:dyDescent="0.3">
      <c r="A4110" s="2" t="s">
        <v>8649</v>
      </c>
      <c r="B4110" s="10">
        <v>44408</v>
      </c>
      <c r="C4110" s="22">
        <v>44408</v>
      </c>
      <c r="D4110" s="1" t="s">
        <v>8650</v>
      </c>
      <c r="E4110" s="1" t="s">
        <v>1886</v>
      </c>
      <c r="F4110" s="1">
        <v>40</v>
      </c>
      <c r="G4110" s="1" t="s">
        <v>24</v>
      </c>
      <c r="H4110" s="1" t="s">
        <v>35</v>
      </c>
      <c r="I4110" s="1" t="s">
        <v>43</v>
      </c>
      <c r="J4110" s="1" t="s">
        <v>146</v>
      </c>
      <c r="K4110" s="1" t="s">
        <v>178</v>
      </c>
      <c r="L4110" s="1">
        <v>5</v>
      </c>
      <c r="M4110" s="13">
        <v>1698.17</v>
      </c>
      <c r="N4110" s="15">
        <v>0.21</v>
      </c>
      <c r="O4110" s="13">
        <v>1998.56</v>
      </c>
      <c r="P4110" s="13">
        <v>334.69</v>
      </c>
      <c r="Q4110" s="13">
        <v>57.32</v>
      </c>
      <c r="R4110" s="1" t="s">
        <v>51</v>
      </c>
      <c r="S4110" s="1">
        <v>1</v>
      </c>
      <c r="T4110" s="1" t="b">
        <v>0</v>
      </c>
      <c r="U4110" s="1" t="s">
        <v>39</v>
      </c>
      <c r="V4110" s="3">
        <v>7</v>
      </c>
    </row>
    <row r="4111" spans="1:22" x14ac:dyDescent="0.3">
      <c r="A4111" s="2" t="s">
        <v>8651</v>
      </c>
      <c r="B4111" s="10">
        <v>44973</v>
      </c>
      <c r="C4111" s="22">
        <v>44973</v>
      </c>
      <c r="D4111" s="1" t="s">
        <v>8652</v>
      </c>
      <c r="E4111" s="1" t="s">
        <v>847</v>
      </c>
      <c r="F4111" s="1">
        <v>34</v>
      </c>
      <c r="G4111" s="1" t="s">
        <v>34</v>
      </c>
      <c r="H4111" s="1" t="s">
        <v>35</v>
      </c>
      <c r="I4111" s="1" t="s">
        <v>36</v>
      </c>
      <c r="J4111" s="1" t="s">
        <v>44</v>
      </c>
      <c r="K4111" s="1" t="s">
        <v>186</v>
      </c>
      <c r="L4111" s="1">
        <v>4</v>
      </c>
      <c r="M4111" s="13">
        <v>17789.72</v>
      </c>
      <c r="N4111" s="15">
        <v>7.0000000000000007E-2</v>
      </c>
      <c r="O4111" s="13">
        <v>69297.429999999993</v>
      </c>
      <c r="P4111" s="13">
        <v>19802.240000000002</v>
      </c>
      <c r="Q4111" s="13">
        <v>80.3</v>
      </c>
      <c r="R4111" s="1" t="s">
        <v>51</v>
      </c>
      <c r="S4111" s="1">
        <v>3</v>
      </c>
      <c r="T4111" s="1" t="b">
        <v>0</v>
      </c>
      <c r="U4111" s="1" t="s">
        <v>39</v>
      </c>
      <c r="V4111" s="3">
        <v>5</v>
      </c>
    </row>
    <row r="4112" spans="1:22" x14ac:dyDescent="0.3">
      <c r="A4112" s="2" t="s">
        <v>8653</v>
      </c>
      <c r="B4112" s="10">
        <v>45174</v>
      </c>
      <c r="C4112" s="22">
        <v>45174</v>
      </c>
      <c r="D4112" s="1" t="s">
        <v>8654</v>
      </c>
      <c r="E4112" s="1" t="s">
        <v>403</v>
      </c>
      <c r="F4112" s="1">
        <v>66</v>
      </c>
      <c r="G4112" s="1" t="s">
        <v>24</v>
      </c>
      <c r="H4112" s="1" t="s">
        <v>111</v>
      </c>
      <c r="I4112" s="1" t="s">
        <v>330</v>
      </c>
      <c r="J4112" s="1" t="s">
        <v>146</v>
      </c>
      <c r="K4112" s="1" t="s">
        <v>178</v>
      </c>
      <c r="L4112" s="1">
        <v>2</v>
      </c>
      <c r="M4112" s="13">
        <v>548.20000000000005</v>
      </c>
      <c r="N4112" s="15">
        <v>0.12</v>
      </c>
      <c r="O4112" s="13">
        <v>1180.05</v>
      </c>
      <c r="P4112" s="13">
        <v>281.25</v>
      </c>
      <c r="Q4112" s="13">
        <v>57.13</v>
      </c>
      <c r="R4112" s="1" t="s">
        <v>57</v>
      </c>
      <c r="S4112" s="1">
        <v>3</v>
      </c>
      <c r="T4112" s="1" t="b">
        <v>0</v>
      </c>
      <c r="U4112" s="1" t="s">
        <v>39</v>
      </c>
      <c r="V4112" s="3">
        <v>9</v>
      </c>
    </row>
    <row r="4113" spans="1:22" x14ac:dyDescent="0.3">
      <c r="A4113" s="2" t="s">
        <v>8655</v>
      </c>
      <c r="B4113" s="10">
        <v>44109</v>
      </c>
      <c r="C4113" s="22">
        <v>44109</v>
      </c>
      <c r="D4113" s="1" t="s">
        <v>8656</v>
      </c>
      <c r="E4113" s="1" t="s">
        <v>2117</v>
      </c>
      <c r="F4113" s="1">
        <v>32</v>
      </c>
      <c r="G4113" s="1" t="s">
        <v>68</v>
      </c>
      <c r="H4113" s="1" t="s">
        <v>35</v>
      </c>
      <c r="I4113" s="1" t="s">
        <v>49</v>
      </c>
      <c r="J4113" s="1" t="s">
        <v>127</v>
      </c>
      <c r="K4113" s="1" t="s">
        <v>196</v>
      </c>
      <c r="L4113" s="1">
        <v>6</v>
      </c>
      <c r="M4113" s="13">
        <v>25397.18</v>
      </c>
      <c r="N4113" s="15">
        <v>0.27</v>
      </c>
      <c r="O4113" s="13">
        <v>82799.59</v>
      </c>
      <c r="P4113" s="13">
        <v>14030.93</v>
      </c>
      <c r="Q4113" s="13">
        <v>71.52</v>
      </c>
      <c r="R4113" s="1" t="s">
        <v>70</v>
      </c>
      <c r="S4113" s="1">
        <v>4</v>
      </c>
      <c r="T4113" s="1" t="b">
        <v>0</v>
      </c>
      <c r="U4113" s="1" t="s">
        <v>39</v>
      </c>
      <c r="V4113" s="3">
        <v>3</v>
      </c>
    </row>
    <row r="4114" spans="1:22" x14ac:dyDescent="0.3">
      <c r="A4114" s="2" t="s">
        <v>8657</v>
      </c>
      <c r="B4114" s="10">
        <v>44938</v>
      </c>
      <c r="C4114" s="22">
        <v>44938</v>
      </c>
      <c r="D4114" s="1" t="s">
        <v>8658</v>
      </c>
      <c r="E4114" s="1" t="s">
        <v>2328</v>
      </c>
      <c r="F4114" s="1">
        <v>40</v>
      </c>
      <c r="G4114" s="1" t="s">
        <v>68</v>
      </c>
      <c r="H4114" s="1" t="s">
        <v>74</v>
      </c>
      <c r="I4114" s="1" t="s">
        <v>136</v>
      </c>
      <c r="J4114" s="1" t="s">
        <v>37</v>
      </c>
      <c r="K4114" s="1" t="s">
        <v>102</v>
      </c>
      <c r="L4114" s="1">
        <v>10</v>
      </c>
      <c r="M4114" s="13">
        <v>544.05999999999995</v>
      </c>
      <c r="N4114" s="15">
        <v>0.02</v>
      </c>
      <c r="O4114" s="13">
        <v>4863.92</v>
      </c>
      <c r="P4114" s="13">
        <v>2369.17</v>
      </c>
      <c r="Q4114" s="13">
        <v>69.040000000000006</v>
      </c>
      <c r="R4114" s="1" t="s">
        <v>64</v>
      </c>
      <c r="S4114" s="1">
        <v>3</v>
      </c>
      <c r="T4114" s="1" t="b">
        <v>0</v>
      </c>
      <c r="U4114" s="1" t="s">
        <v>137</v>
      </c>
      <c r="V4114" s="3">
        <v>6</v>
      </c>
    </row>
    <row r="4115" spans="1:22" x14ac:dyDescent="0.3">
      <c r="A4115" s="2" t="s">
        <v>8659</v>
      </c>
      <c r="B4115" s="10">
        <v>45116</v>
      </c>
      <c r="C4115" s="22">
        <v>45116</v>
      </c>
      <c r="D4115" s="1" t="s">
        <v>8660</v>
      </c>
      <c r="E4115" s="1" t="s">
        <v>781</v>
      </c>
      <c r="F4115" s="1">
        <v>41</v>
      </c>
      <c r="G4115" s="1" t="s">
        <v>68</v>
      </c>
      <c r="H4115" s="1" t="s">
        <v>82</v>
      </c>
      <c r="I4115" s="1" t="s">
        <v>126</v>
      </c>
      <c r="J4115" s="1" t="s">
        <v>76</v>
      </c>
      <c r="K4115" s="1" t="s">
        <v>77</v>
      </c>
      <c r="L4115" s="1">
        <v>2</v>
      </c>
      <c r="M4115" s="13">
        <v>1764.31</v>
      </c>
      <c r="N4115" s="15">
        <v>0.05</v>
      </c>
      <c r="O4115" s="13">
        <v>4950.24</v>
      </c>
      <c r="P4115" s="13">
        <v>1681.63</v>
      </c>
      <c r="Q4115" s="13">
        <v>91.22</v>
      </c>
      <c r="R4115" s="1" t="s">
        <v>51</v>
      </c>
      <c r="S4115" s="1">
        <v>5</v>
      </c>
      <c r="T4115" s="1" t="b">
        <v>0</v>
      </c>
      <c r="U4115" s="1" t="s">
        <v>39</v>
      </c>
      <c r="V4115" s="3">
        <v>7</v>
      </c>
    </row>
    <row r="4116" spans="1:22" x14ac:dyDescent="0.3">
      <c r="A4116" s="2" t="s">
        <v>8661</v>
      </c>
      <c r="B4116" s="10">
        <v>44794</v>
      </c>
      <c r="C4116" s="22">
        <v>44794</v>
      </c>
      <c r="D4116" s="1" t="s">
        <v>8662</v>
      </c>
      <c r="E4116" s="1" t="s">
        <v>360</v>
      </c>
      <c r="F4116" s="1">
        <v>35</v>
      </c>
      <c r="G4116" s="1" t="s">
        <v>24</v>
      </c>
      <c r="H4116" s="1" t="s">
        <v>35</v>
      </c>
      <c r="I4116" s="1" t="s">
        <v>43</v>
      </c>
      <c r="J4116" s="1" t="s">
        <v>127</v>
      </c>
      <c r="K4116" s="1" t="s">
        <v>171</v>
      </c>
      <c r="L4116" s="1">
        <v>7</v>
      </c>
      <c r="M4116" s="13">
        <v>5978.14</v>
      </c>
      <c r="N4116" s="15">
        <v>0.38</v>
      </c>
      <c r="O4116" s="13">
        <v>31403.119999999999</v>
      </c>
      <c r="P4116" s="13">
        <v>3202.9</v>
      </c>
      <c r="Q4116" s="13">
        <v>68.28</v>
      </c>
      <c r="R4116" s="1" t="s">
        <v>51</v>
      </c>
      <c r="S4116" s="1">
        <v>2</v>
      </c>
      <c r="T4116" s="1" t="b">
        <v>0</v>
      </c>
      <c r="U4116" s="1" t="s">
        <v>84</v>
      </c>
      <c r="V4116" s="3">
        <v>9</v>
      </c>
    </row>
    <row r="4117" spans="1:22" x14ac:dyDescent="0.3">
      <c r="A4117" s="2" t="s">
        <v>8663</v>
      </c>
      <c r="B4117" s="10">
        <v>45335</v>
      </c>
      <c r="C4117" s="22">
        <v>45335</v>
      </c>
      <c r="D4117" s="1" t="s">
        <v>8664</v>
      </c>
      <c r="E4117" s="1" t="s">
        <v>523</v>
      </c>
      <c r="F4117" s="1">
        <v>30</v>
      </c>
      <c r="G4117" s="1" t="s">
        <v>68</v>
      </c>
      <c r="H4117" s="1" t="s">
        <v>74</v>
      </c>
      <c r="I4117" s="1" t="s">
        <v>192</v>
      </c>
      <c r="J4117" s="1" t="s">
        <v>44</v>
      </c>
      <c r="K4117" s="1" t="s">
        <v>93</v>
      </c>
      <c r="L4117" s="1">
        <v>1</v>
      </c>
      <c r="M4117" s="13">
        <v>34040.99</v>
      </c>
      <c r="N4117" s="15">
        <v>0.35</v>
      </c>
      <c r="O4117" s="13">
        <v>24095.35</v>
      </c>
      <c r="P4117" s="13">
        <v>6731.99</v>
      </c>
      <c r="Q4117" s="13">
        <v>44</v>
      </c>
      <c r="R4117" s="1" t="s">
        <v>51</v>
      </c>
      <c r="S4117" s="1">
        <v>2</v>
      </c>
      <c r="T4117" s="1" t="b">
        <v>0</v>
      </c>
      <c r="U4117" s="1" t="s">
        <v>84</v>
      </c>
      <c r="V4117" s="3">
        <v>7</v>
      </c>
    </row>
    <row r="4118" spans="1:22" x14ac:dyDescent="0.3">
      <c r="A4118" s="2" t="s">
        <v>8665</v>
      </c>
      <c r="B4118" s="10">
        <v>44068</v>
      </c>
      <c r="C4118" s="22">
        <v>44068</v>
      </c>
      <c r="D4118" s="1" t="s">
        <v>8666</v>
      </c>
      <c r="E4118" s="1" t="s">
        <v>220</v>
      </c>
      <c r="F4118" s="1">
        <v>41</v>
      </c>
      <c r="G4118" s="1" t="s">
        <v>68</v>
      </c>
      <c r="H4118" s="1" t="s">
        <v>25</v>
      </c>
      <c r="I4118" s="1" t="s">
        <v>26</v>
      </c>
      <c r="J4118" s="1" t="s">
        <v>27</v>
      </c>
      <c r="K4118" s="1" t="s">
        <v>450</v>
      </c>
      <c r="L4118" s="1">
        <v>5</v>
      </c>
      <c r="M4118" s="13">
        <v>195.75</v>
      </c>
      <c r="N4118" s="15">
        <v>0.23</v>
      </c>
      <c r="O4118" s="13">
        <v>857.03</v>
      </c>
      <c r="P4118" s="13">
        <v>70.849999999999994</v>
      </c>
      <c r="Q4118" s="13">
        <v>48.01</v>
      </c>
      <c r="R4118" s="1" t="s">
        <v>64</v>
      </c>
      <c r="S4118" s="1">
        <v>1</v>
      </c>
      <c r="T4118" s="1" t="b">
        <v>1</v>
      </c>
      <c r="U4118" s="1" t="s">
        <v>30</v>
      </c>
      <c r="V4118" s="3">
        <v>7</v>
      </c>
    </row>
    <row r="4119" spans="1:22" x14ac:dyDescent="0.3">
      <c r="A4119" s="2" t="s">
        <v>8667</v>
      </c>
      <c r="B4119" s="10">
        <v>45471</v>
      </c>
      <c r="C4119" s="22">
        <v>45471</v>
      </c>
      <c r="D4119" s="1" t="s">
        <v>8668</v>
      </c>
      <c r="E4119" s="1" t="s">
        <v>423</v>
      </c>
      <c r="F4119" s="1">
        <v>42</v>
      </c>
      <c r="G4119" s="1" t="s">
        <v>68</v>
      </c>
      <c r="H4119" s="1" t="s">
        <v>35</v>
      </c>
      <c r="I4119" s="1" t="s">
        <v>106</v>
      </c>
      <c r="J4119" s="1" t="s">
        <v>76</v>
      </c>
      <c r="K4119" s="1" t="s">
        <v>77</v>
      </c>
      <c r="L4119" s="1">
        <v>9</v>
      </c>
      <c r="M4119" s="13">
        <v>419.53</v>
      </c>
      <c r="N4119" s="15">
        <v>0.09</v>
      </c>
      <c r="O4119" s="13">
        <v>6597.21</v>
      </c>
      <c r="P4119" s="13">
        <v>2226.42</v>
      </c>
      <c r="Q4119" s="13">
        <v>55.39</v>
      </c>
      <c r="R4119" s="1" t="s">
        <v>51</v>
      </c>
      <c r="S4119" s="1">
        <v>1</v>
      </c>
      <c r="T4119" s="1" t="b">
        <v>0</v>
      </c>
      <c r="U4119" s="1" t="s">
        <v>39</v>
      </c>
      <c r="V4119" s="3">
        <v>6</v>
      </c>
    </row>
    <row r="4120" spans="1:22" x14ac:dyDescent="0.3">
      <c r="A4120" s="2" t="s">
        <v>8669</v>
      </c>
      <c r="B4120" s="10">
        <v>44824</v>
      </c>
      <c r="C4120" s="22">
        <v>44824</v>
      </c>
      <c r="D4120" s="1" t="s">
        <v>8670</v>
      </c>
      <c r="E4120" s="1" t="s">
        <v>1983</v>
      </c>
      <c r="F4120" s="1">
        <v>28</v>
      </c>
      <c r="G4120" s="1" t="s">
        <v>24</v>
      </c>
      <c r="H4120" s="1" t="s">
        <v>82</v>
      </c>
      <c r="I4120" s="1" t="s">
        <v>244</v>
      </c>
      <c r="J4120" s="1" t="s">
        <v>127</v>
      </c>
      <c r="K4120" s="1" t="s">
        <v>171</v>
      </c>
      <c r="L4120" s="1">
        <v>5</v>
      </c>
      <c r="M4120" s="13">
        <v>76773.58</v>
      </c>
      <c r="N4120" s="15">
        <v>0.12</v>
      </c>
      <c r="O4120" s="13">
        <v>367938.22</v>
      </c>
      <c r="P4120" s="13">
        <v>45756.9</v>
      </c>
      <c r="Q4120" s="13">
        <v>84.18</v>
      </c>
      <c r="R4120" s="1" t="s">
        <v>78</v>
      </c>
      <c r="S4120" s="1">
        <v>2</v>
      </c>
      <c r="T4120" s="1" t="b">
        <v>0</v>
      </c>
      <c r="U4120" s="1" t="s">
        <v>39</v>
      </c>
      <c r="V4120" s="3">
        <v>5</v>
      </c>
    </row>
    <row r="4121" spans="1:22" x14ac:dyDescent="0.3">
      <c r="A4121" s="2" t="s">
        <v>8671</v>
      </c>
      <c r="B4121" s="10">
        <v>43835</v>
      </c>
      <c r="C4121" s="22">
        <v>43835</v>
      </c>
      <c r="D4121" s="1" t="s">
        <v>8672</v>
      </c>
      <c r="E4121" s="1" t="s">
        <v>869</v>
      </c>
      <c r="F4121" s="1">
        <v>52</v>
      </c>
      <c r="G4121" s="1" t="s">
        <v>34</v>
      </c>
      <c r="H4121" s="1" t="s">
        <v>35</v>
      </c>
      <c r="I4121" s="1" t="s">
        <v>43</v>
      </c>
      <c r="J4121" s="1" t="s">
        <v>76</v>
      </c>
      <c r="K4121" s="1" t="s">
        <v>122</v>
      </c>
      <c r="L4121" s="1">
        <v>3</v>
      </c>
      <c r="M4121" s="13">
        <v>471.05</v>
      </c>
      <c r="N4121" s="15">
        <v>0.16</v>
      </c>
      <c r="O4121" s="13">
        <v>815.57</v>
      </c>
      <c r="P4121" s="13">
        <v>414.35</v>
      </c>
      <c r="Q4121" s="13">
        <v>64.239999999999995</v>
      </c>
      <c r="R4121" s="1" t="s">
        <v>64</v>
      </c>
      <c r="S4121" s="1">
        <v>2</v>
      </c>
      <c r="T4121" s="1" t="b">
        <v>0</v>
      </c>
      <c r="U4121" s="1" t="s">
        <v>39</v>
      </c>
      <c r="V4121" s="3">
        <v>6</v>
      </c>
    </row>
    <row r="4122" spans="1:22" x14ac:dyDescent="0.3">
      <c r="A4122" s="2" t="s">
        <v>8673</v>
      </c>
      <c r="B4122" s="10">
        <v>44581</v>
      </c>
      <c r="C4122" s="22">
        <v>44581</v>
      </c>
      <c r="D4122" s="1" t="s">
        <v>8674</v>
      </c>
      <c r="E4122" s="1" t="s">
        <v>926</v>
      </c>
      <c r="F4122" s="1">
        <v>3</v>
      </c>
      <c r="G4122" s="1" t="s">
        <v>34</v>
      </c>
      <c r="H4122" s="1" t="s">
        <v>74</v>
      </c>
      <c r="I4122" s="1" t="s">
        <v>192</v>
      </c>
      <c r="J4122" s="1" t="s">
        <v>37</v>
      </c>
      <c r="K4122" s="1" t="s">
        <v>38</v>
      </c>
      <c r="L4122" s="1">
        <v>3</v>
      </c>
      <c r="M4122" s="13">
        <v>790.57</v>
      </c>
      <c r="N4122" s="15">
        <v>0.33</v>
      </c>
      <c r="O4122" s="13">
        <v>1419.61</v>
      </c>
      <c r="P4122" s="13">
        <v>752.09</v>
      </c>
      <c r="Q4122" s="13">
        <v>45.71</v>
      </c>
      <c r="R4122" s="1" t="s">
        <v>78</v>
      </c>
      <c r="S4122" s="1">
        <v>1</v>
      </c>
      <c r="T4122" s="1" t="b">
        <v>0</v>
      </c>
      <c r="U4122" s="1" t="s">
        <v>39</v>
      </c>
      <c r="V4122" s="3">
        <v>2</v>
      </c>
    </row>
    <row r="4123" spans="1:22" x14ac:dyDescent="0.3">
      <c r="A4123" s="2" t="s">
        <v>8675</v>
      </c>
      <c r="B4123" s="10">
        <v>44168</v>
      </c>
      <c r="C4123" s="22">
        <v>44168</v>
      </c>
      <c r="D4123" s="1" t="s">
        <v>8676</v>
      </c>
      <c r="E4123" s="1" t="s">
        <v>177</v>
      </c>
      <c r="F4123" s="1">
        <v>39</v>
      </c>
      <c r="G4123" s="1" t="s">
        <v>34</v>
      </c>
      <c r="H4123" s="1" t="s">
        <v>111</v>
      </c>
      <c r="I4123" s="1" t="s">
        <v>141</v>
      </c>
      <c r="J4123" s="1" t="s">
        <v>127</v>
      </c>
      <c r="K4123" s="1" t="s">
        <v>308</v>
      </c>
      <c r="L4123" s="1">
        <v>5</v>
      </c>
      <c r="M4123" s="13">
        <v>17354.95</v>
      </c>
      <c r="N4123" s="15">
        <v>0.32</v>
      </c>
      <c r="O4123" s="13">
        <v>42550.65</v>
      </c>
      <c r="P4123" s="13">
        <v>5443.79</v>
      </c>
      <c r="Q4123" s="13">
        <v>87.73</v>
      </c>
      <c r="R4123" s="1" t="s">
        <v>78</v>
      </c>
      <c r="S4123" s="1">
        <v>3</v>
      </c>
      <c r="T4123" s="1" t="b">
        <v>0</v>
      </c>
      <c r="U4123" s="1" t="s">
        <v>39</v>
      </c>
      <c r="V4123" s="3">
        <v>4</v>
      </c>
    </row>
    <row r="4124" spans="1:22" x14ac:dyDescent="0.3">
      <c r="A4124" s="2" t="s">
        <v>8677</v>
      </c>
      <c r="B4124" s="10">
        <v>45120</v>
      </c>
      <c r="C4124" s="22">
        <v>45120</v>
      </c>
      <c r="D4124" s="1" t="s">
        <v>8678</v>
      </c>
      <c r="E4124" s="1" t="s">
        <v>973</v>
      </c>
      <c r="F4124" s="1">
        <v>36</v>
      </c>
      <c r="G4124" s="1" t="s">
        <v>34</v>
      </c>
      <c r="H4124" s="1" t="s">
        <v>111</v>
      </c>
      <c r="I4124" s="1" t="s">
        <v>112</v>
      </c>
      <c r="J4124" s="1" t="s">
        <v>76</v>
      </c>
      <c r="K4124" s="1" t="s">
        <v>122</v>
      </c>
      <c r="L4124" s="1">
        <v>3</v>
      </c>
      <c r="M4124" s="13">
        <v>3416.07</v>
      </c>
      <c r="N4124" s="15">
        <v>0.14000000000000001</v>
      </c>
      <c r="O4124" s="13">
        <v>15099.86</v>
      </c>
      <c r="P4124" s="13">
        <v>6787.12</v>
      </c>
      <c r="Q4124" s="13">
        <v>56.49</v>
      </c>
      <c r="R4124" s="1" t="s">
        <v>64</v>
      </c>
      <c r="S4124" s="1">
        <v>4</v>
      </c>
      <c r="T4124" s="1" t="b">
        <v>0</v>
      </c>
      <c r="U4124" s="1" t="s">
        <v>1411</v>
      </c>
      <c r="V4124" s="3">
        <v>8</v>
      </c>
    </row>
    <row r="4125" spans="1:22" x14ac:dyDescent="0.3">
      <c r="A4125" s="2" t="s">
        <v>8679</v>
      </c>
      <c r="B4125" s="10">
        <v>45295</v>
      </c>
      <c r="C4125" s="22">
        <v>45295</v>
      </c>
      <c r="D4125" s="1" t="s">
        <v>4739</v>
      </c>
      <c r="E4125" s="1" t="s">
        <v>3031</v>
      </c>
      <c r="F4125" s="1">
        <v>30</v>
      </c>
      <c r="G4125" s="1" t="s">
        <v>68</v>
      </c>
      <c r="H4125" s="1" t="s">
        <v>35</v>
      </c>
      <c r="I4125" s="1" t="s">
        <v>43</v>
      </c>
      <c r="J4125" s="1" t="s">
        <v>44</v>
      </c>
      <c r="K4125" s="1" t="s">
        <v>186</v>
      </c>
      <c r="L4125" s="1">
        <v>6</v>
      </c>
      <c r="M4125" s="13">
        <v>20348.09</v>
      </c>
      <c r="N4125" s="15">
        <v>0.27</v>
      </c>
      <c r="O4125" s="13">
        <v>89448.76</v>
      </c>
      <c r="P4125" s="13">
        <v>23773.69</v>
      </c>
      <c r="Q4125" s="13">
        <v>74.42</v>
      </c>
      <c r="R4125" s="1" t="s">
        <v>51</v>
      </c>
      <c r="S4125" s="1">
        <v>2</v>
      </c>
      <c r="T4125" s="1" t="b">
        <v>0</v>
      </c>
      <c r="U4125" s="1" t="s">
        <v>84</v>
      </c>
      <c r="V4125" s="3">
        <v>1</v>
      </c>
    </row>
    <row r="4126" spans="1:22" x14ac:dyDescent="0.3">
      <c r="A4126" s="2" t="s">
        <v>8680</v>
      </c>
      <c r="B4126" s="10">
        <v>44457</v>
      </c>
      <c r="C4126" s="22">
        <v>44457</v>
      </c>
      <c r="D4126" s="1" t="s">
        <v>8681</v>
      </c>
      <c r="E4126" s="1" t="s">
        <v>1047</v>
      </c>
      <c r="F4126" s="1">
        <v>26</v>
      </c>
      <c r="G4126" s="1" t="s">
        <v>34</v>
      </c>
      <c r="H4126" s="1" t="s">
        <v>82</v>
      </c>
      <c r="I4126" s="1" t="s">
        <v>244</v>
      </c>
      <c r="J4126" s="1" t="s">
        <v>37</v>
      </c>
      <c r="K4126" s="1" t="s">
        <v>38</v>
      </c>
      <c r="L4126" s="1">
        <v>9</v>
      </c>
      <c r="M4126" s="13">
        <v>1633.93</v>
      </c>
      <c r="N4126" s="15">
        <v>0.26</v>
      </c>
      <c r="O4126" s="13">
        <v>13364.21</v>
      </c>
      <c r="P4126" s="13">
        <v>6165.22</v>
      </c>
      <c r="Q4126" s="13">
        <v>62.78</v>
      </c>
      <c r="R4126" s="1" t="s">
        <v>78</v>
      </c>
      <c r="S4126" s="1">
        <v>4</v>
      </c>
      <c r="T4126" s="1" t="b">
        <v>0</v>
      </c>
      <c r="U4126" s="1" t="s">
        <v>197</v>
      </c>
      <c r="V4126" s="3">
        <v>2</v>
      </c>
    </row>
    <row r="4127" spans="1:22" x14ac:dyDescent="0.3">
      <c r="A4127" s="2" t="s">
        <v>8682</v>
      </c>
      <c r="B4127" s="10">
        <v>45070</v>
      </c>
      <c r="C4127" s="22">
        <v>45070</v>
      </c>
      <c r="D4127" s="1" t="s">
        <v>8683</v>
      </c>
      <c r="E4127" s="1" t="s">
        <v>2494</v>
      </c>
      <c r="F4127" s="1">
        <v>48</v>
      </c>
      <c r="G4127" s="1" t="s">
        <v>34</v>
      </c>
      <c r="H4127" s="1" t="s">
        <v>35</v>
      </c>
      <c r="I4127" s="1" t="s">
        <v>36</v>
      </c>
      <c r="J4127" s="1" t="s">
        <v>44</v>
      </c>
      <c r="K4127" s="1" t="s">
        <v>117</v>
      </c>
      <c r="L4127" s="1">
        <v>2</v>
      </c>
      <c r="M4127" s="13">
        <v>16498.439999999999</v>
      </c>
      <c r="N4127" s="15">
        <v>0.32</v>
      </c>
      <c r="O4127" s="13">
        <v>35854.5</v>
      </c>
      <c r="P4127" s="13">
        <v>11294.07</v>
      </c>
      <c r="Q4127" s="13">
        <v>57.11</v>
      </c>
      <c r="R4127" s="1" t="s">
        <v>70</v>
      </c>
      <c r="S4127" s="1">
        <v>4</v>
      </c>
      <c r="T4127" s="1" t="b">
        <v>0</v>
      </c>
      <c r="U4127" s="1" t="s">
        <v>39</v>
      </c>
      <c r="V4127" s="3">
        <v>5</v>
      </c>
    </row>
    <row r="4128" spans="1:22" x14ac:dyDescent="0.3">
      <c r="A4128" s="2" t="s">
        <v>8684</v>
      </c>
      <c r="B4128" s="10">
        <v>44870</v>
      </c>
      <c r="C4128" s="22">
        <v>44870</v>
      </c>
      <c r="D4128" s="1" t="s">
        <v>8685</v>
      </c>
      <c r="E4128" s="1" t="s">
        <v>1033</v>
      </c>
      <c r="F4128" s="1">
        <v>33</v>
      </c>
      <c r="G4128" s="1" t="s">
        <v>34</v>
      </c>
      <c r="H4128" s="1" t="s">
        <v>35</v>
      </c>
      <c r="I4128" s="1" t="s">
        <v>43</v>
      </c>
      <c r="J4128" s="1" t="s">
        <v>127</v>
      </c>
      <c r="K4128" s="1" t="s">
        <v>171</v>
      </c>
      <c r="L4128" s="1">
        <v>4</v>
      </c>
      <c r="M4128" s="13">
        <v>6142.5</v>
      </c>
      <c r="N4128" s="15">
        <v>0.28000000000000003</v>
      </c>
      <c r="O4128" s="13">
        <v>15055.56</v>
      </c>
      <c r="P4128" s="13">
        <v>2596.19</v>
      </c>
      <c r="Q4128" s="13">
        <v>76.47</v>
      </c>
      <c r="R4128" s="1" t="s">
        <v>51</v>
      </c>
      <c r="S4128" s="1">
        <v>5</v>
      </c>
      <c r="T4128" s="1" t="b">
        <v>0</v>
      </c>
      <c r="U4128" s="1" t="s">
        <v>39</v>
      </c>
      <c r="V4128" s="3">
        <v>4</v>
      </c>
    </row>
    <row r="4129" spans="1:22" x14ac:dyDescent="0.3">
      <c r="A4129" s="2" t="s">
        <v>8686</v>
      </c>
      <c r="B4129" s="10">
        <v>43976</v>
      </c>
      <c r="C4129" s="22">
        <v>43976</v>
      </c>
      <c r="D4129" s="1" t="s">
        <v>8687</v>
      </c>
      <c r="E4129" s="1" t="s">
        <v>1950</v>
      </c>
      <c r="F4129" s="1">
        <v>45</v>
      </c>
      <c r="G4129" s="1" t="s">
        <v>68</v>
      </c>
      <c r="H4129" s="1" t="s">
        <v>35</v>
      </c>
      <c r="I4129" s="1" t="s">
        <v>106</v>
      </c>
      <c r="J4129" s="1" t="s">
        <v>76</v>
      </c>
      <c r="K4129" s="1" t="s">
        <v>122</v>
      </c>
      <c r="L4129" s="1">
        <v>2</v>
      </c>
      <c r="M4129" s="13">
        <v>2283.88</v>
      </c>
      <c r="N4129" s="15">
        <v>0.38</v>
      </c>
      <c r="O4129" s="13">
        <v>3053.06</v>
      </c>
      <c r="P4129" s="13">
        <v>1108.5</v>
      </c>
      <c r="Q4129" s="13">
        <v>35.32</v>
      </c>
      <c r="R4129" s="1" t="s">
        <v>29</v>
      </c>
      <c r="S4129" s="1">
        <v>4</v>
      </c>
      <c r="T4129" s="1" t="b">
        <v>1</v>
      </c>
      <c r="U4129" s="1" t="s">
        <v>30</v>
      </c>
      <c r="V4129" s="3">
        <v>5</v>
      </c>
    </row>
    <row r="4130" spans="1:22" x14ac:dyDescent="0.3">
      <c r="A4130" s="2" t="s">
        <v>8688</v>
      </c>
      <c r="B4130" s="10">
        <v>45015</v>
      </c>
      <c r="C4130" s="22">
        <v>45015</v>
      </c>
      <c r="D4130" s="1" t="s">
        <v>8689</v>
      </c>
      <c r="E4130" s="1" t="s">
        <v>440</v>
      </c>
      <c r="F4130" s="1">
        <v>34</v>
      </c>
      <c r="G4130" s="1" t="s">
        <v>24</v>
      </c>
      <c r="H4130" s="1" t="s">
        <v>82</v>
      </c>
      <c r="I4130" s="1" t="s">
        <v>244</v>
      </c>
      <c r="J4130" s="1" t="s">
        <v>76</v>
      </c>
      <c r="K4130" s="1" t="s">
        <v>122</v>
      </c>
      <c r="L4130" s="1">
        <v>4</v>
      </c>
      <c r="M4130" s="13">
        <v>1407.93</v>
      </c>
      <c r="N4130" s="15">
        <v>0.05</v>
      </c>
      <c r="O4130" s="13">
        <v>6398.88</v>
      </c>
      <c r="P4130" s="13">
        <v>2389.35</v>
      </c>
      <c r="Q4130" s="13">
        <v>107.41</v>
      </c>
      <c r="R4130" s="1" t="s">
        <v>29</v>
      </c>
      <c r="S4130" s="1">
        <v>5</v>
      </c>
      <c r="T4130" s="1" t="b">
        <v>0</v>
      </c>
      <c r="U4130" s="1" t="s">
        <v>39</v>
      </c>
      <c r="V4130" s="3">
        <v>2</v>
      </c>
    </row>
    <row r="4131" spans="1:22" x14ac:dyDescent="0.3">
      <c r="A4131" s="2" t="s">
        <v>8690</v>
      </c>
      <c r="B4131" s="10">
        <v>45351</v>
      </c>
      <c r="C4131" s="22">
        <v>45351</v>
      </c>
      <c r="D4131" s="1" t="s">
        <v>4820</v>
      </c>
      <c r="E4131" s="1" t="s">
        <v>1510</v>
      </c>
      <c r="F4131" s="1">
        <v>26</v>
      </c>
      <c r="G4131" s="1" t="s">
        <v>68</v>
      </c>
      <c r="H4131" s="1" t="s">
        <v>35</v>
      </c>
      <c r="I4131" s="1" t="s">
        <v>49</v>
      </c>
      <c r="J4131" s="1" t="s">
        <v>76</v>
      </c>
      <c r="K4131" s="1" t="s">
        <v>122</v>
      </c>
      <c r="L4131" s="1">
        <v>3</v>
      </c>
      <c r="M4131" s="13">
        <v>1849.16</v>
      </c>
      <c r="N4131" s="15">
        <v>0.24</v>
      </c>
      <c r="O4131" s="13">
        <v>4817.3500000000004</v>
      </c>
      <c r="P4131" s="13">
        <v>2118.33</v>
      </c>
      <c r="Q4131" s="13">
        <v>38.42</v>
      </c>
      <c r="R4131" s="1" t="s">
        <v>57</v>
      </c>
      <c r="S4131" s="1">
        <v>2</v>
      </c>
      <c r="T4131" s="1" t="b">
        <v>0</v>
      </c>
      <c r="U4131" s="1" t="s">
        <v>39</v>
      </c>
      <c r="V4131" s="3">
        <v>4</v>
      </c>
    </row>
    <row r="4132" spans="1:22" x14ac:dyDescent="0.3">
      <c r="A4132" s="2" t="s">
        <v>8691</v>
      </c>
      <c r="B4132" s="10">
        <v>45125</v>
      </c>
      <c r="C4132" s="22">
        <v>45125</v>
      </c>
      <c r="D4132" s="1" t="s">
        <v>8692</v>
      </c>
      <c r="E4132" s="1" t="s">
        <v>1733</v>
      </c>
      <c r="F4132" s="1">
        <v>25</v>
      </c>
      <c r="G4132" s="1" t="s">
        <v>24</v>
      </c>
      <c r="H4132" s="1" t="s">
        <v>82</v>
      </c>
      <c r="I4132" s="1" t="s">
        <v>83</v>
      </c>
      <c r="J4132" s="1" t="s">
        <v>37</v>
      </c>
      <c r="K4132" s="1" t="s">
        <v>454</v>
      </c>
      <c r="L4132" s="1">
        <v>2</v>
      </c>
      <c r="M4132" s="13">
        <v>524.05999999999995</v>
      </c>
      <c r="N4132" s="15">
        <v>0.35</v>
      </c>
      <c r="O4132" s="13">
        <v>992.13</v>
      </c>
      <c r="P4132" s="13">
        <v>703.91</v>
      </c>
      <c r="Q4132" s="13">
        <v>91.44</v>
      </c>
      <c r="R4132" s="1" t="s">
        <v>64</v>
      </c>
      <c r="S4132" s="1">
        <v>5</v>
      </c>
      <c r="T4132" s="1" t="b">
        <v>0</v>
      </c>
      <c r="U4132" s="1" t="s">
        <v>39</v>
      </c>
      <c r="V4132" s="3">
        <v>3</v>
      </c>
    </row>
    <row r="4133" spans="1:22" x14ac:dyDescent="0.3">
      <c r="A4133" s="2" t="s">
        <v>8693</v>
      </c>
      <c r="B4133" s="10">
        <v>45303</v>
      </c>
      <c r="C4133" s="22">
        <v>45303</v>
      </c>
      <c r="D4133" s="1" t="s">
        <v>8694</v>
      </c>
      <c r="E4133" s="1" t="s">
        <v>1335</v>
      </c>
      <c r="F4133" s="1">
        <v>27</v>
      </c>
      <c r="G4133" s="1" t="s">
        <v>24</v>
      </c>
      <c r="H4133" s="1" t="s">
        <v>35</v>
      </c>
      <c r="I4133" s="1" t="s">
        <v>36</v>
      </c>
      <c r="J4133" s="1" t="s">
        <v>27</v>
      </c>
      <c r="K4133" s="1" t="s">
        <v>430</v>
      </c>
      <c r="L4133" s="1">
        <v>8</v>
      </c>
      <c r="M4133" s="13">
        <v>381.64</v>
      </c>
      <c r="N4133" s="15">
        <v>0.15</v>
      </c>
      <c r="O4133" s="13">
        <v>2926.92</v>
      </c>
      <c r="P4133" s="13">
        <v>195.11</v>
      </c>
      <c r="Q4133" s="13">
        <v>61.1</v>
      </c>
      <c r="R4133" s="1" t="s">
        <v>57</v>
      </c>
      <c r="S4133" s="1">
        <v>1</v>
      </c>
      <c r="T4133" s="1" t="b">
        <v>0</v>
      </c>
      <c r="U4133" s="1" t="s">
        <v>137</v>
      </c>
      <c r="V4133" s="3">
        <v>1</v>
      </c>
    </row>
    <row r="4134" spans="1:22" x14ac:dyDescent="0.3">
      <c r="A4134" s="2" t="s">
        <v>8695</v>
      </c>
      <c r="B4134" s="10">
        <v>45150</v>
      </c>
      <c r="C4134" s="22">
        <v>45150</v>
      </c>
      <c r="D4134" s="1" t="s">
        <v>8696</v>
      </c>
      <c r="E4134" s="1" t="s">
        <v>375</v>
      </c>
      <c r="F4134" s="1">
        <v>48</v>
      </c>
      <c r="G4134" s="1" t="s">
        <v>24</v>
      </c>
      <c r="H4134" s="1" t="s">
        <v>74</v>
      </c>
      <c r="I4134" s="1" t="s">
        <v>192</v>
      </c>
      <c r="J4134" s="1" t="s">
        <v>44</v>
      </c>
      <c r="K4134" s="1" t="s">
        <v>45</v>
      </c>
      <c r="L4134" s="1">
        <v>5</v>
      </c>
      <c r="M4134" s="13">
        <v>2325.92</v>
      </c>
      <c r="N4134" s="15">
        <v>0.02</v>
      </c>
      <c r="O4134" s="13">
        <v>17516.82</v>
      </c>
      <c r="P4134" s="13">
        <v>4426.97</v>
      </c>
      <c r="Q4134" s="13">
        <v>68.39</v>
      </c>
      <c r="R4134" s="1" t="s">
        <v>64</v>
      </c>
      <c r="S4134" s="1">
        <v>1</v>
      </c>
      <c r="T4134" s="1" t="b">
        <v>0</v>
      </c>
      <c r="U4134" s="1" t="s">
        <v>39</v>
      </c>
      <c r="V4134" s="3">
        <v>5</v>
      </c>
    </row>
    <row r="4135" spans="1:22" x14ac:dyDescent="0.3">
      <c r="A4135" s="2" t="s">
        <v>8697</v>
      </c>
      <c r="B4135" s="10">
        <v>44805</v>
      </c>
      <c r="C4135" s="22">
        <v>44805</v>
      </c>
      <c r="D4135" s="1" t="s">
        <v>8698</v>
      </c>
      <c r="E4135" s="1" t="s">
        <v>2286</v>
      </c>
      <c r="F4135" s="1">
        <v>34</v>
      </c>
      <c r="G4135" s="1" t="s">
        <v>68</v>
      </c>
      <c r="H4135" s="1" t="s">
        <v>111</v>
      </c>
      <c r="I4135" s="1" t="s">
        <v>141</v>
      </c>
      <c r="J4135" s="1" t="s">
        <v>37</v>
      </c>
      <c r="K4135" s="1" t="s">
        <v>671</v>
      </c>
      <c r="L4135" s="1">
        <v>9</v>
      </c>
      <c r="M4135" s="13">
        <v>1011.72</v>
      </c>
      <c r="N4135" s="15">
        <v>0.19</v>
      </c>
      <c r="O4135" s="13">
        <v>8905.76</v>
      </c>
      <c r="P4135" s="13">
        <v>2925.83</v>
      </c>
      <c r="Q4135" s="13">
        <v>96.59</v>
      </c>
      <c r="R4135" s="1" t="s">
        <v>57</v>
      </c>
      <c r="S4135" s="1">
        <v>1</v>
      </c>
      <c r="T4135" s="1" t="b">
        <v>0</v>
      </c>
      <c r="U4135" s="1" t="s">
        <v>39</v>
      </c>
      <c r="V4135" s="3">
        <v>4</v>
      </c>
    </row>
    <row r="4136" spans="1:22" x14ac:dyDescent="0.3">
      <c r="A4136" s="2" t="s">
        <v>8699</v>
      </c>
      <c r="B4136" s="10">
        <v>44257</v>
      </c>
      <c r="C4136" s="22">
        <v>44257</v>
      </c>
      <c r="D4136" s="1" t="s">
        <v>8700</v>
      </c>
      <c r="E4136" s="1" t="s">
        <v>3152</v>
      </c>
      <c r="F4136" s="1">
        <v>26</v>
      </c>
      <c r="G4136" s="1" t="s">
        <v>24</v>
      </c>
      <c r="H4136" s="1" t="s">
        <v>35</v>
      </c>
      <c r="I4136" s="1" t="s">
        <v>106</v>
      </c>
      <c r="J4136" s="1" t="s">
        <v>37</v>
      </c>
      <c r="K4136" s="1" t="s">
        <v>38</v>
      </c>
      <c r="L4136" s="1">
        <v>10</v>
      </c>
      <c r="M4136" s="13">
        <v>1967.69</v>
      </c>
      <c r="N4136" s="15">
        <v>0.12</v>
      </c>
      <c r="O4136" s="13">
        <v>19952.419999999998</v>
      </c>
      <c r="P4136" s="13">
        <v>8446.34</v>
      </c>
      <c r="Q4136" s="13">
        <v>29.78</v>
      </c>
      <c r="R4136" s="1" t="s">
        <v>70</v>
      </c>
      <c r="S4136" s="1">
        <v>4</v>
      </c>
      <c r="T4136" s="1" t="b">
        <v>0</v>
      </c>
      <c r="U4136" s="1" t="s">
        <v>137</v>
      </c>
      <c r="V4136" s="3">
        <v>4</v>
      </c>
    </row>
    <row r="4137" spans="1:22" x14ac:dyDescent="0.3">
      <c r="A4137" s="2" t="s">
        <v>8701</v>
      </c>
      <c r="B4137" s="10">
        <v>45108</v>
      </c>
      <c r="C4137" s="22">
        <v>45108</v>
      </c>
      <c r="D4137" s="1" t="s">
        <v>8702</v>
      </c>
      <c r="E4137" s="1" t="s">
        <v>2696</v>
      </c>
      <c r="F4137" s="1">
        <v>36</v>
      </c>
      <c r="G4137" s="1" t="s">
        <v>34</v>
      </c>
      <c r="H4137" s="1" t="s">
        <v>74</v>
      </c>
      <c r="I4137" s="1" t="s">
        <v>192</v>
      </c>
      <c r="J4137" s="1" t="s">
        <v>37</v>
      </c>
      <c r="K4137" s="1" t="s">
        <v>182</v>
      </c>
      <c r="L4137" s="1">
        <v>9</v>
      </c>
      <c r="M4137" s="13">
        <v>384.12</v>
      </c>
      <c r="N4137" s="15">
        <v>0.06</v>
      </c>
      <c r="O4137" s="13">
        <v>5112.1400000000003</v>
      </c>
      <c r="P4137" s="13">
        <v>2559.12</v>
      </c>
      <c r="Q4137" s="13">
        <v>26.49</v>
      </c>
      <c r="R4137" s="1" t="s">
        <v>78</v>
      </c>
      <c r="S4137" s="1">
        <v>3</v>
      </c>
      <c r="T4137" s="1" t="b">
        <v>0</v>
      </c>
      <c r="U4137" s="1" t="s">
        <v>39</v>
      </c>
      <c r="V4137" s="3">
        <v>8</v>
      </c>
    </row>
    <row r="4138" spans="1:22" x14ac:dyDescent="0.3">
      <c r="A4138" s="2" t="s">
        <v>8703</v>
      </c>
      <c r="B4138" s="10">
        <v>44363</v>
      </c>
      <c r="C4138" s="22">
        <v>44363</v>
      </c>
      <c r="D4138" s="1" t="s">
        <v>8704</v>
      </c>
      <c r="E4138" s="1" t="s">
        <v>1833</v>
      </c>
      <c r="F4138" s="1">
        <v>48</v>
      </c>
      <c r="G4138" s="1" t="s">
        <v>24</v>
      </c>
      <c r="H4138" s="1" t="s">
        <v>35</v>
      </c>
      <c r="I4138" s="1" t="s">
        <v>49</v>
      </c>
      <c r="J4138" s="1" t="s">
        <v>146</v>
      </c>
      <c r="K4138" s="1" t="s">
        <v>217</v>
      </c>
      <c r="L4138" s="1">
        <v>7</v>
      </c>
      <c r="M4138" s="13">
        <v>13866.5</v>
      </c>
      <c r="N4138" s="15">
        <v>0.4</v>
      </c>
      <c r="O4138" s="13">
        <v>89463.92</v>
      </c>
      <c r="P4138" s="13">
        <v>27530.1</v>
      </c>
      <c r="Q4138" s="13">
        <v>63.5</v>
      </c>
      <c r="R4138" s="1" t="s">
        <v>51</v>
      </c>
      <c r="S4138" s="1">
        <v>2</v>
      </c>
      <c r="T4138" s="1" t="b">
        <v>1</v>
      </c>
      <c r="U4138" s="1" t="s">
        <v>30</v>
      </c>
      <c r="V4138" s="3">
        <v>9</v>
      </c>
    </row>
    <row r="4139" spans="1:22" x14ac:dyDescent="0.3">
      <c r="A4139" s="2" t="s">
        <v>8705</v>
      </c>
      <c r="B4139" s="10">
        <v>44820</v>
      </c>
      <c r="C4139" s="22">
        <v>44820</v>
      </c>
      <c r="D4139" s="1" t="s">
        <v>8706</v>
      </c>
      <c r="E4139" s="1" t="s">
        <v>23</v>
      </c>
      <c r="F4139" s="1">
        <v>28</v>
      </c>
      <c r="G4139" s="1" t="s">
        <v>68</v>
      </c>
      <c r="H4139" s="1" t="s">
        <v>82</v>
      </c>
      <c r="I4139" s="1" t="s">
        <v>244</v>
      </c>
      <c r="J4139" s="1" t="s">
        <v>146</v>
      </c>
      <c r="K4139" s="1" t="s">
        <v>276</v>
      </c>
      <c r="L4139" s="1">
        <v>5</v>
      </c>
      <c r="M4139" s="13">
        <v>10621.22</v>
      </c>
      <c r="N4139" s="15">
        <v>0.03</v>
      </c>
      <c r="O4139" s="13">
        <v>58513.74</v>
      </c>
      <c r="P4139" s="13">
        <v>13918.5</v>
      </c>
      <c r="Q4139" s="13">
        <v>72.95</v>
      </c>
      <c r="R4139" s="1" t="s">
        <v>70</v>
      </c>
      <c r="S4139" s="1">
        <v>4</v>
      </c>
      <c r="T4139" s="1" t="b">
        <v>0</v>
      </c>
      <c r="U4139" s="1" t="s">
        <v>58</v>
      </c>
      <c r="V4139" s="3">
        <v>3</v>
      </c>
    </row>
    <row r="4140" spans="1:22" x14ac:dyDescent="0.3">
      <c r="A4140" s="2" t="s">
        <v>8707</v>
      </c>
      <c r="B4140" s="10">
        <v>45529</v>
      </c>
      <c r="C4140" s="22">
        <v>45529</v>
      </c>
      <c r="D4140" s="1" t="s">
        <v>8708</v>
      </c>
      <c r="E4140" s="1" t="s">
        <v>566</v>
      </c>
      <c r="F4140" s="1">
        <v>45</v>
      </c>
      <c r="G4140" s="1" t="s">
        <v>68</v>
      </c>
      <c r="H4140" s="1" t="s">
        <v>25</v>
      </c>
      <c r="I4140" s="1" t="s">
        <v>26</v>
      </c>
      <c r="J4140" s="1" t="s">
        <v>44</v>
      </c>
      <c r="K4140" s="1" t="s">
        <v>186</v>
      </c>
      <c r="L4140" s="1">
        <v>7</v>
      </c>
      <c r="M4140" s="13">
        <v>26483.31</v>
      </c>
      <c r="N4140" s="15">
        <v>0.19</v>
      </c>
      <c r="O4140" s="13">
        <v>218498.09</v>
      </c>
      <c r="P4140" s="13">
        <v>59352.07</v>
      </c>
      <c r="Q4140" s="13">
        <v>51.56</v>
      </c>
      <c r="R4140" s="1" t="s">
        <v>29</v>
      </c>
      <c r="S4140" s="1">
        <v>2</v>
      </c>
      <c r="T4140" s="1" t="b">
        <v>0</v>
      </c>
      <c r="U4140" s="1" t="s">
        <v>39</v>
      </c>
      <c r="V4140" s="3">
        <v>8</v>
      </c>
    </row>
    <row r="4141" spans="1:22" x14ac:dyDescent="0.3">
      <c r="A4141" s="2" t="s">
        <v>8709</v>
      </c>
      <c r="B4141" s="10">
        <v>44650</v>
      </c>
      <c r="C4141" s="22">
        <v>44650</v>
      </c>
      <c r="D4141" s="1" t="s">
        <v>8710</v>
      </c>
      <c r="E4141" s="1" t="s">
        <v>282</v>
      </c>
      <c r="F4141" s="1">
        <v>21</v>
      </c>
      <c r="G4141" s="1" t="s">
        <v>68</v>
      </c>
      <c r="H4141" s="1" t="s">
        <v>25</v>
      </c>
      <c r="I4141" s="1" t="s">
        <v>55</v>
      </c>
      <c r="J4141" s="1" t="s">
        <v>37</v>
      </c>
      <c r="K4141" s="1" t="s">
        <v>671</v>
      </c>
      <c r="L4141" s="1">
        <v>1</v>
      </c>
      <c r="M4141" s="13">
        <v>2086.4699999999998</v>
      </c>
      <c r="N4141" s="15">
        <v>0.4</v>
      </c>
      <c r="O4141" s="13">
        <v>1378.93</v>
      </c>
      <c r="P4141" s="13">
        <v>777.51</v>
      </c>
      <c r="Q4141" s="13">
        <v>51</v>
      </c>
      <c r="R4141" s="1" t="s">
        <v>51</v>
      </c>
      <c r="S4141" s="1">
        <v>5</v>
      </c>
      <c r="T4141" s="1" t="b">
        <v>0</v>
      </c>
      <c r="U4141" s="1" t="s">
        <v>137</v>
      </c>
      <c r="V4141" s="3">
        <v>6</v>
      </c>
    </row>
    <row r="4142" spans="1:22" x14ac:dyDescent="0.3">
      <c r="A4142" s="2" t="s">
        <v>8711</v>
      </c>
      <c r="B4142" s="10">
        <v>45630</v>
      </c>
      <c r="C4142" s="22">
        <v>45630</v>
      </c>
      <c r="D4142" s="1" t="s">
        <v>8712</v>
      </c>
      <c r="E4142" s="1" t="s">
        <v>988</v>
      </c>
      <c r="F4142" s="1">
        <v>25</v>
      </c>
      <c r="G4142" s="1" t="s">
        <v>34</v>
      </c>
      <c r="H4142" s="1" t="s">
        <v>25</v>
      </c>
      <c r="I4142" s="1" t="s">
        <v>55</v>
      </c>
      <c r="J4142" s="1" t="s">
        <v>62</v>
      </c>
      <c r="K4142" s="1" t="s">
        <v>107</v>
      </c>
      <c r="L4142" s="1">
        <v>1</v>
      </c>
      <c r="M4142" s="13">
        <v>395.88</v>
      </c>
      <c r="N4142" s="15">
        <v>0.05</v>
      </c>
      <c r="O4142" s="13">
        <v>323.02999999999997</v>
      </c>
      <c r="P4142" s="13">
        <v>152.9</v>
      </c>
      <c r="Q4142" s="13">
        <v>52.45</v>
      </c>
      <c r="R4142" s="1" t="s">
        <v>64</v>
      </c>
      <c r="S4142" s="1">
        <v>3</v>
      </c>
      <c r="T4142" s="1" t="b">
        <v>0</v>
      </c>
      <c r="U4142" s="1" t="s">
        <v>39</v>
      </c>
      <c r="V4142" s="3">
        <v>5</v>
      </c>
    </row>
    <row r="4143" spans="1:22" x14ac:dyDescent="0.3">
      <c r="A4143" s="2" t="s">
        <v>8713</v>
      </c>
      <c r="B4143" s="10">
        <v>45044</v>
      </c>
      <c r="C4143" s="22">
        <v>45044</v>
      </c>
      <c r="D4143" s="1" t="s">
        <v>8714</v>
      </c>
      <c r="E4143" s="1" t="s">
        <v>253</v>
      </c>
      <c r="F4143" s="1">
        <v>37</v>
      </c>
      <c r="G4143" s="1" t="s">
        <v>68</v>
      </c>
      <c r="H4143" s="1" t="s">
        <v>35</v>
      </c>
      <c r="I4143" s="1" t="s">
        <v>43</v>
      </c>
      <c r="J4143" s="1" t="s">
        <v>27</v>
      </c>
      <c r="K4143" s="1" t="s">
        <v>97</v>
      </c>
      <c r="L4143" s="1">
        <v>7</v>
      </c>
      <c r="M4143" s="13">
        <v>345.21</v>
      </c>
      <c r="N4143" s="15">
        <v>0.31</v>
      </c>
      <c r="O4143" s="13">
        <v>2467.58</v>
      </c>
      <c r="P4143" s="13">
        <v>210.23</v>
      </c>
      <c r="Q4143" s="13">
        <v>60.08</v>
      </c>
      <c r="R4143" s="1" t="s">
        <v>51</v>
      </c>
      <c r="S4143" s="1">
        <v>4</v>
      </c>
      <c r="T4143" s="1" t="b">
        <v>0</v>
      </c>
      <c r="U4143" s="1" t="s">
        <v>39</v>
      </c>
      <c r="V4143" s="3">
        <v>10</v>
      </c>
    </row>
    <row r="4144" spans="1:22" x14ac:dyDescent="0.3">
      <c r="A4144" s="2" t="s">
        <v>8715</v>
      </c>
      <c r="B4144" s="10">
        <v>44664</v>
      </c>
      <c r="C4144" s="22">
        <v>44664</v>
      </c>
      <c r="D4144" s="1" t="s">
        <v>8716</v>
      </c>
      <c r="E4144" s="1" t="s">
        <v>253</v>
      </c>
      <c r="F4144" s="1">
        <v>27</v>
      </c>
      <c r="G4144" s="1" t="s">
        <v>34</v>
      </c>
      <c r="H4144" s="1" t="s">
        <v>25</v>
      </c>
      <c r="I4144" s="1" t="s">
        <v>26</v>
      </c>
      <c r="J4144" s="1" t="s">
        <v>146</v>
      </c>
      <c r="K4144" s="1" t="s">
        <v>217</v>
      </c>
      <c r="L4144" s="1">
        <v>8</v>
      </c>
      <c r="M4144" s="13">
        <v>10307.31</v>
      </c>
      <c r="N4144" s="15">
        <v>0.04</v>
      </c>
      <c r="O4144" s="13">
        <v>110726.11</v>
      </c>
      <c r="P4144" s="13">
        <v>34280.730000000003</v>
      </c>
      <c r="Q4144" s="13">
        <v>65.12</v>
      </c>
      <c r="R4144" s="1" t="s">
        <v>78</v>
      </c>
      <c r="S4144" s="1">
        <v>4</v>
      </c>
      <c r="T4144" s="1" t="b">
        <v>0</v>
      </c>
      <c r="U4144" s="1" t="s">
        <v>39</v>
      </c>
      <c r="V4144" s="3">
        <v>8</v>
      </c>
    </row>
    <row r="4145" spans="1:22" x14ac:dyDescent="0.3">
      <c r="A4145" s="2" t="s">
        <v>8717</v>
      </c>
      <c r="B4145" s="10">
        <v>45421</v>
      </c>
      <c r="C4145" s="22">
        <v>45421</v>
      </c>
      <c r="D4145" s="1" t="s">
        <v>8718</v>
      </c>
      <c r="E4145" s="1" t="s">
        <v>1023</v>
      </c>
      <c r="F4145" s="1">
        <v>24</v>
      </c>
      <c r="G4145" s="1" t="s">
        <v>24</v>
      </c>
      <c r="H4145" s="1" t="s">
        <v>35</v>
      </c>
      <c r="I4145" s="1" t="s">
        <v>106</v>
      </c>
      <c r="J4145" s="1" t="s">
        <v>44</v>
      </c>
      <c r="K4145" s="1" t="s">
        <v>186</v>
      </c>
      <c r="L4145" s="1">
        <v>6</v>
      </c>
      <c r="M4145" s="13">
        <v>28581.8</v>
      </c>
      <c r="N4145" s="15">
        <v>0.38</v>
      </c>
      <c r="O4145" s="13">
        <v>181310.38</v>
      </c>
      <c r="P4145" s="13">
        <v>46448.05</v>
      </c>
      <c r="Q4145" s="13">
        <v>45.42</v>
      </c>
      <c r="R4145" s="1" t="s">
        <v>64</v>
      </c>
      <c r="S4145" s="1">
        <v>3</v>
      </c>
      <c r="T4145" s="1" t="b">
        <v>0</v>
      </c>
      <c r="U4145" s="1" t="s">
        <v>39</v>
      </c>
      <c r="V4145" s="3">
        <v>9</v>
      </c>
    </row>
    <row r="4146" spans="1:22" x14ac:dyDescent="0.3">
      <c r="A4146" s="2" t="s">
        <v>8719</v>
      </c>
      <c r="B4146" s="10">
        <v>45404</v>
      </c>
      <c r="C4146" s="22">
        <v>45404</v>
      </c>
      <c r="D4146" s="1" t="s">
        <v>8720</v>
      </c>
      <c r="E4146" s="1" t="s">
        <v>1978</v>
      </c>
      <c r="F4146" s="1">
        <v>33</v>
      </c>
      <c r="G4146" s="1" t="s">
        <v>24</v>
      </c>
      <c r="H4146" s="1" t="s">
        <v>82</v>
      </c>
      <c r="I4146" s="1" t="s">
        <v>293</v>
      </c>
      <c r="J4146" s="1" t="s">
        <v>44</v>
      </c>
      <c r="K4146" s="1" t="s">
        <v>221</v>
      </c>
      <c r="L4146" s="1">
        <v>9</v>
      </c>
      <c r="M4146" s="13">
        <v>14817.04</v>
      </c>
      <c r="N4146" s="15">
        <v>0</v>
      </c>
      <c r="O4146" s="13">
        <v>202150.56</v>
      </c>
      <c r="P4146" s="13">
        <v>62640.08</v>
      </c>
      <c r="Q4146" s="13">
        <v>83.25</v>
      </c>
      <c r="R4146" s="1" t="s">
        <v>78</v>
      </c>
      <c r="S4146" s="1">
        <v>2</v>
      </c>
      <c r="T4146" s="1" t="b">
        <v>0</v>
      </c>
      <c r="U4146" s="1" t="s">
        <v>39</v>
      </c>
      <c r="V4146" s="3">
        <v>2</v>
      </c>
    </row>
    <row r="4147" spans="1:22" x14ac:dyDescent="0.3">
      <c r="A4147" s="2" t="s">
        <v>8721</v>
      </c>
      <c r="B4147" s="10">
        <v>44868</v>
      </c>
      <c r="C4147" s="22">
        <v>44868</v>
      </c>
      <c r="D4147" s="1" t="s">
        <v>8722</v>
      </c>
      <c r="E4147" s="1" t="s">
        <v>552</v>
      </c>
      <c r="F4147" s="1">
        <v>23</v>
      </c>
      <c r="G4147" s="1" t="s">
        <v>34</v>
      </c>
      <c r="H4147" s="1" t="s">
        <v>82</v>
      </c>
      <c r="I4147" s="1" t="s">
        <v>293</v>
      </c>
      <c r="J4147" s="1" t="s">
        <v>76</v>
      </c>
      <c r="K4147" s="1" t="s">
        <v>122</v>
      </c>
      <c r="L4147" s="1">
        <v>1</v>
      </c>
      <c r="M4147" s="13">
        <v>978.49</v>
      </c>
      <c r="N4147" s="15">
        <v>0.12</v>
      </c>
      <c r="O4147" s="13">
        <v>736.31</v>
      </c>
      <c r="P4147" s="13">
        <v>317.25</v>
      </c>
      <c r="Q4147" s="13">
        <v>92.46</v>
      </c>
      <c r="R4147" s="1" t="s">
        <v>51</v>
      </c>
      <c r="S4147" s="1">
        <v>2</v>
      </c>
      <c r="T4147" s="1" t="b">
        <v>0</v>
      </c>
      <c r="U4147" s="1" t="s">
        <v>39</v>
      </c>
      <c r="V4147" s="3">
        <v>2</v>
      </c>
    </row>
    <row r="4148" spans="1:22" x14ac:dyDescent="0.3">
      <c r="A4148" s="2" t="s">
        <v>8723</v>
      </c>
      <c r="B4148" s="10">
        <v>44752</v>
      </c>
      <c r="C4148" s="22">
        <v>44752</v>
      </c>
      <c r="D4148" s="1" t="s">
        <v>8724</v>
      </c>
      <c r="E4148" s="1" t="s">
        <v>1538</v>
      </c>
      <c r="F4148" s="1">
        <v>28</v>
      </c>
      <c r="G4148" s="1" t="s">
        <v>68</v>
      </c>
      <c r="H4148" s="1" t="s">
        <v>82</v>
      </c>
      <c r="I4148" s="1" t="s">
        <v>293</v>
      </c>
      <c r="J4148" s="1" t="s">
        <v>146</v>
      </c>
      <c r="K4148" s="1" t="s">
        <v>161</v>
      </c>
      <c r="L4148" s="1">
        <v>8</v>
      </c>
      <c r="M4148" s="13">
        <v>3340.32</v>
      </c>
      <c r="N4148" s="15">
        <v>0.25</v>
      </c>
      <c r="O4148" s="13">
        <v>28705.040000000001</v>
      </c>
      <c r="P4148" s="13">
        <v>6012.3</v>
      </c>
      <c r="Q4148" s="13">
        <v>87.45</v>
      </c>
      <c r="R4148" s="1" t="s">
        <v>57</v>
      </c>
      <c r="S4148" s="1">
        <v>3</v>
      </c>
      <c r="T4148" s="1" t="b">
        <v>0</v>
      </c>
      <c r="U4148" s="1" t="s">
        <v>137</v>
      </c>
      <c r="V4148" s="3">
        <v>5</v>
      </c>
    </row>
    <row r="4149" spans="1:22" x14ac:dyDescent="0.3">
      <c r="A4149" s="2" t="s">
        <v>8725</v>
      </c>
      <c r="B4149" s="10">
        <v>44777</v>
      </c>
      <c r="C4149" s="22">
        <v>44777</v>
      </c>
      <c r="D4149" s="1" t="s">
        <v>4858</v>
      </c>
      <c r="E4149" s="1" t="s">
        <v>1672</v>
      </c>
      <c r="F4149" s="1">
        <v>31</v>
      </c>
      <c r="G4149" s="1" t="s">
        <v>24</v>
      </c>
      <c r="H4149" s="1" t="s">
        <v>25</v>
      </c>
      <c r="I4149" s="1" t="s">
        <v>170</v>
      </c>
      <c r="J4149" s="1" t="s">
        <v>37</v>
      </c>
      <c r="K4149" s="1" t="s">
        <v>38</v>
      </c>
      <c r="L4149" s="1">
        <v>10</v>
      </c>
      <c r="M4149" s="13">
        <v>1462.52</v>
      </c>
      <c r="N4149" s="15">
        <v>0.36</v>
      </c>
      <c r="O4149" s="13">
        <v>14294.75</v>
      </c>
      <c r="P4149" s="13">
        <v>8359.9599999999991</v>
      </c>
      <c r="Q4149" s="13">
        <v>63.11</v>
      </c>
      <c r="R4149" s="1" t="s">
        <v>70</v>
      </c>
      <c r="S4149" s="1">
        <v>3</v>
      </c>
      <c r="T4149" s="1" t="b">
        <v>0</v>
      </c>
      <c r="U4149" s="1" t="s">
        <v>84</v>
      </c>
      <c r="V4149" s="3">
        <v>4</v>
      </c>
    </row>
    <row r="4150" spans="1:22" x14ac:dyDescent="0.3">
      <c r="A4150" s="2" t="s">
        <v>8726</v>
      </c>
      <c r="B4150" s="10">
        <v>45434</v>
      </c>
      <c r="C4150" s="22">
        <v>45434</v>
      </c>
      <c r="D4150" s="1" t="s">
        <v>8727</v>
      </c>
      <c r="E4150" s="1" t="s">
        <v>1612</v>
      </c>
      <c r="F4150" s="1">
        <v>42</v>
      </c>
      <c r="G4150" s="1" t="s">
        <v>24</v>
      </c>
      <c r="H4150" s="1" t="s">
        <v>25</v>
      </c>
      <c r="I4150" s="1" t="s">
        <v>69</v>
      </c>
      <c r="J4150" s="1" t="s">
        <v>127</v>
      </c>
      <c r="K4150" s="1" t="s">
        <v>196</v>
      </c>
      <c r="L4150" s="1">
        <v>1</v>
      </c>
      <c r="M4150" s="13">
        <v>44361.97</v>
      </c>
      <c r="N4150" s="15">
        <v>0.28000000000000003</v>
      </c>
      <c r="O4150" s="13">
        <v>54397.95</v>
      </c>
      <c r="P4150" s="13">
        <v>6985.15</v>
      </c>
      <c r="Q4150" s="13">
        <v>30.74</v>
      </c>
      <c r="R4150" s="1" t="s">
        <v>70</v>
      </c>
      <c r="S4150" s="1">
        <v>4</v>
      </c>
      <c r="T4150" s="1" t="b">
        <v>0</v>
      </c>
      <c r="U4150" s="1" t="s">
        <v>39</v>
      </c>
      <c r="V4150" s="3">
        <v>2</v>
      </c>
    </row>
    <row r="4151" spans="1:22" x14ac:dyDescent="0.3">
      <c r="A4151" s="2" t="s">
        <v>8728</v>
      </c>
      <c r="B4151" s="10">
        <v>43841</v>
      </c>
      <c r="C4151" s="22">
        <v>43841</v>
      </c>
      <c r="D4151" s="1" t="s">
        <v>8729</v>
      </c>
      <c r="E4151" s="1" t="s">
        <v>569</v>
      </c>
      <c r="F4151" s="1">
        <v>35</v>
      </c>
      <c r="G4151" s="1" t="s">
        <v>24</v>
      </c>
      <c r="H4151" s="1" t="s">
        <v>82</v>
      </c>
      <c r="I4151" s="1" t="s">
        <v>293</v>
      </c>
      <c r="J4151" s="1" t="s">
        <v>62</v>
      </c>
      <c r="K4151" s="1" t="s">
        <v>266</v>
      </c>
      <c r="L4151" s="1">
        <v>2</v>
      </c>
      <c r="M4151" s="13">
        <v>1132.17</v>
      </c>
      <c r="N4151" s="15">
        <v>0.12</v>
      </c>
      <c r="O4151" s="13">
        <v>1451.01</v>
      </c>
      <c r="P4151" s="13">
        <v>458.01</v>
      </c>
      <c r="Q4151" s="13">
        <v>90.46</v>
      </c>
      <c r="R4151" s="1" t="s">
        <v>78</v>
      </c>
      <c r="S4151" s="1">
        <v>5</v>
      </c>
      <c r="T4151" s="1" t="b">
        <v>0</v>
      </c>
      <c r="U4151" s="1" t="s">
        <v>84</v>
      </c>
      <c r="V4151" s="3">
        <v>6</v>
      </c>
    </row>
    <row r="4152" spans="1:22" x14ac:dyDescent="0.3">
      <c r="A4152" s="2" t="s">
        <v>8730</v>
      </c>
      <c r="B4152" s="10">
        <v>44985</v>
      </c>
      <c r="C4152" s="22">
        <v>44985</v>
      </c>
      <c r="D4152" s="1" t="s">
        <v>8731</v>
      </c>
      <c r="E4152" s="1" t="s">
        <v>1359</v>
      </c>
      <c r="F4152" s="1">
        <v>39</v>
      </c>
      <c r="G4152" s="1" t="s">
        <v>68</v>
      </c>
      <c r="H4152" s="1" t="s">
        <v>74</v>
      </c>
      <c r="I4152" s="1" t="s">
        <v>101</v>
      </c>
      <c r="J4152" s="1" t="s">
        <v>146</v>
      </c>
      <c r="K4152" s="1" t="s">
        <v>178</v>
      </c>
      <c r="L4152" s="1">
        <v>3</v>
      </c>
      <c r="M4152" s="13">
        <v>12089.59</v>
      </c>
      <c r="N4152" s="15">
        <v>0.15</v>
      </c>
      <c r="O4152" s="13">
        <v>27702.22</v>
      </c>
      <c r="P4152" s="13">
        <v>5345.08</v>
      </c>
      <c r="Q4152" s="13">
        <v>42.62</v>
      </c>
      <c r="R4152" s="1" t="s">
        <v>78</v>
      </c>
      <c r="S4152" s="1">
        <v>5</v>
      </c>
      <c r="T4152" s="1" t="b">
        <v>0</v>
      </c>
      <c r="U4152" s="1" t="s">
        <v>137</v>
      </c>
      <c r="V4152" s="3">
        <v>5</v>
      </c>
    </row>
    <row r="4153" spans="1:22" x14ac:dyDescent="0.3">
      <c r="A4153" s="2" t="s">
        <v>8732</v>
      </c>
      <c r="B4153" s="10">
        <v>45348</v>
      </c>
      <c r="C4153" s="22">
        <v>45348</v>
      </c>
      <c r="D4153" s="1" t="s">
        <v>8733</v>
      </c>
      <c r="E4153" s="1" t="s">
        <v>861</v>
      </c>
      <c r="F4153" s="1">
        <v>40</v>
      </c>
      <c r="G4153" s="1" t="s">
        <v>68</v>
      </c>
      <c r="H4153" s="1" t="s">
        <v>82</v>
      </c>
      <c r="I4153" s="1" t="s">
        <v>126</v>
      </c>
      <c r="J4153" s="1" t="s">
        <v>37</v>
      </c>
      <c r="K4153" s="1" t="s">
        <v>182</v>
      </c>
      <c r="L4153" s="1">
        <v>1</v>
      </c>
      <c r="M4153" s="13">
        <v>2292.1799999999998</v>
      </c>
      <c r="N4153" s="15">
        <v>0.21</v>
      </c>
      <c r="O4153" s="13">
        <v>2545.3000000000002</v>
      </c>
      <c r="P4153" s="13">
        <v>1471.5</v>
      </c>
      <c r="Q4153" s="13">
        <v>115.4</v>
      </c>
      <c r="R4153" s="1" t="s">
        <v>64</v>
      </c>
      <c r="S4153" s="1">
        <v>5</v>
      </c>
      <c r="T4153" s="1" t="b">
        <v>0</v>
      </c>
      <c r="U4153" s="1" t="s">
        <v>39</v>
      </c>
      <c r="V4153" s="3">
        <v>7</v>
      </c>
    </row>
    <row r="4154" spans="1:22" x14ac:dyDescent="0.3">
      <c r="A4154" s="2" t="s">
        <v>8734</v>
      </c>
      <c r="B4154" s="10">
        <v>45636</v>
      </c>
      <c r="C4154" s="22">
        <v>45636</v>
      </c>
      <c r="D4154" s="1" t="s">
        <v>8735</v>
      </c>
      <c r="E4154" s="1" t="s">
        <v>1001</v>
      </c>
      <c r="F4154" s="1">
        <v>56</v>
      </c>
      <c r="G4154" s="1" t="s">
        <v>34</v>
      </c>
      <c r="H4154" s="1" t="s">
        <v>111</v>
      </c>
      <c r="I4154" s="1" t="s">
        <v>330</v>
      </c>
      <c r="J4154" s="1" t="s">
        <v>44</v>
      </c>
      <c r="K4154" s="1" t="s">
        <v>186</v>
      </c>
      <c r="L4154" s="1">
        <v>6</v>
      </c>
      <c r="M4154" s="13">
        <v>10501.71</v>
      </c>
      <c r="N4154" s="15">
        <v>0.38</v>
      </c>
      <c r="O4154" s="13">
        <v>35801.199999999997</v>
      </c>
      <c r="P4154" s="13">
        <v>13056.43</v>
      </c>
      <c r="Q4154" s="13">
        <v>75.180000000000007</v>
      </c>
      <c r="R4154" s="1" t="s">
        <v>70</v>
      </c>
      <c r="S4154" s="1">
        <v>1</v>
      </c>
      <c r="T4154" s="1" t="b">
        <v>0</v>
      </c>
      <c r="U4154" s="1" t="s">
        <v>84</v>
      </c>
      <c r="V4154" s="3">
        <v>6</v>
      </c>
    </row>
    <row r="4155" spans="1:22" x14ac:dyDescent="0.3">
      <c r="A4155" s="2" t="s">
        <v>8736</v>
      </c>
      <c r="B4155" s="10">
        <v>44330</v>
      </c>
      <c r="C4155" s="22">
        <v>44330</v>
      </c>
      <c r="D4155" s="1" t="s">
        <v>8737</v>
      </c>
      <c r="E4155" s="1" t="s">
        <v>908</v>
      </c>
      <c r="F4155" s="1">
        <v>25</v>
      </c>
      <c r="G4155" s="1" t="s">
        <v>68</v>
      </c>
      <c r="H4155" s="1" t="s">
        <v>35</v>
      </c>
      <c r="I4155" s="1" t="s">
        <v>49</v>
      </c>
      <c r="J4155" s="1" t="s">
        <v>44</v>
      </c>
      <c r="K4155" s="1" t="s">
        <v>117</v>
      </c>
      <c r="L4155" s="1">
        <v>1</v>
      </c>
      <c r="M4155" s="13">
        <v>5140.1899999999996</v>
      </c>
      <c r="N4155" s="15">
        <v>0.1</v>
      </c>
      <c r="O4155" s="13">
        <v>6859.73</v>
      </c>
      <c r="P4155" s="13">
        <v>1640.29</v>
      </c>
      <c r="Q4155" s="13">
        <v>59.15</v>
      </c>
      <c r="R4155" s="1" t="s">
        <v>51</v>
      </c>
      <c r="S4155" s="1">
        <v>3</v>
      </c>
      <c r="T4155" s="1" t="b">
        <v>0</v>
      </c>
      <c r="U4155" s="1" t="s">
        <v>39</v>
      </c>
      <c r="V4155" s="3">
        <v>4</v>
      </c>
    </row>
    <row r="4156" spans="1:22" x14ac:dyDescent="0.3">
      <c r="A4156" s="2" t="s">
        <v>8738</v>
      </c>
      <c r="B4156" s="10">
        <v>44047</v>
      </c>
      <c r="C4156" s="22">
        <v>44047</v>
      </c>
      <c r="D4156" s="1" t="s">
        <v>8739</v>
      </c>
      <c r="E4156" s="1" t="s">
        <v>1586</v>
      </c>
      <c r="F4156" s="1">
        <v>28</v>
      </c>
      <c r="G4156" s="1" t="s">
        <v>391</v>
      </c>
      <c r="H4156" s="1" t="s">
        <v>82</v>
      </c>
      <c r="I4156" s="1" t="s">
        <v>83</v>
      </c>
      <c r="J4156" s="1" t="s">
        <v>146</v>
      </c>
      <c r="K4156" s="1" t="s">
        <v>147</v>
      </c>
      <c r="L4156" s="1">
        <v>10</v>
      </c>
      <c r="M4156" s="13">
        <v>9368.59</v>
      </c>
      <c r="N4156" s="15">
        <v>0.14000000000000001</v>
      </c>
      <c r="O4156" s="13">
        <v>92987.57</v>
      </c>
      <c r="P4156" s="13">
        <v>23130.27</v>
      </c>
      <c r="Q4156" s="13">
        <v>86.8</v>
      </c>
      <c r="R4156" s="1" t="s">
        <v>57</v>
      </c>
      <c r="S4156" s="1">
        <v>3</v>
      </c>
      <c r="T4156" s="1" t="b">
        <v>0</v>
      </c>
      <c r="U4156" s="1" t="s">
        <v>39</v>
      </c>
      <c r="V4156" s="3">
        <v>2</v>
      </c>
    </row>
    <row r="4157" spans="1:22" x14ac:dyDescent="0.3">
      <c r="A4157" s="2" t="s">
        <v>8740</v>
      </c>
      <c r="B4157" s="10">
        <v>43969</v>
      </c>
      <c r="C4157" s="22">
        <v>43969</v>
      </c>
      <c r="D4157" s="1" t="s">
        <v>8741</v>
      </c>
      <c r="E4157" s="1" t="s">
        <v>307</v>
      </c>
      <c r="F4157" s="1">
        <v>19</v>
      </c>
      <c r="G4157" s="1" t="s">
        <v>24</v>
      </c>
      <c r="H4157" s="1" t="s">
        <v>25</v>
      </c>
      <c r="I4157" s="1" t="s">
        <v>69</v>
      </c>
      <c r="J4157" s="1" t="s">
        <v>62</v>
      </c>
      <c r="K4157" s="1" t="s">
        <v>151</v>
      </c>
      <c r="L4157" s="1">
        <v>5</v>
      </c>
      <c r="M4157" s="13">
        <v>231.93</v>
      </c>
      <c r="N4157" s="15">
        <v>0.18</v>
      </c>
      <c r="O4157" s="13">
        <v>194.19</v>
      </c>
      <c r="P4157" s="13">
        <v>47.57</v>
      </c>
      <c r="Q4157" s="13">
        <v>54.75</v>
      </c>
      <c r="R4157" s="1" t="s">
        <v>51</v>
      </c>
      <c r="S4157" s="1">
        <v>1</v>
      </c>
      <c r="T4157" s="1" t="b">
        <v>0</v>
      </c>
      <c r="U4157" s="1" t="s">
        <v>39</v>
      </c>
      <c r="V4157" s="3">
        <v>6</v>
      </c>
    </row>
    <row r="4158" spans="1:22" x14ac:dyDescent="0.3">
      <c r="A4158" s="2" t="s">
        <v>8742</v>
      </c>
      <c r="B4158" s="10">
        <v>44494</v>
      </c>
      <c r="C4158" s="22">
        <v>44494</v>
      </c>
      <c r="D4158" s="1" t="s">
        <v>8743</v>
      </c>
      <c r="E4158" s="1" t="s">
        <v>1538</v>
      </c>
      <c r="F4158" s="1">
        <v>34</v>
      </c>
      <c r="G4158" s="1" t="s">
        <v>34</v>
      </c>
      <c r="H4158" s="1" t="s">
        <v>111</v>
      </c>
      <c r="I4158" s="1" t="s">
        <v>121</v>
      </c>
      <c r="J4158" s="1" t="s">
        <v>27</v>
      </c>
      <c r="K4158" s="1" t="s">
        <v>28</v>
      </c>
      <c r="L4158" s="1">
        <v>2</v>
      </c>
      <c r="M4158" s="13">
        <v>94.21</v>
      </c>
      <c r="N4158" s="15">
        <v>0.04</v>
      </c>
      <c r="O4158" s="13">
        <v>161.58000000000001</v>
      </c>
      <c r="P4158" s="13">
        <v>12.72</v>
      </c>
      <c r="Q4158" s="13">
        <v>51.52</v>
      </c>
      <c r="R4158" s="1" t="s">
        <v>29</v>
      </c>
      <c r="S4158" s="1">
        <v>3</v>
      </c>
      <c r="T4158" s="1" t="b">
        <v>0</v>
      </c>
      <c r="U4158" s="1" t="s">
        <v>197</v>
      </c>
      <c r="V4158" s="3">
        <v>7</v>
      </c>
    </row>
    <row r="4159" spans="1:22" x14ac:dyDescent="0.3">
      <c r="A4159" s="2" t="s">
        <v>8744</v>
      </c>
      <c r="B4159" s="10">
        <v>43994</v>
      </c>
      <c r="C4159" s="22">
        <v>43994</v>
      </c>
      <c r="D4159" s="1" t="s">
        <v>8745</v>
      </c>
      <c r="E4159" s="1" t="s">
        <v>3016</v>
      </c>
      <c r="F4159" s="1">
        <v>25</v>
      </c>
      <c r="G4159" s="1" t="s">
        <v>34</v>
      </c>
      <c r="H4159" s="1" t="s">
        <v>74</v>
      </c>
      <c r="I4159" s="1" t="s">
        <v>192</v>
      </c>
      <c r="J4159" s="1" t="s">
        <v>62</v>
      </c>
      <c r="K4159" s="1" t="s">
        <v>283</v>
      </c>
      <c r="L4159" s="1">
        <v>9</v>
      </c>
      <c r="M4159" s="13">
        <v>1096.6400000000001</v>
      </c>
      <c r="N4159" s="15">
        <v>0.38</v>
      </c>
      <c r="O4159" s="13">
        <v>7522.38</v>
      </c>
      <c r="P4159" s="13">
        <v>2771.77</v>
      </c>
      <c r="Q4159" s="13">
        <v>69.739999999999995</v>
      </c>
      <c r="R4159" s="1" t="s">
        <v>29</v>
      </c>
      <c r="S4159" s="1">
        <v>4</v>
      </c>
      <c r="T4159" s="1" t="b">
        <v>0</v>
      </c>
      <c r="U4159" s="1" t="s">
        <v>84</v>
      </c>
      <c r="V4159" s="3">
        <v>8</v>
      </c>
    </row>
    <row r="4160" spans="1:22" x14ac:dyDescent="0.3">
      <c r="A4160" s="2" t="s">
        <v>8746</v>
      </c>
      <c r="B4160" s="10">
        <v>45489</v>
      </c>
      <c r="C4160" s="22">
        <v>45489</v>
      </c>
      <c r="D4160" s="1" t="s">
        <v>8747</v>
      </c>
      <c r="E4160" s="1" t="s">
        <v>1733</v>
      </c>
      <c r="F4160" s="1">
        <v>15</v>
      </c>
      <c r="G4160" s="1" t="s">
        <v>24</v>
      </c>
      <c r="H4160" s="1" t="s">
        <v>35</v>
      </c>
      <c r="I4160" s="1" t="s">
        <v>36</v>
      </c>
      <c r="J4160" s="1" t="s">
        <v>37</v>
      </c>
      <c r="K4160" s="1" t="s">
        <v>671</v>
      </c>
      <c r="L4160" s="1">
        <v>5</v>
      </c>
      <c r="M4160" s="13">
        <v>162.51</v>
      </c>
      <c r="N4160" s="15">
        <v>0.02</v>
      </c>
      <c r="O4160" s="13">
        <v>1292.81</v>
      </c>
      <c r="P4160" s="13">
        <v>494.7</v>
      </c>
      <c r="Q4160" s="13">
        <v>66.88</v>
      </c>
      <c r="R4160" s="1" t="s">
        <v>51</v>
      </c>
      <c r="S4160" s="1">
        <v>3</v>
      </c>
      <c r="T4160" s="1" t="b">
        <v>0</v>
      </c>
      <c r="U4160" s="1" t="s">
        <v>39</v>
      </c>
      <c r="V4160" s="3">
        <v>8</v>
      </c>
    </row>
    <row r="4161" spans="1:22" x14ac:dyDescent="0.3">
      <c r="A4161" s="2" t="s">
        <v>8748</v>
      </c>
      <c r="B4161" s="10">
        <v>45394</v>
      </c>
      <c r="C4161" s="22">
        <v>45394</v>
      </c>
      <c r="D4161" s="1" t="s">
        <v>8749</v>
      </c>
      <c r="E4161" s="1" t="s">
        <v>940</v>
      </c>
      <c r="F4161" s="1">
        <v>49</v>
      </c>
      <c r="G4161" s="1" t="s">
        <v>34</v>
      </c>
      <c r="H4161" s="1" t="s">
        <v>82</v>
      </c>
      <c r="I4161" s="1" t="s">
        <v>293</v>
      </c>
      <c r="J4161" s="1" t="s">
        <v>127</v>
      </c>
      <c r="K4161" s="1" t="s">
        <v>517</v>
      </c>
      <c r="L4161" s="1">
        <v>9</v>
      </c>
      <c r="M4161" s="13">
        <v>64870.17</v>
      </c>
      <c r="N4161" s="15">
        <v>0.04</v>
      </c>
      <c r="O4161" s="13">
        <v>931056.13</v>
      </c>
      <c r="P4161" s="13">
        <v>126890.46</v>
      </c>
      <c r="Q4161" s="13">
        <v>83.98</v>
      </c>
      <c r="R4161" s="1" t="s">
        <v>64</v>
      </c>
      <c r="S4161" s="1">
        <v>4</v>
      </c>
      <c r="T4161" s="1" t="b">
        <v>0</v>
      </c>
      <c r="U4161" s="1" t="s">
        <v>58</v>
      </c>
      <c r="V4161" s="3">
        <v>8</v>
      </c>
    </row>
    <row r="4162" spans="1:22" x14ac:dyDescent="0.3">
      <c r="A4162" s="2" t="s">
        <v>8750</v>
      </c>
      <c r="B4162" s="10">
        <v>44028</v>
      </c>
      <c r="C4162" s="22">
        <v>44028</v>
      </c>
      <c r="D4162" s="1" t="s">
        <v>8751</v>
      </c>
      <c r="E4162" s="1" t="s">
        <v>3016</v>
      </c>
      <c r="F4162" s="1">
        <v>22</v>
      </c>
      <c r="G4162" s="1" t="s">
        <v>24</v>
      </c>
      <c r="H4162" s="1" t="s">
        <v>111</v>
      </c>
      <c r="I4162" s="1" t="s">
        <v>141</v>
      </c>
      <c r="J4162" s="1" t="s">
        <v>44</v>
      </c>
      <c r="K4162" s="1" t="s">
        <v>221</v>
      </c>
      <c r="L4162" s="1">
        <v>3</v>
      </c>
      <c r="M4162" s="13">
        <v>7359.98</v>
      </c>
      <c r="N4162" s="15">
        <v>0.26</v>
      </c>
      <c r="O4162" s="13">
        <v>18237.3</v>
      </c>
      <c r="P4162" s="13">
        <v>4022.85</v>
      </c>
      <c r="Q4162" s="13">
        <v>82.84</v>
      </c>
      <c r="R4162" s="1" t="s">
        <v>70</v>
      </c>
      <c r="S4162" s="1">
        <v>1</v>
      </c>
      <c r="T4162" s="1" t="b">
        <v>0</v>
      </c>
      <c r="U4162" s="1" t="s">
        <v>39</v>
      </c>
      <c r="V4162" s="3">
        <v>8</v>
      </c>
    </row>
    <row r="4163" spans="1:22" x14ac:dyDescent="0.3">
      <c r="A4163" s="2" t="s">
        <v>8752</v>
      </c>
      <c r="B4163" s="10">
        <v>45061</v>
      </c>
      <c r="C4163" s="22">
        <v>45061</v>
      </c>
      <c r="D4163" s="1" t="s">
        <v>8753</v>
      </c>
      <c r="E4163" s="1" t="s">
        <v>2229</v>
      </c>
      <c r="F4163" s="1">
        <v>27</v>
      </c>
      <c r="G4163" s="1" t="s">
        <v>34</v>
      </c>
      <c r="H4163" s="1" t="s">
        <v>111</v>
      </c>
      <c r="I4163" s="1" t="s">
        <v>121</v>
      </c>
      <c r="J4163" s="1" t="s">
        <v>37</v>
      </c>
      <c r="K4163" s="1" t="s">
        <v>231</v>
      </c>
      <c r="L4163" s="1">
        <v>7</v>
      </c>
      <c r="M4163" s="13">
        <v>1149.53</v>
      </c>
      <c r="N4163" s="15">
        <v>0.19</v>
      </c>
      <c r="O4163" s="13">
        <v>11894.14</v>
      </c>
      <c r="P4163" s="13">
        <v>7264.17</v>
      </c>
      <c r="Q4163" s="13">
        <v>62.38</v>
      </c>
      <c r="R4163" s="1" t="s">
        <v>64</v>
      </c>
      <c r="S4163" s="1">
        <v>4</v>
      </c>
      <c r="T4163" s="1" t="b">
        <v>0</v>
      </c>
      <c r="U4163" s="1" t="s">
        <v>3106</v>
      </c>
      <c r="V4163" s="3">
        <v>2</v>
      </c>
    </row>
    <row r="4164" spans="1:22" x14ac:dyDescent="0.3">
      <c r="A4164" s="2" t="s">
        <v>8754</v>
      </c>
      <c r="B4164" s="10">
        <v>45595</v>
      </c>
      <c r="C4164" s="22">
        <v>45595</v>
      </c>
      <c r="D4164" s="1" t="s">
        <v>8755</v>
      </c>
      <c r="E4164" s="1" t="s">
        <v>2462</v>
      </c>
      <c r="F4164" s="1">
        <v>34</v>
      </c>
      <c r="G4164" s="1" t="s">
        <v>68</v>
      </c>
      <c r="H4164" s="1" t="s">
        <v>25</v>
      </c>
      <c r="I4164" s="1" t="s">
        <v>55</v>
      </c>
      <c r="J4164" s="1" t="s">
        <v>37</v>
      </c>
      <c r="K4164" s="1" t="s">
        <v>182</v>
      </c>
      <c r="L4164" s="1">
        <v>1</v>
      </c>
      <c r="M4164" s="13">
        <v>240.18</v>
      </c>
      <c r="N4164" s="15">
        <v>0.12</v>
      </c>
      <c r="O4164" s="13">
        <v>217.16</v>
      </c>
      <c r="P4164" s="13">
        <v>104.3</v>
      </c>
      <c r="Q4164" s="13">
        <v>65.14</v>
      </c>
      <c r="R4164" s="1" t="s">
        <v>70</v>
      </c>
      <c r="S4164" s="1">
        <v>3</v>
      </c>
      <c r="T4164" s="1" t="b">
        <v>0</v>
      </c>
      <c r="U4164" s="1" t="s">
        <v>39</v>
      </c>
      <c r="V4164" s="3">
        <v>7</v>
      </c>
    </row>
    <row r="4165" spans="1:22" x14ac:dyDescent="0.3">
      <c r="A4165" s="2" t="s">
        <v>8756</v>
      </c>
      <c r="B4165" s="10">
        <v>44112</v>
      </c>
      <c r="C4165" s="22">
        <v>44112</v>
      </c>
      <c r="D4165" s="1" t="s">
        <v>8757</v>
      </c>
      <c r="E4165" s="1" t="s">
        <v>1335</v>
      </c>
      <c r="F4165" s="1">
        <v>44</v>
      </c>
      <c r="G4165" s="1" t="s">
        <v>24</v>
      </c>
      <c r="H4165" s="1" t="s">
        <v>25</v>
      </c>
      <c r="I4165" s="1" t="s">
        <v>170</v>
      </c>
      <c r="J4165" s="1" t="s">
        <v>62</v>
      </c>
      <c r="K4165" s="1" t="s">
        <v>266</v>
      </c>
      <c r="L4165" s="1">
        <v>10</v>
      </c>
      <c r="M4165" s="13">
        <v>571.76</v>
      </c>
      <c r="N4165" s="15">
        <v>0.34</v>
      </c>
      <c r="O4165" s="13">
        <v>2924.85</v>
      </c>
      <c r="P4165" s="13">
        <v>1315.18</v>
      </c>
      <c r="Q4165" s="13">
        <v>66.48</v>
      </c>
      <c r="R4165" s="1" t="s">
        <v>70</v>
      </c>
      <c r="S4165" s="1">
        <v>3</v>
      </c>
      <c r="T4165" s="1" t="b">
        <v>0</v>
      </c>
      <c r="U4165" s="1" t="s">
        <v>58</v>
      </c>
      <c r="V4165" s="3">
        <v>4</v>
      </c>
    </row>
    <row r="4166" spans="1:22" x14ac:dyDescent="0.3">
      <c r="A4166" s="2" t="s">
        <v>8758</v>
      </c>
      <c r="B4166" s="10">
        <v>44333</v>
      </c>
      <c r="C4166" s="22">
        <v>44333</v>
      </c>
      <c r="D4166" s="1" t="s">
        <v>8759</v>
      </c>
      <c r="E4166" s="1" t="s">
        <v>735</v>
      </c>
      <c r="F4166" s="1">
        <v>38</v>
      </c>
      <c r="G4166" s="1" t="s">
        <v>34</v>
      </c>
      <c r="H4166" s="1" t="s">
        <v>111</v>
      </c>
      <c r="I4166" s="1" t="s">
        <v>141</v>
      </c>
      <c r="J4166" s="1" t="s">
        <v>146</v>
      </c>
      <c r="K4166" s="1" t="s">
        <v>217</v>
      </c>
      <c r="L4166" s="1">
        <v>6</v>
      </c>
      <c r="M4166" s="13">
        <v>13738.11</v>
      </c>
      <c r="N4166" s="15">
        <v>0.34</v>
      </c>
      <c r="O4166" s="13">
        <v>71562.45</v>
      </c>
      <c r="P4166" s="13">
        <v>13685.23</v>
      </c>
      <c r="Q4166" s="13">
        <v>96.34</v>
      </c>
      <c r="R4166" s="1" t="s">
        <v>78</v>
      </c>
      <c r="S4166" s="1">
        <v>4</v>
      </c>
      <c r="T4166" s="1" t="b">
        <v>1</v>
      </c>
      <c r="U4166" s="1" t="s">
        <v>30</v>
      </c>
      <c r="V4166" s="3">
        <v>4</v>
      </c>
    </row>
    <row r="4167" spans="1:22" x14ac:dyDescent="0.3">
      <c r="A4167" s="2" t="s">
        <v>8760</v>
      </c>
      <c r="B4167" s="10">
        <v>44497</v>
      </c>
      <c r="C4167" s="22">
        <v>44497</v>
      </c>
      <c r="D4167" s="1" t="s">
        <v>8761</v>
      </c>
      <c r="E4167" s="1" t="s">
        <v>363</v>
      </c>
      <c r="F4167" s="1">
        <v>48</v>
      </c>
      <c r="G4167" s="1" t="s">
        <v>68</v>
      </c>
      <c r="H4167" s="1" t="s">
        <v>82</v>
      </c>
      <c r="I4167" s="1" t="s">
        <v>83</v>
      </c>
      <c r="J4167" s="1" t="s">
        <v>76</v>
      </c>
      <c r="K4167" s="1" t="s">
        <v>122</v>
      </c>
      <c r="L4167" s="1">
        <v>5</v>
      </c>
      <c r="M4167" s="13">
        <v>3082.63</v>
      </c>
      <c r="N4167" s="15">
        <v>0.21</v>
      </c>
      <c r="O4167" s="13">
        <v>11512.76</v>
      </c>
      <c r="P4167" s="13">
        <v>2611.62</v>
      </c>
      <c r="Q4167" s="13">
        <v>79.569999999999993</v>
      </c>
      <c r="R4167" s="1" t="s">
        <v>51</v>
      </c>
      <c r="S4167" s="1">
        <v>4</v>
      </c>
      <c r="T4167" s="1" t="b">
        <v>0</v>
      </c>
      <c r="U4167" s="1" t="s">
        <v>58</v>
      </c>
      <c r="V4167" s="3">
        <v>7</v>
      </c>
    </row>
    <row r="4168" spans="1:22" x14ac:dyDescent="0.3">
      <c r="A4168" s="2" t="s">
        <v>8762</v>
      </c>
      <c r="B4168" s="10">
        <v>45121</v>
      </c>
      <c r="C4168" s="22">
        <v>45121</v>
      </c>
      <c r="D4168" s="1" t="s">
        <v>8763</v>
      </c>
      <c r="E4168" s="1" t="s">
        <v>220</v>
      </c>
      <c r="F4168" s="1">
        <v>28</v>
      </c>
      <c r="G4168" s="1" t="s">
        <v>34</v>
      </c>
      <c r="H4168" s="1" t="s">
        <v>74</v>
      </c>
      <c r="I4168" s="1" t="s">
        <v>136</v>
      </c>
      <c r="J4168" s="1" t="s">
        <v>146</v>
      </c>
      <c r="K4168" s="1" t="s">
        <v>161</v>
      </c>
      <c r="L4168" s="1">
        <v>4</v>
      </c>
      <c r="M4168" s="13">
        <v>10069.780000000001</v>
      </c>
      <c r="N4168" s="15">
        <v>0.33</v>
      </c>
      <c r="O4168" s="13">
        <v>43500.13</v>
      </c>
      <c r="P4168" s="13">
        <v>6733.75</v>
      </c>
      <c r="Q4168" s="13">
        <v>81.56</v>
      </c>
      <c r="R4168" s="1" t="s">
        <v>78</v>
      </c>
      <c r="S4168" s="1">
        <v>2</v>
      </c>
      <c r="T4168" s="1" t="b">
        <v>0</v>
      </c>
      <c r="U4168" s="1" t="s">
        <v>39</v>
      </c>
      <c r="V4168" s="3">
        <v>9</v>
      </c>
    </row>
    <row r="4169" spans="1:22" x14ac:dyDescent="0.3">
      <c r="A4169" s="2" t="s">
        <v>8764</v>
      </c>
      <c r="B4169" s="10">
        <v>45213</v>
      </c>
      <c r="C4169" s="22">
        <v>45213</v>
      </c>
      <c r="D4169" s="1" t="s">
        <v>8765</v>
      </c>
      <c r="E4169" s="1" t="s">
        <v>540</v>
      </c>
      <c r="F4169" s="1">
        <v>27</v>
      </c>
      <c r="G4169" s="1" t="s">
        <v>24</v>
      </c>
      <c r="H4169" s="1" t="s">
        <v>35</v>
      </c>
      <c r="I4169" s="1" t="s">
        <v>43</v>
      </c>
      <c r="J4169" s="1" t="s">
        <v>44</v>
      </c>
      <c r="K4169" s="1" t="s">
        <v>45</v>
      </c>
      <c r="L4169" s="1">
        <v>6</v>
      </c>
      <c r="M4169" s="13">
        <v>28759.21</v>
      </c>
      <c r="N4169" s="15">
        <v>0.28000000000000003</v>
      </c>
      <c r="O4169" s="13">
        <v>142656.4</v>
      </c>
      <c r="P4169" s="13">
        <v>33781.29</v>
      </c>
      <c r="Q4169" s="13">
        <v>54.72</v>
      </c>
      <c r="R4169" s="1" t="s">
        <v>29</v>
      </c>
      <c r="S4169" s="1">
        <v>1</v>
      </c>
      <c r="T4169" s="1" t="b">
        <v>0</v>
      </c>
      <c r="U4169" s="1" t="s">
        <v>84</v>
      </c>
      <c r="V4169" s="3">
        <v>5</v>
      </c>
    </row>
    <row r="4170" spans="1:22" x14ac:dyDescent="0.3">
      <c r="A4170" s="2" t="s">
        <v>8766</v>
      </c>
      <c r="B4170" s="10">
        <v>45485</v>
      </c>
      <c r="C4170" s="22">
        <v>45485</v>
      </c>
      <c r="D4170" s="1" t="s">
        <v>8767</v>
      </c>
      <c r="E4170" s="1" t="s">
        <v>227</v>
      </c>
      <c r="F4170" s="1">
        <v>34</v>
      </c>
      <c r="G4170" s="1" t="s">
        <v>34</v>
      </c>
      <c r="H4170" s="1" t="s">
        <v>35</v>
      </c>
      <c r="I4170" s="1" t="s">
        <v>36</v>
      </c>
      <c r="J4170" s="1" t="s">
        <v>76</v>
      </c>
      <c r="K4170" s="1" t="s">
        <v>89</v>
      </c>
      <c r="L4170" s="1">
        <v>9</v>
      </c>
      <c r="M4170" s="13">
        <v>1781.89</v>
      </c>
      <c r="N4170" s="15">
        <v>0.21</v>
      </c>
      <c r="O4170" s="13">
        <v>20730.43</v>
      </c>
      <c r="P4170" s="13">
        <v>4832</v>
      </c>
      <c r="Q4170" s="13">
        <v>54.08</v>
      </c>
      <c r="R4170" s="1" t="s">
        <v>51</v>
      </c>
      <c r="S4170" s="1">
        <v>2</v>
      </c>
      <c r="T4170" s="1" t="b">
        <v>1</v>
      </c>
      <c r="U4170" s="1" t="s">
        <v>30</v>
      </c>
      <c r="V4170" s="3">
        <v>5</v>
      </c>
    </row>
    <row r="4171" spans="1:22" x14ac:dyDescent="0.3">
      <c r="A4171" s="2" t="s">
        <v>8768</v>
      </c>
      <c r="B4171" s="10">
        <v>43834</v>
      </c>
      <c r="C4171" s="22">
        <v>43834</v>
      </c>
      <c r="D4171" s="1" t="s">
        <v>8769</v>
      </c>
      <c r="E4171" s="1" t="s">
        <v>888</v>
      </c>
      <c r="F4171" s="1">
        <v>21</v>
      </c>
      <c r="G4171" s="1" t="s">
        <v>34</v>
      </c>
      <c r="H4171" s="1" t="s">
        <v>35</v>
      </c>
      <c r="I4171" s="1" t="s">
        <v>49</v>
      </c>
      <c r="J4171" s="1" t="s">
        <v>127</v>
      </c>
      <c r="K4171" s="1" t="s">
        <v>171</v>
      </c>
      <c r="L4171" s="1">
        <v>9</v>
      </c>
      <c r="M4171" s="13">
        <v>29868.65</v>
      </c>
      <c r="N4171" s="15">
        <v>0.32</v>
      </c>
      <c r="O4171" s="13">
        <v>117822.65</v>
      </c>
      <c r="P4171" s="13">
        <v>12480.5</v>
      </c>
      <c r="Q4171" s="13">
        <v>51.76</v>
      </c>
      <c r="R4171" s="1" t="s">
        <v>78</v>
      </c>
      <c r="S4171" s="1">
        <v>1</v>
      </c>
      <c r="T4171" s="1" t="b">
        <v>0</v>
      </c>
      <c r="U4171" s="1" t="s">
        <v>39</v>
      </c>
      <c r="V4171" s="3">
        <v>9</v>
      </c>
    </row>
    <row r="4172" spans="1:22" x14ac:dyDescent="0.3">
      <c r="A4172" s="2" t="s">
        <v>8770</v>
      </c>
      <c r="B4172" s="10">
        <v>44489</v>
      </c>
      <c r="C4172" s="22">
        <v>44489</v>
      </c>
      <c r="D4172" s="1" t="s">
        <v>8771</v>
      </c>
      <c r="E4172" s="1" t="s">
        <v>4531</v>
      </c>
      <c r="F4172" s="1">
        <v>11</v>
      </c>
      <c r="G4172" s="1" t="s">
        <v>24</v>
      </c>
      <c r="H4172" s="1" t="s">
        <v>35</v>
      </c>
      <c r="I4172" s="1" t="s">
        <v>49</v>
      </c>
      <c r="J4172" s="1" t="s">
        <v>76</v>
      </c>
      <c r="K4172" s="1" t="s">
        <v>122</v>
      </c>
      <c r="L4172" s="1">
        <v>10</v>
      </c>
      <c r="M4172" s="13">
        <v>1794.59</v>
      </c>
      <c r="N4172" s="15">
        <v>0.28999999999999998</v>
      </c>
      <c r="O4172" s="13">
        <v>11310.93</v>
      </c>
      <c r="P4172" s="13">
        <v>5145.3599999999997</v>
      </c>
      <c r="Q4172" s="13">
        <v>72.92</v>
      </c>
      <c r="R4172" s="1" t="s">
        <v>70</v>
      </c>
      <c r="S4172" s="1">
        <v>5</v>
      </c>
      <c r="T4172" s="1" t="b">
        <v>0</v>
      </c>
      <c r="U4172" s="1" t="s">
        <v>39</v>
      </c>
      <c r="V4172" s="3">
        <v>6</v>
      </c>
    </row>
    <row r="4173" spans="1:22" x14ac:dyDescent="0.3">
      <c r="A4173" s="2" t="s">
        <v>8772</v>
      </c>
      <c r="B4173" s="10">
        <v>44703</v>
      </c>
      <c r="C4173" s="22">
        <v>44703</v>
      </c>
      <c r="D4173" s="1" t="s">
        <v>8773</v>
      </c>
      <c r="E4173" s="1" t="s">
        <v>2229</v>
      </c>
      <c r="F4173" s="1">
        <v>25</v>
      </c>
      <c r="G4173" s="1" t="s">
        <v>68</v>
      </c>
      <c r="H4173" s="1" t="s">
        <v>111</v>
      </c>
      <c r="I4173" s="1" t="s">
        <v>121</v>
      </c>
      <c r="J4173" s="1" t="s">
        <v>62</v>
      </c>
      <c r="K4173" s="1" t="s">
        <v>63</v>
      </c>
      <c r="L4173" s="1">
        <v>1</v>
      </c>
      <c r="M4173" s="13">
        <v>429.32</v>
      </c>
      <c r="N4173" s="15">
        <v>0.37</v>
      </c>
      <c r="O4173" s="13">
        <v>331.72</v>
      </c>
      <c r="P4173" s="13">
        <v>193.26</v>
      </c>
      <c r="Q4173" s="13">
        <v>89.48</v>
      </c>
      <c r="R4173" s="1" t="s">
        <v>57</v>
      </c>
      <c r="S4173" s="1">
        <v>3</v>
      </c>
      <c r="T4173" s="1" t="b">
        <v>0</v>
      </c>
      <c r="U4173" s="1" t="s">
        <v>84</v>
      </c>
      <c r="V4173" s="3">
        <v>9</v>
      </c>
    </row>
    <row r="4174" spans="1:22" x14ac:dyDescent="0.3">
      <c r="A4174" s="2" t="s">
        <v>8774</v>
      </c>
      <c r="B4174" s="10">
        <v>44624</v>
      </c>
      <c r="C4174" s="22">
        <v>44624</v>
      </c>
      <c r="D4174" s="1" t="s">
        <v>8775</v>
      </c>
      <c r="E4174" s="1" t="s">
        <v>641</v>
      </c>
      <c r="F4174" s="1">
        <v>49</v>
      </c>
      <c r="G4174" s="1" t="s">
        <v>34</v>
      </c>
      <c r="H4174" s="1" t="s">
        <v>25</v>
      </c>
      <c r="I4174" s="1" t="s">
        <v>170</v>
      </c>
      <c r="J4174" s="1" t="s">
        <v>76</v>
      </c>
      <c r="K4174" s="1" t="s">
        <v>89</v>
      </c>
      <c r="L4174" s="1">
        <v>1</v>
      </c>
      <c r="M4174" s="13">
        <v>2434.6</v>
      </c>
      <c r="N4174" s="15">
        <v>0.04</v>
      </c>
      <c r="O4174" s="13">
        <v>2589.54</v>
      </c>
      <c r="P4174" s="13">
        <v>635.65</v>
      </c>
      <c r="Q4174" s="13">
        <v>29.56</v>
      </c>
      <c r="R4174" s="1" t="s">
        <v>51</v>
      </c>
      <c r="S4174" s="1">
        <v>3</v>
      </c>
      <c r="T4174" s="1" t="b">
        <v>0</v>
      </c>
      <c r="U4174" s="1" t="s">
        <v>39</v>
      </c>
      <c r="V4174" s="3">
        <v>1</v>
      </c>
    </row>
    <row r="4175" spans="1:22" x14ac:dyDescent="0.3">
      <c r="A4175" s="2" t="s">
        <v>8776</v>
      </c>
      <c r="B4175" s="10">
        <v>44869</v>
      </c>
      <c r="C4175" s="22">
        <v>44869</v>
      </c>
      <c r="D4175" s="1" t="s">
        <v>321</v>
      </c>
      <c r="E4175" s="1" t="s">
        <v>2934</v>
      </c>
      <c r="F4175" s="1">
        <v>21</v>
      </c>
      <c r="G4175" s="1" t="s">
        <v>34</v>
      </c>
      <c r="H4175" s="1" t="s">
        <v>74</v>
      </c>
      <c r="I4175" s="1" t="s">
        <v>192</v>
      </c>
      <c r="J4175" s="1" t="s">
        <v>76</v>
      </c>
      <c r="K4175" s="1" t="s">
        <v>89</v>
      </c>
      <c r="L4175" s="1">
        <v>9</v>
      </c>
      <c r="M4175" s="13">
        <v>3802.99</v>
      </c>
      <c r="N4175" s="15">
        <v>0.17</v>
      </c>
      <c r="O4175" s="13">
        <v>24949.89</v>
      </c>
      <c r="P4175" s="13">
        <v>9516.59</v>
      </c>
      <c r="Q4175" s="13">
        <v>50.21</v>
      </c>
      <c r="R4175" s="1" t="s">
        <v>70</v>
      </c>
      <c r="S4175" s="1">
        <v>1</v>
      </c>
      <c r="T4175" s="1" t="b">
        <v>0</v>
      </c>
      <c r="U4175" s="1" t="s">
        <v>137</v>
      </c>
      <c r="V4175" s="3">
        <v>4</v>
      </c>
    </row>
    <row r="4176" spans="1:22" x14ac:dyDescent="0.3">
      <c r="A4176" s="2" t="s">
        <v>8777</v>
      </c>
      <c r="B4176" s="10">
        <v>45001</v>
      </c>
      <c r="C4176" s="22">
        <v>45001</v>
      </c>
      <c r="D4176" s="1" t="s">
        <v>8778</v>
      </c>
      <c r="E4176" s="1" t="s">
        <v>1541</v>
      </c>
      <c r="F4176" s="1">
        <v>37</v>
      </c>
      <c r="G4176" s="1" t="s">
        <v>24</v>
      </c>
      <c r="H4176" s="1" t="s">
        <v>35</v>
      </c>
      <c r="I4176" s="1" t="s">
        <v>106</v>
      </c>
      <c r="J4176" s="1" t="s">
        <v>37</v>
      </c>
      <c r="K4176" s="1" t="s">
        <v>182</v>
      </c>
      <c r="L4176" s="1">
        <v>3</v>
      </c>
      <c r="M4176" s="13">
        <v>2346.2600000000002</v>
      </c>
      <c r="N4176" s="15">
        <v>0.36</v>
      </c>
      <c r="O4176" s="13">
        <v>6011.01</v>
      </c>
      <c r="P4176" s="13">
        <v>2771.99</v>
      </c>
      <c r="Q4176" s="13">
        <v>60.72</v>
      </c>
      <c r="R4176" s="1" t="s">
        <v>70</v>
      </c>
      <c r="S4176" s="1">
        <v>1</v>
      </c>
      <c r="T4176" s="1" t="b">
        <v>0</v>
      </c>
      <c r="U4176" s="1" t="s">
        <v>39</v>
      </c>
      <c r="V4176" s="3">
        <v>6</v>
      </c>
    </row>
    <row r="4177" spans="1:22" x14ac:dyDescent="0.3">
      <c r="A4177" s="2" t="s">
        <v>8779</v>
      </c>
      <c r="B4177" s="10">
        <v>44181</v>
      </c>
      <c r="C4177" s="22">
        <v>44181</v>
      </c>
      <c r="D4177" s="1" t="s">
        <v>8780</v>
      </c>
      <c r="E4177" s="1" t="s">
        <v>866</v>
      </c>
      <c r="F4177" s="1">
        <v>32</v>
      </c>
      <c r="G4177" s="1" t="s">
        <v>24</v>
      </c>
      <c r="H4177" s="1" t="s">
        <v>35</v>
      </c>
      <c r="I4177" s="1" t="s">
        <v>49</v>
      </c>
      <c r="J4177" s="1" t="s">
        <v>146</v>
      </c>
      <c r="K4177" s="1" t="s">
        <v>161</v>
      </c>
      <c r="L4177" s="1">
        <v>9</v>
      </c>
      <c r="M4177" s="13">
        <v>12132.54</v>
      </c>
      <c r="N4177" s="15">
        <v>0.37</v>
      </c>
      <c r="O4177" s="13">
        <v>48966.18</v>
      </c>
      <c r="P4177" s="13">
        <v>9632.31</v>
      </c>
      <c r="Q4177" s="13">
        <v>31.17</v>
      </c>
      <c r="R4177" s="1" t="s">
        <v>70</v>
      </c>
      <c r="S4177" s="1">
        <v>4</v>
      </c>
      <c r="T4177" s="1" t="b">
        <v>0</v>
      </c>
      <c r="U4177" s="1" t="s">
        <v>137</v>
      </c>
      <c r="V4177" s="3">
        <v>5</v>
      </c>
    </row>
    <row r="4178" spans="1:22" x14ac:dyDescent="0.3">
      <c r="A4178" s="2" t="s">
        <v>8781</v>
      </c>
      <c r="B4178" s="10">
        <v>44192</v>
      </c>
      <c r="C4178" s="22">
        <v>44192</v>
      </c>
      <c r="D4178" s="1" t="s">
        <v>8782</v>
      </c>
      <c r="E4178" s="1" t="s">
        <v>457</v>
      </c>
      <c r="F4178" s="1">
        <v>33</v>
      </c>
      <c r="G4178" s="1" t="s">
        <v>34</v>
      </c>
      <c r="H4178" s="1" t="s">
        <v>25</v>
      </c>
      <c r="I4178" s="1" t="s">
        <v>170</v>
      </c>
      <c r="J4178" s="1" t="s">
        <v>44</v>
      </c>
      <c r="K4178" s="1" t="s">
        <v>50</v>
      </c>
      <c r="L4178" s="1">
        <v>10</v>
      </c>
      <c r="M4178" s="13">
        <v>20725.97</v>
      </c>
      <c r="N4178" s="15">
        <v>0.06</v>
      </c>
      <c r="O4178" s="13">
        <v>123725.25</v>
      </c>
      <c r="P4178" s="13">
        <v>32970.370000000003</v>
      </c>
      <c r="Q4178" s="13">
        <v>54.51</v>
      </c>
      <c r="R4178" s="1" t="s">
        <v>29</v>
      </c>
      <c r="S4178" s="1">
        <v>5</v>
      </c>
      <c r="T4178" s="1" t="b">
        <v>0</v>
      </c>
      <c r="U4178" s="1" t="s">
        <v>84</v>
      </c>
      <c r="V4178" s="3">
        <v>5</v>
      </c>
    </row>
    <row r="4179" spans="1:22" x14ac:dyDescent="0.3">
      <c r="A4179" s="2" t="s">
        <v>8783</v>
      </c>
      <c r="B4179" s="10">
        <v>45091</v>
      </c>
      <c r="C4179" s="22">
        <v>45091</v>
      </c>
      <c r="D4179" s="1" t="s">
        <v>8784</v>
      </c>
      <c r="E4179" s="1" t="s">
        <v>1186</v>
      </c>
      <c r="F4179" s="1">
        <v>20</v>
      </c>
      <c r="G4179" s="1" t="s">
        <v>24</v>
      </c>
      <c r="H4179" s="1" t="s">
        <v>111</v>
      </c>
      <c r="I4179" s="1" t="s">
        <v>141</v>
      </c>
      <c r="J4179" s="1" t="s">
        <v>27</v>
      </c>
      <c r="K4179" s="1" t="s">
        <v>97</v>
      </c>
      <c r="L4179" s="1">
        <v>8</v>
      </c>
      <c r="M4179" s="13">
        <v>246.15</v>
      </c>
      <c r="N4179" s="15">
        <v>0.21</v>
      </c>
      <c r="O4179" s="13">
        <v>2555.54</v>
      </c>
      <c r="P4179" s="13">
        <v>179.49</v>
      </c>
      <c r="Q4179" s="13">
        <v>95.73</v>
      </c>
      <c r="R4179" s="1" t="s">
        <v>57</v>
      </c>
      <c r="S4179" s="1">
        <v>1</v>
      </c>
      <c r="T4179" s="1" t="b">
        <v>0</v>
      </c>
      <c r="U4179" s="1" t="s">
        <v>39</v>
      </c>
      <c r="V4179" s="3">
        <v>2</v>
      </c>
    </row>
    <row r="4180" spans="1:22" x14ac:dyDescent="0.3">
      <c r="A4180" s="2" t="s">
        <v>8785</v>
      </c>
      <c r="B4180" s="10">
        <v>45280</v>
      </c>
      <c r="C4180" s="22">
        <v>45280</v>
      </c>
      <c r="D4180" s="1" t="s">
        <v>8786</v>
      </c>
      <c r="E4180" s="1" t="s">
        <v>1335</v>
      </c>
      <c r="F4180" s="1">
        <v>14</v>
      </c>
      <c r="G4180" s="1" t="s">
        <v>68</v>
      </c>
      <c r="H4180" s="1" t="s">
        <v>74</v>
      </c>
      <c r="I4180" s="1" t="s">
        <v>101</v>
      </c>
      <c r="J4180" s="1" t="s">
        <v>76</v>
      </c>
      <c r="K4180" s="1" t="s">
        <v>207</v>
      </c>
      <c r="L4180" s="1">
        <v>5</v>
      </c>
      <c r="M4180" s="13">
        <v>645.04</v>
      </c>
      <c r="N4180" s="15">
        <v>0.13</v>
      </c>
      <c r="O4180" s="13">
        <v>2174.4499999999998</v>
      </c>
      <c r="P4180" s="13">
        <v>643.44000000000005</v>
      </c>
      <c r="Q4180" s="13">
        <v>51.85</v>
      </c>
      <c r="R4180" s="1" t="s">
        <v>70</v>
      </c>
      <c r="S4180" s="1">
        <v>5</v>
      </c>
      <c r="T4180" s="1" t="b">
        <v>0</v>
      </c>
      <c r="U4180" s="1" t="s">
        <v>39</v>
      </c>
      <c r="V4180" s="3">
        <v>8</v>
      </c>
    </row>
    <row r="4181" spans="1:22" x14ac:dyDescent="0.3">
      <c r="A4181" s="2" t="s">
        <v>8787</v>
      </c>
      <c r="B4181" s="10">
        <v>44764</v>
      </c>
      <c r="C4181" s="22">
        <v>44764</v>
      </c>
      <c r="D4181" s="1" t="s">
        <v>8788</v>
      </c>
      <c r="E4181" s="1" t="s">
        <v>502</v>
      </c>
      <c r="F4181" s="1">
        <v>54</v>
      </c>
      <c r="G4181" s="1" t="s">
        <v>24</v>
      </c>
      <c r="H4181" s="1" t="s">
        <v>82</v>
      </c>
      <c r="I4181" s="1" t="s">
        <v>244</v>
      </c>
      <c r="J4181" s="1" t="s">
        <v>37</v>
      </c>
      <c r="K4181" s="1" t="s">
        <v>454</v>
      </c>
      <c r="L4181" s="1">
        <v>9</v>
      </c>
      <c r="M4181" s="13">
        <v>1933.74</v>
      </c>
      <c r="N4181" s="15">
        <v>0.4</v>
      </c>
      <c r="O4181" s="13">
        <v>14508.76</v>
      </c>
      <c r="P4181" s="13">
        <v>4077.16</v>
      </c>
      <c r="Q4181" s="13">
        <v>88.26</v>
      </c>
      <c r="R4181" s="1" t="s">
        <v>29</v>
      </c>
      <c r="S4181" s="1">
        <v>4</v>
      </c>
      <c r="T4181" s="1" t="b">
        <v>0</v>
      </c>
      <c r="U4181" s="1" t="s">
        <v>39</v>
      </c>
      <c r="V4181" s="3">
        <v>6</v>
      </c>
    </row>
    <row r="4182" spans="1:22" x14ac:dyDescent="0.3">
      <c r="A4182" s="2" t="s">
        <v>8789</v>
      </c>
      <c r="B4182" s="10">
        <v>44528</v>
      </c>
      <c r="C4182" s="22">
        <v>44528</v>
      </c>
      <c r="D4182" s="1" t="s">
        <v>8790</v>
      </c>
      <c r="E4182" s="1" t="s">
        <v>433</v>
      </c>
      <c r="F4182" s="1">
        <v>32</v>
      </c>
      <c r="G4182" s="1" t="s">
        <v>34</v>
      </c>
      <c r="H4182" s="1" t="s">
        <v>74</v>
      </c>
      <c r="I4182" s="1" t="s">
        <v>101</v>
      </c>
      <c r="J4182" s="1" t="s">
        <v>27</v>
      </c>
      <c r="K4182" s="1" t="s">
        <v>450</v>
      </c>
      <c r="L4182" s="1">
        <v>3</v>
      </c>
      <c r="M4182" s="13">
        <v>60.31</v>
      </c>
      <c r="N4182" s="15">
        <v>0.18</v>
      </c>
      <c r="O4182" s="13">
        <v>108.58</v>
      </c>
      <c r="P4182" s="13">
        <v>6.36</v>
      </c>
      <c r="Q4182" s="13">
        <v>35.049999999999997</v>
      </c>
      <c r="R4182" s="1" t="s">
        <v>70</v>
      </c>
      <c r="S4182" s="1">
        <v>2</v>
      </c>
      <c r="T4182" s="1" t="b">
        <v>0</v>
      </c>
      <c r="U4182" s="1" t="s">
        <v>39</v>
      </c>
      <c r="V4182" s="3">
        <v>2</v>
      </c>
    </row>
    <row r="4183" spans="1:22" x14ac:dyDescent="0.3">
      <c r="A4183" s="2" t="s">
        <v>8791</v>
      </c>
      <c r="B4183" s="10">
        <v>45185</v>
      </c>
      <c r="C4183" s="22">
        <v>45185</v>
      </c>
      <c r="D4183" s="1" t="s">
        <v>8792</v>
      </c>
      <c r="E4183" s="1" t="s">
        <v>237</v>
      </c>
      <c r="F4183" s="1">
        <v>43</v>
      </c>
      <c r="G4183" s="1" t="s">
        <v>24</v>
      </c>
      <c r="H4183" s="1" t="s">
        <v>74</v>
      </c>
      <c r="I4183" s="1" t="s">
        <v>101</v>
      </c>
      <c r="J4183" s="1" t="s">
        <v>62</v>
      </c>
      <c r="K4183" s="1" t="s">
        <v>283</v>
      </c>
      <c r="L4183" s="1">
        <v>10</v>
      </c>
      <c r="M4183" s="13">
        <v>344.89</v>
      </c>
      <c r="N4183" s="15">
        <v>0.21</v>
      </c>
      <c r="O4183" s="13">
        <v>2919.85</v>
      </c>
      <c r="P4183" s="13">
        <v>480.69</v>
      </c>
      <c r="Q4183" s="13">
        <v>36.51</v>
      </c>
      <c r="R4183" s="1" t="s">
        <v>64</v>
      </c>
      <c r="S4183" s="1">
        <v>4</v>
      </c>
      <c r="T4183" s="1" t="b">
        <v>0</v>
      </c>
      <c r="U4183" s="1" t="s">
        <v>39</v>
      </c>
      <c r="V4183" s="3">
        <v>1</v>
      </c>
    </row>
    <row r="4184" spans="1:22" x14ac:dyDescent="0.3">
      <c r="A4184" s="2" t="s">
        <v>8793</v>
      </c>
      <c r="B4184" s="10">
        <v>45079</v>
      </c>
      <c r="C4184" s="22">
        <v>45079</v>
      </c>
      <c r="D4184" s="1" t="s">
        <v>8794</v>
      </c>
      <c r="E4184" s="1" t="s">
        <v>794</v>
      </c>
      <c r="F4184" s="1">
        <v>27</v>
      </c>
      <c r="G4184" s="1" t="s">
        <v>24</v>
      </c>
      <c r="H4184" s="1" t="s">
        <v>82</v>
      </c>
      <c r="I4184" s="1" t="s">
        <v>293</v>
      </c>
      <c r="J4184" s="1" t="s">
        <v>27</v>
      </c>
      <c r="K4184" s="1" t="s">
        <v>28</v>
      </c>
      <c r="L4184" s="1">
        <v>6</v>
      </c>
      <c r="M4184" s="13">
        <v>386.8</v>
      </c>
      <c r="N4184" s="15">
        <v>0.21</v>
      </c>
      <c r="O4184" s="13">
        <v>3078.58</v>
      </c>
      <c r="P4184" s="13">
        <v>318.39</v>
      </c>
      <c r="Q4184" s="13">
        <v>79.260000000000005</v>
      </c>
      <c r="R4184" s="1" t="s">
        <v>51</v>
      </c>
      <c r="S4184" s="1">
        <v>1</v>
      </c>
      <c r="T4184" s="1" t="b">
        <v>0</v>
      </c>
      <c r="U4184" s="1" t="s">
        <v>137</v>
      </c>
      <c r="V4184" s="3">
        <v>5</v>
      </c>
    </row>
    <row r="4185" spans="1:22" x14ac:dyDescent="0.3">
      <c r="A4185" s="2" t="s">
        <v>8795</v>
      </c>
      <c r="B4185" s="10">
        <v>44635</v>
      </c>
      <c r="C4185" s="22">
        <v>44635</v>
      </c>
      <c r="D4185" s="1" t="s">
        <v>8796</v>
      </c>
      <c r="E4185" s="1" t="s">
        <v>453</v>
      </c>
      <c r="F4185" s="1">
        <v>25</v>
      </c>
      <c r="G4185" s="1" t="s">
        <v>68</v>
      </c>
      <c r="H4185" s="1" t="s">
        <v>82</v>
      </c>
      <c r="I4185" s="1" t="s">
        <v>126</v>
      </c>
      <c r="J4185" s="1" t="s">
        <v>44</v>
      </c>
      <c r="K4185" s="1" t="s">
        <v>117</v>
      </c>
      <c r="L4185" s="1">
        <v>9</v>
      </c>
      <c r="M4185" s="13">
        <v>28064.62</v>
      </c>
      <c r="N4185" s="15">
        <v>0.13</v>
      </c>
      <c r="O4185" s="13">
        <v>212852.52</v>
      </c>
      <c r="P4185" s="13">
        <v>53977.66</v>
      </c>
      <c r="Q4185" s="13">
        <v>65.040000000000006</v>
      </c>
      <c r="R4185" s="1" t="s">
        <v>64</v>
      </c>
      <c r="S4185" s="1">
        <v>3</v>
      </c>
      <c r="T4185" s="1" t="b">
        <v>0</v>
      </c>
      <c r="U4185" s="1" t="s">
        <v>39</v>
      </c>
      <c r="V4185" s="3">
        <v>5</v>
      </c>
    </row>
    <row r="4186" spans="1:22" x14ac:dyDescent="0.3">
      <c r="A4186" s="2" t="s">
        <v>8797</v>
      </c>
      <c r="B4186" s="10">
        <v>45050</v>
      </c>
      <c r="C4186" s="22">
        <v>45050</v>
      </c>
      <c r="D4186" s="1" t="s">
        <v>8798</v>
      </c>
      <c r="E4186" s="1" t="s">
        <v>1015</v>
      </c>
      <c r="F4186" s="1">
        <v>35</v>
      </c>
      <c r="G4186" s="1" t="s">
        <v>68</v>
      </c>
      <c r="H4186" s="1" t="s">
        <v>74</v>
      </c>
      <c r="I4186" s="1" t="s">
        <v>101</v>
      </c>
      <c r="J4186" s="1" t="s">
        <v>37</v>
      </c>
      <c r="K4186" s="1" t="s">
        <v>102</v>
      </c>
      <c r="L4186" s="1">
        <v>10</v>
      </c>
      <c r="M4186" s="13">
        <v>239.33</v>
      </c>
      <c r="N4186" s="15">
        <v>0.23</v>
      </c>
      <c r="O4186" s="13">
        <v>2481.9299999999998</v>
      </c>
      <c r="P4186" s="13">
        <v>780.04</v>
      </c>
      <c r="Q4186" s="13">
        <v>61.7</v>
      </c>
      <c r="R4186" s="1" t="s">
        <v>57</v>
      </c>
      <c r="S4186" s="1">
        <v>4</v>
      </c>
      <c r="T4186" s="1" t="b">
        <v>0</v>
      </c>
      <c r="U4186" s="1" t="s">
        <v>39</v>
      </c>
      <c r="V4186" s="3">
        <v>10</v>
      </c>
    </row>
    <row r="4187" spans="1:22" x14ac:dyDescent="0.3">
      <c r="A4187" s="2" t="s">
        <v>8799</v>
      </c>
      <c r="B4187" s="10">
        <v>44095</v>
      </c>
      <c r="C4187" s="22">
        <v>44095</v>
      </c>
      <c r="D4187" s="1" t="s">
        <v>8800</v>
      </c>
      <c r="E4187" s="1" t="s">
        <v>687</v>
      </c>
      <c r="F4187" s="1">
        <v>34</v>
      </c>
      <c r="G4187" s="1" t="s">
        <v>34</v>
      </c>
      <c r="H4187" s="1" t="s">
        <v>74</v>
      </c>
      <c r="I4187" s="1" t="s">
        <v>75</v>
      </c>
      <c r="J4187" s="1" t="s">
        <v>27</v>
      </c>
      <c r="K4187" s="1" t="s">
        <v>28</v>
      </c>
      <c r="L4187" s="1">
        <v>9</v>
      </c>
      <c r="M4187" s="13">
        <v>302.37</v>
      </c>
      <c r="N4187" s="15">
        <v>0.03</v>
      </c>
      <c r="O4187" s="13">
        <v>3176.16</v>
      </c>
      <c r="P4187" s="13">
        <v>269.45</v>
      </c>
      <c r="Q4187" s="13">
        <v>33.590000000000003</v>
      </c>
      <c r="R4187" s="1" t="s">
        <v>51</v>
      </c>
      <c r="S4187" s="1">
        <v>4</v>
      </c>
      <c r="T4187" s="1" t="b">
        <v>0</v>
      </c>
      <c r="U4187" s="1" t="s">
        <v>137</v>
      </c>
      <c r="V4187" s="3">
        <v>6</v>
      </c>
    </row>
    <row r="4188" spans="1:22" x14ac:dyDescent="0.3">
      <c r="A4188" s="2" t="s">
        <v>8801</v>
      </c>
      <c r="B4188" s="10">
        <v>44305</v>
      </c>
      <c r="C4188" s="22">
        <v>44305</v>
      </c>
      <c r="D4188" s="1" t="s">
        <v>8802</v>
      </c>
      <c r="E4188" s="1" t="s">
        <v>240</v>
      </c>
      <c r="F4188" s="1">
        <v>27</v>
      </c>
      <c r="G4188" s="1" t="s">
        <v>68</v>
      </c>
      <c r="H4188" s="1" t="s">
        <v>82</v>
      </c>
      <c r="I4188" s="1" t="s">
        <v>244</v>
      </c>
      <c r="J4188" s="1" t="s">
        <v>62</v>
      </c>
      <c r="K4188" s="1" t="s">
        <v>283</v>
      </c>
      <c r="L4188" s="1">
        <v>8</v>
      </c>
      <c r="M4188" s="13">
        <v>1199.3399999999999</v>
      </c>
      <c r="N4188" s="15">
        <v>0.14000000000000001</v>
      </c>
      <c r="O4188" s="13">
        <v>11154.85</v>
      </c>
      <c r="P4188" s="13">
        <v>6783.73</v>
      </c>
      <c r="Q4188" s="13">
        <v>76.89</v>
      </c>
      <c r="R4188" s="1" t="s">
        <v>29</v>
      </c>
      <c r="S4188" s="1">
        <v>2</v>
      </c>
      <c r="T4188" s="1" t="b">
        <v>1</v>
      </c>
      <c r="U4188" s="1" t="s">
        <v>30</v>
      </c>
      <c r="V4188" s="3">
        <v>7</v>
      </c>
    </row>
    <row r="4189" spans="1:22" x14ac:dyDescent="0.3">
      <c r="A4189" s="2" t="s">
        <v>8803</v>
      </c>
      <c r="B4189" s="10">
        <v>45584</v>
      </c>
      <c r="C4189" s="22">
        <v>45584</v>
      </c>
      <c r="D4189" s="1" t="s">
        <v>8804</v>
      </c>
      <c r="E4189" s="1" t="s">
        <v>292</v>
      </c>
      <c r="F4189" s="1">
        <v>39</v>
      </c>
      <c r="G4189" s="1" t="s">
        <v>68</v>
      </c>
      <c r="H4189" s="1" t="s">
        <v>82</v>
      </c>
      <c r="I4189" s="1" t="s">
        <v>293</v>
      </c>
      <c r="J4189" s="1" t="s">
        <v>27</v>
      </c>
      <c r="K4189" s="1" t="s">
        <v>97</v>
      </c>
      <c r="L4189" s="1">
        <v>6</v>
      </c>
      <c r="M4189" s="13">
        <v>287.91000000000003</v>
      </c>
      <c r="N4189" s="15">
        <v>0.05</v>
      </c>
      <c r="O4189" s="13">
        <v>2083.21</v>
      </c>
      <c r="P4189" s="13">
        <v>185.74</v>
      </c>
      <c r="Q4189" s="13">
        <v>79.81</v>
      </c>
      <c r="R4189" s="1" t="s">
        <v>57</v>
      </c>
      <c r="S4189" s="1">
        <v>3</v>
      </c>
      <c r="T4189" s="1" t="b">
        <v>1</v>
      </c>
      <c r="U4189" s="1" t="s">
        <v>30</v>
      </c>
      <c r="V4189" s="3">
        <v>3</v>
      </c>
    </row>
    <row r="4190" spans="1:22" x14ac:dyDescent="0.3">
      <c r="A4190" s="2" t="s">
        <v>8805</v>
      </c>
      <c r="B4190" s="10">
        <v>43938</v>
      </c>
      <c r="C4190" s="22">
        <v>43938</v>
      </c>
      <c r="D4190" s="1" t="s">
        <v>8806</v>
      </c>
      <c r="E4190" s="1" t="s">
        <v>4771</v>
      </c>
      <c r="F4190" s="1">
        <v>30</v>
      </c>
      <c r="G4190" s="1" t="s">
        <v>68</v>
      </c>
      <c r="H4190" s="1" t="s">
        <v>25</v>
      </c>
      <c r="I4190" s="1" t="s">
        <v>26</v>
      </c>
      <c r="J4190" s="1" t="s">
        <v>27</v>
      </c>
      <c r="K4190" s="1" t="s">
        <v>450</v>
      </c>
      <c r="L4190" s="1">
        <v>4</v>
      </c>
      <c r="M4190" s="13">
        <v>368.44</v>
      </c>
      <c r="N4190" s="15">
        <v>0.05</v>
      </c>
      <c r="O4190" s="13">
        <v>1419.14</v>
      </c>
      <c r="P4190" s="13">
        <v>133.75</v>
      </c>
      <c r="Q4190" s="13">
        <v>54.97</v>
      </c>
      <c r="R4190" s="1" t="s">
        <v>70</v>
      </c>
      <c r="S4190" s="1">
        <v>2</v>
      </c>
      <c r="T4190" s="1" t="b">
        <v>0</v>
      </c>
      <c r="U4190" s="1" t="s">
        <v>39</v>
      </c>
      <c r="V4190" s="3">
        <v>2</v>
      </c>
    </row>
    <row r="4191" spans="1:22" x14ac:dyDescent="0.3">
      <c r="A4191" s="2" t="s">
        <v>8807</v>
      </c>
      <c r="B4191" s="10">
        <v>44458</v>
      </c>
      <c r="C4191" s="22">
        <v>44458</v>
      </c>
      <c r="D4191" s="1" t="s">
        <v>8808</v>
      </c>
      <c r="E4191" s="1" t="s">
        <v>755</v>
      </c>
      <c r="F4191" s="1">
        <v>30</v>
      </c>
      <c r="G4191" s="1" t="s">
        <v>34</v>
      </c>
      <c r="H4191" s="1" t="s">
        <v>35</v>
      </c>
      <c r="I4191" s="1" t="s">
        <v>43</v>
      </c>
      <c r="J4191" s="1" t="s">
        <v>44</v>
      </c>
      <c r="K4191" s="1" t="s">
        <v>221</v>
      </c>
      <c r="L4191" s="1">
        <v>7</v>
      </c>
      <c r="M4191" s="13">
        <v>9634.5300000000007</v>
      </c>
      <c r="N4191" s="15">
        <v>0.06</v>
      </c>
      <c r="O4191" s="13">
        <v>66658.37</v>
      </c>
      <c r="P4191" s="13">
        <v>21356.74</v>
      </c>
      <c r="Q4191" s="13">
        <v>42.02</v>
      </c>
      <c r="R4191" s="1" t="s">
        <v>29</v>
      </c>
      <c r="S4191" s="1">
        <v>3</v>
      </c>
      <c r="T4191" s="1" t="b">
        <v>0</v>
      </c>
      <c r="U4191" s="1" t="s">
        <v>137</v>
      </c>
      <c r="V4191" s="3">
        <v>3</v>
      </c>
    </row>
    <row r="4192" spans="1:22" x14ac:dyDescent="0.3">
      <c r="A4192" s="2" t="s">
        <v>8809</v>
      </c>
      <c r="B4192" s="10">
        <v>44722</v>
      </c>
      <c r="C4192" s="22">
        <v>44722</v>
      </c>
      <c r="D4192" s="1" t="s">
        <v>8810</v>
      </c>
      <c r="E4192" s="1" t="s">
        <v>1462</v>
      </c>
      <c r="F4192" s="1">
        <v>41</v>
      </c>
      <c r="G4192" s="1" t="s">
        <v>34</v>
      </c>
      <c r="H4192" s="1" t="s">
        <v>74</v>
      </c>
      <c r="I4192" s="1" t="s">
        <v>75</v>
      </c>
      <c r="J4192" s="1" t="s">
        <v>146</v>
      </c>
      <c r="K4192" s="1" t="s">
        <v>217</v>
      </c>
      <c r="L4192" s="1">
        <v>4</v>
      </c>
      <c r="M4192" s="13">
        <v>11418.62</v>
      </c>
      <c r="N4192" s="15">
        <v>0.21</v>
      </c>
      <c r="O4192" s="13">
        <v>52022.28</v>
      </c>
      <c r="P4192" s="13">
        <v>11855.66</v>
      </c>
      <c r="Q4192" s="13">
        <v>52.64</v>
      </c>
      <c r="R4192" s="1" t="s">
        <v>64</v>
      </c>
      <c r="S4192" s="1">
        <v>2</v>
      </c>
      <c r="T4192" s="1" t="b">
        <v>0</v>
      </c>
      <c r="U4192" s="1" t="s">
        <v>39</v>
      </c>
      <c r="V4192" s="3">
        <v>1</v>
      </c>
    </row>
    <row r="4193" spans="1:22" x14ac:dyDescent="0.3">
      <c r="A4193" s="2" t="s">
        <v>8811</v>
      </c>
      <c r="B4193" s="10">
        <v>43852</v>
      </c>
      <c r="C4193" s="22">
        <v>43852</v>
      </c>
      <c r="D4193" s="1" t="s">
        <v>8812</v>
      </c>
      <c r="E4193" s="1" t="s">
        <v>1978</v>
      </c>
      <c r="F4193" s="1">
        <v>41</v>
      </c>
      <c r="G4193" s="1" t="s">
        <v>68</v>
      </c>
      <c r="H4193" s="1" t="s">
        <v>111</v>
      </c>
      <c r="I4193" s="1" t="s">
        <v>121</v>
      </c>
      <c r="J4193" s="1" t="s">
        <v>146</v>
      </c>
      <c r="K4193" s="1" t="s">
        <v>178</v>
      </c>
      <c r="L4193" s="1">
        <v>3</v>
      </c>
      <c r="M4193" s="13">
        <v>14511.24</v>
      </c>
      <c r="N4193" s="15">
        <v>0.21</v>
      </c>
      <c r="O4193" s="13">
        <v>36886.86</v>
      </c>
      <c r="P4193" s="13">
        <v>8351.7800000000007</v>
      </c>
      <c r="Q4193" s="13">
        <v>63.58</v>
      </c>
      <c r="R4193" s="1" t="s">
        <v>51</v>
      </c>
      <c r="S4193" s="1">
        <v>3</v>
      </c>
      <c r="T4193" s="1" t="b">
        <v>0</v>
      </c>
      <c r="U4193" s="1" t="s">
        <v>39</v>
      </c>
      <c r="V4193" s="3">
        <v>3</v>
      </c>
    </row>
    <row r="4194" spans="1:22" x14ac:dyDescent="0.3">
      <c r="A4194" s="2" t="s">
        <v>8813</v>
      </c>
      <c r="B4194" s="10">
        <v>43908</v>
      </c>
      <c r="C4194" s="22">
        <v>43908</v>
      </c>
      <c r="D4194" s="1" t="s">
        <v>8814</v>
      </c>
      <c r="E4194" s="1" t="s">
        <v>73</v>
      </c>
      <c r="F4194" s="1">
        <v>49</v>
      </c>
      <c r="G4194" s="1" t="s">
        <v>68</v>
      </c>
      <c r="H4194" s="1" t="s">
        <v>35</v>
      </c>
      <c r="I4194" s="1" t="s">
        <v>36</v>
      </c>
      <c r="J4194" s="1" t="s">
        <v>76</v>
      </c>
      <c r="K4194" s="1" t="s">
        <v>132</v>
      </c>
      <c r="L4194" s="1">
        <v>9</v>
      </c>
      <c r="M4194" s="13">
        <v>2298.37</v>
      </c>
      <c r="N4194" s="15">
        <v>0.21</v>
      </c>
      <c r="O4194" s="13">
        <v>20461.060000000001</v>
      </c>
      <c r="P4194" s="13">
        <v>7107.09</v>
      </c>
      <c r="Q4194" s="13">
        <v>64.34</v>
      </c>
      <c r="R4194" s="1" t="s">
        <v>29</v>
      </c>
      <c r="S4194" s="1">
        <v>3</v>
      </c>
      <c r="T4194" s="1" t="b">
        <v>0</v>
      </c>
      <c r="U4194" s="1" t="s">
        <v>39</v>
      </c>
      <c r="V4194" s="3">
        <v>2</v>
      </c>
    </row>
    <row r="4195" spans="1:22" x14ac:dyDescent="0.3">
      <c r="A4195" s="2" t="s">
        <v>8815</v>
      </c>
      <c r="B4195" s="10">
        <v>44029</v>
      </c>
      <c r="C4195" s="22">
        <v>44029</v>
      </c>
      <c r="D4195" s="1" t="s">
        <v>8816</v>
      </c>
      <c r="E4195" s="1" t="s">
        <v>858</v>
      </c>
      <c r="F4195" s="1">
        <v>29</v>
      </c>
      <c r="G4195" s="1" t="s">
        <v>24</v>
      </c>
      <c r="H4195" s="1" t="s">
        <v>111</v>
      </c>
      <c r="I4195" s="1" t="s">
        <v>141</v>
      </c>
      <c r="J4195" s="1" t="s">
        <v>44</v>
      </c>
      <c r="K4195" s="1" t="s">
        <v>93</v>
      </c>
      <c r="L4195" s="1">
        <v>10</v>
      </c>
      <c r="M4195" s="13">
        <v>9945.43</v>
      </c>
      <c r="N4195" s="15">
        <v>0.24</v>
      </c>
      <c r="O4195" s="13">
        <v>94093.98</v>
      </c>
      <c r="P4195" s="13">
        <v>30233.13</v>
      </c>
      <c r="Q4195" s="13">
        <v>76.34</v>
      </c>
      <c r="R4195" s="1" t="s">
        <v>70</v>
      </c>
      <c r="S4195" s="1">
        <v>3</v>
      </c>
      <c r="T4195" s="1" t="b">
        <v>0</v>
      </c>
      <c r="U4195" s="1" t="s">
        <v>39</v>
      </c>
      <c r="V4195" s="3">
        <v>10</v>
      </c>
    </row>
    <row r="4196" spans="1:22" x14ac:dyDescent="0.3">
      <c r="A4196" s="2" t="s">
        <v>8817</v>
      </c>
      <c r="B4196" s="10">
        <v>45601</v>
      </c>
      <c r="C4196" s="22">
        <v>45601</v>
      </c>
      <c r="D4196" s="1" t="s">
        <v>8818</v>
      </c>
      <c r="E4196" s="1" t="s">
        <v>81</v>
      </c>
      <c r="F4196" s="1">
        <v>19</v>
      </c>
      <c r="G4196" s="1" t="s">
        <v>68</v>
      </c>
      <c r="H4196" s="1" t="s">
        <v>82</v>
      </c>
      <c r="I4196" s="1" t="s">
        <v>126</v>
      </c>
      <c r="J4196" s="1" t="s">
        <v>27</v>
      </c>
      <c r="K4196" s="1" t="s">
        <v>56</v>
      </c>
      <c r="L4196" s="1">
        <v>10</v>
      </c>
      <c r="M4196" s="13">
        <v>400.5</v>
      </c>
      <c r="N4196" s="15">
        <v>0.32</v>
      </c>
      <c r="O4196" s="13">
        <v>2696.95</v>
      </c>
      <c r="P4196" s="13">
        <v>174.53</v>
      </c>
      <c r="Q4196" s="13">
        <v>55.61</v>
      </c>
      <c r="R4196" s="1" t="s">
        <v>51</v>
      </c>
      <c r="S4196" s="1">
        <v>4</v>
      </c>
      <c r="T4196" s="1" t="b">
        <v>0</v>
      </c>
      <c r="U4196" s="1" t="s">
        <v>39</v>
      </c>
      <c r="V4196" s="3">
        <v>9</v>
      </c>
    </row>
    <row r="4197" spans="1:22" x14ac:dyDescent="0.3">
      <c r="A4197" s="2" t="s">
        <v>8819</v>
      </c>
      <c r="B4197" s="10">
        <v>43851</v>
      </c>
      <c r="C4197" s="22">
        <v>43851</v>
      </c>
      <c r="D4197" s="1" t="s">
        <v>8820</v>
      </c>
      <c r="E4197" s="1" t="s">
        <v>885</v>
      </c>
      <c r="F4197" s="1">
        <v>45</v>
      </c>
      <c r="G4197" s="1" t="s">
        <v>68</v>
      </c>
      <c r="H4197" s="1" t="s">
        <v>35</v>
      </c>
      <c r="I4197" s="1" t="s">
        <v>106</v>
      </c>
      <c r="J4197" s="1" t="s">
        <v>146</v>
      </c>
      <c r="K4197" s="1" t="s">
        <v>161</v>
      </c>
      <c r="L4197" s="1">
        <v>6</v>
      </c>
      <c r="M4197" s="13">
        <v>1871.46</v>
      </c>
      <c r="N4197" s="15">
        <v>0.22</v>
      </c>
      <c r="O4197" s="13">
        <v>6895.34</v>
      </c>
      <c r="P4197" s="13">
        <v>1811.03</v>
      </c>
      <c r="Q4197" s="13">
        <v>62.59</v>
      </c>
      <c r="R4197" s="1" t="s">
        <v>51</v>
      </c>
      <c r="S4197" s="1">
        <v>3</v>
      </c>
      <c r="T4197" s="1" t="b">
        <v>1</v>
      </c>
      <c r="U4197" s="1" t="s">
        <v>30</v>
      </c>
      <c r="V4197" s="3">
        <v>9</v>
      </c>
    </row>
    <row r="4198" spans="1:22" x14ac:dyDescent="0.3">
      <c r="A4198" s="2" t="s">
        <v>8821</v>
      </c>
      <c r="B4198" s="10">
        <v>45330</v>
      </c>
      <c r="C4198" s="22">
        <v>45330</v>
      </c>
      <c r="D4198" s="1" t="s">
        <v>8822</v>
      </c>
      <c r="E4198" s="1" t="s">
        <v>2637</v>
      </c>
      <c r="F4198" s="1">
        <v>25</v>
      </c>
      <c r="G4198" s="1" t="s">
        <v>34</v>
      </c>
      <c r="H4198" s="1" t="s">
        <v>111</v>
      </c>
      <c r="I4198" s="1" t="s">
        <v>141</v>
      </c>
      <c r="J4198" s="1" t="s">
        <v>76</v>
      </c>
      <c r="K4198" s="1" t="s">
        <v>89</v>
      </c>
      <c r="L4198" s="1">
        <v>7</v>
      </c>
      <c r="M4198" s="13">
        <v>3147.97</v>
      </c>
      <c r="N4198" s="15">
        <v>0.13</v>
      </c>
      <c r="O4198" s="13">
        <v>22125.94</v>
      </c>
      <c r="P4198" s="13">
        <v>10153.44</v>
      </c>
      <c r="Q4198" s="13">
        <v>38.76</v>
      </c>
      <c r="R4198" s="1" t="s">
        <v>51</v>
      </c>
      <c r="S4198" s="1">
        <v>2</v>
      </c>
      <c r="T4198" s="1" t="b">
        <v>0</v>
      </c>
      <c r="U4198" s="1" t="s">
        <v>84</v>
      </c>
      <c r="V4198" s="3">
        <v>2</v>
      </c>
    </row>
    <row r="4199" spans="1:22" x14ac:dyDescent="0.3">
      <c r="A4199" s="2" t="s">
        <v>8823</v>
      </c>
      <c r="B4199" s="10">
        <v>44614</v>
      </c>
      <c r="C4199" s="22">
        <v>44614</v>
      </c>
      <c r="D4199" s="1" t="s">
        <v>8824</v>
      </c>
      <c r="E4199" s="1" t="s">
        <v>534</v>
      </c>
      <c r="F4199" s="1">
        <v>39</v>
      </c>
      <c r="G4199" s="1" t="s">
        <v>34</v>
      </c>
      <c r="H4199" s="1" t="s">
        <v>82</v>
      </c>
      <c r="I4199" s="1" t="s">
        <v>126</v>
      </c>
      <c r="J4199" s="1" t="s">
        <v>37</v>
      </c>
      <c r="K4199" s="1" t="s">
        <v>231</v>
      </c>
      <c r="L4199" s="1">
        <v>7</v>
      </c>
      <c r="M4199" s="13">
        <v>422.45</v>
      </c>
      <c r="N4199" s="15">
        <v>0.02</v>
      </c>
      <c r="O4199" s="13">
        <v>2726.49</v>
      </c>
      <c r="P4199" s="13">
        <v>759.36</v>
      </c>
      <c r="Q4199" s="13">
        <v>39.409999999999997</v>
      </c>
      <c r="R4199" s="1" t="s">
        <v>70</v>
      </c>
      <c r="S4199" s="1">
        <v>3</v>
      </c>
      <c r="T4199" s="1" t="b">
        <v>0</v>
      </c>
      <c r="U4199" s="1" t="s">
        <v>39</v>
      </c>
      <c r="V4199" s="3">
        <v>5</v>
      </c>
    </row>
    <row r="4200" spans="1:22" x14ac:dyDescent="0.3">
      <c r="A4200" s="2" t="s">
        <v>8825</v>
      </c>
      <c r="B4200" s="10">
        <v>44603</v>
      </c>
      <c r="C4200" s="22">
        <v>44603</v>
      </c>
      <c r="D4200" s="1" t="s">
        <v>8826</v>
      </c>
      <c r="E4200" s="1" t="s">
        <v>1018</v>
      </c>
      <c r="F4200" s="1">
        <v>40</v>
      </c>
      <c r="G4200" s="1" t="s">
        <v>68</v>
      </c>
      <c r="H4200" s="1" t="s">
        <v>82</v>
      </c>
      <c r="I4200" s="1" t="s">
        <v>244</v>
      </c>
      <c r="J4200" s="1" t="s">
        <v>62</v>
      </c>
      <c r="K4200" s="1" t="s">
        <v>570</v>
      </c>
      <c r="L4200" s="1">
        <v>5</v>
      </c>
      <c r="M4200" s="13">
        <v>1456.57</v>
      </c>
      <c r="N4200" s="15">
        <v>0.27</v>
      </c>
      <c r="O4200" s="13">
        <v>4835.66</v>
      </c>
      <c r="P4200" s="13">
        <v>2312.44</v>
      </c>
      <c r="Q4200" s="13">
        <v>71.900000000000006</v>
      </c>
      <c r="R4200" s="1" t="s">
        <v>64</v>
      </c>
      <c r="S4200" s="1">
        <v>1</v>
      </c>
      <c r="T4200" s="1" t="b">
        <v>0</v>
      </c>
      <c r="U4200" s="1" t="s">
        <v>84</v>
      </c>
      <c r="V4200" s="3">
        <v>4</v>
      </c>
    </row>
    <row r="4201" spans="1:22" x14ac:dyDescent="0.3">
      <c r="A4201" s="2" t="s">
        <v>8827</v>
      </c>
      <c r="B4201" s="10">
        <v>45231</v>
      </c>
      <c r="C4201" s="22">
        <v>45231</v>
      </c>
      <c r="D4201" s="1" t="s">
        <v>8828</v>
      </c>
      <c r="E4201" s="1" t="s">
        <v>3016</v>
      </c>
      <c r="F4201" s="1">
        <v>23</v>
      </c>
      <c r="G4201" s="1" t="s">
        <v>24</v>
      </c>
      <c r="H4201" s="1" t="s">
        <v>74</v>
      </c>
      <c r="I4201" s="1" t="s">
        <v>136</v>
      </c>
      <c r="J4201" s="1" t="s">
        <v>44</v>
      </c>
      <c r="K4201" s="1" t="s">
        <v>221</v>
      </c>
      <c r="L4201" s="1">
        <v>10</v>
      </c>
      <c r="M4201" s="13">
        <v>28349.81</v>
      </c>
      <c r="N4201" s="15">
        <v>0.14000000000000001</v>
      </c>
      <c r="O4201" s="13">
        <v>211857.48</v>
      </c>
      <c r="P4201" s="13">
        <v>59966.21</v>
      </c>
      <c r="Q4201" s="13">
        <v>53.88</v>
      </c>
      <c r="R4201" s="1" t="s">
        <v>29</v>
      </c>
      <c r="S4201" s="1">
        <v>2</v>
      </c>
      <c r="T4201" s="1" t="b">
        <v>0</v>
      </c>
      <c r="U4201" s="1" t="s">
        <v>39</v>
      </c>
      <c r="V4201" s="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3A42-C905-4563-A2A5-84CEA678E5CD}">
  <dimension ref="B2:H71"/>
  <sheetViews>
    <sheetView topLeftCell="A41" zoomScale="66" zoomScaleNormal="66" workbookViewId="0">
      <selection activeCell="N18" sqref="N18"/>
    </sheetView>
  </sheetViews>
  <sheetFormatPr defaultRowHeight="14.4" outlineLevelCol="1" x14ac:dyDescent="0.3"/>
  <cols>
    <col min="2" max="2" width="12.44140625" bestFit="1" customWidth="1"/>
    <col min="3" max="5" width="18.6640625" bestFit="1" customWidth="1"/>
    <col min="6" max="6" width="17.77734375" bestFit="1" customWidth="1"/>
    <col min="7" max="7" width="12.44140625" hidden="1" customWidth="1" outlineLevel="1"/>
    <col min="8" max="8" width="13" bestFit="1" customWidth="1" collapsed="1"/>
    <col min="9" max="9" width="19.33203125" bestFit="1" customWidth="1"/>
    <col min="10" max="11" width="15" bestFit="1" customWidth="1"/>
    <col min="12" max="1619" width="17.77734375" bestFit="1" customWidth="1"/>
    <col min="1620" max="1620" width="10.5546875" bestFit="1" customWidth="1"/>
  </cols>
  <sheetData>
    <row r="2" spans="2:4" ht="21" x14ac:dyDescent="0.4">
      <c r="B2" s="20" t="s">
        <v>8846</v>
      </c>
    </row>
    <row r="3" spans="2:4" x14ac:dyDescent="0.3">
      <c r="B3" s="8" t="s">
        <v>8839</v>
      </c>
      <c r="C3" t="s">
        <v>8841</v>
      </c>
    </row>
    <row r="4" spans="2:4" x14ac:dyDescent="0.3">
      <c r="B4" s="9" t="s">
        <v>37</v>
      </c>
      <c r="C4" s="18">
        <v>3881088.8500000029</v>
      </c>
    </row>
    <row r="5" spans="2:4" x14ac:dyDescent="0.3">
      <c r="B5" s="9" t="s">
        <v>62</v>
      </c>
      <c r="C5" s="18">
        <v>3777514.0299999984</v>
      </c>
    </row>
    <row r="6" spans="2:4" x14ac:dyDescent="0.3">
      <c r="B6" s="9" t="s">
        <v>76</v>
      </c>
      <c r="C6" s="18">
        <v>11563735.750000011</v>
      </c>
    </row>
    <row r="7" spans="2:4" x14ac:dyDescent="0.3">
      <c r="B7" s="9" t="s">
        <v>127</v>
      </c>
      <c r="C7" s="18">
        <v>155642577.5699999</v>
      </c>
    </row>
    <row r="8" spans="2:4" x14ac:dyDescent="0.3">
      <c r="B8" s="9" t="s">
        <v>44</v>
      </c>
      <c r="C8" s="18">
        <v>56709203.029999994</v>
      </c>
    </row>
    <row r="9" spans="2:4" x14ac:dyDescent="0.3">
      <c r="B9" s="9" t="s">
        <v>27</v>
      </c>
      <c r="C9" s="18">
        <v>1009019.8300000003</v>
      </c>
    </row>
    <row r="10" spans="2:4" x14ac:dyDescent="0.3">
      <c r="B10" s="9" t="s">
        <v>146</v>
      </c>
      <c r="C10" s="18">
        <v>31686665.479999963</v>
      </c>
    </row>
    <row r="11" spans="2:4" x14ac:dyDescent="0.3">
      <c r="B11" s="9" t="s">
        <v>8840</v>
      </c>
      <c r="C11" s="18">
        <v>264269804.5399999</v>
      </c>
    </row>
    <row r="14" spans="2:4" ht="21" x14ac:dyDescent="0.4">
      <c r="B14" s="20" t="s">
        <v>8847</v>
      </c>
    </row>
    <row r="15" spans="2:4" x14ac:dyDescent="0.3">
      <c r="B15" t="s">
        <v>8839</v>
      </c>
      <c r="C15" t="s">
        <v>8841</v>
      </c>
      <c r="D15" t="s">
        <v>8842</v>
      </c>
    </row>
    <row r="16" spans="2:4" x14ac:dyDescent="0.3">
      <c r="B16" s="9" t="s">
        <v>25</v>
      </c>
      <c r="C16" s="18">
        <v>40673510.540000021</v>
      </c>
      <c r="D16" s="9">
        <v>8284151.1199999982</v>
      </c>
    </row>
    <row r="17" spans="2:4" x14ac:dyDescent="0.3">
      <c r="B17" s="9" t="s">
        <v>82</v>
      </c>
      <c r="C17" s="18">
        <v>48501551.849999994</v>
      </c>
      <c r="D17" s="9">
        <v>8733415.5600000061</v>
      </c>
    </row>
    <row r="18" spans="2:4" x14ac:dyDescent="0.3">
      <c r="B18" s="9" t="s">
        <v>74</v>
      </c>
      <c r="C18" s="18">
        <v>53613030.160000019</v>
      </c>
      <c r="D18" s="9">
        <v>10377562.059999991</v>
      </c>
    </row>
    <row r="19" spans="2:4" x14ac:dyDescent="0.3">
      <c r="B19" s="9" t="s">
        <v>111</v>
      </c>
      <c r="C19" s="18">
        <v>73519093.830000043</v>
      </c>
      <c r="D19" s="9">
        <v>13261974.239999996</v>
      </c>
    </row>
    <row r="20" spans="2:4" x14ac:dyDescent="0.3">
      <c r="B20" s="9" t="s">
        <v>35</v>
      </c>
      <c r="C20" s="18">
        <v>47962618.160000063</v>
      </c>
      <c r="D20" s="9">
        <v>8862052.0899999943</v>
      </c>
    </row>
    <row r="21" spans="2:4" x14ac:dyDescent="0.3">
      <c r="B21" s="9" t="s">
        <v>8840</v>
      </c>
      <c r="C21" s="18">
        <v>264269804.54000014</v>
      </c>
      <c r="D21" s="9">
        <v>49519155.069999985</v>
      </c>
    </row>
    <row r="27" spans="2:4" ht="21" x14ac:dyDescent="0.4">
      <c r="B27" s="20" t="s">
        <v>8848</v>
      </c>
    </row>
    <row r="28" spans="2:4" x14ac:dyDescent="0.3">
      <c r="B28" s="8" t="s">
        <v>8839</v>
      </c>
      <c r="C28" t="s">
        <v>8849</v>
      </c>
    </row>
    <row r="29" spans="2:4" x14ac:dyDescent="0.3">
      <c r="B29" s="9">
        <v>1</v>
      </c>
      <c r="C29">
        <v>761</v>
      </c>
    </row>
    <row r="30" spans="2:4" x14ac:dyDescent="0.3">
      <c r="B30" s="9">
        <v>2</v>
      </c>
      <c r="C30">
        <v>763</v>
      </c>
    </row>
    <row r="31" spans="2:4" x14ac:dyDescent="0.3">
      <c r="B31" s="9">
        <v>3</v>
      </c>
      <c r="C31">
        <v>1094</v>
      </c>
    </row>
    <row r="32" spans="2:4" x14ac:dyDescent="0.3">
      <c r="B32" s="9">
        <v>4</v>
      </c>
      <c r="C32">
        <v>810</v>
      </c>
    </row>
    <row r="33" spans="2:5" x14ac:dyDescent="0.3">
      <c r="B33" s="9">
        <v>5</v>
      </c>
      <c r="C33">
        <v>772</v>
      </c>
    </row>
    <row r="34" spans="2:5" x14ac:dyDescent="0.3">
      <c r="B34" s="9" t="s">
        <v>8840</v>
      </c>
      <c r="C34">
        <v>4200</v>
      </c>
    </row>
    <row r="40" spans="2:5" ht="21" x14ac:dyDescent="0.4">
      <c r="B40" s="20" t="s">
        <v>8850</v>
      </c>
    </row>
    <row r="41" spans="2:5" x14ac:dyDescent="0.3">
      <c r="B41" s="8" t="s">
        <v>8839</v>
      </c>
      <c r="C41" t="s">
        <v>8849</v>
      </c>
      <c r="D41" t="s">
        <v>8841</v>
      </c>
      <c r="E41" t="s">
        <v>8842</v>
      </c>
    </row>
    <row r="42" spans="2:5" x14ac:dyDescent="0.3">
      <c r="B42" s="9" t="s">
        <v>84</v>
      </c>
      <c r="C42">
        <v>346</v>
      </c>
      <c r="D42" s="18">
        <v>15043706.009999992</v>
      </c>
      <c r="E42" s="18">
        <v>3026034.1500000004</v>
      </c>
    </row>
    <row r="43" spans="2:5" x14ac:dyDescent="0.3">
      <c r="B43" s="9" t="s">
        <v>39</v>
      </c>
      <c r="C43">
        <v>2731</v>
      </c>
      <c r="D43" s="18">
        <v>182166883.45999992</v>
      </c>
      <c r="E43" s="18">
        <v>34143621.500000007</v>
      </c>
    </row>
    <row r="44" spans="2:5" x14ac:dyDescent="0.3">
      <c r="B44" s="9" t="s">
        <v>58</v>
      </c>
      <c r="C44">
        <v>184</v>
      </c>
      <c r="D44" s="18">
        <v>12883947.469999999</v>
      </c>
      <c r="E44" s="18">
        <v>2191860.4300000016</v>
      </c>
    </row>
    <row r="45" spans="2:5" x14ac:dyDescent="0.3">
      <c r="B45" s="9" t="s">
        <v>30</v>
      </c>
      <c r="C45">
        <v>612</v>
      </c>
      <c r="D45" s="18">
        <v>35515248.149999984</v>
      </c>
      <c r="E45" s="18">
        <v>7062676.2600000054</v>
      </c>
    </row>
    <row r="46" spans="2:5" x14ac:dyDescent="0.3">
      <c r="B46" s="9" t="s">
        <v>137</v>
      </c>
      <c r="C46">
        <v>327</v>
      </c>
      <c r="D46" s="18">
        <v>18660019.449999992</v>
      </c>
      <c r="E46" s="18">
        <v>3094962.73</v>
      </c>
    </row>
    <row r="47" spans="2:5" x14ac:dyDescent="0.3">
      <c r="B47" s="9" t="s">
        <v>8840</v>
      </c>
      <c r="C47">
        <v>4200</v>
      </c>
      <c r="D47" s="18">
        <v>264269804.53999972</v>
      </c>
      <c r="E47" s="18">
        <v>49519155.069999941</v>
      </c>
    </row>
    <row r="53" spans="2:4" x14ac:dyDescent="0.3">
      <c r="C53" s="19"/>
    </row>
    <row r="57" spans="2:4" ht="21" x14ac:dyDescent="0.4">
      <c r="B57" s="20" t="s">
        <v>8863</v>
      </c>
    </row>
    <row r="58" spans="2:4" x14ac:dyDescent="0.3">
      <c r="B58" s="8" t="s">
        <v>8839</v>
      </c>
      <c r="C58" t="s">
        <v>8841</v>
      </c>
      <c r="D58" t="s">
        <v>8842</v>
      </c>
    </row>
    <row r="59" spans="2:4" x14ac:dyDescent="0.3">
      <c r="B59" s="9" t="s">
        <v>8851</v>
      </c>
      <c r="C59" s="18">
        <v>33416811.690000009</v>
      </c>
      <c r="D59" s="18">
        <v>5813012.4800000004</v>
      </c>
    </row>
    <row r="60" spans="2:4" x14ac:dyDescent="0.3">
      <c r="B60" s="9" t="s">
        <v>8852</v>
      </c>
      <c r="C60" s="18">
        <v>16385623.17</v>
      </c>
      <c r="D60" s="18">
        <v>3296148.850000002</v>
      </c>
    </row>
    <row r="61" spans="2:4" x14ac:dyDescent="0.3">
      <c r="B61" s="9" t="s">
        <v>8853</v>
      </c>
      <c r="C61" s="18">
        <v>18745405.409999982</v>
      </c>
      <c r="D61" s="18">
        <v>3324938.339999998</v>
      </c>
    </row>
    <row r="62" spans="2:4" x14ac:dyDescent="0.3">
      <c r="B62" s="9" t="s">
        <v>8854</v>
      </c>
      <c r="C62" s="18">
        <v>27938506.959999997</v>
      </c>
      <c r="D62" s="18">
        <v>5431644.310000008</v>
      </c>
    </row>
    <row r="63" spans="2:4" x14ac:dyDescent="0.3">
      <c r="B63" s="9" t="s">
        <v>8855</v>
      </c>
      <c r="C63" s="18">
        <v>24597605.759999998</v>
      </c>
      <c r="D63" s="18">
        <v>4527041.9400000032</v>
      </c>
    </row>
    <row r="64" spans="2:4" x14ac:dyDescent="0.3">
      <c r="B64" s="9" t="s">
        <v>8856</v>
      </c>
      <c r="C64" s="18">
        <v>25225945.630000003</v>
      </c>
      <c r="D64" s="18">
        <v>4580417.5700000012</v>
      </c>
    </row>
    <row r="65" spans="2:4" x14ac:dyDescent="0.3">
      <c r="B65" s="9" t="s">
        <v>8857</v>
      </c>
      <c r="C65" s="18">
        <v>27067916.54999999</v>
      </c>
      <c r="D65" s="18">
        <v>4897846.0500000045</v>
      </c>
    </row>
    <row r="66" spans="2:4" x14ac:dyDescent="0.3">
      <c r="B66" s="9" t="s">
        <v>8858</v>
      </c>
      <c r="C66" s="18">
        <v>27543503.359999988</v>
      </c>
      <c r="D66" s="18">
        <v>5729166.5799999982</v>
      </c>
    </row>
    <row r="67" spans="2:4" x14ac:dyDescent="0.3">
      <c r="B67" s="9" t="s">
        <v>8859</v>
      </c>
      <c r="C67" s="18">
        <v>19469257.140000008</v>
      </c>
      <c r="D67" s="18">
        <v>3656000.0999999996</v>
      </c>
    </row>
    <row r="68" spans="2:4" x14ac:dyDescent="0.3">
      <c r="B68" s="9" t="s">
        <v>8860</v>
      </c>
      <c r="C68" s="18">
        <v>15806700.780000012</v>
      </c>
      <c r="D68" s="18">
        <v>3100957.0900000008</v>
      </c>
    </row>
    <row r="69" spans="2:4" x14ac:dyDescent="0.3">
      <c r="B69" s="9" t="s">
        <v>8861</v>
      </c>
      <c r="C69" s="18">
        <v>14413200.910000002</v>
      </c>
      <c r="D69" s="18">
        <v>2440570.3699999996</v>
      </c>
    </row>
    <row r="70" spans="2:4" x14ac:dyDescent="0.3">
      <c r="B70" s="9" t="s">
        <v>8862</v>
      </c>
      <c r="C70" s="18">
        <v>13659327.180000003</v>
      </c>
      <c r="D70" s="18">
        <v>2721411.39</v>
      </c>
    </row>
    <row r="71" spans="2:4" x14ac:dyDescent="0.3">
      <c r="B71" s="9" t="s">
        <v>8840</v>
      </c>
      <c r="C71" s="18">
        <v>264269804.53999996</v>
      </c>
      <c r="D71" s="18">
        <v>49519155.070000015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8813-F15C-49F2-927F-CF450B7A6CDF}">
  <dimension ref="B2:B29"/>
  <sheetViews>
    <sheetView showGridLines="0" topLeftCell="A14" zoomScale="98" zoomScaleNormal="98" workbookViewId="0">
      <selection activeCell="J37" sqref="J37"/>
    </sheetView>
  </sheetViews>
  <sheetFormatPr defaultRowHeight="14.4" x14ac:dyDescent="0.3"/>
  <sheetData>
    <row r="2" spans="2:2" ht="39" x14ac:dyDescent="0.9">
      <c r="B2" s="7" t="s">
        <v>8830</v>
      </c>
    </row>
    <row r="3" spans="2:2" x14ac:dyDescent="0.3">
      <c r="B3" t="s">
        <v>8832</v>
      </c>
    </row>
    <row r="4" spans="2:2" x14ac:dyDescent="0.3">
      <c r="B4">
        <f>COUNTBLANK(Table1[[order_id]:[days_to_ship]])</f>
        <v>0</v>
      </c>
    </row>
    <row r="6" spans="2:2" x14ac:dyDescent="0.3">
      <c r="B6" t="s">
        <v>8829</v>
      </c>
    </row>
    <row r="7" spans="2:2" x14ac:dyDescent="0.3">
      <c r="B7">
        <f>MEDIAN(Table1[quantity])</f>
        <v>5</v>
      </c>
    </row>
    <row r="9" spans="2:2" x14ac:dyDescent="0.3">
      <c r="B9" t="s">
        <v>8831</v>
      </c>
    </row>
    <row r="10" spans="2:2" x14ac:dyDescent="0.3">
      <c r="B10">
        <f>MEDIAN(Table1[age])</f>
        <v>34</v>
      </c>
    </row>
    <row r="12" spans="2:2" x14ac:dyDescent="0.3">
      <c r="B12" t="s">
        <v>8833</v>
      </c>
    </row>
    <row r="13" spans="2:2" x14ac:dyDescent="0.3">
      <c r="B13" t="s">
        <v>8835</v>
      </c>
    </row>
    <row r="14" spans="2:2" x14ac:dyDescent="0.3">
      <c r="B14" t="s">
        <v>8834</v>
      </c>
    </row>
    <row r="16" spans="2:2" x14ac:dyDescent="0.3">
      <c r="B16" t="s">
        <v>8836</v>
      </c>
    </row>
    <row r="17" spans="2:2" x14ac:dyDescent="0.3">
      <c r="B17">
        <f>MEDIAN(retail_sales_dataset_MINI_PROJE!N3:N4201)</f>
        <v>0.21</v>
      </c>
    </row>
    <row r="18" spans="2:2" x14ac:dyDescent="0.3">
      <c r="B18" t="s">
        <v>8837</v>
      </c>
    </row>
    <row r="19" spans="2:2" x14ac:dyDescent="0.3">
      <c r="B19">
        <f>MEDIAN(retail_sales_dataset_MINI_PROJE!S:S)</f>
        <v>3</v>
      </c>
    </row>
    <row r="21" spans="2:2" x14ac:dyDescent="0.3">
      <c r="B21" t="s">
        <v>8838</v>
      </c>
    </row>
    <row r="22" spans="2:2" x14ac:dyDescent="0.3">
      <c r="B22">
        <f>MEDIAN(Table1[days_to_ship])</f>
        <v>5</v>
      </c>
    </row>
    <row r="27" spans="2:2" x14ac:dyDescent="0.3">
      <c r="B27" t="s">
        <v>8843</v>
      </c>
    </row>
    <row r="29" spans="2:2" x14ac:dyDescent="0.3">
      <c r="B29" t="s">
        <v>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retail_sales_dataset_MINI_PROJE</vt:lpstr>
      <vt:lpstr>PIVOT TABLES</vt:lpstr>
      <vt:lpstr>REMARKS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NABEEL</cp:lastModifiedBy>
  <dcterms:created xsi:type="dcterms:W3CDTF">2026-09-04T07:36:37Z</dcterms:created>
  <dcterms:modified xsi:type="dcterms:W3CDTF">2026-09-08T08:08:26Z</dcterms:modified>
</cp:coreProperties>
</file>